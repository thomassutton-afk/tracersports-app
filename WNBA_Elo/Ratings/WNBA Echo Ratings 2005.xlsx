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55E8C909-9BCA-414E-87B8-35E4959A4427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4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" l="1"/>
  <c r="H36" i="3"/>
  <c r="H35" i="3"/>
  <c r="H34" i="3"/>
  <c r="H33" i="3"/>
  <c r="H32" i="3"/>
  <c r="H31" i="3"/>
  <c r="H30" i="3"/>
  <c r="H29" i="3"/>
  <c r="H28" i="3"/>
  <c r="H27" i="3"/>
  <c r="H26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E29" i="3"/>
  <c r="D29" i="3"/>
  <c r="F29" i="3" s="1"/>
  <c r="C29" i="3"/>
  <c r="B29" i="3"/>
  <c r="E36" i="3"/>
  <c r="D36" i="3"/>
  <c r="C36" i="3"/>
  <c r="B36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AE386" i="2" s="1"/>
  <c r="V387" i="2"/>
  <c r="AE387" i="2" s="1"/>
  <c r="V388" i="2"/>
  <c r="AE388" i="2" s="1"/>
  <c r="V389" i="2"/>
  <c r="AE389" i="2" s="1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1" i="3"/>
  <c r="D31" i="3"/>
  <c r="C31" i="3"/>
  <c r="B31" i="3"/>
  <c r="E26" i="3"/>
  <c r="D26" i="3"/>
  <c r="C26" i="3"/>
  <c r="B26" i="3"/>
  <c r="E27" i="3"/>
  <c r="D27" i="3"/>
  <c r="F27" i="3" s="1"/>
  <c r="C27" i="3"/>
  <c r="B27" i="3"/>
  <c r="E37" i="3"/>
  <c r="D37" i="3"/>
  <c r="C37" i="3"/>
  <c r="B37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8" i="3"/>
  <c r="F36" i="3" l="1"/>
  <c r="K477" i="2"/>
  <c r="M477" i="2" s="1"/>
  <c r="L477" i="2"/>
  <c r="N477" i="2" s="1"/>
  <c r="F37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AD442" i="2"/>
  <c r="AC442" i="2"/>
  <c r="AD443" i="2"/>
  <c r="AC443" i="2"/>
  <c r="AD444" i="2"/>
  <c r="AC444" i="2"/>
  <c r="AD445" i="2"/>
  <c r="AC445" i="2"/>
  <c r="AD446" i="2"/>
  <c r="AC446" i="2"/>
  <c r="AD447" i="2"/>
  <c r="AC447" i="2"/>
  <c r="AD448" i="2"/>
  <c r="AC448" i="2"/>
  <c r="AD449" i="2"/>
  <c r="AC449" i="2"/>
  <c r="AD450" i="2"/>
  <c r="AC450" i="2"/>
  <c r="AD451" i="2"/>
  <c r="AC451" i="2"/>
  <c r="AD452" i="2"/>
  <c r="AC452" i="2"/>
  <c r="AD453" i="2"/>
  <c r="AC453" i="2"/>
  <c r="AD454" i="2"/>
  <c r="AC454" i="2"/>
  <c r="AD455" i="2"/>
  <c r="AC455" i="2"/>
  <c r="AD456" i="2"/>
  <c r="AC456" i="2"/>
  <c r="AD457" i="2"/>
  <c r="AC457" i="2"/>
  <c r="AD458" i="2"/>
  <c r="AC458" i="2"/>
  <c r="AD459" i="2"/>
  <c r="AC459" i="2"/>
  <c r="AD460" i="2"/>
  <c r="AC460" i="2"/>
  <c r="AD461" i="2"/>
  <c r="AC461" i="2"/>
  <c r="AD462" i="2"/>
  <c r="AC462" i="2"/>
  <c r="AD463" i="2"/>
  <c r="AC463" i="2"/>
  <c r="AD464" i="2"/>
  <c r="AC464" i="2"/>
  <c r="AD465" i="2"/>
  <c r="AC465" i="2"/>
  <c r="AD466" i="2"/>
  <c r="AC466" i="2"/>
  <c r="AD467" i="2"/>
  <c r="AC467" i="2"/>
  <c r="AD468" i="2"/>
  <c r="AC468" i="2"/>
  <c r="AD469" i="2"/>
  <c r="AC469" i="2"/>
  <c r="AD470" i="2"/>
  <c r="AC470" i="2"/>
  <c r="AD471" i="2"/>
  <c r="AC471" i="2"/>
  <c r="AD472" i="2"/>
  <c r="AC472" i="2"/>
  <c r="AD473" i="2"/>
  <c r="AC473" i="2"/>
  <c r="AD474" i="2"/>
  <c r="AC474" i="2"/>
  <c r="AD475" i="2"/>
  <c r="AC475" i="2"/>
  <c r="AD476" i="2"/>
  <c r="AC476" i="2"/>
  <c r="AD477" i="2"/>
  <c r="AC47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6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1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4" i="2" a="1"/>
  <c r="P15" i="2" a="1"/>
  <c r="P14" i="2" a="1"/>
  <c r="O15" i="2" a="1"/>
  <c r="O13" i="2" l="1" a="1"/>
  <c r="P12" i="2" a="1"/>
  <c r="P13" i="2" a="1"/>
  <c r="O12" i="2" a="1"/>
  <c r="Q14" i="2"/>
  <c r="W15" i="2"/>
  <c r="W14" i="2"/>
  <c r="Q15" i="2"/>
  <c r="W12" i="2" l="1"/>
  <c r="W13" i="2"/>
  <c r="Q12" i="2"/>
  <c r="Q13" i="2"/>
  <c r="AA14" i="2"/>
  <c r="AB14" i="2" s="1"/>
  <c r="AA15" i="2"/>
  <c r="AB15" i="2" s="1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P17" i="2" a="1"/>
  <c r="O16" i="2" a="1"/>
  <c r="O17" i="2" a="1"/>
  <c r="P16" i="2" a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Q16" i="2" l="1"/>
  <c r="W17" i="2"/>
  <c r="Q17" i="2"/>
  <c r="W16" i="2"/>
  <c r="AV7" i="3"/>
  <c r="AV8" i="3"/>
  <c r="AV5" i="3"/>
  <c r="AW7" i="3"/>
  <c r="AW5" i="3"/>
  <c r="AW9" i="3"/>
  <c r="AW8" i="3"/>
  <c r="AV9" i="3"/>
  <c r="AA16" i="2" l="1"/>
  <c r="AB16" i="2" s="1"/>
  <c r="AA17" i="2"/>
  <c r="AB17" i="2" s="1"/>
  <c r="P18" i="2" a="1"/>
  <c r="O19" i="2" a="1"/>
  <c r="O18" i="2" a="1"/>
  <c r="P19" i="2" a="1"/>
  <c r="AZ9" i="3"/>
  <c r="AZ7" i="3"/>
  <c r="AZ8" i="3"/>
  <c r="AZ5" i="3"/>
  <c r="W18" i="2" l="1"/>
  <c r="Q19" i="2"/>
  <c r="Q18" i="2"/>
  <c r="W19" i="2"/>
  <c r="AA18" i="2" l="1"/>
  <c r="AB18" i="2" s="1"/>
  <c r="AA19" i="2"/>
  <c r="AB19" i="2" s="1"/>
  <c r="O23" i="2" a="1"/>
  <c r="P22" i="2" a="1"/>
  <c r="O22" i="2" a="1"/>
  <c r="P23" i="2" a="1"/>
  <c r="C34" i="3"/>
  <c r="B34" i="3"/>
  <c r="C33" i="3"/>
  <c r="B33" i="3"/>
  <c r="C35" i="3"/>
  <c r="B35" i="3"/>
  <c r="C30" i="3"/>
  <c r="B30" i="3"/>
  <c r="C32" i="3"/>
  <c r="B32" i="3"/>
  <c r="C25" i="3"/>
  <c r="B25" i="3"/>
  <c r="C28" i="3"/>
  <c r="B28" i="3"/>
  <c r="O21" i="2" l="1" a="1"/>
  <c r="P21" i="2" a="1"/>
  <c r="O20" i="2" a="1"/>
  <c r="P20" i="2" a="1"/>
  <c r="Q23" i="2"/>
  <c r="Q22" i="2"/>
  <c r="W22" i="2"/>
  <c r="W23" i="2"/>
  <c r="W21" i="2" l="1"/>
  <c r="W20" i="2"/>
  <c r="Q21" i="2"/>
  <c r="AA21" i="2" s="1"/>
  <c r="AB21" i="2" s="1"/>
  <c r="Q20" i="2"/>
  <c r="AA22" i="2"/>
  <c r="AB22" i="2" s="1"/>
  <c r="AA23" i="2"/>
  <c r="AB23" i="2" s="1"/>
  <c r="O24" i="2" a="1"/>
  <c r="P25" i="2" a="1"/>
  <c r="P24" i="2" a="1"/>
  <c r="O25" i="2" a="1"/>
  <c r="E34" i="3"/>
  <c r="D34" i="3"/>
  <c r="E33" i="3"/>
  <c r="D33" i="3"/>
  <c r="E35" i="3"/>
  <c r="D35" i="3"/>
  <c r="E30" i="3"/>
  <c r="D30" i="3"/>
  <c r="E32" i="3"/>
  <c r="D32" i="3"/>
  <c r="E25" i="3"/>
  <c r="E28" i="3"/>
  <c r="D25" i="3"/>
  <c r="AA20" i="2" l="1"/>
  <c r="AB20" i="2" s="1"/>
  <c r="Q24" i="2"/>
  <c r="W25" i="2"/>
  <c r="Q25" i="2"/>
  <c r="W24" i="2"/>
  <c r="F30" i="3"/>
  <c r="F34" i="3"/>
  <c r="F25" i="3"/>
  <c r="F33" i="3"/>
  <c r="F35" i="3"/>
  <c r="F28" i="3"/>
  <c r="F32" i="3"/>
  <c r="AA24" i="2" l="1"/>
  <c r="AB24" i="2" s="1"/>
  <c r="AA25" i="2"/>
  <c r="AB25" i="2" s="1"/>
  <c r="P27" i="2" l="1" a="1"/>
  <c r="P29" i="2" a="1"/>
  <c r="O28" i="2" a="1"/>
  <c r="P28" i="2" a="1"/>
  <c r="P26" i="2" a="1"/>
  <c r="O27" i="2" a="1"/>
  <c r="O29" i="2" a="1"/>
  <c r="O26" i="2" a="1"/>
  <c r="W29" i="2" l="1"/>
  <c r="Q28" i="2"/>
  <c r="Q26" i="2"/>
  <c r="W27" i="2"/>
  <c r="W26" i="2"/>
  <c r="Q29" i="2"/>
  <c r="W28" i="2"/>
  <c r="Q27" i="2"/>
  <c r="AA29" i="2" l="1"/>
  <c r="AB29" i="2" s="1"/>
  <c r="AA28" i="2"/>
  <c r="AB28" i="2" s="1"/>
  <c r="AA27" i="2"/>
  <c r="AB27" i="2" s="1"/>
  <c r="AA26" i="2"/>
  <c r="AB26" i="2" s="1"/>
  <c r="P30" i="2" a="1"/>
  <c r="P31" i="2" a="1"/>
  <c r="O31" i="2" a="1"/>
  <c r="O30" i="2" a="1"/>
  <c r="Q31" i="2" l="1"/>
  <c r="W30" i="2"/>
  <c r="Q30" i="2"/>
  <c r="W31" i="2"/>
  <c r="AW3" i="3"/>
  <c r="AV3" i="3"/>
  <c r="AA31" i="2" l="1"/>
  <c r="AB31" i="2" s="1"/>
  <c r="AA30" i="2"/>
  <c r="AB30" i="2" s="1"/>
  <c r="O35" i="2" a="1"/>
  <c r="P34" i="2" a="1"/>
  <c r="O34" i="2" a="1"/>
  <c r="P35" i="2" a="1"/>
  <c r="AZ3" i="3"/>
  <c r="AV2" i="3"/>
  <c r="AW2" i="3"/>
  <c r="AV4" i="3"/>
  <c r="AW4" i="3"/>
  <c r="P33" i="2" l="1" a="1"/>
  <c r="O33" i="2" a="1"/>
  <c r="O32" i="2" a="1"/>
  <c r="P32" i="2" a="1"/>
  <c r="Q34" i="2"/>
  <c r="Q35" i="2"/>
  <c r="W34" i="2"/>
  <c r="W35" i="2"/>
  <c r="AZ4" i="3"/>
  <c r="AZ2" i="3"/>
  <c r="AW6" i="3"/>
  <c r="AV6" i="3"/>
  <c r="Q32" i="2" l="1"/>
  <c r="AA34" i="2"/>
  <c r="AB34" i="2" s="1"/>
  <c r="W33" i="2"/>
  <c r="Q33" i="2"/>
  <c r="AA33" i="2" s="1"/>
  <c r="AB33" i="2" s="1"/>
  <c r="W32" i="2"/>
  <c r="AA35" i="2"/>
  <c r="AB35" i="2" s="1"/>
  <c r="P37" i="2" a="1"/>
  <c r="O36" i="2" a="1"/>
  <c r="P36" i="2" a="1"/>
  <c r="O37" i="2" a="1"/>
  <c r="P39" i="2" a="1"/>
  <c r="O39" i="2" a="1"/>
  <c r="O38" i="2" a="1"/>
  <c r="P38" i="2" a="1"/>
  <c r="AZ6" i="3"/>
  <c r="AA32" i="2" l="1"/>
  <c r="AB32" i="2" s="1"/>
  <c r="Q39" i="2"/>
  <c r="W38" i="2"/>
  <c r="Q37" i="2"/>
  <c r="Q36" i="2"/>
  <c r="W36" i="2"/>
  <c r="W37" i="2"/>
  <c r="W39" i="2"/>
  <c r="Q38" i="2"/>
  <c r="AA39" i="2" l="1"/>
  <c r="AB39" i="2" s="1"/>
  <c r="P42" i="2" a="1"/>
  <c r="O42" i="2" a="1"/>
  <c r="P43" i="2" a="1"/>
  <c r="O43" i="2" a="1"/>
  <c r="O40" i="2" a="1"/>
  <c r="O41" i="2" a="1"/>
  <c r="P40" i="2" a="1"/>
  <c r="P41" i="2" a="1"/>
  <c r="Q41" i="2" s="1"/>
  <c r="AA37" i="2"/>
  <c r="AB37" i="2" s="1"/>
  <c r="AA38" i="2"/>
  <c r="AB38" i="2" s="1"/>
  <c r="AA36" i="2"/>
  <c r="AB36" i="2" s="1"/>
  <c r="P44" i="2" a="1"/>
  <c r="O44" i="2" a="1"/>
  <c r="P45" i="2" a="1"/>
  <c r="O45" i="2" a="1"/>
  <c r="W43" i="2" l="1"/>
  <c r="W42" i="2"/>
  <c r="Q40" i="2"/>
  <c r="Q43" i="2"/>
  <c r="AA43" i="2" s="1"/>
  <c r="AB43" i="2" s="1"/>
  <c r="W41" i="2"/>
  <c r="AA41" i="2" s="1"/>
  <c r="AB41" i="2" s="1"/>
  <c r="W40" i="2"/>
  <c r="Q42" i="2"/>
  <c r="W44" i="2"/>
  <c r="W45" i="2"/>
  <c r="Q45" i="2"/>
  <c r="Q44" i="2"/>
  <c r="AA40" i="2" l="1"/>
  <c r="AB40" i="2" s="1"/>
  <c r="AA42" i="2"/>
  <c r="AB42" i="2" s="1"/>
  <c r="AA45" i="2"/>
  <c r="AB45" i="2" s="1"/>
  <c r="AA44" i="2"/>
  <c r="AB44" i="2" s="1"/>
  <c r="P46" i="2" l="1" a="1"/>
  <c r="O47" i="2" a="1"/>
  <c r="O46" i="2" a="1"/>
  <c r="P47" i="2" a="1"/>
  <c r="W46" i="2" l="1"/>
  <c r="Q47" i="2"/>
  <c r="Q46" i="2"/>
  <c r="W47" i="2"/>
  <c r="AA46" i="2" l="1"/>
  <c r="AB46" i="2" s="1"/>
  <c r="AA47" i="2"/>
  <c r="AB47" i="2" s="1"/>
  <c r="P51" i="2" a="1"/>
  <c r="O50" i="2" a="1"/>
  <c r="P50" i="2" a="1"/>
  <c r="O51" i="2" a="1"/>
  <c r="O48" i="2" l="1" a="1"/>
  <c r="O49" i="2" a="1"/>
  <c r="W49" i="2" s="1"/>
  <c r="P49" i="2" a="1"/>
  <c r="P48" i="2" a="1"/>
  <c r="W50" i="2"/>
  <c r="W51" i="2"/>
  <c r="Q51" i="2"/>
  <c r="Q50" i="2"/>
  <c r="Q48" i="2" l="1"/>
  <c r="Q49" i="2"/>
  <c r="AA49" i="2" s="1"/>
  <c r="AB49" i="2" s="1"/>
  <c r="W48" i="2"/>
  <c r="AA51" i="2"/>
  <c r="AB51" i="2" s="1"/>
  <c r="AA50" i="2"/>
  <c r="AB50" i="2" s="1"/>
  <c r="AA48" i="2" l="1"/>
  <c r="AB48" i="2" s="1"/>
  <c r="P53" i="2" a="1"/>
  <c r="O53" i="2" a="1"/>
  <c r="O55" i="2" a="1"/>
  <c r="O52" i="2" a="1"/>
  <c r="P52" i="2" a="1"/>
  <c r="P54" i="2" a="1"/>
  <c r="O54" i="2" a="1"/>
  <c r="P55" i="2" a="1"/>
  <c r="W52" i="2" l="1"/>
  <c r="W53" i="2"/>
  <c r="Q54" i="2"/>
  <c r="Q55" i="2"/>
  <c r="Q53" i="2"/>
  <c r="W55" i="2"/>
  <c r="Q52" i="2"/>
  <c r="AA52" i="2" s="1"/>
  <c r="AB52" i="2" s="1"/>
  <c r="W54" i="2"/>
  <c r="AA53" i="2" l="1"/>
  <c r="AB53" i="2" s="1"/>
  <c r="AA55" i="2"/>
  <c r="AB55" i="2" s="1"/>
  <c r="AA54" i="2"/>
  <c r="AB54" i="2" s="1"/>
  <c r="P57" i="2" s="1" a="1"/>
  <c r="P56" i="2" a="1"/>
  <c r="O57" i="2" a="1"/>
  <c r="O56" i="2" a="1"/>
  <c r="Q56" i="2" l="1"/>
  <c r="P59" i="2" a="1"/>
  <c r="P58" i="2" a="1"/>
  <c r="O58" i="2" a="1"/>
  <c r="O59" i="2" a="1"/>
  <c r="Q57" i="2"/>
  <c r="W57" i="2"/>
  <c r="W56" i="2"/>
  <c r="AA57" i="2" l="1"/>
  <c r="AB57" i="2" s="1"/>
  <c r="AA56" i="2"/>
  <c r="AB56" i="2" s="1"/>
  <c r="Q59" i="2"/>
  <c r="Q58" i="2"/>
  <c r="W58" i="2"/>
  <c r="W59" i="2"/>
  <c r="O66" i="2" a="1"/>
  <c r="P67" i="2" a="1"/>
  <c r="P66" i="2" a="1"/>
  <c r="O67" i="2" a="1"/>
  <c r="P68" i="2" a="1"/>
  <c r="O68" i="2" a="1"/>
  <c r="P65" i="2" a="1"/>
  <c r="P69" i="2" a="1"/>
  <c r="O64" i="2" a="1"/>
  <c r="O69" i="2" a="1"/>
  <c r="AA58" i="2" l="1"/>
  <c r="AB58" i="2" s="1"/>
  <c r="AA59" i="2"/>
  <c r="AB59" i="2" s="1"/>
  <c r="P62" i="2" a="1"/>
  <c r="P61" i="2" a="1"/>
  <c r="O60" i="2" a="1"/>
  <c r="P63" i="2" a="1"/>
  <c r="O63" i="2" a="1"/>
  <c r="O61" i="2" a="1"/>
  <c r="O62" i="2" a="1"/>
  <c r="W62" i="2" s="1"/>
  <c r="P60" i="2" a="1"/>
  <c r="Q66" i="2"/>
  <c r="O65" i="2" a="1"/>
  <c r="P64" i="2" a="1"/>
  <c r="W68" i="2"/>
  <c r="W67" i="2"/>
  <c r="Q69" i="2"/>
  <c r="W66" i="2"/>
  <c r="W69" i="2"/>
  <c r="Q67" i="2"/>
  <c r="Q68" i="2"/>
  <c r="Q63" i="2" l="1"/>
  <c r="W61" i="2"/>
  <c r="Q60" i="2"/>
  <c r="W60" i="2"/>
  <c r="AA60" i="2" s="1"/>
  <c r="AB60" i="2" s="1"/>
  <c r="W63" i="2"/>
  <c r="AA63" i="2" s="1"/>
  <c r="AB63" i="2" s="1"/>
  <c r="Q61" i="2"/>
  <c r="AA61" i="2" s="1"/>
  <c r="AB61" i="2" s="1"/>
  <c r="Q62" i="2"/>
  <c r="AA62" i="2" s="1"/>
  <c r="AB62" i="2" s="1"/>
  <c r="AA66" i="2"/>
  <c r="AB66" i="2" s="1"/>
  <c r="Q65" i="2"/>
  <c r="W65" i="2"/>
  <c r="Q64" i="2"/>
  <c r="W64" i="2"/>
  <c r="AA68" i="2"/>
  <c r="AB68" i="2" s="1"/>
  <c r="AA69" i="2"/>
  <c r="AB69" i="2" s="1"/>
  <c r="AA67" i="2"/>
  <c r="AB67" i="2" s="1"/>
  <c r="P70" i="2" l="1" a="1"/>
  <c r="O71" i="2" a="1"/>
  <c r="P71" i="2" a="1"/>
  <c r="O70" i="2" a="1"/>
  <c r="AA65" i="2"/>
  <c r="AB65" i="2" s="1"/>
  <c r="AA64" i="2"/>
  <c r="AB64" i="2" s="1"/>
  <c r="W71" i="2" l="1"/>
  <c r="W70" i="2"/>
  <c r="Q70" i="2"/>
  <c r="Q71" i="2"/>
  <c r="AA70" i="2" l="1"/>
  <c r="AB70" i="2" s="1"/>
  <c r="AA71" i="2"/>
  <c r="AB71" i="2" s="1"/>
  <c r="O75" i="2" a="1"/>
  <c r="P74" i="2" a="1"/>
  <c r="P75" i="2" a="1"/>
  <c r="O74" i="2" a="1"/>
  <c r="P76" i="2" a="1"/>
  <c r="P77" i="2" a="1"/>
  <c r="O76" i="2" a="1"/>
  <c r="O77" i="2" a="1"/>
  <c r="P72" i="2" l="1" a="1"/>
  <c r="P73" i="2" a="1"/>
  <c r="O73" i="2" a="1"/>
  <c r="O72" i="2" a="1"/>
  <c r="O78" i="2" a="1"/>
  <c r="P78" i="2" a="1"/>
  <c r="O79" i="2" a="1"/>
  <c r="P79" i="2" a="1"/>
  <c r="W76" i="2"/>
  <c r="Q75" i="2"/>
  <c r="Q74" i="2"/>
  <c r="W77" i="2"/>
  <c r="W74" i="2"/>
  <c r="W75" i="2"/>
  <c r="Q76" i="2"/>
  <c r="Q77" i="2"/>
  <c r="W79" i="2" l="1"/>
  <c r="W78" i="2"/>
  <c r="Q73" i="2"/>
  <c r="W73" i="2"/>
  <c r="AA73" i="2" s="1"/>
  <c r="AB73" i="2" s="1"/>
  <c r="W72" i="2"/>
  <c r="Q72" i="2"/>
  <c r="AA72" i="2" s="1"/>
  <c r="AB72" i="2" s="1"/>
  <c r="Q78" i="2"/>
  <c r="Q79" i="2"/>
  <c r="O80" i="2" a="1"/>
  <c r="O81" i="2" a="1"/>
  <c r="P81" i="2" a="1"/>
  <c r="P80" i="2" a="1"/>
  <c r="Q80" i="2" s="1"/>
  <c r="AA76" i="2"/>
  <c r="AB76" i="2" s="1"/>
  <c r="AA75" i="2"/>
  <c r="AB75" i="2" s="1"/>
  <c r="AA74" i="2"/>
  <c r="AB74" i="2" s="1"/>
  <c r="AA77" i="2"/>
  <c r="AB77" i="2" s="1"/>
  <c r="O83" i="2" a="1"/>
  <c r="P82" i="2" a="1"/>
  <c r="O82" i="2" a="1"/>
  <c r="P83" i="2" a="1"/>
  <c r="AA78" i="2" l="1"/>
  <c r="AB78" i="2" s="1"/>
  <c r="AA79" i="2"/>
  <c r="AB79" i="2" s="1"/>
  <c r="W81" i="2"/>
  <c r="W80" i="2"/>
  <c r="AA80" i="2" s="1"/>
  <c r="AB80" i="2" s="1"/>
  <c r="Q81" i="2"/>
  <c r="W83" i="2"/>
  <c r="Q82" i="2"/>
  <c r="W82" i="2"/>
  <c r="Q83" i="2"/>
  <c r="AA81" i="2" l="1"/>
  <c r="AB81" i="2" s="1"/>
  <c r="AA83" i="2"/>
  <c r="AB83" i="2" s="1"/>
  <c r="AA82" i="2"/>
  <c r="AB82" i="2" s="1"/>
  <c r="P89" i="2" a="1"/>
  <c r="P88" i="2" a="1"/>
  <c r="O88" i="2" a="1"/>
  <c r="O89" i="2" a="1"/>
  <c r="O84" i="2" l="1" a="1"/>
  <c r="P84" i="2" a="1"/>
  <c r="P85" i="2" a="1"/>
  <c r="O85" i="2" a="1"/>
  <c r="O87" i="2" a="1"/>
  <c r="P87" i="2" a="1"/>
  <c r="P86" i="2" a="1"/>
  <c r="O86" i="2" a="1"/>
  <c r="W89" i="2"/>
  <c r="W88" i="2"/>
  <c r="Q89" i="2"/>
  <c r="Q88" i="2"/>
  <c r="W84" i="2" l="1"/>
  <c r="W87" i="2"/>
  <c r="W86" i="2"/>
  <c r="Q84" i="2"/>
  <c r="Q85" i="2"/>
  <c r="W85" i="2"/>
  <c r="Q87" i="2"/>
  <c r="Q86" i="2"/>
  <c r="AA89" i="2"/>
  <c r="AB89" i="2" s="1"/>
  <c r="AA88" i="2"/>
  <c r="AB88" i="2" s="1"/>
  <c r="AA84" i="2" l="1"/>
  <c r="AB84" i="2" s="1"/>
  <c r="AA87" i="2"/>
  <c r="AB87" i="2" s="1"/>
  <c r="AA86" i="2"/>
  <c r="AB86" i="2" s="1"/>
  <c r="AA85" i="2"/>
  <c r="AB85" i="2" s="1"/>
  <c r="O91" i="2" a="1"/>
  <c r="P90" i="2" a="1"/>
  <c r="O90" i="2" a="1"/>
  <c r="P91" i="2" a="1"/>
  <c r="W91" i="2" l="1"/>
  <c r="Q90" i="2"/>
  <c r="W90" i="2"/>
  <c r="Q91" i="2"/>
  <c r="AA91" i="2" l="1"/>
  <c r="AB91" i="2" s="1"/>
  <c r="AA90" i="2"/>
  <c r="AB90" i="2" s="1"/>
  <c r="P92" i="2" l="1" a="1"/>
  <c r="O92" i="2" a="1"/>
  <c r="O93" i="2" a="1"/>
  <c r="P93" i="2" a="1"/>
  <c r="W92" i="2" l="1"/>
  <c r="W93" i="2"/>
  <c r="Q92" i="2"/>
  <c r="Q93" i="2"/>
  <c r="AA92" i="2" l="1"/>
  <c r="AB92" i="2" s="1"/>
  <c r="AA93" i="2"/>
  <c r="AB93" i="2" s="1"/>
  <c r="O95" i="2" l="1" a="1"/>
  <c r="P94" i="2" a="1"/>
  <c r="O97" i="2" a="1"/>
  <c r="P96" i="2" a="1"/>
  <c r="O96" i="2" a="1"/>
  <c r="P97" i="2" a="1"/>
  <c r="P98" i="2" a="1"/>
  <c r="P99" i="2" a="1"/>
  <c r="O98" i="2" a="1"/>
  <c r="O99" i="2" a="1"/>
  <c r="O94" i="2" a="1"/>
  <c r="P95" i="2" a="1"/>
  <c r="Q97" i="2" l="1"/>
  <c r="Q95" i="2"/>
  <c r="Q94" i="2"/>
  <c r="Q96" i="2"/>
  <c r="Q98" i="2"/>
  <c r="Q99" i="2"/>
  <c r="W95" i="2"/>
  <c r="W97" i="2"/>
  <c r="AA97" i="2" s="1"/>
  <c r="AB97" i="2" s="1"/>
  <c r="W96" i="2"/>
  <c r="W98" i="2"/>
  <c r="W99" i="2"/>
  <c r="AA99" i="2" s="1"/>
  <c r="AB99" i="2" s="1"/>
  <c r="W94" i="2"/>
  <c r="AA95" i="2" l="1"/>
  <c r="AB95" i="2" s="1"/>
  <c r="AA94" i="2"/>
  <c r="AB94" i="2" s="1"/>
  <c r="AA96" i="2"/>
  <c r="AB96" i="2" s="1"/>
  <c r="AA98" i="2"/>
  <c r="AB98" i="2" s="1"/>
  <c r="P103" i="2" a="1"/>
  <c r="O103" i="2" a="1"/>
  <c r="O102" i="2" a="1"/>
  <c r="P102" i="2" a="1"/>
  <c r="P101" i="2" a="1"/>
  <c r="O100" i="2" a="1"/>
  <c r="O101" i="2" a="1"/>
  <c r="P100" i="2" a="1"/>
  <c r="W100" i="2" l="1"/>
  <c r="Q102" i="2"/>
  <c r="W101" i="2"/>
  <c r="Q103" i="2"/>
  <c r="W102" i="2"/>
  <c r="Q101" i="2"/>
  <c r="Q100" i="2"/>
  <c r="AA100" i="2" s="1"/>
  <c r="AB100" i="2" s="1"/>
  <c r="W103" i="2"/>
  <c r="AA102" i="2" l="1"/>
  <c r="AB102" i="2" s="1"/>
  <c r="AA101" i="2"/>
  <c r="AB101" i="2" s="1"/>
  <c r="AA103" i="2"/>
  <c r="AB103" i="2" s="1"/>
  <c r="O105" i="2" a="1"/>
  <c r="P105" i="2" a="1"/>
  <c r="P104" i="2" a="1"/>
  <c r="O104" i="2" a="1"/>
  <c r="W105" i="2" l="1"/>
  <c r="W104" i="2"/>
  <c r="Q105" i="2"/>
  <c r="AA105" i="2" s="1"/>
  <c r="AB105" i="2" s="1"/>
  <c r="Q104" i="2"/>
  <c r="AA104" i="2" l="1"/>
  <c r="AB104" i="2" s="1"/>
  <c r="P109" i="2" s="1" a="1"/>
  <c r="P107" i="2" a="1"/>
  <c r="O107" i="2" a="1"/>
  <c r="W107" i="2" s="1"/>
  <c r="P106" i="2" a="1"/>
  <c r="O106" i="2" a="1"/>
  <c r="O109" i="2" a="1"/>
  <c r="P108" i="2" a="1"/>
  <c r="O108" i="2" a="1"/>
  <c r="O111" i="2" a="1"/>
  <c r="P110" i="2" a="1"/>
  <c r="P111" i="2" a="1"/>
  <c r="O110" i="2" a="1"/>
  <c r="W106" i="2" l="1"/>
  <c r="W108" i="2"/>
  <c r="Q107" i="2"/>
  <c r="AA107" i="2" s="1"/>
  <c r="AB107" i="2" s="1"/>
  <c r="Q109" i="2"/>
  <c r="Q106" i="2"/>
  <c r="W109" i="2"/>
  <c r="Q108" i="2"/>
  <c r="Q110" i="2"/>
  <c r="Q111" i="2"/>
  <c r="W111" i="2"/>
  <c r="W110" i="2"/>
  <c r="AA109" i="2" l="1"/>
  <c r="AB109" i="2" s="1"/>
  <c r="AA106" i="2"/>
  <c r="AB106" i="2" s="1"/>
  <c r="AA108" i="2"/>
  <c r="AB108" i="2" s="1"/>
  <c r="AA111" i="2"/>
  <c r="AB111" i="2" s="1"/>
  <c r="AA110" i="2"/>
  <c r="AB110" i="2" s="1"/>
  <c r="O112" i="2" l="1" a="1"/>
  <c r="O113" i="2" a="1"/>
  <c r="P112" i="2" a="1"/>
  <c r="P113" i="2" a="1"/>
  <c r="Q112" i="2" l="1"/>
  <c r="Q113" i="2"/>
  <c r="W112" i="2"/>
  <c r="W113" i="2"/>
  <c r="AA112" i="2" l="1"/>
  <c r="AB112" i="2" s="1"/>
  <c r="AA113" i="2"/>
  <c r="AB113" i="2" s="1"/>
  <c r="P115" i="2" l="1" a="1"/>
  <c r="O114" i="2" a="1"/>
  <c r="P114" i="2" a="1"/>
  <c r="O115" i="2" a="1"/>
  <c r="Q114" i="2" l="1"/>
  <c r="Q115" i="2"/>
  <c r="W114" i="2"/>
  <c r="W115" i="2"/>
  <c r="AA114" i="2" l="1"/>
  <c r="AB114" i="2" s="1"/>
  <c r="AA115" i="2"/>
  <c r="AB115" i="2" s="1"/>
  <c r="P116" i="2" a="1"/>
  <c r="O116" i="2" a="1"/>
  <c r="O117" i="2" a="1"/>
  <c r="P117" i="2" a="1"/>
  <c r="W116" i="2" l="1"/>
  <c r="Q117" i="2"/>
  <c r="Q116" i="2"/>
  <c r="W117" i="2"/>
  <c r="P124" i="2" a="1"/>
  <c r="O124" i="2" a="1"/>
  <c r="O125" i="2" a="1"/>
  <c r="P125" i="2" a="1"/>
  <c r="P126" i="2" a="1"/>
  <c r="O126" i="2" a="1"/>
  <c r="O127" i="2" a="1"/>
  <c r="P127" i="2" a="1"/>
  <c r="AA116" i="2" l="1"/>
  <c r="AB116" i="2" s="1"/>
  <c r="AA117" i="2"/>
  <c r="AB117" i="2" s="1"/>
  <c r="P120" i="2" a="1"/>
  <c r="O121" i="2" a="1"/>
  <c r="P121" i="2" a="1"/>
  <c r="O120" i="2" a="1"/>
  <c r="O119" i="2" a="1"/>
  <c r="P118" i="2" a="1"/>
  <c r="O118" i="2" a="1"/>
  <c r="P119" i="2" a="1"/>
  <c r="P123" i="2" a="1"/>
  <c r="O123" i="2" a="1"/>
  <c r="P122" i="2" a="1"/>
  <c r="O122" i="2" a="1"/>
  <c r="W125" i="2"/>
  <c r="W127" i="2"/>
  <c r="W124" i="2"/>
  <c r="Q126" i="2"/>
  <c r="Q124" i="2"/>
  <c r="Q125" i="2"/>
  <c r="W126" i="2"/>
  <c r="Q127" i="2"/>
  <c r="W121" i="2" l="1"/>
  <c r="W119" i="2"/>
  <c r="W118" i="2"/>
  <c r="W123" i="2"/>
  <c r="W122" i="2"/>
  <c r="Q120" i="2"/>
  <c r="Q121" i="2"/>
  <c r="Q118" i="2"/>
  <c r="Q119" i="2"/>
  <c r="Q122" i="2"/>
  <c r="W120" i="2"/>
  <c r="Q123" i="2"/>
  <c r="AA124" i="2"/>
  <c r="AB124" i="2" s="1"/>
  <c r="AA125" i="2"/>
  <c r="AB125" i="2" s="1"/>
  <c r="AA127" i="2"/>
  <c r="AB127" i="2" s="1"/>
  <c r="AA126" i="2"/>
  <c r="AB126" i="2" s="1"/>
  <c r="AA121" i="2" l="1"/>
  <c r="AB121" i="2" s="1"/>
  <c r="AA123" i="2"/>
  <c r="AB123" i="2" s="1"/>
  <c r="AA118" i="2"/>
  <c r="AB118" i="2" s="1"/>
  <c r="AA119" i="2"/>
  <c r="AB119" i="2" s="1"/>
  <c r="AA122" i="2"/>
  <c r="AB122" i="2" s="1"/>
  <c r="AA120" i="2"/>
  <c r="AB120" i="2" s="1"/>
  <c r="O129" i="2" a="1"/>
  <c r="P129" i="2" a="1"/>
  <c r="O128" i="2" a="1"/>
  <c r="P128" i="2" a="1"/>
  <c r="W128" i="2" l="1"/>
  <c r="W129" i="2"/>
  <c r="Q129" i="2"/>
  <c r="Q128" i="2"/>
  <c r="AA129" i="2" l="1"/>
  <c r="AB129" i="2" s="1"/>
  <c r="AA128" i="2"/>
  <c r="AB128" i="2" s="1"/>
  <c r="O131" i="2" l="1" a="1"/>
  <c r="W131" i="2" s="1"/>
  <c r="P131" i="2" a="1"/>
  <c r="O130" i="2" a="1"/>
  <c r="P130" i="2" a="1"/>
  <c r="O133" i="2" a="1"/>
  <c r="O132" i="2" a="1"/>
  <c r="P133" i="2" a="1"/>
  <c r="P132" i="2" a="1"/>
  <c r="Q130" i="2" l="1"/>
  <c r="Q131" i="2"/>
  <c r="AA131" i="2" s="1"/>
  <c r="AB131" i="2" s="1"/>
  <c r="W130" i="2"/>
  <c r="Q132" i="2"/>
  <c r="W133" i="2"/>
  <c r="W132" i="2"/>
  <c r="Q133" i="2"/>
  <c r="AA130" i="2" l="1"/>
  <c r="AB130" i="2" s="1"/>
  <c r="AA132" i="2"/>
  <c r="AB132" i="2" s="1"/>
  <c r="AA133" i="2"/>
  <c r="AB133" i="2" s="1"/>
  <c r="P134" i="2" l="1" a="1"/>
  <c r="O135" i="2" a="1"/>
  <c r="P135" i="2" a="1"/>
  <c r="O134" i="2" a="1"/>
  <c r="P136" i="2" a="1"/>
  <c r="O137" i="2" a="1"/>
  <c r="O136" i="2" a="1"/>
  <c r="P137" i="2" a="1"/>
  <c r="Q134" i="2" l="1"/>
  <c r="W135" i="2"/>
  <c r="Q135" i="2"/>
  <c r="W134" i="2"/>
  <c r="Q136" i="2"/>
  <c r="W137" i="2"/>
  <c r="W136" i="2"/>
  <c r="Q137" i="2"/>
  <c r="AA135" i="2" l="1"/>
  <c r="AB135" i="2" s="1"/>
  <c r="AA134" i="2"/>
  <c r="AB134" i="2" s="1"/>
  <c r="AA136" i="2"/>
  <c r="AB136" i="2" s="1"/>
  <c r="AA137" i="2"/>
  <c r="AB137" i="2" s="1"/>
  <c r="P138" i="2" l="1" a="1"/>
  <c r="O138" i="2" a="1"/>
  <c r="O139" i="2" a="1"/>
  <c r="P139" i="2" a="1"/>
  <c r="W138" i="2" l="1"/>
  <c r="Q139" i="2"/>
  <c r="Q138" i="2"/>
  <c r="W139" i="2"/>
  <c r="AA138" i="2" l="1"/>
  <c r="AB138" i="2" s="1"/>
  <c r="AA139" i="2"/>
  <c r="AB139" i="2" s="1"/>
  <c r="O141" i="2" a="1"/>
  <c r="P141" i="2" a="1"/>
  <c r="O140" i="2" a="1"/>
  <c r="P140" i="2" a="1"/>
  <c r="O145" i="2" a="1"/>
  <c r="O144" i="2" a="1"/>
  <c r="P145" i="2" a="1"/>
  <c r="P144" i="2" a="1"/>
  <c r="Q141" i="2" l="1"/>
  <c r="W140" i="2"/>
  <c r="Q140" i="2"/>
  <c r="W144" i="2"/>
  <c r="P142" i="2" a="1"/>
  <c r="P143" i="2" a="1"/>
  <c r="O142" i="2" a="1"/>
  <c r="O143" i="2" a="1"/>
  <c r="Q145" i="2"/>
  <c r="W141" i="2"/>
  <c r="W145" i="2"/>
  <c r="Q144" i="2"/>
  <c r="P146" i="2" a="1"/>
  <c r="O146" i="2" a="1"/>
  <c r="O147" i="2" a="1"/>
  <c r="P147" i="2" a="1"/>
  <c r="Q142" i="2" l="1"/>
  <c r="AA140" i="2"/>
  <c r="AB140" i="2" s="1"/>
  <c r="W143" i="2"/>
  <c r="AA141" i="2"/>
  <c r="AB141" i="2" s="1"/>
  <c r="Q143" i="2"/>
  <c r="AA145" i="2"/>
  <c r="AB145" i="2" s="1"/>
  <c r="AA144" i="2"/>
  <c r="AB144" i="2" s="1"/>
  <c r="W142" i="2"/>
  <c r="AA142" i="2" s="1"/>
  <c r="AB142" i="2" s="1"/>
  <c r="W147" i="2"/>
  <c r="W146" i="2"/>
  <c r="Q147" i="2"/>
  <c r="Q146" i="2"/>
  <c r="AA143" i="2" l="1"/>
  <c r="AB143" i="2" s="1"/>
  <c r="AA147" i="2"/>
  <c r="AB147" i="2" s="1"/>
  <c r="AA146" i="2"/>
  <c r="AB146" i="2" s="1"/>
  <c r="O148" i="2" l="1" a="1"/>
  <c r="P149" i="2" a="1"/>
  <c r="O149" i="2" a="1"/>
  <c r="P148" i="2" a="1"/>
  <c r="O151" i="2" a="1"/>
  <c r="P150" i="2" a="1"/>
  <c r="O150" i="2" a="1"/>
  <c r="P151" i="2" a="1"/>
  <c r="W148" i="2" l="1"/>
  <c r="Q149" i="2"/>
  <c r="W149" i="2"/>
  <c r="AA149" i="2" s="1"/>
  <c r="AB149" i="2" s="1"/>
  <c r="Q148" i="2"/>
  <c r="W151" i="2"/>
  <c r="W150" i="2"/>
  <c r="Q151" i="2"/>
  <c r="Q150" i="2"/>
  <c r="P153" i="2" a="1"/>
  <c r="P152" i="2" a="1"/>
  <c r="AA148" i="2" l="1"/>
  <c r="AB148" i="2" s="1"/>
  <c r="AA151" i="2"/>
  <c r="AB151" i="2" s="1"/>
  <c r="AA150" i="2"/>
  <c r="AB150" i="2" s="1"/>
  <c r="O152" i="2" a="1"/>
  <c r="O153" i="2" a="1"/>
  <c r="Q152" i="2" l="1"/>
  <c r="W152" i="2"/>
  <c r="W153" i="2"/>
  <c r="Q153" i="2"/>
  <c r="AA152" i="2" l="1"/>
  <c r="AB152" i="2" s="1"/>
  <c r="AA153" i="2"/>
  <c r="AB153" i="2" s="1"/>
  <c r="P155" i="2" l="1" a="1"/>
  <c r="P154" i="2" a="1"/>
  <c r="O155" i="2" a="1"/>
  <c r="O154" i="2" a="1"/>
  <c r="W155" i="2" l="1"/>
  <c r="W154" i="2"/>
  <c r="Q154" i="2"/>
  <c r="Q155" i="2"/>
  <c r="O156" i="2" a="1"/>
  <c r="P156" i="2" a="1"/>
  <c r="O157" i="2" a="1"/>
  <c r="W157" i="2" s="1"/>
  <c r="P157" i="2" a="1"/>
  <c r="O159" i="2" a="1"/>
  <c r="P158" i="2" a="1"/>
  <c r="P159" i="2" a="1"/>
  <c r="O158" i="2" a="1"/>
  <c r="AA154" i="2" l="1"/>
  <c r="AB154" i="2" s="1"/>
  <c r="AA155" i="2"/>
  <c r="AB155" i="2" s="1"/>
  <c r="Q156" i="2"/>
  <c r="W156" i="2"/>
  <c r="Q157" i="2"/>
  <c r="AA157" i="2" s="1"/>
  <c r="AB157" i="2" s="1"/>
  <c r="W159" i="2"/>
  <c r="Q159" i="2"/>
  <c r="Q158" i="2"/>
  <c r="W158" i="2"/>
  <c r="AA156" i="2" l="1"/>
  <c r="AB156" i="2" s="1"/>
  <c r="P165" i="2" s="1" a="1"/>
  <c r="AA158" i="2"/>
  <c r="AB158" i="2" s="1"/>
  <c r="AA159" i="2"/>
  <c r="AB159" i="2" s="1"/>
  <c r="O167" i="2" a="1"/>
  <c r="P167" i="2" a="1"/>
  <c r="P166" i="2" a="1"/>
  <c r="O166" i="2" a="1"/>
  <c r="P164" i="2" a="1"/>
  <c r="O164" i="2" a="1"/>
  <c r="O165" i="2" a="1"/>
  <c r="O160" i="2" l="1" a="1"/>
  <c r="P160" i="2" a="1"/>
  <c r="P161" i="2" a="1"/>
  <c r="O161" i="2" a="1"/>
  <c r="P163" i="2" a="1"/>
  <c r="O162" i="2" a="1"/>
  <c r="P162" i="2" a="1"/>
  <c r="O163" i="2" a="1"/>
  <c r="W164" i="2"/>
  <c r="Q166" i="2"/>
  <c r="W167" i="2"/>
  <c r="Q165" i="2"/>
  <c r="Q167" i="2"/>
  <c r="W166" i="2"/>
  <c r="Q164" i="2"/>
  <c r="W165" i="2"/>
  <c r="W161" i="2" l="1"/>
  <c r="W160" i="2"/>
  <c r="Q160" i="2"/>
  <c r="AA160" i="2" s="1"/>
  <c r="AB160" i="2" s="1"/>
  <c r="Q161" i="2"/>
  <c r="AA161" i="2" s="1"/>
  <c r="AB161" i="2" s="1"/>
  <c r="W163" i="2"/>
  <c r="Q162" i="2"/>
  <c r="Q163" i="2"/>
  <c r="W162" i="2"/>
  <c r="AA164" i="2"/>
  <c r="AB164" i="2" s="1"/>
  <c r="AA166" i="2"/>
  <c r="AB166" i="2" s="1"/>
  <c r="AA167" i="2"/>
  <c r="AB167" i="2" s="1"/>
  <c r="AA165" i="2"/>
  <c r="AB165" i="2" s="1"/>
  <c r="AA163" i="2" l="1"/>
  <c r="AB163" i="2" s="1"/>
  <c r="AA162" i="2"/>
  <c r="AB162" i="2" s="1"/>
  <c r="O168" i="2" a="1"/>
  <c r="P169" i="2" a="1"/>
  <c r="O169" i="2" a="1"/>
  <c r="P168" i="2" a="1"/>
  <c r="W169" i="2" l="1"/>
  <c r="Q168" i="2"/>
  <c r="Q169" i="2"/>
  <c r="W168" i="2"/>
  <c r="AA169" i="2" l="1"/>
  <c r="AB169" i="2" s="1"/>
  <c r="AA168" i="2"/>
  <c r="AB168" i="2" s="1"/>
  <c r="O174" i="2" a="1"/>
  <c r="P175" i="2" a="1"/>
  <c r="O175" i="2" a="1"/>
  <c r="P174" i="2" a="1"/>
  <c r="O171" i="2" l="1" a="1"/>
  <c r="P170" i="2" a="1"/>
  <c r="P171" i="2" a="1"/>
  <c r="O170" i="2" a="1"/>
  <c r="O173" i="2" a="1"/>
  <c r="P172" i="2" a="1"/>
  <c r="O172" i="2" a="1"/>
  <c r="P173" i="2" a="1"/>
  <c r="Q174" i="2"/>
  <c r="W175" i="2"/>
  <c r="W174" i="2"/>
  <c r="Q175" i="2"/>
  <c r="Q171" i="2" l="1"/>
  <c r="Q170" i="2"/>
  <c r="W171" i="2"/>
  <c r="W170" i="2"/>
  <c r="Q172" i="2"/>
  <c r="W172" i="2"/>
  <c r="W173" i="2"/>
  <c r="Q173" i="2"/>
  <c r="AA174" i="2"/>
  <c r="AB174" i="2" s="1"/>
  <c r="AA175" i="2"/>
  <c r="AB175" i="2" s="1"/>
  <c r="AA171" i="2" l="1"/>
  <c r="AB171" i="2" s="1"/>
  <c r="AA170" i="2"/>
  <c r="AB170" i="2" s="1"/>
  <c r="O176" i="2" a="1"/>
  <c r="O177" i="2" a="1"/>
  <c r="P176" i="2" a="1"/>
  <c r="P177" i="2" a="1"/>
  <c r="AA173" i="2"/>
  <c r="AB173" i="2" s="1"/>
  <c r="AA172" i="2"/>
  <c r="AB172" i="2" s="1"/>
  <c r="Q177" i="2" l="1"/>
  <c r="W177" i="2"/>
  <c r="Q176" i="2"/>
  <c r="W176" i="2"/>
  <c r="AA176" i="2" l="1"/>
  <c r="AB176" i="2" s="1"/>
  <c r="AA177" i="2"/>
  <c r="AB177" i="2" s="1"/>
  <c r="O179" i="2" l="1" a="1"/>
  <c r="P178" i="2" a="1"/>
  <c r="P179" i="2" a="1"/>
  <c r="O178" i="2" a="1"/>
  <c r="Q178" i="2" l="1"/>
  <c r="Q179" i="2"/>
  <c r="W178" i="2"/>
  <c r="W179" i="2"/>
  <c r="AA178" i="2" l="1"/>
  <c r="AB178" i="2" s="1"/>
  <c r="AA179" i="2"/>
  <c r="AB179" i="2" s="1"/>
  <c r="O182" i="2" a="1"/>
  <c r="O183" i="2" a="1"/>
  <c r="P182" i="2" a="1"/>
  <c r="P183" i="2" a="1"/>
  <c r="Q183" i="2" s="1"/>
  <c r="P180" i="2" a="1"/>
  <c r="O181" i="2" a="1"/>
  <c r="O180" i="2" a="1"/>
  <c r="P181" i="2" a="1"/>
  <c r="P185" i="2" a="1"/>
  <c r="O185" i="2" a="1"/>
  <c r="P184" i="2" a="1"/>
  <c r="O184" i="2" a="1"/>
  <c r="W182" i="2" l="1"/>
  <c r="Q180" i="2"/>
  <c r="W181" i="2"/>
  <c r="W183" i="2"/>
  <c r="AA183" i="2" s="1"/>
  <c r="AB183" i="2" s="1"/>
  <c r="Q182" i="2"/>
  <c r="W180" i="2"/>
  <c r="Q181" i="2"/>
  <c r="W185" i="2"/>
  <c r="W184" i="2"/>
  <c r="Q185" i="2"/>
  <c r="Q184" i="2"/>
  <c r="AA182" i="2" l="1"/>
  <c r="AB182" i="2" s="1"/>
  <c r="AA180" i="2"/>
  <c r="AB180" i="2" s="1"/>
  <c r="AA181" i="2"/>
  <c r="AB181" i="2" s="1"/>
  <c r="AA185" i="2"/>
  <c r="AB185" i="2" s="1"/>
  <c r="AA184" i="2"/>
  <c r="AB184" i="2" s="1"/>
  <c r="P186" i="2" l="1" a="1"/>
  <c r="O186" i="2" a="1"/>
  <c r="P187" i="2" a="1"/>
  <c r="O187" i="2" a="1"/>
  <c r="W187" i="2" l="1"/>
  <c r="W186" i="2"/>
  <c r="Q186" i="2"/>
  <c r="Q187" i="2"/>
  <c r="AA186" i="2" l="1"/>
  <c r="AB186" i="2" s="1"/>
  <c r="AA187" i="2"/>
  <c r="AB187" i="2" s="1"/>
  <c r="O190" i="2" l="1" a="1"/>
  <c r="W190" i="2" s="1"/>
  <c r="O191" i="2" a="1"/>
  <c r="P190" i="2" a="1"/>
  <c r="P191" i="2" a="1"/>
  <c r="P188" i="2" a="1"/>
  <c r="O189" i="2" a="1"/>
  <c r="O188" i="2" a="1"/>
  <c r="O192" i="2" a="1"/>
  <c r="O193" i="2" a="1"/>
  <c r="P192" i="2" a="1"/>
  <c r="P189" i="2" a="1"/>
  <c r="P193" i="2" a="1"/>
  <c r="W192" i="2" l="1"/>
  <c r="Q193" i="2"/>
  <c r="W191" i="2"/>
  <c r="Q188" i="2"/>
  <c r="Q189" i="2"/>
  <c r="Q190" i="2"/>
  <c r="AA190" i="2" s="1"/>
  <c r="AB190" i="2" s="1"/>
  <c r="Q191" i="2"/>
  <c r="W189" i="2"/>
  <c r="W188" i="2"/>
  <c r="W193" i="2"/>
  <c r="Q192" i="2"/>
  <c r="AA188" i="2" l="1"/>
  <c r="AB188" i="2" s="1"/>
  <c r="AA192" i="2"/>
  <c r="AB192" i="2" s="1"/>
  <c r="AA193" i="2"/>
  <c r="AB193" i="2" s="1"/>
  <c r="AA191" i="2"/>
  <c r="AB191" i="2" s="1"/>
  <c r="AA189" i="2"/>
  <c r="AB189" i="2" s="1"/>
  <c r="O194" i="2" a="1"/>
  <c r="P194" i="2" a="1"/>
  <c r="O195" i="2" a="1"/>
  <c r="P195" i="2" a="1"/>
  <c r="W195" i="2" l="1"/>
  <c r="Q194" i="2"/>
  <c r="Q195" i="2"/>
  <c r="W194" i="2"/>
  <c r="AA195" i="2" l="1"/>
  <c r="AB195" i="2" s="1"/>
  <c r="AA194" i="2"/>
  <c r="AB194" i="2" s="1"/>
  <c r="P199" i="2" a="1"/>
  <c r="O197" i="2" a="1"/>
  <c r="P196" i="2" a="1"/>
  <c r="O198" i="2" a="1"/>
  <c r="O196" i="2" a="1"/>
  <c r="P197" i="2" a="1"/>
  <c r="O199" i="2" a="1"/>
  <c r="W199" i="2" s="1"/>
  <c r="P198" i="2" a="1"/>
  <c r="P201" i="2" a="1"/>
  <c r="P200" i="2" a="1"/>
  <c r="O201" i="2" a="1"/>
  <c r="O200" i="2" a="1"/>
  <c r="Q198" i="2" l="1"/>
  <c r="W197" i="2"/>
  <c r="Q196" i="2"/>
  <c r="Q199" i="2"/>
  <c r="AA199" i="2" s="1"/>
  <c r="AB199" i="2" s="1"/>
  <c r="W198" i="2"/>
  <c r="W196" i="2"/>
  <c r="Q197" i="2"/>
  <c r="Q201" i="2"/>
  <c r="W200" i="2"/>
  <c r="W201" i="2"/>
  <c r="Q200" i="2"/>
  <c r="AA198" i="2" l="1"/>
  <c r="AB198" i="2" s="1"/>
  <c r="AA196" i="2"/>
  <c r="AB196" i="2" s="1"/>
  <c r="AA197" i="2"/>
  <c r="AB197" i="2" s="1"/>
  <c r="AA201" i="2"/>
  <c r="AB201" i="2" s="1"/>
  <c r="AA200" i="2"/>
  <c r="AB200" i="2" s="1"/>
  <c r="P202" i="2" a="1"/>
  <c r="P203" i="2" a="1"/>
  <c r="O203" i="2" a="1"/>
  <c r="O202" i="2" a="1"/>
  <c r="W203" i="2" l="1"/>
  <c r="Q202" i="2"/>
  <c r="Q203" i="2"/>
  <c r="W202" i="2"/>
  <c r="AA203" i="2" l="1"/>
  <c r="AB203" i="2" s="1"/>
  <c r="AA202" i="2"/>
  <c r="AB202" i="2" s="1"/>
  <c r="P204" i="2" l="1" a="1"/>
  <c r="P207" i="2" a="1"/>
  <c r="P205" i="2" a="1"/>
  <c r="O204" i="2" a="1"/>
  <c r="O205" i="2" a="1"/>
  <c r="O207" i="2" a="1"/>
  <c r="O206" i="2" a="1"/>
  <c r="P206" i="2" a="1"/>
  <c r="W204" i="2" l="1"/>
  <c r="Q206" i="2"/>
  <c r="W205" i="2"/>
  <c r="W207" i="2"/>
  <c r="Q204" i="2"/>
  <c r="Q207" i="2"/>
  <c r="Q205" i="2"/>
  <c r="W206" i="2"/>
  <c r="AA204" i="2" l="1"/>
  <c r="AB204" i="2" s="1"/>
  <c r="AA206" i="2"/>
  <c r="AB206" i="2" s="1"/>
  <c r="AA207" i="2"/>
  <c r="AB207" i="2" s="1"/>
  <c r="AA205" i="2"/>
  <c r="AB205" i="2" s="1"/>
  <c r="P211" i="2" a="1"/>
  <c r="O210" i="2" a="1"/>
  <c r="P210" i="2" a="1"/>
  <c r="O211" i="2" a="1"/>
  <c r="P209" i="2" l="1" a="1"/>
  <c r="O208" i="2" a="1"/>
  <c r="P208" i="2" a="1"/>
  <c r="O209" i="2" a="1"/>
  <c r="W210" i="2"/>
  <c r="W211" i="2"/>
  <c r="O213" i="2" a="1"/>
  <c r="P213" i="2" a="1"/>
  <c r="P212" i="2" a="1"/>
  <c r="O212" i="2" a="1"/>
  <c r="Q211" i="2"/>
  <c r="Q210" i="2"/>
  <c r="Q208" i="2" l="1"/>
  <c r="W209" i="2"/>
  <c r="Q209" i="2"/>
  <c r="W208" i="2"/>
  <c r="W212" i="2"/>
  <c r="AA210" i="2"/>
  <c r="AB210" i="2" s="1"/>
  <c r="W213" i="2"/>
  <c r="AA211" i="2"/>
  <c r="AB211" i="2" s="1"/>
  <c r="Q212" i="2"/>
  <c r="Q213" i="2"/>
  <c r="P214" i="2" a="1"/>
  <c r="P215" i="2" a="1"/>
  <c r="O215" i="2" a="1"/>
  <c r="O214" i="2" a="1"/>
  <c r="AA209" i="2" l="1"/>
  <c r="AB209" i="2" s="1"/>
  <c r="AA208" i="2"/>
  <c r="AB208" i="2" s="1"/>
  <c r="AA212" i="2"/>
  <c r="AB212" i="2" s="1"/>
  <c r="AA213" i="2"/>
  <c r="AB213" i="2" s="1"/>
  <c r="W215" i="2"/>
  <c r="Q214" i="2"/>
  <c r="W214" i="2"/>
  <c r="Q215" i="2"/>
  <c r="AA214" i="2" l="1"/>
  <c r="AB214" i="2" s="1"/>
  <c r="AA215" i="2"/>
  <c r="AB215" i="2" s="1"/>
  <c r="O217" i="2" l="1" a="1"/>
  <c r="P217" i="2" a="1"/>
  <c r="O216" i="2" a="1"/>
  <c r="P216" i="2" a="1"/>
  <c r="W217" i="2" l="1"/>
  <c r="W216" i="2"/>
  <c r="Q217" i="2"/>
  <c r="AA217" i="2" s="1"/>
  <c r="AB217" i="2" s="1"/>
  <c r="O220" i="2" a="1"/>
  <c r="O221" i="2" a="1"/>
  <c r="P220" i="2" a="1"/>
  <c r="Q220" i="2" s="1"/>
  <c r="P221" i="2" a="1"/>
  <c r="O219" i="2" a="1"/>
  <c r="P218" i="2" a="1"/>
  <c r="O224" i="2" a="1"/>
  <c r="O222" i="2" a="1"/>
  <c r="O225" i="2" a="1"/>
  <c r="O223" i="2" a="1"/>
  <c r="P222" i="2" a="1"/>
  <c r="P224" i="2" a="1"/>
  <c r="P223" i="2" a="1"/>
  <c r="P225" i="2" a="1"/>
  <c r="O218" i="2" a="1"/>
  <c r="P219" i="2" a="1"/>
  <c r="Q216" i="2"/>
  <c r="Q221" i="2" l="1"/>
  <c r="Q219" i="2"/>
  <c r="W224" i="2"/>
  <c r="Q222" i="2"/>
  <c r="AA216" i="2"/>
  <c r="AB216" i="2" s="1"/>
  <c r="Q218" i="2"/>
  <c r="Q225" i="2"/>
  <c r="W223" i="2"/>
  <c r="W220" i="2"/>
  <c r="AA220" i="2" s="1"/>
  <c r="AB220" i="2" s="1"/>
  <c r="W219" i="2"/>
  <c r="W225" i="2"/>
  <c r="Q224" i="2"/>
  <c r="Q223" i="2"/>
  <c r="W218" i="2"/>
  <c r="AA218" i="2" s="1"/>
  <c r="AB218" i="2" s="1"/>
  <c r="W221" i="2"/>
  <c r="W222" i="2"/>
  <c r="O226" i="2" a="1"/>
  <c r="P227" i="2" a="1"/>
  <c r="O227" i="2" a="1"/>
  <c r="P226" i="2" a="1"/>
  <c r="AA219" i="2" l="1"/>
  <c r="AB219" i="2" s="1"/>
  <c r="AA225" i="2"/>
  <c r="AB225" i="2" s="1"/>
  <c r="AA221" i="2"/>
  <c r="AB221" i="2" s="1"/>
  <c r="AA224" i="2"/>
  <c r="AB224" i="2" s="1"/>
  <c r="AA222" i="2"/>
  <c r="AB222" i="2" s="1"/>
  <c r="AA223" i="2"/>
  <c r="AB223" i="2" s="1"/>
  <c r="Q227" i="2"/>
  <c r="Q226" i="2"/>
  <c r="W226" i="2"/>
  <c r="W227" i="2"/>
  <c r="AA226" i="2" l="1"/>
  <c r="AB226" i="2" s="1"/>
  <c r="AA227" i="2"/>
  <c r="AB227" i="2" s="1"/>
  <c r="O229" i="2" l="1" a="1"/>
  <c r="O228" i="2" a="1"/>
  <c r="P228" i="2" a="1"/>
  <c r="P229" i="2" a="1"/>
  <c r="Q229" i="2" l="1"/>
  <c r="W228" i="2"/>
  <c r="Q228" i="2"/>
  <c r="W229" i="2"/>
  <c r="AA228" i="2" l="1"/>
  <c r="AB228" i="2" s="1"/>
  <c r="AA229" i="2"/>
  <c r="AB229" i="2" s="1"/>
  <c r="O231" i="2" a="1"/>
  <c r="O230" i="2" a="1"/>
  <c r="P231" i="2" a="1"/>
  <c r="P230" i="2" a="1"/>
  <c r="Q231" i="2" l="1"/>
  <c r="Q230" i="2"/>
  <c r="W231" i="2"/>
  <c r="W230" i="2"/>
  <c r="AA231" i="2" l="1"/>
  <c r="AB231" i="2" s="1"/>
  <c r="AA230" i="2"/>
  <c r="AB230" i="2" s="1"/>
  <c r="O235" i="2" l="1" a="1"/>
  <c r="P232" i="2" a="1"/>
  <c r="P234" i="2" a="1"/>
  <c r="O233" i="2" a="1"/>
  <c r="O232" i="2" a="1"/>
  <c r="P233" i="2" a="1"/>
  <c r="O234" i="2" a="1"/>
  <c r="P235" i="2" a="1"/>
  <c r="O237" i="2" a="1"/>
  <c r="P236" i="2" a="1"/>
  <c r="P237" i="2" a="1"/>
  <c r="O236" i="2" a="1"/>
  <c r="Q232" i="2" l="1"/>
  <c r="W234" i="2"/>
  <c r="W233" i="2"/>
  <c r="Q235" i="2"/>
  <c r="W237" i="2"/>
  <c r="Q236" i="2"/>
  <c r="W235" i="2"/>
  <c r="Q234" i="2"/>
  <c r="W232" i="2"/>
  <c r="Q233" i="2"/>
  <c r="Q237" i="2"/>
  <c r="W236" i="2"/>
  <c r="AA232" i="2" l="1"/>
  <c r="AB232" i="2" s="1"/>
  <c r="AA235" i="2"/>
  <c r="AB235" i="2" s="1"/>
  <c r="AA234" i="2"/>
  <c r="AB234" i="2" s="1"/>
  <c r="AA233" i="2"/>
  <c r="AB233" i="2" s="1"/>
  <c r="AA237" i="2"/>
  <c r="AB237" i="2" s="1"/>
  <c r="AA236" i="2"/>
  <c r="AB236" i="2" s="1"/>
  <c r="O241" i="2" l="1" a="1"/>
  <c r="P238" i="2" a="1"/>
  <c r="O239" i="2" a="1"/>
  <c r="P240" i="2" a="1"/>
  <c r="O240" i="2" a="1"/>
  <c r="P241" i="2" a="1"/>
  <c r="P239" i="2" a="1"/>
  <c r="O238" i="2" a="1"/>
  <c r="P242" i="2" a="1"/>
  <c r="P244" i="2" a="1"/>
  <c r="O244" i="2" a="1"/>
  <c r="P243" i="2" a="1"/>
  <c r="O243" i="2" a="1"/>
  <c r="P245" i="2" a="1"/>
  <c r="O242" i="2" a="1"/>
  <c r="O245" i="2" a="1"/>
  <c r="W240" i="2" l="1"/>
  <c r="W241" i="2"/>
  <c r="Q240" i="2"/>
  <c r="AA240" i="2" s="1"/>
  <c r="AB240" i="2" s="1"/>
  <c r="Q241" i="2"/>
  <c r="W239" i="2"/>
  <c r="Q239" i="2"/>
  <c r="Q238" i="2"/>
  <c r="W238" i="2"/>
  <c r="AA238" i="2" s="1"/>
  <c r="AB238" i="2" s="1"/>
  <c r="Q245" i="2"/>
  <c r="W242" i="2"/>
  <c r="W243" i="2"/>
  <c r="Q244" i="2"/>
  <c r="Q242" i="2"/>
  <c r="W244" i="2"/>
  <c r="Q243" i="2"/>
  <c r="W245" i="2"/>
  <c r="AA241" i="2" l="1"/>
  <c r="AB241" i="2" s="1"/>
  <c r="AA239" i="2"/>
  <c r="AB239" i="2" s="1"/>
  <c r="AA242" i="2"/>
  <c r="AB242" i="2" s="1"/>
  <c r="AA243" i="2"/>
  <c r="AB243" i="2" s="1"/>
  <c r="AA245" i="2"/>
  <c r="AB245" i="2" s="1"/>
  <c r="AA244" i="2"/>
  <c r="AB244" i="2" s="1"/>
  <c r="O246" i="2" l="1" a="1"/>
  <c r="P247" i="2" a="1"/>
  <c r="O247" i="2" a="1"/>
  <c r="P246" i="2" a="1"/>
  <c r="W247" i="2" l="1"/>
  <c r="Q247" i="2"/>
  <c r="Q246" i="2"/>
  <c r="W246" i="2"/>
  <c r="AA246" i="2" l="1"/>
  <c r="AB246" i="2" s="1"/>
  <c r="AA247" i="2"/>
  <c r="AB247" i="2" s="1"/>
  <c r="P248" i="2" l="1" a="1"/>
  <c r="O249" i="2" a="1"/>
  <c r="O248" i="2" a="1"/>
  <c r="P249" i="2" a="1"/>
  <c r="Q248" i="2" l="1"/>
  <c r="Q249" i="2"/>
  <c r="W248" i="2"/>
  <c r="W249" i="2"/>
  <c r="AA248" i="2" l="1"/>
  <c r="AB248" i="2" s="1"/>
  <c r="AA249" i="2"/>
  <c r="AB249" i="2" s="1"/>
  <c r="O250" i="2" a="1"/>
  <c r="P253" i="2" a="1"/>
  <c r="P251" i="2" a="1"/>
  <c r="O254" i="2" a="1"/>
  <c r="P250" i="2" a="1"/>
  <c r="O253" i="2" a="1"/>
  <c r="P252" i="2" a="1"/>
  <c r="O251" i="2" a="1"/>
  <c r="O252" i="2" a="1"/>
  <c r="P255" i="2" a="1"/>
  <c r="O255" i="2" a="1"/>
  <c r="P254" i="2" a="1"/>
  <c r="W255" i="2" l="1"/>
  <c r="Q252" i="2"/>
  <c r="Q250" i="2"/>
  <c r="W253" i="2"/>
  <c r="W251" i="2"/>
  <c r="Q254" i="2"/>
  <c r="Q253" i="2"/>
  <c r="AA253" i="2" s="1"/>
  <c r="AB253" i="2" s="1"/>
  <c r="Q251" i="2"/>
  <c r="W254" i="2"/>
  <c r="W252" i="2"/>
  <c r="Q255" i="2"/>
  <c r="AA255" i="2" s="1"/>
  <c r="AB255" i="2" s="1"/>
  <c r="W250" i="2"/>
  <c r="O259" i="2" a="1"/>
  <c r="P258" i="2" a="1"/>
  <c r="AA251" i="2" l="1"/>
  <c r="AB251" i="2" s="1"/>
  <c r="AA252" i="2"/>
  <c r="AB252" i="2" s="1"/>
  <c r="AA250" i="2"/>
  <c r="AB250" i="2" s="1"/>
  <c r="AA254" i="2"/>
  <c r="AB254" i="2" s="1"/>
  <c r="O256" i="2" a="1"/>
  <c r="P256" i="2" a="1"/>
  <c r="Q256" i="2" s="1"/>
  <c r="P257" i="2" a="1"/>
  <c r="O257" i="2" a="1"/>
  <c r="W257" i="2" l="1"/>
  <c r="O258" i="2" a="1"/>
  <c r="P259" i="2" a="1"/>
  <c r="W256" i="2"/>
  <c r="AA256" i="2" s="1"/>
  <c r="AB256" i="2" s="1"/>
  <c r="Q257" i="2"/>
  <c r="AA257" i="2" l="1"/>
  <c r="AB257" i="2" s="1"/>
  <c r="Q258" i="2"/>
  <c r="W258" i="2"/>
  <c r="W259" i="2"/>
  <c r="Q259" i="2"/>
  <c r="P260" i="2" a="1"/>
  <c r="O261" i="2" a="1"/>
  <c r="P261" i="2" a="1"/>
  <c r="P262" i="2" a="1"/>
  <c r="O262" i="2" a="1"/>
  <c r="W262" i="2" s="1"/>
  <c r="P263" i="2" a="1"/>
  <c r="O263" i="2" a="1"/>
  <c r="O260" i="2" a="1"/>
  <c r="P267" i="2" a="1"/>
  <c r="O264" i="2" a="1"/>
  <c r="P266" i="2" a="1"/>
  <c r="P264" i="2" a="1"/>
  <c r="O265" i="2" a="1"/>
  <c r="O267" i="2" a="1"/>
  <c r="O266" i="2" a="1"/>
  <c r="P265" i="2" a="1"/>
  <c r="AA259" i="2" l="1"/>
  <c r="AB259" i="2" s="1"/>
  <c r="Q261" i="2"/>
  <c r="Q266" i="2"/>
  <c r="AA258" i="2"/>
  <c r="AB258" i="2" s="1"/>
  <c r="Q264" i="2"/>
  <c r="W265" i="2"/>
  <c r="Q263" i="2"/>
  <c r="W260" i="2"/>
  <c r="W267" i="2"/>
  <c r="W266" i="2"/>
  <c r="Q260" i="2"/>
  <c r="W261" i="2"/>
  <c r="Q262" i="2"/>
  <c r="AA262" i="2" s="1"/>
  <c r="AB262" i="2" s="1"/>
  <c r="W263" i="2"/>
  <c r="Q267" i="2"/>
  <c r="W264" i="2"/>
  <c r="Q265" i="2"/>
  <c r="AA266" i="2" l="1"/>
  <c r="AB266" i="2" s="1"/>
  <c r="AA261" i="2"/>
  <c r="AB261" i="2" s="1"/>
  <c r="AA264" i="2"/>
  <c r="AB264" i="2" s="1"/>
  <c r="AA265" i="2"/>
  <c r="AB265" i="2" s="1"/>
  <c r="AA260" i="2"/>
  <c r="AB260" i="2" s="1"/>
  <c r="AA263" i="2"/>
  <c r="AB263" i="2" s="1"/>
  <c r="AA267" i="2"/>
  <c r="AB267" i="2" s="1"/>
  <c r="O270" i="2" l="1" a="1"/>
  <c r="P270" i="2" a="1"/>
  <c r="P268" i="2" a="1"/>
  <c r="Q268" i="2" s="1"/>
  <c r="P269" i="2" a="1"/>
  <c r="O268" i="2" a="1"/>
  <c r="O269" i="2" a="1"/>
  <c r="O271" i="2" a="1"/>
  <c r="P271" i="2" a="1"/>
  <c r="W269" i="2" l="1"/>
  <c r="Q270" i="2"/>
  <c r="W270" i="2"/>
  <c r="AA270" i="2" s="1"/>
  <c r="AB270" i="2" s="1"/>
  <c r="Q271" i="2"/>
  <c r="Q269" i="2"/>
  <c r="AA269" i="2" s="1"/>
  <c r="AB269" i="2" s="1"/>
  <c r="W268" i="2"/>
  <c r="AA268" i="2" s="1"/>
  <c r="AB268" i="2" s="1"/>
  <c r="W271" i="2"/>
  <c r="O281" i="2" a="1"/>
  <c r="P280" i="2" a="1"/>
  <c r="P281" i="2" a="1"/>
  <c r="O280" i="2" a="1"/>
  <c r="AA271" i="2" l="1"/>
  <c r="AB271" i="2" s="1"/>
  <c r="P272" i="2" a="1"/>
  <c r="O272" i="2" a="1"/>
  <c r="P273" i="2" a="1"/>
  <c r="O273" i="2" a="1"/>
  <c r="W273" i="2" s="1"/>
  <c r="O274" i="2" a="1"/>
  <c r="P274" i="2" a="1"/>
  <c r="Q274" i="2" s="1"/>
  <c r="P275" i="2" a="1"/>
  <c r="O275" i="2" a="1"/>
  <c r="O278" i="2" a="1"/>
  <c r="O276" i="2" a="1"/>
  <c r="P277" i="2" a="1"/>
  <c r="P278" i="2" a="1"/>
  <c r="O277" i="2" a="1"/>
  <c r="P276" i="2" a="1"/>
  <c r="O279" i="2" a="1"/>
  <c r="P279" i="2" a="1"/>
  <c r="Q280" i="2"/>
  <c r="Q281" i="2"/>
  <c r="W280" i="2"/>
  <c r="W281" i="2"/>
  <c r="W272" i="2" l="1"/>
  <c r="Q275" i="2"/>
  <c r="Q272" i="2"/>
  <c r="AA272" i="2" s="1"/>
  <c r="AB272" i="2" s="1"/>
  <c r="W274" i="2"/>
  <c r="AA274" i="2" s="1"/>
  <c r="AB274" i="2" s="1"/>
  <c r="W275" i="2"/>
  <c r="Q278" i="2"/>
  <c r="Q273" i="2"/>
  <c r="AA273" i="2" s="1"/>
  <c r="AB273" i="2" s="1"/>
  <c r="Q279" i="2"/>
  <c r="Q276" i="2"/>
  <c r="W278" i="2"/>
  <c r="Q277" i="2"/>
  <c r="W276" i="2"/>
  <c r="W279" i="2"/>
  <c r="W277" i="2"/>
  <c r="AA280" i="2"/>
  <c r="AB280" i="2" s="1"/>
  <c r="AA281" i="2"/>
  <c r="AB281" i="2" s="1"/>
  <c r="AA278" i="2" l="1"/>
  <c r="AB278" i="2" s="1"/>
  <c r="AA275" i="2"/>
  <c r="AB275" i="2" s="1"/>
  <c r="AA279" i="2"/>
  <c r="AB279" i="2" s="1"/>
  <c r="AA276" i="2"/>
  <c r="AB276" i="2" s="1"/>
  <c r="AA277" i="2"/>
  <c r="AB277" i="2" s="1"/>
  <c r="P283" i="2" a="1"/>
  <c r="O282" i="2" a="1"/>
  <c r="O283" i="2" a="1"/>
  <c r="P282" i="2" a="1"/>
  <c r="W282" i="2" l="1"/>
  <c r="Q283" i="2"/>
  <c r="W283" i="2"/>
  <c r="Q282" i="2"/>
  <c r="AA283" i="2" l="1"/>
  <c r="AB283" i="2" s="1"/>
  <c r="AA282" i="2"/>
  <c r="AB282" i="2" s="1"/>
  <c r="P284" i="2" l="1" a="1"/>
  <c r="O287" i="2" a="1"/>
  <c r="O286" i="2" a="1"/>
  <c r="O284" i="2" a="1"/>
  <c r="P287" i="2" a="1"/>
  <c r="P286" i="2" a="1"/>
  <c r="P285" i="2" a="1"/>
  <c r="O285" i="2" a="1"/>
  <c r="W287" i="2" l="1"/>
  <c r="W284" i="2"/>
  <c r="Q286" i="2"/>
  <c r="Q285" i="2"/>
  <c r="Q284" i="2"/>
  <c r="W286" i="2"/>
  <c r="AA286" i="2" s="1"/>
  <c r="AB286" i="2" s="1"/>
  <c r="Q287" i="2"/>
  <c r="W285" i="2"/>
  <c r="AA285" i="2" s="1"/>
  <c r="AB285" i="2" s="1"/>
  <c r="AA287" i="2" l="1"/>
  <c r="AB287" i="2" s="1"/>
  <c r="AA284" i="2"/>
  <c r="AB284" i="2" s="1"/>
  <c r="P291" i="2" a="1"/>
  <c r="P290" i="2" a="1"/>
  <c r="O290" i="2" a="1"/>
  <c r="O291" i="2" a="1"/>
  <c r="P288" i="2" a="1"/>
  <c r="O289" i="2" a="1"/>
  <c r="P289" i="2" a="1"/>
  <c r="O292" i="2" a="1"/>
  <c r="O293" i="2" a="1"/>
  <c r="O288" i="2" a="1"/>
  <c r="P292" i="2" a="1"/>
  <c r="P293" i="2" a="1"/>
  <c r="P295" i="2" a="1"/>
  <c r="O294" i="2" a="1"/>
  <c r="O295" i="2" a="1"/>
  <c r="P294" i="2" a="1"/>
  <c r="W291" i="2" l="1"/>
  <c r="Q289" i="2"/>
  <c r="W293" i="2"/>
  <c r="Q292" i="2"/>
  <c r="W290" i="2"/>
  <c r="Q288" i="2"/>
  <c r="Q291" i="2"/>
  <c r="AA291" i="2" s="1"/>
  <c r="AB291" i="2" s="1"/>
  <c r="Q290" i="2"/>
  <c r="W289" i="2"/>
  <c r="W292" i="2"/>
  <c r="W288" i="2"/>
  <c r="Q293" i="2"/>
  <c r="AA293" i="2" s="1"/>
  <c r="AB293" i="2" s="1"/>
  <c r="W295" i="2"/>
  <c r="Q295" i="2"/>
  <c r="Q294" i="2"/>
  <c r="W294" i="2"/>
  <c r="AA290" i="2" l="1"/>
  <c r="AB290" i="2" s="1"/>
  <c r="AA289" i="2"/>
  <c r="AB289" i="2" s="1"/>
  <c r="AA292" i="2"/>
  <c r="AB292" i="2" s="1"/>
  <c r="AA288" i="2"/>
  <c r="AB288" i="2" s="1"/>
  <c r="AA295" i="2"/>
  <c r="AB295" i="2" s="1"/>
  <c r="AA294" i="2"/>
  <c r="AB294" i="2" s="1"/>
  <c r="P297" i="2" l="1" a="1"/>
  <c r="O296" i="2" a="1"/>
  <c r="O297" i="2" a="1"/>
  <c r="P296" i="2" a="1"/>
  <c r="O299" i="2" a="1"/>
  <c r="P298" i="2" a="1"/>
  <c r="P299" i="2" a="1"/>
  <c r="O298" i="2" a="1"/>
  <c r="W297" i="2" l="1"/>
  <c r="W299" i="2"/>
  <c r="Q296" i="2"/>
  <c r="W298" i="2"/>
  <c r="W296" i="2"/>
  <c r="AA296" i="2" s="1"/>
  <c r="AB296" i="2" s="1"/>
  <c r="Q298" i="2"/>
  <c r="Q299" i="2"/>
  <c r="Q297" i="2"/>
  <c r="AA299" i="2" l="1"/>
  <c r="AB299" i="2" s="1"/>
  <c r="AA297" i="2"/>
  <c r="AB297" i="2" s="1"/>
  <c r="AA298" i="2"/>
  <c r="AB298" i="2" s="1"/>
  <c r="P303" i="2" a="1"/>
  <c r="O302" i="2" a="1"/>
  <c r="O301" i="2" a="1"/>
  <c r="P300" i="2" a="1"/>
  <c r="P301" i="2" a="1"/>
  <c r="O300" i="2" a="1"/>
  <c r="P302" i="2" a="1"/>
  <c r="O303" i="2" a="1"/>
  <c r="O305" i="2" a="1"/>
  <c r="O304" i="2" a="1"/>
  <c r="P304" i="2" a="1"/>
  <c r="P305" i="2" a="1"/>
  <c r="W302" i="2" l="1"/>
  <c r="Q301" i="2"/>
  <c r="W300" i="2"/>
  <c r="W303" i="2"/>
  <c r="Q303" i="2"/>
  <c r="AA303" i="2" s="1"/>
  <c r="AB303" i="2" s="1"/>
  <c r="W301" i="2"/>
  <c r="AA301" i="2" s="1"/>
  <c r="AB301" i="2" s="1"/>
  <c r="Q300" i="2"/>
  <c r="Q302" i="2"/>
  <c r="AA302" i="2" s="1"/>
  <c r="AB302" i="2" s="1"/>
  <c r="Q304" i="2"/>
  <c r="W305" i="2"/>
  <c r="W304" i="2"/>
  <c r="Q305" i="2"/>
  <c r="AA300" i="2" l="1"/>
  <c r="AB300" i="2" s="1"/>
  <c r="AA304" i="2"/>
  <c r="AB304" i="2" s="1"/>
  <c r="AA305" i="2"/>
  <c r="AB305" i="2" s="1"/>
  <c r="O307" i="2" a="1"/>
  <c r="P306" i="2" a="1"/>
  <c r="P307" i="2" a="1"/>
  <c r="O306" i="2" a="1"/>
  <c r="W307" i="2" l="1"/>
  <c r="W306" i="2"/>
  <c r="Q306" i="2"/>
  <c r="AA306" i="2" s="1"/>
  <c r="AB306" i="2" s="1"/>
  <c r="Q307" i="2"/>
  <c r="AA307" i="2" l="1"/>
  <c r="AB307" i="2" s="1"/>
  <c r="P311" i="2" a="1"/>
  <c r="O310" i="2" a="1"/>
  <c r="O311" i="2" a="1"/>
  <c r="O309" i="2" a="1"/>
  <c r="O308" i="2" a="1"/>
  <c r="P308" i="2" a="1"/>
  <c r="P310" i="2" a="1"/>
  <c r="P309" i="2" a="1"/>
  <c r="P313" i="2" a="1"/>
  <c r="O312" i="2" a="1"/>
  <c r="O313" i="2" a="1"/>
  <c r="P312" i="2" a="1"/>
  <c r="W310" i="2" l="1"/>
  <c r="Q309" i="2"/>
  <c r="W311" i="2"/>
  <c r="Q308" i="2"/>
  <c r="W313" i="2"/>
  <c r="Q312" i="2"/>
  <c r="Q311" i="2"/>
  <c r="W309" i="2"/>
  <c r="W312" i="2"/>
  <c r="W308" i="2"/>
  <c r="Q310" i="2"/>
  <c r="Q313" i="2"/>
  <c r="O314" i="2" a="1"/>
  <c r="O315" i="2" a="1"/>
  <c r="P314" i="2" a="1"/>
  <c r="P315" i="2" a="1"/>
  <c r="AA311" i="2" l="1"/>
  <c r="AB311" i="2" s="1"/>
  <c r="AA309" i="2"/>
  <c r="AB309" i="2" s="1"/>
  <c r="AA308" i="2"/>
  <c r="AB308" i="2" s="1"/>
  <c r="AA310" i="2"/>
  <c r="AB310" i="2" s="1"/>
  <c r="W314" i="2"/>
  <c r="AA313" i="2"/>
  <c r="AB313" i="2" s="1"/>
  <c r="Q315" i="2"/>
  <c r="AA312" i="2"/>
  <c r="AB312" i="2" s="1"/>
  <c r="W315" i="2"/>
  <c r="Q314" i="2"/>
  <c r="AA314" i="2" l="1"/>
  <c r="AB314" i="2" s="1"/>
  <c r="AA315" i="2"/>
  <c r="AB315" i="2" s="1"/>
  <c r="P317" i="2" a="1"/>
  <c r="O317" i="2" a="1"/>
  <c r="P316" i="2" a="1"/>
  <c r="O316" i="2" a="1"/>
  <c r="W316" i="2" l="1"/>
  <c r="W317" i="2"/>
  <c r="Q316" i="2"/>
  <c r="Q317" i="2"/>
  <c r="AA316" i="2" l="1"/>
  <c r="AB316" i="2" s="1"/>
  <c r="AA317" i="2"/>
  <c r="AB317" i="2" s="1"/>
  <c r="O319" i="2" l="1" a="1"/>
  <c r="W319" i="2" s="1"/>
  <c r="P319" i="2" a="1"/>
  <c r="O318" i="2" a="1"/>
  <c r="P320" i="2" a="1"/>
  <c r="O320" i="2" a="1"/>
  <c r="P321" i="2" a="1"/>
  <c r="O321" i="2" a="1"/>
  <c r="P318" i="2" a="1"/>
  <c r="W318" i="2" l="1"/>
  <c r="Q320" i="2"/>
  <c r="W321" i="2"/>
  <c r="Q319" i="2"/>
  <c r="AA319" i="2" s="1"/>
  <c r="AB319" i="2" s="1"/>
  <c r="W320" i="2"/>
  <c r="Q321" i="2"/>
  <c r="AA321" i="2" s="1"/>
  <c r="AB321" i="2" s="1"/>
  <c r="Q318" i="2"/>
  <c r="AA318" i="2" l="1"/>
  <c r="AB318" i="2" s="1"/>
  <c r="AA320" i="2"/>
  <c r="AB320" i="2" s="1"/>
  <c r="P325" i="2" a="1"/>
  <c r="O325" i="2" a="1"/>
  <c r="P324" i="2" a="1"/>
  <c r="O324" i="2" a="1"/>
  <c r="O323" i="2" a="1"/>
  <c r="P323" i="2" a="1"/>
  <c r="O322" i="2" a="1"/>
  <c r="W322" i="2" s="1"/>
  <c r="P322" i="2" a="1"/>
  <c r="Q325" i="2" l="1"/>
  <c r="Q324" i="2"/>
  <c r="W323" i="2"/>
  <c r="W324" i="2"/>
  <c r="AA324" i="2" s="1"/>
  <c r="AB324" i="2" s="1"/>
  <c r="Q323" i="2"/>
  <c r="Q322" i="2"/>
  <c r="AA322" i="2" s="1"/>
  <c r="AB322" i="2" s="1"/>
  <c r="W325" i="2"/>
  <c r="AA325" i="2" l="1"/>
  <c r="AB325" i="2" s="1"/>
  <c r="AA323" i="2"/>
  <c r="AB323" i="2" s="1"/>
  <c r="P329" i="2" a="1"/>
  <c r="O328" i="2" a="1"/>
  <c r="O329" i="2" a="1"/>
  <c r="P328" i="2" a="1"/>
  <c r="P327" i="2" a="1"/>
  <c r="P326" i="2" a="1"/>
  <c r="O327" i="2" a="1"/>
  <c r="O326" i="2" a="1"/>
  <c r="P331" i="2" a="1"/>
  <c r="O331" i="2" a="1"/>
  <c r="P330" i="2" a="1"/>
  <c r="O330" i="2" a="1"/>
  <c r="W329" i="2" l="1"/>
  <c r="W327" i="2"/>
  <c r="W331" i="2"/>
  <c r="Q328" i="2"/>
  <c r="W326" i="2"/>
  <c r="Q330" i="2"/>
  <c r="Q329" i="2"/>
  <c r="AA329" i="2" s="1"/>
  <c r="AB329" i="2" s="1"/>
  <c r="W328" i="2"/>
  <c r="Q327" i="2"/>
  <c r="Q326" i="2"/>
  <c r="Q331" i="2"/>
  <c r="W330" i="2"/>
  <c r="P335" i="2" a="1"/>
  <c r="O334" i="2" a="1"/>
  <c r="O335" i="2" a="1"/>
  <c r="P334" i="2" a="1"/>
  <c r="O337" i="2" a="1"/>
  <c r="O336" i="2" a="1"/>
  <c r="P336" i="2" a="1"/>
  <c r="P337" i="2" a="1"/>
  <c r="AA327" i="2" l="1"/>
  <c r="AB327" i="2" s="1"/>
  <c r="W335" i="2"/>
  <c r="W334" i="2"/>
  <c r="W337" i="2"/>
  <c r="AA328" i="2"/>
  <c r="AB328" i="2" s="1"/>
  <c r="AA326" i="2"/>
  <c r="AB326" i="2" s="1"/>
  <c r="AA331" i="2"/>
  <c r="AB331" i="2" s="1"/>
  <c r="Q336" i="2"/>
  <c r="W336" i="2"/>
  <c r="AA336" i="2" s="1"/>
  <c r="AB336" i="2" s="1"/>
  <c r="AA330" i="2"/>
  <c r="AB330" i="2" s="1"/>
  <c r="Q335" i="2"/>
  <c r="Q334" i="2"/>
  <c r="Q337" i="2"/>
  <c r="O339" i="2" a="1"/>
  <c r="P339" i="2" a="1"/>
  <c r="O338" i="2" a="1"/>
  <c r="P338" i="2" a="1"/>
  <c r="AA335" i="2" l="1"/>
  <c r="AB335" i="2" s="1"/>
  <c r="AA334" i="2"/>
  <c r="AB334" i="2" s="1"/>
  <c r="O333" i="2" a="1"/>
  <c r="P332" i="2" a="1"/>
  <c r="O332" i="2" a="1"/>
  <c r="P333" i="2" a="1"/>
  <c r="AA337" i="2"/>
  <c r="AB337" i="2" s="1"/>
  <c r="Q338" i="2"/>
  <c r="W339" i="2"/>
  <c r="Q339" i="2"/>
  <c r="W338" i="2"/>
  <c r="W333" i="2" l="1"/>
  <c r="W332" i="2"/>
  <c r="Q332" i="2"/>
  <c r="Q333" i="2"/>
  <c r="AA333" i="2" s="1"/>
  <c r="AB333" i="2" s="1"/>
  <c r="AA338" i="2"/>
  <c r="AB338" i="2" s="1"/>
  <c r="AA339" i="2"/>
  <c r="AB339" i="2" s="1"/>
  <c r="O347" i="2" a="1"/>
  <c r="O346" i="2" a="1"/>
  <c r="P346" i="2" a="1"/>
  <c r="P347" i="2" a="1"/>
  <c r="AA332" i="2" l="1"/>
  <c r="AB332" i="2" s="1"/>
  <c r="O342" i="2" a="1"/>
  <c r="O344" i="2" a="1"/>
  <c r="P341" i="2" a="1"/>
  <c r="O341" i="2" a="1"/>
  <c r="P344" i="2" a="1"/>
  <c r="P342" i="2" a="1"/>
  <c r="P340" i="2" a="1"/>
  <c r="Q340" i="2" s="1"/>
  <c r="O340" i="2" a="1"/>
  <c r="P343" i="2" a="1"/>
  <c r="O343" i="2" a="1"/>
  <c r="O345" i="2" a="1"/>
  <c r="P345" i="2" a="1"/>
  <c r="Q347" i="2"/>
  <c r="Q346" i="2"/>
  <c r="W347" i="2"/>
  <c r="W346" i="2"/>
  <c r="W341" i="2" l="1"/>
  <c r="Q344" i="2"/>
  <c r="Q343" i="2"/>
  <c r="Q345" i="2"/>
  <c r="W342" i="2"/>
  <c r="W344" i="2"/>
  <c r="Q341" i="2"/>
  <c r="AA341" i="2" s="1"/>
  <c r="AB341" i="2" s="1"/>
  <c r="Q342" i="2"/>
  <c r="W340" i="2"/>
  <c r="AA340" i="2" s="1"/>
  <c r="AB340" i="2" s="1"/>
  <c r="W343" i="2"/>
  <c r="W345" i="2"/>
  <c r="AA347" i="2"/>
  <c r="AB347" i="2" s="1"/>
  <c r="AA346" i="2"/>
  <c r="AB346" i="2" s="1"/>
  <c r="AA344" i="2" l="1"/>
  <c r="AB344" i="2" s="1"/>
  <c r="AA342" i="2"/>
  <c r="AB342" i="2" s="1"/>
  <c r="AA343" i="2"/>
  <c r="AB343" i="2" s="1"/>
  <c r="AA345" i="2"/>
  <c r="AB345" i="2" s="1"/>
  <c r="O348" i="2" a="1"/>
  <c r="O349" i="2" a="1"/>
  <c r="P348" i="2" a="1"/>
  <c r="P349" i="2" a="1"/>
  <c r="W348" i="2" l="1"/>
  <c r="Q349" i="2"/>
  <c r="W349" i="2"/>
  <c r="Q348" i="2"/>
  <c r="AA349" i="2" l="1"/>
  <c r="AB349" i="2" s="1"/>
  <c r="AA348" i="2"/>
  <c r="AB348" i="2" s="1"/>
  <c r="O350" i="2" l="1" a="1"/>
  <c r="O351" i="2" a="1"/>
  <c r="P351" i="2" a="1"/>
  <c r="O352" i="2" a="1"/>
  <c r="P350" i="2" a="1"/>
  <c r="O353" i="2" a="1"/>
  <c r="P353" i="2" a="1"/>
  <c r="P352" i="2" a="1"/>
  <c r="W353" i="2" l="1"/>
  <c r="W351" i="2"/>
  <c r="W350" i="2"/>
  <c r="W352" i="2"/>
  <c r="Q352" i="2"/>
  <c r="Q351" i="2"/>
  <c r="Q350" i="2"/>
  <c r="Q353" i="2"/>
  <c r="AA353" i="2" l="1"/>
  <c r="AB353" i="2" s="1"/>
  <c r="AA352" i="2"/>
  <c r="AB352" i="2" s="1"/>
  <c r="AA351" i="2"/>
  <c r="AB351" i="2" s="1"/>
  <c r="AA350" i="2"/>
  <c r="AB350" i="2" s="1"/>
  <c r="O355" i="2" a="1"/>
  <c r="O354" i="2" a="1"/>
  <c r="P355" i="2" a="1"/>
  <c r="P354" i="2" a="1"/>
  <c r="W355" i="2" l="1"/>
  <c r="W354" i="2"/>
  <c r="Q355" i="2"/>
  <c r="Q354" i="2"/>
  <c r="AA354" i="2" l="1"/>
  <c r="AB354" i="2" s="1"/>
  <c r="AA355" i="2"/>
  <c r="AB355" i="2" s="1"/>
  <c r="P358" i="2" l="1" a="1"/>
  <c r="O358" i="2" a="1"/>
  <c r="O357" i="2" a="1"/>
  <c r="P361" i="2" a="1"/>
  <c r="O359" i="2" a="1"/>
  <c r="O356" i="2" a="1"/>
  <c r="P359" i="2" a="1"/>
  <c r="P356" i="2" a="1"/>
  <c r="P357" i="2" a="1"/>
  <c r="P360" i="2" a="1"/>
  <c r="O360" i="2" a="1"/>
  <c r="O361" i="2" a="1"/>
  <c r="Q359" i="2" l="1"/>
  <c r="W358" i="2"/>
  <c r="W357" i="2"/>
  <c r="Q361" i="2"/>
  <c r="Q356" i="2"/>
  <c r="W360" i="2"/>
  <c r="Q358" i="2"/>
  <c r="W359" i="2"/>
  <c r="W356" i="2"/>
  <c r="Q357" i="2"/>
  <c r="Q360" i="2"/>
  <c r="W361" i="2"/>
  <c r="AA359" i="2" l="1"/>
  <c r="AB359" i="2" s="1"/>
  <c r="AA358" i="2"/>
  <c r="AB358" i="2" s="1"/>
  <c r="AA357" i="2"/>
  <c r="AB357" i="2" s="1"/>
  <c r="AA361" i="2"/>
  <c r="AB361" i="2" s="1"/>
  <c r="AA360" i="2"/>
  <c r="AB360" i="2" s="1"/>
  <c r="AA356" i="2"/>
  <c r="AB356" i="2" s="1"/>
  <c r="P363" i="2" a="1"/>
  <c r="P362" i="2" a="1"/>
  <c r="O364" i="2" a="1"/>
  <c r="O363" i="2" a="1"/>
  <c r="P365" i="2" a="1"/>
  <c r="O365" i="2" a="1"/>
  <c r="O362" i="2" a="1"/>
  <c r="P364" i="2" a="1"/>
  <c r="W365" i="2" l="1"/>
  <c r="W362" i="2"/>
  <c r="W363" i="2"/>
  <c r="Q364" i="2"/>
  <c r="Q362" i="2"/>
  <c r="Q363" i="2"/>
  <c r="Q365" i="2"/>
  <c r="W364" i="2"/>
  <c r="O368" i="2" a="1"/>
  <c r="P369" i="2" a="1"/>
  <c r="O369" i="2" a="1"/>
  <c r="P368" i="2" a="1"/>
  <c r="P366" i="2" a="1"/>
  <c r="O367" i="2" a="1"/>
  <c r="P367" i="2" a="1"/>
  <c r="O366" i="2" a="1"/>
  <c r="W366" i="2" s="1"/>
  <c r="AA365" i="2" l="1"/>
  <c r="AB365" i="2" s="1"/>
  <c r="W369" i="2"/>
  <c r="AA362" i="2"/>
  <c r="AB362" i="2" s="1"/>
  <c r="W368" i="2"/>
  <c r="AA363" i="2"/>
  <c r="AB363" i="2" s="1"/>
  <c r="Q369" i="2"/>
  <c r="AA364" i="2"/>
  <c r="AB364" i="2" s="1"/>
  <c r="Q367" i="2"/>
  <c r="Q366" i="2"/>
  <c r="AA366" i="2" s="1"/>
  <c r="AB366" i="2" s="1"/>
  <c r="Q368" i="2"/>
  <c r="W367" i="2"/>
  <c r="P370" i="2" a="1"/>
  <c r="O371" i="2" a="1"/>
  <c r="O370" i="2" a="1"/>
  <c r="P371" i="2" a="1"/>
  <c r="AA369" i="2" l="1"/>
  <c r="AB369" i="2" s="1"/>
  <c r="AA368" i="2"/>
  <c r="AB368" i="2" s="1"/>
  <c r="AA367" i="2"/>
  <c r="AB367" i="2" s="1"/>
  <c r="W370" i="2"/>
  <c r="Q370" i="2"/>
  <c r="W371" i="2"/>
  <c r="Q371" i="2"/>
  <c r="AA370" i="2" l="1"/>
  <c r="AB370" i="2" s="1"/>
  <c r="AA371" i="2"/>
  <c r="AB371" i="2" s="1"/>
  <c r="P373" i="2" a="1"/>
  <c r="O373" i="2" a="1"/>
  <c r="O372" i="2" a="1"/>
  <c r="P372" i="2" a="1"/>
  <c r="Q373" i="2" l="1"/>
  <c r="W372" i="2"/>
  <c r="W373" i="2"/>
  <c r="Q372" i="2"/>
  <c r="AA373" i="2" l="1"/>
  <c r="AB373" i="2" s="1"/>
  <c r="P375" i="2" a="1"/>
  <c r="P374" i="2" a="1"/>
  <c r="O374" i="2" a="1"/>
  <c r="O375" i="2" a="1"/>
  <c r="W375" i="2" s="1"/>
  <c r="P376" i="2" a="1"/>
  <c r="P377" i="2" a="1"/>
  <c r="O376" i="2" a="1"/>
  <c r="O377" i="2" a="1"/>
  <c r="AA372" i="2"/>
  <c r="AB372" i="2" s="1"/>
  <c r="O381" i="2" a="1"/>
  <c r="O380" i="2" a="1"/>
  <c r="O379" i="2" a="1"/>
  <c r="P379" i="2" a="1"/>
  <c r="O378" i="2" a="1"/>
  <c r="P378" i="2" a="1"/>
  <c r="P380" i="2" a="1"/>
  <c r="P381" i="2" a="1"/>
  <c r="Q376" i="2" l="1"/>
  <c r="Q377" i="2"/>
  <c r="W374" i="2"/>
  <c r="Q375" i="2"/>
  <c r="AA375" i="2" s="1"/>
  <c r="AB375" i="2" s="1"/>
  <c r="Q374" i="2"/>
  <c r="AA374" i="2" s="1"/>
  <c r="AB374" i="2" s="1"/>
  <c r="W376" i="2"/>
  <c r="W377" i="2"/>
  <c r="W380" i="2"/>
  <c r="Q379" i="2"/>
  <c r="W378" i="2"/>
  <c r="Q380" i="2"/>
  <c r="Q381" i="2"/>
  <c r="W381" i="2"/>
  <c r="W379" i="2"/>
  <c r="Q378" i="2"/>
  <c r="AA376" i="2" l="1"/>
  <c r="AB376" i="2" s="1"/>
  <c r="AA377" i="2"/>
  <c r="AB377" i="2" s="1"/>
  <c r="AA380" i="2"/>
  <c r="AB380" i="2" s="1"/>
  <c r="AA379" i="2"/>
  <c r="AB379" i="2" s="1"/>
  <c r="AA378" i="2"/>
  <c r="AB378" i="2" s="1"/>
  <c r="AA381" i="2"/>
  <c r="AB381" i="2" s="1"/>
  <c r="O390" i="2" a="1"/>
  <c r="P391" i="2" a="1"/>
  <c r="O391" i="2" a="1"/>
  <c r="O389" i="2" a="1"/>
  <c r="P388" i="2" a="1"/>
  <c r="P389" i="2" a="1"/>
  <c r="O388" i="2" a="1"/>
  <c r="O386" i="2" a="1"/>
  <c r="P387" i="2" a="1"/>
  <c r="O387" i="2" a="1"/>
  <c r="P386" i="2" a="1"/>
  <c r="P390" i="2" a="1"/>
  <c r="O382" i="2" l="1" a="1"/>
  <c r="P383" i="2" a="1"/>
  <c r="P384" i="2" a="1"/>
  <c r="P385" i="2" a="1"/>
  <c r="O383" i="2" a="1"/>
  <c r="O385" i="2" a="1"/>
  <c r="P382" i="2" a="1"/>
  <c r="O384" i="2" a="1"/>
  <c r="W384" i="2" s="1"/>
  <c r="W388" i="2"/>
  <c r="W389" i="2"/>
  <c r="Q387" i="2"/>
  <c r="Q386" i="2"/>
  <c r="W390" i="2"/>
  <c r="W391" i="2"/>
  <c r="Q388" i="2"/>
  <c r="Q389" i="2"/>
  <c r="W386" i="2"/>
  <c r="W387" i="2"/>
  <c r="Q390" i="2"/>
  <c r="Q391" i="2"/>
  <c r="Q383" i="2" l="1"/>
  <c r="W382" i="2"/>
  <c r="W385" i="2"/>
  <c r="W383" i="2"/>
  <c r="Q382" i="2"/>
  <c r="Q384" i="2"/>
  <c r="AA384" i="2" s="1"/>
  <c r="AB384" i="2" s="1"/>
  <c r="Q385" i="2"/>
  <c r="AA388" i="2"/>
  <c r="AB388" i="2" s="1"/>
  <c r="AA386" i="2"/>
  <c r="AB386" i="2" s="1"/>
  <c r="AA391" i="2"/>
  <c r="AB391" i="2" s="1"/>
  <c r="AA389" i="2"/>
  <c r="AB389" i="2" s="1"/>
  <c r="AA387" i="2"/>
  <c r="AB387" i="2" s="1"/>
  <c r="AA390" i="2"/>
  <c r="AB390" i="2" s="1"/>
  <c r="P395" i="2" a="1"/>
  <c r="O393" i="2" a="1"/>
  <c r="O395" i="2" a="1"/>
  <c r="O392" i="2" a="1"/>
  <c r="O394" i="2" a="1"/>
  <c r="P393" i="2" a="1"/>
  <c r="P392" i="2" a="1"/>
  <c r="P394" i="2" a="1"/>
  <c r="AA383" i="2" l="1"/>
  <c r="AB383" i="2" s="1"/>
  <c r="AA382" i="2"/>
  <c r="AB382" i="2" s="1"/>
  <c r="AA385" i="2"/>
  <c r="AB385" i="2" s="1"/>
  <c r="Q392" i="2"/>
  <c r="W393" i="2"/>
  <c r="Q395" i="2"/>
  <c r="W394" i="2"/>
  <c r="W395" i="2"/>
  <c r="W392" i="2"/>
  <c r="Q393" i="2"/>
  <c r="Q394" i="2"/>
  <c r="AA392" i="2" l="1"/>
  <c r="AB392" i="2" s="1"/>
  <c r="AA395" i="2"/>
  <c r="AB395" i="2" s="1"/>
  <c r="AA393" i="2"/>
  <c r="AB393" i="2" s="1"/>
  <c r="AA394" i="2"/>
  <c r="AB394" i="2" s="1"/>
  <c r="P396" i="2" a="1"/>
  <c r="O397" i="2" a="1"/>
  <c r="O396" i="2" a="1"/>
  <c r="O398" i="2" a="1"/>
  <c r="P397" i="2" a="1"/>
  <c r="P398" i="2" a="1"/>
  <c r="O399" i="2" a="1"/>
  <c r="P399" i="2" a="1"/>
  <c r="P401" i="2" a="1"/>
  <c r="O401" i="2" a="1"/>
  <c r="P400" i="2" a="1"/>
  <c r="O400" i="2" a="1"/>
  <c r="W400" i="2" s="1"/>
  <c r="W397" i="2" l="1"/>
  <c r="W399" i="2"/>
  <c r="Q398" i="2"/>
  <c r="Q396" i="2"/>
  <c r="W401" i="2"/>
  <c r="W396" i="2"/>
  <c r="W398" i="2"/>
  <c r="Q397" i="2"/>
  <c r="Q399" i="2"/>
  <c r="Q401" i="2"/>
  <c r="Q400" i="2"/>
  <c r="AA400" i="2" s="1"/>
  <c r="AB400" i="2" s="1"/>
  <c r="AA397" i="2" l="1"/>
  <c r="AB397" i="2" s="1"/>
  <c r="AA399" i="2"/>
  <c r="AB399" i="2" s="1"/>
  <c r="AA398" i="2"/>
  <c r="AB398" i="2" s="1"/>
  <c r="AA396" i="2"/>
  <c r="AB396" i="2" s="1"/>
  <c r="AA401" i="2"/>
  <c r="AB401" i="2" s="1"/>
  <c r="O403" i="2" l="1" a="1"/>
  <c r="P402" i="2" a="1"/>
  <c r="Q402" i="2" s="1"/>
  <c r="O402" i="2" a="1"/>
  <c r="P403" i="2" a="1"/>
  <c r="W403" i="2" l="1"/>
  <c r="W402" i="2"/>
  <c r="AA402" i="2" s="1"/>
  <c r="AB402" i="2" s="1"/>
  <c r="Q403" i="2"/>
  <c r="P404" i="2" a="1"/>
  <c r="O404" i="2" a="1"/>
  <c r="O405" i="2" a="1"/>
  <c r="P405" i="2" a="1"/>
  <c r="AA403" i="2" l="1"/>
  <c r="AB403" i="2" s="1"/>
  <c r="Q405" i="2"/>
  <c r="Q404" i="2"/>
  <c r="W404" i="2"/>
  <c r="W405" i="2"/>
  <c r="AA405" i="2" l="1"/>
  <c r="AB405" i="2" s="1"/>
  <c r="AA404" i="2"/>
  <c r="AB404" i="2" s="1"/>
  <c r="P406" i="2" l="1" a="1"/>
  <c r="O407" i="2" a="1"/>
  <c r="O406" i="2" a="1"/>
  <c r="P407" i="2" a="1"/>
  <c r="W407" i="2" l="1"/>
  <c r="W406" i="2"/>
  <c r="Q406" i="2"/>
  <c r="Q407" i="2"/>
  <c r="AA406" i="2" l="1"/>
  <c r="AB406" i="2" s="1"/>
  <c r="AA407" i="2"/>
  <c r="AB407" i="2" s="1"/>
  <c r="O413" i="2" a="1"/>
  <c r="P412" i="2" a="1"/>
  <c r="O414" i="2" a="1"/>
  <c r="P417" i="2" a="1"/>
  <c r="O417" i="2" a="1"/>
  <c r="O416" i="2" a="1"/>
  <c r="P416" i="2" a="1"/>
  <c r="O415" i="2" a="1"/>
  <c r="P415" i="2" a="1"/>
  <c r="P414" i="2" a="1"/>
  <c r="O412" i="2" a="1"/>
  <c r="P413" i="2" a="1"/>
  <c r="P411" i="2" l="1" a="1"/>
  <c r="O408" i="2" a="1"/>
  <c r="O409" i="2" a="1"/>
  <c r="O411" i="2" a="1"/>
  <c r="P410" i="2" a="1"/>
  <c r="P408" i="2" a="1"/>
  <c r="O410" i="2" a="1"/>
  <c r="P409" i="2" a="1"/>
  <c r="W417" i="2"/>
  <c r="W416" i="2"/>
  <c r="W412" i="2"/>
  <c r="W414" i="2"/>
  <c r="Q415" i="2"/>
  <c r="Q413" i="2"/>
  <c r="W413" i="2"/>
  <c r="Q417" i="2"/>
  <c r="Q416" i="2"/>
  <c r="W415" i="2"/>
  <c r="Q414" i="2"/>
  <c r="Q412" i="2"/>
  <c r="P418" i="2" a="1"/>
  <c r="O418" i="2" a="1"/>
  <c r="O419" i="2" a="1"/>
  <c r="P419" i="2" a="1"/>
  <c r="Q409" i="2" l="1"/>
  <c r="W411" i="2"/>
  <c r="W408" i="2"/>
  <c r="W409" i="2"/>
  <c r="AA409" i="2" s="1"/>
  <c r="AB409" i="2" s="1"/>
  <c r="W410" i="2"/>
  <c r="Q411" i="2"/>
  <c r="Q410" i="2"/>
  <c r="Q408" i="2"/>
  <c r="AA417" i="2"/>
  <c r="AB417" i="2" s="1"/>
  <c r="AA416" i="2"/>
  <c r="AB416" i="2" s="1"/>
  <c r="AA412" i="2"/>
  <c r="AB412" i="2" s="1"/>
  <c r="W418" i="2"/>
  <c r="Q419" i="2"/>
  <c r="AA413" i="2"/>
  <c r="AB413" i="2" s="1"/>
  <c r="AA415" i="2"/>
  <c r="AB415" i="2" s="1"/>
  <c r="W419" i="2"/>
  <c r="AA414" i="2"/>
  <c r="AB414" i="2" s="1"/>
  <c r="Q418" i="2"/>
  <c r="AA411" i="2" l="1"/>
  <c r="AB411" i="2" s="1"/>
  <c r="AA410" i="2"/>
  <c r="AB410" i="2" s="1"/>
  <c r="AA408" i="2"/>
  <c r="AB408" i="2" s="1"/>
  <c r="AA418" i="2"/>
  <c r="AB418" i="2" s="1"/>
  <c r="AA419" i="2"/>
  <c r="AB419" i="2" s="1"/>
  <c r="P422" i="2" a="1"/>
  <c r="O423" i="2" a="1"/>
  <c r="P423" i="2" a="1"/>
  <c r="O422" i="2" a="1"/>
  <c r="O421" i="2" l="1" a="1"/>
  <c r="O420" i="2" a="1"/>
  <c r="P420" i="2" a="1"/>
  <c r="P421" i="2" a="1"/>
  <c r="P425" i="2" a="1"/>
  <c r="O427" i="2" a="1"/>
  <c r="O426" i="2" a="1"/>
  <c r="O424" i="2" a="1"/>
  <c r="O425" i="2" a="1"/>
  <c r="P426" i="2" a="1"/>
  <c r="P427" i="2" a="1"/>
  <c r="P424" i="2" a="1"/>
  <c r="W422" i="2"/>
  <c r="W423" i="2"/>
  <c r="Q422" i="2"/>
  <c r="Q423" i="2"/>
  <c r="W425" i="2" l="1"/>
  <c r="W420" i="2"/>
  <c r="Q421" i="2"/>
  <c r="W427" i="2"/>
  <c r="W426" i="2"/>
  <c r="Q424" i="2"/>
  <c r="W421" i="2"/>
  <c r="Q420" i="2"/>
  <c r="AA420" i="2" s="1"/>
  <c r="AB420" i="2" s="1"/>
  <c r="Q425" i="2"/>
  <c r="AA425" i="2" s="1"/>
  <c r="AB425" i="2" s="1"/>
  <c r="W424" i="2"/>
  <c r="Q426" i="2"/>
  <c r="Q427" i="2"/>
  <c r="P429" i="2" a="1"/>
  <c r="P428" i="2" a="1"/>
  <c r="O428" i="2" a="1"/>
  <c r="O429" i="2" a="1"/>
  <c r="AA422" i="2"/>
  <c r="AB422" i="2" s="1"/>
  <c r="AA423" i="2"/>
  <c r="AB423" i="2" s="1"/>
  <c r="AA421" i="2" l="1"/>
  <c r="AB421" i="2" s="1"/>
  <c r="AA424" i="2"/>
  <c r="AB424" i="2" s="1"/>
  <c r="AA427" i="2"/>
  <c r="AB427" i="2" s="1"/>
  <c r="AA426" i="2"/>
  <c r="AB426" i="2" s="1"/>
  <c r="Q428" i="2"/>
  <c r="Q429" i="2"/>
  <c r="W428" i="2"/>
  <c r="W429" i="2"/>
  <c r="AA429" i="2" s="1"/>
  <c r="AB429" i="2" s="1"/>
  <c r="P431" i="2" a="1"/>
  <c r="O430" i="2" a="1"/>
  <c r="P430" i="2" a="1"/>
  <c r="O431" i="2" a="1"/>
  <c r="AA428" i="2" l="1"/>
  <c r="AB428" i="2" s="1"/>
  <c r="W430" i="2"/>
  <c r="Q431" i="2"/>
  <c r="Q430" i="2"/>
  <c r="W431" i="2"/>
  <c r="AA430" i="2" l="1"/>
  <c r="AB430" i="2" s="1"/>
  <c r="O434" i="2" s="1" a="1"/>
  <c r="AA431" i="2"/>
  <c r="AB431" i="2" s="1"/>
  <c r="P436" i="2" a="1"/>
  <c r="O437" i="2" a="1"/>
  <c r="P439" i="2" a="1"/>
  <c r="P437" i="2" a="1"/>
  <c r="O438" i="2" a="1"/>
  <c r="O435" i="2" a="1"/>
  <c r="P434" i="2" a="1"/>
  <c r="P435" i="2" a="1"/>
  <c r="P438" i="2" a="1"/>
  <c r="O439" i="2" a="1"/>
  <c r="O436" i="2" a="1"/>
  <c r="P432" i="2" l="1" a="1"/>
  <c r="P433" i="2" a="1"/>
  <c r="O433" i="2" a="1"/>
  <c r="O432" i="2" a="1"/>
  <c r="W438" i="2"/>
  <c r="Q434" i="2"/>
  <c r="W437" i="2"/>
  <c r="Q435" i="2"/>
  <c r="Q436" i="2"/>
  <c r="Q439" i="2"/>
  <c r="W435" i="2"/>
  <c r="W434" i="2"/>
  <c r="Q438" i="2"/>
  <c r="W439" i="2"/>
  <c r="Q437" i="2"/>
  <c r="W436" i="2"/>
  <c r="W433" i="2" l="1"/>
  <c r="W432" i="2"/>
  <c r="Q433" i="2"/>
  <c r="AA433" i="2" s="1"/>
  <c r="AB433" i="2" s="1"/>
  <c r="Q432" i="2"/>
  <c r="AA438" i="2"/>
  <c r="AB438" i="2" s="1"/>
  <c r="AA434" i="2"/>
  <c r="AB434" i="2" s="1"/>
  <c r="AA437" i="2"/>
  <c r="AB437" i="2" s="1"/>
  <c r="AA435" i="2"/>
  <c r="AB435" i="2" s="1"/>
  <c r="AA439" i="2"/>
  <c r="AB439" i="2" s="1"/>
  <c r="AA436" i="2"/>
  <c r="AB436" i="2" s="1"/>
  <c r="O440" i="2" a="1"/>
  <c r="P442" i="2" a="1"/>
  <c r="P443" i="2" a="1"/>
  <c r="O441" i="2" a="1"/>
  <c r="P440" i="2" a="1"/>
  <c r="P441" i="2" a="1"/>
  <c r="O442" i="2" a="1"/>
  <c r="O443" i="2" a="1"/>
  <c r="AA432" i="2" l="1"/>
  <c r="AB432" i="2" s="1"/>
  <c r="Q440" i="2"/>
  <c r="W442" i="2"/>
  <c r="W441" i="2"/>
  <c r="Q441" i="2"/>
  <c r="W443" i="2"/>
  <c r="W440" i="2"/>
  <c r="Q442" i="2"/>
  <c r="Q443" i="2"/>
  <c r="AA440" i="2" l="1"/>
  <c r="AB440" i="2" s="1"/>
  <c r="AA442" i="2"/>
  <c r="AB442" i="2" s="1"/>
  <c r="AA441" i="2"/>
  <c r="AB441" i="2" s="1"/>
  <c r="AA443" i="2"/>
  <c r="AB443" i="2" s="1"/>
  <c r="P444" i="2" l="1" a="1"/>
  <c r="O446" i="2" a="1"/>
  <c r="P447" i="2" a="1"/>
  <c r="O447" i="2" a="1"/>
  <c r="P445" i="2" a="1"/>
  <c r="O445" i="2" a="1"/>
  <c r="O444" i="2" a="1"/>
  <c r="P446" i="2" a="1"/>
  <c r="Q446" i="2" l="1"/>
  <c r="Q447" i="2"/>
  <c r="Q445" i="2"/>
  <c r="W447" i="2"/>
  <c r="W444" i="2"/>
  <c r="Q444" i="2"/>
  <c r="W445" i="2"/>
  <c r="W446" i="2"/>
  <c r="AA444" i="2" l="1"/>
  <c r="AB444" i="2" s="1"/>
  <c r="AA447" i="2"/>
  <c r="AB447" i="2" s="1"/>
  <c r="AA446" i="2"/>
  <c r="AB446" i="2" s="1"/>
  <c r="AA445" i="2"/>
  <c r="AB445" i="2" s="1"/>
  <c r="P449" i="2" l="1" a="1"/>
  <c r="O448" i="2" a="1"/>
  <c r="P448" i="2" a="1"/>
  <c r="O450" i="2" a="1"/>
  <c r="P450" i="2" a="1"/>
  <c r="P451" i="2" a="1"/>
  <c r="Q451" i="2" s="1"/>
  <c r="O451" i="2" a="1"/>
  <c r="O449" i="2" a="1"/>
  <c r="Q449" i="2" l="1"/>
  <c r="W448" i="2"/>
  <c r="W450" i="2"/>
  <c r="Q448" i="2"/>
  <c r="AA448" i="2" s="1"/>
  <c r="AB448" i="2" s="1"/>
  <c r="Q450" i="2"/>
  <c r="W451" i="2"/>
  <c r="AA451" i="2" s="1"/>
  <c r="AB451" i="2" s="1"/>
  <c r="W449" i="2"/>
  <c r="AA449" i="2" s="1"/>
  <c r="AB449" i="2" s="1"/>
  <c r="AA450" i="2" l="1"/>
  <c r="AB450" i="2" s="1"/>
  <c r="P455" i="2" a="1"/>
  <c r="O453" i="2" a="1"/>
  <c r="P454" i="2" a="1"/>
  <c r="O454" i="2" a="1"/>
  <c r="P453" i="2" a="1"/>
  <c r="P452" i="2" a="1"/>
  <c r="O455" i="2" a="1"/>
  <c r="W455" i="2" s="1"/>
  <c r="O452" i="2" a="1"/>
  <c r="W454" i="2" l="1"/>
  <c r="W452" i="2"/>
  <c r="Q453" i="2"/>
  <c r="Q454" i="2"/>
  <c r="Q452" i="2"/>
  <c r="W453" i="2"/>
  <c r="Q455" i="2"/>
  <c r="AA455" i="2" s="1"/>
  <c r="AB455" i="2" s="1"/>
  <c r="P456" i="2" a="1"/>
  <c r="P458" i="2" a="1"/>
  <c r="P457" i="2" a="1"/>
  <c r="O456" i="2" a="1"/>
  <c r="P459" i="2" a="1"/>
  <c r="O457" i="2" a="1"/>
  <c r="W457" i="2" s="1"/>
  <c r="O459" i="2" a="1"/>
  <c r="O458" i="2" a="1"/>
  <c r="AA454" i="2" l="1"/>
  <c r="AB454" i="2" s="1"/>
  <c r="W456" i="2"/>
  <c r="AA452" i="2"/>
  <c r="AB452" i="2" s="1"/>
  <c r="AA453" i="2"/>
  <c r="AB453" i="2" s="1"/>
  <c r="Q458" i="2"/>
  <c r="W459" i="2"/>
  <c r="Q456" i="2"/>
  <c r="Q457" i="2"/>
  <c r="AA457" i="2" s="1"/>
  <c r="AB457" i="2" s="1"/>
  <c r="Q459" i="2"/>
  <c r="W458" i="2"/>
  <c r="P460" i="2" a="1"/>
  <c r="O461" i="2" a="1"/>
  <c r="W461" i="2" s="1"/>
  <c r="P461" i="2" a="1"/>
  <c r="O460" i="2" a="1"/>
  <c r="AA459" i="2" l="1"/>
  <c r="AB459" i="2" s="1"/>
  <c r="AA456" i="2"/>
  <c r="AB456" i="2" s="1"/>
  <c r="Q460" i="2"/>
  <c r="AA458" i="2"/>
  <c r="AB458" i="2" s="1"/>
  <c r="Q461" i="2"/>
  <c r="AA461" i="2" s="1"/>
  <c r="AB461" i="2" s="1"/>
  <c r="W460" i="2"/>
  <c r="P464" i="2" a="1"/>
  <c r="O465" i="2" a="1"/>
  <c r="P465" i="2" a="1"/>
  <c r="O464" i="2" a="1"/>
  <c r="AA460" i="2" l="1"/>
  <c r="AB460" i="2" s="1"/>
  <c r="O463" i="2" a="1"/>
  <c r="P462" i="2" a="1"/>
  <c r="P463" i="2" a="1"/>
  <c r="O462" i="2" a="1"/>
  <c r="W464" i="2"/>
  <c r="W465" i="2"/>
  <c r="Q464" i="2"/>
  <c r="Q465" i="2"/>
  <c r="W463" i="2" l="1"/>
  <c r="Q462" i="2"/>
  <c r="Q463" i="2"/>
  <c r="W462" i="2"/>
  <c r="AA464" i="2"/>
  <c r="AB464" i="2" s="1"/>
  <c r="AA465" i="2"/>
  <c r="AB465" i="2" s="1"/>
  <c r="O467" i="2" a="1"/>
  <c r="P466" i="2" a="1"/>
  <c r="AA463" i="2" l="1"/>
  <c r="AB463" i="2" s="1"/>
  <c r="AA462" i="2"/>
  <c r="AB462" i="2" s="1"/>
  <c r="O466" i="2" a="1"/>
  <c r="P467" i="2" a="1"/>
  <c r="O468" i="2" l="1" a="1"/>
  <c r="W468" i="2" s="1"/>
  <c r="P469" i="2" a="1"/>
  <c r="P468" i="2" a="1"/>
  <c r="O469" i="2" a="1"/>
  <c r="W466" i="2"/>
  <c r="Q466" i="2"/>
  <c r="W467" i="2"/>
  <c r="Q467" i="2"/>
  <c r="Q469" i="2" l="1"/>
  <c r="AA467" i="2"/>
  <c r="AB467" i="2" s="1"/>
  <c r="W469" i="2"/>
  <c r="AA469" i="2" s="1"/>
  <c r="AB469" i="2" s="1"/>
  <c r="Q468" i="2"/>
  <c r="AA468" i="2" s="1"/>
  <c r="AB468" i="2" s="1"/>
  <c r="AA466" i="2"/>
  <c r="AB466" i="2" s="1"/>
  <c r="P470" i="2" a="1"/>
  <c r="O471" i="2" a="1"/>
  <c r="G33" i="3" a="1"/>
  <c r="AX6" i="3" a="1"/>
  <c r="O470" i="2" l="1" a="1"/>
  <c r="P471" i="2" a="1"/>
  <c r="W470" i="2" l="1"/>
  <c r="Q470" i="2"/>
  <c r="W471" i="2"/>
  <c r="AA471" i="2" s="1"/>
  <c r="AB471" i="2" s="1"/>
  <c r="Q471" i="2"/>
  <c r="AA470" i="2" l="1"/>
  <c r="AB470" i="2" s="1"/>
  <c r="P473" i="2" a="1"/>
  <c r="O472" i="2" a="1"/>
  <c r="O473" i="2" a="1"/>
  <c r="P472" i="2" a="1"/>
  <c r="Q473" i="2" l="1"/>
  <c r="W472" i="2"/>
  <c r="Q472" i="2"/>
  <c r="W473" i="2"/>
  <c r="AA473" i="2" l="1"/>
  <c r="AB473" i="2" s="1"/>
  <c r="AA472" i="2"/>
  <c r="AB472" i="2" s="1"/>
  <c r="P475" i="2" a="1"/>
  <c r="O475" i="2" a="1"/>
  <c r="P474" i="2" a="1"/>
  <c r="Q474" i="2" s="1"/>
  <c r="O474" i="2" a="1"/>
  <c r="Q475" i="2" l="1"/>
  <c r="W475" i="2"/>
  <c r="AA475" i="2" s="1"/>
  <c r="AB475" i="2" s="1"/>
  <c r="W474" i="2"/>
  <c r="AA474" i="2" s="1"/>
  <c r="AB474" i="2" s="1"/>
  <c r="G31" i="3" a="1"/>
  <c r="P476" i="2" l="1" a="1"/>
  <c r="P477" i="2" a="1"/>
  <c r="O477" i="2" a="1"/>
  <c r="O476" i="2" a="1"/>
  <c r="W476" i="2" l="1"/>
  <c r="W477" i="2"/>
  <c r="Q476" i="2"/>
  <c r="Q477" i="2"/>
  <c r="G36" i="3" a="1"/>
  <c r="AA476" i="2" l="1"/>
  <c r="AB476" i="2" s="1"/>
  <c r="AA477" i="2"/>
  <c r="AB477" i="2" s="1"/>
  <c r="G29" i="3" l="1" a="1"/>
  <c r="G26" i="3" l="1" a="1"/>
  <c r="AX5" i="3" a="1"/>
  <c r="G37" i="3" l="1" a="1"/>
  <c r="G34" i="3" a="1"/>
  <c r="AX8" i="3" a="1"/>
  <c r="G28" i="3" l="1" a="1"/>
  <c r="AX2" i="3" a="1"/>
  <c r="AX9" i="3" l="1" a="1"/>
  <c r="G35" i="3" a="1"/>
  <c r="G27" i="3" l="1" a="1"/>
  <c r="AX4" i="3" a="1"/>
  <c r="G25" i="3" a="1"/>
  <c r="G30" i="3" l="1" a="1"/>
  <c r="AX7" i="3" a="1"/>
  <c r="G32" i="3" a="1"/>
  <c r="AX3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<sst xmlns="http://schemas.openxmlformats.org/spreadsheetml/2006/main" count="2475" uniqueCount="87">
  <si>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</si>
  <si>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</si>
  <si>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</si>
  <si>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</si>
  <si>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</si>
  <si>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</si>
  <si>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</si>
  <si>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</si>
  <si>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</si>
  <si>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</si>
  <si>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</si>
  <si>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</si>
  <si>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</si>
  <si>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</si>
  <si>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</si>
  <si>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</si>
  <si>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</si>
  <si>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</si>
  <si>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</si>
  <si>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</si>
  <si>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</si>
  <si>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</si>
  <si>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</si>
  <si>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</si>
  <si>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</si>
  <si>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</si>
  <si>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</si>
  <si>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</si>
  <si>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</si>
  <si>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</si>
  <si>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</si>
  <si>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</si>
  <si>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</si>
  <si>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</si>
  <si>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</si>
  <si>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</si>
  <si>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</si>
  <si>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</si>
  <si>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</si>
  <si>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</si>
  <si>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</si>
  <si>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</si>
  <si>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</si>
  <si>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</si>
  <si>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</si>
  <si>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</si>
  <si>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</si>
  <si>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</si>
  <si>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</si>
  <si>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</si>
  <si>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</si>
  <si>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</si>
  <si>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</si>
  <si>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</si>
  <si>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</si>
  <si>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</si>
  <si>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</si>
  <si>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</si>
  <si>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</si>
  <si>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</si>
  <si>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</si>
  <si>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</si>
  <si>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</si>
  <si>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</si>
  <si>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</si>
  <si>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</si>
  <si>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</si>
  <si>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</si>
  <si>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</si>
  <si>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Phoenix Mercury</t>
  </si>
  <si>
    <t>LAS</t>
  </si>
  <si>
    <t>Los Angeles Sparks</t>
  </si>
  <si>
    <t>Sacramento Monarchs</t>
  </si>
  <si>
    <t>WAS</t>
  </si>
  <si>
    <t>Washington Mystics</t>
  </si>
  <si>
    <t>DET</t>
  </si>
  <si>
    <t>Detroit Shock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</si>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</sst>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9"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29353240744" createdVersion="8" refreshedVersion="8" minRefreshableVersion="3" recordCount="476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05-05-21T00:00:00" maxDate="2005-09-21T00:00:00"/>
    </cacheField>
    <cacheField name="Season" numFmtId="1">
      <sharedItems containsSemiMixedTypes="0" containsString="0" containsNumber="1" containsInteger="1" minValue="2005" maxValue="2005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7">
        <s v="WAS"/>
        <s v="CHA"/>
        <s v="CON"/>
        <s v="DET"/>
        <s v="SAC"/>
        <s v="PHX"/>
        <s v="HOU"/>
        <s v="SAS"/>
        <s v="LAS"/>
        <s v="SEA"/>
        <s v="MIN"/>
        <s v="IND"/>
        <s v="NYL"/>
        <s v="CLE" u="1"/>
        <s v="UTA" u="1"/>
        <s v="MIA" u="1"/>
        <s v="POR" u="1"/>
        <s v="ORL" u="1"/>
        <s v="NO" u="1"/>
        <s v="TOR" u="1"/>
        <s v="LAL" u="1"/>
        <s v="LAC" u="1"/>
        <s v="CHI" u="1"/>
        <s v="BRK" u="1"/>
        <s v="MEM" u="1"/>
        <s v="BOS" u="1"/>
        <s v="PHI" u="1"/>
        <s v="DAL" u="1"/>
        <s v="NY" u="1"/>
        <s v="SA" u="1"/>
        <s v="OKC" u="1"/>
        <s v="DEN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10"/>
    </cacheField>
    <cacheField name="OppDaysOff" numFmtId="1">
      <sharedItems containsSemiMixedTypes="0" containsString="0" containsNumber="1" containsInteger="1" minValue="0" maxValue="10"/>
    </cacheField>
    <cacheField name="RestDiff" numFmtId="1">
      <sharedItems containsSemiMixedTypes="0" containsString="0" containsNumber="1" containsInteger="1" minValue="-8" maxValue="8"/>
    </cacheField>
    <cacheField name="OppRestDiff" numFmtId="1">
      <sharedItems containsSemiMixedTypes="0" containsString="0" containsNumber="1" containsInteger="1" minValue="-8" maxValue="8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02.6238855161255" maxValue="1698.5816117309175"/>
    </cacheField>
    <cacheField name="OppPreGmRate" numFmtId="165">
      <sharedItems containsSemiMixedTypes="0" containsString="0" containsNumber="1" minValue="1302.6238855161255" maxValue="1698.5816117309175"/>
    </cacheField>
    <cacheField name="ExpectedWin%" numFmtId="165">
      <sharedItems containsSemiMixedTypes="0" containsString="0" containsNumber="1" minValue="6.9886677495216834E-2" maxValue="0.93011332250478318"/>
    </cacheField>
    <cacheField name="PointsFor" numFmtId="0">
      <sharedItems containsSemiMixedTypes="0" containsString="0" containsNumber="1" containsInteger="1" minValue="40" maxValue="95"/>
    </cacheField>
    <cacheField name="PointsAgainst" numFmtId="0">
      <sharedItems containsSemiMixedTypes="0" containsString="0" containsNumber="1" containsInteger="1" minValue="40" maxValue="95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0" maxValue="40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1900787872039335" maxValue="0.7421818747822857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7" maxValue="75.849999999999994"/>
    </cacheField>
    <cacheField name="Keff" numFmtId="165">
      <sharedItems containsSemiMixedTypes="0" containsString="0" containsNumber="1" minValue="70.900000000000006" maxValue="94.702500000000015"/>
    </cacheField>
    <cacheField name="RatingChange" numFmtId="165">
      <sharedItems containsSemiMixedTypes="0" containsString="0" containsNumber="1" minValue="-27.067127751779353" maxValue="27.067127751779349"/>
    </cacheField>
    <cacheField name="PostGmRate" numFmtId="165">
      <sharedItems containsSemiMixedTypes="0" containsString="0" containsNumber="1" minValue="1302.6238855161255" maxValue="1707.7053983317542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d v="2005-05-21T00:00:00"/>
    <n v="2005"/>
    <x v="0"/>
    <s v="R"/>
    <s v="RS"/>
    <x v="0"/>
    <s v="CHA"/>
    <s v="A"/>
    <n v="0"/>
    <n v="0"/>
    <n v="0"/>
    <n v="0"/>
    <n v="0"/>
    <n v="0"/>
    <n v="1484.0630823781109"/>
    <n v="1474.7139423488281"/>
    <n v="0.39419202640443352"/>
    <n v="60"/>
    <n v="42"/>
    <n v="0"/>
    <n v="18"/>
    <n v="1"/>
    <n v="0.54260651190912201"/>
    <n v="1"/>
    <n v="75.849999999999994"/>
    <n v="75.849999999999994"/>
    <n v="24.933059406680297"/>
    <n v="1508.9961417847912"/>
    <n v="1"/>
    <n v="0"/>
    <n v="0"/>
    <n v="0"/>
    <n v="0"/>
    <n v="0"/>
    <n v="0"/>
    <n v="0"/>
    <n v="0"/>
    <n v="0"/>
  </r>
  <r>
    <d v="2005-05-21T00:00:00"/>
    <n v="2005"/>
    <x v="0"/>
    <s v="R"/>
    <s v="RS"/>
    <x v="1"/>
    <s v="WAS"/>
    <s v="H"/>
    <n v="0"/>
    <n v="0"/>
    <n v="0"/>
    <n v="0"/>
    <n v="0"/>
    <n v="0"/>
    <n v="1474.7139423488281"/>
    <n v="1484.0630823781109"/>
    <n v="0.60580797359556648"/>
    <n v="42"/>
    <n v="60"/>
    <n v="0"/>
    <n v="-18"/>
    <n v="0"/>
    <n v="0.54260651190912201"/>
    <n v="1"/>
    <n v="75.849999999999994"/>
    <n v="75.849999999999994"/>
    <n v="-24.933059406680297"/>
    <n v="1449.7808829421479"/>
    <n v="0"/>
    <n v="1"/>
    <n v="0"/>
    <n v="0"/>
    <n v="0"/>
    <n v="0"/>
    <n v="0"/>
    <n v="0"/>
    <n v="0"/>
    <n v="0"/>
  </r>
  <r>
    <d v="2005-05-21T00:00:00"/>
    <n v="2005"/>
    <x v="0"/>
    <s v="R"/>
    <s v="RS"/>
    <x v="2"/>
    <s v="DET"/>
    <s v="A"/>
    <n v="0"/>
    <n v="0"/>
    <n v="0"/>
    <n v="0"/>
    <n v="0"/>
    <n v="0"/>
    <n v="1528.1144554144073"/>
    <n v="1504.4560781274547"/>
    <n v="0.41402414255218101"/>
    <n v="67"/>
    <n v="78"/>
    <n v="0"/>
    <n v="-11"/>
    <n v="0"/>
    <n v="0.43133212186180769"/>
    <n v="1"/>
    <n v="75.849999999999994"/>
    <n v="75.849999999999994"/>
    <n v="-13.545438018301274"/>
    <n v="1514.5690173961061"/>
    <n v="0"/>
    <n v="1"/>
    <n v="0"/>
    <n v="0"/>
    <n v="0"/>
    <n v="0"/>
    <n v="0"/>
    <n v="0"/>
    <n v="0"/>
    <n v="0"/>
  </r>
  <r>
    <d v="2005-05-21T00:00:00"/>
    <n v="2005"/>
    <x v="0"/>
    <s v="R"/>
    <s v="RS"/>
    <x v="3"/>
    <s v="CON"/>
    <s v="H"/>
    <n v="0"/>
    <n v="0"/>
    <n v="0"/>
    <n v="0"/>
    <n v="0"/>
    <n v="0"/>
    <n v="1504.4560781274547"/>
    <n v="1528.1144554144073"/>
    <n v="0.58597585744781899"/>
    <n v="78"/>
    <n v="67"/>
    <n v="0"/>
    <n v="11"/>
    <n v="1"/>
    <n v="0.43133212186180769"/>
    <n v="1"/>
    <n v="75.849999999999994"/>
    <n v="75.849999999999994"/>
    <n v="13.545438018301274"/>
    <n v="1518.0015161457559"/>
    <n v="1"/>
    <n v="0"/>
    <n v="0"/>
    <n v="0"/>
    <n v="0"/>
    <n v="0"/>
    <n v="0"/>
    <n v="0"/>
    <n v="0"/>
    <n v="0"/>
  </r>
  <r>
    <d v="2005-05-21T00:00:00"/>
    <n v="2005"/>
    <x v="0"/>
    <s v="R"/>
    <s v="RS"/>
    <x v="4"/>
    <s v="PHX"/>
    <s v="A"/>
    <n v="0"/>
    <n v="0"/>
    <n v="0"/>
    <n v="0"/>
    <n v="0"/>
    <n v="0"/>
    <n v="1540.0964808813717"/>
    <n v="1502.0019484223112"/>
    <n v="0.43431848769975395"/>
    <n v="77"/>
    <n v="72"/>
    <n v="0"/>
    <n v="5"/>
    <n v="1"/>
    <n v="0.32154828255544476"/>
    <n v="1"/>
    <n v="75.849999999999994"/>
    <n v="75.849999999999994"/>
    <n v="13.796653737453797"/>
    <n v="1553.8931346188256"/>
    <n v="1"/>
    <n v="0"/>
    <n v="0"/>
    <n v="0"/>
    <n v="0"/>
    <n v="0"/>
    <n v="0"/>
    <n v="0"/>
    <n v="0"/>
    <n v="0"/>
  </r>
  <r>
    <d v="2005-05-21T00:00:00"/>
    <n v="2005"/>
    <x v="0"/>
    <s v="R"/>
    <s v="RS"/>
    <x v="5"/>
    <s v="SAC"/>
    <s v="H"/>
    <n v="0"/>
    <n v="0"/>
    <n v="0"/>
    <n v="0"/>
    <n v="0"/>
    <n v="0"/>
    <n v="1502.0019484223112"/>
    <n v="1540.0964808813717"/>
    <n v="0.5656815123002461"/>
    <n v="72"/>
    <n v="77"/>
    <n v="0"/>
    <n v="-5"/>
    <n v="0"/>
    <n v="0.32154828255544476"/>
    <n v="1"/>
    <n v="75.849999999999994"/>
    <n v="75.849999999999994"/>
    <n v="-13.796653737453797"/>
    <n v="1488.2052946848573"/>
    <n v="0"/>
    <n v="1"/>
    <n v="0"/>
    <n v="0"/>
    <n v="0"/>
    <n v="0"/>
    <n v="0"/>
    <n v="0"/>
    <n v="0"/>
    <n v="0"/>
  </r>
  <r>
    <d v="2005-05-21T00:00:00"/>
    <n v="2005"/>
    <x v="0"/>
    <s v="R"/>
    <s v="RS"/>
    <x v="6"/>
    <s v="SAS"/>
    <s v="A"/>
    <n v="0"/>
    <n v="0"/>
    <n v="0"/>
    <n v="0"/>
    <n v="0"/>
    <n v="0"/>
    <n v="1472.4898513093106"/>
    <n v="1436.4594298575983"/>
    <n v="0.43140156351853487"/>
    <n v="78"/>
    <n v="70"/>
    <n v="0"/>
    <n v="8"/>
    <n v="1"/>
    <n v="0.37699609485041374"/>
    <n v="1"/>
    <n v="75.849999999999994"/>
    <n v="75.849999999999994"/>
    <n v="16.259159738445081"/>
    <n v="1488.7490110477556"/>
    <n v="1"/>
    <n v="0"/>
    <n v="0"/>
    <n v="0"/>
    <n v="0"/>
    <n v="0"/>
    <n v="0"/>
    <n v="0"/>
    <n v="0"/>
    <n v="0"/>
  </r>
  <r>
    <d v="2005-05-21T00:00:00"/>
    <n v="2005"/>
    <x v="0"/>
    <s v="R"/>
    <s v="RS"/>
    <x v="7"/>
    <s v="HOU"/>
    <s v="H"/>
    <n v="0"/>
    <n v="0"/>
    <n v="0"/>
    <n v="0"/>
    <n v="0"/>
    <n v="0"/>
    <n v="1436.4594298575983"/>
    <n v="1472.4898513093106"/>
    <n v="0.56859843648146513"/>
    <n v="70"/>
    <n v="78"/>
    <n v="0"/>
    <n v="-8"/>
    <n v="0"/>
    <n v="0.37699609485041374"/>
    <n v="1"/>
    <n v="75.849999999999994"/>
    <n v="75.849999999999994"/>
    <n v="-16.259159738445081"/>
    <n v="1420.2002701191532"/>
    <n v="0"/>
    <n v="1"/>
    <n v="0"/>
    <n v="0"/>
    <n v="0"/>
    <n v="0"/>
    <n v="0"/>
    <n v="0"/>
    <n v="0"/>
    <n v="0"/>
  </r>
  <r>
    <d v="2005-05-21T00:00:00"/>
    <n v="2005"/>
    <x v="0"/>
    <s v="R"/>
    <s v="RS"/>
    <x v="8"/>
    <s v="SEA"/>
    <s v="A"/>
    <n v="0"/>
    <n v="0"/>
    <n v="0"/>
    <n v="0"/>
    <n v="0"/>
    <n v="0"/>
    <n v="1554.8069708157504"/>
    <n v="1565.6603480122712"/>
    <n v="0.36678830746617314"/>
    <n v="68"/>
    <n v="50"/>
    <n v="0"/>
    <n v="18"/>
    <n v="1"/>
    <n v="0.54193243452058726"/>
    <n v="1"/>
    <n v="75.849999999999994"/>
    <n v="75.849999999999994"/>
    <n v="26.028530818618375"/>
    <n v="1580.8355016343687"/>
    <n v="1"/>
    <n v="0"/>
    <n v="0"/>
    <n v="0"/>
    <n v="0"/>
    <n v="0"/>
    <n v="0"/>
    <n v="0"/>
    <n v="0"/>
    <n v="0"/>
  </r>
  <r>
    <d v="2005-05-21T00:00:00"/>
    <n v="2005"/>
    <x v="0"/>
    <s v="R"/>
    <s v="RS"/>
    <x v="9"/>
    <s v="LAS"/>
    <s v="H"/>
    <n v="0"/>
    <n v="0"/>
    <n v="0"/>
    <n v="0"/>
    <n v="0"/>
    <n v="0"/>
    <n v="1565.6603480122712"/>
    <n v="1554.8069708157504"/>
    <n v="0.63321169253382681"/>
    <n v="50"/>
    <n v="68"/>
    <n v="0"/>
    <n v="-18"/>
    <n v="0"/>
    <n v="0.54193243452058726"/>
    <n v="1"/>
    <n v="75.849999999999994"/>
    <n v="75.849999999999994"/>
    <n v="-26.028530818618368"/>
    <n v="1539.631817193653"/>
    <n v="0"/>
    <n v="1"/>
    <n v="0"/>
    <n v="0"/>
    <n v="0"/>
    <n v="0"/>
    <n v="0"/>
    <n v="0"/>
    <n v="0"/>
    <n v="0"/>
  </r>
  <r>
    <d v="2005-05-22T00:00:00"/>
    <n v="2005"/>
    <x v="0"/>
    <s v="R"/>
    <s v="RS"/>
    <x v="10"/>
    <s v="HOU"/>
    <s v="A"/>
    <n v="1"/>
    <n v="0"/>
    <n v="1"/>
    <n v="-1"/>
    <n v="8"/>
    <n v="-8"/>
    <n v="1489.004656973279"/>
    <n v="1488.7490110477556"/>
    <n v="0.40372504028963041"/>
    <n v="65"/>
    <n v="79"/>
    <n v="0"/>
    <n v="-14"/>
    <n v="0"/>
    <n v="0.48750424647219631"/>
    <n v="1"/>
    <n v="75.849999999999994"/>
    <n v="75.849999999999994"/>
    <n v="-14.928620386942601"/>
    <n v="1474.0760365863364"/>
    <n v="0"/>
    <n v="1"/>
    <n v="0"/>
    <n v="0"/>
    <n v="0"/>
    <n v="0"/>
    <n v="0"/>
    <n v="0"/>
    <n v="0"/>
    <n v="0"/>
  </r>
  <r>
    <d v="2005-05-22T00:00:00"/>
    <n v="2005"/>
    <x v="1"/>
    <s v="R"/>
    <s v="RS"/>
    <x v="6"/>
    <s v="MIN"/>
    <s v="H"/>
    <n v="0"/>
    <n v="1"/>
    <n v="-1"/>
    <n v="1"/>
    <n v="-8"/>
    <n v="8"/>
    <n v="1488.7490110477556"/>
    <n v="1489.004656973279"/>
    <n v="0.59627495971036959"/>
    <n v="79"/>
    <n v="65"/>
    <n v="0"/>
    <n v="14"/>
    <n v="1"/>
    <n v="0.48750424647219631"/>
    <n v="1"/>
    <n v="75.7"/>
    <n v="75.7"/>
    <n v="14.899097736210351"/>
    <n v="1503.6481087839659"/>
    <n v="1"/>
    <n v="0"/>
    <n v="0"/>
    <n v="0"/>
    <n v="0"/>
    <n v="0"/>
    <n v="0"/>
    <n v="0"/>
    <n v="0"/>
    <n v="0"/>
  </r>
  <r>
    <d v="2005-05-22T00:00:00"/>
    <n v="2005"/>
    <x v="1"/>
    <s v="R"/>
    <s v="RS"/>
    <x v="1"/>
    <s v="IND"/>
    <s v="A"/>
    <n v="0"/>
    <n v="1"/>
    <n v="-1"/>
    <n v="1"/>
    <n v="-8"/>
    <n v="8"/>
    <n v="1449.7808829421479"/>
    <n v="1472.7363195100843"/>
    <n v="0.33008770955420086"/>
    <n v="58"/>
    <n v="68"/>
    <n v="0"/>
    <n v="-10"/>
    <n v="0"/>
    <n v="0.41518736007559698"/>
    <n v="1"/>
    <n v="75.7"/>
    <n v="75.7"/>
    <n v="-10.374552125546927"/>
    <n v="1439.406330816601"/>
    <n v="0"/>
    <n v="1"/>
    <n v="0"/>
    <n v="0"/>
    <n v="0"/>
    <n v="0"/>
    <n v="0"/>
    <n v="0"/>
    <n v="0"/>
    <n v="0"/>
  </r>
  <r>
    <d v="2005-05-22T00:00:00"/>
    <n v="2005"/>
    <x v="0"/>
    <s v="R"/>
    <s v="RS"/>
    <x v="11"/>
    <s v="CHA"/>
    <s v="H"/>
    <n v="1"/>
    <n v="0"/>
    <n v="1"/>
    <n v="-1"/>
    <n v="8"/>
    <n v="-8"/>
    <n v="1472.7363195100843"/>
    <n v="1449.7808829421479"/>
    <n v="0.66991229044579914"/>
    <n v="68"/>
    <n v="58"/>
    <n v="0"/>
    <n v="10"/>
    <n v="1"/>
    <n v="0.41518736007559698"/>
    <n v="1"/>
    <n v="75.849999999999994"/>
    <n v="75.849999999999994"/>
    <n v="10.395109362255408"/>
    <n v="1483.1314288723397"/>
    <n v="1"/>
    <n v="0"/>
    <n v="0"/>
    <n v="0"/>
    <n v="0"/>
    <n v="0"/>
    <n v="0"/>
    <n v="0"/>
    <n v="0"/>
    <n v="0"/>
  </r>
  <r>
    <d v="2005-05-22T00:00:00"/>
    <n v="2005"/>
    <x v="1"/>
    <s v="R"/>
    <s v="RS"/>
    <x v="3"/>
    <s v="NYL"/>
    <s v="A"/>
    <n v="0"/>
    <n v="1"/>
    <n v="-1"/>
    <n v="1"/>
    <n v="-8"/>
    <n v="8"/>
    <n v="1518.0015161457559"/>
    <n v="1484.9086576894383"/>
    <n v="0.4048857520583205"/>
    <n v="78"/>
    <n v="71"/>
    <n v="0"/>
    <n v="7"/>
    <n v="1"/>
    <n v="0.36017450262470829"/>
    <n v="1"/>
    <n v="75.7"/>
    <n v="75.7"/>
    <n v="16.225914854075473"/>
    <n v="1534.2274309998313"/>
    <n v="1"/>
    <n v="0"/>
    <n v="0"/>
    <n v="0"/>
    <n v="0"/>
    <n v="0"/>
    <n v="0"/>
    <n v="0"/>
    <n v="0"/>
    <n v="0"/>
  </r>
  <r>
    <d v="2005-05-22T00:00:00"/>
    <n v="2005"/>
    <x v="0"/>
    <s v="R"/>
    <s v="RS"/>
    <x v="12"/>
    <s v="DET"/>
    <s v="H"/>
    <n v="1"/>
    <n v="0"/>
    <n v="1"/>
    <n v="-1"/>
    <n v="8"/>
    <n v="-8"/>
    <n v="1484.9086576894383"/>
    <n v="1518.0015161457559"/>
    <n v="0.59511424794167955"/>
    <n v="71"/>
    <n v="78"/>
    <n v="0"/>
    <n v="-7"/>
    <n v="0"/>
    <n v="0.36017450262470829"/>
    <n v="1"/>
    <n v="75.849999999999994"/>
    <n v="75.849999999999994"/>
    <n v="-16.258066600814061"/>
    <n v="1468.6505910886242"/>
    <n v="0"/>
    <n v="1"/>
    <n v="0"/>
    <n v="0"/>
    <n v="0"/>
    <n v="0"/>
    <n v="0"/>
    <n v="0"/>
    <n v="0"/>
    <n v="0"/>
  </r>
  <r>
    <d v="2005-05-22T00:00:00"/>
    <n v="2005"/>
    <x v="1"/>
    <s v="R"/>
    <s v="RS"/>
    <x v="2"/>
    <s v="WAS"/>
    <s v="A"/>
    <n v="0"/>
    <n v="0"/>
    <n v="0"/>
    <n v="0"/>
    <n v="0"/>
    <n v="0"/>
    <n v="1514.5690173961061"/>
    <n v="1508.9961417847912"/>
    <n v="0.38901302412634714"/>
    <n v="69"/>
    <n v="67"/>
    <n v="0"/>
    <n v="2"/>
    <n v="1"/>
    <n v="0.26660319875613103"/>
    <n v="1"/>
    <n v="75.7"/>
    <n v="75.7"/>
    <n v="12.330854919985192"/>
    <n v="1526.8998723160912"/>
    <n v="1"/>
    <n v="0"/>
    <n v="0"/>
    <n v="0"/>
    <n v="0"/>
    <n v="0"/>
    <n v="0"/>
    <n v="0"/>
    <n v="0"/>
    <n v="0"/>
  </r>
  <r>
    <d v="2005-05-22T00:00:00"/>
    <n v="2005"/>
    <x v="1"/>
    <s v="R"/>
    <s v="RS"/>
    <x v="0"/>
    <s v="CON"/>
    <s v="H"/>
    <n v="0"/>
    <n v="0"/>
    <n v="0"/>
    <n v="0"/>
    <n v="0"/>
    <n v="0"/>
    <n v="1508.9961417847912"/>
    <n v="1514.5690173961061"/>
    <n v="0.61098697587365292"/>
    <n v="67"/>
    <n v="69"/>
    <n v="0"/>
    <n v="-2"/>
    <n v="0"/>
    <n v="0.26660319875613103"/>
    <n v="1"/>
    <n v="75.7"/>
    <n v="75.7"/>
    <n v="-12.330854919985194"/>
    <n v="1496.6652868648061"/>
    <n v="0"/>
    <n v="1"/>
    <n v="0"/>
    <n v="0"/>
    <n v="0"/>
    <n v="0"/>
    <n v="0"/>
    <n v="0"/>
    <n v="0"/>
    <n v="0"/>
  </r>
  <r>
    <d v="2005-05-24T00:00:00"/>
    <n v="2005"/>
    <x v="1"/>
    <s v="R"/>
    <s v="RS"/>
    <x v="7"/>
    <s v="DET"/>
    <s v="A"/>
    <n v="2"/>
    <n v="1"/>
    <n v="1"/>
    <n v="-1"/>
    <n v="8"/>
    <n v="-8"/>
    <n v="1420.2002701191532"/>
    <n v="1534.2274309998313"/>
    <n v="0.25964152442384725"/>
    <n v="65"/>
    <n v="74"/>
    <n v="0"/>
    <n v="-9"/>
    <n v="0"/>
    <n v="0.37074258971191015"/>
    <n v="1"/>
    <n v="75.7"/>
    <n v="75.7"/>
    <n v="-7.2868949569365489"/>
    <n v="1412.9133751622167"/>
    <n v="0"/>
    <n v="1"/>
    <n v="0"/>
    <n v="0"/>
    <n v="0"/>
    <n v="0"/>
    <n v="0"/>
    <n v="0"/>
    <n v="0"/>
    <n v="0"/>
  </r>
  <r>
    <d v="2005-05-24T00:00:00"/>
    <n v="2005"/>
    <x v="2"/>
    <s v="R"/>
    <s v="RS"/>
    <x v="3"/>
    <s v="SAS"/>
    <s v="H"/>
    <n v="1"/>
    <n v="2"/>
    <n v="-1"/>
    <n v="1"/>
    <n v="-8"/>
    <n v="8"/>
    <n v="1534.2274309998313"/>
    <n v="1420.2002701191532"/>
    <n v="0.74035847557615275"/>
    <n v="74"/>
    <n v="65"/>
    <n v="0"/>
    <n v="9"/>
    <n v="1"/>
    <n v="0.37074258971191015"/>
    <n v="1"/>
    <n v="75.55"/>
    <n v="75.55"/>
    <n v="7.2724559312623018"/>
    <n v="1541.4998869310937"/>
    <n v="1"/>
    <n v="0"/>
    <n v="0"/>
    <n v="0"/>
    <n v="0"/>
    <n v="0"/>
    <n v="0"/>
    <n v="0"/>
    <n v="0"/>
    <n v="0"/>
  </r>
  <r>
    <d v="2005-05-24T00:00:00"/>
    <n v="2005"/>
    <x v="1"/>
    <s v="R"/>
    <s v="RS"/>
    <x v="5"/>
    <s v="IND"/>
    <s v="A"/>
    <n v="2"/>
    <n v="1"/>
    <n v="1"/>
    <n v="-1"/>
    <n v="8"/>
    <n v="-8"/>
    <n v="1488.2052946848573"/>
    <n v="1483.1314288723397"/>
    <n v="0.41041938224535168"/>
    <n v="76"/>
    <n v="83"/>
    <n v="0"/>
    <n v="-7"/>
    <n v="0"/>
    <n v="0.3685488662432585"/>
    <n v="1"/>
    <n v="75.7"/>
    <n v="75.7"/>
    <n v="-11.450351569416267"/>
    <n v="1476.7549431154412"/>
    <n v="0"/>
    <n v="1"/>
    <n v="0"/>
    <n v="0"/>
    <n v="0"/>
    <n v="0"/>
    <n v="0"/>
    <n v="0"/>
    <n v="0"/>
    <n v="0"/>
  </r>
  <r>
    <d v="2005-05-24T00:00:00"/>
    <n v="2005"/>
    <x v="1"/>
    <s v="R"/>
    <s v="RS"/>
    <x v="11"/>
    <s v="PHX"/>
    <s v="H"/>
    <n v="1"/>
    <n v="2"/>
    <n v="-1"/>
    <n v="1"/>
    <n v="-8"/>
    <n v="8"/>
    <n v="1483.1314288723397"/>
    <n v="1488.2052946848573"/>
    <n v="0.58958061775464832"/>
    <n v="83"/>
    <n v="76"/>
    <n v="0"/>
    <n v="7"/>
    <n v="1"/>
    <n v="0.3685488662432585"/>
    <n v="1"/>
    <n v="75.7"/>
    <n v="75.7"/>
    <n v="11.450351569416267"/>
    <n v="1494.5817804417559"/>
    <n v="1"/>
    <n v="0"/>
    <n v="0"/>
    <n v="0"/>
    <n v="0"/>
    <n v="0"/>
    <n v="0"/>
    <n v="0"/>
    <n v="0"/>
    <n v="0"/>
  </r>
  <r>
    <d v="2005-05-25T00:00:00"/>
    <n v="2005"/>
    <x v="1"/>
    <s v="R"/>
    <s v="RS"/>
    <x v="8"/>
    <s v="MIN"/>
    <s v="A"/>
    <n v="3"/>
    <n v="2"/>
    <n v="1"/>
    <n v="-1"/>
    <n v="8"/>
    <n v="-8"/>
    <n v="1580.8355016343687"/>
    <n v="1474.0760365863364"/>
    <n v="0.5555491024019511"/>
    <n v="65"/>
    <n v="68"/>
    <n v="0"/>
    <n v="-3"/>
    <n v="0"/>
    <n v="0.26647614548225229"/>
    <n v="1"/>
    <n v="75.7"/>
    <n v="75.7"/>
    <n v="-11.206672165968714"/>
    <n v="1569.6288294684"/>
    <n v="0"/>
    <n v="1"/>
    <n v="0"/>
    <n v="0"/>
    <n v="0"/>
    <n v="0"/>
    <n v="0"/>
    <n v="0"/>
    <n v="0"/>
    <n v="0"/>
  </r>
  <r>
    <d v="2005-05-25T00:00:00"/>
    <n v="2005"/>
    <x v="1"/>
    <s v="R"/>
    <s v="RS"/>
    <x v="10"/>
    <s v="LAS"/>
    <s v="H"/>
    <n v="2"/>
    <n v="3"/>
    <n v="-1"/>
    <n v="1"/>
    <n v="-8"/>
    <n v="8"/>
    <n v="1474.0760365863364"/>
    <n v="1580.8355016343687"/>
    <n v="0.44445089759804896"/>
    <n v="68"/>
    <n v="65"/>
    <n v="0"/>
    <n v="3"/>
    <n v="1"/>
    <n v="0.26647614548225229"/>
    <n v="1"/>
    <n v="75.7"/>
    <n v="75.7"/>
    <n v="11.206672165968712"/>
    <n v="1485.2827087523051"/>
    <n v="1"/>
    <n v="0"/>
    <n v="0"/>
    <n v="0"/>
    <n v="0"/>
    <n v="0"/>
    <n v="0"/>
    <n v="0"/>
    <n v="0"/>
    <n v="0"/>
  </r>
  <r>
    <d v="2005-05-26T00:00:00"/>
    <n v="2005"/>
    <x v="2"/>
    <s v="R"/>
    <s v="RS"/>
    <x v="5"/>
    <s v="CHA"/>
    <s v="A"/>
    <n v="1"/>
    <n v="3"/>
    <n v="-2"/>
    <n v="2"/>
    <n v="-16"/>
    <n v="16"/>
    <n v="1476.7549431154412"/>
    <n v="1439.406330816601"/>
    <n v="0.38870622950403788"/>
    <n v="68"/>
    <n v="58"/>
    <n v="0"/>
    <n v="10"/>
    <n v="1"/>
    <n v="0.41035778773404352"/>
    <n v="1"/>
    <n v="75.55"/>
    <n v="75.55"/>
    <n v="18.951653986348365"/>
    <n v="1495.7065971017896"/>
    <n v="1"/>
    <n v="0"/>
    <n v="0"/>
    <n v="0"/>
    <n v="0"/>
    <n v="0"/>
    <n v="0"/>
    <n v="0"/>
    <n v="0"/>
    <n v="0"/>
  </r>
  <r>
    <d v="2005-05-26T00:00:00"/>
    <n v="2005"/>
    <x v="2"/>
    <s v="R"/>
    <s v="RS"/>
    <x v="1"/>
    <s v="PHX"/>
    <s v="H"/>
    <n v="3"/>
    <n v="1"/>
    <n v="2"/>
    <n v="-2"/>
    <n v="16"/>
    <n v="-16"/>
    <n v="1439.406330816601"/>
    <n v="1476.7549431154412"/>
    <n v="0.61129377049596212"/>
    <n v="58"/>
    <n v="68"/>
    <n v="0"/>
    <n v="-10"/>
    <n v="0"/>
    <n v="0.41035778773404352"/>
    <n v="1"/>
    <n v="75.55"/>
    <n v="75.55"/>
    <n v="-18.951653986348365"/>
    <n v="1420.4546768302525"/>
    <n v="0"/>
    <n v="1"/>
    <n v="0"/>
    <n v="0"/>
    <n v="0"/>
    <n v="0"/>
    <n v="0"/>
    <n v="0"/>
    <n v="0"/>
    <n v="0"/>
  </r>
  <r>
    <d v="2005-05-26T00:00:00"/>
    <n v="2005"/>
    <x v="2"/>
    <s v="R"/>
    <s v="RS"/>
    <x v="11"/>
    <s v="NYL"/>
    <s v="A"/>
    <n v="1"/>
    <n v="3"/>
    <n v="-2"/>
    <n v="2"/>
    <n v="-16"/>
    <n v="16"/>
    <n v="1494.5817804417559"/>
    <n v="1468.6505910886242"/>
    <n v="0.37320825505648397"/>
    <n v="67"/>
    <n v="59"/>
    <n v="0"/>
    <n v="8"/>
    <n v="1"/>
    <n v="0.38010179205040245"/>
    <n v="1"/>
    <n v="75.55"/>
    <n v="75.55"/>
    <n v="17.999384478179678"/>
    <n v="1512.5811649199356"/>
    <n v="1"/>
    <n v="0"/>
    <n v="0"/>
    <n v="0"/>
    <n v="0"/>
    <n v="0"/>
    <n v="0"/>
    <n v="0"/>
    <n v="0"/>
    <n v="0"/>
  </r>
  <r>
    <d v="2005-05-26T00:00:00"/>
    <n v="2005"/>
    <x v="1"/>
    <s v="R"/>
    <s v="RS"/>
    <x v="12"/>
    <s v="IND"/>
    <s v="H"/>
    <n v="3"/>
    <n v="1"/>
    <n v="2"/>
    <n v="-2"/>
    <n v="16"/>
    <n v="-16"/>
    <n v="1468.6505910886242"/>
    <n v="1494.5817804417559"/>
    <n v="0.62679174494351608"/>
    <n v="59"/>
    <n v="67"/>
    <n v="0"/>
    <n v="-8"/>
    <n v="0"/>
    <n v="0.38010179205040245"/>
    <n v="1"/>
    <n v="75.7"/>
    <n v="75.7"/>
    <n v="-18.035121178003994"/>
    <n v="1450.6154699106203"/>
    <n v="0"/>
    <n v="1"/>
    <n v="0"/>
    <n v="0"/>
    <n v="0"/>
    <n v="0"/>
    <n v="0"/>
    <n v="0"/>
    <n v="0"/>
    <n v="0"/>
  </r>
  <r>
    <d v="2005-05-26T00:00:00"/>
    <n v="2005"/>
    <x v="2"/>
    <s v="R"/>
    <s v="RS"/>
    <x v="8"/>
    <s v="WAS"/>
    <s v="A"/>
    <n v="0"/>
    <n v="3"/>
    <n v="-3"/>
    <n v="3"/>
    <n v="-16"/>
    <n v="16"/>
    <n v="1569.6288294684"/>
    <n v="1496.6652868648061"/>
    <n v="0.43838039080228108"/>
    <n v="84"/>
    <n v="75"/>
    <n v="0"/>
    <n v="9"/>
    <n v="1"/>
    <n v="0.38270210911169578"/>
    <n v="1"/>
    <n v="75.55"/>
    <n v="75.55"/>
    <n v="16.23818882681115"/>
    <n v="1585.8670182952112"/>
    <n v="1"/>
    <n v="0"/>
    <n v="0"/>
    <n v="0"/>
    <n v="0"/>
    <n v="0"/>
    <n v="0"/>
    <n v="0"/>
    <n v="0"/>
    <n v="0"/>
  </r>
  <r>
    <d v="2005-05-26T00:00:00"/>
    <n v="2005"/>
    <x v="2"/>
    <s v="R"/>
    <s v="RS"/>
    <x v="0"/>
    <s v="LAS"/>
    <s v="H"/>
    <n v="3"/>
    <n v="0"/>
    <n v="3"/>
    <n v="-3"/>
    <n v="16"/>
    <n v="-16"/>
    <n v="1496.6652868648061"/>
    <n v="1569.6288294684"/>
    <n v="0.56161960919771892"/>
    <n v="75"/>
    <n v="84"/>
    <n v="0"/>
    <n v="-9"/>
    <n v="0"/>
    <n v="0.38270210911169578"/>
    <n v="1"/>
    <n v="75.55"/>
    <n v="75.55"/>
    <n v="-16.23818882681115"/>
    <n v="1480.4270980379949"/>
    <n v="0"/>
    <n v="1"/>
    <n v="0"/>
    <n v="0"/>
    <n v="0"/>
    <n v="0"/>
    <n v="0"/>
    <n v="0"/>
    <n v="0"/>
    <n v="0"/>
  </r>
  <r>
    <d v="2005-05-27T00:00:00"/>
    <n v="2005"/>
    <x v="1"/>
    <s v="R"/>
    <s v="RS"/>
    <x v="4"/>
    <s v="SAS"/>
    <s v="A"/>
    <n v="5"/>
    <n v="2"/>
    <n v="3"/>
    <n v="-3"/>
    <n v="16"/>
    <n v="-16"/>
    <n v="1553.8931346188256"/>
    <n v="1412.9133751622167"/>
    <n v="0.62532409520560017"/>
    <n v="71"/>
    <n v="67"/>
    <n v="0"/>
    <n v="4"/>
    <n v="1"/>
    <n v="0.27869121755878962"/>
    <n v="1"/>
    <n v="75.7"/>
    <n v="75.7"/>
    <n v="7.904509526149897"/>
    <n v="1561.7976441449755"/>
    <n v="1"/>
    <n v="0"/>
    <n v="0"/>
    <n v="0"/>
    <n v="0"/>
    <n v="0"/>
    <n v="0"/>
    <n v="0"/>
    <n v="0"/>
    <n v="0"/>
  </r>
  <r>
    <d v="2005-05-27T00:00:00"/>
    <n v="2005"/>
    <x v="2"/>
    <s v="R"/>
    <s v="RS"/>
    <x v="7"/>
    <s v="SAC"/>
    <s v="H"/>
    <n v="2"/>
    <n v="5"/>
    <n v="-3"/>
    <n v="3"/>
    <n v="-16"/>
    <n v="16"/>
    <n v="1412.9133751622167"/>
    <n v="1553.8931346188256"/>
    <n v="0.37467590479439983"/>
    <n v="67"/>
    <n v="71"/>
    <n v="0"/>
    <n v="-4"/>
    <n v="0"/>
    <n v="0.27869121755878962"/>
    <n v="1"/>
    <n v="75.55"/>
    <n v="75.55"/>
    <n v="-7.8888466935353332"/>
    <n v="1405.0245284686814"/>
    <n v="0"/>
    <n v="1"/>
    <n v="0"/>
    <n v="0"/>
    <n v="0"/>
    <n v="0"/>
    <n v="0"/>
    <n v="0"/>
    <n v="0"/>
    <n v="0"/>
  </r>
  <r>
    <d v="2005-05-27T00:00:00"/>
    <n v="2005"/>
    <x v="2"/>
    <s v="R"/>
    <s v="RS"/>
    <x v="6"/>
    <s v="SEA"/>
    <s v="A"/>
    <n v="4"/>
    <n v="5"/>
    <n v="-1"/>
    <n v="1"/>
    <n v="-8"/>
    <n v="8"/>
    <n v="1503.6481087839659"/>
    <n v="1539.631817193653"/>
    <n v="0.31371993318931712"/>
    <n v="69"/>
    <n v="79"/>
    <n v="0"/>
    <n v="-10"/>
    <n v="0"/>
    <n v="0.41081094818964781"/>
    <n v="1"/>
    <n v="75.55"/>
    <n v="75.55"/>
    <n v="-9.7368525122329483"/>
    <n v="1493.911256271733"/>
    <n v="0"/>
    <n v="1"/>
    <n v="0"/>
    <n v="0"/>
    <n v="0"/>
    <n v="0"/>
    <n v="0"/>
    <n v="0"/>
    <n v="0"/>
    <n v="0"/>
  </r>
  <r>
    <d v="2005-05-27T00:00:00"/>
    <n v="2005"/>
    <x v="1"/>
    <s v="R"/>
    <s v="RS"/>
    <x v="9"/>
    <s v="HOU"/>
    <s v="H"/>
    <n v="5"/>
    <n v="4"/>
    <n v="1"/>
    <n v="-1"/>
    <n v="8"/>
    <n v="-8"/>
    <n v="1539.631817193653"/>
    <n v="1503.6481087839659"/>
    <n v="0.68628006681068288"/>
    <n v="79"/>
    <n v="69"/>
    <n v="0"/>
    <n v="10"/>
    <n v="1"/>
    <n v="0.41081094818964781"/>
    <n v="1"/>
    <n v="75.7"/>
    <n v="75.7"/>
    <n v="9.7561844497158727"/>
    <n v="1549.3880016433689"/>
    <n v="1"/>
    <n v="0"/>
    <n v="0"/>
    <n v="0"/>
    <n v="0"/>
    <n v="0"/>
    <n v="0"/>
    <n v="0"/>
    <n v="0"/>
    <n v="0"/>
  </r>
  <r>
    <d v="2005-05-28T00:00:00"/>
    <n v="2005"/>
    <x v="3"/>
    <s v="R"/>
    <s v="RS"/>
    <x v="8"/>
    <s v="CHA"/>
    <s v="A"/>
    <n v="1"/>
    <n v="1"/>
    <n v="0"/>
    <n v="0"/>
    <n v="0"/>
    <n v="0"/>
    <n v="1585.8670182952112"/>
    <n v="1420.4546768302525"/>
    <n v="0.61506349543479533"/>
    <n v="75"/>
    <n v="84"/>
    <n v="0"/>
    <n v="-9"/>
    <n v="0"/>
    <n v="0.35679026604813635"/>
    <n v="1"/>
    <n v="75.400000000000006"/>
    <n v="75.400000000000006"/>
    <n v="-16.546429580219872"/>
    <n v="1569.3205887149913"/>
    <n v="0"/>
    <n v="1"/>
    <n v="0"/>
    <n v="0"/>
    <n v="0"/>
    <n v="0"/>
    <n v="0"/>
    <n v="0"/>
    <n v="0"/>
    <n v="0"/>
  </r>
  <r>
    <d v="2005-05-28T00:00:00"/>
    <n v="2005"/>
    <x v="3"/>
    <s v="R"/>
    <s v="RS"/>
    <x v="1"/>
    <s v="LAS"/>
    <s v="H"/>
    <n v="1"/>
    <n v="1"/>
    <n v="0"/>
    <n v="0"/>
    <n v="0"/>
    <n v="0"/>
    <n v="1420.4546768302525"/>
    <n v="1585.8670182952112"/>
    <n v="0.38493650456520467"/>
    <n v="84"/>
    <n v="75"/>
    <n v="0"/>
    <n v="9"/>
    <n v="1"/>
    <n v="0.35679026604813635"/>
    <n v="1"/>
    <n v="75.400000000000006"/>
    <n v="75.400000000000006"/>
    <n v="16.546429580219872"/>
    <n v="1437.0011064104724"/>
    <n v="1"/>
    <n v="0"/>
    <n v="0"/>
    <n v="0"/>
    <n v="0"/>
    <n v="0"/>
    <n v="0"/>
    <n v="0"/>
    <n v="0"/>
    <n v="0"/>
  </r>
  <r>
    <d v="2005-05-28T00:00:00"/>
    <n v="2005"/>
    <x v="3"/>
    <s v="R"/>
    <s v="RS"/>
    <x v="5"/>
    <s v="CON"/>
    <s v="A"/>
    <n v="1"/>
    <n v="5"/>
    <n v="-4"/>
    <n v="4"/>
    <n v="-16"/>
    <n v="16"/>
    <n v="1495.7065971017896"/>
    <n v="1526.8998723160912"/>
    <n v="0.29999690400929563"/>
    <n v="68"/>
    <n v="85"/>
    <n v="0"/>
    <n v="-17"/>
    <n v="0"/>
    <n v="0.51895221957509841"/>
    <n v="1"/>
    <n v="75.400000000000006"/>
    <n v="75.400000000000006"/>
    <n v="-11.738578063776643"/>
    <n v="1483.9680190380129"/>
    <n v="0"/>
    <n v="1"/>
    <n v="0"/>
    <n v="0"/>
    <n v="0"/>
    <n v="0"/>
    <n v="0"/>
    <n v="0"/>
    <n v="0"/>
    <n v="0"/>
  </r>
  <r>
    <d v="2005-05-28T00:00:00"/>
    <n v="2005"/>
    <x v="2"/>
    <s v="R"/>
    <s v="RS"/>
    <x v="2"/>
    <s v="PHX"/>
    <s v="H"/>
    <n v="5"/>
    <n v="1"/>
    <n v="4"/>
    <n v="-4"/>
    <n v="16"/>
    <n v="-16"/>
    <n v="1526.8998723160912"/>
    <n v="1495.7065971017896"/>
    <n v="0.70000309599070432"/>
    <n v="85"/>
    <n v="68"/>
    <n v="0"/>
    <n v="17"/>
    <n v="1"/>
    <n v="0.51895221957509841"/>
    <n v="1"/>
    <n v="75.55"/>
    <n v="75.55"/>
    <n v="11.761930672656835"/>
    <n v="1538.6618029887481"/>
    <n v="1"/>
    <n v="0"/>
    <n v="0"/>
    <n v="0"/>
    <n v="0"/>
    <n v="0"/>
    <n v="0"/>
    <n v="0"/>
    <n v="0"/>
    <n v="0"/>
  </r>
  <r>
    <d v="2005-05-29T00:00:00"/>
    <n v="2005"/>
    <x v="3"/>
    <s v="R"/>
    <s v="RS"/>
    <x v="11"/>
    <s v="HOU"/>
    <s v="A"/>
    <n v="2"/>
    <n v="1"/>
    <n v="1"/>
    <n v="-1"/>
    <n v="8"/>
    <n v="-8"/>
    <n v="1512.5811649199356"/>
    <n v="1493.911256271733"/>
    <n v="0.42948152373311532"/>
    <n v="78"/>
    <n v="86"/>
    <n v="1"/>
    <n v="-8"/>
    <n v="0"/>
    <n v="0.34412991969945322"/>
    <n v="1"/>
    <n v="75.400000000000006"/>
    <n v="75.400000000000006"/>
    <n v="-11.143927147510556"/>
    <n v="1501.4372377724251"/>
    <n v="0"/>
    <n v="1"/>
    <n v="0"/>
    <n v="0"/>
    <n v="0"/>
    <n v="0"/>
    <n v="0"/>
    <n v="0"/>
    <n v="0"/>
    <n v="0"/>
  </r>
  <r>
    <d v="2005-05-29T00:00:00"/>
    <n v="2005"/>
    <x v="3"/>
    <s v="R"/>
    <s v="RS"/>
    <x v="6"/>
    <s v="IND"/>
    <s v="H"/>
    <n v="1"/>
    <n v="2"/>
    <n v="-1"/>
    <n v="1"/>
    <n v="-8"/>
    <n v="8"/>
    <n v="1493.911256271733"/>
    <n v="1512.5811649199356"/>
    <n v="0.57051847626688468"/>
    <n v="86"/>
    <n v="78"/>
    <n v="1"/>
    <n v="8"/>
    <n v="1"/>
    <n v="0.34412991969945322"/>
    <n v="1"/>
    <n v="75.400000000000006"/>
    <n v="75.400000000000006"/>
    <n v="11.143927147510556"/>
    <n v="1505.0551834192436"/>
    <n v="1"/>
    <n v="0"/>
    <n v="0"/>
    <n v="0"/>
    <n v="0"/>
    <n v="0"/>
    <n v="0"/>
    <n v="0"/>
    <n v="0"/>
    <n v="0"/>
  </r>
  <r>
    <d v="2005-05-29T00:00:00"/>
    <n v="2005"/>
    <x v="2"/>
    <s v="R"/>
    <s v="RS"/>
    <x v="4"/>
    <s v="MIN"/>
    <s v="A"/>
    <n v="1"/>
    <n v="3"/>
    <n v="-2"/>
    <n v="2"/>
    <n v="-16"/>
    <n v="16"/>
    <n v="1561.7976441449755"/>
    <n v="1485.2827087523051"/>
    <n v="0.44341980525936542"/>
    <n v="67"/>
    <n v="66"/>
    <n v="0"/>
    <n v="1"/>
    <n v="1"/>
    <n v="0.22954342094573083"/>
    <n v="1"/>
    <n v="75.55"/>
    <n v="75.55"/>
    <n v="9.6522167719177485"/>
    <n v="1571.4498609168932"/>
    <n v="1"/>
    <n v="0"/>
    <n v="0"/>
    <n v="0"/>
    <n v="0"/>
    <n v="0"/>
    <n v="0"/>
    <n v="0"/>
    <n v="0"/>
    <n v="0"/>
  </r>
  <r>
    <d v="2005-05-29T00:00:00"/>
    <n v="2005"/>
    <x v="2"/>
    <s v="R"/>
    <s v="RS"/>
    <x v="10"/>
    <s v="SAC"/>
    <s v="H"/>
    <n v="3"/>
    <n v="1"/>
    <n v="2"/>
    <n v="-2"/>
    <n v="16"/>
    <n v="-16"/>
    <n v="1485.2827087523051"/>
    <n v="1561.7976441449755"/>
    <n v="0.55658019474063458"/>
    <n v="66"/>
    <n v="67"/>
    <n v="0"/>
    <n v="-1"/>
    <n v="0"/>
    <n v="0.22954342094573083"/>
    <n v="1"/>
    <n v="75.55"/>
    <n v="75.55"/>
    <n v="-9.6522167719177485"/>
    <n v="1475.6304919803874"/>
    <n v="0"/>
    <n v="1"/>
    <n v="0"/>
    <n v="0"/>
    <n v="0"/>
    <n v="0"/>
    <n v="0"/>
    <n v="0"/>
    <n v="0"/>
    <n v="0"/>
  </r>
  <r>
    <d v="2005-05-29T00:00:00"/>
    <n v="2005"/>
    <x v="3"/>
    <s v="R"/>
    <s v="RS"/>
    <x v="7"/>
    <s v="SEA"/>
    <s v="A"/>
    <n v="1"/>
    <n v="1"/>
    <n v="0"/>
    <n v="0"/>
    <n v="0"/>
    <n v="0"/>
    <n v="1405.0245284686814"/>
    <n v="1549.3880016433689"/>
    <n v="0.21172381972811768"/>
    <n v="51"/>
    <n v="79"/>
    <n v="0"/>
    <n v="-28"/>
    <n v="0"/>
    <n v="0.60616612125059821"/>
    <n v="1"/>
    <n v="75.400000000000006"/>
    <n v="75.400000000000006"/>
    <n v="-9.6768214162039303"/>
    <n v="1395.3477070524775"/>
    <n v="0"/>
    <n v="1"/>
    <n v="0"/>
    <n v="0"/>
    <n v="0"/>
    <n v="0"/>
    <n v="0"/>
    <n v="0"/>
    <n v="0"/>
    <n v="0"/>
  </r>
  <r>
    <d v="2005-05-29T00:00:00"/>
    <n v="2005"/>
    <x v="2"/>
    <s v="R"/>
    <s v="RS"/>
    <x v="9"/>
    <s v="SAS"/>
    <s v="H"/>
    <n v="1"/>
    <n v="1"/>
    <n v="0"/>
    <n v="0"/>
    <n v="0"/>
    <n v="0"/>
    <n v="1549.3880016433689"/>
    <n v="1405.0245284686814"/>
    <n v="0.78827618027188229"/>
    <n v="79"/>
    <n v="51"/>
    <n v="0"/>
    <n v="28"/>
    <n v="1"/>
    <n v="0.60616612125059821"/>
    <n v="1"/>
    <n v="75.55"/>
    <n v="75.55"/>
    <n v="9.696072387191073"/>
    <n v="1559.08407403056"/>
    <n v="1"/>
    <n v="0"/>
    <n v="0"/>
    <n v="0"/>
    <n v="0"/>
    <n v="0"/>
    <n v="0"/>
    <n v="0"/>
    <n v="0"/>
    <n v="0"/>
  </r>
  <r>
    <d v="2005-05-31T00:00:00"/>
    <n v="2005"/>
    <x v="4"/>
    <s v="R"/>
    <s v="RS"/>
    <x v="7"/>
    <s v="LAS"/>
    <s v="A"/>
    <n v="1"/>
    <n v="2"/>
    <n v="-1"/>
    <n v="1"/>
    <n v="-8"/>
    <n v="8"/>
    <n v="1395.3477070524775"/>
    <n v="1569.3205887149913"/>
    <n v="0.17120450149599173"/>
    <n v="70"/>
    <n v="81"/>
    <n v="0"/>
    <n v="-11"/>
    <n v="0"/>
    <n v="0.38414380032778617"/>
    <n v="1"/>
    <n v="75.25"/>
    <n v="75.25"/>
    <n v="-4.9489778748015549"/>
    <n v="1390.3987291776759"/>
    <n v="0"/>
    <n v="1"/>
    <n v="0"/>
    <n v="0"/>
    <n v="0"/>
    <n v="0"/>
    <n v="0"/>
    <n v="0"/>
    <n v="0"/>
    <n v="0"/>
  </r>
  <r>
    <d v="2005-05-31T00:00:00"/>
    <n v="2005"/>
    <x v="4"/>
    <s v="R"/>
    <s v="RS"/>
    <x v="8"/>
    <s v="SAS"/>
    <s v="H"/>
    <n v="2"/>
    <n v="1"/>
    <n v="1"/>
    <n v="-1"/>
    <n v="8"/>
    <n v="-8"/>
    <n v="1569.3205887149913"/>
    <n v="1395.3477070524775"/>
    <n v="0.82879549850400824"/>
    <n v="81"/>
    <n v="70"/>
    <n v="0"/>
    <n v="11"/>
    <n v="1"/>
    <n v="0.38414380032778617"/>
    <n v="1"/>
    <n v="75.25"/>
    <n v="75.25"/>
    <n v="4.9489778748015558"/>
    <n v="1574.2695665897929"/>
    <n v="1"/>
    <n v="0"/>
    <n v="0"/>
    <n v="0"/>
    <n v="0"/>
    <n v="0"/>
    <n v="0"/>
    <n v="0"/>
    <n v="0"/>
    <n v="0"/>
  </r>
  <r>
    <d v="2005-06-01T00:00:00"/>
    <n v="2005"/>
    <x v="3"/>
    <s v="R"/>
    <s v="RS"/>
    <x v="4"/>
    <s v="IND"/>
    <s v="A"/>
    <n v="2"/>
    <n v="2"/>
    <n v="0"/>
    <n v="0"/>
    <n v="0"/>
    <n v="0"/>
    <n v="1571.4498609168932"/>
    <n v="1501.4372377724251"/>
    <n v="0.47988141469127105"/>
    <n v="60"/>
    <n v="61"/>
    <n v="0"/>
    <n v="-1"/>
    <n v="0"/>
    <n v="0.2307186557192358"/>
    <n v="1"/>
    <n v="75.400000000000006"/>
    <n v="75.400000000000006"/>
    <n v="-8.348106655627026"/>
    <n v="1563.101754261266"/>
    <n v="0"/>
    <n v="1"/>
    <n v="0"/>
    <n v="0"/>
    <n v="0"/>
    <n v="0"/>
    <n v="0"/>
    <n v="0"/>
    <n v="0"/>
    <n v="0"/>
  </r>
  <r>
    <d v="2005-06-01T00:00:00"/>
    <n v="2005"/>
    <x v="4"/>
    <s v="R"/>
    <s v="RS"/>
    <x v="11"/>
    <s v="SAC"/>
    <s v="H"/>
    <n v="2"/>
    <n v="2"/>
    <n v="0"/>
    <n v="0"/>
    <n v="0"/>
    <n v="0"/>
    <n v="1501.4372377724251"/>
    <n v="1571.4498609168932"/>
    <n v="0.52011858530872901"/>
    <n v="61"/>
    <n v="60"/>
    <n v="0"/>
    <n v="1"/>
    <n v="1"/>
    <n v="0.2307186557192358"/>
    <n v="1"/>
    <n v="75.25"/>
    <n v="75.25"/>
    <n v="8.3314990163916924"/>
    <n v="1509.7687367888168"/>
    <n v="1"/>
    <n v="0"/>
    <n v="0"/>
    <n v="0"/>
    <n v="0"/>
    <n v="0"/>
    <n v="0"/>
    <n v="0"/>
    <n v="0"/>
    <n v="0"/>
  </r>
  <r>
    <d v="2005-06-01T00:00:00"/>
    <n v="2005"/>
    <x v="2"/>
    <s v="R"/>
    <s v="RS"/>
    <x v="12"/>
    <s v="WAS"/>
    <s v="A"/>
    <n v="5"/>
    <n v="5"/>
    <n v="0"/>
    <n v="0"/>
    <n v="0"/>
    <n v="0"/>
    <n v="1450.6154699106203"/>
    <n v="1480.4270980379949"/>
    <n v="0.34182939779575766"/>
    <n v="77"/>
    <n v="68"/>
    <n v="0"/>
    <n v="9"/>
    <n v="1"/>
    <n v="0.39613044911479278"/>
    <n v="1"/>
    <n v="75.55"/>
    <n v="75.55"/>
    <n v="19.697502997333938"/>
    <n v="1470.3129729079542"/>
    <n v="1"/>
    <n v="0"/>
    <n v="0"/>
    <n v="0"/>
    <n v="0"/>
    <n v="0"/>
    <n v="0"/>
    <n v="0"/>
    <n v="0"/>
    <n v="0"/>
  </r>
  <r>
    <d v="2005-06-01T00:00:00"/>
    <n v="2005"/>
    <x v="3"/>
    <s v="R"/>
    <s v="RS"/>
    <x v="0"/>
    <s v="NYL"/>
    <s v="H"/>
    <n v="5"/>
    <n v="5"/>
    <n v="0"/>
    <n v="0"/>
    <n v="0"/>
    <n v="0"/>
    <n v="1480.4270980379949"/>
    <n v="1450.6154699106203"/>
    <n v="0.65817060220424228"/>
    <n v="68"/>
    <n v="77"/>
    <n v="0"/>
    <n v="-9"/>
    <n v="0"/>
    <n v="0.39613044911479278"/>
    <n v="1"/>
    <n v="75.400000000000006"/>
    <n v="75.400000000000006"/>
    <n v="-19.658394784897141"/>
    <n v="1460.7687032530978"/>
    <n v="0"/>
    <n v="1"/>
    <n v="0"/>
    <n v="0"/>
    <n v="0"/>
    <n v="0"/>
    <n v="0"/>
    <n v="0"/>
    <n v="0"/>
    <n v="0"/>
  </r>
  <r>
    <d v="2005-06-02T00:00:00"/>
    <n v="2005"/>
    <x v="3"/>
    <s v="R"/>
    <s v="RS"/>
    <x v="9"/>
    <s v="PHX"/>
    <s v="A"/>
    <n v="3"/>
    <n v="4"/>
    <n v="-1"/>
    <n v="1"/>
    <n v="-8"/>
    <n v="8"/>
    <n v="1559.08407403056"/>
    <n v="1483.9680190380129"/>
    <n v="0.46425023182085667"/>
    <n v="78"/>
    <n v="67"/>
    <n v="0"/>
    <n v="11"/>
    <n v="1"/>
    <n v="0.41392558915921002"/>
    <n v="1"/>
    <n v="75.400000000000006"/>
    <n v="75.400000000000006"/>
    <n v="16.720744598033843"/>
    <n v="1575.8048186285939"/>
    <n v="1"/>
    <n v="0"/>
    <n v="0"/>
    <n v="0"/>
    <n v="0"/>
    <n v="0"/>
    <n v="0"/>
    <n v="0"/>
    <n v="0"/>
    <n v="0"/>
  </r>
  <r>
    <d v="2005-06-02T00:00:00"/>
    <n v="2005"/>
    <x v="4"/>
    <s v="R"/>
    <s v="RS"/>
    <x v="5"/>
    <s v="SEA"/>
    <s v="H"/>
    <n v="4"/>
    <n v="3"/>
    <n v="1"/>
    <n v="-1"/>
    <n v="8"/>
    <n v="-8"/>
    <n v="1483.9680190380129"/>
    <n v="1559.08407403056"/>
    <n v="0.53574976817914322"/>
    <n v="67"/>
    <n v="78"/>
    <n v="0"/>
    <n v="-11"/>
    <n v="0"/>
    <n v="0.41392558915921002"/>
    <n v="1"/>
    <n v="75.25"/>
    <n v="75.25"/>
    <n v="-16.687480517268519"/>
    <n v="1467.2805385207444"/>
    <n v="0"/>
    <n v="1"/>
    <n v="0"/>
    <n v="0"/>
    <n v="0"/>
    <n v="0"/>
    <n v="0"/>
    <n v="0"/>
    <n v="0"/>
    <n v="0"/>
  </r>
  <r>
    <d v="2005-06-02T00:00:00"/>
    <n v="2005"/>
    <x v="4"/>
    <s v="R"/>
    <s v="RS"/>
    <x v="1"/>
    <s v="SAS"/>
    <s v="A"/>
    <n v="4"/>
    <n v="1"/>
    <n v="3"/>
    <n v="-3"/>
    <n v="16"/>
    <n v="-16"/>
    <n v="1437.0011064104724"/>
    <n v="1390.3987291776759"/>
    <n v="0.49223282129679452"/>
    <n v="62"/>
    <n v="69"/>
    <n v="0"/>
    <n v="-7"/>
    <n v="0"/>
    <n v="0.3562712658790681"/>
    <n v="1"/>
    <n v="75.25"/>
    <n v="75.25"/>
    <n v="-13.196472878885217"/>
    <n v="1423.8046335315871"/>
    <n v="0"/>
    <n v="1"/>
    <n v="0"/>
    <n v="0"/>
    <n v="0"/>
    <n v="0"/>
    <n v="0"/>
    <n v="0"/>
    <n v="0"/>
    <n v="0"/>
  </r>
  <r>
    <d v="2005-06-02T00:00:00"/>
    <n v="2005"/>
    <x v="5"/>
    <s v="R"/>
    <s v="RS"/>
    <x v="7"/>
    <s v="CHA"/>
    <s v="H"/>
    <n v="1"/>
    <n v="4"/>
    <n v="-3"/>
    <n v="3"/>
    <n v="-16"/>
    <n v="16"/>
    <n v="1390.3987291776759"/>
    <n v="1437.0011064104724"/>
    <n v="0.50776717870320554"/>
    <n v="69"/>
    <n v="62"/>
    <n v="0"/>
    <n v="7"/>
    <n v="1"/>
    <n v="0.3562712658790681"/>
    <n v="1"/>
    <n v="75.099999999999994"/>
    <n v="75.099999999999994"/>
    <n v="13.170167617332618"/>
    <n v="1403.5688967950086"/>
    <n v="1"/>
    <n v="0"/>
    <n v="0"/>
    <n v="0"/>
    <n v="0"/>
    <n v="0"/>
    <n v="0"/>
    <n v="0"/>
    <n v="0"/>
    <n v="0"/>
  </r>
  <r>
    <d v="2005-06-03T00:00:00"/>
    <n v="2005"/>
    <x v="3"/>
    <s v="R"/>
    <s v="RS"/>
    <x v="12"/>
    <s v="DET"/>
    <s v="A"/>
    <n v="1"/>
    <n v="9"/>
    <n v="-8"/>
    <n v="8"/>
    <n v="-16"/>
    <n v="16"/>
    <n v="1470.3129729079542"/>
    <n v="1541.4998869310937"/>
    <n v="0.25397287416104142"/>
    <n v="66"/>
    <n v="68"/>
    <n v="1"/>
    <n v="-2"/>
    <n v="0"/>
    <n v="0.2275579014253272"/>
    <n v="1"/>
    <n v="75.400000000000006"/>
    <n v="75.400000000000006"/>
    <n v="-4.3576324834336155"/>
    <n v="1465.9553404245205"/>
    <n v="0"/>
    <n v="1"/>
    <n v="0"/>
    <n v="0"/>
    <n v="0"/>
    <n v="0"/>
    <n v="0"/>
    <n v="0"/>
    <n v="0"/>
    <n v="0"/>
  </r>
  <r>
    <d v="2005-06-03T00:00:00"/>
    <n v="2005"/>
    <x v="3"/>
    <s v="R"/>
    <s v="RS"/>
    <x v="3"/>
    <s v="NYL"/>
    <s v="H"/>
    <n v="9"/>
    <n v="1"/>
    <n v="8"/>
    <n v="-8"/>
    <n v="16"/>
    <n v="-16"/>
    <n v="1541.4998869310937"/>
    <n v="1470.3129729079542"/>
    <n v="0.74602712583895858"/>
    <n v="68"/>
    <n v="66"/>
    <n v="1"/>
    <n v="2"/>
    <n v="1"/>
    <n v="0.2275579014253272"/>
    <n v="1"/>
    <n v="75.400000000000006"/>
    <n v="75.400000000000006"/>
    <n v="4.3576324834336155"/>
    <n v="1545.8575194145274"/>
    <n v="1"/>
    <n v="0"/>
    <n v="0"/>
    <n v="0"/>
    <n v="0"/>
    <n v="0"/>
    <n v="0"/>
    <n v="0"/>
    <n v="0"/>
    <n v="0"/>
  </r>
  <r>
    <d v="2005-06-03T00:00:00"/>
    <n v="2005"/>
    <x v="3"/>
    <s v="R"/>
    <s v="RS"/>
    <x v="10"/>
    <s v="WAS"/>
    <s v="A"/>
    <n v="4"/>
    <n v="1"/>
    <n v="3"/>
    <n v="-3"/>
    <n v="16"/>
    <n v="-16"/>
    <n v="1475.6304919803874"/>
    <n v="1460.7687032530978"/>
    <n v="0.44675644995011138"/>
    <n v="71"/>
    <n v="74"/>
    <n v="0"/>
    <n v="-3"/>
    <n v="0"/>
    <n v="0.28663361425109207"/>
    <n v="1"/>
    <n v="75.400000000000006"/>
    <n v="75.400000000000006"/>
    <n v="-9.6553783618147424"/>
    <n v="1465.9751136185728"/>
    <n v="0"/>
    <n v="1"/>
    <n v="0"/>
    <n v="0"/>
    <n v="0"/>
    <n v="0"/>
    <n v="0"/>
    <n v="0"/>
    <n v="0"/>
    <n v="0"/>
  </r>
  <r>
    <d v="2005-06-03T00:00:00"/>
    <n v="2005"/>
    <x v="4"/>
    <s v="R"/>
    <s v="RS"/>
    <x v="0"/>
    <s v="MIN"/>
    <s v="H"/>
    <n v="1"/>
    <n v="4"/>
    <n v="-3"/>
    <n v="3"/>
    <n v="-16"/>
    <n v="16"/>
    <n v="1460.7687032530978"/>
    <n v="1475.6304919803874"/>
    <n v="0.55324355004988868"/>
    <n v="74"/>
    <n v="71"/>
    <n v="0"/>
    <n v="3"/>
    <n v="1"/>
    <n v="0.28663361425109207"/>
    <n v="1"/>
    <n v="75.25"/>
    <n v="75.25"/>
    <n v="9.6361700494238622"/>
    <n v="1470.4048733025215"/>
    <n v="1"/>
    <n v="0"/>
    <n v="0"/>
    <n v="0"/>
    <n v="0"/>
    <n v="0"/>
    <n v="0"/>
    <n v="0"/>
    <n v="0"/>
    <n v="0"/>
  </r>
  <r>
    <d v="2005-06-04T00:00:00"/>
    <n v="2005"/>
    <x v="6"/>
    <s v="R"/>
    <s v="RS"/>
    <x v="7"/>
    <s v="CON"/>
    <s v="A"/>
    <n v="1"/>
    <n v="6"/>
    <n v="-5"/>
    <n v="5"/>
    <n v="-16"/>
    <n v="16"/>
    <n v="1403.5688967950086"/>
    <n v="1538.6618029887481"/>
    <n v="0.19070944646992233"/>
    <n v="69"/>
    <n v="80"/>
    <n v="0"/>
    <n v="-11"/>
    <n v="0"/>
    <n v="0.39533066340221162"/>
    <n v="1"/>
    <n v="74.95"/>
    <n v="74.95"/>
    <n v="-5.650727234652221"/>
    <n v="1397.9181695603563"/>
    <n v="0"/>
    <n v="1"/>
    <n v="0"/>
    <n v="0"/>
    <n v="0"/>
    <n v="0"/>
    <n v="0"/>
    <n v="0"/>
    <n v="0"/>
    <n v="0"/>
  </r>
  <r>
    <d v="2005-06-04T00:00:00"/>
    <n v="2005"/>
    <x v="3"/>
    <s v="R"/>
    <s v="RS"/>
    <x v="2"/>
    <s v="SAS"/>
    <s v="H"/>
    <n v="6"/>
    <n v="1"/>
    <n v="5"/>
    <n v="-5"/>
    <n v="16"/>
    <n v="-16"/>
    <n v="1538.6618029887481"/>
    <n v="1403.5688967950086"/>
    <n v="0.80929055353007762"/>
    <n v="80"/>
    <n v="69"/>
    <n v="0"/>
    <n v="11"/>
    <n v="1"/>
    <n v="0.39533066340221162"/>
    <n v="1"/>
    <n v="75.400000000000006"/>
    <n v="75.400000000000006"/>
    <n v="5.6846542160477336"/>
    <n v="1544.3464572047958"/>
    <n v="1"/>
    <n v="0"/>
    <n v="0"/>
    <n v="0"/>
    <n v="0"/>
    <n v="0"/>
    <n v="0"/>
    <n v="0"/>
    <n v="0"/>
    <n v="0"/>
  </r>
  <r>
    <d v="2005-06-04T00:00:00"/>
    <n v="2005"/>
    <x v="5"/>
    <s v="R"/>
    <s v="RS"/>
    <x v="5"/>
    <s v="HOU"/>
    <s v="A"/>
    <n v="1"/>
    <n v="5"/>
    <n v="-4"/>
    <n v="4"/>
    <n v="-16"/>
    <n v="16"/>
    <n v="1467.2805385207444"/>
    <n v="1505.0551834192436"/>
    <n v="0.29210178218349087"/>
    <n v="57"/>
    <n v="59"/>
    <n v="0"/>
    <n v="-2"/>
    <n v="0"/>
    <n v="0.25966728781874532"/>
    <n v="1"/>
    <n v="75.099999999999994"/>
    <n v="75.099999999999994"/>
    <n v="-5.696280743750334"/>
    <n v="1461.584257776994"/>
    <n v="0"/>
    <n v="1"/>
    <n v="0"/>
    <n v="0"/>
    <n v="0"/>
    <n v="0"/>
    <n v="0"/>
    <n v="0"/>
    <n v="0"/>
    <n v="0"/>
  </r>
  <r>
    <d v="2005-06-04T00:00:00"/>
    <n v="2005"/>
    <x v="4"/>
    <s v="R"/>
    <s v="RS"/>
    <x v="6"/>
    <s v="PHX"/>
    <s v="H"/>
    <n v="5"/>
    <n v="1"/>
    <n v="4"/>
    <n v="-4"/>
    <n v="16"/>
    <n v="-16"/>
    <n v="1505.0551834192436"/>
    <n v="1467.2805385207444"/>
    <n v="0.70789821781650919"/>
    <n v="59"/>
    <n v="57"/>
    <n v="0"/>
    <n v="2"/>
    <n v="1"/>
    <n v="0.25966728781874532"/>
    <n v="1"/>
    <n v="75.25"/>
    <n v="75.25"/>
    <n v="5.7076581353823244"/>
    <n v="1510.762841554626"/>
    <n v="1"/>
    <n v="0"/>
    <n v="0"/>
    <n v="0"/>
    <n v="0"/>
    <n v="0"/>
    <n v="0"/>
    <n v="0"/>
    <n v="0"/>
    <n v="0"/>
  </r>
  <r>
    <d v="2005-06-04T00:00:00"/>
    <n v="2005"/>
    <x v="5"/>
    <s v="R"/>
    <s v="RS"/>
    <x v="1"/>
    <s v="MIN"/>
    <s v="A"/>
    <n v="1"/>
    <n v="0"/>
    <n v="1"/>
    <n v="-1"/>
    <n v="8"/>
    <n v="-8"/>
    <n v="1423.8046335315871"/>
    <n v="1465.9751136185728"/>
    <n v="0.34656056362309395"/>
    <n v="67"/>
    <n v="73"/>
    <n v="0"/>
    <n v="-6"/>
    <n v="0"/>
    <n v="0.33935512078798635"/>
    <n v="1"/>
    <n v="75.099999999999994"/>
    <n v="75.099999999999994"/>
    <n v="-8.8322933548429425"/>
    <n v="1414.9723401767442"/>
    <n v="0"/>
    <n v="1"/>
    <n v="0"/>
    <n v="0"/>
    <n v="0"/>
    <n v="0"/>
    <n v="0"/>
    <n v="0"/>
    <n v="0"/>
    <n v="0"/>
  </r>
  <r>
    <d v="2005-06-04T00:00:00"/>
    <n v="2005"/>
    <x v="4"/>
    <s v="R"/>
    <s v="RS"/>
    <x v="10"/>
    <s v="CHA"/>
    <s v="H"/>
    <n v="0"/>
    <n v="1"/>
    <n v="-1"/>
    <n v="1"/>
    <n v="-8"/>
    <n v="8"/>
    <n v="1465.9751136185728"/>
    <n v="1423.8046335315871"/>
    <n v="0.65343943637690605"/>
    <n v="73"/>
    <n v="67"/>
    <n v="0"/>
    <n v="6"/>
    <n v="1"/>
    <n v="0.33935512078798635"/>
    <n v="1"/>
    <n v="75.25"/>
    <n v="75.25"/>
    <n v="8.849934420132243"/>
    <n v="1474.8250480387051"/>
    <n v="1"/>
    <n v="0"/>
    <n v="0"/>
    <n v="0"/>
    <n v="0"/>
    <n v="0"/>
    <n v="0"/>
    <n v="0"/>
    <n v="0"/>
    <n v="0"/>
  </r>
  <r>
    <d v="2005-06-04T00:00:00"/>
    <n v="2005"/>
    <x v="5"/>
    <s v="R"/>
    <s v="RS"/>
    <x v="8"/>
    <s v="SAC"/>
    <s v="A"/>
    <n v="3"/>
    <n v="2"/>
    <n v="1"/>
    <n v="-1"/>
    <n v="8"/>
    <n v="-8"/>
    <n v="1574.2695665897929"/>
    <n v="1563.101754261266"/>
    <n v="0.41893365620497935"/>
    <n v="53"/>
    <n v="81"/>
    <n v="0"/>
    <n v="-28"/>
    <n v="0"/>
    <n v="0.67282797956674956"/>
    <n v="1"/>
    <n v="75.099999999999994"/>
    <n v="75.099999999999994"/>
    <n v="-21.168458439315753"/>
    <n v="1553.1011081504771"/>
    <n v="0"/>
    <n v="1"/>
    <n v="0"/>
    <n v="0"/>
    <n v="0"/>
    <n v="0"/>
    <n v="0"/>
    <n v="0"/>
    <n v="0"/>
    <n v="0"/>
  </r>
  <r>
    <d v="2005-06-04T00:00:00"/>
    <n v="2005"/>
    <x v="4"/>
    <s v="R"/>
    <s v="RS"/>
    <x v="4"/>
    <s v="LAS"/>
    <s v="H"/>
    <n v="2"/>
    <n v="3"/>
    <n v="-1"/>
    <n v="1"/>
    <n v="-8"/>
    <n v="8"/>
    <n v="1563.101754261266"/>
    <n v="1574.2695665897929"/>
    <n v="0.58106634379502065"/>
    <n v="81"/>
    <n v="53"/>
    <n v="0"/>
    <n v="28"/>
    <n v="1"/>
    <n v="0.67282797956674956"/>
    <n v="1"/>
    <n v="75.25"/>
    <n v="75.25"/>
    <n v="21.210738982137293"/>
    <n v="1584.3124932434034"/>
    <n v="1"/>
    <n v="0"/>
    <n v="0"/>
    <n v="0"/>
    <n v="0"/>
    <n v="0"/>
    <n v="0"/>
    <n v="0"/>
    <n v="0"/>
    <n v="0"/>
  </r>
  <r>
    <d v="2005-06-04T00:00:00"/>
    <n v="2005"/>
    <x v="5"/>
    <s v="R"/>
    <s v="RS"/>
    <x v="11"/>
    <s v="SEA"/>
    <s v="A"/>
    <n v="2"/>
    <n v="1"/>
    <n v="1"/>
    <n v="-1"/>
    <n v="8"/>
    <n v="-8"/>
    <n v="1509.7687367888168"/>
    <n v="1575.8048186285939"/>
    <n v="0.31613877956518194"/>
    <n v="77"/>
    <n v="83"/>
    <n v="0"/>
    <n v="-6"/>
    <n v="0"/>
    <n v="0.3329580565323394"/>
    <n v="1"/>
    <n v="75.099999999999994"/>
    <n v="75.099999999999994"/>
    <n v="-7.9050976182534995"/>
    <n v="1501.8636391705634"/>
    <n v="0"/>
    <n v="1"/>
    <n v="0"/>
    <n v="0"/>
    <n v="0"/>
    <n v="0"/>
    <n v="0"/>
    <n v="0"/>
    <n v="0"/>
    <n v="0"/>
  </r>
  <r>
    <d v="2005-06-04T00:00:00"/>
    <n v="2005"/>
    <x v="4"/>
    <s v="R"/>
    <s v="RS"/>
    <x v="9"/>
    <s v="IND"/>
    <s v="H"/>
    <n v="1"/>
    <n v="2"/>
    <n v="-1"/>
    <n v="1"/>
    <n v="-8"/>
    <n v="8"/>
    <n v="1575.8048186285939"/>
    <n v="1509.7687367888168"/>
    <n v="0.68386122043481812"/>
    <n v="83"/>
    <n v="77"/>
    <n v="0"/>
    <n v="6"/>
    <n v="1"/>
    <n v="0.3329580565323394"/>
    <n v="1"/>
    <n v="75.25"/>
    <n v="75.25"/>
    <n v="7.9208867612992782"/>
    <n v="1583.7257053898932"/>
    <n v="1"/>
    <n v="0"/>
    <n v="0"/>
    <n v="0"/>
    <n v="0"/>
    <n v="0"/>
    <n v="0"/>
    <n v="0"/>
    <n v="0"/>
    <n v="0"/>
  </r>
  <r>
    <d v="2005-06-05T00:00:00"/>
    <n v="2005"/>
    <x v="5"/>
    <s v="R"/>
    <s v="RS"/>
    <x v="0"/>
    <s v="NYL"/>
    <s v="A"/>
    <n v="1"/>
    <n v="1"/>
    <n v="0"/>
    <n v="0"/>
    <n v="0"/>
    <n v="0"/>
    <n v="1470.4048733025215"/>
    <n v="1465.9553404245205"/>
    <n v="0.38747716642219532"/>
    <n v="58"/>
    <n v="61"/>
    <n v="0"/>
    <n v="-3"/>
    <n v="0"/>
    <n v="0.28911151178446343"/>
    <n v="1"/>
    <n v="75.099999999999994"/>
    <n v="75.099999999999994"/>
    <n v="-8.4130106134077032"/>
    <n v="1461.9918626891138"/>
    <n v="0"/>
    <n v="1"/>
    <n v="0"/>
    <n v="0"/>
    <n v="0"/>
    <n v="0"/>
    <n v="0"/>
    <n v="0"/>
    <n v="0"/>
    <n v="0"/>
  </r>
  <r>
    <d v="2005-06-05T00:00:00"/>
    <n v="2005"/>
    <x v="4"/>
    <s v="R"/>
    <s v="RS"/>
    <x v="12"/>
    <s v="WAS"/>
    <s v="H"/>
    <n v="1"/>
    <n v="1"/>
    <n v="0"/>
    <n v="0"/>
    <n v="0"/>
    <n v="0"/>
    <n v="1465.9553404245205"/>
    <n v="1470.4048733025215"/>
    <n v="0.61252283357780468"/>
    <n v="61"/>
    <n v="58"/>
    <n v="0"/>
    <n v="3"/>
    <n v="1"/>
    <n v="0.28911151178446343"/>
    <n v="1"/>
    <n v="75.25"/>
    <n v="75.25"/>
    <n v="8.4298142298126475"/>
    <n v="1474.3851546543331"/>
    <n v="1"/>
    <n v="0"/>
    <n v="0"/>
    <n v="0"/>
    <n v="0"/>
    <n v="0"/>
    <n v="0"/>
    <n v="0"/>
    <n v="0"/>
    <n v="0"/>
  </r>
  <r>
    <d v="2005-06-07T00:00:00"/>
    <n v="2005"/>
    <x v="5"/>
    <s v="R"/>
    <s v="RS"/>
    <x v="9"/>
    <s v="CON"/>
    <s v="A"/>
    <n v="2"/>
    <n v="2"/>
    <n v="0"/>
    <n v="0"/>
    <n v="0"/>
    <n v="0"/>
    <n v="1583.7257053898932"/>
    <n v="1544.3464572047958"/>
    <n v="0.43613631267311748"/>
    <n v="69"/>
    <n v="81"/>
    <n v="0"/>
    <n v="-12"/>
    <n v="0"/>
    <n v="0.44163667617751101"/>
    <n v="1"/>
    <n v="75.099999999999994"/>
    <n v="75.099999999999994"/>
    <n v="-14.465295740844272"/>
    <n v="1569.2604096490488"/>
    <n v="0"/>
    <n v="1"/>
    <n v="0"/>
    <n v="0"/>
    <n v="0"/>
    <n v="0"/>
    <n v="0"/>
    <n v="0"/>
    <n v="0"/>
    <n v="0"/>
  </r>
  <r>
    <d v="2005-06-07T00:00:00"/>
    <n v="2005"/>
    <x v="4"/>
    <s v="R"/>
    <s v="RS"/>
    <x v="2"/>
    <s v="SEA"/>
    <s v="H"/>
    <n v="2"/>
    <n v="2"/>
    <n v="0"/>
    <n v="0"/>
    <n v="0"/>
    <n v="0"/>
    <n v="1544.3464572047958"/>
    <n v="1583.7257053898932"/>
    <n v="0.56386368732688252"/>
    <n v="81"/>
    <n v="69"/>
    <n v="0"/>
    <n v="12"/>
    <n v="1"/>
    <n v="0.44163667617751101"/>
    <n v="1"/>
    <n v="75.25"/>
    <n v="75.25"/>
    <n v="14.494187809567663"/>
    <n v="1558.8406450143634"/>
    <n v="1"/>
    <n v="0"/>
    <n v="0"/>
    <n v="0"/>
    <n v="0"/>
    <n v="0"/>
    <n v="0"/>
    <n v="0"/>
    <n v="0"/>
    <n v="0"/>
  </r>
  <r>
    <d v="2005-06-07T00:00:00"/>
    <n v="2005"/>
    <x v="5"/>
    <s v="R"/>
    <s v="RS"/>
    <x v="10"/>
    <s v="HOU"/>
    <s v="A"/>
    <n v="2"/>
    <n v="2"/>
    <n v="0"/>
    <n v="0"/>
    <n v="0"/>
    <n v="0"/>
    <n v="1474.8250480387051"/>
    <n v="1510.762841554626"/>
    <n v="0.3339402183895408"/>
    <n v="62"/>
    <n v="58"/>
    <n v="0"/>
    <n v="4"/>
    <n v="1"/>
    <n v="0.3023770968452395"/>
    <n v="1"/>
    <n v="75.099999999999994"/>
    <n v="75.099999999999994"/>
    <n v="15.125231853964742"/>
    <n v="1489.9502798926699"/>
    <n v="1"/>
    <n v="0"/>
    <n v="0"/>
    <n v="0"/>
    <n v="0"/>
    <n v="0"/>
    <n v="0"/>
    <n v="0"/>
    <n v="0"/>
    <n v="0"/>
  </r>
  <r>
    <d v="2005-06-07T00:00:00"/>
    <n v="2005"/>
    <x v="5"/>
    <s v="R"/>
    <s v="RS"/>
    <x v="6"/>
    <s v="MIN"/>
    <s v="H"/>
    <n v="2"/>
    <n v="2"/>
    <n v="0"/>
    <n v="0"/>
    <n v="0"/>
    <n v="0"/>
    <n v="1510.762841554626"/>
    <n v="1474.8250480387051"/>
    <n v="0.6660597816104592"/>
    <n v="58"/>
    <n v="62"/>
    <n v="0"/>
    <n v="-4"/>
    <n v="0"/>
    <n v="0.3023770968452395"/>
    <n v="1"/>
    <n v="75.099999999999994"/>
    <n v="75.099999999999994"/>
    <n v="-15.125231853964742"/>
    <n v="1495.6376097006612"/>
    <n v="0"/>
    <n v="1"/>
    <n v="0"/>
    <n v="0"/>
    <n v="0"/>
    <n v="0"/>
    <n v="0"/>
    <n v="0"/>
    <n v="0"/>
    <n v="0"/>
  </r>
  <r>
    <d v="2005-06-07T00:00:00"/>
    <n v="2005"/>
    <x v="6"/>
    <s v="R"/>
    <s v="RS"/>
    <x v="11"/>
    <s v="SAC"/>
    <s v="A"/>
    <n v="2"/>
    <n v="2"/>
    <n v="0"/>
    <n v="0"/>
    <n v="0"/>
    <n v="0"/>
    <n v="1501.8636391705634"/>
    <n v="1584.3124932434034"/>
    <n v="0.27724742095133187"/>
    <n v="51"/>
    <n v="65"/>
    <n v="0"/>
    <n v="-14"/>
    <n v="0"/>
    <n v="0.45625969595797033"/>
    <n v="1"/>
    <n v="74.95"/>
    <n v="74.95"/>
    <n v="-9.4809369579295364"/>
    <n v="1492.3827022126338"/>
    <n v="0"/>
    <n v="1"/>
    <n v="0"/>
    <n v="0"/>
    <n v="0"/>
    <n v="0"/>
    <n v="0"/>
    <n v="0"/>
    <n v="0"/>
    <n v="0"/>
  </r>
  <r>
    <d v="2005-06-07T00:00:00"/>
    <n v="2005"/>
    <x v="5"/>
    <s v="R"/>
    <s v="RS"/>
    <x v="4"/>
    <s v="IND"/>
    <s v="H"/>
    <n v="2"/>
    <n v="2"/>
    <n v="0"/>
    <n v="0"/>
    <n v="0"/>
    <n v="0"/>
    <n v="1584.3124932434034"/>
    <n v="1501.8636391705634"/>
    <n v="0.72275257904866808"/>
    <n v="65"/>
    <n v="51"/>
    <n v="0"/>
    <n v="14"/>
    <n v="1"/>
    <n v="0.45625969595797033"/>
    <n v="1"/>
    <n v="75.099999999999994"/>
    <n v="75.099999999999994"/>
    <n v="9.4999114815277963"/>
    <n v="1593.8124047249312"/>
    <n v="1"/>
    <n v="0"/>
    <n v="0"/>
    <n v="0"/>
    <n v="0"/>
    <n v="0"/>
    <n v="0"/>
    <n v="0"/>
    <n v="0"/>
    <n v="0"/>
  </r>
  <r>
    <d v="2005-06-07T00:00:00"/>
    <n v="2005"/>
    <x v="6"/>
    <s v="R"/>
    <s v="RS"/>
    <x v="0"/>
    <s v="SAS"/>
    <s v="A"/>
    <n v="1"/>
    <n v="2"/>
    <n v="-1"/>
    <n v="1"/>
    <n v="-8"/>
    <n v="8"/>
    <n v="1461.9918626891138"/>
    <n v="1397.9181695603563"/>
    <n v="0.44848137740223842"/>
    <n v="62"/>
    <n v="71"/>
    <n v="0"/>
    <n v="-9"/>
    <n v="0"/>
    <n v="0.38539353775402801"/>
    <n v="1"/>
    <n v="74.95"/>
    <n v="74.95"/>
    <n v="-12.954494757805913"/>
    <n v="1449.0373679313079"/>
    <n v="0"/>
    <n v="1"/>
    <n v="0"/>
    <n v="0"/>
    <n v="0"/>
    <n v="0"/>
    <n v="0"/>
    <n v="0"/>
    <n v="0"/>
    <n v="0"/>
  </r>
  <r>
    <d v="2005-06-07T00:00:00"/>
    <n v="2005"/>
    <x v="7"/>
    <s v="R"/>
    <s v="RS"/>
    <x v="7"/>
    <s v="WAS"/>
    <s v="H"/>
    <n v="2"/>
    <n v="1"/>
    <n v="1"/>
    <n v="-1"/>
    <n v="8"/>
    <n v="-8"/>
    <n v="1397.9181695603563"/>
    <n v="1461.9918626891138"/>
    <n v="0.55151862259776152"/>
    <n v="71"/>
    <n v="62"/>
    <n v="0"/>
    <n v="9"/>
    <n v="1"/>
    <n v="0.38539353775402801"/>
    <n v="1"/>
    <n v="74.8"/>
    <n v="74.8"/>
    <n v="12.928568484107835"/>
    <n v="1410.8467380444642"/>
    <n v="1"/>
    <n v="0"/>
    <n v="0"/>
    <n v="0"/>
    <n v="0"/>
    <n v="0"/>
    <n v="0"/>
    <n v="0"/>
    <n v="0"/>
    <n v="0"/>
  </r>
  <r>
    <d v="2005-06-08T00:00:00"/>
    <n v="2005"/>
    <x v="6"/>
    <s v="R"/>
    <s v="RS"/>
    <x v="9"/>
    <s v="DET"/>
    <s v="A"/>
    <n v="0"/>
    <n v="4"/>
    <n v="-4"/>
    <n v="4"/>
    <n v="-16"/>
    <n v="16"/>
    <n v="1569.2604096490488"/>
    <n v="1545.8575194145274"/>
    <n v="0.36981004415993873"/>
    <n v="76"/>
    <n v="61"/>
    <n v="0"/>
    <n v="15"/>
    <n v="1"/>
    <n v="0.49322887698822049"/>
    <n v="1"/>
    <n v="74.95"/>
    <n v="74.95"/>
    <n v="23.29654992140831"/>
    <n v="1592.5569595704571"/>
    <n v="1"/>
    <n v="0"/>
    <n v="0"/>
    <n v="0"/>
    <n v="0"/>
    <n v="0"/>
    <n v="0"/>
    <n v="0"/>
    <n v="0"/>
    <n v="0"/>
  </r>
  <r>
    <d v="2005-06-08T00:00:00"/>
    <n v="2005"/>
    <x v="4"/>
    <s v="R"/>
    <s v="RS"/>
    <x v="3"/>
    <s v="SEA"/>
    <s v="H"/>
    <n v="4"/>
    <n v="0"/>
    <n v="4"/>
    <n v="-4"/>
    <n v="16"/>
    <n v="-16"/>
    <n v="1545.8575194145274"/>
    <n v="1569.2604096490488"/>
    <n v="0.63018995584006121"/>
    <n v="61"/>
    <n v="76"/>
    <n v="0"/>
    <n v="-15"/>
    <n v="0"/>
    <n v="0.49322887698822049"/>
    <n v="1"/>
    <n v="75.25"/>
    <n v="75.25"/>
    <n v="-23.389798286670786"/>
    <n v="1522.4677211278565"/>
    <n v="0"/>
    <n v="1"/>
    <n v="0"/>
    <n v="0"/>
    <n v="0"/>
    <n v="0"/>
    <n v="0"/>
    <n v="0"/>
    <n v="0"/>
    <n v="0"/>
  </r>
  <r>
    <d v="2005-06-08T00:00:00"/>
    <n v="2005"/>
    <x v="6"/>
    <s v="R"/>
    <s v="RS"/>
    <x v="5"/>
    <s v="LAS"/>
    <s v="A"/>
    <n v="3"/>
    <n v="3"/>
    <n v="0"/>
    <n v="0"/>
    <n v="0"/>
    <n v="0"/>
    <n v="1461.584257776994"/>
    <n v="1553.1011081504771"/>
    <n v="0.26691014604931129"/>
    <n v="66"/>
    <n v="63"/>
    <n v="0"/>
    <n v="3"/>
    <n v="1"/>
    <n v="0.26962112435292712"/>
    <n v="1"/>
    <n v="74.95"/>
    <n v="74.95"/>
    <n v="14.814355475009393"/>
    <n v="1476.3986132520035"/>
    <n v="1"/>
    <n v="0"/>
    <n v="0"/>
    <n v="0"/>
    <n v="0"/>
    <n v="0"/>
    <n v="0"/>
    <n v="0"/>
    <n v="0"/>
    <n v="0"/>
  </r>
  <r>
    <d v="2005-06-08T00:00:00"/>
    <n v="2005"/>
    <x v="6"/>
    <s v="R"/>
    <s v="RS"/>
    <x v="8"/>
    <s v="PHX"/>
    <s v="H"/>
    <n v="3"/>
    <n v="3"/>
    <n v="0"/>
    <n v="0"/>
    <n v="0"/>
    <n v="0"/>
    <n v="1553.1011081504771"/>
    <n v="1461.584257776994"/>
    <n v="0.73308985395068871"/>
    <n v="63"/>
    <n v="66"/>
    <n v="0"/>
    <n v="-3"/>
    <n v="0"/>
    <n v="0.26962112435292712"/>
    <n v="1"/>
    <n v="74.95"/>
    <n v="74.95"/>
    <n v="-14.814355475009393"/>
    <n v="1538.2867526754676"/>
    <n v="0"/>
    <n v="1"/>
    <n v="0"/>
    <n v="0"/>
    <n v="0"/>
    <n v="0"/>
    <n v="0"/>
    <n v="0"/>
    <n v="0"/>
    <n v="0"/>
  </r>
  <r>
    <d v="2005-06-10T00:00:00"/>
    <n v="2005"/>
    <x v="6"/>
    <s v="R"/>
    <s v="RS"/>
    <x v="1"/>
    <s v="DET"/>
    <s v="A"/>
    <n v="5"/>
    <n v="1"/>
    <n v="4"/>
    <n v="-4"/>
    <n v="16"/>
    <n v="-16"/>
    <n v="1414.9723401767442"/>
    <n v="1522.4677211278565"/>
    <n v="0.28533923264264316"/>
    <n v="55"/>
    <n v="69"/>
    <n v="0"/>
    <n v="-14"/>
    <n v="0"/>
    <n v="0.4475195344975369"/>
    <n v="1"/>
    <n v="74.95"/>
    <n v="74.95"/>
    <n v="-9.5707312984306991"/>
    <n v="1405.4016088783135"/>
    <n v="0"/>
    <n v="1"/>
    <n v="0"/>
    <n v="0"/>
    <n v="0"/>
    <n v="0"/>
    <n v="0"/>
    <n v="0"/>
    <n v="0"/>
    <n v="0"/>
  </r>
  <r>
    <d v="2005-06-10T00:00:00"/>
    <n v="2005"/>
    <x v="5"/>
    <s v="R"/>
    <s v="RS"/>
    <x v="3"/>
    <s v="CHA"/>
    <s v="H"/>
    <n v="1"/>
    <n v="5"/>
    <n v="-4"/>
    <n v="4"/>
    <n v="-16"/>
    <n v="16"/>
    <n v="1522.4677211278565"/>
    <n v="1414.9723401767442"/>
    <n v="0.71466076735735684"/>
    <n v="69"/>
    <n v="55"/>
    <n v="0"/>
    <n v="14"/>
    <n v="1"/>
    <n v="0.4475195344975369"/>
    <n v="1"/>
    <n v="75.099999999999994"/>
    <n v="75.099999999999994"/>
    <n v="9.5898855305156161"/>
    <n v="1532.0576066583722"/>
    <n v="1"/>
    <n v="0"/>
    <n v="0"/>
    <n v="0"/>
    <n v="0"/>
    <n v="0"/>
    <n v="0"/>
    <n v="0"/>
    <n v="0"/>
    <n v="0"/>
  </r>
  <r>
    <d v="2005-06-10T00:00:00"/>
    <n v="2005"/>
    <x v="5"/>
    <s v="R"/>
    <s v="RS"/>
    <x v="2"/>
    <s v="HOU"/>
    <s v="A"/>
    <n v="2"/>
    <n v="2"/>
    <n v="0"/>
    <n v="0"/>
    <n v="0"/>
    <n v="0"/>
    <n v="1558.8406450143634"/>
    <n v="1495.6376097006612"/>
    <n v="0.47010645665867462"/>
    <n v="77"/>
    <n v="57"/>
    <n v="0"/>
    <n v="20"/>
    <n v="1"/>
    <n v="0.54612347456819332"/>
    <n v="1"/>
    <n v="75.099999999999994"/>
    <n v="75.099999999999994"/>
    <n v="21.732986458365293"/>
    <n v="1580.5736314727287"/>
    <n v="1"/>
    <n v="0"/>
    <n v="0"/>
    <n v="0"/>
    <n v="0"/>
    <n v="0"/>
    <n v="0"/>
    <n v="0"/>
    <n v="0"/>
    <n v="0"/>
  </r>
  <r>
    <d v="2005-06-10T00:00:00"/>
    <n v="2005"/>
    <x v="6"/>
    <s v="R"/>
    <s v="RS"/>
    <x v="6"/>
    <s v="CON"/>
    <s v="H"/>
    <n v="2"/>
    <n v="2"/>
    <n v="0"/>
    <n v="0"/>
    <n v="0"/>
    <n v="0"/>
    <n v="1495.6376097006612"/>
    <n v="1558.8406450143634"/>
    <n v="0.52989354334132543"/>
    <n v="57"/>
    <n v="77"/>
    <n v="0"/>
    <n v="-20"/>
    <n v="0"/>
    <n v="0.54612347456819332"/>
    <n v="1"/>
    <n v="74.95"/>
    <n v="74.95"/>
    <n v="-21.689578362909174"/>
    <n v="1473.9480313377521"/>
    <n v="0"/>
    <n v="1"/>
    <n v="0"/>
    <n v="0"/>
    <n v="0"/>
    <n v="0"/>
    <n v="0"/>
    <n v="0"/>
    <n v="0"/>
    <n v="0"/>
  </r>
  <r>
    <d v="2005-06-10T00:00:00"/>
    <n v="2005"/>
    <x v="5"/>
    <s v="R"/>
    <s v="RS"/>
    <x v="12"/>
    <s v="IND"/>
    <s v="A"/>
    <n v="4"/>
    <n v="2"/>
    <n v="2"/>
    <n v="-2"/>
    <n v="16"/>
    <n v="-16"/>
    <n v="1474.3851546543331"/>
    <n v="1492.3827022126338"/>
    <n v="0.40060659316691316"/>
    <n v="59"/>
    <n v="62"/>
    <n v="0"/>
    <n v="-3"/>
    <n v="0"/>
    <n v="0.28589567032915697"/>
    <n v="1"/>
    <n v="75.099999999999994"/>
    <n v="75.099999999999994"/>
    <n v="-8.6013299559292626"/>
    <n v="1465.7838246984038"/>
    <n v="0"/>
    <n v="1"/>
    <n v="0"/>
    <n v="0"/>
    <n v="0"/>
    <n v="0"/>
    <n v="0"/>
    <n v="0"/>
    <n v="0"/>
    <n v="0"/>
  </r>
  <r>
    <d v="2005-06-10T00:00:00"/>
    <n v="2005"/>
    <x v="7"/>
    <s v="R"/>
    <s v="RS"/>
    <x v="11"/>
    <s v="NYL"/>
    <s v="H"/>
    <n v="2"/>
    <n v="4"/>
    <n v="-2"/>
    <n v="2"/>
    <n v="-16"/>
    <n v="16"/>
    <n v="1492.3827022126338"/>
    <n v="1474.3851546543331"/>
    <n v="0.59939340683308684"/>
    <n v="62"/>
    <n v="59"/>
    <n v="0"/>
    <n v="3"/>
    <n v="1"/>
    <n v="0.28589567032915697"/>
    <n v="1"/>
    <n v="74.8"/>
    <n v="74.8"/>
    <n v="8.566970448781742"/>
    <n v="1500.9496726614157"/>
    <n v="1"/>
    <n v="0"/>
    <n v="0"/>
    <n v="0"/>
    <n v="0"/>
    <n v="0"/>
    <n v="0"/>
    <n v="0"/>
    <n v="0"/>
    <n v="0"/>
  </r>
  <r>
    <d v="2005-06-10T00:00:00"/>
    <n v="2005"/>
    <x v="7"/>
    <s v="R"/>
    <s v="RS"/>
    <x v="5"/>
    <s v="SAC"/>
    <s v="A"/>
    <n v="1"/>
    <n v="2"/>
    <n v="-1"/>
    <n v="1"/>
    <n v="-8"/>
    <n v="8"/>
    <n v="1476.3986132520035"/>
    <n v="1593.8124047249312"/>
    <n v="0.22243464190999848"/>
    <n v="61"/>
    <n v="73"/>
    <n v="0"/>
    <n v="-12"/>
    <n v="0"/>
    <n v="0.41547715321841366"/>
    <n v="1"/>
    <n v="74.8"/>
    <n v="74.8"/>
    <n v="-6.9127550824846713"/>
    <n v="1469.4858581695189"/>
    <n v="0"/>
    <n v="1"/>
    <n v="0"/>
    <n v="0"/>
    <n v="0"/>
    <n v="0"/>
    <n v="0"/>
    <n v="0"/>
    <n v="0"/>
    <n v="0"/>
  </r>
  <r>
    <d v="2005-06-10T00:00:00"/>
    <n v="2005"/>
    <x v="6"/>
    <s v="R"/>
    <s v="RS"/>
    <x v="4"/>
    <s v="PHX"/>
    <s v="H"/>
    <n v="2"/>
    <n v="1"/>
    <n v="1"/>
    <n v="-1"/>
    <n v="8"/>
    <n v="-8"/>
    <n v="1593.8124047249312"/>
    <n v="1476.3986132520035"/>
    <n v="0.7775653580900016"/>
    <n v="73"/>
    <n v="61"/>
    <n v="0"/>
    <n v="12"/>
    <n v="1"/>
    <n v="0.41547715321841366"/>
    <n v="1"/>
    <n v="74.95"/>
    <n v="74.95"/>
    <n v="6.9266175592543577"/>
    <n v="1600.7390222841855"/>
    <n v="1"/>
    <n v="0"/>
    <n v="0"/>
    <n v="0"/>
    <n v="0"/>
    <n v="0"/>
    <n v="0"/>
    <n v="0"/>
    <n v="0"/>
    <n v="0"/>
  </r>
  <r>
    <d v="2005-06-10T00:00:00"/>
    <n v="2005"/>
    <x v="7"/>
    <s v="R"/>
    <s v="RS"/>
    <x v="9"/>
    <s v="WAS"/>
    <s v="A"/>
    <n v="1"/>
    <n v="2"/>
    <n v="-1"/>
    <n v="1"/>
    <n v="-8"/>
    <n v="8"/>
    <n v="1592.5569595704571"/>
    <n v="1449.0373679313079"/>
    <n v="0.5623042175601447"/>
    <n v="52"/>
    <n v="64"/>
    <n v="0"/>
    <n v="-12"/>
    <n v="0"/>
    <n v="0.40740405655272416"/>
    <n v="1"/>
    <n v="74.8"/>
    <n v="74.8"/>
    <n v="-17.135559439952996"/>
    <n v="1575.4214001305043"/>
    <n v="0"/>
    <n v="1"/>
    <n v="0"/>
    <n v="0"/>
    <n v="0"/>
    <n v="0"/>
    <n v="0"/>
    <n v="0"/>
    <n v="0"/>
    <n v="0"/>
  </r>
  <r>
    <d v="2005-06-10T00:00:00"/>
    <n v="2005"/>
    <x v="7"/>
    <s v="R"/>
    <s v="RS"/>
    <x v="0"/>
    <s v="SEA"/>
    <s v="H"/>
    <n v="2"/>
    <n v="1"/>
    <n v="1"/>
    <n v="-1"/>
    <n v="8"/>
    <n v="-8"/>
    <n v="1449.0373679313079"/>
    <n v="1592.5569595704571"/>
    <n v="0.43769578243985524"/>
    <n v="64"/>
    <n v="52"/>
    <n v="0"/>
    <n v="12"/>
    <n v="1"/>
    <n v="0.40740405655272416"/>
    <n v="1"/>
    <n v="74.8"/>
    <n v="74.8"/>
    <n v="17.135559439952996"/>
    <n v="1466.1729273712608"/>
    <n v="1"/>
    <n v="0"/>
    <n v="0"/>
    <n v="0"/>
    <n v="0"/>
    <n v="0"/>
    <n v="0"/>
    <n v="0"/>
    <n v="0"/>
    <n v="0"/>
  </r>
  <r>
    <d v="2005-06-11T00:00:00"/>
    <n v="2005"/>
    <x v="7"/>
    <s v="R"/>
    <s v="RS"/>
    <x v="4"/>
    <s v="LAS"/>
    <s v="A"/>
    <n v="0"/>
    <n v="2"/>
    <n v="-2"/>
    <n v="2"/>
    <n v="-16"/>
    <n v="16"/>
    <n v="1600.7390222841855"/>
    <n v="1538.2867526754676"/>
    <n v="0.42354304656581815"/>
    <n v="74"/>
    <n v="81"/>
    <n v="0"/>
    <n v="-7"/>
    <n v="0"/>
    <n v="0.35179833541131533"/>
    <n v="1"/>
    <n v="74.8"/>
    <n v="74.8"/>
    <n v="-11.145330059015524"/>
    <n v="1589.5936922251699"/>
    <n v="0"/>
    <n v="1"/>
    <n v="0"/>
    <n v="0"/>
    <n v="0"/>
    <n v="0"/>
    <n v="0"/>
    <n v="0"/>
    <n v="0"/>
    <n v="0"/>
  </r>
  <r>
    <d v="2005-06-11T00:00:00"/>
    <n v="2005"/>
    <x v="7"/>
    <s v="R"/>
    <s v="RS"/>
    <x v="8"/>
    <s v="SAC"/>
    <s v="H"/>
    <n v="2"/>
    <n v="0"/>
    <n v="2"/>
    <n v="-2"/>
    <n v="16"/>
    <n v="-16"/>
    <n v="1538.2867526754676"/>
    <n v="1600.7390222841855"/>
    <n v="0.5764569534341818"/>
    <n v="81"/>
    <n v="74"/>
    <n v="0"/>
    <n v="7"/>
    <n v="1"/>
    <n v="0.35179833541131533"/>
    <n v="1"/>
    <n v="74.8"/>
    <n v="74.8"/>
    <n v="11.145330059015526"/>
    <n v="1549.4320827344832"/>
    <n v="1"/>
    <n v="0"/>
    <n v="0"/>
    <n v="0"/>
    <n v="0"/>
    <n v="0"/>
    <n v="0"/>
    <n v="0"/>
    <n v="0"/>
    <n v="0"/>
  </r>
  <r>
    <d v="2005-06-11T00:00:00"/>
    <n v="2005"/>
    <x v="8"/>
    <s v="R"/>
    <s v="RS"/>
    <x v="0"/>
    <s v="MIN"/>
    <s v="A"/>
    <n v="0"/>
    <n v="3"/>
    <n v="-3"/>
    <n v="3"/>
    <n v="-16"/>
    <n v="16"/>
    <n v="1466.1729273712608"/>
    <n v="1489.9502798926699"/>
    <n v="0.30903745808926075"/>
    <n v="60"/>
    <n v="78"/>
    <n v="0"/>
    <n v="-18"/>
    <n v="0"/>
    <n v="0.53620923544595978"/>
    <n v="1"/>
    <n v="74.650000000000006"/>
    <n v="74.650000000000006"/>
    <n v="-12.37015737577123"/>
    <n v="1453.8027699954896"/>
    <n v="0"/>
    <n v="1"/>
    <n v="0"/>
    <n v="0"/>
    <n v="0"/>
    <n v="0"/>
    <n v="0"/>
    <n v="0"/>
    <n v="0"/>
    <n v="0"/>
  </r>
  <r>
    <d v="2005-06-11T00:00:00"/>
    <n v="2005"/>
    <x v="6"/>
    <s v="R"/>
    <s v="RS"/>
    <x v="10"/>
    <s v="WAS"/>
    <s v="H"/>
    <n v="3"/>
    <n v="0"/>
    <n v="3"/>
    <n v="-3"/>
    <n v="16"/>
    <n v="-16"/>
    <n v="1489.9502798926699"/>
    <n v="1466.1729273712608"/>
    <n v="0.69096254191073925"/>
    <n v="78"/>
    <n v="60"/>
    <n v="0"/>
    <n v="18"/>
    <n v="1"/>
    <n v="0.53620923544595978"/>
    <n v="1"/>
    <n v="74.95"/>
    <n v="74.95"/>
    <n v="12.419869997509091"/>
    <n v="1502.3701498901789"/>
    <n v="1"/>
    <n v="0"/>
    <n v="0"/>
    <n v="0"/>
    <n v="0"/>
    <n v="0"/>
    <n v="0"/>
    <n v="0"/>
    <n v="0"/>
    <n v="0"/>
  </r>
  <r>
    <d v="2005-06-11T00:00:00"/>
    <n v="2005"/>
    <x v="6"/>
    <s v="R"/>
    <s v="RS"/>
    <x v="2"/>
    <s v="SAS"/>
    <s v="A"/>
    <n v="0"/>
    <n v="3"/>
    <n v="-3"/>
    <n v="3"/>
    <n v="-16"/>
    <n v="16"/>
    <n v="1580.5736314727287"/>
    <n v="1410.8467380444642"/>
    <n v="0.57670874099374447"/>
    <n v="78"/>
    <n v="69"/>
    <n v="0"/>
    <n v="9"/>
    <n v="1"/>
    <n v="0.35566639956770718"/>
    <n v="1"/>
    <n v="74.95"/>
    <n v="74.95"/>
    <n v="11.283758330539792"/>
    <n v="1591.8573898032685"/>
    <n v="1"/>
    <n v="0"/>
    <n v="0"/>
    <n v="0"/>
    <n v="0"/>
    <n v="0"/>
    <n v="0"/>
    <n v="0"/>
    <n v="0"/>
    <n v="0"/>
  </r>
  <r>
    <d v="2005-06-11T00:00:00"/>
    <n v="2005"/>
    <x v="8"/>
    <s v="R"/>
    <s v="RS"/>
    <x v="7"/>
    <s v="CON"/>
    <s v="H"/>
    <n v="3"/>
    <n v="0"/>
    <n v="3"/>
    <n v="-3"/>
    <n v="16"/>
    <n v="-16"/>
    <n v="1410.8467380444642"/>
    <n v="1580.5736314727287"/>
    <n v="0.42329125900625564"/>
    <n v="69"/>
    <n v="78"/>
    <n v="0"/>
    <n v="-9"/>
    <n v="0"/>
    <n v="0.35566639956770718"/>
    <n v="1"/>
    <n v="74.650000000000006"/>
    <n v="74.650000000000006"/>
    <n v="-11.238593187122024"/>
    <n v="1399.6081448573423"/>
    <n v="0"/>
    <n v="1"/>
    <n v="0"/>
    <n v="0"/>
    <n v="0"/>
    <n v="0"/>
    <n v="0"/>
    <n v="0"/>
    <n v="0"/>
    <n v="0"/>
  </r>
  <r>
    <d v="2005-06-12T00:00:00"/>
    <n v="2005"/>
    <x v="8"/>
    <s v="R"/>
    <s v="RS"/>
    <x v="9"/>
    <s v="CHA"/>
    <s v="A"/>
    <n v="1"/>
    <n v="1"/>
    <n v="0"/>
    <n v="0"/>
    <n v="0"/>
    <n v="0"/>
    <n v="1575.4214001305043"/>
    <n v="1405.4016088783135"/>
    <n v="0.62132352844851357"/>
    <n v="62"/>
    <n v="60"/>
    <n v="0"/>
    <n v="2"/>
    <n v="1"/>
    <n v="0.23460214737324137"/>
    <n v="1"/>
    <n v="74.650000000000006"/>
    <n v="74.650000000000006"/>
    <n v="6.6317800942425702"/>
    <n v="1582.0531802247467"/>
    <n v="1"/>
    <n v="0"/>
    <n v="0"/>
    <n v="0"/>
    <n v="0"/>
    <n v="0"/>
    <n v="0"/>
    <n v="0"/>
    <n v="0"/>
    <n v="0"/>
  </r>
  <r>
    <d v="2005-06-12T00:00:00"/>
    <n v="2005"/>
    <x v="7"/>
    <s v="R"/>
    <s v="RS"/>
    <x v="1"/>
    <s v="SEA"/>
    <s v="H"/>
    <n v="1"/>
    <n v="1"/>
    <n v="0"/>
    <n v="0"/>
    <n v="0"/>
    <n v="0"/>
    <n v="1405.4016088783135"/>
    <n v="1575.4214001305043"/>
    <n v="0.37867647155148643"/>
    <n v="60"/>
    <n v="62"/>
    <n v="0"/>
    <n v="-2"/>
    <n v="0"/>
    <n v="0.23460214737324137"/>
    <n v="1"/>
    <n v="74.8"/>
    <n v="74.8"/>
    <n v="-6.645105841250424"/>
    <n v="1398.7565030370631"/>
    <n v="0"/>
    <n v="1"/>
    <n v="0"/>
    <n v="0"/>
    <n v="0"/>
    <n v="0"/>
    <n v="0"/>
    <n v="0"/>
    <n v="0"/>
    <n v="0"/>
  </r>
  <r>
    <d v="2005-06-12T00:00:00"/>
    <n v="2005"/>
    <x v="6"/>
    <s v="R"/>
    <s v="RS"/>
    <x v="3"/>
    <s v="NYL"/>
    <s v="A"/>
    <n v="1"/>
    <n v="1"/>
    <n v="0"/>
    <n v="0"/>
    <n v="0"/>
    <n v="0"/>
    <n v="1532.0576066583722"/>
    <n v="1465.7838246984038"/>
    <n v="0.47451203331748448"/>
    <n v="69"/>
    <n v="72"/>
    <n v="0"/>
    <n v="-3"/>
    <n v="0"/>
    <n v="0.27499600029581767"/>
    <n v="1"/>
    <n v="74.95"/>
    <n v="74.95"/>
    <n v="-9.780143898528074"/>
    <n v="1522.2774627598442"/>
    <n v="0"/>
    <n v="1"/>
    <n v="0"/>
    <n v="0"/>
    <n v="0"/>
    <n v="0"/>
    <n v="0"/>
    <n v="0"/>
    <n v="0"/>
    <n v="0"/>
  </r>
  <r>
    <d v="2005-06-12T00:00:00"/>
    <n v="2005"/>
    <x v="6"/>
    <s v="R"/>
    <s v="RS"/>
    <x v="12"/>
    <s v="DET"/>
    <s v="H"/>
    <n v="1"/>
    <n v="1"/>
    <n v="0"/>
    <n v="0"/>
    <n v="0"/>
    <n v="0"/>
    <n v="1465.7838246984038"/>
    <n v="1532.0576066583722"/>
    <n v="0.52548796668251552"/>
    <n v="72"/>
    <n v="69"/>
    <n v="0"/>
    <n v="3"/>
    <n v="1"/>
    <n v="0.27499600029581767"/>
    <n v="1"/>
    <n v="74.95"/>
    <n v="74.95"/>
    <n v="9.780143898528074"/>
    <n v="1475.5639685969318"/>
    <n v="1"/>
    <n v="0"/>
    <n v="0"/>
    <n v="0"/>
    <n v="0"/>
    <n v="0"/>
    <n v="0"/>
    <n v="0"/>
    <n v="0"/>
    <n v="0"/>
  </r>
  <r>
    <d v="2005-06-13T00:00:00"/>
    <n v="2005"/>
    <x v="7"/>
    <s v="R"/>
    <s v="RS"/>
    <x v="6"/>
    <s v="SAC"/>
    <s v="A"/>
    <n v="2"/>
    <n v="1"/>
    <n v="1"/>
    <n v="-1"/>
    <n v="8"/>
    <n v="-8"/>
    <n v="1473.9480313377521"/>
    <n v="1589.5936922251699"/>
    <n v="0.25785458426887453"/>
    <n v="68"/>
    <n v="74"/>
    <n v="0"/>
    <n v="-6"/>
    <n v="0"/>
    <n v="0.32040307344217483"/>
    <n v="1"/>
    <n v="74.8"/>
    <n v="74.8"/>
    <n v="-6.1797816173074445"/>
    <n v="1467.7682497204446"/>
    <n v="0"/>
    <n v="1"/>
    <n v="0"/>
    <n v="0"/>
    <n v="0"/>
    <n v="0"/>
    <n v="0"/>
    <n v="0"/>
    <n v="0"/>
    <n v="0"/>
  </r>
  <r>
    <d v="2005-06-13T00:00:00"/>
    <n v="2005"/>
    <x v="8"/>
    <s v="R"/>
    <s v="RS"/>
    <x v="4"/>
    <s v="HOU"/>
    <s v="H"/>
    <n v="1"/>
    <n v="2"/>
    <n v="-1"/>
    <n v="1"/>
    <n v="-8"/>
    <n v="8"/>
    <n v="1589.5936922251699"/>
    <n v="1473.9480313377521"/>
    <n v="0.74214541573112547"/>
    <n v="74"/>
    <n v="68"/>
    <n v="0"/>
    <n v="6"/>
    <n v="1"/>
    <n v="0.32040307344217483"/>
    <n v="1"/>
    <n v="74.650000000000006"/>
    <n v="74.650000000000006"/>
    <n v="6.1673890071123099"/>
    <n v="1595.7610812322821"/>
    <n v="1"/>
    <n v="0"/>
    <n v="0"/>
    <n v="0"/>
    <n v="0"/>
    <n v="0"/>
    <n v="0"/>
    <n v="0"/>
    <n v="0"/>
    <n v="0"/>
  </r>
  <r>
    <d v="2005-06-15T00:00:00"/>
    <n v="2005"/>
    <x v="7"/>
    <s v="R"/>
    <s v="RS"/>
    <x v="3"/>
    <s v="IND"/>
    <s v="A"/>
    <n v="2"/>
    <n v="4"/>
    <n v="-2"/>
    <n v="2"/>
    <n v="-16"/>
    <n v="16"/>
    <n v="1522.2774627598442"/>
    <n v="1500.9496726614157"/>
    <n v="0.36703055546853885"/>
    <n v="79"/>
    <n v="84"/>
    <n v="1"/>
    <n v="-5"/>
    <n v="0"/>
    <n v="0.29336633162934245"/>
    <n v="1"/>
    <n v="74.8"/>
    <n v="74.8"/>
    <n v="-8.0540456924956487"/>
    <n v="1514.2234170673485"/>
    <n v="0"/>
    <n v="1"/>
    <n v="0"/>
    <n v="0"/>
    <n v="0"/>
    <n v="0"/>
    <n v="0"/>
    <n v="0"/>
    <n v="0"/>
    <n v="0"/>
  </r>
  <r>
    <d v="2005-06-15T00:00:00"/>
    <n v="2005"/>
    <x v="8"/>
    <s v="R"/>
    <s v="RS"/>
    <x v="11"/>
    <s v="DET"/>
    <s v="H"/>
    <n v="4"/>
    <n v="2"/>
    <n v="2"/>
    <n v="-2"/>
    <n v="16"/>
    <n v="-16"/>
    <n v="1500.9496726614157"/>
    <n v="1522.2774627598442"/>
    <n v="0.6329694445314612"/>
    <n v="84"/>
    <n v="79"/>
    <n v="1"/>
    <n v="5"/>
    <n v="1"/>
    <n v="0.29336633162934245"/>
    <n v="1"/>
    <n v="74.650000000000006"/>
    <n v="74.650000000000006"/>
    <n v="8.0378945313475949"/>
    <n v="1508.9875671927632"/>
    <n v="1"/>
    <n v="0"/>
    <n v="0"/>
    <n v="0"/>
    <n v="0"/>
    <n v="0"/>
    <n v="0"/>
    <n v="0"/>
    <n v="0"/>
    <n v="0"/>
  </r>
  <r>
    <d v="2005-06-15T00:00:00"/>
    <n v="2005"/>
    <x v="8"/>
    <s v="R"/>
    <s v="RS"/>
    <x v="6"/>
    <s v="LAS"/>
    <s v="A"/>
    <n v="1"/>
    <n v="3"/>
    <n v="-2"/>
    <n v="2"/>
    <n v="-16"/>
    <n v="16"/>
    <n v="1467.7682497204446"/>
    <n v="1549.4320827344832"/>
    <n v="0.24271633532116432"/>
    <n v="64"/>
    <n v="83"/>
    <n v="0"/>
    <n v="-19"/>
    <n v="0"/>
    <n v="0.52523373908792059"/>
    <n v="1"/>
    <n v="74.650000000000006"/>
    <n v="74.650000000000006"/>
    <n v="-9.5165916424654924"/>
    <n v="1458.2516580779791"/>
    <n v="0"/>
    <n v="1"/>
    <n v="0"/>
    <n v="0"/>
    <n v="0"/>
    <n v="0"/>
    <n v="0"/>
    <n v="0"/>
    <n v="0"/>
    <n v="0"/>
  </r>
  <r>
    <d v="2005-06-15T00:00:00"/>
    <n v="2005"/>
    <x v="8"/>
    <s v="R"/>
    <s v="RS"/>
    <x v="8"/>
    <s v="HOU"/>
    <s v="H"/>
    <n v="3"/>
    <n v="1"/>
    <n v="2"/>
    <n v="-2"/>
    <n v="16"/>
    <n v="-16"/>
    <n v="1549.4320827344832"/>
    <n v="1467.7682497204446"/>
    <n v="0.75728366467883579"/>
    <n v="83"/>
    <n v="64"/>
    <n v="0"/>
    <n v="19"/>
    <n v="1"/>
    <n v="0.52523373908792059"/>
    <n v="1"/>
    <n v="74.650000000000006"/>
    <n v="74.650000000000006"/>
    <n v="9.5165916424654871"/>
    <n v="1558.9486743769487"/>
    <n v="1"/>
    <n v="0"/>
    <n v="0"/>
    <n v="0"/>
    <n v="0"/>
    <n v="0"/>
    <n v="0"/>
    <n v="0"/>
    <n v="0"/>
    <n v="0"/>
  </r>
  <r>
    <d v="2005-06-15T00:00:00"/>
    <n v="2005"/>
    <x v="9"/>
    <s v="R"/>
    <s v="RS"/>
    <x v="7"/>
    <s v="PHX"/>
    <s v="A"/>
    <n v="3"/>
    <n v="4"/>
    <n v="-1"/>
    <n v="1"/>
    <n v="-8"/>
    <n v="8"/>
    <n v="1399.6081448573423"/>
    <n v="1469.4858581695189"/>
    <n v="0.27330971575450697"/>
    <n v="62"/>
    <n v="76"/>
    <n v="0"/>
    <n v="-14"/>
    <n v="0"/>
    <n v="0.46077643390933176"/>
    <n v="1"/>
    <n v="74.5"/>
    <n v="74.5"/>
    <n v="-9.3821333752710441"/>
    <n v="1390.2260114820713"/>
    <n v="0"/>
    <n v="1"/>
    <n v="0"/>
    <n v="0"/>
    <n v="0"/>
    <n v="0"/>
    <n v="0"/>
    <n v="0"/>
    <n v="0"/>
    <n v="0"/>
  </r>
  <r>
    <d v="2005-06-15T00:00:00"/>
    <n v="2005"/>
    <x v="8"/>
    <s v="R"/>
    <s v="RS"/>
    <x v="5"/>
    <s v="SAS"/>
    <s v="H"/>
    <n v="4"/>
    <n v="3"/>
    <n v="1"/>
    <n v="-1"/>
    <n v="8"/>
    <n v="-8"/>
    <n v="1469.4858581695189"/>
    <n v="1399.6081448573423"/>
    <n v="0.72669028424549298"/>
    <n v="76"/>
    <n v="62"/>
    <n v="0"/>
    <n v="14"/>
    <n v="1"/>
    <n v="0.46077643390933176"/>
    <n v="1"/>
    <n v="74.650000000000006"/>
    <n v="74.650000000000006"/>
    <n v="9.4010235766977672"/>
    <n v="1478.8868817462167"/>
    <n v="1"/>
    <n v="0"/>
    <n v="0"/>
    <n v="0"/>
    <n v="0"/>
    <n v="0"/>
    <n v="0"/>
    <n v="0"/>
    <n v="0"/>
    <n v="0"/>
  </r>
  <r>
    <d v="2005-06-15T00:00:00"/>
    <n v="2005"/>
    <x v="7"/>
    <s v="R"/>
    <s v="RS"/>
    <x v="10"/>
    <s v="SEA"/>
    <s v="A"/>
    <n v="3"/>
    <n v="2"/>
    <n v="1"/>
    <n v="-1"/>
    <n v="8"/>
    <n v="-8"/>
    <n v="1502.3701498901789"/>
    <n v="1582.0531802247467"/>
    <n v="0.29940519754174399"/>
    <n v="86"/>
    <n v="81"/>
    <n v="1"/>
    <n v="5"/>
    <n v="1"/>
    <n v="0.27998843854674887"/>
    <n v="1"/>
    <n v="74.8"/>
    <n v="74.8"/>
    <n v="14.67265167061028"/>
    <n v="1517.0428015607893"/>
    <n v="1"/>
    <n v="0"/>
    <n v="0"/>
    <n v="0"/>
    <n v="0"/>
    <n v="0"/>
    <n v="0"/>
    <n v="0"/>
    <n v="0"/>
    <n v="0"/>
  </r>
  <r>
    <d v="2005-06-15T00:00:00"/>
    <n v="2005"/>
    <x v="9"/>
    <s v="R"/>
    <s v="RS"/>
    <x v="9"/>
    <s v="MIN"/>
    <s v="H"/>
    <n v="2"/>
    <n v="3"/>
    <n v="-1"/>
    <n v="1"/>
    <n v="-8"/>
    <n v="8"/>
    <n v="1582.0531802247467"/>
    <n v="1502.3701498901789"/>
    <n v="0.70059480245825601"/>
    <n v="81"/>
    <n v="86"/>
    <n v="1"/>
    <n v="-5"/>
    <n v="0"/>
    <n v="0.27998843854674887"/>
    <n v="1"/>
    <n v="74.5"/>
    <n v="74.5"/>
    <n v="-14.613804137172002"/>
    <n v="1567.4393760875746"/>
    <n v="0"/>
    <n v="1"/>
    <n v="0"/>
    <n v="0"/>
    <n v="0"/>
    <n v="0"/>
    <n v="0"/>
    <n v="0"/>
    <n v="0"/>
    <n v="0"/>
  </r>
  <r>
    <d v="2005-06-16T00:00:00"/>
    <n v="2005"/>
    <x v="9"/>
    <s v="R"/>
    <s v="RS"/>
    <x v="11"/>
    <s v="CHA"/>
    <s v="A"/>
    <n v="0"/>
    <n v="3"/>
    <n v="-3"/>
    <n v="3"/>
    <n v="-16"/>
    <n v="16"/>
    <n v="1508.9875671927632"/>
    <n v="1398.7565030370631"/>
    <n v="0.49169859684711309"/>
    <n v="60"/>
    <n v="57"/>
    <n v="0"/>
    <n v="3"/>
    <n v="1"/>
    <n v="0.26577008807438046"/>
    <n v="1"/>
    <n v="74.5"/>
    <n v="74.5"/>
    <n v="10.064302496978408"/>
    <n v="1519.0518696897416"/>
    <n v="1"/>
    <n v="0"/>
    <n v="0"/>
    <n v="0"/>
    <n v="0"/>
    <n v="0"/>
    <n v="0"/>
    <n v="0"/>
    <n v="0"/>
    <n v="0"/>
  </r>
  <r>
    <d v="2005-06-16T00:00:00"/>
    <n v="2005"/>
    <x v="8"/>
    <s v="R"/>
    <s v="RS"/>
    <x v="1"/>
    <s v="IND"/>
    <s v="H"/>
    <n v="3"/>
    <n v="0"/>
    <n v="3"/>
    <n v="-3"/>
    <n v="16"/>
    <n v="-16"/>
    <n v="1398.7565030370631"/>
    <n v="1508.9875671927632"/>
    <n v="0.50830140315288685"/>
    <n v="57"/>
    <n v="60"/>
    <n v="0"/>
    <n v="-3"/>
    <n v="0"/>
    <n v="0.26577008807438046"/>
    <n v="1"/>
    <n v="74.650000000000006"/>
    <n v="74.650000000000006"/>
    <n v="-10.084566193281049"/>
    <n v="1388.6719368437821"/>
    <n v="0"/>
    <n v="1"/>
    <n v="0"/>
    <n v="0"/>
    <n v="0"/>
    <n v="0"/>
    <n v="0"/>
    <n v="0"/>
    <n v="0"/>
    <n v="0"/>
  </r>
  <r>
    <d v="2005-06-17T00:00:00"/>
    <n v="2005"/>
    <x v="8"/>
    <s v="R"/>
    <s v="RS"/>
    <x v="10"/>
    <s v="SAC"/>
    <s v="A"/>
    <n v="1"/>
    <n v="3"/>
    <n v="-2"/>
    <n v="2"/>
    <n v="-16"/>
    <n v="16"/>
    <n v="1517.0428015607893"/>
    <n v="1595.7610812322821"/>
    <n v="0.24584650936185737"/>
    <n v="50"/>
    <n v="67"/>
    <n v="0"/>
    <n v="-17"/>
    <n v="0"/>
    <n v="0.49966477609324567"/>
    <n v="1"/>
    <n v="74.650000000000006"/>
    <n v="74.650000000000006"/>
    <n v="-9.1700687846511286"/>
    <n v="1507.872732776138"/>
    <n v="0"/>
    <n v="1"/>
    <n v="0"/>
    <n v="0"/>
    <n v="0"/>
    <n v="0"/>
    <n v="0"/>
    <n v="0"/>
    <n v="0"/>
    <n v="0"/>
  </r>
  <r>
    <d v="2005-06-17T00:00:00"/>
    <n v="2005"/>
    <x v="9"/>
    <s v="R"/>
    <s v="RS"/>
    <x v="4"/>
    <s v="MIN"/>
    <s v="H"/>
    <n v="3"/>
    <n v="1"/>
    <n v="2"/>
    <n v="-2"/>
    <n v="16"/>
    <n v="-16"/>
    <n v="1595.7610812322821"/>
    <n v="1517.0428015607893"/>
    <n v="0.75415349063814263"/>
    <n v="67"/>
    <n v="50"/>
    <n v="0"/>
    <n v="17"/>
    <n v="1"/>
    <n v="0.49966477609324567"/>
    <n v="1"/>
    <n v="74.5"/>
    <n v="74.5"/>
    <n v="9.1516426584930883"/>
    <n v="1604.9127238907752"/>
    <n v="1"/>
    <n v="0"/>
    <n v="0"/>
    <n v="0"/>
    <n v="0"/>
    <n v="0"/>
    <n v="0"/>
    <n v="0"/>
    <n v="0"/>
    <n v="0"/>
  </r>
  <r>
    <d v="2005-06-18T00:00:00"/>
    <n v="2005"/>
    <x v="8"/>
    <s v="R"/>
    <s v="RS"/>
    <x v="3"/>
    <s v="CON"/>
    <s v="A"/>
    <n v="2"/>
    <n v="6"/>
    <n v="-4"/>
    <n v="4"/>
    <n v="-16"/>
    <n v="16"/>
    <n v="1514.2234170673485"/>
    <n v="1591.8573898032685"/>
    <n v="0.2470056064391325"/>
    <n v="63"/>
    <n v="73"/>
    <n v="0"/>
    <n v="-10"/>
    <n v="0"/>
    <n v="0.39741870522700246"/>
    <n v="1"/>
    <n v="74.650000000000006"/>
    <n v="74.650000000000006"/>
    <n v="-7.3279909952105964"/>
    <n v="1506.895426072138"/>
    <n v="0"/>
    <n v="1"/>
    <n v="0"/>
    <n v="0"/>
    <n v="0"/>
    <n v="0"/>
    <n v="0"/>
    <n v="0"/>
    <n v="0"/>
    <n v="0"/>
  </r>
  <r>
    <d v="2005-06-18T00:00:00"/>
    <n v="2005"/>
    <x v="7"/>
    <s v="R"/>
    <s v="RS"/>
    <x v="2"/>
    <s v="DET"/>
    <s v="H"/>
    <n v="6"/>
    <n v="2"/>
    <n v="4"/>
    <n v="-4"/>
    <n v="16"/>
    <n v="-16"/>
    <n v="1591.8573898032685"/>
    <n v="1514.2234170673485"/>
    <n v="0.75299439356086761"/>
    <n v="73"/>
    <n v="63"/>
    <n v="0"/>
    <n v="10"/>
    <n v="1"/>
    <n v="0.39741870522700246"/>
    <n v="1"/>
    <n v="74.8"/>
    <n v="74.8"/>
    <n v="7.3427156924548198"/>
    <n v="1599.2001054957234"/>
    <n v="1"/>
    <n v="0"/>
    <n v="0"/>
    <n v="0"/>
    <n v="0"/>
    <n v="0"/>
    <n v="0"/>
    <n v="0"/>
    <n v="0"/>
    <n v="0"/>
  </r>
  <r>
    <d v="2005-06-18T00:00:00"/>
    <n v="2005"/>
    <x v="9"/>
    <s v="R"/>
    <s v="RS"/>
    <x v="10"/>
    <s v="LAS"/>
    <s v="A"/>
    <n v="0"/>
    <n v="2"/>
    <n v="-2"/>
    <n v="2"/>
    <n v="-16"/>
    <n v="16"/>
    <n v="1507.872732776138"/>
    <n v="1558.9486743769487"/>
    <n v="0.27652466532477343"/>
    <n v="56"/>
    <n v="69"/>
    <n v="0"/>
    <n v="-13"/>
    <n v="0"/>
    <n v="0.45277228019598748"/>
    <n v="1"/>
    <n v="74.5"/>
    <n v="74.5"/>
    <n v="-9.3276013920899832"/>
    <n v="1498.5451313840481"/>
    <n v="0"/>
    <n v="1"/>
    <n v="0"/>
    <n v="0"/>
    <n v="0"/>
    <n v="0"/>
    <n v="0"/>
    <n v="0"/>
    <n v="0"/>
    <n v="0"/>
  </r>
  <r>
    <d v="2005-06-18T00:00:00"/>
    <n v="2005"/>
    <x v="9"/>
    <s v="R"/>
    <s v="RS"/>
    <x v="8"/>
    <s v="MIN"/>
    <s v="H"/>
    <n v="2"/>
    <n v="0"/>
    <n v="2"/>
    <n v="-2"/>
    <n v="16"/>
    <n v="-16"/>
    <n v="1558.9486743769487"/>
    <n v="1507.872732776138"/>
    <n v="0.72347533467522651"/>
    <n v="69"/>
    <n v="56"/>
    <n v="0"/>
    <n v="13"/>
    <n v="1"/>
    <n v="0.45277228019598748"/>
    <n v="1"/>
    <n v="74.5"/>
    <n v="74.5"/>
    <n v="9.327601392089985"/>
    <n v="1568.2762757690386"/>
    <n v="1"/>
    <n v="0"/>
    <n v="0"/>
    <n v="0"/>
    <n v="0"/>
    <n v="0"/>
    <n v="0"/>
    <n v="0"/>
    <n v="0"/>
    <n v="0"/>
  </r>
  <r>
    <d v="2005-06-18T00:00:00"/>
    <n v="2005"/>
    <x v="9"/>
    <s v="R"/>
    <s v="RS"/>
    <x v="5"/>
    <s v="NYL"/>
    <s v="A"/>
    <n v="2"/>
    <n v="5"/>
    <n v="-3"/>
    <n v="3"/>
    <n v="-16"/>
    <n v="16"/>
    <n v="1478.8868817462167"/>
    <n v="1475.5639685969318"/>
    <n v="0.34330025733936059"/>
    <n v="54"/>
    <n v="65"/>
    <n v="0"/>
    <n v="-11"/>
    <n v="0"/>
    <n v="0.43862138628093933"/>
    <n v="1"/>
    <n v="74.5"/>
    <n v="74.5"/>
    <n v="-11.21812319146712"/>
    <n v="1467.6687585547495"/>
    <n v="0"/>
    <n v="1"/>
    <n v="0"/>
    <n v="0"/>
    <n v="0"/>
    <n v="0"/>
    <n v="0"/>
    <n v="0"/>
    <n v="0"/>
    <n v="0"/>
  </r>
  <r>
    <d v="2005-06-18T00:00:00"/>
    <n v="2005"/>
    <x v="7"/>
    <s v="R"/>
    <s v="RS"/>
    <x v="12"/>
    <s v="PHX"/>
    <s v="H"/>
    <n v="5"/>
    <n v="2"/>
    <n v="3"/>
    <n v="-3"/>
    <n v="16"/>
    <n v="-16"/>
    <n v="1475.5639685969318"/>
    <n v="1478.8868817462167"/>
    <n v="0.65669974266063946"/>
    <n v="65"/>
    <n v="54"/>
    <n v="0"/>
    <n v="11"/>
    <n v="1"/>
    <n v="0.43862138628093933"/>
    <n v="1"/>
    <n v="74.8"/>
    <n v="74.8"/>
    <n v="11.263296841902557"/>
    <n v="1486.8272654388343"/>
    <n v="1"/>
    <n v="0"/>
    <n v="0"/>
    <n v="0"/>
    <n v="0"/>
    <n v="0"/>
    <n v="0"/>
    <n v="0"/>
    <n v="0"/>
    <n v="0"/>
  </r>
  <r>
    <d v="2005-06-18T00:00:00"/>
    <n v="2005"/>
    <x v="9"/>
    <s v="R"/>
    <s v="RS"/>
    <x v="6"/>
    <s v="SAS"/>
    <s v="A"/>
    <n v="2"/>
    <n v="2"/>
    <n v="0"/>
    <n v="0"/>
    <n v="0"/>
    <n v="0"/>
    <n v="1458.2516580779791"/>
    <n v="1390.2260114820713"/>
    <n v="0.47702724308253724"/>
    <n v="75"/>
    <n v="69"/>
    <n v="0"/>
    <n v="6"/>
    <n v="1"/>
    <n v="0.33243563680342869"/>
    <n v="1"/>
    <n v="74.5"/>
    <n v="74.5"/>
    <n v="12.952181220014255"/>
    <n v="1471.2038392979932"/>
    <n v="1"/>
    <n v="0"/>
    <n v="0"/>
    <n v="0"/>
    <n v="0"/>
    <n v="0"/>
    <n v="0"/>
    <n v="0"/>
    <n v="0"/>
    <n v="0"/>
  </r>
  <r>
    <d v="2005-06-18T00:00:00"/>
    <n v="2005"/>
    <x v="10"/>
    <s v="R"/>
    <s v="RS"/>
    <x v="7"/>
    <s v="HOU"/>
    <s v="H"/>
    <n v="2"/>
    <n v="2"/>
    <n v="0"/>
    <n v="0"/>
    <n v="0"/>
    <n v="0"/>
    <n v="1390.2260114820713"/>
    <n v="1458.2516580779791"/>
    <n v="0.52297275691746281"/>
    <n v="69"/>
    <n v="75"/>
    <n v="0"/>
    <n v="-6"/>
    <n v="0"/>
    <n v="0.33243563680342869"/>
    <n v="1"/>
    <n v="74.349999999999994"/>
    <n v="74.349999999999994"/>
    <n v="-12.926103002792752"/>
    <n v="1377.2999084792784"/>
    <n v="0"/>
    <n v="1"/>
    <n v="0"/>
    <n v="0"/>
    <n v="0"/>
    <n v="0"/>
    <n v="0"/>
    <n v="0"/>
    <n v="0"/>
    <n v="0"/>
  </r>
  <r>
    <d v="2005-06-18T00:00:00"/>
    <n v="2005"/>
    <x v="10"/>
    <s v="R"/>
    <s v="RS"/>
    <x v="11"/>
    <s v="WAS"/>
    <s v="A"/>
    <n v="1"/>
    <n v="6"/>
    <n v="-5"/>
    <n v="5"/>
    <n v="-16"/>
    <n v="16"/>
    <n v="1519.0518696897416"/>
    <n v="1453.8027699954896"/>
    <n v="0.42747865378127481"/>
    <n v="78"/>
    <n v="88"/>
    <n v="1"/>
    <n v="-10"/>
    <n v="0"/>
    <n v="0.36117794937715908"/>
    <n v="1"/>
    <n v="74.349999999999994"/>
    <n v="74.349999999999994"/>
    <n v="-11.479332456818303"/>
    <n v="1507.5725372329232"/>
    <n v="0"/>
    <n v="1"/>
    <n v="0"/>
    <n v="0"/>
    <n v="0"/>
    <n v="0"/>
    <n v="0"/>
    <n v="0"/>
    <n v="0"/>
    <n v="0"/>
  </r>
  <r>
    <d v="2005-06-18T00:00:00"/>
    <n v="2005"/>
    <x v="9"/>
    <s v="R"/>
    <s v="RS"/>
    <x v="0"/>
    <s v="IND"/>
    <s v="H"/>
    <n v="6"/>
    <n v="1"/>
    <n v="5"/>
    <n v="-5"/>
    <n v="16"/>
    <n v="-16"/>
    <n v="1453.8027699954896"/>
    <n v="1519.0518696897416"/>
    <n v="0.57252134621872519"/>
    <n v="88"/>
    <n v="78"/>
    <n v="1"/>
    <n v="10"/>
    <n v="1"/>
    <n v="0.36117794937715908"/>
    <n v="1"/>
    <n v="74.5"/>
    <n v="74.5"/>
    <n v="11.50249183635459"/>
    <n v="1465.3052618318443"/>
    <n v="1"/>
    <n v="0"/>
    <n v="0"/>
    <n v="0"/>
    <n v="0"/>
    <n v="0"/>
    <n v="0"/>
    <n v="0"/>
    <n v="0"/>
    <n v="0"/>
  </r>
  <r>
    <d v="2005-06-20T00:00:00"/>
    <n v="2005"/>
    <x v="8"/>
    <s v="R"/>
    <s v="RS"/>
    <x v="2"/>
    <s v="LAS"/>
    <s v="A"/>
    <n v="1"/>
    <n v="1"/>
    <n v="0"/>
    <n v="0"/>
    <n v="0"/>
    <n v="0"/>
    <n v="1599.2001054957234"/>
    <n v="1568.2762757690386"/>
    <n v="0.42420594513427495"/>
    <n v="90"/>
    <n v="70"/>
    <n v="0"/>
    <n v="20"/>
    <n v="1"/>
    <n v="0.56044477657385616"/>
    <n v="1"/>
    <n v="74.650000000000006"/>
    <n v="74.650000000000006"/>
    <n v="24.089612512732074"/>
    <n v="1623.2897180084556"/>
    <n v="1"/>
    <n v="0"/>
    <n v="0"/>
    <n v="0"/>
    <n v="0"/>
    <n v="0"/>
    <n v="0"/>
    <n v="0"/>
    <n v="0"/>
    <n v="0"/>
  </r>
  <r>
    <d v="2005-06-20T00:00:00"/>
    <n v="2005"/>
    <x v="10"/>
    <s v="R"/>
    <s v="RS"/>
    <x v="8"/>
    <s v="CON"/>
    <s v="H"/>
    <n v="1"/>
    <n v="1"/>
    <n v="0"/>
    <n v="0"/>
    <n v="0"/>
    <n v="0"/>
    <n v="1568.2762757690386"/>
    <n v="1599.2001054957234"/>
    <n v="0.5757940548657251"/>
    <n v="70"/>
    <n v="90"/>
    <n v="0"/>
    <n v="-20"/>
    <n v="0"/>
    <n v="0.56044477657385616"/>
    <n v="1"/>
    <n v="74.349999999999994"/>
    <n v="74.349999999999994"/>
    <n v="-23.992802281602543"/>
    <n v="1544.2834734874361"/>
    <n v="0"/>
    <n v="1"/>
    <n v="0"/>
    <n v="0"/>
    <n v="0"/>
    <n v="0"/>
    <n v="0"/>
    <n v="0"/>
    <n v="0"/>
    <n v="0"/>
  </r>
  <r>
    <d v="2005-06-21T00:00:00"/>
    <n v="2005"/>
    <x v="11"/>
    <s v="R"/>
    <s v="RS"/>
    <x v="7"/>
    <s v="NYL"/>
    <s v="A"/>
    <n v="2"/>
    <n v="2"/>
    <n v="0"/>
    <n v="0"/>
    <n v="0"/>
    <n v="0"/>
    <n v="1377.2999084792784"/>
    <n v="1486.8272654388343"/>
    <n v="0.24711977411212216"/>
    <n v="59"/>
    <n v="77"/>
    <n v="0"/>
    <n v="-18"/>
    <n v="0"/>
    <n v="0.501097373082105"/>
    <n v="1"/>
    <n v="74.2"/>
    <n v="74.2"/>
    <n v="-9.1882653676016872"/>
    <n v="1368.1116431116768"/>
    <n v="0"/>
    <n v="1"/>
    <n v="0"/>
    <n v="0"/>
    <n v="0"/>
    <n v="0"/>
    <n v="0"/>
    <n v="0"/>
    <n v="0"/>
    <n v="0"/>
  </r>
  <r>
    <d v="2005-06-21T00:00:00"/>
    <n v="2005"/>
    <x v="8"/>
    <s v="R"/>
    <s v="RS"/>
    <x v="12"/>
    <s v="SAS"/>
    <s v="H"/>
    <n v="2"/>
    <n v="2"/>
    <n v="0"/>
    <n v="0"/>
    <n v="0"/>
    <n v="0"/>
    <n v="1486.8272654388343"/>
    <n v="1377.2999084792784"/>
    <n v="0.75288022588787784"/>
    <n v="77"/>
    <n v="59"/>
    <n v="0"/>
    <n v="18"/>
    <n v="1"/>
    <n v="0.501097373082105"/>
    <n v="1"/>
    <n v="74.650000000000006"/>
    <n v="74.650000000000006"/>
    <n v="9.2439893489415912"/>
    <n v="1496.0712547877758"/>
    <n v="1"/>
    <n v="0"/>
    <n v="0"/>
    <n v="0"/>
    <n v="0"/>
    <n v="0"/>
    <n v="0"/>
    <n v="0"/>
    <n v="0"/>
    <n v="0"/>
  </r>
  <r>
    <d v="2005-06-21T00:00:00"/>
    <n v="2005"/>
    <x v="10"/>
    <s v="R"/>
    <s v="RS"/>
    <x v="5"/>
    <s v="WAS"/>
    <s v="A"/>
    <n v="2"/>
    <n v="2"/>
    <n v="0"/>
    <n v="0"/>
    <n v="0"/>
    <n v="0"/>
    <n v="1467.6687585547495"/>
    <n v="1465.3052618318443"/>
    <n v="0.3846310392959712"/>
    <n v="56"/>
    <n v="77"/>
    <n v="0"/>
    <n v="-21"/>
    <n v="0"/>
    <n v="0.58741931973975703"/>
    <n v="1"/>
    <n v="74.349999999999994"/>
    <n v="74.349999999999994"/>
    <n v="-16.798616951807514"/>
    <n v="1450.8701416029419"/>
    <n v="0"/>
    <n v="1"/>
    <n v="0"/>
    <n v="0"/>
    <n v="0"/>
    <n v="0"/>
    <n v="0"/>
    <n v="0"/>
    <n v="0"/>
    <n v="0"/>
  </r>
  <r>
    <d v="2005-06-21T00:00:00"/>
    <n v="2005"/>
    <x v="10"/>
    <s v="R"/>
    <s v="RS"/>
    <x v="0"/>
    <s v="PHX"/>
    <s v="H"/>
    <n v="2"/>
    <n v="2"/>
    <n v="0"/>
    <n v="0"/>
    <n v="0"/>
    <n v="0"/>
    <n v="1465.3052618318443"/>
    <n v="1467.6687585547495"/>
    <n v="0.61536896070402891"/>
    <n v="77"/>
    <n v="56"/>
    <n v="0"/>
    <n v="21"/>
    <n v="1"/>
    <n v="0.58741931973975703"/>
    <n v="1"/>
    <n v="74.349999999999994"/>
    <n v="74.349999999999994"/>
    <n v="16.798616951807507"/>
    <n v="1482.1038787836519"/>
    <n v="1"/>
    <n v="0"/>
    <n v="0"/>
    <n v="0"/>
    <n v="0"/>
    <n v="0"/>
    <n v="0"/>
    <n v="0"/>
    <n v="0"/>
    <n v="0"/>
  </r>
  <r>
    <d v="2005-06-22T00:00:00"/>
    <n v="2005"/>
    <x v="11"/>
    <s v="R"/>
    <s v="RS"/>
    <x v="5"/>
    <s v="MIN"/>
    <s v="A"/>
    <n v="0"/>
    <n v="3"/>
    <n v="-3"/>
    <n v="3"/>
    <n v="-16"/>
    <n v="16"/>
    <n v="1450.8701416029419"/>
    <n v="1498.5451313840481"/>
    <n v="0.2804583911815684"/>
    <n v="59"/>
    <n v="75"/>
    <n v="0"/>
    <n v="-16"/>
    <n v="0"/>
    <n v="0.49800087669071857"/>
    <n v="1"/>
    <n v="74.2"/>
    <n v="74.2"/>
    <n v="-10.363404531529765"/>
    <n v="1440.5067370714121"/>
    <n v="0"/>
    <n v="1"/>
    <n v="0"/>
    <n v="0"/>
    <n v="0"/>
    <n v="0"/>
    <n v="0"/>
    <n v="0"/>
    <n v="0"/>
    <n v="0"/>
  </r>
  <r>
    <d v="2005-06-22T00:00:00"/>
    <n v="2005"/>
    <x v="10"/>
    <s v="R"/>
    <s v="RS"/>
    <x v="10"/>
    <s v="PHX"/>
    <s v="H"/>
    <n v="3"/>
    <n v="0"/>
    <n v="3"/>
    <n v="-3"/>
    <n v="16"/>
    <n v="-16"/>
    <n v="1498.5451313840481"/>
    <n v="1450.8701416029419"/>
    <n v="0.71954160881843165"/>
    <n v="75"/>
    <n v="59"/>
    <n v="0"/>
    <n v="16"/>
    <n v="1"/>
    <n v="0.49800087669071857"/>
    <n v="1"/>
    <n v="74.349999999999994"/>
    <n v="74.349999999999994"/>
    <n v="10.384354810232315"/>
    <n v="1508.9294861942803"/>
    <n v="1"/>
    <n v="0"/>
    <n v="0"/>
    <n v="0"/>
    <n v="0"/>
    <n v="0"/>
    <n v="0"/>
    <n v="0"/>
    <n v="0"/>
    <n v="0"/>
  </r>
  <r>
    <d v="2005-06-22T00:00:00"/>
    <n v="2005"/>
    <x v="9"/>
    <s v="R"/>
    <s v="RS"/>
    <x v="2"/>
    <s v="SEA"/>
    <s v="A"/>
    <n v="1"/>
    <n v="6"/>
    <n v="-5"/>
    <n v="5"/>
    <n v="-16"/>
    <n v="16"/>
    <n v="1623.2897180084556"/>
    <n v="1567.4393760875746"/>
    <n v="0.4142922590454659"/>
    <n v="86"/>
    <n v="95"/>
    <n v="0"/>
    <n v="-9"/>
    <n v="0"/>
    <n v="0.38791710788687511"/>
    <n v="1"/>
    <n v="74.5"/>
    <n v="74.5"/>
    <n v="-11.972973593688373"/>
    <n v="1611.3167444147673"/>
    <n v="0"/>
    <n v="1"/>
    <n v="0"/>
    <n v="0"/>
    <n v="0"/>
    <n v="0"/>
    <n v="0"/>
    <n v="0"/>
    <n v="0"/>
    <n v="0"/>
  </r>
  <r>
    <d v="2005-06-22T00:00:00"/>
    <n v="2005"/>
    <x v="10"/>
    <s v="R"/>
    <s v="RS"/>
    <x v="9"/>
    <s v="CON"/>
    <s v="H"/>
    <n v="6"/>
    <n v="1"/>
    <n v="5"/>
    <n v="-5"/>
    <n v="16"/>
    <n v="-16"/>
    <n v="1567.4393760875746"/>
    <n v="1623.2897180084556"/>
    <n v="0.58570774095453415"/>
    <n v="95"/>
    <n v="86"/>
    <n v="0"/>
    <n v="9"/>
    <n v="1"/>
    <n v="0.38791710788687511"/>
    <n v="1"/>
    <n v="74.349999999999994"/>
    <n v="74.349999999999994"/>
    <n v="11.948866935446045"/>
    <n v="1579.3882430230206"/>
    <n v="1"/>
    <n v="0"/>
    <n v="0"/>
    <n v="0"/>
    <n v="0"/>
    <n v="0"/>
    <n v="0"/>
    <n v="0"/>
    <n v="0"/>
    <n v="0"/>
  </r>
  <r>
    <d v="2005-06-23T00:00:00"/>
    <n v="2005"/>
    <x v="12"/>
    <s v="R"/>
    <s v="RS"/>
    <x v="7"/>
    <s v="CHA"/>
    <s v="A"/>
    <n v="1"/>
    <n v="6"/>
    <n v="-5"/>
    <n v="5"/>
    <n v="-16"/>
    <n v="16"/>
    <n v="1368.1116431116768"/>
    <n v="1388.6719368437821"/>
    <n v="0.31300577577803673"/>
    <n v="64"/>
    <n v="49"/>
    <n v="0"/>
    <n v="15"/>
    <n v="1"/>
    <n v="0.49437757131148924"/>
    <n v="1"/>
    <n v="74.05"/>
    <n v="74.05"/>
    <n v="25.149937396418533"/>
    <n v="1393.2615805080954"/>
    <n v="1"/>
    <n v="0"/>
    <n v="0"/>
    <n v="0"/>
    <n v="0"/>
    <n v="0"/>
    <n v="0"/>
    <n v="0"/>
    <n v="0"/>
    <n v="0"/>
  </r>
  <r>
    <d v="2005-06-23T00:00:00"/>
    <n v="2005"/>
    <x v="9"/>
    <s v="R"/>
    <s v="RS"/>
    <x v="1"/>
    <s v="SAS"/>
    <s v="H"/>
    <n v="6"/>
    <n v="1"/>
    <n v="5"/>
    <n v="-5"/>
    <n v="16"/>
    <n v="-16"/>
    <n v="1388.6719368437821"/>
    <n v="1368.1116431116768"/>
    <n v="0.68699422422196321"/>
    <n v="49"/>
    <n v="64"/>
    <n v="0"/>
    <n v="-15"/>
    <n v="0"/>
    <n v="0.49437757131148924"/>
    <n v="1"/>
    <n v="74.5"/>
    <n v="74.5"/>
    <n v="-25.302772937652676"/>
    <n v="1363.3691639061294"/>
    <n v="0"/>
    <n v="1"/>
    <n v="0"/>
    <n v="0"/>
    <n v="0"/>
    <n v="0"/>
    <n v="0"/>
    <n v="0"/>
    <n v="0"/>
    <n v="0"/>
  </r>
  <r>
    <d v="2005-06-24T00:00:00"/>
    <n v="2005"/>
    <x v="11"/>
    <s v="R"/>
    <s v="RS"/>
    <x v="0"/>
    <s v="DET"/>
    <s v="A"/>
    <n v="2"/>
    <n v="5"/>
    <n v="-3"/>
    <n v="3"/>
    <n v="-16"/>
    <n v="16"/>
    <n v="1482.1038787836519"/>
    <n v="1506.895426072138"/>
    <n v="0.30779220523886336"/>
    <n v="69"/>
    <n v="55"/>
    <n v="0"/>
    <n v="14"/>
    <n v="1"/>
    <n v="0.47773821229932173"/>
    <n v="1"/>
    <n v="74.2"/>
    <n v="74.2"/>
    <n v="24.537503289136023"/>
    <n v="1506.641382072788"/>
    <n v="1"/>
    <n v="0"/>
    <n v="0"/>
    <n v="0"/>
    <n v="0"/>
    <n v="0"/>
    <n v="0"/>
    <n v="0"/>
    <n v="0"/>
    <n v="0"/>
  </r>
  <r>
    <d v="2005-06-24T00:00:00"/>
    <n v="2005"/>
    <x v="9"/>
    <s v="R"/>
    <s v="RS"/>
    <x v="3"/>
    <s v="WAS"/>
    <s v="H"/>
    <n v="5"/>
    <n v="2"/>
    <n v="3"/>
    <n v="-3"/>
    <n v="16"/>
    <n v="-16"/>
    <n v="1506.895426072138"/>
    <n v="1482.1038787836519"/>
    <n v="0.69220779476113659"/>
    <n v="55"/>
    <n v="69"/>
    <n v="0"/>
    <n v="-14"/>
    <n v="0"/>
    <n v="0.47773821229932173"/>
    <n v="1"/>
    <n v="74.5"/>
    <n v="74.5"/>
    <n v="-24.636711523458668"/>
    <n v="1482.2587145486793"/>
    <n v="0"/>
    <n v="1"/>
    <n v="0"/>
    <n v="0"/>
    <n v="0"/>
    <n v="0"/>
    <n v="0"/>
    <n v="0"/>
    <n v="0"/>
    <n v="0"/>
  </r>
  <r>
    <d v="2005-06-24T00:00:00"/>
    <n v="2005"/>
    <x v="11"/>
    <s v="R"/>
    <s v="RS"/>
    <x v="10"/>
    <s v="IND"/>
    <s v="A"/>
    <n v="1"/>
    <n v="5"/>
    <n v="-4"/>
    <n v="4"/>
    <n v="-16"/>
    <n v="16"/>
    <n v="1508.9294861942803"/>
    <n v="1507.5725372329232"/>
    <n v="0.34075343784864076"/>
    <n v="55"/>
    <n v="57"/>
    <n v="0"/>
    <n v="-2"/>
    <n v="0"/>
    <n v="0.26753879040653245"/>
    <n v="1"/>
    <n v="74.2"/>
    <n v="74.2"/>
    <n v="-6.7644253840958513"/>
    <n v="1502.1650608101845"/>
    <n v="0"/>
    <n v="1"/>
    <n v="0"/>
    <n v="0"/>
    <n v="0"/>
    <n v="0"/>
    <n v="0"/>
    <n v="0"/>
    <n v="0"/>
    <n v="0"/>
  </r>
  <r>
    <d v="2005-06-24T00:00:00"/>
    <n v="2005"/>
    <x v="11"/>
    <s v="R"/>
    <s v="RS"/>
    <x v="11"/>
    <s v="MIN"/>
    <s v="H"/>
    <n v="5"/>
    <n v="1"/>
    <n v="4"/>
    <n v="-4"/>
    <n v="16"/>
    <n v="-16"/>
    <n v="1507.5725372329232"/>
    <n v="1508.9294861942803"/>
    <n v="0.65924656215135924"/>
    <n v="57"/>
    <n v="55"/>
    <n v="0"/>
    <n v="2"/>
    <n v="1"/>
    <n v="0.26753879040653245"/>
    <n v="1"/>
    <n v="74.2"/>
    <n v="74.2"/>
    <n v="6.7644253840958513"/>
    <n v="1514.336962617019"/>
    <n v="1"/>
    <n v="0"/>
    <n v="0"/>
    <n v="0"/>
    <n v="0"/>
    <n v="0"/>
    <n v="0"/>
    <n v="0"/>
    <n v="0"/>
    <n v="0"/>
  </r>
  <r>
    <d v="2005-06-24T00:00:00"/>
    <n v="2005"/>
    <x v="11"/>
    <s v="R"/>
    <s v="RS"/>
    <x v="9"/>
    <s v="LAS"/>
    <s v="A"/>
    <n v="1"/>
    <n v="3"/>
    <n v="-2"/>
    <n v="2"/>
    <n v="-16"/>
    <n v="16"/>
    <n v="1579.3882430230206"/>
    <n v="1544.2834734874361"/>
    <n v="0.38564151733047952"/>
    <n v="65"/>
    <n v="76"/>
    <n v="0"/>
    <n v="-11"/>
    <n v="0"/>
    <n v="0.42733473088895818"/>
    <n v="1"/>
    <n v="74.2"/>
    <n v="74.2"/>
    <n v="-12.228012640879825"/>
    <n v="1567.1602303821408"/>
    <n v="0"/>
    <n v="1"/>
    <n v="0"/>
    <n v="0"/>
    <n v="0"/>
    <n v="0"/>
    <n v="0"/>
    <n v="0"/>
    <n v="0"/>
    <n v="0"/>
  </r>
  <r>
    <d v="2005-06-24T00:00:00"/>
    <n v="2005"/>
    <x v="11"/>
    <s v="R"/>
    <s v="RS"/>
    <x v="8"/>
    <s v="SEA"/>
    <s v="H"/>
    <n v="3"/>
    <n v="1"/>
    <n v="2"/>
    <n v="-2"/>
    <n v="16"/>
    <n v="-16"/>
    <n v="1544.2834734874361"/>
    <n v="1579.3882430230206"/>
    <n v="0.61435848266952042"/>
    <n v="76"/>
    <n v="65"/>
    <n v="0"/>
    <n v="11"/>
    <n v="1"/>
    <n v="0.42733473088895818"/>
    <n v="1"/>
    <n v="74.2"/>
    <n v="74.2"/>
    <n v="12.228012640879827"/>
    <n v="1556.5114861283159"/>
    <n v="1"/>
    <n v="0"/>
    <n v="0"/>
    <n v="0"/>
    <n v="0"/>
    <n v="0"/>
    <n v="0"/>
    <n v="0"/>
    <n v="0"/>
    <n v="0"/>
  </r>
  <r>
    <d v="2005-06-24T00:00:00"/>
    <n v="2005"/>
    <x v="10"/>
    <s v="R"/>
    <s v="RS"/>
    <x v="2"/>
    <s v="SAC"/>
    <s v="A"/>
    <n v="1"/>
    <n v="6"/>
    <n v="-5"/>
    <n v="5"/>
    <n v="-16"/>
    <n v="16"/>
    <n v="1611.3167444147673"/>
    <n v="1604.9127238907752"/>
    <n v="0.34730985496188355"/>
    <n v="61"/>
    <n v="50"/>
    <n v="0"/>
    <n v="11"/>
    <n v="1"/>
    <n v="0.43750116489160118"/>
    <n v="1"/>
    <n v="74.349999999999994"/>
    <n v="74.349999999999994"/>
    <n v="21.230843153359462"/>
    <n v="1632.5475875681268"/>
    <n v="1"/>
    <n v="0"/>
    <n v="0"/>
    <n v="0"/>
    <n v="0"/>
    <n v="0"/>
    <n v="0"/>
    <n v="0"/>
    <n v="0"/>
    <n v="0"/>
  </r>
  <r>
    <d v="2005-06-24T00:00:00"/>
    <n v="2005"/>
    <x v="10"/>
    <s v="R"/>
    <s v="RS"/>
    <x v="4"/>
    <s v="CON"/>
    <s v="H"/>
    <n v="6"/>
    <n v="1"/>
    <n v="5"/>
    <n v="-5"/>
    <n v="16"/>
    <n v="-16"/>
    <n v="1604.9127238907752"/>
    <n v="1611.3167444147673"/>
    <n v="0.6526901450381164"/>
    <n v="50"/>
    <n v="61"/>
    <n v="0"/>
    <n v="-11"/>
    <n v="0"/>
    <n v="0.43750116489160118"/>
    <n v="1"/>
    <n v="74.349999999999994"/>
    <n v="74.349999999999994"/>
    <n v="-21.230843153359462"/>
    <n v="1583.6818807374157"/>
    <n v="0"/>
    <n v="1"/>
    <n v="0"/>
    <n v="0"/>
    <n v="0"/>
    <n v="0"/>
    <n v="0"/>
    <n v="0"/>
    <n v="0"/>
    <n v="0"/>
  </r>
  <r>
    <d v="2005-06-25T00:00:00"/>
    <n v="2005"/>
    <x v="9"/>
    <s v="R"/>
    <s v="RS"/>
    <x v="12"/>
    <s v="CHA"/>
    <s v="A"/>
    <n v="3"/>
    <n v="1"/>
    <n v="2"/>
    <n v="-2"/>
    <n v="16"/>
    <n v="-16"/>
    <n v="1496.0712547877758"/>
    <n v="1363.3691639061294"/>
    <n v="0.61409503897700701"/>
    <n v="61"/>
    <n v="67"/>
    <n v="0"/>
    <n v="-6"/>
    <n v="0"/>
    <n v="0.31630243262417568"/>
    <n v="1"/>
    <n v="74.5"/>
    <n v="74.5"/>
    <n v="-14.470861724469465"/>
    <n v="1481.6003930633065"/>
    <n v="0"/>
    <n v="1"/>
    <n v="0"/>
    <n v="0"/>
    <n v="0"/>
    <n v="0"/>
    <n v="0"/>
    <n v="0"/>
    <n v="0"/>
    <n v="0"/>
  </r>
  <r>
    <d v="2005-06-25T00:00:00"/>
    <n v="2005"/>
    <x v="10"/>
    <s v="R"/>
    <s v="RS"/>
    <x v="1"/>
    <s v="NYL"/>
    <s v="H"/>
    <n v="1"/>
    <n v="3"/>
    <n v="-2"/>
    <n v="2"/>
    <n v="-16"/>
    <n v="16"/>
    <n v="1363.3691639061294"/>
    <n v="1496.0712547877758"/>
    <n v="0.38590496102299299"/>
    <n v="67"/>
    <n v="61"/>
    <n v="0"/>
    <n v="6"/>
    <n v="1"/>
    <n v="0.31630243262417568"/>
    <n v="1"/>
    <n v="74.349999999999994"/>
    <n v="74.349999999999994"/>
    <n v="14.441725761265834"/>
    <n v="1377.8108896673953"/>
    <n v="1"/>
    <n v="0"/>
    <n v="0"/>
    <n v="0"/>
    <n v="0"/>
    <n v="0"/>
    <n v="0"/>
    <n v="0"/>
    <n v="0"/>
    <n v="0"/>
  </r>
  <r>
    <d v="2005-06-25T00:00:00"/>
    <n v="2005"/>
    <x v="13"/>
    <s v="R"/>
    <s v="RS"/>
    <x v="7"/>
    <s v="HOU"/>
    <s v="A"/>
    <n v="1"/>
    <n v="6"/>
    <n v="-5"/>
    <n v="5"/>
    <n v="-16"/>
    <n v="16"/>
    <n v="1393.2615805080954"/>
    <n v="1471.2038392979932"/>
    <n v="0.24667568307427906"/>
    <n v="44"/>
    <n v="62"/>
    <n v="0"/>
    <n v="-18"/>
    <n v="0"/>
    <n v="0.51348229079845242"/>
    <n v="1"/>
    <n v="73.900000000000006"/>
    <n v="73.900000000000006"/>
    <n v="-9.3604396578818587"/>
    <n v="1383.9011408502136"/>
    <n v="0"/>
    <n v="1"/>
    <n v="0"/>
    <n v="0"/>
    <n v="0"/>
    <n v="0"/>
    <n v="0"/>
    <n v="0"/>
    <n v="0"/>
    <n v="0"/>
  </r>
  <r>
    <d v="2005-06-25T00:00:00"/>
    <n v="2005"/>
    <x v="10"/>
    <s v="R"/>
    <s v="RS"/>
    <x v="6"/>
    <s v="SAS"/>
    <s v="H"/>
    <n v="6"/>
    <n v="1"/>
    <n v="5"/>
    <n v="-5"/>
    <n v="16"/>
    <n v="-16"/>
    <n v="1471.2038392979932"/>
    <n v="1393.2615805080954"/>
    <n v="0.75332431692572088"/>
    <n v="62"/>
    <n v="44"/>
    <n v="0"/>
    <n v="18"/>
    <n v="1"/>
    <n v="0.51348229079845242"/>
    <n v="1"/>
    <n v="74.349999999999994"/>
    <n v="74.349999999999994"/>
    <n v="9.4174382755550248"/>
    <n v="1480.6212775735482"/>
    <n v="1"/>
    <n v="0"/>
    <n v="0"/>
    <n v="0"/>
    <n v="0"/>
    <n v="0"/>
    <n v="0"/>
    <n v="0"/>
    <n v="0"/>
    <n v="0"/>
  </r>
  <r>
    <d v="2005-06-25T00:00:00"/>
    <n v="2005"/>
    <x v="11"/>
    <s v="R"/>
    <s v="RS"/>
    <x v="2"/>
    <s v="PHX"/>
    <s v="A"/>
    <n v="0"/>
    <n v="2"/>
    <n v="-2"/>
    <n v="2"/>
    <n v="-16"/>
    <n v="16"/>
    <n v="1632.5475875681268"/>
    <n v="1440.5067370714121"/>
    <n v="0.60771712564593328"/>
    <n v="77"/>
    <n v="69"/>
    <n v="0"/>
    <n v="8"/>
    <n v="1"/>
    <n v="0.3347449479211288"/>
    <n v="1"/>
    <n v="74.2"/>
    <n v="74.2"/>
    <n v="9.7435515076734056"/>
    <n v="1642.2911390758002"/>
    <n v="1"/>
    <n v="0"/>
    <n v="0"/>
    <n v="0"/>
    <n v="0"/>
    <n v="0"/>
    <n v="0"/>
    <n v="0"/>
    <n v="0"/>
    <n v="0"/>
  </r>
  <r>
    <d v="2005-06-25T00:00:00"/>
    <n v="2005"/>
    <x v="12"/>
    <s v="R"/>
    <s v="RS"/>
    <x v="5"/>
    <s v="CON"/>
    <s v="H"/>
    <n v="2"/>
    <n v="0"/>
    <n v="2"/>
    <n v="-2"/>
    <n v="16"/>
    <n v="-16"/>
    <n v="1440.5067370714121"/>
    <n v="1632.5475875681268"/>
    <n v="0.39228287435406667"/>
    <n v="69"/>
    <n v="77"/>
    <n v="0"/>
    <n v="-8"/>
    <n v="0"/>
    <n v="0.3347449479211288"/>
    <n v="1"/>
    <n v="74.05"/>
    <n v="74.05"/>
    <n v="-9.723854301121504"/>
    <n v="1430.7828827702906"/>
    <n v="0"/>
    <n v="1"/>
    <n v="0"/>
    <n v="0"/>
    <n v="0"/>
    <n v="0"/>
    <n v="0"/>
    <n v="0"/>
    <n v="0"/>
    <n v="0"/>
  </r>
  <r>
    <d v="2005-06-26T00:00:00"/>
    <n v="2005"/>
    <x v="12"/>
    <s v="R"/>
    <s v="RS"/>
    <x v="8"/>
    <s v="DET"/>
    <s v="A"/>
    <n v="1"/>
    <n v="1"/>
    <n v="0"/>
    <n v="0"/>
    <n v="0"/>
    <n v="0"/>
    <n v="1556.5114861283159"/>
    <n v="1482.2587145486793"/>
    <n v="0.48597628973693791"/>
    <n v="73"/>
    <n v="79"/>
    <n v="0"/>
    <n v="-6"/>
    <n v="0"/>
    <n v="0.33081106253873693"/>
    <n v="1"/>
    <n v="74.05"/>
    <n v="74.05"/>
    <n v="-11.904746942100529"/>
    <n v="1544.6067391862155"/>
    <n v="0"/>
    <n v="1"/>
    <n v="0"/>
    <n v="0"/>
    <n v="0"/>
    <n v="0"/>
    <n v="0"/>
    <n v="0"/>
    <n v="0"/>
    <n v="0"/>
  </r>
  <r>
    <d v="2005-06-26T00:00:00"/>
    <n v="2005"/>
    <x v="10"/>
    <s v="R"/>
    <s v="RS"/>
    <x v="3"/>
    <s v="LAS"/>
    <s v="H"/>
    <n v="1"/>
    <n v="1"/>
    <n v="0"/>
    <n v="0"/>
    <n v="0"/>
    <n v="0"/>
    <n v="1482.2587145486793"/>
    <n v="1556.5114861283159"/>
    <n v="0.51402371026306204"/>
    <n v="79"/>
    <n v="73"/>
    <n v="0"/>
    <n v="6"/>
    <n v="1"/>
    <n v="0.33081106253873693"/>
    <n v="1"/>
    <n v="74.349999999999994"/>
    <n v="74.349999999999994"/>
    <n v="11.952976841933481"/>
    <n v="1494.2116913906127"/>
    <n v="1"/>
    <n v="0"/>
    <n v="0"/>
    <n v="0"/>
    <n v="0"/>
    <n v="0"/>
    <n v="0"/>
    <n v="0"/>
    <n v="0"/>
    <n v="0"/>
  </r>
  <r>
    <d v="2005-06-26T00:00:00"/>
    <n v="2005"/>
    <x v="12"/>
    <s v="R"/>
    <s v="RS"/>
    <x v="9"/>
    <s v="MIN"/>
    <s v="A"/>
    <n v="1"/>
    <n v="1"/>
    <n v="0"/>
    <n v="0"/>
    <n v="0"/>
    <n v="0"/>
    <n v="1567.1602303821408"/>
    <n v="1502.1650608101845"/>
    <n v="0.47267709620194254"/>
    <n v="70"/>
    <n v="73"/>
    <n v="0"/>
    <n v="-3"/>
    <n v="0"/>
    <n v="0.2752739565292403"/>
    <n v="1"/>
    <n v="74.05"/>
    <n v="74.05"/>
    <n v="-9.635067172708931"/>
    <n v="1557.5251632094319"/>
    <n v="0"/>
    <n v="1"/>
    <n v="0"/>
    <n v="0"/>
    <n v="0"/>
    <n v="0"/>
    <n v="0"/>
    <n v="0"/>
    <n v="0"/>
    <n v="0"/>
  </r>
  <r>
    <d v="2005-06-26T00:00:00"/>
    <n v="2005"/>
    <x v="12"/>
    <s v="R"/>
    <s v="RS"/>
    <x v="10"/>
    <s v="SEA"/>
    <s v="H"/>
    <n v="1"/>
    <n v="1"/>
    <n v="0"/>
    <n v="0"/>
    <n v="0"/>
    <n v="0"/>
    <n v="1502.1650608101845"/>
    <n v="1567.1602303821408"/>
    <n v="0.52732290379805746"/>
    <n v="73"/>
    <n v="70"/>
    <n v="0"/>
    <n v="3"/>
    <n v="1"/>
    <n v="0.2752739565292403"/>
    <n v="1"/>
    <n v="74.05"/>
    <n v="74.05"/>
    <n v="9.635067172708931"/>
    <n v="1511.8001279828934"/>
    <n v="1"/>
    <n v="0"/>
    <n v="0"/>
    <n v="0"/>
    <n v="0"/>
    <n v="0"/>
    <n v="0"/>
    <n v="0"/>
    <n v="0"/>
    <n v="0"/>
  </r>
  <r>
    <d v="2005-06-26T00:00:00"/>
    <n v="2005"/>
    <x v="11"/>
    <s v="R"/>
    <s v="RS"/>
    <x v="4"/>
    <s v="WAS"/>
    <s v="A"/>
    <n v="1"/>
    <n v="1"/>
    <n v="0"/>
    <n v="0"/>
    <n v="0"/>
    <n v="0"/>
    <n v="1583.6818807374157"/>
    <n v="1506.641382072788"/>
    <n v="0.48998581182059214"/>
    <n v="62"/>
    <n v="57"/>
    <n v="0"/>
    <n v="5"/>
    <n v="1"/>
    <n v="0.31174200894160281"/>
    <n v="1"/>
    <n v="74.2"/>
    <n v="74.2"/>
    <n v="11.797269292793278"/>
    <n v="1595.479150030209"/>
    <n v="1"/>
    <n v="0"/>
    <n v="0"/>
    <n v="0"/>
    <n v="0"/>
    <n v="0"/>
    <n v="0"/>
    <n v="0"/>
    <n v="0"/>
    <n v="0"/>
  </r>
  <r>
    <d v="2005-06-26T00:00:00"/>
    <n v="2005"/>
    <x v="12"/>
    <s v="R"/>
    <s v="RS"/>
    <x v="0"/>
    <s v="SAC"/>
    <s v="H"/>
    <n v="1"/>
    <n v="1"/>
    <n v="0"/>
    <n v="0"/>
    <n v="0"/>
    <n v="0"/>
    <n v="1506.641382072788"/>
    <n v="1583.6818807374157"/>
    <n v="0.5100141881794078"/>
    <n v="57"/>
    <n v="62"/>
    <n v="0"/>
    <n v="-5"/>
    <n v="0"/>
    <n v="0.31174200894160281"/>
    <n v="1"/>
    <n v="74.05"/>
    <n v="74.05"/>
    <n v="-11.773420365651512"/>
    <n v="1494.8679617071366"/>
    <n v="0"/>
    <n v="1"/>
    <n v="0"/>
    <n v="0"/>
    <n v="0"/>
    <n v="0"/>
    <n v="0"/>
    <n v="0"/>
    <n v="0"/>
    <n v="0"/>
  </r>
  <r>
    <d v="2005-06-28T00:00:00"/>
    <n v="2005"/>
    <x v="13"/>
    <s v="R"/>
    <s v="RS"/>
    <x v="0"/>
    <s v="CHA"/>
    <s v="A"/>
    <n v="1"/>
    <n v="2"/>
    <n v="-1"/>
    <n v="1"/>
    <n v="-8"/>
    <n v="8"/>
    <n v="1494.8679617071366"/>
    <n v="1377.8108896673953"/>
    <n v="0.52452739740436305"/>
    <n v="66"/>
    <n v="61"/>
    <n v="1"/>
    <n v="5"/>
    <n v="1"/>
    <n v="0.27204322508458173"/>
    <n v="1"/>
    <n v="73.900000000000006"/>
    <n v="73.900000000000006"/>
    <n v="9.5588985084363323"/>
    <n v="1504.426860215573"/>
    <n v="1"/>
    <n v="0"/>
    <n v="0"/>
    <n v="0"/>
    <n v="0"/>
    <n v="0"/>
    <n v="0"/>
    <n v="0"/>
    <n v="0"/>
    <n v="0"/>
  </r>
  <r>
    <d v="2005-06-28T00:00:00"/>
    <n v="2005"/>
    <x v="11"/>
    <s v="R"/>
    <s v="RS"/>
    <x v="1"/>
    <s v="WAS"/>
    <s v="H"/>
    <n v="2"/>
    <n v="1"/>
    <n v="1"/>
    <n v="-1"/>
    <n v="8"/>
    <n v="-8"/>
    <n v="1377.8108896673953"/>
    <n v="1494.8679617071366"/>
    <n v="0.47547260259563695"/>
    <n v="61"/>
    <n v="66"/>
    <n v="1"/>
    <n v="-5"/>
    <n v="0"/>
    <n v="0.27204322508458173"/>
    <n v="1"/>
    <n v="74.2"/>
    <n v="74.2"/>
    <n v="-9.5977032385111745"/>
    <n v="1368.213186428884"/>
    <n v="0"/>
    <n v="1"/>
    <n v="0"/>
    <n v="0"/>
    <n v="0"/>
    <n v="0"/>
    <n v="0"/>
    <n v="0"/>
    <n v="0"/>
    <n v="0"/>
  </r>
  <r>
    <d v="2005-06-28T00:00:00"/>
    <n v="2005"/>
    <x v="12"/>
    <s v="R"/>
    <s v="RS"/>
    <x v="4"/>
    <s v="CON"/>
    <s v="A"/>
    <n v="1"/>
    <n v="2"/>
    <n v="-1"/>
    <n v="1"/>
    <n v="-8"/>
    <n v="8"/>
    <n v="1595.479150030209"/>
    <n v="1642.2911390758002"/>
    <n v="0.30045802404826044"/>
    <n v="66"/>
    <n v="70"/>
    <n v="0"/>
    <n v="-4"/>
    <n v="0"/>
    <n v="0.29973988473653485"/>
    <n v="1"/>
    <n v="74.05"/>
    <n v="74.05"/>
    <n v="-6.6688877214078719"/>
    <n v="1588.8102623088012"/>
    <n v="0"/>
    <n v="1"/>
    <n v="0"/>
    <n v="0"/>
    <n v="0"/>
    <n v="0"/>
    <n v="0"/>
    <n v="0"/>
    <n v="0"/>
    <n v="0"/>
  </r>
  <r>
    <d v="2005-06-28T00:00:00"/>
    <n v="2005"/>
    <x v="12"/>
    <s v="R"/>
    <s v="RS"/>
    <x v="2"/>
    <s v="SAC"/>
    <s v="H"/>
    <n v="2"/>
    <n v="1"/>
    <n v="1"/>
    <n v="-1"/>
    <n v="8"/>
    <n v="-8"/>
    <n v="1642.2911390758002"/>
    <n v="1595.479150030209"/>
    <n v="0.6995419759517395"/>
    <n v="70"/>
    <n v="66"/>
    <n v="0"/>
    <n v="4"/>
    <n v="1"/>
    <n v="0.29973988473653485"/>
    <n v="1"/>
    <n v="74.05"/>
    <n v="74.05"/>
    <n v="6.6688877214078728"/>
    <n v="1648.960026797208"/>
    <n v="1"/>
    <n v="0"/>
    <n v="0"/>
    <n v="0"/>
    <n v="0"/>
    <n v="0"/>
    <n v="0"/>
    <n v="0"/>
    <n v="0"/>
    <n v="0"/>
  </r>
  <r>
    <d v="2005-06-28T00:00:00"/>
    <n v="2005"/>
    <x v="13"/>
    <s v="R"/>
    <s v="RS"/>
    <x v="9"/>
    <s v="HOU"/>
    <s v="A"/>
    <n v="1"/>
    <n v="2"/>
    <n v="-1"/>
    <n v="1"/>
    <n v="-8"/>
    <n v="8"/>
    <n v="1557.5251632094319"/>
    <n v="1480.6212775735482"/>
    <n v="0.46681089334734699"/>
    <n v="67"/>
    <n v="71"/>
    <n v="0"/>
    <n v="-4"/>
    <n v="0"/>
    <n v="0.29267612550066541"/>
    <n v="1"/>
    <n v="73.900000000000006"/>
    <n v="73.900000000000006"/>
    <n v="-10.096543426513394"/>
    <n v="1547.4286197829185"/>
    <n v="0"/>
    <n v="1"/>
    <n v="0"/>
    <n v="0"/>
    <n v="0"/>
    <n v="0"/>
    <n v="0"/>
    <n v="0"/>
    <n v="0"/>
    <n v="0"/>
  </r>
  <r>
    <d v="2005-06-28T00:00:00"/>
    <n v="2005"/>
    <x v="11"/>
    <s v="R"/>
    <s v="RS"/>
    <x v="6"/>
    <s v="SEA"/>
    <s v="H"/>
    <n v="2"/>
    <n v="1"/>
    <n v="1"/>
    <n v="-1"/>
    <n v="8"/>
    <n v="-8"/>
    <n v="1480.6212775735482"/>
    <n v="1557.5251632094319"/>
    <n v="0.53318910665265296"/>
    <n v="71"/>
    <n v="67"/>
    <n v="0"/>
    <n v="4"/>
    <n v="1"/>
    <n v="0.29267612550066541"/>
    <n v="1"/>
    <n v="74.2"/>
    <n v="74.2"/>
    <n v="10.137530747595315"/>
    <n v="1490.7588083211435"/>
    <n v="1"/>
    <n v="0"/>
    <n v="0"/>
    <n v="0"/>
    <n v="0"/>
    <n v="0"/>
    <n v="0"/>
    <n v="0"/>
    <n v="0"/>
    <n v="0"/>
  </r>
  <r>
    <d v="2005-06-28T00:00:00"/>
    <n v="2005"/>
    <x v="13"/>
    <s v="R"/>
    <s v="RS"/>
    <x v="8"/>
    <s v="IND"/>
    <s v="A"/>
    <n v="1"/>
    <n v="3"/>
    <n v="-2"/>
    <n v="2"/>
    <n v="-16"/>
    <n v="16"/>
    <n v="1544.6067391862155"/>
    <n v="1514.336962617019"/>
    <n v="0.37906873681768483"/>
    <n v="61"/>
    <n v="58"/>
    <n v="0"/>
    <n v="3"/>
    <n v="1"/>
    <n v="0.28304379409329006"/>
    <n v="1"/>
    <n v="73.900000000000006"/>
    <n v="73.900000000000006"/>
    <n v="12.98797973050714"/>
    <n v="1557.5947189167225"/>
    <n v="1"/>
    <n v="0"/>
    <n v="0"/>
    <n v="0"/>
    <n v="0"/>
    <n v="0"/>
    <n v="0"/>
    <n v="0"/>
    <n v="0"/>
    <n v="0"/>
  </r>
  <r>
    <d v="2005-06-28T00:00:00"/>
    <n v="2005"/>
    <x v="12"/>
    <s v="R"/>
    <s v="RS"/>
    <x v="11"/>
    <s v="LAS"/>
    <s v="H"/>
    <n v="3"/>
    <n v="1"/>
    <n v="2"/>
    <n v="-2"/>
    <n v="16"/>
    <n v="-16"/>
    <n v="1514.336962617019"/>
    <n v="1544.6067391862155"/>
    <n v="0.62093126318231517"/>
    <n v="58"/>
    <n v="61"/>
    <n v="0"/>
    <n v="-3"/>
    <n v="0"/>
    <n v="0.28304379409329006"/>
    <n v="1"/>
    <n v="74.05"/>
    <n v="74.05"/>
    <n v="-13.014342341597478"/>
    <n v="1501.3226202754215"/>
    <n v="0"/>
    <n v="1"/>
    <n v="0"/>
    <n v="0"/>
    <n v="0"/>
    <n v="0"/>
    <n v="0"/>
    <n v="0"/>
    <n v="0"/>
    <n v="0"/>
  </r>
  <r>
    <d v="2005-06-28T00:00:00"/>
    <n v="2005"/>
    <x v="14"/>
    <s v="R"/>
    <s v="RS"/>
    <x v="7"/>
    <s v="MIN"/>
    <s v="A"/>
    <n v="2"/>
    <n v="1"/>
    <n v="1"/>
    <n v="-1"/>
    <n v="8"/>
    <n v="-8"/>
    <n v="1383.9011408502136"/>
    <n v="1511.8001279828934"/>
    <n v="0.24458853852569917"/>
    <n v="53"/>
    <n v="63"/>
    <n v="0"/>
    <n v="-10"/>
    <n v="0"/>
    <n v="0.38237519880569593"/>
    <n v="1"/>
    <n v="73.75"/>
    <n v="73.75"/>
    <n v="-6.8974385895214647"/>
    <n v="1377.0037022606921"/>
    <n v="0"/>
    <n v="1"/>
    <n v="0"/>
    <n v="0"/>
    <n v="0"/>
    <n v="0"/>
    <n v="0"/>
    <n v="0"/>
    <n v="0"/>
    <n v="0"/>
  </r>
  <r>
    <d v="2005-06-28T00:00:00"/>
    <n v="2005"/>
    <x v="13"/>
    <s v="R"/>
    <s v="RS"/>
    <x v="10"/>
    <s v="SAS"/>
    <s v="H"/>
    <n v="1"/>
    <n v="2"/>
    <n v="-1"/>
    <n v="1"/>
    <n v="-8"/>
    <n v="8"/>
    <n v="1511.8001279828934"/>
    <n v="1383.9011408502136"/>
    <n v="0.75541146147430094"/>
    <n v="63"/>
    <n v="53"/>
    <n v="0"/>
    <n v="10"/>
    <n v="1"/>
    <n v="0.38237519880569593"/>
    <n v="1"/>
    <n v="73.900000000000006"/>
    <n v="73.900000000000006"/>
    <n v="6.9114672781781152"/>
    <n v="1518.7115952610716"/>
    <n v="1"/>
    <n v="0"/>
    <n v="0"/>
    <n v="0"/>
    <n v="0"/>
    <n v="0"/>
    <n v="0"/>
    <n v="0"/>
    <n v="0"/>
    <n v="0"/>
  </r>
  <r>
    <d v="2005-06-30T00:00:00"/>
    <n v="2005"/>
    <x v="14"/>
    <s v="R"/>
    <s v="RS"/>
    <x v="10"/>
    <s v="CON"/>
    <s v="A"/>
    <n v="1"/>
    <n v="1"/>
    <n v="0"/>
    <n v="0"/>
    <n v="0"/>
    <n v="0"/>
    <n v="1518.7115952610716"/>
    <n v="1648.960026797208"/>
    <n v="0.22560207981439812"/>
    <n v="56"/>
    <n v="71"/>
    <n v="0"/>
    <n v="-15"/>
    <n v="0"/>
    <n v="0.45361273830460758"/>
    <n v="1"/>
    <n v="73.75"/>
    <n v="73.75"/>
    <n v="-7.5472783178970024"/>
    <n v="1511.1643169431745"/>
    <n v="0"/>
    <n v="1"/>
    <n v="0"/>
    <n v="0"/>
    <n v="0"/>
    <n v="0"/>
    <n v="0"/>
    <n v="0"/>
    <n v="0"/>
    <n v="0"/>
  </r>
  <r>
    <d v="2005-06-30T00:00:00"/>
    <n v="2005"/>
    <x v="13"/>
    <s v="R"/>
    <s v="RS"/>
    <x v="2"/>
    <s v="MIN"/>
    <s v="H"/>
    <n v="1"/>
    <n v="1"/>
    <n v="0"/>
    <n v="0"/>
    <n v="0"/>
    <n v="0"/>
    <n v="1648.960026797208"/>
    <n v="1518.7115952610716"/>
    <n v="0.77439792018560194"/>
    <n v="71"/>
    <n v="56"/>
    <n v="0"/>
    <n v="15"/>
    <n v="1"/>
    <n v="0.45361273830460758"/>
    <n v="1"/>
    <n v="73.900000000000006"/>
    <n v="73.900000000000006"/>
    <n v="7.5626287144757756"/>
    <n v="1656.5226555116838"/>
    <n v="1"/>
    <n v="0"/>
    <n v="0"/>
    <n v="0"/>
    <n v="0"/>
    <n v="0"/>
    <n v="0"/>
    <n v="0"/>
    <n v="0"/>
    <n v="0"/>
  </r>
  <r>
    <d v="2005-06-30T00:00:00"/>
    <n v="2005"/>
    <x v="13"/>
    <s v="R"/>
    <s v="RS"/>
    <x v="4"/>
    <s v="NYL"/>
    <s v="A"/>
    <n v="1"/>
    <n v="4"/>
    <n v="-3"/>
    <n v="3"/>
    <n v="-16"/>
    <n v="16"/>
    <n v="1588.8102623088012"/>
    <n v="1481.6003930633065"/>
    <n v="0.4873526833394109"/>
    <n v="61"/>
    <n v="50"/>
    <n v="0"/>
    <n v="11"/>
    <n v="1"/>
    <n v="0.40376314219062553"/>
    <n v="1"/>
    <n v="73.900000000000006"/>
    <n v="73.900000000000006"/>
    <n v="15.296419955233889"/>
    <n v="1604.106682264035"/>
    <n v="1"/>
    <n v="0"/>
    <n v="0"/>
    <n v="0"/>
    <n v="0"/>
    <n v="0"/>
    <n v="0"/>
    <n v="0"/>
    <n v="0"/>
    <n v="0"/>
  </r>
  <r>
    <d v="2005-06-30T00:00:00"/>
    <n v="2005"/>
    <x v="10"/>
    <s v="R"/>
    <s v="RS"/>
    <x v="12"/>
    <s v="SAC"/>
    <s v="H"/>
    <n v="4"/>
    <n v="1"/>
    <n v="3"/>
    <n v="-3"/>
    <n v="16"/>
    <n v="-16"/>
    <n v="1481.6003930633065"/>
    <n v="1588.8102623088012"/>
    <n v="0.51264731666058905"/>
    <n v="50"/>
    <n v="61"/>
    <n v="0"/>
    <n v="-11"/>
    <n v="0"/>
    <n v="0.40376314219062553"/>
    <n v="1"/>
    <n v="74.349999999999994"/>
    <n v="74.349999999999994"/>
    <n v="-15.389564596368595"/>
    <n v="1466.2108284669378"/>
    <n v="0"/>
    <n v="1"/>
    <n v="0"/>
    <n v="0"/>
    <n v="0"/>
    <n v="0"/>
    <n v="0"/>
    <n v="0"/>
    <n v="0"/>
    <n v="0"/>
  </r>
  <r>
    <d v="2005-06-30T00:00:00"/>
    <n v="2005"/>
    <x v="14"/>
    <s v="R"/>
    <s v="RS"/>
    <x v="9"/>
    <s v="SAS"/>
    <s v="A"/>
    <n v="1"/>
    <n v="1"/>
    <n v="0"/>
    <n v="0"/>
    <n v="0"/>
    <n v="0"/>
    <n v="1547.4286197829185"/>
    <n v="1377.0037022606921"/>
    <n v="0.62187206954057939"/>
    <n v="69"/>
    <n v="81"/>
    <n v="0"/>
    <n v="-12"/>
    <n v="0"/>
    <n v="0.39940556005175781"/>
    <n v="1"/>
    <n v="73.75"/>
    <n v="73.75"/>
    <n v="-18.317963213385809"/>
    <n v="1529.1106565695327"/>
    <n v="0"/>
    <n v="1"/>
    <n v="0"/>
    <n v="0"/>
    <n v="0"/>
    <n v="0"/>
    <n v="0"/>
    <n v="0"/>
    <n v="0"/>
    <n v="0"/>
  </r>
  <r>
    <d v="2005-06-30T00:00:00"/>
    <n v="2005"/>
    <x v="15"/>
    <s v="R"/>
    <s v="RS"/>
    <x v="7"/>
    <s v="SEA"/>
    <s v="H"/>
    <n v="1"/>
    <n v="1"/>
    <n v="0"/>
    <n v="0"/>
    <n v="0"/>
    <n v="0"/>
    <n v="1377.0037022606921"/>
    <n v="1547.4286197829185"/>
    <n v="0.37812793045942056"/>
    <n v="81"/>
    <n v="69"/>
    <n v="0"/>
    <n v="12"/>
    <n v="1"/>
    <n v="0.39940556005175781"/>
    <n v="1"/>
    <n v="73.599999999999994"/>
    <n v="73.599999999999994"/>
    <n v="18.280706339053502"/>
    <n v="1395.2844085997456"/>
    <n v="1"/>
    <n v="0"/>
    <n v="0"/>
    <n v="0"/>
    <n v="0"/>
    <n v="0"/>
    <n v="0"/>
    <n v="0"/>
    <n v="0"/>
    <n v="0"/>
  </r>
  <r>
    <d v="2005-06-30T00:00:00"/>
    <n v="2005"/>
    <x v="12"/>
    <s v="R"/>
    <s v="RS"/>
    <x v="1"/>
    <s v="WAS"/>
    <s v="A"/>
    <n v="1"/>
    <n v="1"/>
    <n v="0"/>
    <n v="0"/>
    <n v="0"/>
    <n v="0"/>
    <n v="1368.213186428884"/>
    <n v="1504.426860215573"/>
    <n v="0.21965948910536315"/>
    <n v="50"/>
    <n v="65"/>
    <n v="0"/>
    <n v="-15"/>
    <n v="0"/>
    <n v="0.45158768054250936"/>
    <n v="1"/>
    <n v="74.05"/>
    <n v="74.05"/>
    <n v="-7.3454281963337342"/>
    <n v="1360.8677582325502"/>
    <n v="0"/>
    <n v="1"/>
    <n v="0"/>
    <n v="0"/>
    <n v="0"/>
    <n v="0"/>
    <n v="0"/>
    <n v="0"/>
    <n v="0"/>
    <n v="0"/>
  </r>
  <r>
    <d v="2005-06-30T00:00:00"/>
    <n v="2005"/>
    <x v="14"/>
    <s v="R"/>
    <s v="RS"/>
    <x v="0"/>
    <s v="CHA"/>
    <s v="H"/>
    <n v="1"/>
    <n v="1"/>
    <n v="0"/>
    <n v="0"/>
    <n v="0"/>
    <n v="0"/>
    <n v="1504.426860215573"/>
    <n v="1368.213186428884"/>
    <n v="0.78034051089463685"/>
    <n v="65"/>
    <n v="50"/>
    <n v="0"/>
    <n v="15"/>
    <n v="1"/>
    <n v="0.45158768054250936"/>
    <n v="1"/>
    <n v="73.75"/>
    <n v="73.75"/>
    <n v="7.3156695405754615"/>
    <n v="1511.7425297561485"/>
    <n v="1"/>
    <n v="0"/>
    <n v="0"/>
    <n v="0"/>
    <n v="0"/>
    <n v="0"/>
    <n v="0"/>
    <n v="0"/>
    <n v="0"/>
    <n v="0"/>
  </r>
  <r>
    <d v="2005-07-01T00:00:00"/>
    <n v="2005"/>
    <x v="14"/>
    <s v="R"/>
    <s v="RS"/>
    <x v="4"/>
    <s v="DET"/>
    <s v="A"/>
    <n v="0"/>
    <n v="4"/>
    <n v="-4"/>
    <n v="4"/>
    <n v="-16"/>
    <n v="16"/>
    <n v="1604.106682264035"/>
    <n v="1494.2116913906127"/>
    <n v="0.49121508975095424"/>
    <n v="80"/>
    <n v="63"/>
    <n v="0"/>
    <n v="17"/>
    <n v="1"/>
    <n v="0.48777229270291778"/>
    <n v="1"/>
    <n v="73.75"/>
    <n v="73.75"/>
    <n v="18.302624684655868"/>
    <n v="1622.409306948691"/>
    <n v="1"/>
    <n v="0"/>
    <n v="0"/>
    <n v="0"/>
    <n v="0"/>
    <n v="0"/>
    <n v="0"/>
    <n v="0"/>
    <n v="0"/>
    <n v="0"/>
  </r>
  <r>
    <d v="2005-07-01T00:00:00"/>
    <n v="2005"/>
    <x v="11"/>
    <s v="R"/>
    <s v="RS"/>
    <x v="3"/>
    <s v="SAC"/>
    <s v="H"/>
    <n v="4"/>
    <n v="0"/>
    <n v="4"/>
    <n v="-4"/>
    <n v="16"/>
    <n v="-16"/>
    <n v="1494.2116913906127"/>
    <n v="1604.106682264035"/>
    <n v="0.50878491024904571"/>
    <n v="63"/>
    <n v="80"/>
    <n v="0"/>
    <n v="-17"/>
    <n v="0"/>
    <n v="0.48777229270291778"/>
    <n v="1"/>
    <n v="74.2"/>
    <n v="74.2"/>
    <n v="-18.414301716630035"/>
    <n v="1475.7973896739827"/>
    <n v="0"/>
    <n v="1"/>
    <n v="0"/>
    <n v="0"/>
    <n v="0"/>
    <n v="0"/>
    <n v="0"/>
    <n v="0"/>
    <n v="0"/>
    <n v="0"/>
  </r>
  <r>
    <d v="2005-07-02T00:00:00"/>
    <n v="2005"/>
    <x v="13"/>
    <s v="R"/>
    <s v="RS"/>
    <x v="1"/>
    <s v="HOU"/>
    <s v="A"/>
    <n v="1"/>
    <n v="3"/>
    <n v="-2"/>
    <n v="2"/>
    <n v="-16"/>
    <n v="16"/>
    <n v="1360.8677582325502"/>
    <n v="1490.7588083211435"/>
    <n v="0.19537388001231457"/>
    <n v="65"/>
    <n v="75"/>
    <n v="0"/>
    <n v="-10"/>
    <n v="0"/>
    <n v="0.38180243348875498"/>
    <n v="1"/>
    <n v="73.900000000000006"/>
    <n v="73.900000000000006"/>
    <n v="-5.5125130670514046"/>
    <n v="1355.3552451654987"/>
    <n v="0"/>
    <n v="1"/>
    <n v="0"/>
    <n v="0"/>
    <n v="0"/>
    <n v="0"/>
    <n v="0"/>
    <n v="0"/>
    <n v="0"/>
    <n v="0"/>
  </r>
  <r>
    <d v="2005-07-02T00:00:00"/>
    <n v="2005"/>
    <x v="12"/>
    <s v="R"/>
    <s v="RS"/>
    <x v="6"/>
    <s v="CHA"/>
    <s v="H"/>
    <n v="3"/>
    <n v="1"/>
    <n v="2"/>
    <n v="-2"/>
    <n v="16"/>
    <n v="-16"/>
    <n v="1490.7588083211435"/>
    <n v="1360.8677582325502"/>
    <n v="0.80462611998768541"/>
    <n v="75"/>
    <n v="65"/>
    <n v="0"/>
    <n v="10"/>
    <n v="1"/>
    <n v="0.38180243348875498"/>
    <n v="1"/>
    <n v="74.05"/>
    <n v="74.05"/>
    <n v="5.5237022004757304"/>
    <n v="1496.2825105216193"/>
    <n v="1"/>
    <n v="0"/>
    <n v="0"/>
    <n v="0"/>
    <n v="0"/>
    <n v="0"/>
    <n v="0"/>
    <n v="0"/>
    <n v="0"/>
    <n v="0"/>
  </r>
  <r>
    <d v="2005-07-02T00:00:00"/>
    <n v="2005"/>
    <x v="13"/>
    <s v="R"/>
    <s v="RS"/>
    <x v="5"/>
    <s v="LAS"/>
    <s v="A"/>
    <n v="6"/>
    <n v="3"/>
    <n v="3"/>
    <n v="-3"/>
    <n v="16"/>
    <n v="-16"/>
    <n v="1430.7828827702906"/>
    <n v="1557.5947189167225"/>
    <n v="0.26321524567709614"/>
    <n v="63"/>
    <n v="86"/>
    <n v="0"/>
    <n v="-23"/>
    <n v="0"/>
    <n v="0.55652602950764518"/>
    <n v="1"/>
    <n v="73.900000000000006"/>
    <n v="73.900000000000006"/>
    <n v="-10.825325419550719"/>
    <n v="1419.95755735074"/>
    <n v="0"/>
    <n v="1"/>
    <n v="0"/>
    <n v="0"/>
    <n v="0"/>
    <n v="0"/>
    <n v="0"/>
    <n v="0"/>
    <n v="0"/>
    <n v="0"/>
  </r>
  <r>
    <d v="2005-07-02T00:00:00"/>
    <n v="2005"/>
    <x v="14"/>
    <s v="R"/>
    <s v="RS"/>
    <x v="8"/>
    <s v="PHX"/>
    <s v="H"/>
    <n v="3"/>
    <n v="6"/>
    <n v="-3"/>
    <n v="3"/>
    <n v="-16"/>
    <n v="16"/>
    <n v="1557.5947189167225"/>
    <n v="1430.7828827702906"/>
    <n v="0.7367847543229038"/>
    <n v="86"/>
    <n v="63"/>
    <n v="0"/>
    <n v="23"/>
    <n v="1"/>
    <n v="0.55652602950764518"/>
    <n v="1"/>
    <n v="73.75"/>
    <n v="73.75"/>
    <n v="10.803352499213336"/>
    <n v="1568.3980714159359"/>
    <n v="1"/>
    <n v="0"/>
    <n v="0"/>
    <n v="0"/>
    <n v="0"/>
    <n v="0"/>
    <n v="0"/>
    <n v="0"/>
    <n v="0"/>
    <n v="0"/>
  </r>
  <r>
    <d v="2005-07-02T00:00:00"/>
    <n v="2005"/>
    <x v="11"/>
    <s v="R"/>
    <s v="RS"/>
    <x v="12"/>
    <s v="SAS"/>
    <s v="A"/>
    <n v="1"/>
    <n v="1"/>
    <n v="0"/>
    <n v="0"/>
    <n v="0"/>
    <n v="0"/>
    <n v="1466.2108284669378"/>
    <n v="1395.2844085997456"/>
    <n v="0.48119448069808768"/>
    <n v="57"/>
    <n v="69"/>
    <n v="0"/>
    <n v="-12"/>
    <n v="0"/>
    <n v="0.43067428856270512"/>
    <n v="1"/>
    <n v="74.2"/>
    <n v="74.2"/>
    <n v="-15.377066325113235"/>
    <n v="1450.8337621418245"/>
    <n v="0"/>
    <n v="1"/>
    <n v="0"/>
    <n v="0"/>
    <n v="0"/>
    <n v="0"/>
    <n v="0"/>
    <n v="0"/>
    <n v="0"/>
    <n v="0"/>
  </r>
  <r>
    <d v="2005-07-02T00:00:00"/>
    <n v="2005"/>
    <x v="16"/>
    <s v="R"/>
    <s v="RS"/>
    <x v="7"/>
    <s v="NYL"/>
    <s v="H"/>
    <n v="1"/>
    <n v="1"/>
    <n v="0"/>
    <n v="0"/>
    <n v="0"/>
    <n v="0"/>
    <n v="1395.2844085997456"/>
    <n v="1466.2108284669378"/>
    <n v="0.51880551930191232"/>
    <n v="69"/>
    <n v="57"/>
    <n v="0"/>
    <n v="12"/>
    <n v="1"/>
    <n v="0.43067428856270512"/>
    <n v="1"/>
    <n v="73.45"/>
    <n v="73.45"/>
    <n v="15.221637757137023"/>
    <n v="1410.5060463568825"/>
    <n v="1"/>
    <n v="0"/>
    <n v="0"/>
    <n v="0"/>
    <n v="0"/>
    <n v="0"/>
    <n v="0"/>
    <n v="0"/>
    <n v="0"/>
    <n v="0"/>
  </r>
  <r>
    <d v="2005-07-03T00:00:00"/>
    <n v="2005"/>
    <x v="15"/>
    <s v="R"/>
    <s v="RS"/>
    <x v="4"/>
    <s v="SEA"/>
    <s v="A"/>
    <n v="1"/>
    <n v="2"/>
    <n v="-1"/>
    <n v="1"/>
    <n v="-8"/>
    <n v="8"/>
    <n v="1622.409306948691"/>
    <n v="1529.1106565695327"/>
    <n v="0.49035717843368987"/>
    <n v="67"/>
    <n v="74"/>
    <n v="0"/>
    <n v="-7"/>
    <n v="0"/>
    <n v="0.34340761652722529"/>
    <n v="1"/>
    <n v="73.599999999999994"/>
    <n v="73.599999999999994"/>
    <n v="-12.393679896119556"/>
    <n v="1610.0156270525715"/>
    <n v="0"/>
    <n v="1"/>
    <n v="0"/>
    <n v="0"/>
    <n v="0"/>
    <n v="0"/>
    <n v="0"/>
    <n v="0"/>
    <n v="0"/>
    <n v="0"/>
  </r>
  <r>
    <d v="2005-07-03T00:00:00"/>
    <n v="2005"/>
    <x v="15"/>
    <s v="R"/>
    <s v="RS"/>
    <x v="9"/>
    <s v="SAC"/>
    <s v="H"/>
    <n v="2"/>
    <n v="1"/>
    <n v="1"/>
    <n v="-1"/>
    <n v="8"/>
    <n v="-8"/>
    <n v="1529.1106565695327"/>
    <n v="1622.409306948691"/>
    <n v="0.50964282156631013"/>
    <n v="74"/>
    <n v="67"/>
    <n v="0"/>
    <n v="7"/>
    <n v="1"/>
    <n v="0.34340761652722529"/>
    <n v="1"/>
    <n v="73.599999999999994"/>
    <n v="73.599999999999994"/>
    <n v="12.393679896119556"/>
    <n v="1541.5043364656522"/>
    <n v="1"/>
    <n v="0"/>
    <n v="0"/>
    <n v="0"/>
    <n v="0"/>
    <n v="0"/>
    <n v="0"/>
    <n v="0"/>
    <n v="0"/>
    <n v="0"/>
  </r>
  <r>
    <d v="2005-07-05T00:00:00"/>
    <n v="2005"/>
    <x v="13"/>
    <s v="R"/>
    <s v="RS"/>
    <x v="6"/>
    <s v="DET"/>
    <s v="A"/>
    <n v="2"/>
    <n v="3"/>
    <n v="-1"/>
    <n v="1"/>
    <n v="-8"/>
    <n v="8"/>
    <n v="1496.2825105216193"/>
    <n v="1475.7973896739827"/>
    <n v="0.38752578892572542"/>
    <n v="75"/>
    <n v="66"/>
    <n v="0"/>
    <n v="9"/>
    <n v="1"/>
    <n v="0.39915753519252317"/>
    <n v="1"/>
    <n v="73.900000000000006"/>
    <n v="73.900000000000006"/>
    <n v="18.066606168496918"/>
    <n v="1514.3491166901163"/>
    <n v="1"/>
    <n v="0"/>
    <n v="0"/>
    <n v="0"/>
    <n v="0"/>
    <n v="0"/>
    <n v="0"/>
    <n v="0"/>
    <n v="0"/>
    <n v="0"/>
  </r>
  <r>
    <d v="2005-07-05T00:00:00"/>
    <n v="2005"/>
    <x v="12"/>
    <s v="R"/>
    <s v="RS"/>
    <x v="3"/>
    <s v="HOU"/>
    <s v="H"/>
    <n v="3"/>
    <n v="2"/>
    <n v="1"/>
    <n v="-1"/>
    <n v="8"/>
    <n v="-8"/>
    <n v="1475.7973896739827"/>
    <n v="1496.2825105216193"/>
    <n v="0.61247421107427458"/>
    <n v="66"/>
    <n v="75"/>
    <n v="0"/>
    <n v="-9"/>
    <n v="0"/>
    <n v="0.39915753519252317"/>
    <n v="1"/>
    <n v="74.05"/>
    <n v="74.05"/>
    <n v="-18.103277222966124"/>
    <n v="1457.6941124510165"/>
    <n v="0"/>
    <n v="1"/>
    <n v="0"/>
    <n v="0"/>
    <n v="0"/>
    <n v="0"/>
    <n v="0"/>
    <n v="0"/>
    <n v="0"/>
    <n v="0"/>
  </r>
  <r>
    <d v="2005-07-05T00:00:00"/>
    <n v="2005"/>
    <x v="12"/>
    <s v="R"/>
    <s v="RS"/>
    <x v="12"/>
    <s v="LAS"/>
    <s v="A"/>
    <n v="2"/>
    <n v="2"/>
    <n v="0"/>
    <n v="0"/>
    <n v="0"/>
    <n v="0"/>
    <n v="1450.8337621418245"/>
    <n v="1568.3980714159359"/>
    <n v="0.23861324395269773"/>
    <n v="67"/>
    <n v="55"/>
    <n v="0"/>
    <n v="12"/>
    <n v="1"/>
    <n v="0.41542968934351643"/>
    <n v="1"/>
    <n v="74.05"/>
    <n v="74.05"/>
    <n v="23.422212234766636"/>
    <n v="1474.2559743765912"/>
    <n v="1"/>
    <n v="0"/>
    <n v="0"/>
    <n v="0"/>
    <n v="0"/>
    <n v="0"/>
    <n v="0"/>
    <n v="0"/>
    <n v="0"/>
    <n v="0"/>
  </r>
  <r>
    <d v="2005-07-05T00:00:00"/>
    <n v="2005"/>
    <x v="15"/>
    <s v="R"/>
    <s v="RS"/>
    <x v="8"/>
    <s v="NYL"/>
    <s v="H"/>
    <n v="2"/>
    <n v="2"/>
    <n v="0"/>
    <n v="0"/>
    <n v="0"/>
    <n v="0"/>
    <n v="1568.3980714159359"/>
    <n v="1450.8337621418245"/>
    <n v="0.76138675604730233"/>
    <n v="55"/>
    <n v="67"/>
    <n v="0"/>
    <n v="-12"/>
    <n v="0"/>
    <n v="0.41542968934351643"/>
    <n v="1"/>
    <n v="73.599999999999994"/>
    <n v="73.599999999999994"/>
    <n v="-23.279876036175889"/>
    <n v="1545.11819537976"/>
    <n v="0"/>
    <n v="1"/>
    <n v="0"/>
    <n v="0"/>
    <n v="0"/>
    <n v="0"/>
    <n v="0"/>
    <n v="0"/>
    <n v="0"/>
    <n v="0"/>
  </r>
  <r>
    <d v="2005-07-05T00:00:00"/>
    <n v="2005"/>
    <x v="14"/>
    <s v="R"/>
    <s v="RS"/>
    <x v="5"/>
    <s v="SAS"/>
    <s v="A"/>
    <n v="2"/>
    <n v="2"/>
    <n v="0"/>
    <n v="0"/>
    <n v="0"/>
    <n v="0"/>
    <n v="1419.95755735074"/>
    <n v="1410.5060463568825"/>
    <n v="0.39433276148971602"/>
    <n v="76"/>
    <n v="69"/>
    <n v="0"/>
    <n v="7"/>
    <n v="1"/>
    <n v="0.367214892823297"/>
    <n v="1"/>
    <n v="73.75"/>
    <n v="73.75"/>
    <n v="16.402739718115043"/>
    <n v="1436.3602970688551"/>
    <n v="1"/>
    <n v="0"/>
    <n v="0"/>
    <n v="0"/>
    <n v="0"/>
    <n v="0"/>
    <n v="0"/>
    <n v="0"/>
    <n v="0"/>
    <n v="0"/>
  </r>
  <r>
    <d v="2005-07-05T00:00:00"/>
    <n v="2005"/>
    <x v="17"/>
    <s v="R"/>
    <s v="RS"/>
    <x v="7"/>
    <s v="PHX"/>
    <s v="H"/>
    <n v="2"/>
    <n v="2"/>
    <n v="0"/>
    <n v="0"/>
    <n v="0"/>
    <n v="0"/>
    <n v="1410.5060463568825"/>
    <n v="1419.95755735074"/>
    <n v="0.60566723851028403"/>
    <n v="69"/>
    <n v="76"/>
    <n v="0"/>
    <n v="-7"/>
    <n v="0"/>
    <n v="0.367214892823297"/>
    <n v="1"/>
    <n v="73.3"/>
    <n v="73.3"/>
    <n v="-16.302655204580784"/>
    <n v="1394.2033911523017"/>
    <n v="0"/>
    <n v="1"/>
    <n v="0"/>
    <n v="0"/>
    <n v="0"/>
    <n v="0"/>
    <n v="0"/>
    <n v="0"/>
    <n v="0"/>
    <n v="0"/>
  </r>
  <r>
    <d v="2005-07-06T00:00:00"/>
    <n v="2005"/>
    <x v="16"/>
    <s v="R"/>
    <s v="RS"/>
    <x v="9"/>
    <s v="PHX"/>
    <s v="A"/>
    <n v="2"/>
    <n v="0"/>
    <n v="2"/>
    <n v="-2"/>
    <n v="16"/>
    <n v="-16"/>
    <n v="1541.5043364656522"/>
    <n v="1436.3602970688551"/>
    <n v="0.5758894791693755"/>
    <n v="61"/>
    <n v="73"/>
    <n v="0"/>
    <n v="-12"/>
    <n v="0"/>
    <n v="0.41938308352909615"/>
    <n v="1"/>
    <n v="73.45"/>
    <n v="73.45"/>
    <n v="-17.739519542355012"/>
    <n v="1523.7648169232971"/>
    <n v="0"/>
    <n v="1"/>
    <n v="0"/>
    <n v="0"/>
    <n v="0"/>
    <n v="0"/>
    <n v="0"/>
    <n v="0"/>
    <n v="0"/>
    <n v="0"/>
  </r>
  <r>
    <d v="2005-07-06T00:00:00"/>
    <n v="2005"/>
    <x v="15"/>
    <s v="R"/>
    <s v="RS"/>
    <x v="5"/>
    <s v="SEA"/>
    <s v="H"/>
    <n v="0"/>
    <n v="2"/>
    <n v="-2"/>
    <n v="2"/>
    <n v="-16"/>
    <n v="16"/>
    <n v="1436.3602970688551"/>
    <n v="1541.5043364656522"/>
    <n v="0.42411052083062456"/>
    <n v="73"/>
    <n v="61"/>
    <n v="0"/>
    <n v="12"/>
    <n v="1"/>
    <n v="0.41938308352909615"/>
    <n v="1"/>
    <n v="73.599999999999994"/>
    <n v="73.599999999999994"/>
    <n v="17.775747288186913"/>
    <n v="1454.136044357042"/>
    <n v="1"/>
    <n v="0"/>
    <n v="0"/>
    <n v="0"/>
    <n v="0"/>
    <n v="0"/>
    <n v="0"/>
    <n v="0"/>
    <n v="0"/>
    <n v="0"/>
  </r>
  <r>
    <d v="2005-07-07T00:00:00"/>
    <n v="2005"/>
    <x v="15"/>
    <s v="R"/>
    <s v="RS"/>
    <x v="10"/>
    <s v="CHA"/>
    <s v="A"/>
    <n v="6"/>
    <n v="4"/>
    <n v="2"/>
    <n v="-2"/>
    <n v="16"/>
    <n v="-16"/>
    <n v="1511.1643169431745"/>
    <n v="1355.3552451654987"/>
    <n v="0.64510086291901603"/>
    <n v="58"/>
    <n v="66"/>
    <n v="0"/>
    <n v="-8"/>
    <n v="0"/>
    <n v="0.34369045885836741"/>
    <n v="1"/>
    <n v="73.599999999999994"/>
    <n v="73.599999999999994"/>
    <n v="-16.318224852771209"/>
    <n v="1494.8460920904033"/>
    <n v="0"/>
    <n v="1"/>
    <n v="0"/>
    <n v="0"/>
    <n v="0"/>
    <n v="0"/>
    <n v="0"/>
    <n v="0"/>
    <n v="0"/>
    <n v="0"/>
  </r>
  <r>
    <d v="2005-07-07T00:00:00"/>
    <n v="2005"/>
    <x v="14"/>
    <s v="R"/>
    <s v="RS"/>
    <x v="1"/>
    <s v="MIN"/>
    <s v="H"/>
    <n v="4"/>
    <n v="6"/>
    <n v="-2"/>
    <n v="2"/>
    <n v="-16"/>
    <n v="16"/>
    <n v="1355.3552451654987"/>
    <n v="1511.1643169431745"/>
    <n v="0.35489913708098397"/>
    <n v="66"/>
    <n v="58"/>
    <n v="0"/>
    <n v="8"/>
    <n v="1"/>
    <n v="0.34369045885836741"/>
    <n v="1"/>
    <n v="73.75"/>
    <n v="73.75"/>
    <n v="16.351482104509198"/>
    <n v="1371.7067272700078"/>
    <n v="1"/>
    <n v="0"/>
    <n v="0"/>
    <n v="0"/>
    <n v="0"/>
    <n v="0"/>
    <n v="0"/>
    <n v="0"/>
    <n v="0"/>
    <n v="0"/>
  </r>
  <r>
    <d v="2005-07-07T00:00:00"/>
    <n v="2005"/>
    <x v="14"/>
    <s v="R"/>
    <s v="RS"/>
    <x v="6"/>
    <s v="IND"/>
    <s v="A"/>
    <n v="1"/>
    <n v="8"/>
    <n v="-7"/>
    <n v="7"/>
    <n v="-16"/>
    <n v="16"/>
    <n v="1514.3491166901163"/>
    <n v="1501.3226202754215"/>
    <n v="0.35600111409315999"/>
    <n v="65"/>
    <n v="63"/>
    <n v="0"/>
    <n v="2"/>
    <n v="1"/>
    <n v="0.2649650159510813"/>
    <n v="1"/>
    <n v="73.75"/>
    <n v="73.75"/>
    <n v="12.584491661912853"/>
    <n v="1526.9336083520291"/>
    <n v="1"/>
    <n v="0"/>
    <n v="0"/>
    <n v="0"/>
    <n v="0"/>
    <n v="0"/>
    <n v="0"/>
    <n v="0"/>
    <n v="0"/>
    <n v="0"/>
  </r>
  <r>
    <d v="2005-07-07T00:00:00"/>
    <n v="2005"/>
    <x v="13"/>
    <s v="R"/>
    <s v="RS"/>
    <x v="11"/>
    <s v="HOU"/>
    <s v="H"/>
    <n v="8"/>
    <n v="1"/>
    <n v="7"/>
    <n v="-7"/>
    <n v="16"/>
    <n v="-16"/>
    <n v="1501.3226202754215"/>
    <n v="1514.3491166901163"/>
    <n v="0.64399888590683996"/>
    <n v="63"/>
    <n v="65"/>
    <n v="0"/>
    <n v="-2"/>
    <n v="0"/>
    <n v="0.2649650159510813"/>
    <n v="1"/>
    <n v="73.900000000000006"/>
    <n v="73.900000000000006"/>
    <n v="-12.610087238174371"/>
    <n v="1488.7125330372471"/>
    <n v="0"/>
    <n v="1"/>
    <n v="0"/>
    <n v="0"/>
    <n v="0"/>
    <n v="0"/>
    <n v="0"/>
    <n v="0"/>
    <n v="0"/>
    <n v="0"/>
  </r>
  <r>
    <d v="2005-07-07T00:00:00"/>
    <n v="2005"/>
    <x v="14"/>
    <s v="R"/>
    <s v="RS"/>
    <x v="2"/>
    <s v="NYL"/>
    <s v="A"/>
    <n v="6"/>
    <n v="1"/>
    <n v="5"/>
    <n v="-5"/>
    <n v="16"/>
    <n v="-16"/>
    <n v="1656.5226555116838"/>
    <n v="1474.2559743765912"/>
    <n v="0.67915152602507001"/>
    <n v="79"/>
    <n v="89"/>
    <n v="0"/>
    <n v="-10"/>
    <n v="0"/>
    <n v="0.36733551211824111"/>
    <n v="1"/>
    <n v="73.75"/>
    <n v="73.75"/>
    <n v="-18.398889929349924"/>
    <n v="1638.1237655823338"/>
    <n v="0"/>
    <n v="1"/>
    <n v="0"/>
    <n v="0"/>
    <n v="0"/>
    <n v="0"/>
    <n v="0"/>
    <n v="0"/>
    <n v="0"/>
    <n v="0"/>
  </r>
  <r>
    <d v="2005-07-07T00:00:00"/>
    <n v="2005"/>
    <x v="13"/>
    <s v="R"/>
    <s v="RS"/>
    <x v="12"/>
    <s v="CON"/>
    <s v="H"/>
    <n v="1"/>
    <n v="6"/>
    <n v="-5"/>
    <n v="5"/>
    <n v="-16"/>
    <n v="16"/>
    <n v="1474.2559743765912"/>
    <n v="1656.5226555116838"/>
    <n v="0.32084847397492999"/>
    <n v="89"/>
    <n v="79"/>
    <n v="0"/>
    <n v="10"/>
    <n v="1"/>
    <n v="0.36733551211824111"/>
    <n v="1"/>
    <n v="73.900000000000006"/>
    <n v="73.900000000000006"/>
    <n v="18.436311400392672"/>
    <n v="1492.6922857769839"/>
    <n v="1"/>
    <n v="0"/>
    <n v="0"/>
    <n v="0"/>
    <n v="0"/>
    <n v="0"/>
    <n v="0"/>
    <n v="0"/>
    <n v="0"/>
    <n v="0"/>
  </r>
  <r>
    <d v="2005-07-07T00:00:00"/>
    <n v="2005"/>
    <x v="13"/>
    <s v="R"/>
    <s v="RS"/>
    <x v="3"/>
    <s v="WAS"/>
    <s v="A"/>
    <n v="1"/>
    <n v="6"/>
    <n v="-5"/>
    <n v="5"/>
    <n v="-16"/>
    <n v="16"/>
    <n v="1457.6941124510165"/>
    <n v="1511.7425297561485"/>
    <n v="0.27311459339681132"/>
    <n v="76"/>
    <n v="62"/>
    <n v="0"/>
    <n v="14"/>
    <n v="1"/>
    <n v="0.46659261011494835"/>
    <n v="1"/>
    <n v="73.900000000000006"/>
    <n v="73.900000000000006"/>
    <n v="25.063876639074955"/>
    <n v="1482.7579890900915"/>
    <n v="1"/>
    <n v="0"/>
    <n v="0"/>
    <n v="0"/>
    <n v="0"/>
    <n v="0"/>
    <n v="0"/>
    <n v="0"/>
    <n v="0"/>
    <n v="0"/>
  </r>
  <r>
    <d v="2005-07-07T00:00:00"/>
    <n v="2005"/>
    <x v="15"/>
    <s v="R"/>
    <s v="RS"/>
    <x v="0"/>
    <s v="DET"/>
    <s v="H"/>
    <n v="6"/>
    <n v="1"/>
    <n v="5"/>
    <n v="-5"/>
    <n v="16"/>
    <n v="-16"/>
    <n v="1511.7425297561485"/>
    <n v="1457.6941124510165"/>
    <n v="0.72688540660318868"/>
    <n v="62"/>
    <n v="76"/>
    <n v="0"/>
    <n v="-14"/>
    <n v="0"/>
    <n v="0.46659261011494835"/>
    <n v="1"/>
    <n v="73.599999999999994"/>
    <n v="73.599999999999994"/>
    <n v="-24.962128831338518"/>
    <n v="1486.78040092481"/>
    <n v="0"/>
    <n v="1"/>
    <n v="0"/>
    <n v="0"/>
    <n v="0"/>
    <n v="0"/>
    <n v="0"/>
    <n v="0"/>
    <n v="0"/>
    <n v="0"/>
  </r>
  <r>
    <d v="2005-07-12T00:00:00"/>
    <n v="2005"/>
    <x v="14"/>
    <s v="R"/>
    <s v="RS"/>
    <x v="12"/>
    <s v="HOU"/>
    <s v="A"/>
    <n v="4"/>
    <n v="4"/>
    <n v="0"/>
    <n v="0"/>
    <n v="0"/>
    <n v="0"/>
    <n v="1492.6922857769839"/>
    <n v="1526.9336083520291"/>
    <n v="0.33611585051697984"/>
    <n v="68"/>
    <n v="65"/>
    <n v="1"/>
    <n v="3"/>
    <n v="1"/>
    <n v="0.2539197133124258"/>
    <n v="1"/>
    <n v="73.75"/>
    <n v="73.75"/>
    <n v="12.432278877067667"/>
    <n v="1505.1245646540515"/>
    <n v="1"/>
    <n v="0"/>
    <n v="0"/>
    <n v="0"/>
    <n v="0"/>
    <n v="0"/>
    <n v="0"/>
    <n v="0"/>
    <n v="0"/>
    <n v="0"/>
  </r>
  <r>
    <d v="2005-07-12T00:00:00"/>
    <n v="2005"/>
    <x v="15"/>
    <s v="R"/>
    <s v="RS"/>
    <x v="6"/>
    <s v="NYL"/>
    <s v="H"/>
    <n v="4"/>
    <n v="4"/>
    <n v="0"/>
    <n v="0"/>
    <n v="0"/>
    <n v="0"/>
    <n v="1526.9336083520291"/>
    <n v="1492.6922857769839"/>
    <n v="0.66388414948302021"/>
    <n v="65"/>
    <n v="68"/>
    <n v="1"/>
    <n v="-3"/>
    <n v="0"/>
    <n v="0.2539197133124258"/>
    <n v="1"/>
    <n v="73.599999999999994"/>
    <n v="73.599999999999994"/>
    <n v="-12.40699288613126"/>
    <n v="1514.5266154658977"/>
    <n v="0"/>
    <n v="1"/>
    <n v="0"/>
    <n v="0"/>
    <n v="0"/>
    <n v="0"/>
    <n v="0"/>
    <n v="0"/>
    <n v="0"/>
    <n v="0"/>
  </r>
  <r>
    <d v="2005-07-12T00:00:00"/>
    <n v="2005"/>
    <x v="15"/>
    <s v="R"/>
    <s v="RS"/>
    <x v="1"/>
    <s v="LAS"/>
    <s v="A"/>
    <n v="4"/>
    <n v="6"/>
    <n v="-2"/>
    <n v="2"/>
    <n v="-16"/>
    <n v="16"/>
    <n v="1371.7067272700078"/>
    <n v="1545.11819537976"/>
    <n v="0.15896003910435311"/>
    <n v="59"/>
    <n v="71"/>
    <n v="0"/>
    <n v="-12"/>
    <n v="0"/>
    <n v="0.39853703307515165"/>
    <n v="1"/>
    <n v="73.599999999999994"/>
    <n v="73.599999999999994"/>
    <n v="-4.6626676298548997"/>
    <n v="1367.0440596401529"/>
    <n v="0"/>
    <n v="1"/>
    <n v="0"/>
    <n v="0"/>
    <n v="0"/>
    <n v="0"/>
    <n v="0"/>
    <n v="0"/>
    <n v="0"/>
    <n v="0"/>
  </r>
  <r>
    <d v="2005-07-12T00:00:00"/>
    <n v="2005"/>
    <x v="16"/>
    <s v="R"/>
    <s v="RS"/>
    <x v="8"/>
    <s v="CHA"/>
    <s v="H"/>
    <n v="6"/>
    <n v="4"/>
    <n v="2"/>
    <n v="-2"/>
    <n v="16"/>
    <n v="-16"/>
    <n v="1545.11819537976"/>
    <n v="1371.7067272700078"/>
    <n v="0.84103996089564692"/>
    <n v="71"/>
    <n v="59"/>
    <n v="0"/>
    <n v="12"/>
    <n v="1"/>
    <n v="0.39853703307515165"/>
    <n v="1"/>
    <n v="73.45"/>
    <n v="73.45"/>
    <n v="4.6531649105005766"/>
    <n v="1549.7713602902606"/>
    <n v="1"/>
    <n v="0"/>
    <n v="0"/>
    <n v="0"/>
    <n v="0"/>
    <n v="0"/>
    <n v="0"/>
    <n v="0"/>
    <n v="0"/>
    <n v="0"/>
  </r>
  <r>
    <d v="2005-07-13T00:00:00"/>
    <n v="2005"/>
    <x v="15"/>
    <s v="R"/>
    <s v="RS"/>
    <x v="2"/>
    <s v="IND"/>
    <s v="A"/>
    <n v="5"/>
    <n v="5"/>
    <n v="0"/>
    <n v="0"/>
    <n v="0"/>
    <n v="0"/>
    <n v="1638.1237655823338"/>
    <n v="1488.7125330372471"/>
    <n v="0.59303767648640271"/>
    <n v="53"/>
    <n v="64"/>
    <n v="0"/>
    <n v="-11"/>
    <n v="0"/>
    <n v="0.39113589066076093"/>
    <n v="1"/>
    <n v="73.599999999999994"/>
    <n v="73.599999999999994"/>
    <n v="-17.072132336389242"/>
    <n v="1621.0516332459447"/>
    <n v="0"/>
    <n v="1"/>
    <n v="0"/>
    <n v="0"/>
    <n v="0"/>
    <n v="0"/>
    <n v="0"/>
    <n v="0"/>
    <n v="0"/>
    <n v="0"/>
  </r>
  <r>
    <d v="2005-07-13T00:00:00"/>
    <n v="2005"/>
    <x v="14"/>
    <s v="R"/>
    <s v="RS"/>
    <x v="11"/>
    <s v="CON"/>
    <s v="H"/>
    <n v="5"/>
    <n v="5"/>
    <n v="0"/>
    <n v="0"/>
    <n v="0"/>
    <n v="0"/>
    <n v="1488.7125330372471"/>
    <n v="1638.1237655823338"/>
    <n v="0.40696232351359735"/>
    <n v="64"/>
    <n v="53"/>
    <n v="0"/>
    <n v="11"/>
    <n v="1"/>
    <n v="0.39113589066076093"/>
    <n v="1"/>
    <n v="73.75"/>
    <n v="73.75"/>
    <n v="17.106926084357429"/>
    <n v="1505.8194591216045"/>
    <n v="1"/>
    <n v="0"/>
    <n v="0"/>
    <n v="0"/>
    <n v="0"/>
    <n v="0"/>
    <n v="0"/>
    <n v="0"/>
    <n v="0"/>
    <n v="0"/>
  </r>
  <r>
    <d v="2005-07-13T00:00:00"/>
    <n v="2005"/>
    <x v="14"/>
    <s v="R"/>
    <s v="RS"/>
    <x v="3"/>
    <s v="MIN"/>
    <s v="A"/>
    <n v="5"/>
    <n v="5"/>
    <n v="0"/>
    <n v="0"/>
    <n v="0"/>
    <n v="0"/>
    <n v="1482.7579890900915"/>
    <n v="1494.8460920904033"/>
    <n v="0.3651390904835648"/>
    <n v="61"/>
    <n v="71"/>
    <n v="0"/>
    <n v="-10"/>
    <n v="0"/>
    <n v="0.41890984487173882"/>
    <n v="1"/>
    <n v="73.75"/>
    <n v="73.75"/>
    <n v="-11.280826531641997"/>
    <n v="1471.4771625584494"/>
    <n v="0"/>
    <n v="1"/>
    <n v="0"/>
    <n v="0"/>
    <n v="0"/>
    <n v="0"/>
    <n v="0"/>
    <n v="0"/>
    <n v="0"/>
    <n v="0"/>
  </r>
  <r>
    <d v="2005-07-13T00:00:00"/>
    <n v="2005"/>
    <x v="16"/>
    <s v="R"/>
    <s v="RS"/>
    <x v="10"/>
    <s v="DET"/>
    <s v="H"/>
    <n v="5"/>
    <n v="5"/>
    <n v="0"/>
    <n v="0"/>
    <n v="0"/>
    <n v="0"/>
    <n v="1494.8460920904033"/>
    <n v="1482.7579890900915"/>
    <n v="0.63486090951643526"/>
    <n v="71"/>
    <n v="61"/>
    <n v="0"/>
    <n v="10"/>
    <n v="1"/>
    <n v="0.41890984487173882"/>
    <n v="1"/>
    <n v="73.45"/>
    <n v="73.45"/>
    <n v="11.234938423716674"/>
    <n v="1506.0810305141199"/>
    <n v="1"/>
    <n v="0"/>
    <n v="0"/>
    <n v="0"/>
    <n v="0"/>
    <n v="0"/>
    <n v="0"/>
    <n v="0"/>
    <n v="0"/>
    <n v="0"/>
  </r>
  <r>
    <d v="2005-07-13T00:00:00"/>
    <n v="2005"/>
    <x v="16"/>
    <s v="R"/>
    <s v="RS"/>
    <x v="1"/>
    <s v="PHX"/>
    <s v="A"/>
    <n v="0"/>
    <n v="6"/>
    <n v="-6"/>
    <n v="6"/>
    <n v="-16"/>
    <n v="16"/>
    <n v="1367.0440596401529"/>
    <n v="1454.136044357042"/>
    <n v="0.23701924979272385"/>
    <n v="62"/>
    <n v="82"/>
    <n v="0"/>
    <n v="-20"/>
    <n v="0"/>
    <n v="0.53598720132061972"/>
    <n v="1"/>
    <n v="73.45"/>
    <n v="73.45"/>
    <n v="-9.3310354359125718"/>
    <n v="1357.7130242042404"/>
    <n v="0"/>
    <n v="1"/>
    <n v="0"/>
    <n v="0"/>
    <n v="0"/>
    <n v="0"/>
    <n v="0"/>
    <n v="0"/>
    <n v="0"/>
    <n v="0"/>
  </r>
  <r>
    <d v="2005-07-13T00:00:00"/>
    <n v="2005"/>
    <x v="16"/>
    <s v="R"/>
    <s v="RS"/>
    <x v="5"/>
    <s v="CHA"/>
    <s v="H"/>
    <n v="6"/>
    <n v="0"/>
    <n v="6"/>
    <n v="-6"/>
    <n v="16"/>
    <n v="-16"/>
    <n v="1454.136044357042"/>
    <n v="1367.0440596401529"/>
    <n v="0.76298075020727618"/>
    <n v="82"/>
    <n v="62"/>
    <n v="0"/>
    <n v="20"/>
    <n v="1"/>
    <n v="0.53598720132061972"/>
    <n v="1"/>
    <n v="73.45"/>
    <n v="73.45"/>
    <n v="9.3310354359125718"/>
    <n v="1463.4670797929546"/>
    <n v="1"/>
    <n v="0"/>
    <n v="0"/>
    <n v="0"/>
    <n v="0"/>
    <n v="0"/>
    <n v="0"/>
    <n v="0"/>
    <n v="0"/>
    <n v="0"/>
  </r>
  <r>
    <d v="2005-07-13T00:00:00"/>
    <n v="2005"/>
    <x v="16"/>
    <s v="R"/>
    <s v="RS"/>
    <x v="0"/>
    <s v="SEA"/>
    <s v="A"/>
    <n v="5"/>
    <n v="6"/>
    <n v="-1"/>
    <n v="1"/>
    <n v="-8"/>
    <n v="8"/>
    <n v="1486.78040092481"/>
    <n v="1523.7648169232971"/>
    <n v="0.31248102418370721"/>
    <n v="78"/>
    <n v="71"/>
    <n v="0"/>
    <n v="7"/>
    <n v="1"/>
    <n v="0.35904139230896115"/>
    <n v="1"/>
    <n v="73.45"/>
    <n v="73.45"/>
    <n v="18.130968729703792"/>
    <n v="1504.9113696545137"/>
    <n v="1"/>
    <n v="0"/>
    <n v="0"/>
    <n v="0"/>
    <n v="0"/>
    <n v="0"/>
    <n v="0"/>
    <n v="0"/>
    <n v="0"/>
    <n v="0"/>
  </r>
  <r>
    <d v="2005-07-13T00:00:00"/>
    <n v="2005"/>
    <x v="17"/>
    <s v="R"/>
    <s v="RS"/>
    <x v="9"/>
    <s v="WAS"/>
    <s v="H"/>
    <n v="6"/>
    <n v="5"/>
    <n v="1"/>
    <n v="-1"/>
    <n v="8"/>
    <n v="-8"/>
    <n v="1523.7648169232971"/>
    <n v="1486.78040092481"/>
    <n v="0.68751897581629284"/>
    <n v="71"/>
    <n v="78"/>
    <n v="0"/>
    <n v="-7"/>
    <n v="0"/>
    <n v="0.35904139230896115"/>
    <n v="1"/>
    <n v="73.3"/>
    <n v="73.3"/>
    <n v="-18.093941564156406"/>
    <n v="1505.6708753591406"/>
    <n v="0"/>
    <n v="1"/>
    <n v="0"/>
    <n v="0"/>
    <n v="0"/>
    <n v="0"/>
    <n v="0"/>
    <n v="0"/>
    <n v="0"/>
    <n v="0"/>
  </r>
  <r>
    <d v="2005-07-14T00:00:00"/>
    <n v="2005"/>
    <x v="18"/>
    <s v="R"/>
    <s v="RS"/>
    <x v="7"/>
    <s v="SAC"/>
    <s v="A"/>
    <n v="8"/>
    <n v="10"/>
    <n v="-2"/>
    <n v="2"/>
    <n v="-16"/>
    <n v="16"/>
    <n v="1394.2033911523017"/>
    <n v="1610.0156270525715"/>
    <n v="0.12897357573291948"/>
    <n v="61"/>
    <n v="72"/>
    <n v="0"/>
    <n v="-11"/>
    <n v="0"/>
    <n v="0.37279178052416284"/>
    <n v="1"/>
    <n v="73.150000000000006"/>
    <n v="73.150000000000006"/>
    <n v="-3.5170731358178466"/>
    <n v="1390.6863180164839"/>
    <n v="0"/>
    <n v="1"/>
    <n v="0"/>
    <n v="0"/>
    <n v="0"/>
    <n v="0"/>
    <n v="0"/>
    <n v="0"/>
    <n v="0"/>
    <n v="0"/>
  </r>
  <r>
    <d v="2005-07-14T00:00:00"/>
    <n v="2005"/>
    <x v="16"/>
    <s v="R"/>
    <s v="RS"/>
    <x v="4"/>
    <s v="SAS"/>
    <s v="H"/>
    <n v="10"/>
    <n v="8"/>
    <n v="2"/>
    <n v="-2"/>
    <n v="16"/>
    <n v="-16"/>
    <n v="1610.0156270525715"/>
    <n v="1394.2033911523017"/>
    <n v="0.87102642426708055"/>
    <n v="72"/>
    <n v="61"/>
    <n v="0"/>
    <n v="11"/>
    <n v="1"/>
    <n v="0.37279178052416284"/>
    <n v="1"/>
    <n v="73.45"/>
    <n v="73.45"/>
    <n v="3.5314972224992589"/>
    <n v="1613.5471242750707"/>
    <n v="1"/>
    <n v="0"/>
    <n v="0"/>
    <n v="0"/>
    <n v="0"/>
    <n v="0"/>
    <n v="0"/>
    <n v="0"/>
    <n v="0"/>
    <n v="0"/>
  </r>
  <r>
    <d v="2005-07-15T00:00:00"/>
    <n v="2005"/>
    <x v="16"/>
    <s v="R"/>
    <s v="RS"/>
    <x v="6"/>
    <s v="CON"/>
    <s v="A"/>
    <n v="2"/>
    <n v="1"/>
    <n v="1"/>
    <n v="-1"/>
    <n v="8"/>
    <n v="-8"/>
    <n v="1514.5266154658977"/>
    <n v="1621.0516332459447"/>
    <n v="0.26802879426423637"/>
    <n v="66"/>
    <n v="70"/>
    <n v="0"/>
    <n v="-4"/>
    <n v="0"/>
    <n v="0.28604066267299805"/>
    <n v="1"/>
    <n v="73.45"/>
    <n v="73.45"/>
    <n v="-5.6312009869224928"/>
    <n v="1508.8954144789752"/>
    <n v="0"/>
    <n v="1"/>
    <n v="0"/>
    <n v="0"/>
    <n v="0"/>
    <n v="0"/>
    <n v="0"/>
    <n v="0"/>
    <n v="0"/>
    <n v="0"/>
  </r>
  <r>
    <d v="2005-07-15T00:00:00"/>
    <n v="2005"/>
    <x v="16"/>
    <s v="R"/>
    <s v="RS"/>
    <x v="2"/>
    <s v="HOU"/>
    <s v="H"/>
    <n v="1"/>
    <n v="2"/>
    <n v="-1"/>
    <n v="1"/>
    <n v="-8"/>
    <n v="8"/>
    <n v="1621.0516332459447"/>
    <n v="1514.5266154658977"/>
    <n v="0.73197120573576369"/>
    <n v="70"/>
    <n v="66"/>
    <n v="0"/>
    <n v="4"/>
    <n v="1"/>
    <n v="0.28604066267299805"/>
    <n v="1"/>
    <n v="73.45"/>
    <n v="73.45"/>
    <n v="5.6312009869224919"/>
    <n v="1626.6828342328672"/>
    <n v="1"/>
    <n v="0"/>
    <n v="0"/>
    <n v="0"/>
    <n v="0"/>
    <n v="0"/>
    <n v="0"/>
    <n v="0"/>
    <n v="0"/>
    <n v="0"/>
  </r>
  <r>
    <d v="2005-07-15T00:00:00"/>
    <n v="2005"/>
    <x v="15"/>
    <s v="R"/>
    <s v="RS"/>
    <x v="3"/>
    <s v="IND"/>
    <s v="A"/>
    <n v="1"/>
    <n v="1"/>
    <n v="0"/>
    <n v="0"/>
    <n v="0"/>
    <n v="0"/>
    <n v="1471.4771625584494"/>
    <n v="1505.8194591216045"/>
    <n v="0.3359861609262067"/>
    <n v="57"/>
    <n v="62"/>
    <n v="0"/>
    <n v="-5"/>
    <n v="0"/>
    <n v="0.32252574643352033"/>
    <n v="1"/>
    <n v="73.599999999999994"/>
    <n v="73.599999999999994"/>
    <n v="-7.9756041885226452"/>
    <n v="1463.5015583699269"/>
    <n v="0"/>
    <n v="1"/>
    <n v="0"/>
    <n v="0"/>
    <n v="0"/>
    <n v="0"/>
    <n v="0"/>
    <n v="0"/>
    <n v="0"/>
    <n v="0"/>
  </r>
  <r>
    <d v="2005-07-15T00:00:00"/>
    <n v="2005"/>
    <x v="15"/>
    <s v="R"/>
    <s v="RS"/>
    <x v="11"/>
    <s v="DET"/>
    <s v="H"/>
    <n v="1"/>
    <n v="1"/>
    <n v="0"/>
    <n v="0"/>
    <n v="0"/>
    <n v="0"/>
    <n v="1505.8194591216045"/>
    <n v="1471.4771625584494"/>
    <n v="0.6640138390737933"/>
    <n v="62"/>
    <n v="57"/>
    <n v="0"/>
    <n v="5"/>
    <n v="1"/>
    <n v="0.32252574643352033"/>
    <n v="1"/>
    <n v="73.599999999999994"/>
    <n v="73.599999999999994"/>
    <n v="7.9756041885226452"/>
    <n v="1513.795063310127"/>
    <n v="1"/>
    <n v="0"/>
    <n v="0"/>
    <n v="0"/>
    <n v="0"/>
    <n v="0"/>
    <n v="0"/>
    <n v="0"/>
    <n v="0"/>
    <n v="0"/>
  </r>
  <r>
    <d v="2005-07-15T00:00:00"/>
    <n v="2005"/>
    <x v="17"/>
    <s v="R"/>
    <s v="RS"/>
    <x v="10"/>
    <s v="NYL"/>
    <s v="A"/>
    <n v="1"/>
    <n v="2"/>
    <n v="-1"/>
    <n v="1"/>
    <n v="-8"/>
    <n v="8"/>
    <n v="1506.0810305141199"/>
    <n v="1505.1245646540515"/>
    <n v="0.36120442587625551"/>
    <n v="64"/>
    <n v="60"/>
    <n v="0"/>
    <n v="4"/>
    <n v="1"/>
    <n v="0.31118470361622563"/>
    <n v="1"/>
    <n v="73.3"/>
    <n v="73.3"/>
    <n v="14.570824055990467"/>
    <n v="1520.6518545701103"/>
    <n v="1"/>
    <n v="0"/>
    <n v="0"/>
    <n v="0"/>
    <n v="0"/>
    <n v="0"/>
    <n v="0"/>
    <n v="0"/>
    <n v="0"/>
    <n v="0"/>
  </r>
  <r>
    <d v="2005-07-15T00:00:00"/>
    <n v="2005"/>
    <x v="15"/>
    <s v="R"/>
    <s v="RS"/>
    <x v="12"/>
    <s v="MIN"/>
    <s v="H"/>
    <n v="2"/>
    <n v="1"/>
    <n v="1"/>
    <n v="-1"/>
    <n v="8"/>
    <n v="-8"/>
    <n v="1505.1245646540515"/>
    <n v="1506.0810305141199"/>
    <n v="0.63879557412374444"/>
    <n v="60"/>
    <n v="64"/>
    <n v="0"/>
    <n v="-4"/>
    <n v="0"/>
    <n v="0.31118470361622563"/>
    <n v="1"/>
    <n v="73.599999999999994"/>
    <n v="73.599999999999994"/>
    <n v="-14.630459079411981"/>
    <n v="1490.4941055746394"/>
    <n v="0"/>
    <n v="1"/>
    <n v="0"/>
    <n v="0"/>
    <n v="0"/>
    <n v="0"/>
    <n v="0"/>
    <n v="0"/>
    <n v="0"/>
    <n v="0"/>
  </r>
  <r>
    <d v="2005-07-15T00:00:00"/>
    <n v="2005"/>
    <x v="17"/>
    <s v="R"/>
    <s v="RS"/>
    <x v="0"/>
    <s v="PHX"/>
    <s v="A"/>
    <n v="1"/>
    <n v="1"/>
    <n v="0"/>
    <n v="0"/>
    <n v="0"/>
    <n v="0"/>
    <n v="1504.9113696545137"/>
    <n v="1463.4670797929546"/>
    <n v="0.43906184972662271"/>
    <n v="66"/>
    <n v="77"/>
    <n v="0"/>
    <n v="-11"/>
    <n v="0"/>
    <n v="0.42515251680606314"/>
    <n v="1"/>
    <n v="73.3"/>
    <n v="73.3"/>
    <n v="-13.682782757603775"/>
    <n v="1491.22858689691"/>
    <n v="0"/>
    <n v="1"/>
    <n v="0"/>
    <n v="0"/>
    <n v="0"/>
    <n v="0"/>
    <n v="0"/>
    <n v="0"/>
    <n v="0"/>
    <n v="0"/>
  </r>
  <r>
    <d v="2005-07-15T00:00:00"/>
    <n v="2005"/>
    <x v="17"/>
    <s v="R"/>
    <s v="RS"/>
    <x v="5"/>
    <s v="WAS"/>
    <s v="H"/>
    <n v="1"/>
    <n v="1"/>
    <n v="0"/>
    <n v="0"/>
    <n v="0"/>
    <n v="0"/>
    <n v="1463.4670797929546"/>
    <n v="1504.9113696545137"/>
    <n v="0.56093815027337735"/>
    <n v="77"/>
    <n v="66"/>
    <n v="0"/>
    <n v="11"/>
    <n v="1"/>
    <n v="0.42515251680606314"/>
    <n v="1"/>
    <n v="73.3"/>
    <n v="73.3"/>
    <n v="13.682782757603773"/>
    <n v="1477.1498625505583"/>
    <n v="1"/>
    <n v="0"/>
    <n v="0"/>
    <n v="0"/>
    <n v="0"/>
    <n v="0"/>
    <n v="0"/>
    <n v="0"/>
    <n v="0"/>
    <n v="0"/>
  </r>
  <r>
    <d v="2005-07-15T00:00:00"/>
    <n v="2005"/>
    <x v="19"/>
    <s v="R"/>
    <s v="RS"/>
    <x v="7"/>
    <s v="SEA"/>
    <s v="A"/>
    <n v="0"/>
    <n v="1"/>
    <n v="-1"/>
    <n v="1"/>
    <n v="-8"/>
    <n v="8"/>
    <n v="1390.6863180164839"/>
    <n v="1505.6708753591406"/>
    <n v="0.22486262833308907"/>
    <n v="70"/>
    <n v="92"/>
    <n v="0"/>
    <n v="-22"/>
    <n v="0"/>
    <n v="0.54941132315970465"/>
    <n v="1"/>
    <n v="73"/>
    <n v="73"/>
    <n v="-9.0185714138005491"/>
    <n v="1381.6677466026833"/>
    <n v="0"/>
    <n v="1"/>
    <n v="0"/>
    <n v="0"/>
    <n v="0"/>
    <n v="0"/>
    <n v="0"/>
    <n v="0"/>
    <n v="0"/>
    <n v="0"/>
  </r>
  <r>
    <d v="2005-07-15T00:00:00"/>
    <n v="2005"/>
    <x v="18"/>
    <s v="R"/>
    <s v="RS"/>
    <x v="9"/>
    <s v="SAS"/>
    <s v="H"/>
    <n v="1"/>
    <n v="0"/>
    <n v="1"/>
    <n v="-1"/>
    <n v="8"/>
    <n v="-8"/>
    <n v="1505.6708753591406"/>
    <n v="1390.6863180164839"/>
    <n v="0.77513737166691099"/>
    <n v="92"/>
    <n v="70"/>
    <n v="0"/>
    <n v="22"/>
    <n v="1"/>
    <n v="0.54941132315970465"/>
    <n v="1"/>
    <n v="73.150000000000006"/>
    <n v="73.150000000000006"/>
    <n v="9.0371027249247948"/>
    <n v="1514.7079780840654"/>
    <n v="1"/>
    <n v="0"/>
    <n v="0"/>
    <n v="0"/>
    <n v="0"/>
    <n v="0"/>
    <n v="0"/>
    <n v="0"/>
    <n v="0"/>
    <n v="0"/>
  </r>
  <r>
    <d v="2005-07-16T00:00:00"/>
    <n v="2005"/>
    <x v="19"/>
    <s v="R"/>
    <s v="RS"/>
    <x v="9"/>
    <s v="LAS"/>
    <s v="A"/>
    <n v="0"/>
    <n v="3"/>
    <n v="-3"/>
    <n v="3"/>
    <n v="-16"/>
    <n v="16"/>
    <n v="1514.7079780840654"/>
    <n v="1549.7713602902606"/>
    <n v="0.29533946972937469"/>
    <n v="78"/>
    <n v="70"/>
    <n v="0"/>
    <n v="8"/>
    <n v="1"/>
    <n v="0.37729127809718427"/>
    <n v="1"/>
    <n v="73"/>
    <n v="73"/>
    <n v="19.407945862602396"/>
    <n v="1534.1159239466679"/>
    <n v="1"/>
    <n v="0"/>
    <n v="0"/>
    <n v="0"/>
    <n v="0"/>
    <n v="0"/>
    <n v="0"/>
    <n v="0"/>
    <n v="0"/>
    <n v="0"/>
  </r>
  <r>
    <d v="2005-07-16T00:00:00"/>
    <n v="2005"/>
    <x v="17"/>
    <s v="R"/>
    <s v="RS"/>
    <x v="8"/>
    <s v="SEA"/>
    <s v="H"/>
    <n v="3"/>
    <n v="0"/>
    <n v="3"/>
    <n v="-3"/>
    <n v="16"/>
    <n v="-16"/>
    <n v="1549.7713602902606"/>
    <n v="1514.7079780840654"/>
    <n v="0.70466053027062525"/>
    <n v="70"/>
    <n v="78"/>
    <n v="0"/>
    <n v="-8"/>
    <n v="0"/>
    <n v="0.37729127809718427"/>
    <n v="1"/>
    <n v="73.3"/>
    <n v="73.3"/>
    <n v="-19.48770454422953"/>
    <n v="1530.2836557460312"/>
    <n v="0"/>
    <n v="1"/>
    <n v="0"/>
    <n v="0"/>
    <n v="0"/>
    <n v="0"/>
    <n v="0"/>
    <n v="0"/>
    <n v="0"/>
    <n v="0"/>
  </r>
  <r>
    <d v="2005-07-16T00:00:00"/>
    <n v="2005"/>
    <x v="18"/>
    <s v="R"/>
    <s v="RS"/>
    <x v="0"/>
    <s v="SAC"/>
    <s v="A"/>
    <n v="0"/>
    <n v="1"/>
    <n v="-1"/>
    <n v="1"/>
    <n v="-8"/>
    <n v="8"/>
    <n v="1491.22858689691"/>
    <n v="1613.5471242750707"/>
    <n v="0.21758965382886525"/>
    <n v="59"/>
    <n v="73"/>
    <n v="0"/>
    <n v="-14"/>
    <n v="0"/>
    <n v="0.44250285215020341"/>
    <n v="1"/>
    <n v="73.150000000000006"/>
    <n v="73.150000000000006"/>
    <n v="-7.043177702850973"/>
    <n v="1484.185409194059"/>
    <n v="0"/>
    <n v="1"/>
    <n v="0"/>
    <n v="0"/>
    <n v="0"/>
    <n v="0"/>
    <n v="0"/>
    <n v="0"/>
    <n v="0"/>
    <n v="0"/>
  </r>
  <r>
    <d v="2005-07-16T00:00:00"/>
    <n v="2005"/>
    <x v="17"/>
    <s v="R"/>
    <s v="RS"/>
    <x v="4"/>
    <s v="WAS"/>
    <s v="H"/>
    <n v="1"/>
    <n v="0"/>
    <n v="1"/>
    <n v="-1"/>
    <n v="8"/>
    <n v="-8"/>
    <n v="1613.5471242750707"/>
    <n v="1491.22858689691"/>
    <n v="0.78241034617113481"/>
    <n v="73"/>
    <n v="59"/>
    <n v="0"/>
    <n v="14"/>
    <n v="1"/>
    <n v="0.44250285215020341"/>
    <n v="1"/>
    <n v="73.3"/>
    <n v="73.3"/>
    <n v="7.0576203092136183"/>
    <n v="1620.6047445842844"/>
    <n v="1"/>
    <n v="0"/>
    <n v="0"/>
    <n v="0"/>
    <n v="0"/>
    <n v="0"/>
    <n v="0"/>
    <n v="0"/>
    <n v="0"/>
    <n v="0"/>
  </r>
  <r>
    <d v="2005-07-17T00:00:00"/>
    <n v="2005"/>
    <x v="17"/>
    <s v="R"/>
    <s v="RS"/>
    <x v="6"/>
    <s v="CHA"/>
    <s v="A"/>
    <n v="1"/>
    <n v="3"/>
    <n v="-2"/>
    <n v="2"/>
    <n v="-16"/>
    <n v="16"/>
    <n v="1508.8954144789752"/>
    <n v="1357.7130242042404"/>
    <n v="0.55045917446116954"/>
    <n v="67"/>
    <n v="55"/>
    <n v="0"/>
    <n v="12"/>
    <n v="1"/>
    <n v="0.40509359478889856"/>
    <n v="1"/>
    <n v="73.3"/>
    <n v="73.3"/>
    <n v="13.348377791304824"/>
    <n v="1522.24379227028"/>
    <n v="1"/>
    <n v="0"/>
    <n v="0"/>
    <n v="0"/>
    <n v="0"/>
    <n v="0"/>
    <n v="0"/>
    <n v="0"/>
    <n v="0"/>
    <n v="0"/>
  </r>
  <r>
    <d v="2005-07-17T00:00:00"/>
    <n v="2005"/>
    <x v="17"/>
    <s v="R"/>
    <s v="RS"/>
    <x v="1"/>
    <s v="HOU"/>
    <s v="H"/>
    <n v="3"/>
    <n v="1"/>
    <n v="2"/>
    <n v="-2"/>
    <n v="16"/>
    <n v="-16"/>
    <n v="1357.7130242042404"/>
    <n v="1508.8954144789752"/>
    <n v="0.44954082553883057"/>
    <n v="55"/>
    <n v="67"/>
    <n v="0"/>
    <n v="-12"/>
    <n v="0"/>
    <n v="0.40509359478889856"/>
    <n v="1"/>
    <n v="73.3"/>
    <n v="73.3"/>
    <n v="-13.348377791304827"/>
    <n v="1344.3646464129356"/>
    <n v="0"/>
    <n v="1"/>
    <n v="0"/>
    <n v="0"/>
    <n v="0"/>
    <n v="0"/>
    <n v="0"/>
    <n v="0"/>
    <n v="0"/>
    <n v="0"/>
  </r>
  <r>
    <d v="2005-07-17T00:00:00"/>
    <n v="2005"/>
    <x v="16"/>
    <s v="R"/>
    <s v="RS"/>
    <x v="11"/>
    <s v="DET"/>
    <s v="A"/>
    <n v="1"/>
    <n v="1"/>
    <n v="0"/>
    <n v="0"/>
    <n v="0"/>
    <n v="0"/>
    <n v="1513.795063310127"/>
    <n v="1463.5015583699269"/>
    <n v="0.45164406675077723"/>
    <n v="59"/>
    <n v="58"/>
    <n v="0"/>
    <n v="1"/>
    <n v="1"/>
    <n v="0.23435745606977831"/>
    <n v="1"/>
    <n v="73.45"/>
    <n v="73.45"/>
    <n v="9.4391550978968368"/>
    <n v="1523.2342184080239"/>
    <n v="1"/>
    <n v="0"/>
    <n v="0"/>
    <n v="0"/>
    <n v="0"/>
    <n v="0"/>
    <n v="0"/>
    <n v="0"/>
    <n v="0"/>
    <n v="0"/>
  </r>
  <r>
    <d v="2005-07-17T00:00:00"/>
    <n v="2005"/>
    <x v="16"/>
    <s v="R"/>
    <s v="RS"/>
    <x v="3"/>
    <s v="IND"/>
    <s v="H"/>
    <n v="1"/>
    <n v="1"/>
    <n v="0"/>
    <n v="0"/>
    <n v="0"/>
    <n v="0"/>
    <n v="1463.5015583699269"/>
    <n v="1513.795063310127"/>
    <n v="0.54835593324922272"/>
    <n v="58"/>
    <n v="59"/>
    <n v="0"/>
    <n v="-1"/>
    <n v="0"/>
    <n v="0.23435745606977831"/>
    <n v="1"/>
    <n v="73.45"/>
    <n v="73.45"/>
    <n v="-9.4391550978968368"/>
    <n v="1454.06240327203"/>
    <n v="0"/>
    <n v="1"/>
    <n v="0"/>
    <n v="0"/>
    <n v="0"/>
    <n v="0"/>
    <n v="0"/>
    <n v="0"/>
    <n v="0"/>
    <n v="0"/>
  </r>
  <r>
    <d v="2005-07-17T00:00:00"/>
    <n v="2005"/>
    <x v="17"/>
    <s v="R"/>
    <s v="RS"/>
    <x v="2"/>
    <s v="MIN"/>
    <s v="A"/>
    <n v="1"/>
    <n v="1"/>
    <n v="0"/>
    <n v="0"/>
    <n v="0"/>
    <n v="0"/>
    <n v="1626.6828342328672"/>
    <n v="1520.6518545701103"/>
    <n v="0.53166270261337767"/>
    <n v="72"/>
    <n v="53"/>
    <n v="0"/>
    <n v="19"/>
    <n v="1"/>
    <n v="0.51543424141557981"/>
    <n v="1"/>
    <n v="73.3"/>
    <n v="73.3"/>
    <n v="17.694405935053574"/>
    <n v="1644.3772401679207"/>
    <n v="1"/>
    <n v="0"/>
    <n v="0"/>
    <n v="0"/>
    <n v="0"/>
    <n v="0"/>
    <n v="0"/>
    <n v="0"/>
    <n v="0"/>
    <n v="0"/>
  </r>
  <r>
    <d v="2005-07-17T00:00:00"/>
    <n v="2005"/>
    <x v="18"/>
    <s v="R"/>
    <s v="RS"/>
    <x v="10"/>
    <s v="CON"/>
    <s v="H"/>
    <n v="1"/>
    <n v="1"/>
    <n v="0"/>
    <n v="0"/>
    <n v="0"/>
    <n v="0"/>
    <n v="1520.6518545701103"/>
    <n v="1626.6828342328672"/>
    <n v="0.46833729738662233"/>
    <n v="53"/>
    <n v="72"/>
    <n v="0"/>
    <n v="-19"/>
    <n v="0"/>
    <n v="0.51543424141557981"/>
    <n v="1"/>
    <n v="73.150000000000006"/>
    <n v="73.150000000000006"/>
    <n v="-17.658196373112808"/>
    <n v="1502.9936581969976"/>
    <n v="0"/>
    <n v="1"/>
    <n v="0"/>
    <n v="0"/>
    <n v="0"/>
    <n v="0"/>
    <n v="0"/>
    <n v="0"/>
    <n v="0"/>
    <n v="0"/>
  </r>
  <r>
    <d v="2005-07-19T00:00:00"/>
    <n v="2005"/>
    <x v="18"/>
    <s v="R"/>
    <s v="RS"/>
    <x v="2"/>
    <s v="CHA"/>
    <s v="A"/>
    <n v="1"/>
    <n v="1"/>
    <n v="0"/>
    <n v="0"/>
    <n v="0"/>
    <n v="0"/>
    <n v="1644.3772401679207"/>
    <n v="1344.3646464129356"/>
    <n v="0.77616717035675176"/>
    <n v="64"/>
    <n v="55"/>
    <n v="0"/>
    <n v="9"/>
    <n v="1"/>
    <n v="0.32477449496418426"/>
    <n v="1"/>
    <n v="73.150000000000006"/>
    <n v="73.150000000000006"/>
    <n v="5.3176534560072568"/>
    <n v="1649.694893623928"/>
    <n v="1"/>
    <n v="0"/>
    <n v="0"/>
    <n v="0"/>
    <n v="0"/>
    <n v="0"/>
    <n v="0"/>
    <n v="0"/>
    <n v="0"/>
    <n v="0"/>
  </r>
  <r>
    <d v="2005-07-19T00:00:00"/>
    <n v="2005"/>
    <x v="18"/>
    <s v="R"/>
    <s v="RS"/>
    <x v="1"/>
    <s v="CON"/>
    <s v="H"/>
    <n v="1"/>
    <n v="1"/>
    <n v="0"/>
    <n v="0"/>
    <n v="0"/>
    <n v="0"/>
    <n v="1344.3646464129356"/>
    <n v="1644.3772401679207"/>
    <n v="0.22383282964324824"/>
    <n v="55"/>
    <n v="64"/>
    <n v="0"/>
    <n v="-9"/>
    <n v="0"/>
    <n v="0.32477449496418426"/>
    <n v="1"/>
    <n v="73.150000000000006"/>
    <n v="73.150000000000006"/>
    <n v="-5.3176534560072568"/>
    <n v="1339.0469929569283"/>
    <n v="0"/>
    <n v="1"/>
    <n v="0"/>
    <n v="0"/>
    <n v="0"/>
    <n v="0"/>
    <n v="0"/>
    <n v="0"/>
    <n v="0"/>
    <n v="0"/>
  </r>
  <r>
    <d v="2005-07-19T00:00:00"/>
    <n v="2005"/>
    <x v="18"/>
    <s v="R"/>
    <s v="RS"/>
    <x v="4"/>
    <s v="HOU"/>
    <s v="A"/>
    <n v="2"/>
    <n v="1"/>
    <n v="1"/>
    <n v="-1"/>
    <n v="8"/>
    <n v="-8"/>
    <n v="1620.6047445842844"/>
    <n v="1522.24379227028"/>
    <n v="0.54358204408030519"/>
    <n v="54"/>
    <n v="58"/>
    <n v="0"/>
    <n v="-4"/>
    <n v="0"/>
    <n v="0.2878392801467064"/>
    <n v="1"/>
    <n v="73.150000000000006"/>
    <n v="73.150000000000006"/>
    <n v="-11.445360931259083"/>
    <n v="1609.1593836530253"/>
    <n v="0"/>
    <n v="1"/>
    <n v="0"/>
    <n v="0"/>
    <n v="0"/>
    <n v="0"/>
    <n v="0"/>
    <n v="0"/>
    <n v="0"/>
    <n v="0"/>
  </r>
  <r>
    <d v="2005-07-19T00:00:00"/>
    <n v="2005"/>
    <x v="18"/>
    <s v="R"/>
    <s v="RS"/>
    <x v="6"/>
    <s v="SAC"/>
    <s v="H"/>
    <n v="1"/>
    <n v="2"/>
    <n v="-1"/>
    <n v="1"/>
    <n v="-8"/>
    <n v="8"/>
    <n v="1522.24379227028"/>
    <n v="1620.6047445842844"/>
    <n v="0.45641795591969475"/>
    <n v="58"/>
    <n v="54"/>
    <n v="0"/>
    <n v="4"/>
    <n v="1"/>
    <n v="0.2878392801467064"/>
    <n v="1"/>
    <n v="73.150000000000006"/>
    <n v="73.150000000000006"/>
    <n v="11.445360931259083"/>
    <n v="1533.6891532015391"/>
    <n v="1"/>
    <n v="0"/>
    <n v="0"/>
    <n v="0"/>
    <n v="0"/>
    <n v="0"/>
    <n v="0"/>
    <n v="0"/>
    <n v="0"/>
    <n v="0"/>
  </r>
  <r>
    <d v="2005-07-19T00:00:00"/>
    <n v="2005"/>
    <x v="19"/>
    <s v="R"/>
    <s v="RS"/>
    <x v="0"/>
    <s v="LAS"/>
    <s v="A"/>
    <n v="2"/>
    <n v="2"/>
    <n v="0"/>
    <n v="0"/>
    <n v="0"/>
    <n v="0"/>
    <n v="1484.185409194059"/>
    <n v="1530.2836557460312"/>
    <n v="0.32105978834576748"/>
    <n v="74"/>
    <n v="68"/>
    <n v="0"/>
    <n v="6"/>
    <n v="1"/>
    <n v="0.33828545580222719"/>
    <n v="1"/>
    <n v="73"/>
    <n v="73"/>
    <n v="16.766318724219623"/>
    <n v="1500.9517279182787"/>
    <n v="1"/>
    <n v="0"/>
    <n v="0"/>
    <n v="0"/>
    <n v="0"/>
    <n v="0"/>
    <n v="0"/>
    <n v="0"/>
    <n v="0"/>
    <n v="0"/>
  </r>
  <r>
    <d v="2005-07-19T00:00:00"/>
    <n v="2005"/>
    <x v="18"/>
    <s v="R"/>
    <s v="RS"/>
    <x v="8"/>
    <s v="WAS"/>
    <s v="H"/>
    <n v="2"/>
    <n v="2"/>
    <n v="0"/>
    <n v="0"/>
    <n v="0"/>
    <n v="0"/>
    <n v="1530.2836557460312"/>
    <n v="1484.185409194059"/>
    <n v="0.67894021165423246"/>
    <n v="68"/>
    <n v="74"/>
    <n v="0"/>
    <n v="-6"/>
    <n v="0"/>
    <n v="0.33828545580222719"/>
    <n v="1"/>
    <n v="73.150000000000006"/>
    <n v="73.150000000000006"/>
    <n v="-16.800770064063908"/>
    <n v="1513.4828856819672"/>
    <n v="0"/>
    <n v="1"/>
    <n v="0"/>
    <n v="0"/>
    <n v="0"/>
    <n v="0"/>
    <n v="0"/>
    <n v="0"/>
    <n v="0"/>
    <n v="0"/>
  </r>
  <r>
    <d v="2005-07-19T00:00:00"/>
    <n v="2005"/>
    <x v="17"/>
    <s v="R"/>
    <s v="RS"/>
    <x v="11"/>
    <s v="MIN"/>
    <s v="A"/>
    <n v="1"/>
    <n v="1"/>
    <n v="0"/>
    <n v="0"/>
    <n v="0"/>
    <n v="0"/>
    <n v="1523.2342184080239"/>
    <n v="1502.9936581969976"/>
    <n v="0.40925915343285102"/>
    <n v="45"/>
    <n v="66"/>
    <n v="0"/>
    <n v="-21"/>
    <n v="0"/>
    <n v="0.5788133670976644"/>
    <n v="1"/>
    <n v="73.3"/>
    <n v="73.3"/>
    <n v="-17.363646209406795"/>
    <n v="1505.8705721986171"/>
    <n v="0"/>
    <n v="1"/>
    <n v="0"/>
    <n v="0"/>
    <n v="0"/>
    <n v="0"/>
    <n v="0"/>
    <n v="0"/>
    <n v="0"/>
    <n v="0"/>
  </r>
  <r>
    <d v="2005-07-19T00:00:00"/>
    <n v="2005"/>
    <x v="19"/>
    <s v="R"/>
    <s v="RS"/>
    <x v="10"/>
    <s v="IND"/>
    <s v="H"/>
    <n v="1"/>
    <n v="1"/>
    <n v="0"/>
    <n v="0"/>
    <n v="0"/>
    <n v="0"/>
    <n v="1502.9936581969976"/>
    <n v="1523.2342184080239"/>
    <n v="0.59074084656714898"/>
    <n v="66"/>
    <n v="45"/>
    <n v="0"/>
    <n v="21"/>
    <n v="1"/>
    <n v="0.5788133670976644"/>
    <n v="1"/>
    <n v="73"/>
    <n v="73"/>
    <n v="17.292580808822596"/>
    <n v="1520.2862390058201"/>
    <n v="1"/>
    <n v="0"/>
    <n v="0"/>
    <n v="0"/>
    <n v="0"/>
    <n v="0"/>
    <n v="0"/>
    <n v="0"/>
    <n v="0"/>
    <n v="0"/>
  </r>
  <r>
    <d v="2005-07-19T00:00:00"/>
    <n v="2005"/>
    <x v="16"/>
    <s v="R"/>
    <s v="RS"/>
    <x v="12"/>
    <s v="SEA"/>
    <s v="A"/>
    <n v="3"/>
    <n v="2"/>
    <n v="1"/>
    <n v="-1"/>
    <n v="8"/>
    <n v="-8"/>
    <n v="1490.4941055746394"/>
    <n v="1534.1159239466679"/>
    <n v="0.34467105040585932"/>
    <n v="78"/>
    <n v="87"/>
    <n v="0"/>
    <n v="-9"/>
    <n v="0"/>
    <n v="0.39173149375460392"/>
    <n v="1"/>
    <n v="73.45"/>
    <n v="73.45"/>
    <n v="-9.917109223793517"/>
    <n v="1480.576996350846"/>
    <n v="0"/>
    <n v="1"/>
    <n v="0"/>
    <n v="0"/>
    <n v="0"/>
    <n v="0"/>
    <n v="0"/>
    <n v="0"/>
    <n v="0"/>
    <n v="0"/>
  </r>
  <r>
    <d v="2005-07-19T00:00:00"/>
    <n v="2005"/>
    <x v="20"/>
    <s v="R"/>
    <s v="RS"/>
    <x v="9"/>
    <s v="NYL"/>
    <s v="H"/>
    <n v="2"/>
    <n v="3"/>
    <n v="-1"/>
    <n v="1"/>
    <n v="-8"/>
    <n v="8"/>
    <n v="1534.1159239466679"/>
    <n v="1490.4941055746394"/>
    <n v="0.65532894959414068"/>
    <n v="87"/>
    <n v="78"/>
    <n v="0"/>
    <n v="9"/>
    <n v="1"/>
    <n v="0.39173149375460392"/>
    <n v="1"/>
    <n v="72.849999999999994"/>
    <n v="72.849999999999994"/>
    <n v="9.8360981205358442"/>
    <n v="1543.9520220672036"/>
    <n v="1"/>
    <n v="0"/>
    <n v="0"/>
    <n v="0"/>
    <n v="0"/>
    <n v="0"/>
    <n v="0"/>
    <n v="0"/>
    <n v="0"/>
    <n v="0"/>
  </r>
  <r>
    <d v="2005-07-20T00:00:00"/>
    <n v="2005"/>
    <x v="19"/>
    <s v="R"/>
    <s v="RS"/>
    <x v="2"/>
    <s v="DET"/>
    <s v="A"/>
    <n v="0"/>
    <n v="2"/>
    <n v="-2"/>
    <n v="2"/>
    <n v="-16"/>
    <n v="16"/>
    <n v="1649.694893623928"/>
    <n v="1454.06240327203"/>
    <n v="0.61263489029135576"/>
    <n v="57"/>
    <n v="66"/>
    <n v="0"/>
    <n v="-9"/>
    <n v="0"/>
    <n v="0.34906455384530083"/>
    <n v="1"/>
    <n v="73"/>
    <n v="73"/>
    <n v="-15.610986099422036"/>
    <n v="1634.083907524506"/>
    <n v="0"/>
    <n v="1"/>
    <n v="0"/>
    <n v="0"/>
    <n v="0"/>
    <n v="0"/>
    <n v="0"/>
    <n v="0"/>
    <n v="0"/>
    <n v="0"/>
  </r>
  <r>
    <d v="2005-07-20T00:00:00"/>
    <n v="2005"/>
    <x v="17"/>
    <s v="R"/>
    <s v="RS"/>
    <x v="3"/>
    <s v="CON"/>
    <s v="H"/>
    <n v="2"/>
    <n v="0"/>
    <n v="2"/>
    <n v="-2"/>
    <n v="16"/>
    <n v="-16"/>
    <n v="1454.06240327203"/>
    <n v="1649.694893623928"/>
    <n v="0.38736510970864418"/>
    <n v="66"/>
    <n v="57"/>
    <n v="0"/>
    <n v="9"/>
    <n v="1"/>
    <n v="0.34906455384530083"/>
    <n v="1"/>
    <n v="73.3"/>
    <n v="73.3"/>
    <n v="15.675140836816922"/>
    <n v="1469.737544108847"/>
    <n v="1"/>
    <n v="0"/>
    <n v="0"/>
    <n v="0"/>
    <n v="0"/>
    <n v="0"/>
    <n v="0"/>
    <n v="0"/>
    <n v="0"/>
    <n v="0"/>
  </r>
  <r>
    <d v="2005-07-21T00:00:00"/>
    <n v="2005"/>
    <x v="20"/>
    <s v="R"/>
    <s v="RS"/>
    <x v="0"/>
    <s v="HOU"/>
    <s v="A"/>
    <n v="1"/>
    <n v="1"/>
    <n v="0"/>
    <n v="0"/>
    <n v="0"/>
    <n v="0"/>
    <n v="1500.9517279182787"/>
    <n v="1533.6891532015391"/>
    <n v="0.33805035193056865"/>
    <n v="70"/>
    <n v="65"/>
    <n v="0"/>
    <n v="5"/>
    <n v="1"/>
    <n v="0.32294563496522349"/>
    <n v="1"/>
    <n v="72.849999999999994"/>
    <n v="72.849999999999994"/>
    <n v="15.57341764457596"/>
    <n v="1516.5251455628547"/>
    <n v="1"/>
    <n v="0"/>
    <n v="0"/>
    <n v="0"/>
    <n v="0"/>
    <n v="0"/>
    <n v="0"/>
    <n v="0"/>
    <n v="0"/>
    <n v="0"/>
  </r>
  <r>
    <d v="2005-07-21T00:00:00"/>
    <n v="2005"/>
    <x v="19"/>
    <s v="R"/>
    <s v="RS"/>
    <x v="6"/>
    <s v="WAS"/>
    <s v="H"/>
    <n v="1"/>
    <n v="1"/>
    <n v="0"/>
    <n v="0"/>
    <n v="0"/>
    <n v="0"/>
    <n v="1533.6891532015391"/>
    <n v="1500.9517279182787"/>
    <n v="0.66194964806943135"/>
    <n v="65"/>
    <n v="70"/>
    <n v="0"/>
    <n v="-5"/>
    <n v="0"/>
    <n v="0.32294563496522349"/>
    <n v="1"/>
    <n v="73"/>
    <n v="73"/>
    <n v="-15.605483706987579"/>
    <n v="1518.0836694945515"/>
    <n v="0"/>
    <n v="1"/>
    <n v="0"/>
    <n v="0"/>
    <n v="0"/>
    <n v="0"/>
    <n v="0"/>
    <n v="0"/>
    <n v="0"/>
    <n v="0"/>
  </r>
  <r>
    <d v="2005-07-21T00:00:00"/>
    <n v="2005"/>
    <x v="20"/>
    <s v="R"/>
    <s v="RS"/>
    <x v="7"/>
    <s v="IND"/>
    <s v="A"/>
    <n v="5"/>
    <n v="1"/>
    <n v="4"/>
    <n v="-4"/>
    <n v="16"/>
    <n v="-16"/>
    <n v="1381.6677466026833"/>
    <n v="1505.8705721986171"/>
    <n v="0.26613820114676806"/>
    <n v="53"/>
    <n v="66"/>
    <n v="0"/>
    <n v="-13"/>
    <n v="0"/>
    <n v="0.42776868907678045"/>
    <n v="1"/>
    <n v="72.849999999999994"/>
    <n v="72.849999999999994"/>
    <n v="-8.2936511890871287"/>
    <n v="1373.3740954135963"/>
    <n v="0"/>
    <n v="1"/>
    <n v="0"/>
    <n v="0"/>
    <n v="0"/>
    <n v="0"/>
    <n v="0"/>
    <n v="0"/>
    <n v="0"/>
    <n v="0"/>
  </r>
  <r>
    <d v="2005-07-21T00:00:00"/>
    <n v="2005"/>
    <x v="18"/>
    <s v="R"/>
    <s v="RS"/>
    <x v="11"/>
    <s v="SAS"/>
    <s v="H"/>
    <n v="1"/>
    <n v="5"/>
    <n v="-4"/>
    <n v="4"/>
    <n v="-16"/>
    <n v="16"/>
    <n v="1505.8705721986171"/>
    <n v="1381.6677466026833"/>
    <n v="0.73386179885323188"/>
    <n v="66"/>
    <n v="53"/>
    <n v="0"/>
    <n v="13"/>
    <n v="1"/>
    <n v="0.42776868907678045"/>
    <n v="1"/>
    <n v="73.150000000000006"/>
    <n v="73.150000000000006"/>
    <n v="8.3278048659124746"/>
    <n v="1514.1983770645295"/>
    <n v="1"/>
    <n v="0"/>
    <n v="0"/>
    <n v="0"/>
    <n v="0"/>
    <n v="0"/>
    <n v="0"/>
    <n v="0"/>
    <n v="0"/>
    <n v="0"/>
  </r>
  <r>
    <d v="2005-07-21T00:00:00"/>
    <n v="2005"/>
    <x v="17"/>
    <s v="R"/>
    <s v="RS"/>
    <x v="12"/>
    <s v="PHX"/>
    <s v="A"/>
    <n v="1"/>
    <n v="5"/>
    <n v="-4"/>
    <n v="4"/>
    <n v="-16"/>
    <n v="16"/>
    <n v="1480.576996350846"/>
    <n v="1477.1498625505583"/>
    <n v="0.34343552415657203"/>
    <n v="80"/>
    <n v="70"/>
    <n v="0"/>
    <n v="10"/>
    <n v="1"/>
    <n v="0.42192470564902873"/>
    <n v="1"/>
    <n v="73.3"/>
    <n v="73.3"/>
    <n v="20.305622676281796"/>
    <n v="1500.8826190271277"/>
    <n v="1"/>
    <n v="0"/>
    <n v="0"/>
    <n v="0"/>
    <n v="0"/>
    <n v="0"/>
    <n v="0"/>
    <n v="0"/>
    <n v="0"/>
    <n v="0"/>
  </r>
  <r>
    <d v="2005-07-21T00:00:00"/>
    <n v="2005"/>
    <x v="18"/>
    <s v="R"/>
    <s v="RS"/>
    <x v="5"/>
    <s v="NYL"/>
    <s v="H"/>
    <n v="5"/>
    <n v="1"/>
    <n v="4"/>
    <n v="-4"/>
    <n v="16"/>
    <n v="-16"/>
    <n v="1477.1498625505583"/>
    <n v="1480.576996350846"/>
    <n v="0.65656447584342803"/>
    <n v="70"/>
    <n v="80"/>
    <n v="0"/>
    <n v="-10"/>
    <n v="0"/>
    <n v="0.42192470564902873"/>
    <n v="1"/>
    <n v="73.150000000000006"/>
    <n v="73.150000000000006"/>
    <n v="-20.264069560300324"/>
    <n v="1456.8857929902579"/>
    <n v="0"/>
    <n v="1"/>
    <n v="0"/>
    <n v="0"/>
    <n v="0"/>
    <n v="0"/>
    <n v="0"/>
    <n v="0"/>
    <n v="0"/>
    <n v="0"/>
  </r>
  <r>
    <d v="2005-07-22T00:00:00"/>
    <n v="2005"/>
    <x v="19"/>
    <s v="R"/>
    <s v="RS"/>
    <x v="1"/>
    <s v="CON"/>
    <s v="A"/>
    <n v="2"/>
    <n v="1"/>
    <n v="1"/>
    <n v="-1"/>
    <n v="8"/>
    <n v="-8"/>
    <n v="1339.0469929569283"/>
    <n v="1634.083907524506"/>
    <n v="0.11009133746780579"/>
    <n v="63"/>
    <n v="73"/>
    <n v="0"/>
    <n v="-10"/>
    <n v="0"/>
    <n v="0.33962749297438133"/>
    <n v="1"/>
    <n v="73"/>
    <n v="73"/>
    <n v="-2.7294732807942843"/>
    <n v="1336.317519676134"/>
    <n v="0"/>
    <n v="1"/>
    <n v="0"/>
    <n v="0"/>
    <n v="0"/>
    <n v="0"/>
    <n v="0"/>
    <n v="0"/>
    <n v="0"/>
    <n v="0"/>
  </r>
  <r>
    <d v="2005-07-22T00:00:00"/>
    <n v="2005"/>
    <x v="20"/>
    <s v="R"/>
    <s v="RS"/>
    <x v="2"/>
    <s v="CHA"/>
    <s v="H"/>
    <n v="1"/>
    <n v="2"/>
    <n v="-1"/>
    <n v="1"/>
    <n v="-8"/>
    <n v="8"/>
    <n v="1634.083907524506"/>
    <n v="1339.0469929569283"/>
    <n v="0.88990866253219414"/>
    <n v="73"/>
    <n v="63"/>
    <n v="0"/>
    <n v="10"/>
    <n v="1"/>
    <n v="0.33962749297438133"/>
    <n v="1"/>
    <n v="72.849999999999994"/>
    <n v="72.849999999999994"/>
    <n v="2.7238647740529274"/>
    <n v="1636.807772298559"/>
    <n v="1"/>
    <n v="0"/>
    <n v="0"/>
    <n v="0"/>
    <n v="0"/>
    <n v="0"/>
    <n v="0"/>
    <n v="0"/>
    <n v="0"/>
    <n v="0"/>
  </r>
  <r>
    <d v="2005-07-22T00:00:00"/>
    <n v="2005"/>
    <x v="18"/>
    <s v="R"/>
    <s v="RS"/>
    <x v="12"/>
    <s v="SAC"/>
    <s v="A"/>
    <n v="0"/>
    <n v="2"/>
    <n v="-2"/>
    <n v="2"/>
    <n v="-16"/>
    <n v="16"/>
    <n v="1500.8826190271277"/>
    <n v="1609.1593836530253"/>
    <n v="0.21567669040931295"/>
    <n v="73"/>
    <n v="63"/>
    <n v="0"/>
    <n v="10"/>
    <n v="1"/>
    <n v="0.3881102630022889"/>
    <n v="1"/>
    <n v="73.150000000000006"/>
    <n v="73.150000000000006"/>
    <n v="22.267147184271522"/>
    <n v="1523.1497662113993"/>
    <n v="1"/>
    <n v="0"/>
    <n v="0"/>
    <n v="0"/>
    <n v="0"/>
    <n v="0"/>
    <n v="0"/>
    <n v="0"/>
    <n v="0"/>
    <n v="0"/>
  </r>
  <r>
    <d v="2005-07-22T00:00:00"/>
    <n v="2005"/>
    <x v="19"/>
    <s v="R"/>
    <s v="RS"/>
    <x v="4"/>
    <s v="NYL"/>
    <s v="H"/>
    <n v="2"/>
    <n v="0"/>
    <n v="2"/>
    <n v="-2"/>
    <n v="16"/>
    <n v="-16"/>
    <n v="1609.1593836530253"/>
    <n v="1500.8826190271277"/>
    <n v="0.78432330959068697"/>
    <n v="63"/>
    <n v="73"/>
    <n v="0"/>
    <n v="-10"/>
    <n v="0"/>
    <n v="0.3881102630022889"/>
    <n v="1"/>
    <n v="73"/>
    <n v="73"/>
    <n v="-22.221486595376906"/>
    <n v="1586.9378970576483"/>
    <n v="0"/>
    <n v="1"/>
    <n v="0"/>
    <n v="0"/>
    <n v="0"/>
    <n v="0"/>
    <n v="0"/>
    <n v="0"/>
    <n v="0"/>
    <n v="0"/>
  </r>
  <r>
    <d v="2005-07-23T00:00:00"/>
    <n v="2005"/>
    <x v="19"/>
    <s v="R"/>
    <s v="RS"/>
    <x v="11"/>
    <s v="CHA"/>
    <s v="A"/>
    <n v="1"/>
    <n v="0"/>
    <n v="1"/>
    <n v="-1"/>
    <n v="8"/>
    <n v="-8"/>
    <n v="1514.1983770645295"/>
    <n v="1336.317519676134"/>
    <n v="0.65306179133402165"/>
    <n v="63"/>
    <n v="46"/>
    <n v="0"/>
    <n v="17"/>
    <n v="1"/>
    <n v="0.46370517412471446"/>
    <n v="1"/>
    <n v="73"/>
    <n v="73"/>
    <n v="11.744024099578102"/>
    <n v="1525.9424011641077"/>
    <n v="1"/>
    <n v="0"/>
    <n v="0"/>
    <n v="0"/>
    <n v="0"/>
    <n v="0"/>
    <n v="0"/>
    <n v="0"/>
    <n v="0"/>
    <n v="0"/>
  </r>
  <r>
    <d v="2005-07-23T00:00:00"/>
    <n v="2005"/>
    <x v="20"/>
    <s v="R"/>
    <s v="RS"/>
    <x v="1"/>
    <s v="IND"/>
    <s v="H"/>
    <n v="0"/>
    <n v="1"/>
    <n v="-1"/>
    <n v="1"/>
    <n v="-8"/>
    <n v="8"/>
    <n v="1336.317519676134"/>
    <n v="1514.1983770645295"/>
    <n v="0.34693820866597835"/>
    <n v="46"/>
    <n v="63"/>
    <n v="0"/>
    <n v="-17"/>
    <n v="0"/>
    <n v="0.46370517412471446"/>
    <n v="1"/>
    <n v="72.849999999999994"/>
    <n v="72.849999999999994"/>
    <n v="-11.719892543209104"/>
    <n v="1324.5976271329248"/>
    <n v="0"/>
    <n v="1"/>
    <n v="0"/>
    <n v="0"/>
    <n v="0"/>
    <n v="0"/>
    <n v="0"/>
    <n v="0"/>
    <n v="0"/>
    <n v="0"/>
  </r>
  <r>
    <d v="2005-07-23T00:00:00"/>
    <n v="2005"/>
    <x v="19"/>
    <s v="R"/>
    <s v="RS"/>
    <x v="8"/>
    <s v="HOU"/>
    <s v="A"/>
    <n v="3"/>
    <n v="1"/>
    <n v="2"/>
    <n v="-2"/>
    <n v="16"/>
    <n v="-16"/>
    <n v="1513.4828856819672"/>
    <n v="1518.0836694945515"/>
    <n v="0.41925795408043903"/>
    <n v="69"/>
    <n v="59"/>
    <n v="0"/>
    <n v="10"/>
    <n v="1"/>
    <n v="0.42151362179234564"/>
    <n v="1"/>
    <n v="73"/>
    <n v="73"/>
    <n v="17.869719866493512"/>
    <n v="1531.3526055484608"/>
    <n v="1"/>
    <n v="0"/>
    <n v="0"/>
    <n v="0"/>
    <n v="0"/>
    <n v="0"/>
    <n v="0"/>
    <n v="0"/>
    <n v="0"/>
    <n v="0"/>
  </r>
  <r>
    <d v="2005-07-23T00:00:00"/>
    <n v="2005"/>
    <x v="20"/>
    <s v="R"/>
    <s v="RS"/>
    <x v="6"/>
    <s v="LAS"/>
    <s v="H"/>
    <n v="1"/>
    <n v="3"/>
    <n v="-2"/>
    <n v="2"/>
    <n v="-16"/>
    <n v="16"/>
    <n v="1518.0836694945515"/>
    <n v="1513.4828856819672"/>
    <n v="0.58074204591956091"/>
    <n v="59"/>
    <n v="69"/>
    <n v="0"/>
    <n v="-10"/>
    <n v="0"/>
    <n v="0.42151362179234564"/>
    <n v="1"/>
    <n v="72.849999999999994"/>
    <n v="72.849999999999994"/>
    <n v="-17.833001264028109"/>
    <n v="1500.2506682305234"/>
    <n v="0"/>
    <n v="1"/>
    <n v="0"/>
    <n v="0"/>
    <n v="0"/>
    <n v="0"/>
    <n v="0"/>
    <n v="0"/>
    <n v="0"/>
    <n v="0"/>
  </r>
  <r>
    <d v="2005-07-23T00:00:00"/>
    <n v="2005"/>
    <x v="19"/>
    <s v="R"/>
    <s v="RS"/>
    <x v="5"/>
    <s v="SAS"/>
    <s v="A"/>
    <n v="1"/>
    <n v="1"/>
    <n v="0"/>
    <n v="0"/>
    <n v="0"/>
    <n v="0"/>
    <n v="1456.8857929902579"/>
    <n v="1373.3740954135963"/>
    <n v="0.49929727678715968"/>
    <n v="66"/>
    <n v="49"/>
    <n v="0"/>
    <n v="17"/>
    <n v="1"/>
    <n v="0.49779872213454035"/>
    <n v="1"/>
    <n v="73"/>
    <n v="73"/>
    <n v="18.195189832278452"/>
    <n v="1475.0809828225363"/>
    <n v="1"/>
    <n v="0"/>
    <n v="0"/>
    <n v="0"/>
    <n v="0"/>
    <n v="0"/>
    <n v="0"/>
    <n v="0"/>
    <n v="0"/>
    <n v="0"/>
  </r>
  <r>
    <d v="2005-07-23T00:00:00"/>
    <n v="2005"/>
    <x v="21"/>
    <s v="R"/>
    <s v="RS"/>
    <x v="7"/>
    <s v="PHX"/>
    <s v="H"/>
    <n v="1"/>
    <n v="1"/>
    <n v="0"/>
    <n v="0"/>
    <n v="0"/>
    <n v="0"/>
    <n v="1373.3740954135963"/>
    <n v="1456.8857929902579"/>
    <n v="0.50070272321284026"/>
    <n v="49"/>
    <n v="66"/>
    <n v="0"/>
    <n v="-17"/>
    <n v="0"/>
    <n v="0.49779872213454035"/>
    <n v="1"/>
    <n v="72.7"/>
    <n v="72.7"/>
    <n v="-18.120415079543061"/>
    <n v="1355.2536803340531"/>
    <n v="0"/>
    <n v="1"/>
    <n v="0"/>
    <n v="0"/>
    <n v="0"/>
    <n v="0"/>
    <n v="0"/>
    <n v="0"/>
    <n v="0"/>
    <n v="0"/>
  </r>
  <r>
    <d v="2005-07-23T00:00:00"/>
    <n v="2005"/>
    <x v="18"/>
    <s v="R"/>
    <s v="RS"/>
    <x v="3"/>
    <s v="SEA"/>
    <s v="A"/>
    <n v="2"/>
    <n v="3"/>
    <n v="-1"/>
    <n v="1"/>
    <n v="-8"/>
    <n v="8"/>
    <n v="1469.737544108847"/>
    <n v="1543.9520220672036"/>
    <n v="0.26837964990154933"/>
    <n v="71"/>
    <n v="74"/>
    <n v="0"/>
    <n v="-3"/>
    <n v="0"/>
    <n v="0.27328227024730922"/>
    <n v="1"/>
    <n v="73.150000000000006"/>
    <n v="73.150000000000006"/>
    <n v="-5.3650697109709524"/>
    <n v="1464.372474397876"/>
    <n v="0"/>
    <n v="1"/>
    <n v="0"/>
    <n v="0"/>
    <n v="0"/>
    <n v="0"/>
    <n v="0"/>
    <n v="0"/>
    <n v="0"/>
    <n v="0"/>
  </r>
  <r>
    <d v="2005-07-23T00:00:00"/>
    <n v="2005"/>
    <x v="21"/>
    <s v="R"/>
    <s v="RS"/>
    <x v="9"/>
    <s v="DET"/>
    <s v="H"/>
    <n v="3"/>
    <n v="2"/>
    <n v="1"/>
    <n v="-1"/>
    <n v="8"/>
    <n v="-8"/>
    <n v="1543.9520220672036"/>
    <n v="1469.737544108847"/>
    <n v="0.73162035009845072"/>
    <n v="74"/>
    <n v="71"/>
    <n v="0"/>
    <n v="3"/>
    <n v="1"/>
    <n v="0.27328227024730922"/>
    <n v="1"/>
    <n v="72.7"/>
    <n v="72.7"/>
    <n v="5.3320651809649782"/>
    <n v="1549.2840872481686"/>
    <n v="1"/>
    <n v="0"/>
    <n v="0"/>
    <n v="0"/>
    <n v="0"/>
    <n v="0"/>
    <n v="0"/>
    <n v="0"/>
    <n v="0"/>
    <n v="0"/>
  </r>
  <r>
    <d v="2005-07-24T00:00:00"/>
    <n v="2005"/>
    <x v="19"/>
    <s v="R"/>
    <s v="RS"/>
    <x v="12"/>
    <s v="MIN"/>
    <s v="A"/>
    <n v="1"/>
    <n v="4"/>
    <n v="-3"/>
    <n v="3"/>
    <n v="-16"/>
    <n v="16"/>
    <n v="1523.1497662113993"/>
    <n v="1520.2862390058201"/>
    <n v="0.34270432878548768"/>
    <n v="59"/>
    <n v="47"/>
    <n v="0"/>
    <n v="12"/>
    <n v="1"/>
    <n v="0.45504358500538472"/>
    <n v="1"/>
    <n v="73"/>
    <n v="73"/>
    <n v="21.834167040571984"/>
    <n v="1544.9839332519714"/>
    <n v="1"/>
    <n v="0"/>
    <n v="0"/>
    <n v="0"/>
    <n v="0"/>
    <n v="0"/>
    <n v="0"/>
    <n v="0"/>
    <n v="0"/>
    <n v="0"/>
  </r>
  <r>
    <d v="2005-07-24T00:00:00"/>
    <n v="2005"/>
    <x v="20"/>
    <s v="R"/>
    <s v="RS"/>
    <x v="10"/>
    <s v="NYL"/>
    <s v="H"/>
    <n v="4"/>
    <n v="1"/>
    <n v="3"/>
    <n v="-3"/>
    <n v="16"/>
    <n v="-16"/>
    <n v="1520.2862390058201"/>
    <n v="1523.1497662113993"/>
    <n v="0.65729567121451238"/>
    <n v="47"/>
    <n v="59"/>
    <n v="0"/>
    <n v="-12"/>
    <n v="0"/>
    <n v="0.45504358500538472"/>
    <n v="1"/>
    <n v="72.849999999999994"/>
    <n v="72.849999999999994"/>
    <n v="-21.789302313776286"/>
    <n v="1498.4969366920438"/>
    <n v="0"/>
    <n v="1"/>
    <n v="0"/>
    <n v="0"/>
    <n v="0"/>
    <n v="0"/>
    <n v="0"/>
    <n v="0"/>
    <n v="0"/>
    <n v="0"/>
  </r>
  <r>
    <d v="2005-07-24T00:00:00"/>
    <n v="2005"/>
    <x v="19"/>
    <s v="R"/>
    <s v="RS"/>
    <x v="3"/>
    <s v="SAC"/>
    <s v="A"/>
    <n v="0"/>
    <n v="1"/>
    <n v="-1"/>
    <n v="1"/>
    <n v="-8"/>
    <n v="8"/>
    <n v="1464.372474397876"/>
    <n v="1586.9378970576483"/>
    <n v="0.21734780199908046"/>
    <n v="51"/>
    <n v="91"/>
    <n v="0"/>
    <n v="-40"/>
    <n v="0"/>
    <n v="0.7421818747822857"/>
    <n v="1"/>
    <n v="73"/>
    <n v="73"/>
    <n v="-11.77574673922652"/>
    <n v="1452.5967276586493"/>
    <n v="0"/>
    <n v="1"/>
    <n v="0"/>
    <n v="0"/>
    <n v="0"/>
    <n v="0"/>
    <n v="0"/>
    <n v="0"/>
    <n v="0"/>
    <n v="0"/>
  </r>
  <r>
    <d v="2005-07-24T00:00:00"/>
    <n v="2005"/>
    <x v="20"/>
    <s v="R"/>
    <s v="RS"/>
    <x v="4"/>
    <s v="DET"/>
    <s v="H"/>
    <n v="1"/>
    <n v="0"/>
    <n v="1"/>
    <n v="-1"/>
    <n v="8"/>
    <n v="-8"/>
    <n v="1586.9378970576483"/>
    <n v="1464.372474397876"/>
    <n v="0.78265219800091945"/>
    <n v="91"/>
    <n v="51"/>
    <n v="0"/>
    <n v="40"/>
    <n v="1"/>
    <n v="0.7421818747822857"/>
    <n v="1"/>
    <n v="72.849999999999994"/>
    <n v="72.849999999999994"/>
    <n v="11.751549999351399"/>
    <n v="1598.6894470569998"/>
    <n v="1"/>
    <n v="0"/>
    <n v="0"/>
    <n v="0"/>
    <n v="0"/>
    <n v="0"/>
    <n v="0"/>
    <n v="0"/>
    <n v="0"/>
    <n v="0"/>
  </r>
  <r>
    <d v="2005-07-26T00:00:00"/>
    <n v="2005"/>
    <x v="20"/>
    <s v="R"/>
    <s v="RS"/>
    <x v="11"/>
    <s v="CON"/>
    <s v="A"/>
    <n v="2"/>
    <n v="3"/>
    <n v="-1"/>
    <n v="1"/>
    <n v="-8"/>
    <n v="8"/>
    <n v="1525.9424011641077"/>
    <n v="1636.807772298559"/>
    <n v="0.22902255080804731"/>
    <n v="55"/>
    <n v="68"/>
    <n v="0"/>
    <n v="-13"/>
    <n v="0"/>
    <n v="0.43212103946778357"/>
    <n v="1"/>
    <n v="72.849999999999994"/>
    <n v="72.849999999999994"/>
    <n v="-7.2096339589142664"/>
    <n v="1518.7327672051933"/>
    <n v="0"/>
    <n v="1"/>
    <n v="0"/>
    <n v="0"/>
    <n v="0"/>
    <n v="0"/>
    <n v="0"/>
    <n v="0"/>
    <n v="0"/>
    <n v="0"/>
  </r>
  <r>
    <d v="2005-07-26T00:00:00"/>
    <n v="2005"/>
    <x v="21"/>
    <s v="R"/>
    <s v="RS"/>
    <x v="2"/>
    <s v="IND"/>
    <s v="H"/>
    <n v="3"/>
    <n v="2"/>
    <n v="1"/>
    <n v="-1"/>
    <n v="8"/>
    <n v="-8"/>
    <n v="1636.807772298559"/>
    <n v="1525.9424011641077"/>
    <n v="0.77097744919195266"/>
    <n v="68"/>
    <n v="55"/>
    <n v="0"/>
    <n v="13"/>
    <n v="1"/>
    <n v="0.43212103946778357"/>
    <n v="1"/>
    <n v="72.7"/>
    <n v="72.7"/>
    <n v="7.1947891395067574"/>
    <n v="1644.0025614380659"/>
    <n v="1"/>
    <n v="0"/>
    <n v="0"/>
    <n v="0"/>
    <n v="0"/>
    <n v="0"/>
    <n v="0"/>
    <n v="0"/>
    <n v="0"/>
    <n v="0"/>
  </r>
  <r>
    <d v="2005-07-26T00:00:00"/>
    <n v="2005"/>
    <x v="20"/>
    <s v="R"/>
    <s v="RS"/>
    <x v="8"/>
    <s v="PHX"/>
    <s v="A"/>
    <n v="2"/>
    <n v="2"/>
    <n v="0"/>
    <n v="0"/>
    <n v="0"/>
    <n v="0"/>
    <n v="1531.3526055484608"/>
    <n v="1475.0809828225363"/>
    <n v="0.46018016468759942"/>
    <n v="60"/>
    <n v="77"/>
    <n v="0"/>
    <n v="-17"/>
    <n v="0"/>
    <n v="0.50859262546423811"/>
    <n v="1"/>
    <n v="72.849999999999994"/>
    <n v="72.849999999999994"/>
    <n v="-17.050122748865554"/>
    <n v="1514.3024827995953"/>
    <n v="0"/>
    <n v="1"/>
    <n v="0"/>
    <n v="0"/>
    <n v="0"/>
    <n v="0"/>
    <n v="0"/>
    <n v="0"/>
    <n v="0"/>
    <n v="0"/>
  </r>
  <r>
    <d v="2005-07-26T00:00:00"/>
    <n v="2005"/>
    <x v="20"/>
    <s v="R"/>
    <s v="RS"/>
    <x v="5"/>
    <s v="LAS"/>
    <s v="H"/>
    <n v="2"/>
    <n v="2"/>
    <n v="0"/>
    <n v="0"/>
    <n v="0"/>
    <n v="0"/>
    <n v="1475.0809828225363"/>
    <n v="1531.3526055484608"/>
    <n v="0.53981983531240063"/>
    <n v="77"/>
    <n v="60"/>
    <n v="0"/>
    <n v="17"/>
    <n v="1"/>
    <n v="0.50859262546423811"/>
    <n v="1"/>
    <n v="72.849999999999994"/>
    <n v="72.849999999999994"/>
    <n v="17.050122748865554"/>
    <n v="1492.1311055714018"/>
    <n v="1"/>
    <n v="0"/>
    <n v="0"/>
    <n v="0"/>
    <n v="0"/>
    <n v="0"/>
    <n v="0"/>
    <n v="0"/>
    <n v="0"/>
    <n v="0"/>
  </r>
  <r>
    <d v="2005-07-26T00:00:00"/>
    <n v="2005"/>
    <x v="21"/>
    <s v="R"/>
    <s v="RS"/>
    <x v="1"/>
    <s v="SAC"/>
    <s v="A"/>
    <n v="2"/>
    <n v="1"/>
    <n v="1"/>
    <n v="-1"/>
    <n v="8"/>
    <n v="-8"/>
    <n v="1324.5976271329248"/>
    <n v="1598.6894470569998"/>
    <n v="0.12247066936120551"/>
    <n v="54"/>
    <n v="64"/>
    <n v="0"/>
    <n v="-10"/>
    <n v="0"/>
    <n v="0.34445319642632122"/>
    <n v="1"/>
    <n v="72.7"/>
    <n v="72.7"/>
    <n v="-3.0668795636265189"/>
    <n v="1321.5307475692982"/>
    <n v="0"/>
    <n v="1"/>
    <n v="0"/>
    <n v="0"/>
    <n v="0"/>
    <n v="0"/>
    <n v="0"/>
    <n v="0"/>
    <n v="0"/>
    <n v="0"/>
  </r>
  <r>
    <d v="2005-07-26T00:00:00"/>
    <n v="2005"/>
    <x v="21"/>
    <s v="R"/>
    <s v="RS"/>
    <x v="4"/>
    <s v="CHA"/>
    <s v="H"/>
    <n v="1"/>
    <n v="2"/>
    <n v="-1"/>
    <n v="1"/>
    <n v="-8"/>
    <n v="8"/>
    <n v="1598.6894470569998"/>
    <n v="1324.5976271329248"/>
    <n v="0.87752933063879435"/>
    <n v="64"/>
    <n v="54"/>
    <n v="0"/>
    <n v="10"/>
    <n v="1"/>
    <n v="0.34445319642632122"/>
    <n v="1"/>
    <n v="72.7"/>
    <n v="72.7"/>
    <n v="3.0668795636265225"/>
    <n v="1601.7563266206264"/>
    <n v="1"/>
    <n v="0"/>
    <n v="0"/>
    <n v="0"/>
    <n v="0"/>
    <n v="0"/>
    <n v="0"/>
    <n v="0"/>
    <n v="0"/>
    <n v="0"/>
  </r>
  <r>
    <d v="2005-07-26T00:00:00"/>
    <n v="2005"/>
    <x v="21"/>
    <s v="R"/>
    <s v="RS"/>
    <x v="10"/>
    <s v="SAS"/>
    <s v="A"/>
    <n v="1"/>
    <n v="2"/>
    <n v="-1"/>
    <n v="1"/>
    <n v="-8"/>
    <n v="8"/>
    <n v="1498.4969366920438"/>
    <n v="1355.2536803340531"/>
    <n v="0.56191267525807176"/>
    <n v="71"/>
    <n v="78"/>
    <n v="0"/>
    <n v="-7"/>
    <n v="0"/>
    <n v="0.33063899995952656"/>
    <n v="1"/>
    <n v="72.7"/>
    <n v="72.7"/>
    <n v="-13.506950812365934"/>
    <n v="1484.989985879678"/>
    <n v="0"/>
    <n v="1"/>
    <n v="0"/>
    <n v="0"/>
    <n v="0"/>
    <n v="0"/>
    <n v="0"/>
    <n v="0"/>
    <n v="0"/>
    <n v="0"/>
  </r>
  <r>
    <d v="2005-07-26T00:00:00"/>
    <n v="2005"/>
    <x v="22"/>
    <s v="R"/>
    <s v="RS"/>
    <x v="7"/>
    <s v="MIN"/>
    <s v="H"/>
    <n v="2"/>
    <n v="1"/>
    <n v="1"/>
    <n v="-1"/>
    <n v="8"/>
    <n v="-8"/>
    <n v="1355.2536803340531"/>
    <n v="1498.4969366920438"/>
    <n v="0.4380873247419283"/>
    <n v="78"/>
    <n v="71"/>
    <n v="0"/>
    <n v="7"/>
    <n v="1"/>
    <n v="0.33063899995952656"/>
    <n v="1"/>
    <n v="72.55"/>
    <n v="72.55"/>
    <n v="13.479082275614145"/>
    <n v="1368.7327626096674"/>
    <n v="1"/>
    <n v="0"/>
    <n v="0"/>
    <n v="0"/>
    <n v="0"/>
    <n v="0"/>
    <n v="0"/>
    <n v="0"/>
    <n v="0"/>
    <n v="0"/>
  </r>
  <r>
    <d v="2005-07-26T00:00:00"/>
    <n v="2005"/>
    <x v="21"/>
    <s v="R"/>
    <s v="RS"/>
    <x v="6"/>
    <s v="WAS"/>
    <s v="A"/>
    <n v="2"/>
    <n v="4"/>
    <n v="-2"/>
    <n v="2"/>
    <n v="-16"/>
    <n v="16"/>
    <n v="1500.2506682305234"/>
    <n v="1516.5251455628547"/>
    <n v="0.31833520575618374"/>
    <n v="83"/>
    <n v="65"/>
    <n v="0"/>
    <n v="18"/>
    <n v="1"/>
    <n v="0.53951696823470141"/>
    <n v="1"/>
    <n v="72.7"/>
    <n v="72.7"/>
    <n v="26.736858872478315"/>
    <n v="1526.9875271030016"/>
    <n v="1"/>
    <n v="0"/>
    <n v="0"/>
    <n v="0"/>
    <n v="0"/>
    <n v="0"/>
    <n v="0"/>
    <n v="0"/>
    <n v="0"/>
    <n v="0"/>
  </r>
  <r>
    <d v="2005-07-26T00:00:00"/>
    <n v="2005"/>
    <x v="21"/>
    <s v="R"/>
    <s v="RS"/>
    <x v="0"/>
    <s v="HOU"/>
    <s v="H"/>
    <n v="4"/>
    <n v="2"/>
    <n v="2"/>
    <n v="-2"/>
    <n v="16"/>
    <n v="-16"/>
    <n v="1516.5251455628547"/>
    <n v="1500.2506682305234"/>
    <n v="0.68166479424381632"/>
    <n v="65"/>
    <n v="83"/>
    <n v="0"/>
    <n v="-18"/>
    <n v="0"/>
    <n v="0.53951696823470141"/>
    <n v="1"/>
    <n v="72.7"/>
    <n v="72.7"/>
    <n v="-26.736858872478315"/>
    <n v="1489.7882866903765"/>
    <n v="0"/>
    <n v="1"/>
    <n v="0"/>
    <n v="0"/>
    <n v="0"/>
    <n v="0"/>
    <n v="0"/>
    <n v="0"/>
    <n v="0"/>
    <n v="0"/>
  </r>
  <r>
    <d v="2005-07-27T00:00:00"/>
    <n v="2005"/>
    <x v="22"/>
    <s v="R"/>
    <s v="RS"/>
    <x v="6"/>
    <s v="NYL"/>
    <s v="A"/>
    <n v="0"/>
    <n v="2"/>
    <n v="-2"/>
    <n v="2"/>
    <n v="-16"/>
    <n v="16"/>
    <n v="1526.9875271030016"/>
    <n v="1544.9839332519714"/>
    <n v="0.31618815877994777"/>
    <n v="71"/>
    <n v="69"/>
    <n v="0"/>
    <n v="2"/>
    <n v="1"/>
    <n v="0.26388385330941044"/>
    <n v="1"/>
    <n v="72.55"/>
    <n v="72.55"/>
    <n v="13.091422856161872"/>
    <n v="1540.0789499591635"/>
    <n v="1"/>
    <n v="0"/>
    <n v="0"/>
    <n v="0"/>
    <n v="0"/>
    <n v="0"/>
    <n v="0"/>
    <n v="0"/>
    <n v="0"/>
    <n v="0"/>
  </r>
  <r>
    <d v="2005-07-27T00:00:00"/>
    <n v="2005"/>
    <x v="20"/>
    <s v="R"/>
    <s v="RS"/>
    <x v="12"/>
    <s v="HOU"/>
    <s v="H"/>
    <n v="2"/>
    <n v="0"/>
    <n v="2"/>
    <n v="-2"/>
    <n v="16"/>
    <n v="-16"/>
    <n v="1544.9839332519714"/>
    <n v="1526.9875271030016"/>
    <n v="0.68381184122005223"/>
    <n v="69"/>
    <n v="71"/>
    <n v="0"/>
    <n v="-2"/>
    <n v="0"/>
    <n v="0.26388385330941044"/>
    <n v="1"/>
    <n v="72.849999999999994"/>
    <n v="72.849999999999994"/>
    <n v="-13.145556927241795"/>
    <n v="1531.8383763247296"/>
    <n v="0"/>
    <n v="1"/>
    <n v="0"/>
    <n v="0"/>
    <n v="0"/>
    <n v="0"/>
    <n v="0"/>
    <n v="0"/>
    <n v="0"/>
    <n v="0"/>
  </r>
  <r>
    <d v="2005-07-28T00:00:00"/>
    <n v="2005"/>
    <x v="21"/>
    <s v="R"/>
    <s v="RS"/>
    <x v="12"/>
    <s v="CON"/>
    <s v="A"/>
    <n v="0"/>
    <n v="1"/>
    <n v="-1"/>
    <n v="1"/>
    <n v="-8"/>
    <n v="8"/>
    <n v="1531.8383763247296"/>
    <n v="1644.0025614380659"/>
    <n v="0.22770507826745626"/>
    <n v="70"/>
    <n v="73"/>
    <n v="0"/>
    <n v="-3"/>
    <n v="0"/>
    <n v="0.2653785473411413"/>
    <n v="1"/>
    <n v="72.7"/>
    <n v="72.7"/>
    <n v="-4.3931187183078997"/>
    <n v="1527.4452576064216"/>
    <n v="0"/>
    <n v="1"/>
    <n v="0"/>
    <n v="0"/>
    <n v="0"/>
    <n v="0"/>
    <n v="0"/>
    <n v="0"/>
    <n v="0"/>
    <n v="0"/>
  </r>
  <r>
    <d v="2005-07-28T00:00:00"/>
    <n v="2005"/>
    <x v="22"/>
    <s v="R"/>
    <s v="RS"/>
    <x v="2"/>
    <s v="NYL"/>
    <s v="H"/>
    <n v="1"/>
    <n v="0"/>
    <n v="1"/>
    <n v="-1"/>
    <n v="8"/>
    <n v="-8"/>
    <n v="1644.0025614380659"/>
    <n v="1531.8383763247296"/>
    <n v="0.77229492173254366"/>
    <n v="73"/>
    <n v="70"/>
    <n v="0"/>
    <n v="3"/>
    <n v="1"/>
    <n v="0.2653785473411413"/>
    <n v="1"/>
    <n v="72.55"/>
    <n v="72.55"/>
    <n v="4.3840545118739778"/>
    <n v="1648.3866159499398"/>
    <n v="1"/>
    <n v="0"/>
    <n v="0"/>
    <n v="0"/>
    <n v="0"/>
    <n v="0"/>
    <n v="0"/>
    <n v="0"/>
    <n v="0"/>
    <n v="0"/>
  </r>
  <r>
    <d v="2005-07-28T00:00:00"/>
    <n v="2005"/>
    <x v="23"/>
    <s v="R"/>
    <s v="RS"/>
    <x v="7"/>
    <s v="WAS"/>
    <s v="A"/>
    <n v="1"/>
    <n v="1"/>
    <n v="0"/>
    <n v="0"/>
    <n v="0"/>
    <n v="0"/>
    <n v="1368.7327626096674"/>
    <n v="1489.7882866903765"/>
    <n v="0.2349812746534031"/>
    <n v="58"/>
    <n v="73"/>
    <n v="0"/>
    <n v="-15"/>
    <n v="0"/>
    <n v="0.45676932018010374"/>
    <n v="1"/>
    <n v="72.400000000000006"/>
    <n v="72.400000000000006"/>
    <n v="-7.7708539644826162"/>
    <n v="1360.9619086451848"/>
    <n v="0"/>
    <n v="1"/>
    <n v="0"/>
    <n v="0"/>
    <n v="0"/>
    <n v="0"/>
    <n v="0"/>
    <n v="0"/>
    <n v="0"/>
    <n v="0"/>
  </r>
  <r>
    <d v="2005-07-28T00:00:00"/>
    <n v="2005"/>
    <x v="22"/>
    <s v="R"/>
    <s v="RS"/>
    <x v="0"/>
    <s v="SAS"/>
    <s v="H"/>
    <n v="1"/>
    <n v="1"/>
    <n v="0"/>
    <n v="0"/>
    <n v="0"/>
    <n v="0"/>
    <n v="1489.7882866903765"/>
    <n v="1368.7327626096674"/>
    <n v="0.76501872534659687"/>
    <n v="73"/>
    <n v="58"/>
    <n v="0"/>
    <n v="15"/>
    <n v="1"/>
    <n v="0.45676932018010374"/>
    <n v="1"/>
    <n v="72.55"/>
    <n v="72.55"/>
    <n v="7.7869538000443894"/>
    <n v="1497.5752404904208"/>
    <n v="1"/>
    <n v="0"/>
    <n v="0"/>
    <n v="0"/>
    <n v="0"/>
    <n v="0"/>
    <n v="0"/>
    <n v="0"/>
    <n v="0"/>
    <n v="0"/>
  </r>
  <r>
    <d v="2005-07-29T00:00:00"/>
    <n v="2005"/>
    <x v="23"/>
    <s v="R"/>
    <s v="RS"/>
    <x v="0"/>
    <s v="IND"/>
    <s v="A"/>
    <n v="0"/>
    <n v="2"/>
    <n v="-2"/>
    <n v="2"/>
    <n v="-16"/>
    <n v="16"/>
    <n v="1497.5752404904208"/>
    <n v="1518.7327672051933"/>
    <n v="0.31226697833602013"/>
    <n v="58"/>
    <n v="62"/>
    <n v="0"/>
    <n v="-4"/>
    <n v="0"/>
    <n v="0.30603691473781935"/>
    <n v="1"/>
    <n v="72.400000000000006"/>
    <n v="72.400000000000006"/>
    <n v="-6.918922118010693"/>
    <n v="1490.6563183724102"/>
    <n v="0"/>
    <n v="1"/>
    <n v="0"/>
    <n v="0"/>
    <n v="0"/>
    <n v="0"/>
    <n v="0"/>
    <n v="0"/>
    <n v="0"/>
    <n v="0"/>
  </r>
  <r>
    <d v="2005-07-29T00:00:00"/>
    <n v="2005"/>
    <x v="21"/>
    <s v="R"/>
    <s v="RS"/>
    <x v="11"/>
    <s v="WAS"/>
    <s v="H"/>
    <n v="2"/>
    <n v="0"/>
    <n v="2"/>
    <n v="-2"/>
    <n v="16"/>
    <n v="-16"/>
    <n v="1518.7327672051933"/>
    <n v="1497.5752404904208"/>
    <n v="0.68773302166397987"/>
    <n v="62"/>
    <n v="58"/>
    <n v="0"/>
    <n v="4"/>
    <n v="1"/>
    <n v="0.30603691473781935"/>
    <n v="1"/>
    <n v="72.7"/>
    <n v="72.7"/>
    <n v="6.9475916847980299"/>
    <n v="1525.6803588899913"/>
    <n v="1"/>
    <n v="0"/>
    <n v="0"/>
    <n v="0"/>
    <n v="0"/>
    <n v="0"/>
    <n v="0"/>
    <n v="0"/>
    <n v="0"/>
    <n v="0"/>
  </r>
  <r>
    <d v="2005-07-29T00:00:00"/>
    <n v="2005"/>
    <x v="21"/>
    <s v="R"/>
    <s v="RS"/>
    <x v="5"/>
    <s v="MIN"/>
    <s v="A"/>
    <n v="2"/>
    <n v="2"/>
    <n v="0"/>
    <n v="0"/>
    <n v="0"/>
    <n v="0"/>
    <n v="1492.1311055714018"/>
    <n v="1484.989985879678"/>
    <n v="0.39116084397287587"/>
    <n v="69"/>
    <n v="65"/>
    <n v="0"/>
    <n v="4"/>
    <n v="1"/>
    <n v="0.30959038325203814"/>
    <n v="1"/>
    <n v="72.7"/>
    <n v="72.7"/>
    <n v="13.703277354393807"/>
    <n v="1505.8343829257956"/>
    <n v="1"/>
    <n v="0"/>
    <n v="0"/>
    <n v="0"/>
    <n v="0"/>
    <n v="0"/>
    <n v="0"/>
    <n v="0"/>
    <n v="0"/>
    <n v="0"/>
  </r>
  <r>
    <d v="2005-07-29T00:00:00"/>
    <n v="2005"/>
    <x v="22"/>
    <s v="R"/>
    <s v="RS"/>
    <x v="10"/>
    <s v="PHX"/>
    <s v="H"/>
    <n v="2"/>
    <n v="2"/>
    <n v="0"/>
    <n v="0"/>
    <n v="0"/>
    <n v="0"/>
    <n v="1484.989985879678"/>
    <n v="1492.1311055714018"/>
    <n v="0.60883915602712413"/>
    <n v="65"/>
    <n v="69"/>
    <n v="0"/>
    <n v="-4"/>
    <n v="0"/>
    <n v="0.30959038325203814"/>
    <n v="1"/>
    <n v="72.55"/>
    <n v="72.55"/>
    <n v="-13.675003742245813"/>
    <n v="1471.3149821374323"/>
    <n v="0"/>
    <n v="1"/>
    <n v="0"/>
    <n v="0"/>
    <n v="0"/>
    <n v="0"/>
    <n v="0"/>
    <n v="0"/>
    <n v="0"/>
    <n v="0"/>
  </r>
  <r>
    <d v="2005-07-29T00:00:00"/>
    <n v="2005"/>
    <x v="21"/>
    <s v="R"/>
    <s v="RS"/>
    <x v="8"/>
    <s v="SAC"/>
    <s v="A"/>
    <n v="2"/>
    <n v="2"/>
    <n v="0"/>
    <n v="0"/>
    <n v="0"/>
    <n v="0"/>
    <n v="1514.3024827995953"/>
    <n v="1601.7563266206264"/>
    <n v="0.271511437022883"/>
    <n v="59"/>
    <n v="79"/>
    <n v="0"/>
    <n v="-20"/>
    <n v="0"/>
    <n v="0.5358365537075559"/>
    <n v="1"/>
    <n v="72.7"/>
    <n v="72.7"/>
    <n v="-10.576814221764565"/>
    <n v="1503.7256685778307"/>
    <n v="0"/>
    <n v="1"/>
    <n v="0"/>
    <n v="0"/>
    <n v="0"/>
    <n v="0"/>
    <n v="0"/>
    <n v="0"/>
    <n v="0"/>
    <n v="0"/>
  </r>
  <r>
    <d v="2005-07-29T00:00:00"/>
    <n v="2005"/>
    <x v="22"/>
    <s v="R"/>
    <s v="RS"/>
    <x v="4"/>
    <s v="LAS"/>
    <s v="H"/>
    <n v="2"/>
    <n v="2"/>
    <n v="0"/>
    <n v="0"/>
    <n v="0"/>
    <n v="0"/>
    <n v="1601.7563266206264"/>
    <n v="1514.3024827995953"/>
    <n v="0.72848856297711706"/>
    <n v="79"/>
    <n v="59"/>
    <n v="0"/>
    <n v="20"/>
    <n v="1"/>
    <n v="0.5358365537075559"/>
    <n v="1"/>
    <n v="72.55"/>
    <n v="72.55"/>
    <n v="10.554991358858585"/>
    <n v="1612.311317979485"/>
    <n v="1"/>
    <n v="0"/>
    <n v="0"/>
    <n v="0"/>
    <n v="0"/>
    <n v="0"/>
    <n v="0"/>
    <n v="0"/>
    <n v="0"/>
    <n v="0"/>
  </r>
  <r>
    <d v="2005-07-29T00:00:00"/>
    <n v="2005"/>
    <x v="22"/>
    <s v="R"/>
    <s v="RS"/>
    <x v="1"/>
    <s v="SEA"/>
    <s v="A"/>
    <n v="2"/>
    <n v="5"/>
    <n v="-3"/>
    <n v="3"/>
    <n v="-16"/>
    <n v="16"/>
    <n v="1321.5307475692982"/>
    <n v="1549.2840872481686"/>
    <n v="0.12144646579448171"/>
    <n v="68"/>
    <n v="79"/>
    <n v="0"/>
    <n v="-11"/>
    <n v="0"/>
    <n v="0.36967391330204902"/>
    <n v="1"/>
    <n v="72.55"/>
    <n v="72.55"/>
    <n v="-3.2571750738671854"/>
    <n v="1318.2735724954312"/>
    <n v="0"/>
    <n v="1"/>
    <n v="0"/>
    <n v="0"/>
    <n v="0"/>
    <n v="0"/>
    <n v="0"/>
    <n v="0"/>
    <n v="0"/>
    <n v="0"/>
  </r>
  <r>
    <d v="2005-07-29T00:00:00"/>
    <n v="2005"/>
    <x v="22"/>
    <s v="R"/>
    <s v="RS"/>
    <x v="9"/>
    <s v="CHA"/>
    <s v="H"/>
    <n v="5"/>
    <n v="2"/>
    <n v="3"/>
    <n v="-3"/>
    <n v="16"/>
    <n v="-16"/>
    <n v="1549.2840872481686"/>
    <n v="1321.5307475692982"/>
    <n v="0.87855353420551818"/>
    <n v="79"/>
    <n v="68"/>
    <n v="0"/>
    <n v="11"/>
    <n v="1"/>
    <n v="0.36967391330204902"/>
    <n v="1"/>
    <n v="72.55"/>
    <n v="72.55"/>
    <n v="3.2571750738671881"/>
    <n v="1552.5412623220359"/>
    <n v="1"/>
    <n v="0"/>
    <n v="0"/>
    <n v="0"/>
    <n v="0"/>
    <n v="0"/>
    <n v="0"/>
    <n v="0"/>
    <n v="0"/>
    <n v="0"/>
  </r>
  <r>
    <d v="2005-07-30T00:00:00"/>
    <n v="2005"/>
    <x v="20"/>
    <s v="R"/>
    <s v="RS"/>
    <x v="3"/>
    <s v="CON"/>
    <s v="A"/>
    <n v="5"/>
    <n v="1"/>
    <n v="4"/>
    <n v="-4"/>
    <n v="16"/>
    <n v="-16"/>
    <n v="1452.5967276586493"/>
    <n v="1648.3866159499398"/>
    <n v="0.1936612786331959"/>
    <n v="75"/>
    <n v="66"/>
    <n v="0"/>
    <n v="9"/>
    <n v="1"/>
    <n v="0.34902519115758462"/>
    <n v="1"/>
    <n v="72.849999999999994"/>
    <n v="72.849999999999994"/>
    <n v="20.502359545530791"/>
    <n v="1473.09908720418"/>
    <n v="1"/>
    <n v="0"/>
    <n v="0"/>
    <n v="0"/>
    <n v="0"/>
    <n v="0"/>
    <n v="0"/>
    <n v="0"/>
    <n v="0"/>
    <n v="0"/>
  </r>
  <r>
    <d v="2005-07-30T00:00:00"/>
    <n v="2005"/>
    <x v="23"/>
    <s v="R"/>
    <s v="RS"/>
    <x v="2"/>
    <s v="DET"/>
    <s v="H"/>
    <n v="1"/>
    <n v="5"/>
    <n v="-4"/>
    <n v="4"/>
    <n v="-16"/>
    <n v="16"/>
    <n v="1648.3866159499398"/>
    <n v="1452.5967276586493"/>
    <n v="0.80633872136680418"/>
    <n v="66"/>
    <n v="75"/>
    <n v="0"/>
    <n v="-9"/>
    <n v="0"/>
    <n v="0.34902519115758462"/>
    <n v="1"/>
    <n v="72.400000000000006"/>
    <n v="72.400000000000006"/>
    <n v="-20.375714908667533"/>
    <n v="1628.0109010412723"/>
    <n v="0"/>
    <n v="1"/>
    <n v="0"/>
    <n v="0"/>
    <n v="0"/>
    <n v="0"/>
    <n v="0"/>
    <n v="0"/>
    <n v="0"/>
    <n v="0"/>
  </r>
  <r>
    <d v="2005-07-30T00:00:00"/>
    <n v="2005"/>
    <x v="24"/>
    <s v="R"/>
    <s v="RS"/>
    <x v="7"/>
    <s v="HOU"/>
    <s v="A"/>
    <n v="1"/>
    <n v="2"/>
    <n v="-1"/>
    <n v="1"/>
    <n v="-8"/>
    <n v="8"/>
    <n v="1360.9619086451848"/>
    <n v="1540.0789499591635"/>
    <n v="0.16704354397513721"/>
    <n v="68"/>
    <n v="63"/>
    <n v="0"/>
    <n v="5"/>
    <n v="1"/>
    <n v="0.28866815406340962"/>
    <n v="1"/>
    <n v="72.25"/>
    <n v="72.25"/>
    <n v="17.372368186108542"/>
    <n v="1378.3342768312934"/>
    <n v="1"/>
    <n v="0"/>
    <n v="0"/>
    <n v="0"/>
    <n v="0"/>
    <n v="0"/>
    <n v="0"/>
    <n v="0"/>
    <n v="0"/>
    <n v="0"/>
  </r>
  <r>
    <d v="2005-07-30T00:00:00"/>
    <n v="2005"/>
    <x v="23"/>
    <s v="R"/>
    <s v="RS"/>
    <x v="6"/>
    <s v="SAS"/>
    <s v="H"/>
    <n v="2"/>
    <n v="1"/>
    <n v="1"/>
    <n v="-1"/>
    <n v="8"/>
    <n v="-8"/>
    <n v="1540.0789499591635"/>
    <n v="1360.9619086451848"/>
    <n v="0.83295645602486279"/>
    <n v="63"/>
    <n v="68"/>
    <n v="0"/>
    <n v="-5"/>
    <n v="0"/>
    <n v="0.28866815406340962"/>
    <n v="1"/>
    <n v="72.400000000000006"/>
    <n v="72.400000000000006"/>
    <n v="-17.408435386494926"/>
    <n v="1522.6705145726687"/>
    <n v="0"/>
    <n v="1"/>
    <n v="0"/>
    <n v="0"/>
    <n v="0"/>
    <n v="0"/>
    <n v="0"/>
    <n v="0"/>
    <n v="0"/>
    <n v="0"/>
  </r>
  <r>
    <d v="2005-07-31T00:00:00"/>
    <n v="2005"/>
    <x v="22"/>
    <s v="R"/>
    <s v="RS"/>
    <x v="5"/>
    <s v="DET"/>
    <s v="A"/>
    <n v="1"/>
    <n v="0"/>
    <n v="1"/>
    <n v="-1"/>
    <n v="8"/>
    <n v="-8"/>
    <n v="1505.8343829257956"/>
    <n v="1473.09908720418"/>
    <n v="0.44942357542186534"/>
    <n v="63"/>
    <n v="66"/>
    <n v="0"/>
    <n v="-3"/>
    <n v="0"/>
    <n v="0.28247769535519734"/>
    <n v="1"/>
    <n v="72.55"/>
    <n v="72.55"/>
    <n v="-9.2103774539921126"/>
    <n v="1496.6240054718035"/>
    <n v="0"/>
    <n v="1"/>
    <n v="0"/>
    <n v="0"/>
    <n v="0"/>
    <n v="0"/>
    <n v="0"/>
    <n v="0"/>
    <n v="0"/>
    <n v="0"/>
  </r>
  <r>
    <d v="2005-07-31T00:00:00"/>
    <n v="2005"/>
    <x v="21"/>
    <s v="R"/>
    <s v="RS"/>
    <x v="3"/>
    <s v="PHX"/>
    <s v="H"/>
    <n v="0"/>
    <n v="1"/>
    <n v="-1"/>
    <n v="1"/>
    <n v="-8"/>
    <n v="8"/>
    <n v="1473.09908720418"/>
    <n v="1505.8343829257956"/>
    <n v="0.55057642457813472"/>
    <n v="66"/>
    <n v="63"/>
    <n v="0"/>
    <n v="3"/>
    <n v="1"/>
    <n v="0.28247769535519734"/>
    <n v="1"/>
    <n v="72.7"/>
    <n v="72.7"/>
    <n v="9.2294202743656317"/>
    <n v="1482.3285074785456"/>
    <n v="1"/>
    <n v="0"/>
    <n v="0"/>
    <n v="0"/>
    <n v="0"/>
    <n v="0"/>
    <n v="0"/>
    <n v="0"/>
    <n v="0"/>
    <n v="0"/>
  </r>
  <r>
    <d v="2005-07-31T00:00:00"/>
    <n v="2005"/>
    <x v="22"/>
    <s v="R"/>
    <s v="RS"/>
    <x v="11"/>
    <s v="NYL"/>
    <s v="A"/>
    <n v="1"/>
    <n v="2"/>
    <n v="-1"/>
    <n v="1"/>
    <n v="-8"/>
    <n v="8"/>
    <n v="1525.6803588899913"/>
    <n v="1527.4452576064216"/>
    <n v="0.35759776535633059"/>
    <n v="53"/>
    <n v="67"/>
    <n v="0"/>
    <n v="-14"/>
    <n v="0"/>
    <n v="0.4868920076346725"/>
    <n v="1"/>
    <n v="72.55"/>
    <n v="72.55"/>
    <n v="-12.631788882446184"/>
    <n v="1513.0485700075451"/>
    <n v="0"/>
    <n v="1"/>
    <n v="0"/>
    <n v="0"/>
    <n v="0"/>
    <n v="0"/>
    <n v="0"/>
    <n v="0"/>
    <n v="0"/>
    <n v="0"/>
  </r>
  <r>
    <d v="2005-07-31T00:00:00"/>
    <n v="2005"/>
    <x v="22"/>
    <s v="R"/>
    <s v="RS"/>
    <x v="12"/>
    <s v="IND"/>
    <s v="H"/>
    <n v="2"/>
    <n v="1"/>
    <n v="1"/>
    <n v="-1"/>
    <n v="8"/>
    <n v="-8"/>
    <n v="1527.4452576064216"/>
    <n v="1525.6803588899913"/>
    <n v="0.64240223464366941"/>
    <n v="67"/>
    <n v="53"/>
    <n v="0"/>
    <n v="14"/>
    <n v="1"/>
    <n v="0.4868920076346725"/>
    <n v="1"/>
    <n v="72.55"/>
    <n v="72.55"/>
    <n v="12.631788882446184"/>
    <n v="1540.0770464888678"/>
    <n v="1"/>
    <n v="0"/>
    <n v="0"/>
    <n v="0"/>
    <n v="0"/>
    <n v="0"/>
    <n v="0"/>
    <n v="0"/>
    <n v="0"/>
    <n v="0"/>
  </r>
  <r>
    <d v="2005-07-31T00:00:00"/>
    <n v="2005"/>
    <x v="23"/>
    <s v="R"/>
    <s v="RS"/>
    <x v="10"/>
    <s v="SAC"/>
    <s v="A"/>
    <n v="1"/>
    <n v="1"/>
    <n v="0"/>
    <n v="0"/>
    <n v="0"/>
    <n v="0"/>
    <n v="1471.3149821374323"/>
    <n v="1612.311317979485"/>
    <n v="0.21497682260341258"/>
    <n v="54"/>
    <n v="67"/>
    <n v="0"/>
    <n v="-13"/>
    <n v="0"/>
    <n v="0.42241167379569916"/>
    <n v="1"/>
    <n v="72.400000000000006"/>
    <n v="72.400000000000006"/>
    <n v="-6.5745512891348552"/>
    <n v="1464.7404308482974"/>
    <n v="0"/>
    <n v="1"/>
    <n v="0"/>
    <n v="0"/>
    <n v="0"/>
    <n v="0"/>
    <n v="0"/>
    <n v="0"/>
    <n v="0"/>
    <n v="0"/>
  </r>
  <r>
    <d v="2005-07-31T00:00:00"/>
    <n v="2005"/>
    <x v="23"/>
    <s v="R"/>
    <s v="RS"/>
    <x v="4"/>
    <s v="MIN"/>
    <s v="H"/>
    <n v="1"/>
    <n v="1"/>
    <n v="0"/>
    <n v="0"/>
    <n v="0"/>
    <n v="0"/>
    <n v="1612.311317979485"/>
    <n v="1471.3149821374323"/>
    <n v="0.78502317739658745"/>
    <n v="67"/>
    <n v="54"/>
    <n v="0"/>
    <n v="13"/>
    <n v="1"/>
    <n v="0.42241167379569916"/>
    <n v="1"/>
    <n v="72.400000000000006"/>
    <n v="72.400000000000006"/>
    <n v="6.5745512891348543"/>
    <n v="1618.8858692686199"/>
    <n v="1"/>
    <n v="0"/>
    <n v="0"/>
    <n v="0"/>
    <n v="0"/>
    <n v="0"/>
    <n v="0"/>
    <n v="0"/>
    <n v="0"/>
    <n v="0"/>
  </r>
  <r>
    <d v="2005-07-31T00:00:00"/>
    <n v="2005"/>
    <x v="22"/>
    <s v="R"/>
    <s v="RS"/>
    <x v="8"/>
    <s v="SEA"/>
    <s v="A"/>
    <n v="1"/>
    <n v="1"/>
    <n v="0"/>
    <n v="0"/>
    <n v="0"/>
    <n v="0"/>
    <n v="1503.7256685778307"/>
    <n v="1552.5412623220359"/>
    <n v="0.31765965823678033"/>
    <n v="72"/>
    <n v="77"/>
    <n v="0"/>
    <n v="-5"/>
    <n v="0"/>
    <n v="0.31878779585053896"/>
    <n v="1"/>
    <n v="72.55"/>
    <n v="72.55"/>
    <n v="-7.3468499164095533"/>
    <n v="1496.3788186614211"/>
    <n v="0"/>
    <n v="1"/>
    <n v="0"/>
    <n v="0"/>
    <n v="0"/>
    <n v="0"/>
    <n v="0"/>
    <n v="0"/>
    <n v="0"/>
    <n v="0"/>
  </r>
  <r>
    <d v="2005-07-31T00:00:00"/>
    <n v="2005"/>
    <x v="23"/>
    <s v="R"/>
    <s v="RS"/>
    <x v="9"/>
    <s v="LAS"/>
    <s v="H"/>
    <n v="1"/>
    <n v="1"/>
    <n v="0"/>
    <n v="0"/>
    <n v="0"/>
    <n v="0"/>
    <n v="1552.5412623220359"/>
    <n v="1503.7256685778307"/>
    <n v="0.68234034176321967"/>
    <n v="77"/>
    <n v="72"/>
    <n v="0"/>
    <n v="5"/>
    <n v="1"/>
    <n v="0.31878779585053896"/>
    <n v="1"/>
    <n v="72.400000000000006"/>
    <n v="72.400000000000006"/>
    <n v="7.3316600130675633"/>
    <n v="1559.8729223351036"/>
    <n v="1"/>
    <n v="0"/>
    <n v="0"/>
    <n v="0"/>
    <n v="0"/>
    <n v="0"/>
    <n v="0"/>
    <n v="0"/>
    <n v="0"/>
    <n v="0"/>
  </r>
  <r>
    <d v="2005-08-02T00:00:00"/>
    <n v="2005"/>
    <x v="22"/>
    <s v="R"/>
    <s v="RS"/>
    <x v="3"/>
    <s v="HOU"/>
    <s v="A"/>
    <n v="1"/>
    <n v="2"/>
    <n v="-1"/>
    <n v="1"/>
    <n v="-8"/>
    <n v="8"/>
    <n v="1482.3285074785456"/>
    <n v="1522.6705145726687"/>
    <n v="0.30834381780754555"/>
    <n v="61"/>
    <n v="62"/>
    <n v="0"/>
    <n v="-1"/>
    <n v="0"/>
    <n v="0.2362377501386331"/>
    <n v="1"/>
    <n v="72.55"/>
    <n v="72.55"/>
    <n v="-5.2847197321202088"/>
    <n v="1477.0437877464253"/>
    <n v="0"/>
    <n v="1"/>
    <n v="0"/>
    <n v="0"/>
    <n v="0"/>
    <n v="0"/>
    <n v="0"/>
    <n v="0"/>
    <n v="0"/>
    <n v="0"/>
  </r>
  <r>
    <d v="2005-08-02T00:00:00"/>
    <n v="2005"/>
    <x v="24"/>
    <s v="R"/>
    <s v="RS"/>
    <x v="6"/>
    <s v="DET"/>
    <s v="H"/>
    <n v="2"/>
    <n v="1"/>
    <n v="1"/>
    <n v="-1"/>
    <n v="8"/>
    <n v="-8"/>
    <n v="1522.6705145726687"/>
    <n v="1482.3285074785456"/>
    <n v="0.69165618219245439"/>
    <n v="62"/>
    <n v="61"/>
    <n v="0"/>
    <n v="1"/>
    <n v="1"/>
    <n v="0.2362377501386331"/>
    <n v="1"/>
    <n v="72.25"/>
    <n v="72.25"/>
    <n v="5.2628669971838065"/>
    <n v="1527.9333815698526"/>
    <n v="1"/>
    <n v="0"/>
    <n v="0"/>
    <n v="0"/>
    <n v="0"/>
    <n v="0"/>
    <n v="0"/>
    <n v="0"/>
    <n v="0"/>
    <n v="0"/>
  </r>
  <r>
    <d v="2005-08-02T00:00:00"/>
    <n v="2005"/>
    <x v="24"/>
    <s v="R"/>
    <s v="RS"/>
    <x v="2"/>
    <s v="NYL"/>
    <s v="A"/>
    <n v="2"/>
    <n v="1"/>
    <n v="1"/>
    <n v="-1"/>
    <n v="8"/>
    <n v="-8"/>
    <n v="1628.0109010412723"/>
    <n v="1540.0770464888678"/>
    <n v="0.52865568664120299"/>
    <n v="72"/>
    <n v="65"/>
    <n v="0"/>
    <n v="7"/>
    <n v="1"/>
    <n v="0.34483805625167918"/>
    <n v="1"/>
    <n v="72.25"/>
    <n v="72.25"/>
    <n v="11.743331256973939"/>
    <n v="1639.7542322982463"/>
    <n v="1"/>
    <n v="0"/>
    <n v="0"/>
    <n v="0"/>
    <n v="0"/>
    <n v="0"/>
    <n v="0"/>
    <n v="0"/>
    <n v="0"/>
    <n v="0"/>
  </r>
  <r>
    <d v="2005-08-02T00:00:00"/>
    <n v="2005"/>
    <x v="23"/>
    <s v="R"/>
    <s v="RS"/>
    <x v="12"/>
    <s v="CON"/>
    <s v="H"/>
    <n v="1"/>
    <n v="2"/>
    <n v="-1"/>
    <n v="1"/>
    <n v="-8"/>
    <n v="8"/>
    <n v="1540.0770464888678"/>
    <n v="1628.0109010412723"/>
    <n v="0.47134431335879701"/>
    <n v="65"/>
    <n v="72"/>
    <n v="0"/>
    <n v="-7"/>
    <n v="0"/>
    <n v="0.34483805625167918"/>
    <n v="1"/>
    <n v="72.400000000000006"/>
    <n v="72.400000000000006"/>
    <n v="-11.767711875500529"/>
    <n v="1528.3093346133674"/>
    <n v="0"/>
    <n v="1"/>
    <n v="0"/>
    <n v="0"/>
    <n v="0"/>
    <n v="0"/>
    <n v="0"/>
    <n v="0"/>
    <n v="0"/>
    <n v="0"/>
  </r>
  <r>
    <d v="2005-08-02T00:00:00"/>
    <n v="2005"/>
    <x v="24"/>
    <s v="R"/>
    <s v="RS"/>
    <x v="4"/>
    <s v="SAS"/>
    <s v="A"/>
    <n v="1"/>
    <n v="2"/>
    <n v="-1"/>
    <n v="1"/>
    <n v="-8"/>
    <n v="8"/>
    <n v="1618.8858692686199"/>
    <n v="1378.3342768312934"/>
    <n v="0.69191342405899059"/>
    <n v="67"/>
    <n v="57"/>
    <n v="0"/>
    <n v="10"/>
    <n v="1"/>
    <n v="0.35247306786121335"/>
    <n v="1"/>
    <n v="72.25"/>
    <n v="72.25"/>
    <n v="7.8457879375396633"/>
    <n v="1626.7316572061595"/>
    <n v="1"/>
    <n v="0"/>
    <n v="0"/>
    <n v="0"/>
    <n v="0"/>
    <n v="0"/>
    <n v="0"/>
    <n v="0"/>
    <n v="0"/>
    <n v="0"/>
  </r>
  <r>
    <d v="2005-08-02T00:00:00"/>
    <n v="2005"/>
    <x v="25"/>
    <s v="R"/>
    <s v="RS"/>
    <x v="7"/>
    <s v="SAC"/>
    <s v="H"/>
    <n v="2"/>
    <n v="1"/>
    <n v="1"/>
    <n v="-1"/>
    <n v="8"/>
    <n v="-8"/>
    <n v="1378.3342768312934"/>
    <n v="1618.8858692686199"/>
    <n v="0.30808657594100941"/>
    <n v="57"/>
    <n v="67"/>
    <n v="0"/>
    <n v="-10"/>
    <n v="0"/>
    <n v="0.35247306786121335"/>
    <n v="1"/>
    <n v="72.099999999999994"/>
    <n v="72.099999999999994"/>
    <n v="-7.8294991044513447"/>
    <n v="1370.5047777268421"/>
    <n v="0"/>
    <n v="1"/>
    <n v="0"/>
    <n v="0"/>
    <n v="0"/>
    <n v="0"/>
    <n v="0"/>
    <n v="0"/>
    <n v="0"/>
    <n v="0"/>
  </r>
  <r>
    <d v="2005-08-02T00:00:00"/>
    <n v="2005"/>
    <x v="23"/>
    <s v="R"/>
    <s v="RS"/>
    <x v="1"/>
    <s v="WAS"/>
    <s v="A"/>
    <n v="3"/>
    <n v="3"/>
    <n v="0"/>
    <n v="0"/>
    <n v="0"/>
    <n v="0"/>
    <n v="1318.2735724954312"/>
    <n v="1490.6563183724102"/>
    <n v="0.18605390136612265"/>
    <n v="63"/>
    <n v="65"/>
    <n v="0"/>
    <n v="-2"/>
    <n v="0"/>
    <n v="0.23419821178691438"/>
    <n v="1"/>
    <n v="72.400000000000006"/>
    <n v="72.400000000000006"/>
    <n v="-3.1547207481049613"/>
    <n v="1315.1188517473263"/>
    <n v="0"/>
    <n v="1"/>
    <n v="0"/>
    <n v="0"/>
    <n v="0"/>
    <n v="0"/>
    <n v="0"/>
    <n v="0"/>
    <n v="0"/>
    <n v="0"/>
  </r>
  <r>
    <d v="2005-08-02T00:00:00"/>
    <n v="2005"/>
    <x v="24"/>
    <s v="R"/>
    <s v="RS"/>
    <x v="0"/>
    <s v="CHA"/>
    <s v="H"/>
    <n v="3"/>
    <n v="3"/>
    <n v="0"/>
    <n v="0"/>
    <n v="0"/>
    <n v="0"/>
    <n v="1490.6563183724102"/>
    <n v="1318.2735724954312"/>
    <n v="0.81394609863387746"/>
    <n v="65"/>
    <n v="63"/>
    <n v="0"/>
    <n v="2"/>
    <n v="1"/>
    <n v="0.23419821178691438"/>
    <n v="1"/>
    <n v="72.25"/>
    <n v="72.25"/>
    <n v="3.1481847244555698"/>
    <n v="1493.8045030968658"/>
    <n v="1"/>
    <n v="0"/>
    <n v="0"/>
    <n v="0"/>
    <n v="0"/>
    <n v="0"/>
    <n v="0"/>
    <n v="0"/>
    <n v="0"/>
    <n v="0"/>
  </r>
  <r>
    <d v="2005-08-03T00:00:00"/>
    <n v="2005"/>
    <x v="24"/>
    <s v="R"/>
    <s v="RS"/>
    <x v="10"/>
    <s v="PHX"/>
    <s v="A"/>
    <n v="2"/>
    <n v="2"/>
    <n v="0"/>
    <n v="0"/>
    <n v="0"/>
    <n v="0"/>
    <n v="1464.7404308482974"/>
    <n v="1496.6240054718035"/>
    <n v="0.33915110252426972"/>
    <n v="64"/>
    <n v="70"/>
    <n v="0"/>
    <n v="-6"/>
    <n v="0"/>
    <n v="0.34218892271375728"/>
    <n v="1"/>
    <n v="72.25"/>
    <n v="72.25"/>
    <n v="-8.3848834671198187"/>
    <n v="1456.3555473811775"/>
    <n v="0"/>
    <n v="1"/>
    <n v="0"/>
    <n v="0"/>
    <n v="0"/>
    <n v="0"/>
    <n v="0"/>
    <n v="0"/>
    <n v="0"/>
    <n v="0"/>
  </r>
  <r>
    <d v="2005-08-03T00:00:00"/>
    <n v="2005"/>
    <x v="23"/>
    <s v="R"/>
    <s v="RS"/>
    <x v="5"/>
    <s v="MIN"/>
    <s v="H"/>
    <n v="2"/>
    <n v="2"/>
    <n v="0"/>
    <n v="0"/>
    <n v="0"/>
    <n v="0"/>
    <n v="1496.6240054718035"/>
    <n v="1464.7404308482974"/>
    <n v="0.66084889747573028"/>
    <n v="70"/>
    <n v="64"/>
    <n v="0"/>
    <n v="6"/>
    <n v="1"/>
    <n v="0.34218892271375728"/>
    <n v="1"/>
    <n v="72.400000000000006"/>
    <n v="72.400000000000006"/>
    <n v="8.4022915296813157"/>
    <n v="1505.0262970014849"/>
    <n v="1"/>
    <n v="0"/>
    <n v="0"/>
    <n v="0"/>
    <n v="0"/>
    <n v="0"/>
    <n v="0"/>
    <n v="0"/>
    <n v="0"/>
    <n v="0"/>
  </r>
  <r>
    <d v="2005-08-04T00:00:00"/>
    <n v="2005"/>
    <x v="25"/>
    <s v="R"/>
    <s v="RS"/>
    <x v="4"/>
    <s v="CHA"/>
    <s v="A"/>
    <n v="1"/>
    <n v="1"/>
    <n v="0"/>
    <n v="0"/>
    <n v="0"/>
    <n v="0"/>
    <n v="1626.7316572061595"/>
    <n v="1315.1188517473263"/>
    <n v="0.78755408879396649"/>
    <n v="76"/>
    <n v="58"/>
    <n v="0"/>
    <n v="18"/>
    <n v="1"/>
    <n v="0.43410635063547443"/>
    <n v="1"/>
    <n v="72.099999999999994"/>
    <n v="72.099999999999994"/>
    <n v="6.6493589958398127"/>
    <n v="1633.3810162019993"/>
    <n v="1"/>
    <n v="0"/>
    <n v="0"/>
    <n v="0"/>
    <n v="0"/>
    <n v="0"/>
    <n v="0"/>
    <n v="0"/>
    <n v="0"/>
    <n v="0"/>
  </r>
  <r>
    <d v="2005-08-04T00:00:00"/>
    <n v="2005"/>
    <x v="24"/>
    <s v="R"/>
    <s v="RS"/>
    <x v="1"/>
    <s v="SAC"/>
    <s v="H"/>
    <n v="1"/>
    <n v="1"/>
    <n v="0"/>
    <n v="0"/>
    <n v="0"/>
    <n v="0"/>
    <n v="1315.1188517473263"/>
    <n v="1626.7316572061595"/>
    <n v="0.21244591120603357"/>
    <n v="58"/>
    <n v="76"/>
    <n v="0"/>
    <n v="-18"/>
    <n v="0"/>
    <n v="0.43410635063547443"/>
    <n v="1"/>
    <n v="72.25"/>
    <n v="72.25"/>
    <n v="-6.6631926137229769"/>
    <n v="1308.4556591336034"/>
    <n v="0"/>
    <n v="1"/>
    <n v="0"/>
    <n v="0"/>
    <n v="0"/>
    <n v="0"/>
    <n v="0"/>
    <n v="0"/>
    <n v="0"/>
    <n v="0"/>
  </r>
  <r>
    <d v="2005-08-04T00:00:00"/>
    <n v="2005"/>
    <x v="24"/>
    <s v="R"/>
    <s v="RS"/>
    <x v="9"/>
    <s v="IND"/>
    <s v="A"/>
    <n v="3"/>
    <n v="3"/>
    <n v="0"/>
    <n v="0"/>
    <n v="0"/>
    <n v="0"/>
    <n v="1559.8729223351036"/>
    <n v="1513.0485700075451"/>
    <n v="0.44670318617070753"/>
    <n v="68"/>
    <n v="78"/>
    <n v="0"/>
    <n v="-10"/>
    <n v="0"/>
    <n v="0.40723910970367871"/>
    <n v="1"/>
    <n v="72.25"/>
    <n v="72.25"/>
    <n v="-13.14335931629229"/>
    <n v="1546.7295630188112"/>
    <n v="0"/>
    <n v="1"/>
    <n v="0"/>
    <n v="0"/>
    <n v="0"/>
    <n v="0"/>
    <n v="0"/>
    <n v="0"/>
    <n v="0"/>
    <n v="0"/>
  </r>
  <r>
    <d v="2005-08-04T00:00:00"/>
    <n v="2005"/>
    <x v="23"/>
    <s v="R"/>
    <s v="RS"/>
    <x v="11"/>
    <s v="SEA"/>
    <s v="H"/>
    <n v="3"/>
    <n v="3"/>
    <n v="0"/>
    <n v="0"/>
    <n v="0"/>
    <n v="0"/>
    <n v="1513.0485700075451"/>
    <n v="1559.8729223351036"/>
    <n v="0.55329681382929241"/>
    <n v="78"/>
    <n v="68"/>
    <n v="0"/>
    <n v="10"/>
    <n v="1"/>
    <n v="0.40723910970367871"/>
    <n v="1"/>
    <n v="72.400000000000006"/>
    <n v="72.400000000000006"/>
    <n v="13.170646567467987"/>
    <n v="1526.219216575013"/>
    <n v="1"/>
    <n v="0"/>
    <n v="0"/>
    <n v="0"/>
    <n v="0"/>
    <n v="0"/>
    <n v="0"/>
    <n v="0"/>
    <n v="0"/>
    <n v="0"/>
  </r>
  <r>
    <d v="2005-08-05T00:00:00"/>
    <n v="2005"/>
    <x v="25"/>
    <s v="R"/>
    <s v="RS"/>
    <x v="6"/>
    <s v="PHX"/>
    <s v="A"/>
    <n v="2"/>
    <n v="1"/>
    <n v="1"/>
    <n v="-1"/>
    <n v="8"/>
    <n v="-8"/>
    <n v="1527.9333815698526"/>
    <n v="1505.0262970014849"/>
    <n v="0.43546801654544171"/>
    <n v="75"/>
    <n v="80"/>
    <n v="0"/>
    <n v="-5"/>
    <n v="0"/>
    <n v="0.32554163401057695"/>
    <n v="1"/>
    <n v="72.099999999999994"/>
    <n v="72.099999999999994"/>
    <n v="-10.221110112886013"/>
    <n v="1517.7122714569666"/>
    <n v="0"/>
    <n v="1"/>
    <n v="0"/>
    <n v="0"/>
    <n v="0"/>
    <n v="0"/>
    <n v="0"/>
    <n v="0"/>
    <n v="0"/>
    <n v="0"/>
  </r>
  <r>
    <d v="2005-08-05T00:00:00"/>
    <n v="2005"/>
    <x v="24"/>
    <s v="R"/>
    <s v="RS"/>
    <x v="5"/>
    <s v="HOU"/>
    <s v="H"/>
    <n v="1"/>
    <n v="2"/>
    <n v="-1"/>
    <n v="1"/>
    <n v="-8"/>
    <n v="8"/>
    <n v="1505.0262970014849"/>
    <n v="1527.9333815698526"/>
    <n v="0.56453198345455824"/>
    <n v="80"/>
    <n v="75"/>
    <n v="0"/>
    <n v="5"/>
    <n v="1"/>
    <n v="0.32554163401057695"/>
    <n v="1"/>
    <n v="72.25"/>
    <n v="72.25"/>
    <n v="10.242374558335847"/>
    <n v="1515.2686715598206"/>
    <n v="1"/>
    <n v="0"/>
    <n v="0"/>
    <n v="0"/>
    <n v="0"/>
    <n v="0"/>
    <n v="0"/>
    <n v="0"/>
    <n v="0"/>
    <n v="0"/>
  </r>
  <r>
    <d v="2005-08-05T00:00:00"/>
    <n v="2005"/>
    <x v="23"/>
    <s v="R"/>
    <s v="RS"/>
    <x v="8"/>
    <s v="SAS"/>
    <s v="A"/>
    <n v="4"/>
    <n v="2"/>
    <n v="2"/>
    <n v="-2"/>
    <n v="16"/>
    <n v="-16"/>
    <n v="1496.3788186614211"/>
    <n v="1370.5047777268421"/>
    <n v="0.60473959990164494"/>
    <n v="66"/>
    <n v="63"/>
    <n v="0"/>
    <n v="3"/>
    <n v="1"/>
    <n v="0.26263446946513641"/>
    <n v="1"/>
    <n v="72.400000000000006"/>
    <n v="72.400000000000006"/>
    <n v="7.5157719967816137"/>
    <n v="1503.8945906582028"/>
    <n v="1"/>
    <n v="0"/>
    <n v="0"/>
    <n v="0"/>
    <n v="0"/>
    <n v="0"/>
    <n v="0"/>
    <n v="0"/>
    <n v="0"/>
    <n v="0"/>
  </r>
  <r>
    <d v="2005-08-05T00:00:00"/>
    <n v="2005"/>
    <x v="26"/>
    <s v="R"/>
    <s v="RS"/>
    <x v="7"/>
    <s v="LAS"/>
    <s v="H"/>
    <n v="2"/>
    <n v="4"/>
    <n v="-2"/>
    <n v="2"/>
    <n v="-16"/>
    <n v="16"/>
    <n v="1370.5047777268421"/>
    <n v="1496.3788186614211"/>
    <n v="0.395260400098355"/>
    <n v="63"/>
    <n v="66"/>
    <n v="0"/>
    <n v="-3"/>
    <n v="0"/>
    <n v="0.26263446946513641"/>
    <n v="1"/>
    <n v="71.95"/>
    <n v="71.95"/>
    <n v="-7.4690579443154297"/>
    <n v="1363.0357197825267"/>
    <n v="0"/>
    <n v="1"/>
    <n v="0"/>
    <n v="0"/>
    <n v="0"/>
    <n v="0"/>
    <n v="0"/>
    <n v="0"/>
    <n v="0"/>
    <n v="0"/>
  </r>
  <r>
    <d v="2005-08-06T00:00:00"/>
    <n v="2005"/>
    <x v="23"/>
    <s v="R"/>
    <s v="RS"/>
    <x v="3"/>
    <s v="CHA"/>
    <s v="A"/>
    <n v="3"/>
    <n v="1"/>
    <n v="2"/>
    <n v="-2"/>
    <n v="16"/>
    <n v="-16"/>
    <n v="1477.0437877464253"/>
    <n v="1308.4556591336034"/>
    <n v="0.66175730674971378"/>
    <n v="73"/>
    <n v="82"/>
    <n v="1"/>
    <n v="-9"/>
    <n v="0"/>
    <n v="0.32036610588126835"/>
    <n v="1"/>
    <n v="72.400000000000006"/>
    <n v="72.400000000000006"/>
    <n v="-15.349133865496242"/>
    <n v="1461.6946538809291"/>
    <n v="0"/>
    <n v="1"/>
    <n v="0"/>
    <n v="0"/>
    <n v="0"/>
    <n v="0"/>
    <n v="0"/>
    <n v="0"/>
    <n v="0"/>
    <n v="0"/>
  </r>
  <r>
    <d v="2005-08-06T00:00:00"/>
    <n v="2005"/>
    <x v="25"/>
    <s v="R"/>
    <s v="RS"/>
    <x v="1"/>
    <s v="DET"/>
    <s v="H"/>
    <n v="1"/>
    <n v="3"/>
    <n v="-2"/>
    <n v="2"/>
    <n v="-16"/>
    <n v="16"/>
    <n v="1308.4556591336034"/>
    <n v="1477.0437877464253"/>
    <n v="0.33824269325028616"/>
    <n v="82"/>
    <n v="73"/>
    <n v="1"/>
    <n v="9"/>
    <n v="1"/>
    <n v="0.32036610588126835"/>
    <n v="1"/>
    <n v="72.099999999999994"/>
    <n v="72.099999999999994"/>
    <n v="15.285532482075675"/>
    <n v="1323.7411916156791"/>
    <n v="1"/>
    <n v="0"/>
    <n v="0"/>
    <n v="0"/>
    <n v="0"/>
    <n v="0"/>
    <n v="0"/>
    <n v="0"/>
    <n v="0"/>
    <n v="0"/>
  </r>
  <r>
    <d v="2005-08-06T00:00:00"/>
    <n v="2005"/>
    <x v="25"/>
    <s v="R"/>
    <s v="RS"/>
    <x v="2"/>
    <s v="IND"/>
    <s v="A"/>
    <n v="3"/>
    <n v="1"/>
    <n v="2"/>
    <n v="-2"/>
    <n v="16"/>
    <n v="-16"/>
    <n v="1639.7542322982463"/>
    <n v="1526.219216575013"/>
    <n v="0.5876415177607317"/>
    <n v="74"/>
    <n v="65"/>
    <n v="0"/>
    <n v="9"/>
    <n v="1"/>
    <n v="0.37088149668279496"/>
    <n v="1"/>
    <n v="72.099999999999994"/>
    <n v="72.099999999999994"/>
    <n v="11.026695049623953"/>
    <n v="1650.7809273478701"/>
    <n v="1"/>
    <n v="0"/>
    <n v="0"/>
    <n v="0"/>
    <n v="0"/>
    <n v="0"/>
    <n v="0"/>
    <n v="0"/>
    <n v="0"/>
    <n v="0"/>
  </r>
  <r>
    <d v="2005-08-06T00:00:00"/>
    <n v="2005"/>
    <x v="24"/>
    <s v="R"/>
    <s v="RS"/>
    <x v="11"/>
    <s v="CON"/>
    <s v="H"/>
    <n v="1"/>
    <n v="3"/>
    <n v="-2"/>
    <n v="2"/>
    <n v="-16"/>
    <n v="16"/>
    <n v="1526.219216575013"/>
    <n v="1639.7542322982463"/>
    <n v="0.41235848223926819"/>
    <n v="65"/>
    <n v="74"/>
    <n v="0"/>
    <n v="-9"/>
    <n v="0"/>
    <n v="0.37088149668279496"/>
    <n v="1"/>
    <n v="72.25"/>
    <n v="72.25"/>
    <n v="-11.049635469283363"/>
    <n v="1515.1695811057295"/>
    <n v="0"/>
    <n v="1"/>
    <n v="0"/>
    <n v="0"/>
    <n v="0"/>
    <n v="0"/>
    <n v="0"/>
    <n v="0"/>
    <n v="0"/>
    <n v="0"/>
  </r>
  <r>
    <d v="2005-08-06T00:00:00"/>
    <n v="2005"/>
    <x v="25"/>
    <s v="R"/>
    <s v="RS"/>
    <x v="9"/>
    <s v="NYL"/>
    <s v="A"/>
    <n v="1"/>
    <n v="3"/>
    <n v="-2"/>
    <n v="2"/>
    <n v="-16"/>
    <n v="16"/>
    <n v="1546.7295630188112"/>
    <n v="1528.3093346133674"/>
    <n v="0.36315089233027531"/>
    <n v="67"/>
    <n v="79"/>
    <n v="0"/>
    <n v="-12"/>
    <n v="0"/>
    <n v="0.44923362148064233"/>
    <n v="1"/>
    <n v="72.099999999999994"/>
    <n v="72.099999999999994"/>
    <n v="-11.762364475443404"/>
    <n v="1534.9671985433679"/>
    <n v="0"/>
    <n v="1"/>
    <n v="0"/>
    <n v="0"/>
    <n v="0"/>
    <n v="0"/>
    <n v="0"/>
    <n v="0"/>
    <n v="0"/>
    <n v="0"/>
  </r>
  <r>
    <d v="2005-08-06T00:00:00"/>
    <n v="2005"/>
    <x v="24"/>
    <s v="R"/>
    <s v="RS"/>
    <x v="12"/>
    <s v="SEA"/>
    <s v="H"/>
    <n v="3"/>
    <n v="1"/>
    <n v="2"/>
    <n v="-2"/>
    <n v="16"/>
    <n v="-16"/>
    <n v="1528.3093346133674"/>
    <n v="1546.7295630188112"/>
    <n v="0.63684910766972469"/>
    <n v="79"/>
    <n v="67"/>
    <n v="0"/>
    <n v="12"/>
    <n v="1"/>
    <n v="0.44923362148064233"/>
    <n v="1"/>
    <n v="72.25"/>
    <n v="72.25"/>
    <n v="11.786835414019226"/>
    <n v="1540.0961700273865"/>
    <n v="1"/>
    <n v="0"/>
    <n v="0"/>
    <n v="0"/>
    <n v="0"/>
    <n v="0"/>
    <n v="0"/>
    <n v="0"/>
    <n v="0"/>
    <n v="0"/>
  </r>
  <r>
    <d v="2005-08-07T00:00:00"/>
    <n v="2005"/>
    <x v="25"/>
    <s v="R"/>
    <s v="RS"/>
    <x v="12"/>
    <s v="DET"/>
    <s v="A"/>
    <n v="0"/>
    <n v="0"/>
    <n v="0"/>
    <n v="0"/>
    <n v="0"/>
    <n v="0"/>
    <n v="1540.0961700273865"/>
    <n v="1461.6946538809291"/>
    <n v="0.49194383134031372"/>
    <n v="67"/>
    <n v="72"/>
    <n v="0"/>
    <n v="-5"/>
    <n v="0"/>
    <n v="0.31141012078390634"/>
    <n v="1"/>
    <n v="72.099999999999994"/>
    <n v="72.099999999999994"/>
    <n v="-11.04545236022776"/>
    <n v="1529.0507176671588"/>
    <n v="0"/>
    <n v="1"/>
    <n v="0"/>
    <n v="0"/>
    <n v="0"/>
    <n v="0"/>
    <n v="0"/>
    <n v="0"/>
    <n v="0"/>
    <n v="0"/>
  </r>
  <r>
    <d v="2005-08-07T00:00:00"/>
    <n v="2005"/>
    <x v="24"/>
    <s v="R"/>
    <s v="RS"/>
    <x v="3"/>
    <s v="NYL"/>
    <s v="H"/>
    <n v="0"/>
    <n v="0"/>
    <n v="0"/>
    <n v="0"/>
    <n v="0"/>
    <n v="0"/>
    <n v="1461.6946538809291"/>
    <n v="1540.0961700273865"/>
    <n v="0.50805616865968628"/>
    <n v="72"/>
    <n v="67"/>
    <n v="0"/>
    <n v="5"/>
    <n v="1"/>
    <n v="0.31141012078390634"/>
    <n v="1"/>
    <n v="72.25"/>
    <n v="72.25"/>
    <n v="11.068431803418248"/>
    <n v="1472.7630856843473"/>
    <n v="1"/>
    <n v="0"/>
    <n v="0"/>
    <n v="0"/>
    <n v="0"/>
    <n v="0"/>
    <n v="0"/>
    <n v="0"/>
    <n v="0"/>
    <n v="0"/>
  </r>
  <r>
    <d v="2005-08-07T00:00:00"/>
    <n v="2005"/>
    <x v="24"/>
    <s v="R"/>
    <s v="RS"/>
    <x v="8"/>
    <s v="MIN"/>
    <s v="A"/>
    <n v="1"/>
    <n v="3"/>
    <n v="-2"/>
    <n v="2"/>
    <n v="-16"/>
    <n v="16"/>
    <n v="1503.8945906582028"/>
    <n v="1456.3555473811775"/>
    <n v="0.4027323967829663"/>
    <n v="72"/>
    <n v="76"/>
    <n v="0"/>
    <n v="-4"/>
    <n v="0"/>
    <n v="0.29956519910028023"/>
    <n v="1"/>
    <n v="72.25"/>
    <n v="72.25"/>
    <n v="-8.7165731177590153"/>
    <n v="1495.1780175404438"/>
    <n v="0"/>
    <n v="1"/>
    <n v="0"/>
    <n v="0"/>
    <n v="0"/>
    <n v="0"/>
    <n v="0"/>
    <n v="0"/>
    <n v="0"/>
    <n v="0"/>
  </r>
  <r>
    <d v="2005-08-07T00:00:00"/>
    <n v="2005"/>
    <x v="25"/>
    <s v="R"/>
    <s v="RS"/>
    <x v="10"/>
    <s v="LAS"/>
    <s v="H"/>
    <n v="3"/>
    <n v="1"/>
    <n v="2"/>
    <n v="-2"/>
    <n v="16"/>
    <n v="-16"/>
    <n v="1456.3555473811775"/>
    <n v="1503.8945906582028"/>
    <n v="0.59726760321703376"/>
    <n v="76"/>
    <n v="72"/>
    <n v="0"/>
    <n v="4"/>
    <n v="1"/>
    <n v="0.29956519910028023"/>
    <n v="1"/>
    <n v="72.099999999999994"/>
    <n v="72.099999999999994"/>
    <n v="8.6984764261650493"/>
    <n v="1465.0540238073427"/>
    <n v="1"/>
    <n v="0"/>
    <n v="0"/>
    <n v="0"/>
    <n v="0"/>
    <n v="0"/>
    <n v="0"/>
    <n v="0"/>
    <n v="0"/>
    <n v="0"/>
  </r>
  <r>
    <d v="2005-08-07T00:00:00"/>
    <n v="2005"/>
    <x v="26"/>
    <s v="R"/>
    <s v="RS"/>
    <x v="6"/>
    <s v="SAC"/>
    <s v="A"/>
    <n v="1"/>
    <n v="2"/>
    <n v="-1"/>
    <n v="1"/>
    <n v="-8"/>
    <n v="8"/>
    <n v="1517.7122714569666"/>
    <n v="1633.3810162019993"/>
    <n v="0.22417689413324024"/>
    <n v="45"/>
    <n v="55"/>
    <n v="0"/>
    <n v="-10"/>
    <n v="0"/>
    <n v="0.38592969638200242"/>
    <n v="1"/>
    <n v="71.95"/>
    <n v="71.95"/>
    <n v="-6.224863663552088"/>
    <n v="1511.4874077934146"/>
    <n v="0"/>
    <n v="1"/>
    <n v="0"/>
    <n v="0"/>
    <n v="0"/>
    <n v="0"/>
    <n v="0"/>
    <n v="0"/>
    <n v="0"/>
    <n v="0"/>
  </r>
  <r>
    <d v="2005-08-07T00:00:00"/>
    <n v="2005"/>
    <x v="26"/>
    <s v="R"/>
    <s v="RS"/>
    <x v="4"/>
    <s v="HOU"/>
    <s v="H"/>
    <n v="2"/>
    <n v="1"/>
    <n v="1"/>
    <n v="-1"/>
    <n v="8"/>
    <n v="-8"/>
    <n v="1633.3810162019993"/>
    <n v="1517.7122714569666"/>
    <n v="0.77582310586675984"/>
    <n v="55"/>
    <n v="45"/>
    <n v="0"/>
    <n v="10"/>
    <n v="1"/>
    <n v="0.38592969638200242"/>
    <n v="1"/>
    <n v="71.95"/>
    <n v="71.95"/>
    <n v="6.2248636635520853"/>
    <n v="1639.6058798655513"/>
    <n v="1"/>
    <n v="0"/>
    <n v="0"/>
    <n v="0"/>
    <n v="0"/>
    <n v="0"/>
    <n v="0"/>
    <n v="0"/>
    <n v="0"/>
    <n v="0"/>
  </r>
  <r>
    <d v="2005-08-07T00:00:00"/>
    <n v="2005"/>
    <x v="25"/>
    <s v="R"/>
    <s v="RS"/>
    <x v="11"/>
    <s v="WAS"/>
    <s v="A"/>
    <n v="0"/>
    <n v="4"/>
    <n v="-4"/>
    <n v="4"/>
    <n v="-16"/>
    <n v="16"/>
    <n v="1515.1695811057295"/>
    <n v="1493.8045030968658"/>
    <n v="0.36708042337138863"/>
    <n v="60"/>
    <n v="61"/>
    <n v="0"/>
    <n v="-1"/>
    <n v="0"/>
    <n v="0.23990828822127633"/>
    <n v="1"/>
    <n v="72.099999999999994"/>
    <n v="72.099999999999994"/>
    <n v="-6.3495323563621868"/>
    <n v="1508.8200487493673"/>
    <n v="0"/>
    <n v="1"/>
    <n v="0"/>
    <n v="0"/>
    <n v="0"/>
    <n v="0"/>
    <n v="0"/>
    <n v="0"/>
    <n v="0"/>
    <n v="0"/>
  </r>
  <r>
    <d v="2005-08-07T00:00:00"/>
    <n v="2005"/>
    <x v="25"/>
    <s v="R"/>
    <s v="RS"/>
    <x v="0"/>
    <s v="IND"/>
    <s v="H"/>
    <n v="4"/>
    <n v="0"/>
    <n v="4"/>
    <n v="-4"/>
    <n v="16"/>
    <n v="-16"/>
    <n v="1493.8045030968658"/>
    <n v="1515.1695811057295"/>
    <n v="0.63291957662861131"/>
    <n v="61"/>
    <n v="60"/>
    <n v="0"/>
    <n v="1"/>
    <n v="1"/>
    <n v="0.23990828822127633"/>
    <n v="1"/>
    <n v="72.099999999999994"/>
    <n v="72.099999999999994"/>
    <n v="6.3495323563621877"/>
    <n v="1500.1540354532281"/>
    <n v="1"/>
    <n v="0"/>
    <n v="0"/>
    <n v="0"/>
    <n v="0"/>
    <n v="0"/>
    <n v="0"/>
    <n v="0"/>
    <n v="0"/>
    <n v="0"/>
  </r>
  <r>
    <d v="2005-08-09T00:00:00"/>
    <n v="2005"/>
    <x v="25"/>
    <s v="R"/>
    <s v="RS"/>
    <x v="8"/>
    <s v="CON"/>
    <s v="A"/>
    <n v="1"/>
    <n v="2"/>
    <n v="-1"/>
    <n v="1"/>
    <n v="-8"/>
    <n v="8"/>
    <n v="1495.1780175404438"/>
    <n v="1650.7809273478701"/>
    <n v="0.18673467889268094"/>
    <n v="51"/>
    <n v="64"/>
    <n v="0"/>
    <n v="-13"/>
    <n v="0"/>
    <n v="0.41786020277679242"/>
    <n v="1"/>
    <n v="72.099999999999994"/>
    <n v="72.099999999999994"/>
    <n v="-5.6258902357827063"/>
    <n v="1489.5521273046611"/>
    <n v="0"/>
    <n v="1"/>
    <n v="0"/>
    <n v="0"/>
    <n v="0"/>
    <n v="0"/>
    <n v="0"/>
    <n v="0"/>
    <n v="0"/>
    <n v="0"/>
  </r>
  <r>
    <d v="2005-08-09T00:00:00"/>
    <n v="2005"/>
    <x v="26"/>
    <s v="R"/>
    <s v="RS"/>
    <x v="2"/>
    <s v="LAS"/>
    <s v="H"/>
    <n v="2"/>
    <n v="1"/>
    <n v="1"/>
    <n v="-1"/>
    <n v="8"/>
    <n v="-8"/>
    <n v="1650.7809273478701"/>
    <n v="1495.1780175404438"/>
    <n v="0.81326532110731897"/>
    <n v="64"/>
    <n v="51"/>
    <n v="0"/>
    <n v="13"/>
    <n v="1"/>
    <n v="0.41786020277679242"/>
    <n v="1"/>
    <n v="71.95"/>
    <n v="71.95"/>
    <n v="5.6141858871645764"/>
    <n v="1656.3951132350346"/>
    <n v="1"/>
    <n v="0"/>
    <n v="0"/>
    <n v="0"/>
    <n v="0"/>
    <n v="0"/>
    <n v="0"/>
    <n v="0"/>
    <n v="0"/>
    <n v="0"/>
  </r>
  <r>
    <d v="2005-08-09T00:00:00"/>
    <n v="2005"/>
    <x v="26"/>
    <s v="R"/>
    <s v="RS"/>
    <x v="1"/>
    <s v="DET"/>
    <s v="A"/>
    <n v="2"/>
    <n v="1"/>
    <n v="1"/>
    <n v="-1"/>
    <n v="8"/>
    <n v="-8"/>
    <n v="1323.7411916156791"/>
    <n v="1472.7630856843473"/>
    <n v="0.22282506838245814"/>
    <n v="64"/>
    <n v="71"/>
    <n v="0"/>
    <n v="-7"/>
    <n v="0"/>
    <n v="0.32922268269871158"/>
    <n v="1"/>
    <n v="71.95"/>
    <n v="71.95"/>
    <n v="-5.2781848552092949"/>
    <n v="1318.4630067604699"/>
    <n v="0"/>
    <n v="1"/>
    <n v="0"/>
    <n v="0"/>
    <n v="0"/>
    <n v="0"/>
    <n v="0"/>
    <n v="0"/>
    <n v="0"/>
    <n v="0"/>
  </r>
  <r>
    <d v="2005-08-09T00:00:00"/>
    <n v="2005"/>
    <x v="25"/>
    <s v="R"/>
    <s v="RS"/>
    <x v="3"/>
    <s v="CHA"/>
    <s v="H"/>
    <n v="1"/>
    <n v="2"/>
    <n v="-1"/>
    <n v="1"/>
    <n v="-8"/>
    <n v="8"/>
    <n v="1472.7630856843473"/>
    <n v="1323.7411916156791"/>
    <n v="0.77717493161754181"/>
    <n v="71"/>
    <n v="64"/>
    <n v="0"/>
    <n v="7"/>
    <n v="1"/>
    <n v="0.32922268269871158"/>
    <n v="1"/>
    <n v="72.099999999999994"/>
    <n v="72.099999999999994"/>
    <n v="5.2891887152271053"/>
    <n v="1478.0522743995743"/>
    <n v="1"/>
    <n v="0"/>
    <n v="0"/>
    <n v="0"/>
    <n v="0"/>
    <n v="0"/>
    <n v="0"/>
    <n v="0"/>
    <n v="0"/>
    <n v="0"/>
  </r>
  <r>
    <d v="2005-08-09T00:00:00"/>
    <n v="2005"/>
    <x v="27"/>
    <s v="R"/>
    <s v="RS"/>
    <x v="7"/>
    <s v="MIN"/>
    <s v="A"/>
    <n v="3"/>
    <n v="1"/>
    <n v="2"/>
    <n v="-2"/>
    <n v="16"/>
    <n v="-16"/>
    <n v="1363.0357197825267"/>
    <n v="1465.0540238073427"/>
    <n v="0.29181183645689457"/>
    <n v="72"/>
    <n v="76"/>
    <n v="0"/>
    <n v="-4"/>
    <n v="0"/>
    <n v="0.28703074352289004"/>
    <n v="1"/>
    <n v="71.8"/>
    <n v="71.8"/>
    <n v="-6.0138939301867742"/>
    <n v="1357.02182585234"/>
    <n v="0"/>
    <n v="1"/>
    <n v="0"/>
    <n v="0"/>
    <n v="0"/>
    <n v="0"/>
    <n v="0"/>
    <n v="0"/>
    <n v="0"/>
    <n v="0"/>
  </r>
  <r>
    <d v="2005-08-09T00:00:00"/>
    <n v="2005"/>
    <x v="26"/>
    <s v="R"/>
    <s v="RS"/>
    <x v="10"/>
    <s v="SAS"/>
    <s v="H"/>
    <n v="1"/>
    <n v="3"/>
    <n v="-2"/>
    <n v="2"/>
    <n v="-16"/>
    <n v="16"/>
    <n v="1465.0540238073427"/>
    <n v="1363.0357197825267"/>
    <n v="0.70818816354310543"/>
    <n v="76"/>
    <n v="72"/>
    <n v="0"/>
    <n v="4"/>
    <n v="1"/>
    <n v="0.28703074352289004"/>
    <n v="1"/>
    <n v="71.95"/>
    <n v="71.95"/>
    <n v="6.0264577754448263"/>
    <n v="1471.0804815827876"/>
    <n v="1"/>
    <n v="0"/>
    <n v="0"/>
    <n v="0"/>
    <n v="0"/>
    <n v="0"/>
    <n v="0"/>
    <n v="0"/>
    <n v="0"/>
    <n v="0"/>
  </r>
  <r>
    <d v="2005-08-09T00:00:00"/>
    <n v="2005"/>
    <x v="27"/>
    <s v="R"/>
    <s v="RS"/>
    <x v="6"/>
    <s v="SEA"/>
    <s v="A"/>
    <n v="1"/>
    <n v="2"/>
    <n v="-1"/>
    <n v="1"/>
    <n v="-8"/>
    <n v="8"/>
    <n v="1511.4874077934146"/>
    <n v="1534.9671985433679"/>
    <n v="0.32942058838005661"/>
    <n v="68"/>
    <n v="71"/>
    <n v="0"/>
    <n v="-3"/>
    <n v="0"/>
    <n v="0.28461461149677181"/>
    <n v="1"/>
    <n v="71.8"/>
    <n v="71.8"/>
    <n v="-6.7318181376634358"/>
    <n v="1504.7555896557512"/>
    <n v="0"/>
    <n v="1"/>
    <n v="0"/>
    <n v="0"/>
    <n v="0"/>
    <n v="0"/>
    <n v="0"/>
    <n v="0"/>
    <n v="0"/>
    <n v="0"/>
  </r>
  <r>
    <d v="2005-08-09T00:00:00"/>
    <n v="2005"/>
    <x v="26"/>
    <s v="R"/>
    <s v="RS"/>
    <x v="9"/>
    <s v="HOU"/>
    <s v="H"/>
    <n v="2"/>
    <n v="1"/>
    <n v="1"/>
    <n v="-1"/>
    <n v="8"/>
    <n v="-8"/>
    <n v="1534.9671985433679"/>
    <n v="1511.4874077934146"/>
    <n v="0.67057941161994339"/>
    <n v="71"/>
    <n v="68"/>
    <n v="0"/>
    <n v="3"/>
    <n v="1"/>
    <n v="0.28461461149677181"/>
    <n v="1"/>
    <n v="71.95"/>
    <n v="71.95"/>
    <n v="6.7458818245805601"/>
    <n v="1541.7130803679484"/>
    <n v="1"/>
    <n v="0"/>
    <n v="0"/>
    <n v="0"/>
    <n v="0"/>
    <n v="0"/>
    <n v="0"/>
    <n v="0"/>
    <n v="0"/>
    <n v="0"/>
  </r>
  <r>
    <d v="2005-08-10T00:00:00"/>
    <n v="2005"/>
    <x v="26"/>
    <s v="R"/>
    <s v="RS"/>
    <x v="8"/>
    <s v="NYL"/>
    <s v="A"/>
    <n v="0"/>
    <n v="2"/>
    <n v="-2"/>
    <n v="2"/>
    <n v="-16"/>
    <n v="16"/>
    <n v="1489.5521273046611"/>
    <n v="1529.0507176671588"/>
    <n v="0.29005399132787479"/>
    <n v="69"/>
    <n v="74"/>
    <n v="0"/>
    <n v="-5"/>
    <n v="0"/>
    <n v="0.32118404462006589"/>
    <n v="1"/>
    <n v="71.95"/>
    <n v="71.95"/>
    <n v="-6.7029133789827409"/>
    <n v="1482.8492139256784"/>
    <n v="0"/>
    <n v="1"/>
    <n v="0"/>
    <n v="0"/>
    <n v="0"/>
    <n v="0"/>
    <n v="0"/>
    <n v="0"/>
    <n v="0"/>
    <n v="0"/>
  </r>
  <r>
    <d v="2005-08-10T00:00:00"/>
    <n v="2005"/>
    <x v="26"/>
    <s v="R"/>
    <s v="RS"/>
    <x v="12"/>
    <s v="LAS"/>
    <s v="H"/>
    <n v="2"/>
    <n v="0"/>
    <n v="2"/>
    <n v="-2"/>
    <n v="16"/>
    <n v="-16"/>
    <n v="1529.0507176671588"/>
    <n v="1489.5521273046611"/>
    <n v="0.70994600867212532"/>
    <n v="74"/>
    <n v="69"/>
    <n v="0"/>
    <n v="5"/>
    <n v="1"/>
    <n v="0.32118404462006589"/>
    <n v="1"/>
    <n v="71.95"/>
    <n v="71.95"/>
    <n v="6.7029133789827391"/>
    <n v="1535.7536310461414"/>
    <n v="1"/>
    <n v="0"/>
    <n v="0"/>
    <n v="0"/>
    <n v="0"/>
    <n v="0"/>
    <n v="0"/>
    <n v="0"/>
    <n v="0"/>
    <n v="0"/>
  </r>
  <r>
    <d v="2005-08-11T00:00:00"/>
    <n v="2005"/>
    <x v="27"/>
    <s v="R"/>
    <s v="RS"/>
    <x v="10"/>
    <s v="DET"/>
    <s v="A"/>
    <n v="1"/>
    <n v="1"/>
    <n v="0"/>
    <n v="0"/>
    <n v="0"/>
    <n v="0"/>
    <n v="1471.0804815827876"/>
    <n v="1478.0522743995743"/>
    <n v="0.37199312637452625"/>
    <n v="66"/>
    <n v="72"/>
    <n v="1"/>
    <n v="-6"/>
    <n v="0"/>
    <n v="0.31432650227299869"/>
    <n v="1"/>
    <n v="71.8"/>
    <n v="71.8"/>
    <n v="-8.3953800167123926"/>
    <n v="1462.6851015660752"/>
    <n v="0"/>
    <n v="1"/>
    <n v="0"/>
    <n v="0"/>
    <n v="0"/>
    <n v="0"/>
    <n v="0"/>
    <n v="0"/>
    <n v="0"/>
    <n v="0"/>
  </r>
  <r>
    <d v="2005-08-11T00:00:00"/>
    <n v="2005"/>
    <x v="26"/>
    <s v="R"/>
    <s v="RS"/>
    <x v="3"/>
    <s v="MIN"/>
    <s v="H"/>
    <n v="1"/>
    <n v="1"/>
    <n v="0"/>
    <n v="0"/>
    <n v="0"/>
    <n v="0"/>
    <n v="1478.0522743995743"/>
    <n v="1471.0804815827876"/>
    <n v="0.6280068736254738"/>
    <n v="72"/>
    <n v="66"/>
    <n v="1"/>
    <n v="6"/>
    <n v="1"/>
    <n v="0.31432650227299869"/>
    <n v="1"/>
    <n v="71.95"/>
    <n v="71.95"/>
    <n v="8.4129191114548281"/>
    <n v="1486.4651935110292"/>
    <n v="1"/>
    <n v="0"/>
    <n v="0"/>
    <n v="0"/>
    <n v="0"/>
    <n v="0"/>
    <n v="0"/>
    <n v="0"/>
    <n v="0"/>
    <n v="0"/>
  </r>
  <r>
    <d v="2005-08-11T00:00:00"/>
    <n v="2005"/>
    <x v="26"/>
    <s v="R"/>
    <s v="RS"/>
    <x v="11"/>
    <s v="SAS"/>
    <s v="A"/>
    <n v="3"/>
    <n v="1"/>
    <n v="2"/>
    <n v="-2"/>
    <n v="16"/>
    <n v="-16"/>
    <n v="1508.8200487493673"/>
    <n v="1357.02182585234"/>
    <n v="0.63979736268114684"/>
    <n v="57"/>
    <n v="50"/>
    <n v="0"/>
    <n v="7"/>
    <n v="1"/>
    <n v="0.32854652377984028"/>
    <n v="1"/>
    <n v="71.95"/>
    <n v="71.95"/>
    <n v="8.5148021867982919"/>
    <n v="1517.3348509361656"/>
    <n v="1"/>
    <n v="0"/>
    <n v="0"/>
    <n v="0"/>
    <n v="0"/>
    <n v="0"/>
    <n v="0"/>
    <n v="0"/>
    <n v="0"/>
    <n v="0"/>
  </r>
  <r>
    <d v="2005-08-11T00:00:00"/>
    <n v="2005"/>
    <x v="28"/>
    <s v="R"/>
    <s v="RS"/>
    <x v="7"/>
    <s v="IND"/>
    <s v="H"/>
    <n v="1"/>
    <n v="3"/>
    <n v="-2"/>
    <n v="2"/>
    <n v="-16"/>
    <n v="16"/>
    <n v="1357.02182585234"/>
    <n v="1508.8200487493673"/>
    <n v="0.36020263731885316"/>
    <n v="50"/>
    <n v="57"/>
    <n v="0"/>
    <n v="-7"/>
    <n v="0"/>
    <n v="0.32854652377984028"/>
    <n v="1"/>
    <n v="71.650000000000006"/>
    <n v="71.650000000000006"/>
    <n v="-8.4792991894940606"/>
    <n v="1348.5425266628461"/>
    <n v="0"/>
    <n v="1"/>
    <n v="0"/>
    <n v="0"/>
    <n v="0"/>
    <n v="0"/>
    <n v="0"/>
    <n v="0"/>
    <n v="0"/>
    <n v="0"/>
  </r>
  <r>
    <d v="2005-08-11T00:00:00"/>
    <n v="2005"/>
    <x v="27"/>
    <s v="R"/>
    <s v="RS"/>
    <x v="2"/>
    <s v="WAS"/>
    <s v="A"/>
    <n v="1"/>
    <n v="3"/>
    <n v="-2"/>
    <n v="2"/>
    <n v="-16"/>
    <n v="16"/>
    <n v="1656.3951132350346"/>
    <n v="1500.1540354532281"/>
    <n v="0.55765398704172164"/>
    <n v="80"/>
    <n v="65"/>
    <n v="0"/>
    <n v="15"/>
    <n v="1"/>
    <n v="0.44491915452187375"/>
    <n v="1"/>
    <n v="71.8"/>
    <n v="71.8"/>
    <n v="14.130829771771065"/>
    <n v="1670.5259430068056"/>
    <n v="1"/>
    <n v="0"/>
    <n v="0"/>
    <n v="0"/>
    <n v="0"/>
    <n v="0"/>
    <n v="0"/>
    <n v="0"/>
    <n v="0"/>
    <n v="0"/>
  </r>
  <r>
    <d v="2005-08-11T00:00:00"/>
    <n v="2005"/>
    <x v="26"/>
    <s v="R"/>
    <s v="RS"/>
    <x v="0"/>
    <s v="CON"/>
    <s v="H"/>
    <n v="3"/>
    <n v="1"/>
    <n v="2"/>
    <n v="-2"/>
    <n v="16"/>
    <n v="-16"/>
    <n v="1500.1540354532281"/>
    <n v="1656.3951132350346"/>
    <n v="0.44234601295827841"/>
    <n v="65"/>
    <n v="80"/>
    <n v="0"/>
    <n v="-15"/>
    <n v="0"/>
    <n v="0.44491915452187375"/>
    <n v="1"/>
    <n v="71.95"/>
    <n v="71.95"/>
    <n v="-14.160351003884795"/>
    <n v="1485.9936844493432"/>
    <n v="0"/>
    <n v="1"/>
    <n v="0"/>
    <n v="0"/>
    <n v="0"/>
    <n v="0"/>
    <n v="0"/>
    <n v="0"/>
    <n v="0"/>
    <n v="0"/>
  </r>
  <r>
    <d v="2005-08-12T00:00:00"/>
    <n v="2005"/>
    <x v="27"/>
    <s v="R"/>
    <s v="RS"/>
    <x v="12"/>
    <s v="CHA"/>
    <s v="A"/>
    <n v="1"/>
    <n v="2"/>
    <n v="-1"/>
    <n v="1"/>
    <n v="-8"/>
    <n v="8"/>
    <n v="1535.7536310461414"/>
    <n v="1318.4630067604699"/>
    <n v="0.6626618762422849"/>
    <n v="82"/>
    <n v="74"/>
    <n v="1"/>
    <n v="8"/>
    <n v="1"/>
    <n v="0.29590316242627934"/>
    <n v="1"/>
    <n v="71.8"/>
    <n v="71.8"/>
    <n v="7.167034185608224"/>
    <n v="1542.9206652317496"/>
    <n v="1"/>
    <n v="0"/>
    <n v="0"/>
    <n v="0"/>
    <n v="0"/>
    <n v="0"/>
    <n v="0"/>
    <n v="0"/>
    <n v="0"/>
    <n v="0"/>
  </r>
  <r>
    <d v="2005-08-12T00:00:00"/>
    <n v="2005"/>
    <x v="27"/>
    <s v="R"/>
    <s v="RS"/>
    <x v="1"/>
    <s v="NYL"/>
    <s v="H"/>
    <n v="2"/>
    <n v="1"/>
    <n v="1"/>
    <n v="-1"/>
    <n v="8"/>
    <n v="-8"/>
    <n v="1318.4630067604699"/>
    <n v="1535.7536310461414"/>
    <n v="0.3373381237577151"/>
    <n v="74"/>
    <n v="82"/>
    <n v="1"/>
    <n v="-8"/>
    <n v="0"/>
    <n v="0.29590316242627934"/>
    <n v="1"/>
    <n v="71.8"/>
    <n v="71.8"/>
    <n v="-7.167034185608224"/>
    <n v="1311.2959725748617"/>
    <n v="0"/>
    <n v="1"/>
    <n v="0"/>
    <n v="0"/>
    <n v="0"/>
    <n v="0"/>
    <n v="0"/>
    <n v="0"/>
    <n v="0"/>
    <n v="0"/>
  </r>
  <r>
    <d v="2005-08-12T00:00:00"/>
    <n v="2005"/>
    <x v="27"/>
    <s v="R"/>
    <s v="RS"/>
    <x v="9"/>
    <s v="MIN"/>
    <s v="A"/>
    <n v="2"/>
    <n v="0"/>
    <n v="2"/>
    <n v="-2"/>
    <n v="16"/>
    <n v="-16"/>
    <n v="1541.7130803679484"/>
    <n v="1462.6851015660752"/>
    <n v="0.53881811434887006"/>
    <n v="72"/>
    <n v="66"/>
    <n v="0"/>
    <n v="6"/>
    <n v="1"/>
    <n v="0.32957599074889971"/>
    <n v="1"/>
    <n v="71.8"/>
    <n v="71.8"/>
    <n v="10.913203439906235"/>
    <n v="1552.6262838078546"/>
    <n v="1"/>
    <n v="0"/>
    <n v="0"/>
    <n v="0"/>
    <n v="0"/>
    <n v="0"/>
    <n v="0"/>
    <n v="0"/>
    <n v="0"/>
    <n v="0"/>
  </r>
  <r>
    <d v="2005-08-12T00:00:00"/>
    <n v="2005"/>
    <x v="28"/>
    <s v="R"/>
    <s v="RS"/>
    <x v="10"/>
    <s v="SEA"/>
    <s v="H"/>
    <n v="0"/>
    <n v="2"/>
    <n v="-2"/>
    <n v="2"/>
    <n v="-16"/>
    <n v="16"/>
    <n v="1462.6851015660752"/>
    <n v="1541.7130803679484"/>
    <n v="0.46118188565112994"/>
    <n v="66"/>
    <n v="72"/>
    <n v="0"/>
    <n v="-6"/>
    <n v="0"/>
    <n v="0.32957599074889971"/>
    <n v="1"/>
    <n v="71.650000000000006"/>
    <n v="71.650000000000006"/>
    <n v="-10.890404268374398"/>
    <n v="1451.7946972977008"/>
    <n v="0"/>
    <n v="1"/>
    <n v="0"/>
    <n v="0"/>
    <n v="0"/>
    <n v="0"/>
    <n v="0"/>
    <n v="0"/>
    <n v="0"/>
    <n v="0"/>
  </r>
  <r>
    <d v="2005-08-12T00:00:00"/>
    <n v="2005"/>
    <x v="27"/>
    <s v="R"/>
    <s v="RS"/>
    <x v="4"/>
    <s v="PHX"/>
    <s v="A"/>
    <n v="4"/>
    <n v="6"/>
    <n v="-2"/>
    <n v="2"/>
    <n v="-16"/>
    <n v="16"/>
    <n v="1639.6058798655513"/>
    <n v="1515.2686715598206"/>
    <n v="0.51199590478903101"/>
    <n v="62"/>
    <n v="76"/>
    <n v="0"/>
    <n v="-14"/>
    <n v="0"/>
    <n v="0.44182835049201535"/>
    <n v="1"/>
    <n v="71.8"/>
    <n v="71.8"/>
    <n v="-16.242187175941204"/>
    <n v="1623.3636926896102"/>
    <n v="0"/>
    <n v="1"/>
    <n v="0"/>
    <n v="0"/>
    <n v="0"/>
    <n v="0"/>
    <n v="0"/>
    <n v="0"/>
    <n v="0"/>
    <n v="0"/>
  </r>
  <r>
    <d v="2005-08-12T00:00:00"/>
    <n v="2005"/>
    <x v="25"/>
    <s v="R"/>
    <s v="RS"/>
    <x v="5"/>
    <s v="SAC"/>
    <s v="H"/>
    <n v="6"/>
    <n v="4"/>
    <n v="2"/>
    <n v="-2"/>
    <n v="16"/>
    <n v="-16"/>
    <n v="1515.2686715598206"/>
    <n v="1639.6058798655513"/>
    <n v="0.48800409521096905"/>
    <n v="76"/>
    <n v="62"/>
    <n v="0"/>
    <n v="14"/>
    <n v="1"/>
    <n v="0.44182835049201535"/>
    <n v="1"/>
    <n v="72.099999999999994"/>
    <n v="72.099999999999994"/>
    <n v="16.310051467762683"/>
    <n v="1531.5787230275832"/>
    <n v="1"/>
    <n v="0"/>
    <n v="0"/>
    <n v="0"/>
    <n v="0"/>
    <n v="0"/>
    <n v="0"/>
    <n v="0"/>
    <n v="0"/>
    <n v="0"/>
  </r>
  <r>
    <d v="2005-08-13T00:00:00"/>
    <n v="2005"/>
    <x v="27"/>
    <s v="R"/>
    <s v="RS"/>
    <x v="11"/>
    <s v="LAS"/>
    <s v="A"/>
    <n v="1"/>
    <n v="2"/>
    <n v="-1"/>
    <n v="1"/>
    <n v="-8"/>
    <n v="8"/>
    <n v="1517.3348509361656"/>
    <n v="1482.8492139256784"/>
    <n v="0.40681905357433573"/>
    <n v="59"/>
    <n v="69"/>
    <n v="0"/>
    <n v="-10"/>
    <n v="0"/>
    <n v="0.41130947495537956"/>
    <n v="1"/>
    <n v="71.8"/>
    <n v="71.8"/>
    <n v="-12.01418854931482"/>
    <n v="1505.3206623868507"/>
    <n v="0"/>
    <n v="1"/>
    <n v="0"/>
    <n v="0"/>
    <n v="0"/>
    <n v="0"/>
    <n v="0"/>
    <n v="0"/>
    <n v="0"/>
    <n v="0"/>
  </r>
  <r>
    <d v="2005-08-13T00:00:00"/>
    <n v="2005"/>
    <x v="27"/>
    <s v="R"/>
    <s v="RS"/>
    <x v="8"/>
    <s v="IND"/>
    <s v="H"/>
    <n v="2"/>
    <n v="1"/>
    <n v="1"/>
    <n v="-1"/>
    <n v="8"/>
    <n v="-8"/>
    <n v="1482.8492139256784"/>
    <n v="1517.3348509361656"/>
    <n v="0.59318094642566421"/>
    <n v="69"/>
    <n v="59"/>
    <n v="0"/>
    <n v="10"/>
    <n v="1"/>
    <n v="0.41130947495537956"/>
    <n v="1"/>
    <n v="71.8"/>
    <n v="71.8"/>
    <n v="12.014188549314822"/>
    <n v="1494.8634024749933"/>
    <n v="1"/>
    <n v="0"/>
    <n v="0"/>
    <n v="0"/>
    <n v="0"/>
    <n v="0"/>
    <n v="0"/>
    <n v="0"/>
    <n v="0"/>
    <n v="0"/>
  </r>
  <r>
    <d v="2005-08-13T00:00:00"/>
    <n v="2005"/>
    <x v="27"/>
    <s v="R"/>
    <s v="RS"/>
    <x v="3"/>
    <s v="SAS"/>
    <s v="A"/>
    <n v="1"/>
    <n v="1"/>
    <n v="0"/>
    <n v="0"/>
    <n v="0"/>
    <n v="0"/>
    <n v="1486.4651935110292"/>
    <n v="1348.5425266628461"/>
    <n v="0.57698382647601743"/>
    <n v="60"/>
    <n v="59"/>
    <n v="0"/>
    <n v="1"/>
    <n v="1"/>
    <n v="0.21900787872039335"/>
    <n v="1"/>
    <n v="71.8"/>
    <n v="71.8"/>
    <n v="6.6518302126435964"/>
    <n v="1493.1170237236727"/>
    <n v="1"/>
    <n v="0"/>
    <n v="0"/>
    <n v="0"/>
    <n v="0"/>
    <n v="0"/>
    <n v="0"/>
    <n v="0"/>
    <n v="0"/>
    <n v="0"/>
  </r>
  <r>
    <d v="2005-08-13T00:00:00"/>
    <n v="2005"/>
    <x v="29"/>
    <s v="R"/>
    <s v="RS"/>
    <x v="7"/>
    <s v="DET"/>
    <s v="H"/>
    <n v="1"/>
    <n v="1"/>
    <n v="0"/>
    <n v="0"/>
    <n v="0"/>
    <n v="0"/>
    <n v="1348.5425266628461"/>
    <n v="1486.4651935110292"/>
    <n v="0.42301617352398257"/>
    <n v="59"/>
    <n v="60"/>
    <n v="0"/>
    <n v="-1"/>
    <n v="0"/>
    <n v="0.21900787872039335"/>
    <n v="1"/>
    <n v="71.5"/>
    <n v="71.5"/>
    <n v="-6.6240370501952244"/>
    <n v="1341.9184896126508"/>
    <n v="0"/>
    <n v="1"/>
    <n v="0"/>
    <n v="0"/>
    <n v="0"/>
    <n v="0"/>
    <n v="0"/>
    <n v="0"/>
    <n v="0"/>
    <n v="0"/>
  </r>
  <r>
    <d v="2005-08-14T00:00:00"/>
    <n v="2005"/>
    <x v="27"/>
    <s v="R"/>
    <s v="RS"/>
    <x v="0"/>
    <s v="CON"/>
    <s v="A"/>
    <n v="2"/>
    <n v="2"/>
    <n v="0"/>
    <n v="0"/>
    <n v="0"/>
    <n v="0"/>
    <n v="1485.9936844493432"/>
    <n v="1670.5259430068056"/>
    <n v="0.17569429484310692"/>
    <n v="77"/>
    <n v="80"/>
    <n v="0"/>
    <n v="-3"/>
    <n v="0"/>
    <n v="0.25150748432633752"/>
    <n v="1"/>
    <n v="71.8"/>
    <n v="71.8"/>
    <n v="-3.1727292816452377"/>
    <n v="1482.820955167698"/>
    <n v="0"/>
    <n v="1"/>
    <n v="0"/>
    <n v="0"/>
    <n v="0"/>
    <n v="0"/>
    <n v="0"/>
    <n v="0"/>
    <n v="0"/>
    <n v="0"/>
  </r>
  <r>
    <d v="2005-08-14T00:00:00"/>
    <n v="2005"/>
    <x v="28"/>
    <s v="R"/>
    <s v="RS"/>
    <x v="2"/>
    <s v="WAS"/>
    <s v="H"/>
    <n v="2"/>
    <n v="2"/>
    <n v="0"/>
    <n v="0"/>
    <n v="0"/>
    <n v="0"/>
    <n v="1670.5259430068056"/>
    <n v="1485.9936844493432"/>
    <n v="0.82430570515689316"/>
    <n v="80"/>
    <n v="77"/>
    <n v="0"/>
    <n v="3"/>
    <n v="1"/>
    <n v="0.25150748432633752"/>
    <n v="1"/>
    <n v="71.650000000000006"/>
    <n v="71.650000000000006"/>
    <n v="3.1661010171292649"/>
    <n v="1673.6920440239348"/>
    <n v="1"/>
    <n v="0"/>
    <n v="0"/>
    <n v="0"/>
    <n v="0"/>
    <n v="0"/>
    <n v="0"/>
    <n v="0"/>
    <n v="0"/>
    <n v="0"/>
  </r>
  <r>
    <d v="2005-08-14T00:00:00"/>
    <n v="2005"/>
    <x v="28"/>
    <s v="R"/>
    <s v="RS"/>
    <x v="9"/>
    <s v="HOU"/>
    <s v="A"/>
    <n v="1"/>
    <n v="4"/>
    <n v="-3"/>
    <n v="3"/>
    <n v="-16"/>
    <n v="16"/>
    <n v="1552.6262838078546"/>
    <n v="1504.7555896557512"/>
    <n v="0.40319170360177758"/>
    <n v="72"/>
    <n v="75"/>
    <n v="0"/>
    <n v="-3"/>
    <n v="0"/>
    <n v="0.27905152909697628"/>
    <n v="1"/>
    <n v="71.650000000000006"/>
    <n v="71.650000000000006"/>
    <n v="-8.061431879975693"/>
    <n v="1544.5648519278789"/>
    <n v="0"/>
    <n v="1"/>
    <n v="0"/>
    <n v="0"/>
    <n v="0"/>
    <n v="0"/>
    <n v="0"/>
    <n v="0"/>
    <n v="0"/>
    <n v="0"/>
  </r>
  <r>
    <d v="2005-08-14T00:00:00"/>
    <n v="2005"/>
    <x v="28"/>
    <s v="R"/>
    <s v="RS"/>
    <x v="6"/>
    <s v="SEA"/>
    <s v="H"/>
    <n v="4"/>
    <n v="1"/>
    <n v="3"/>
    <n v="-3"/>
    <n v="16"/>
    <n v="-16"/>
    <n v="1504.7555896557512"/>
    <n v="1552.6262838078546"/>
    <n v="0.59680829639822242"/>
    <n v="75"/>
    <n v="72"/>
    <n v="0"/>
    <n v="3"/>
    <n v="1"/>
    <n v="0.27905152909697628"/>
    <n v="1"/>
    <n v="71.650000000000006"/>
    <n v="71.650000000000006"/>
    <n v="8.061431879975693"/>
    <n v="1512.817021535727"/>
    <n v="1"/>
    <n v="0"/>
    <n v="0"/>
    <n v="0"/>
    <n v="0"/>
    <n v="0"/>
    <n v="0"/>
    <n v="0"/>
    <n v="0"/>
    <n v="0"/>
  </r>
  <r>
    <d v="2005-08-14T00:00:00"/>
    <n v="2005"/>
    <x v="28"/>
    <s v="R"/>
    <s v="RS"/>
    <x v="1"/>
    <s v="NYL"/>
    <s v="A"/>
    <n v="1"/>
    <n v="1"/>
    <n v="0"/>
    <n v="0"/>
    <n v="0"/>
    <n v="0"/>
    <n v="1311.2959725748617"/>
    <n v="1542.9206652317496"/>
    <n v="0.13980845538885334"/>
    <n v="65"/>
    <n v="73"/>
    <n v="0"/>
    <n v="-8"/>
    <n v="0"/>
    <n v="0.32548938586608039"/>
    <n v="1"/>
    <n v="71.650000000000006"/>
    <n v="71.650000000000006"/>
    <n v="-3.2605169575058373"/>
    <n v="1308.0354556173559"/>
    <n v="0"/>
    <n v="1"/>
    <n v="0"/>
    <n v="0"/>
    <n v="0"/>
    <n v="0"/>
    <n v="0"/>
    <n v="0"/>
    <n v="0"/>
    <n v="0"/>
  </r>
  <r>
    <d v="2005-08-14T00:00:00"/>
    <n v="2005"/>
    <x v="28"/>
    <s v="R"/>
    <s v="RS"/>
    <x v="12"/>
    <s v="CHA"/>
    <s v="H"/>
    <n v="1"/>
    <n v="1"/>
    <n v="0"/>
    <n v="0"/>
    <n v="0"/>
    <n v="0"/>
    <n v="1542.9206652317496"/>
    <n v="1311.2959725748617"/>
    <n v="0.86019154461114677"/>
    <n v="73"/>
    <n v="65"/>
    <n v="0"/>
    <n v="8"/>
    <n v="1"/>
    <n v="0.32548938586608039"/>
    <n v="1"/>
    <n v="71.650000000000006"/>
    <n v="71.650000000000006"/>
    <n v="3.260516957505835"/>
    <n v="1546.1811821892554"/>
    <n v="1"/>
    <n v="0"/>
    <n v="0"/>
    <n v="0"/>
    <n v="0"/>
    <n v="0"/>
    <n v="0"/>
    <n v="0"/>
    <n v="0"/>
    <n v="0"/>
  </r>
  <r>
    <d v="2005-08-14T00:00:00"/>
    <n v="2005"/>
    <x v="28"/>
    <s v="R"/>
    <s v="RS"/>
    <x v="11"/>
    <s v="PHX"/>
    <s v="A"/>
    <n v="0"/>
    <n v="1"/>
    <n v="-1"/>
    <n v="1"/>
    <n v="-8"/>
    <n v="8"/>
    <n v="1505.3206623868507"/>
    <n v="1531.5787230275832"/>
    <n v="0.32589737719369494"/>
    <n v="62"/>
    <n v="56"/>
    <n v="0"/>
    <n v="6"/>
    <n v="1"/>
    <n v="0.34375872978068955"/>
    <n v="1"/>
    <n v="71.650000000000006"/>
    <n v="71.650000000000006"/>
    <n v="16.603358586281121"/>
    <n v="1521.9240209731317"/>
    <n v="1"/>
    <n v="0"/>
    <n v="0"/>
    <n v="0"/>
    <n v="0"/>
    <n v="0"/>
    <n v="0"/>
    <n v="0"/>
    <n v="0"/>
    <n v="0"/>
  </r>
  <r>
    <d v="2005-08-14T00:00:00"/>
    <n v="2005"/>
    <x v="26"/>
    <s v="R"/>
    <s v="RS"/>
    <x v="5"/>
    <s v="IND"/>
    <s v="H"/>
    <n v="1"/>
    <n v="0"/>
    <n v="1"/>
    <n v="-1"/>
    <n v="8"/>
    <n v="-8"/>
    <n v="1531.5787230275832"/>
    <n v="1505.3206623868507"/>
    <n v="0.67410262280630506"/>
    <n v="56"/>
    <n v="62"/>
    <n v="0"/>
    <n v="-6"/>
    <n v="0"/>
    <n v="0.34375872978068955"/>
    <n v="1"/>
    <n v="71.95"/>
    <n v="71.95"/>
    <n v="-16.672877184688438"/>
    <n v="1514.9058458428949"/>
    <n v="0"/>
    <n v="1"/>
    <n v="0"/>
    <n v="0"/>
    <n v="0"/>
    <n v="0"/>
    <n v="0"/>
    <n v="0"/>
    <n v="0"/>
    <n v="0"/>
  </r>
  <r>
    <d v="2005-08-16T00:00:00"/>
    <n v="2005"/>
    <x v="28"/>
    <s v="R"/>
    <s v="RS"/>
    <x v="4"/>
    <s v="LAS"/>
    <s v="A"/>
    <n v="3"/>
    <n v="2"/>
    <n v="1"/>
    <n v="-1"/>
    <n v="8"/>
    <n v="-8"/>
    <n v="1623.3636926896102"/>
    <n v="1494.8634024749933"/>
    <n v="0.58619742947823117"/>
    <n v="72"/>
    <n v="63"/>
    <n v="0"/>
    <n v="9"/>
    <n v="1"/>
    <n v="0.3667035951478721"/>
    <n v="1"/>
    <n v="71.650000000000006"/>
    <n v="71.650000000000006"/>
    <n v="10.872378089404856"/>
    <n v="1634.2360707790151"/>
    <n v="1"/>
    <n v="0"/>
    <n v="0"/>
    <n v="0"/>
    <n v="0"/>
    <n v="0"/>
    <n v="0"/>
    <n v="0"/>
    <n v="0"/>
    <n v="0"/>
  </r>
  <r>
    <d v="2005-08-16T00:00:00"/>
    <n v="2005"/>
    <x v="28"/>
    <s v="R"/>
    <s v="RS"/>
    <x v="8"/>
    <s v="SAC"/>
    <s v="H"/>
    <n v="2"/>
    <n v="3"/>
    <n v="-1"/>
    <n v="1"/>
    <n v="-8"/>
    <n v="8"/>
    <n v="1494.8634024749933"/>
    <n v="1623.3636926896102"/>
    <n v="0.41380257052176883"/>
    <n v="63"/>
    <n v="72"/>
    <n v="0"/>
    <n v="-9"/>
    <n v="0"/>
    <n v="0.3667035951478721"/>
    <n v="1"/>
    <n v="71.650000000000006"/>
    <n v="71.650000000000006"/>
    <n v="-10.872378089404856"/>
    <n v="1483.9910243855884"/>
    <n v="0"/>
    <n v="1"/>
    <n v="0"/>
    <n v="0"/>
    <n v="0"/>
    <n v="0"/>
    <n v="0"/>
    <n v="0"/>
    <n v="0"/>
    <n v="0"/>
  </r>
  <r>
    <d v="2005-08-16T00:00:00"/>
    <n v="2005"/>
    <x v="29"/>
    <s v="R"/>
    <s v="RS"/>
    <x v="6"/>
    <s v="MIN"/>
    <s v="A"/>
    <n v="1"/>
    <n v="3"/>
    <n v="-2"/>
    <n v="2"/>
    <n v="-16"/>
    <n v="16"/>
    <n v="1512.817021535727"/>
    <n v="1451.7946972977008"/>
    <n v="0.42153458329549992"/>
    <n v="62"/>
    <n v="73"/>
    <n v="0"/>
    <n v="-11"/>
    <n v="0"/>
    <n v="0.41855180052270941"/>
    <n v="1"/>
    <n v="71.5"/>
    <n v="71.5"/>
    <n v="-12.615035205695889"/>
    <n v="1500.2019863300311"/>
    <n v="0"/>
    <n v="1"/>
    <n v="0"/>
    <n v="0"/>
    <n v="0"/>
    <n v="0"/>
    <n v="0"/>
    <n v="0"/>
    <n v="0"/>
    <n v="0"/>
  </r>
  <r>
    <d v="2005-08-16T00:00:00"/>
    <n v="2005"/>
    <x v="29"/>
    <s v="R"/>
    <s v="RS"/>
    <x v="10"/>
    <s v="HOU"/>
    <s v="H"/>
    <n v="3"/>
    <n v="1"/>
    <n v="2"/>
    <n v="-2"/>
    <n v="16"/>
    <n v="-16"/>
    <n v="1451.7946972977008"/>
    <n v="1512.817021535727"/>
    <n v="0.57846541670450013"/>
    <n v="73"/>
    <n v="62"/>
    <n v="0"/>
    <n v="11"/>
    <n v="1"/>
    <n v="0.41855180052270941"/>
    <n v="1"/>
    <n v="71.5"/>
    <n v="71.5"/>
    <n v="12.615035205695888"/>
    <n v="1464.4097325033968"/>
    <n v="1"/>
    <n v="0"/>
    <n v="0"/>
    <n v="0"/>
    <n v="0"/>
    <n v="0"/>
    <n v="0"/>
    <n v="0"/>
    <n v="0"/>
    <n v="0"/>
  </r>
  <r>
    <d v="2005-08-16T00:00:00"/>
    <n v="2005"/>
    <x v="28"/>
    <s v="R"/>
    <s v="RS"/>
    <x v="0"/>
    <s v="NYL"/>
    <s v="A"/>
    <n v="1"/>
    <n v="1"/>
    <n v="0"/>
    <n v="0"/>
    <n v="0"/>
    <n v="0"/>
    <n v="1482.820955167698"/>
    <n v="1546.1811821892554"/>
    <n v="0.29979512311009682"/>
    <n v="66"/>
    <n v="72"/>
    <n v="0"/>
    <n v="-6"/>
    <n v="0"/>
    <n v="0.33366327694436521"/>
    <n v="1"/>
    <n v="71.650000000000006"/>
    <n v="71.650000000000006"/>
    <n v="-7.1671941514814108"/>
    <n v="1475.6537610162165"/>
    <n v="0"/>
    <n v="1"/>
    <n v="0"/>
    <n v="0"/>
    <n v="0"/>
    <n v="0"/>
    <n v="0"/>
    <n v="0"/>
    <n v="0"/>
    <n v="0"/>
  </r>
  <r>
    <d v="2005-08-16T00:00:00"/>
    <n v="2005"/>
    <x v="29"/>
    <s v="R"/>
    <s v="RS"/>
    <x v="12"/>
    <s v="WAS"/>
    <s v="H"/>
    <n v="1"/>
    <n v="1"/>
    <n v="0"/>
    <n v="0"/>
    <n v="0"/>
    <n v="0"/>
    <n v="1546.1811821892554"/>
    <n v="1482.820955167698"/>
    <n v="0.70020487688990307"/>
    <n v="72"/>
    <n v="66"/>
    <n v="0"/>
    <n v="6"/>
    <n v="1"/>
    <n v="0.33366327694436521"/>
    <n v="1"/>
    <n v="71.5"/>
    <n v="71.5"/>
    <n v="7.1521895580030854"/>
    <n v="1553.3333717472585"/>
    <n v="1"/>
    <n v="0"/>
    <n v="0"/>
    <n v="0"/>
    <n v="0"/>
    <n v="0"/>
    <n v="0"/>
    <n v="0"/>
    <n v="0"/>
    <n v="0"/>
  </r>
  <r>
    <d v="2005-08-16T00:00:00"/>
    <n v="2005"/>
    <x v="28"/>
    <s v="R"/>
    <s v="RS"/>
    <x v="3"/>
    <s v="PHX"/>
    <s v="A"/>
    <n v="2"/>
    <n v="1"/>
    <n v="1"/>
    <n v="-1"/>
    <n v="8"/>
    <n v="-8"/>
    <n v="1493.1170237236727"/>
    <n v="1514.9058458428949"/>
    <n v="0.37358535729393394"/>
    <n v="51"/>
    <n v="58"/>
    <n v="0"/>
    <n v="-7"/>
    <n v="0"/>
    <n v="0.36350685072910738"/>
    <n v="1"/>
    <n v="71.650000000000006"/>
    <n v="71.650000000000006"/>
    <n v="-9.7301299501587444"/>
    <n v="1483.386893773514"/>
    <n v="0"/>
    <n v="1"/>
    <n v="0"/>
    <n v="0"/>
    <n v="0"/>
    <n v="0"/>
    <n v="0"/>
    <n v="0"/>
    <n v="0"/>
    <n v="0"/>
  </r>
  <r>
    <d v="2005-08-16T00:00:00"/>
    <n v="2005"/>
    <x v="27"/>
    <s v="R"/>
    <s v="RS"/>
    <x v="5"/>
    <s v="DET"/>
    <s v="H"/>
    <n v="1"/>
    <n v="2"/>
    <n v="-1"/>
    <n v="1"/>
    <n v="-8"/>
    <n v="8"/>
    <n v="1514.9058458428949"/>
    <n v="1493.1170237236727"/>
    <n v="0.62641464270606606"/>
    <n v="58"/>
    <n v="51"/>
    <n v="0"/>
    <n v="7"/>
    <n v="1"/>
    <n v="0.36350685072910738"/>
    <n v="1"/>
    <n v="71.8"/>
    <n v="71.8"/>
    <n v="9.7505000756650073"/>
    <n v="1524.65634591856"/>
    <n v="1"/>
    <n v="0"/>
    <n v="0"/>
    <n v="0"/>
    <n v="0"/>
    <n v="0"/>
    <n v="0"/>
    <n v="0"/>
    <n v="0"/>
    <n v="0"/>
  </r>
  <r>
    <d v="2005-08-18T00:00:00"/>
    <n v="2005"/>
    <x v="29"/>
    <s v="R"/>
    <s v="RS"/>
    <x v="1"/>
    <s v="CON"/>
    <s v="A"/>
    <n v="3"/>
    <n v="3"/>
    <n v="0"/>
    <n v="0"/>
    <n v="0"/>
    <n v="0"/>
    <n v="1308.0354556173559"/>
    <n v="1673.6920440239348"/>
    <n v="6.9886677495216834E-2"/>
    <n v="70"/>
    <n v="84"/>
    <n v="0"/>
    <n v="-14"/>
    <n v="0"/>
    <n v="0.37372801198788269"/>
    <n v="1"/>
    <n v="71.5"/>
    <n v="71.5"/>
    <n v="-1.8674805466978868"/>
    <n v="1306.167975070658"/>
    <n v="0"/>
    <n v="1"/>
    <n v="0"/>
    <n v="0"/>
    <n v="0"/>
    <n v="0"/>
    <n v="0"/>
    <n v="0"/>
    <n v="0"/>
    <n v="0"/>
  </r>
  <r>
    <d v="2005-08-18T00:00:00"/>
    <n v="2005"/>
    <x v="29"/>
    <s v="R"/>
    <s v="RS"/>
    <x v="2"/>
    <s v="CHA"/>
    <s v="H"/>
    <n v="3"/>
    <n v="3"/>
    <n v="0"/>
    <n v="0"/>
    <n v="0"/>
    <n v="0"/>
    <n v="1673.6920440239348"/>
    <n v="1308.0354556173559"/>
    <n v="0.93011332250478318"/>
    <n v="84"/>
    <n v="70"/>
    <n v="0"/>
    <n v="14"/>
    <n v="1"/>
    <n v="0.37372801198788269"/>
    <n v="1"/>
    <n v="71.5"/>
    <n v="71.5"/>
    <n v="1.8674805466978863"/>
    <n v="1675.5595245706327"/>
    <n v="1"/>
    <n v="0"/>
    <n v="0"/>
    <n v="0"/>
    <n v="0"/>
    <n v="0"/>
    <n v="0"/>
    <n v="0"/>
    <n v="0"/>
    <n v="0"/>
  </r>
  <r>
    <d v="2005-08-18T00:00:00"/>
    <n v="2005"/>
    <x v="28"/>
    <s v="R"/>
    <s v="RS"/>
    <x v="5"/>
    <s v="HOU"/>
    <s v="A"/>
    <n v="1"/>
    <n v="1"/>
    <n v="0"/>
    <n v="0"/>
    <n v="0"/>
    <n v="0"/>
    <n v="1524.65634591856"/>
    <n v="1500.2019863300311"/>
    <n v="0.41513621955574481"/>
    <n v="66"/>
    <n v="77"/>
    <n v="0"/>
    <n v="-11"/>
    <n v="0"/>
    <n v="0.4310517253468909"/>
    <n v="1"/>
    <n v="71.650000000000006"/>
    <n v="71.650000000000006"/>
    <n v="-12.821422411638524"/>
    <n v="1511.8349235069215"/>
    <n v="0"/>
    <n v="1"/>
    <n v="0"/>
    <n v="0"/>
    <n v="0"/>
    <n v="0"/>
    <n v="0"/>
    <n v="0"/>
    <n v="0"/>
    <n v="0"/>
  </r>
  <r>
    <d v="2005-08-18T00:00:00"/>
    <n v="2005"/>
    <x v="30"/>
    <s v="R"/>
    <s v="RS"/>
    <x v="6"/>
    <s v="PHX"/>
    <s v="H"/>
    <n v="1"/>
    <n v="1"/>
    <n v="0"/>
    <n v="0"/>
    <n v="0"/>
    <n v="0"/>
    <n v="1500.2019863300311"/>
    <n v="1524.65634591856"/>
    <n v="0.58486378044425513"/>
    <n v="77"/>
    <n v="66"/>
    <n v="0"/>
    <n v="11"/>
    <n v="1"/>
    <n v="0.4310517253468909"/>
    <n v="1"/>
    <n v="71.349999999999994"/>
    <n v="71.349999999999994"/>
    <n v="12.767738856530476"/>
    <n v="1512.9697251865616"/>
    <n v="1"/>
    <n v="0"/>
    <n v="0"/>
    <n v="0"/>
    <n v="0"/>
    <n v="0"/>
    <n v="0"/>
    <n v="0"/>
    <n v="0"/>
    <n v="0"/>
  </r>
  <r>
    <d v="2005-08-18T00:00:00"/>
    <n v="2005"/>
    <x v="29"/>
    <s v="R"/>
    <s v="RS"/>
    <x v="0"/>
    <s v="IND"/>
    <s v="A"/>
    <n v="1"/>
    <n v="3"/>
    <n v="-2"/>
    <n v="2"/>
    <n v="-16"/>
    <n v="16"/>
    <n v="1475.6537610162165"/>
    <n v="1521.9240209731317"/>
    <n v="0.28209310659653664"/>
    <n v="57"/>
    <n v="67"/>
    <n v="0"/>
    <n v="-10"/>
    <n v="0"/>
    <n v="0.40742016841218243"/>
    <n v="1"/>
    <n v="71.5"/>
    <n v="71.5"/>
    <n v="-8.2175251013195822"/>
    <n v="1467.436235914897"/>
    <n v="0"/>
    <n v="1"/>
    <n v="0"/>
    <n v="0"/>
    <n v="0"/>
    <n v="0"/>
    <n v="0"/>
    <n v="0"/>
    <n v="0"/>
    <n v="0"/>
  </r>
  <r>
    <d v="2005-08-18T00:00:00"/>
    <n v="2005"/>
    <x v="29"/>
    <s v="R"/>
    <s v="RS"/>
    <x v="11"/>
    <s v="WAS"/>
    <s v="H"/>
    <n v="3"/>
    <n v="1"/>
    <n v="2"/>
    <n v="-2"/>
    <n v="16"/>
    <n v="-16"/>
    <n v="1521.9240209731317"/>
    <n v="1475.6537610162165"/>
    <n v="0.71790689340346336"/>
    <n v="67"/>
    <n v="57"/>
    <n v="0"/>
    <n v="10"/>
    <n v="1"/>
    <n v="0.40742016841218243"/>
    <n v="1"/>
    <n v="71.5"/>
    <n v="71.5"/>
    <n v="8.2175251013195822"/>
    <n v="1530.1415460744513"/>
    <n v="1"/>
    <n v="0"/>
    <n v="0"/>
    <n v="0"/>
    <n v="0"/>
    <n v="0"/>
    <n v="0"/>
    <n v="0"/>
    <n v="0"/>
    <n v="0"/>
  </r>
  <r>
    <d v="2005-08-18T00:00:00"/>
    <n v="2005"/>
    <x v="30"/>
    <s v="R"/>
    <s v="RS"/>
    <x v="7"/>
    <s v="SAC"/>
    <s v="A"/>
    <n v="4"/>
    <n v="1"/>
    <n v="3"/>
    <n v="-3"/>
    <n v="16"/>
    <n v="-16"/>
    <n v="1341.9184896126508"/>
    <n v="1634.2360707790151"/>
    <n v="0.1211003353644985"/>
    <n v="57"/>
    <n v="64"/>
    <n v="0"/>
    <n v="-7"/>
    <n v="0"/>
    <n v="0.29760998100515734"/>
    <n v="1"/>
    <n v="71.349999999999994"/>
    <n v="71.349999999999994"/>
    <n v="-2.5715016980134484"/>
    <n v="1339.3469879146373"/>
    <n v="0"/>
    <n v="1"/>
    <n v="0"/>
    <n v="0"/>
    <n v="0"/>
    <n v="0"/>
    <n v="0"/>
    <n v="0"/>
    <n v="0"/>
    <n v="0"/>
  </r>
  <r>
    <d v="2005-08-18T00:00:00"/>
    <n v="2005"/>
    <x v="29"/>
    <s v="R"/>
    <s v="RS"/>
    <x v="4"/>
    <s v="SAS"/>
    <s v="H"/>
    <n v="1"/>
    <n v="4"/>
    <n v="-3"/>
    <n v="3"/>
    <n v="-16"/>
    <n v="16"/>
    <n v="1634.2360707790151"/>
    <n v="1341.9184896126508"/>
    <n v="0.87889966463550162"/>
    <n v="64"/>
    <n v="57"/>
    <n v="0"/>
    <n v="7"/>
    <n v="1"/>
    <n v="0.29760998100515734"/>
    <n v="1"/>
    <n v="71.5"/>
    <n v="71.5"/>
    <n v="2.5769077982895783"/>
    <n v="1636.8129785773046"/>
    <n v="1"/>
    <n v="0"/>
    <n v="0"/>
    <n v="0"/>
    <n v="0"/>
    <n v="0"/>
    <n v="0"/>
    <n v="0"/>
    <n v="0"/>
    <n v="0"/>
  </r>
  <r>
    <d v="2005-08-18T00:00:00"/>
    <n v="2005"/>
    <x v="30"/>
    <s v="R"/>
    <s v="RS"/>
    <x v="10"/>
    <s v="SEA"/>
    <s v="A"/>
    <n v="1"/>
    <n v="3"/>
    <n v="-2"/>
    <n v="2"/>
    <n v="-16"/>
    <n v="16"/>
    <n v="1464.4097325033968"/>
    <n v="1544.5648519278789"/>
    <n v="0.24431622067601283"/>
    <n v="60"/>
    <n v="76"/>
    <n v="0"/>
    <n v="-16"/>
    <n v="0"/>
    <n v="0.48536558523892859"/>
    <n v="1"/>
    <n v="71.349999999999994"/>
    <n v="71.349999999999994"/>
    <n v="-8.4608746055572315"/>
    <n v="1455.9488578978396"/>
    <n v="0"/>
    <n v="1"/>
    <n v="0"/>
    <n v="0"/>
    <n v="0"/>
    <n v="0"/>
    <n v="0"/>
    <n v="0"/>
    <n v="0"/>
    <n v="0"/>
  </r>
  <r>
    <d v="2005-08-18T00:00:00"/>
    <n v="2005"/>
    <x v="29"/>
    <s v="R"/>
    <s v="RS"/>
    <x v="9"/>
    <s v="MIN"/>
    <s v="H"/>
    <n v="3"/>
    <n v="1"/>
    <n v="2"/>
    <n v="-2"/>
    <n v="16"/>
    <n v="-16"/>
    <n v="1544.5648519278789"/>
    <n v="1464.4097325033968"/>
    <n v="0.75568377932398711"/>
    <n v="76"/>
    <n v="60"/>
    <n v="0"/>
    <n v="16"/>
    <n v="1"/>
    <n v="0.48536558523892859"/>
    <n v="1"/>
    <n v="71.5"/>
    <n v="71.5"/>
    <n v="8.4786620083719999"/>
    <n v="1553.043513936251"/>
    <n v="1"/>
    <n v="0"/>
    <n v="0"/>
    <n v="0"/>
    <n v="0"/>
    <n v="0"/>
    <n v="0"/>
    <n v="0"/>
    <n v="0"/>
    <n v="0"/>
  </r>
  <r>
    <d v="2005-08-19T00:00:00"/>
    <n v="2005"/>
    <x v="29"/>
    <s v="R"/>
    <s v="RS"/>
    <x v="3"/>
    <s v="LAS"/>
    <s v="A"/>
    <n v="2"/>
    <n v="2"/>
    <n v="0"/>
    <n v="0"/>
    <n v="0"/>
    <n v="0"/>
    <n v="1483.386893773514"/>
    <n v="1483.9910243855884"/>
    <n v="0.38059570659768249"/>
    <n v="67"/>
    <n v="74"/>
    <n v="0"/>
    <n v="-7"/>
    <n v="0"/>
    <n v="0.36992093868456444"/>
    <n v="1"/>
    <n v="71.5"/>
    <n v="71.5"/>
    <n v="-10.066507954640979"/>
    <n v="1473.3203858188731"/>
    <n v="0"/>
    <n v="1"/>
    <n v="0"/>
    <n v="0"/>
    <n v="0"/>
    <n v="0"/>
    <n v="0"/>
    <n v="0"/>
    <n v="0"/>
    <n v="0"/>
  </r>
  <r>
    <d v="2005-08-19T00:00:00"/>
    <n v="2005"/>
    <x v="29"/>
    <s v="R"/>
    <s v="RS"/>
    <x v="8"/>
    <s v="DET"/>
    <s v="H"/>
    <n v="2"/>
    <n v="2"/>
    <n v="0"/>
    <n v="0"/>
    <n v="0"/>
    <n v="0"/>
    <n v="1483.9910243855884"/>
    <n v="1483.386893773514"/>
    <n v="0.61940429340231751"/>
    <n v="74"/>
    <n v="67"/>
    <n v="0"/>
    <n v="7"/>
    <n v="1"/>
    <n v="0.36992093868456444"/>
    <n v="1"/>
    <n v="71.5"/>
    <n v="71.5"/>
    <n v="10.066507954640979"/>
    <n v="1494.0575323402293"/>
    <n v="1"/>
    <n v="0"/>
    <n v="0"/>
    <n v="0"/>
    <n v="0"/>
    <n v="0"/>
    <n v="0"/>
    <n v="0"/>
    <n v="0"/>
    <n v="0"/>
  </r>
  <r>
    <d v="2005-08-19T00:00:00"/>
    <n v="2005"/>
    <x v="31"/>
    <s v="R"/>
    <s v="RS"/>
    <x v="7"/>
    <s v="PHX"/>
    <s v="A"/>
    <n v="0"/>
    <n v="0"/>
    <n v="0"/>
    <n v="0"/>
    <n v="0"/>
    <n v="0"/>
    <n v="1339.3469879146373"/>
    <n v="1511.8349235069215"/>
    <n v="0.18596222005004137"/>
    <n v="57"/>
    <n v="91"/>
    <n v="0"/>
    <n v="-34"/>
    <n v="0"/>
    <n v="0.65634204912287042"/>
    <n v="1"/>
    <n v="71.2"/>
    <n v="71.2"/>
    <n v="-8.6903035091762586"/>
    <n v="1330.6566844054612"/>
    <n v="0"/>
    <n v="1"/>
    <n v="0"/>
    <n v="0"/>
    <n v="0"/>
    <n v="0"/>
    <n v="0"/>
    <n v="0"/>
    <n v="0"/>
    <n v="0"/>
  </r>
  <r>
    <d v="2005-08-19T00:00:00"/>
    <n v="2005"/>
    <x v="29"/>
    <s v="R"/>
    <s v="RS"/>
    <x v="5"/>
    <s v="SAS"/>
    <s v="H"/>
    <n v="0"/>
    <n v="0"/>
    <n v="0"/>
    <n v="0"/>
    <n v="0"/>
    <n v="0"/>
    <n v="1511.8349235069215"/>
    <n v="1339.3469879146373"/>
    <n v="0.81403777994995863"/>
    <n v="91"/>
    <n v="57"/>
    <n v="0"/>
    <n v="34"/>
    <n v="1"/>
    <n v="0.65634204912287042"/>
    <n v="1"/>
    <n v="71.5"/>
    <n v="71.5"/>
    <n v="8.726919956546384"/>
    <n v="1520.561843463468"/>
    <n v="1"/>
    <n v="0"/>
    <n v="0"/>
    <n v="0"/>
    <n v="0"/>
    <n v="0"/>
    <n v="0"/>
    <n v="0"/>
    <n v="0"/>
    <n v="0"/>
  </r>
  <r>
    <d v="2005-08-20T00:00:00"/>
    <n v="2005"/>
    <x v="30"/>
    <s v="R"/>
    <s v="RS"/>
    <x v="12"/>
    <s v="CON"/>
    <s v="A"/>
    <n v="3"/>
    <n v="1"/>
    <n v="2"/>
    <n v="-2"/>
    <n v="16"/>
    <n v="-16"/>
    <n v="1553.3333717472585"/>
    <n v="1675.5595245706327"/>
    <n v="0.26836645408820159"/>
    <n v="64"/>
    <n v="58"/>
    <n v="0"/>
    <n v="6"/>
    <n v="1"/>
    <n v="0.31880848250435406"/>
    <n v="1"/>
    <n v="71.349999999999994"/>
    <n v="71.349999999999994"/>
    <n v="16.642457460203321"/>
    <n v="1569.9758292074619"/>
    <n v="1"/>
    <n v="0"/>
    <n v="0"/>
    <n v="0"/>
    <n v="0"/>
    <n v="0"/>
    <n v="0"/>
    <n v="0"/>
    <n v="0"/>
    <n v="0"/>
  </r>
  <r>
    <d v="2005-08-20T00:00:00"/>
    <n v="2005"/>
    <x v="30"/>
    <s v="R"/>
    <s v="RS"/>
    <x v="2"/>
    <s v="NYL"/>
    <s v="H"/>
    <n v="1"/>
    <n v="3"/>
    <n v="-2"/>
    <n v="2"/>
    <n v="-16"/>
    <n v="16"/>
    <n v="1675.5595245706327"/>
    <n v="1553.3333717472585"/>
    <n v="0.73163354591179852"/>
    <n v="58"/>
    <n v="64"/>
    <n v="0"/>
    <n v="-6"/>
    <n v="0"/>
    <n v="0.31880848250435406"/>
    <n v="1"/>
    <n v="71.349999999999994"/>
    <n v="71.349999999999994"/>
    <n v="-16.642457460203325"/>
    <n v="1658.9170671104293"/>
    <n v="0"/>
    <n v="1"/>
    <n v="0"/>
    <n v="0"/>
    <n v="0"/>
    <n v="0"/>
    <n v="0"/>
    <n v="0"/>
    <n v="0"/>
    <n v="0"/>
  </r>
  <r>
    <d v="2005-08-20T00:00:00"/>
    <n v="2005"/>
    <x v="30"/>
    <s v="R"/>
    <s v="RS"/>
    <x v="1"/>
    <s v="IND"/>
    <s v="A"/>
    <n v="1"/>
    <n v="1"/>
    <n v="0"/>
    <n v="0"/>
    <n v="0"/>
    <n v="0"/>
    <n v="1306.167975070658"/>
    <n v="1530.1415460744513"/>
    <n v="0.1451897031853355"/>
    <n v="53"/>
    <n v="62"/>
    <n v="0"/>
    <n v="-9"/>
    <n v="0"/>
    <n v="0.34211718707200195"/>
    <n v="1"/>
    <n v="71.349999999999994"/>
    <n v="71.349999999999994"/>
    <n v="-3.544089554532551"/>
    <n v="1302.6238855161255"/>
    <n v="0"/>
    <n v="1"/>
    <n v="0"/>
    <n v="0"/>
    <n v="0"/>
    <n v="0"/>
    <n v="0"/>
    <n v="0"/>
    <n v="0"/>
    <n v="0"/>
  </r>
  <r>
    <d v="2005-08-20T00:00:00"/>
    <n v="2005"/>
    <x v="30"/>
    <s v="R"/>
    <s v="RS"/>
    <x v="11"/>
    <s v="CHA"/>
    <s v="H"/>
    <n v="1"/>
    <n v="1"/>
    <n v="0"/>
    <n v="0"/>
    <n v="0"/>
    <n v="0"/>
    <n v="1530.1415460744513"/>
    <n v="1306.167975070658"/>
    <n v="0.85481029681466447"/>
    <n v="62"/>
    <n v="53"/>
    <n v="0"/>
    <n v="9"/>
    <n v="1"/>
    <n v="0.34211718707200195"/>
    <n v="1"/>
    <n v="71.349999999999994"/>
    <n v="71.349999999999994"/>
    <n v="3.5440895545325515"/>
    <n v="1533.6856356289838"/>
    <n v="1"/>
    <n v="0"/>
    <n v="0"/>
    <n v="0"/>
    <n v="0"/>
    <n v="0"/>
    <n v="0"/>
    <n v="0"/>
    <n v="0"/>
    <n v="0"/>
  </r>
  <r>
    <d v="2005-08-20T00:00:00"/>
    <n v="2005"/>
    <x v="30"/>
    <s v="R"/>
    <s v="RS"/>
    <x v="9"/>
    <s v="SAC"/>
    <s v="A"/>
    <n v="1"/>
    <n v="1"/>
    <n v="0"/>
    <n v="0"/>
    <n v="0"/>
    <n v="0"/>
    <n v="1553.043513936251"/>
    <n v="1636.8129785773046"/>
    <n v="0.27572669575667358"/>
    <n v="65"/>
    <n v="75"/>
    <n v="0"/>
    <n v="-10"/>
    <n v="0"/>
    <n v="0.39551933052147409"/>
    <n v="1"/>
    <n v="71.349999999999994"/>
    <n v="71.349999999999994"/>
    <n v="-7.7810912393324188"/>
    <n v="1545.2624226969185"/>
    <n v="0"/>
    <n v="1"/>
    <n v="0"/>
    <n v="0"/>
    <n v="0"/>
    <n v="0"/>
    <n v="0"/>
    <n v="0"/>
    <n v="0"/>
    <n v="0"/>
  </r>
  <r>
    <d v="2005-08-20T00:00:00"/>
    <n v="2005"/>
    <x v="30"/>
    <s v="R"/>
    <s v="RS"/>
    <x v="4"/>
    <s v="SEA"/>
    <s v="H"/>
    <n v="1"/>
    <n v="1"/>
    <n v="0"/>
    <n v="0"/>
    <n v="0"/>
    <n v="0"/>
    <n v="1636.8129785773046"/>
    <n v="1553.043513936251"/>
    <n v="0.72427330424332648"/>
    <n v="75"/>
    <n v="65"/>
    <n v="0"/>
    <n v="10"/>
    <n v="1"/>
    <n v="0.39551933052147409"/>
    <n v="1"/>
    <n v="71.349999999999994"/>
    <n v="71.349999999999994"/>
    <n v="7.781091239332417"/>
    <n v="1644.5940698166371"/>
    <n v="1"/>
    <n v="0"/>
    <n v="0"/>
    <n v="0"/>
    <n v="0"/>
    <n v="0"/>
    <n v="0"/>
    <n v="0"/>
    <n v="0"/>
    <n v="0"/>
  </r>
  <r>
    <d v="2005-08-21T00:00:00"/>
    <n v="2005"/>
    <x v="30"/>
    <s v="R"/>
    <s v="RS"/>
    <x v="0"/>
    <s v="DET"/>
    <s v="A"/>
    <n v="2"/>
    <n v="1"/>
    <n v="1"/>
    <n v="-1"/>
    <n v="8"/>
    <n v="-8"/>
    <n v="1467.436235914897"/>
    <n v="1473.3203858188731"/>
    <n v="0.39524649059427536"/>
    <n v="52"/>
    <n v="66"/>
    <n v="0"/>
    <n v="-14"/>
    <n v="0"/>
    <n v="0.48522880434867233"/>
    <n v="1"/>
    <n v="71.349999999999994"/>
    <n v="71.349999999999994"/>
    <n v="-13.683858469557821"/>
    <n v="1453.7523774453391"/>
    <n v="0"/>
    <n v="1"/>
    <n v="0"/>
    <n v="0"/>
    <n v="0"/>
    <n v="0"/>
    <n v="0"/>
    <n v="0"/>
    <n v="0"/>
    <n v="0"/>
  </r>
  <r>
    <d v="2005-08-21T00:00:00"/>
    <n v="2005"/>
    <x v="30"/>
    <s v="R"/>
    <s v="RS"/>
    <x v="3"/>
    <s v="WAS"/>
    <s v="H"/>
    <n v="1"/>
    <n v="2"/>
    <n v="-1"/>
    <n v="1"/>
    <n v="-8"/>
    <n v="8"/>
    <n v="1473.3203858188731"/>
    <n v="1467.436235914897"/>
    <n v="0.60475350940572459"/>
    <n v="66"/>
    <n v="52"/>
    <n v="0"/>
    <n v="14"/>
    <n v="1"/>
    <n v="0.48522880434867233"/>
    <n v="1"/>
    <n v="71.349999999999994"/>
    <n v="71.349999999999994"/>
    <n v="13.683858469557823"/>
    <n v="1487.004244288431"/>
    <n v="1"/>
    <n v="0"/>
    <n v="0"/>
    <n v="0"/>
    <n v="0"/>
    <n v="0"/>
    <n v="0"/>
    <n v="0"/>
    <n v="0"/>
    <n v="0"/>
  </r>
  <r>
    <d v="2005-08-21T00:00:00"/>
    <n v="2005"/>
    <x v="31"/>
    <s v="R"/>
    <s v="RS"/>
    <x v="6"/>
    <s v="LAS"/>
    <s v="A"/>
    <n v="2"/>
    <n v="1"/>
    <n v="1"/>
    <n v="-1"/>
    <n v="8"/>
    <n v="-8"/>
    <n v="1512.9697251865616"/>
    <n v="1494.0575323402293"/>
    <n v="0.42982329663975771"/>
    <n v="50"/>
    <n v="55"/>
    <n v="0"/>
    <n v="-5"/>
    <n v="0"/>
    <n v="0.32660857188068709"/>
    <n v="1"/>
    <n v="71.2"/>
    <n v="71.2"/>
    <n v="-9.9953388830510868"/>
    <n v="1502.9743863035105"/>
    <n v="0"/>
    <n v="1"/>
    <n v="0"/>
    <n v="0"/>
    <n v="0"/>
    <n v="0"/>
    <n v="0"/>
    <n v="0"/>
    <n v="0"/>
    <n v="0"/>
  </r>
  <r>
    <d v="2005-08-21T00:00:00"/>
    <n v="2005"/>
    <x v="30"/>
    <s v="R"/>
    <s v="RS"/>
    <x v="8"/>
    <s v="HOU"/>
    <s v="H"/>
    <n v="1"/>
    <n v="2"/>
    <n v="-1"/>
    <n v="1"/>
    <n v="-8"/>
    <n v="8"/>
    <n v="1494.0575323402293"/>
    <n v="1512.9697251865616"/>
    <n v="0.57017670336024229"/>
    <n v="55"/>
    <n v="50"/>
    <n v="0"/>
    <n v="5"/>
    <n v="1"/>
    <n v="0.32660857188068709"/>
    <n v="1"/>
    <n v="71.349999999999994"/>
    <n v="71.349999999999994"/>
    <n v="10.01639647901257"/>
    <n v="1504.0739288192419"/>
    <n v="1"/>
    <n v="0"/>
    <n v="0"/>
    <n v="0"/>
    <n v="0"/>
    <n v="0"/>
    <n v="0"/>
    <n v="0"/>
    <n v="0"/>
    <n v="0"/>
  </r>
  <r>
    <d v="2005-08-21T00:00:00"/>
    <n v="2005"/>
    <x v="31"/>
    <s v="R"/>
    <s v="RS"/>
    <x v="10"/>
    <s v="PHX"/>
    <s v="A"/>
    <n v="2"/>
    <n v="1"/>
    <n v="1"/>
    <n v="-1"/>
    <n v="8"/>
    <n v="-8"/>
    <n v="1455.9488578978396"/>
    <n v="1520.561843463468"/>
    <n v="0.31791251123191228"/>
    <n v="69"/>
    <n v="83"/>
    <n v="0"/>
    <n v="-14"/>
    <n v="0"/>
    <n v="0.46269469863082913"/>
    <n v="1"/>
    <n v="71.2"/>
    <n v="71.2"/>
    <n v="-10.473266070569885"/>
    <n v="1445.4755918272697"/>
    <n v="0"/>
    <n v="1"/>
    <n v="0"/>
    <n v="0"/>
    <n v="0"/>
    <n v="0"/>
    <n v="0"/>
    <n v="0"/>
    <n v="0"/>
    <n v="0"/>
  </r>
  <r>
    <d v="2005-08-21T00:00:00"/>
    <n v="2005"/>
    <x v="30"/>
    <s v="R"/>
    <s v="RS"/>
    <x v="5"/>
    <s v="MIN"/>
    <s v="H"/>
    <n v="1"/>
    <n v="2"/>
    <n v="-1"/>
    <n v="1"/>
    <n v="-8"/>
    <n v="8"/>
    <n v="1520.561843463468"/>
    <n v="1455.9488578978396"/>
    <n v="0.68208748876808778"/>
    <n v="83"/>
    <n v="69"/>
    <n v="0"/>
    <n v="14"/>
    <n v="1"/>
    <n v="0.46269469863082913"/>
    <n v="1"/>
    <n v="71.349999999999994"/>
    <n v="71.349999999999994"/>
    <n v="10.495330535606195"/>
    <n v="1531.0571739990742"/>
    <n v="1"/>
    <n v="0"/>
    <n v="0"/>
    <n v="0"/>
    <n v="0"/>
    <n v="0"/>
    <n v="0"/>
    <n v="0"/>
    <n v="0"/>
    <n v="0"/>
  </r>
  <r>
    <d v="2005-08-23T00:00:00"/>
    <n v="2005"/>
    <x v="31"/>
    <s v="R"/>
    <s v="RS"/>
    <x v="3"/>
    <s v="CHA"/>
    <s v="A"/>
    <n v="1"/>
    <n v="2"/>
    <n v="-1"/>
    <n v="1"/>
    <n v="-8"/>
    <n v="8"/>
    <n v="1487.004244288431"/>
    <n v="1302.6238855161255"/>
    <n v="0.61910057859264944"/>
    <n v="49"/>
    <n v="56"/>
    <n v="0"/>
    <n v="-7"/>
    <n v="0"/>
    <n v="0.32081400474248678"/>
    <n v="1"/>
    <n v="71.2"/>
    <n v="71.2"/>
    <n v="-14.141468880116937"/>
    <n v="1472.8627754083141"/>
    <n v="0"/>
    <n v="1"/>
    <n v="0"/>
    <n v="0"/>
    <n v="0"/>
    <n v="0"/>
    <n v="0"/>
    <n v="0"/>
    <n v="0"/>
    <n v="0"/>
  </r>
  <r>
    <d v="2005-08-23T00:00:00"/>
    <n v="2005"/>
    <x v="31"/>
    <s v="R"/>
    <s v="RS"/>
    <x v="1"/>
    <s v="DET"/>
    <s v="H"/>
    <n v="2"/>
    <n v="1"/>
    <n v="1"/>
    <n v="-1"/>
    <n v="8"/>
    <n v="-8"/>
    <n v="1302.6238855161255"/>
    <n v="1487.004244288431"/>
    <n v="0.38089942140735045"/>
    <n v="56"/>
    <n v="49"/>
    <n v="0"/>
    <n v="7"/>
    <n v="1"/>
    <n v="0.32081400474248678"/>
    <n v="1"/>
    <n v="71.2"/>
    <n v="71.2"/>
    <n v="14.141468880116939"/>
    <n v="1316.7653543962424"/>
    <n v="1"/>
    <n v="0"/>
    <n v="0"/>
    <n v="0"/>
    <n v="0"/>
    <n v="0"/>
    <n v="0"/>
    <n v="0"/>
    <n v="0"/>
    <n v="0"/>
  </r>
  <r>
    <d v="2005-08-23T00:00:00"/>
    <n v="2005"/>
    <x v="31"/>
    <s v="R"/>
    <s v="RS"/>
    <x v="11"/>
    <s v="CON"/>
    <s v="A"/>
    <n v="2"/>
    <n v="2"/>
    <n v="0"/>
    <n v="0"/>
    <n v="0"/>
    <n v="0"/>
    <n v="1533.6856356289838"/>
    <n v="1658.9170671104293"/>
    <n v="0.230687560392041"/>
    <n v="69"/>
    <n v="63"/>
    <n v="0"/>
    <n v="6"/>
    <n v="1"/>
    <n v="0.31808550815759301"/>
    <n v="1"/>
    <n v="71.2"/>
    <n v="71.2"/>
    <n v="17.423148245867452"/>
    <n v="1551.1087838748513"/>
    <n v="1"/>
    <n v="0"/>
    <n v="0"/>
    <n v="0"/>
    <n v="0"/>
    <n v="0"/>
    <n v="0"/>
    <n v="0"/>
    <n v="0"/>
    <n v="0"/>
  </r>
  <r>
    <d v="2005-08-23T00:00:00"/>
    <n v="2005"/>
    <x v="31"/>
    <s v="R"/>
    <s v="RS"/>
    <x v="2"/>
    <s v="IND"/>
    <s v="H"/>
    <n v="2"/>
    <n v="2"/>
    <n v="0"/>
    <n v="0"/>
    <n v="0"/>
    <n v="0"/>
    <n v="1658.9170671104293"/>
    <n v="1533.6856356289838"/>
    <n v="0.76931243960795914"/>
    <n v="63"/>
    <n v="69"/>
    <n v="0"/>
    <n v="-6"/>
    <n v="0"/>
    <n v="0.31808550815759301"/>
    <n v="1"/>
    <n v="71.2"/>
    <n v="71.2"/>
    <n v="-17.423148245867456"/>
    <n v="1641.4939188645619"/>
    <n v="0"/>
    <n v="1"/>
    <n v="0"/>
    <n v="0"/>
    <n v="0"/>
    <n v="0"/>
    <n v="0"/>
    <n v="0"/>
    <n v="0"/>
    <n v="0"/>
  </r>
  <r>
    <d v="2005-08-23T00:00:00"/>
    <n v="2005"/>
    <x v="32"/>
    <s v="R"/>
    <s v="RS"/>
    <x v="10"/>
    <s v="LAS"/>
    <s v="A"/>
    <n v="1"/>
    <n v="1"/>
    <n v="0"/>
    <n v="0"/>
    <n v="0"/>
    <n v="0"/>
    <n v="1445.4755918272697"/>
    <n v="1504.0739288192419"/>
    <n v="0.30558070918454971"/>
    <n v="63"/>
    <n v="74"/>
    <n v="0"/>
    <n v="-11"/>
    <n v="0"/>
    <n v="0.41935790696386738"/>
    <n v="1"/>
    <n v="71.05"/>
    <n v="71.05"/>
    <n v="-9.1048931337944659"/>
    <n v="1436.3706986934751"/>
    <n v="0"/>
    <n v="1"/>
    <n v="0"/>
    <n v="0"/>
    <n v="0"/>
    <n v="0"/>
    <n v="0"/>
    <n v="0"/>
    <n v="0"/>
    <n v="0"/>
  </r>
  <r>
    <d v="2005-08-23T00:00:00"/>
    <n v="2005"/>
    <x v="31"/>
    <s v="R"/>
    <s v="RS"/>
    <x v="8"/>
    <s v="MIN"/>
    <s v="H"/>
    <n v="1"/>
    <n v="1"/>
    <n v="0"/>
    <n v="0"/>
    <n v="0"/>
    <n v="0"/>
    <n v="1504.0739288192419"/>
    <n v="1445.4755918272697"/>
    <n v="0.69441929081545029"/>
    <n v="74"/>
    <n v="63"/>
    <n v="0"/>
    <n v="11"/>
    <n v="1"/>
    <n v="0.41935790696386738"/>
    <n v="1"/>
    <n v="71.2"/>
    <n v="71.2"/>
    <n v="9.1241152867862922"/>
    <n v="1513.1980441060282"/>
    <n v="1"/>
    <n v="0"/>
    <n v="0"/>
    <n v="0"/>
    <n v="0"/>
    <n v="0"/>
    <n v="0"/>
    <n v="0"/>
    <n v="0"/>
    <n v="0"/>
  </r>
  <r>
    <d v="2005-08-23T00:00:00"/>
    <n v="2005"/>
    <x v="31"/>
    <s v="R"/>
    <s v="RS"/>
    <x v="5"/>
    <s v="SAC"/>
    <s v="A"/>
    <n v="1"/>
    <n v="2"/>
    <n v="-1"/>
    <n v="1"/>
    <n v="-8"/>
    <n v="8"/>
    <n v="1531.0571739990742"/>
    <n v="1644.5940698166371"/>
    <n v="0.22631846641977305"/>
    <n v="70"/>
    <n v="76"/>
    <n v="0"/>
    <n v="-6"/>
    <n v="0"/>
    <n v="0.3209174516919982"/>
    <n v="1"/>
    <n v="71.2"/>
    <n v="71.2"/>
    <n v="-5.1712236406163541"/>
    <n v="1525.8859503584579"/>
    <n v="0"/>
    <n v="1"/>
    <n v="0"/>
    <n v="0"/>
    <n v="0"/>
    <n v="0"/>
    <n v="0"/>
    <n v="0"/>
    <n v="0"/>
    <n v="0"/>
  </r>
  <r>
    <d v="2005-08-23T00:00:00"/>
    <n v="2005"/>
    <x v="31"/>
    <s v="R"/>
    <s v="RS"/>
    <x v="4"/>
    <s v="PHX"/>
    <s v="H"/>
    <n v="2"/>
    <n v="1"/>
    <n v="1"/>
    <n v="-1"/>
    <n v="8"/>
    <n v="-8"/>
    <n v="1644.5940698166371"/>
    <n v="1531.0571739990742"/>
    <n v="0.77368153358022695"/>
    <n v="76"/>
    <n v="70"/>
    <n v="0"/>
    <n v="6"/>
    <n v="1"/>
    <n v="0.3209174516919982"/>
    <n v="1"/>
    <n v="71.2"/>
    <n v="71.2"/>
    <n v="5.1712236406163541"/>
    <n v="1649.7652934572534"/>
    <n v="1"/>
    <n v="0"/>
    <n v="0"/>
    <n v="0"/>
    <n v="0"/>
    <n v="0"/>
    <n v="0"/>
    <n v="0"/>
    <n v="0"/>
    <n v="0"/>
  </r>
  <r>
    <d v="2005-08-23T00:00:00"/>
    <n v="2005"/>
    <x v="31"/>
    <s v="R"/>
    <s v="RS"/>
    <x v="9"/>
    <s v="SAS"/>
    <s v="A"/>
    <n v="2"/>
    <n v="3"/>
    <n v="-1"/>
    <n v="1"/>
    <n v="-8"/>
    <n v="8"/>
    <n v="1545.2624226969185"/>
    <n v="1330.6566844054612"/>
    <n v="0.65919831008725316"/>
    <n v="78"/>
    <n v="51"/>
    <n v="0"/>
    <n v="27"/>
    <n v="1"/>
    <n v="0.56552859807159384"/>
    <n v="1"/>
    <n v="71.2"/>
    <n v="71.2"/>
    <n v="13.722596856475148"/>
    <n v="1558.9850195533936"/>
    <n v="1"/>
    <n v="0"/>
    <n v="0"/>
    <n v="0"/>
    <n v="0"/>
    <n v="0"/>
    <n v="0"/>
    <n v="0"/>
    <n v="0"/>
    <n v="0"/>
  </r>
  <r>
    <d v="2005-08-23T00:00:00"/>
    <n v="2005"/>
    <x v="32"/>
    <s v="R"/>
    <s v="RS"/>
    <x v="7"/>
    <s v="SEA"/>
    <s v="H"/>
    <n v="3"/>
    <n v="2"/>
    <n v="1"/>
    <n v="-1"/>
    <n v="8"/>
    <n v="-8"/>
    <n v="1330.6566844054612"/>
    <n v="1545.2624226969185"/>
    <n v="0.34080168991274679"/>
    <n v="51"/>
    <n v="78"/>
    <n v="0"/>
    <n v="-27"/>
    <n v="0"/>
    <n v="0.56552859807159384"/>
    <n v="1"/>
    <n v="71.05"/>
    <n v="71.05"/>
    <n v="-13.693686891187625"/>
    <n v="1316.9629975142736"/>
    <n v="0"/>
    <n v="1"/>
    <n v="0"/>
    <n v="0"/>
    <n v="0"/>
    <n v="0"/>
    <n v="0"/>
    <n v="0"/>
    <n v="0"/>
    <n v="0"/>
  </r>
  <r>
    <d v="2005-08-23T00:00:00"/>
    <n v="2005"/>
    <x v="31"/>
    <s v="R"/>
    <s v="RS"/>
    <x v="12"/>
    <s v="WAS"/>
    <s v="A"/>
    <n v="2"/>
    <n v="1"/>
    <n v="1"/>
    <n v="-1"/>
    <n v="8"/>
    <n v="-8"/>
    <n v="1569.9758292074619"/>
    <n v="1453.7523774453391"/>
    <n v="0.56895687637594061"/>
    <n v="69"/>
    <n v="82"/>
    <n v="1"/>
    <n v="-13"/>
    <n v="0"/>
    <n v="0.38732576555806802"/>
    <n v="1"/>
    <n v="71.2"/>
    <n v="71.2"/>
    <n v="-15.690462029082886"/>
    <n v="1554.2853671783789"/>
    <n v="0"/>
    <n v="1"/>
    <n v="0"/>
    <n v="0"/>
    <n v="0"/>
    <n v="0"/>
    <n v="0"/>
    <n v="0"/>
    <n v="0"/>
    <n v="0"/>
  </r>
  <r>
    <d v="2005-08-23T00:00:00"/>
    <n v="2005"/>
    <x v="31"/>
    <s v="R"/>
    <s v="RS"/>
    <x v="0"/>
    <s v="NYL"/>
    <s v="H"/>
    <n v="1"/>
    <n v="2"/>
    <n v="-1"/>
    <n v="1"/>
    <n v="-8"/>
    <n v="8"/>
    <n v="1453.7523774453391"/>
    <n v="1569.9758292074619"/>
    <n v="0.4310431236240595"/>
    <n v="82"/>
    <n v="69"/>
    <n v="1"/>
    <n v="13"/>
    <n v="1"/>
    <n v="0.38732576555806802"/>
    <n v="1"/>
    <n v="71.2"/>
    <n v="71.2"/>
    <n v="15.690462029082884"/>
    <n v="1469.442839474422"/>
    <n v="1"/>
    <n v="0"/>
    <n v="0"/>
    <n v="0"/>
    <n v="0"/>
    <n v="0"/>
    <n v="0"/>
    <n v="0"/>
    <n v="0"/>
    <n v="0"/>
  </r>
  <r>
    <d v="2005-08-25T00:00:00"/>
    <n v="2005"/>
    <x v="32"/>
    <s v="R"/>
    <s v="RS"/>
    <x v="11"/>
    <s v="DET"/>
    <s v="A"/>
    <n v="1"/>
    <n v="1"/>
    <n v="0"/>
    <n v="0"/>
    <n v="0"/>
    <n v="0"/>
    <n v="1551.1087838748513"/>
    <n v="1472.8627754083141"/>
    <n v="0.49172009752619295"/>
    <n v="40"/>
    <n v="55"/>
    <n v="0"/>
    <n v="-15"/>
    <n v="0"/>
    <n v="0.47206690234723536"/>
    <n v="1"/>
    <n v="71.05"/>
    <n v="71.05"/>
    <n v="-16.492465850699048"/>
    <n v="1534.6163180241522"/>
    <n v="0"/>
    <n v="1"/>
    <n v="0"/>
    <n v="0"/>
    <n v="0"/>
    <n v="0"/>
    <n v="0"/>
    <n v="0"/>
    <n v="0"/>
    <n v="0"/>
  </r>
  <r>
    <d v="2005-08-25T00:00:00"/>
    <n v="2005"/>
    <x v="32"/>
    <s v="R"/>
    <s v="RS"/>
    <x v="3"/>
    <s v="IND"/>
    <s v="H"/>
    <n v="1"/>
    <n v="1"/>
    <n v="0"/>
    <n v="0"/>
    <n v="0"/>
    <n v="0"/>
    <n v="1472.8627754083141"/>
    <n v="1551.1087838748513"/>
    <n v="0.50827990247380694"/>
    <n v="55"/>
    <n v="40"/>
    <n v="0"/>
    <n v="15"/>
    <n v="1"/>
    <n v="0.47206690234723536"/>
    <n v="1"/>
    <n v="71.05"/>
    <n v="71.05"/>
    <n v="16.492465850699052"/>
    <n v="1489.3552412590132"/>
    <n v="1"/>
    <n v="0"/>
    <n v="0"/>
    <n v="0"/>
    <n v="0"/>
    <n v="0"/>
    <n v="0"/>
    <n v="0"/>
    <n v="0"/>
    <n v="0"/>
  </r>
  <r>
    <d v="2005-08-25T00:00:00"/>
    <n v="2005"/>
    <x v="32"/>
    <s v="R"/>
    <s v="RS"/>
    <x v="1"/>
    <s v="NYL"/>
    <s v="A"/>
    <n v="1"/>
    <n v="1"/>
    <n v="0"/>
    <n v="0"/>
    <n v="0"/>
    <n v="0"/>
    <n v="1316.7653543962424"/>
    <n v="1554.2853671783789"/>
    <n v="0.13577688640869176"/>
    <n v="78"/>
    <n v="66"/>
    <n v="0"/>
    <n v="12"/>
    <n v="1"/>
    <n v="0.38076362542773401"/>
    <n v="1"/>
    <n v="71.05"/>
    <n v="71.05"/>
    <n v="23.380048775867905"/>
    <n v="1340.1454031721103"/>
    <n v="1"/>
    <n v="0"/>
    <n v="0"/>
    <n v="0"/>
    <n v="0"/>
    <n v="0"/>
    <n v="0"/>
    <n v="0"/>
    <n v="0"/>
    <n v="0"/>
  </r>
  <r>
    <d v="2005-08-25T00:00:00"/>
    <n v="2005"/>
    <x v="32"/>
    <s v="R"/>
    <s v="RS"/>
    <x v="12"/>
    <s v="CHA"/>
    <s v="H"/>
    <n v="1"/>
    <n v="1"/>
    <n v="0"/>
    <n v="0"/>
    <n v="0"/>
    <n v="0"/>
    <n v="1554.2853671783789"/>
    <n v="1316.7653543962424"/>
    <n v="0.86422311359130832"/>
    <n v="66"/>
    <n v="78"/>
    <n v="0"/>
    <n v="-12"/>
    <n v="0"/>
    <n v="0.38076362542773401"/>
    <n v="1"/>
    <n v="71.05"/>
    <n v="71.05"/>
    <n v="-23.380048775867909"/>
    <n v="1530.9053184025111"/>
    <n v="0"/>
    <n v="1"/>
    <n v="0"/>
    <n v="0"/>
    <n v="0"/>
    <n v="0"/>
    <n v="0"/>
    <n v="0"/>
    <n v="0"/>
    <n v="0"/>
  </r>
  <r>
    <d v="2005-08-25T00:00:00"/>
    <n v="2005"/>
    <x v="32"/>
    <s v="R"/>
    <s v="RS"/>
    <x v="6"/>
    <s v="PHX"/>
    <s v="A"/>
    <n v="3"/>
    <n v="1"/>
    <n v="2"/>
    <n v="-2"/>
    <n v="16"/>
    <n v="-16"/>
    <n v="1502.9743863035105"/>
    <n v="1525.8859503584579"/>
    <n v="0.39383370123466255"/>
    <n v="80"/>
    <n v="72"/>
    <n v="0"/>
    <n v="8"/>
    <n v="1"/>
    <n v="0.38104034314509877"/>
    <n v="1"/>
    <n v="71.05"/>
    <n v="71.05"/>
    <n v="16.410689519126468"/>
    <n v="1519.385075822637"/>
    <n v="1"/>
    <n v="0"/>
    <n v="0"/>
    <n v="0"/>
    <n v="0"/>
    <n v="0"/>
    <n v="0"/>
    <n v="0"/>
    <n v="0"/>
    <n v="0"/>
  </r>
  <r>
    <d v="2005-08-25T00:00:00"/>
    <n v="2005"/>
    <x v="32"/>
    <s v="R"/>
    <s v="RS"/>
    <x v="5"/>
    <s v="HOU"/>
    <s v="H"/>
    <n v="1"/>
    <n v="3"/>
    <n v="-2"/>
    <n v="2"/>
    <n v="-16"/>
    <n v="16"/>
    <n v="1525.8859503584579"/>
    <n v="1502.9743863035105"/>
    <n v="0.60616629876533745"/>
    <n v="72"/>
    <n v="80"/>
    <n v="0"/>
    <n v="-8"/>
    <n v="0"/>
    <n v="0.38104034314509877"/>
    <n v="1"/>
    <n v="71.05"/>
    <n v="71.05"/>
    <n v="-16.410689519126468"/>
    <n v="1509.4752608393314"/>
    <n v="0"/>
    <n v="1"/>
    <n v="0"/>
    <n v="0"/>
    <n v="0"/>
    <n v="0"/>
    <n v="0"/>
    <n v="0"/>
    <n v="0"/>
    <n v="0"/>
  </r>
  <r>
    <d v="2005-08-25T00:00:00"/>
    <n v="2005"/>
    <x v="32"/>
    <s v="R"/>
    <s v="RS"/>
    <x v="4"/>
    <s v="SEA"/>
    <s v="A"/>
    <n v="1"/>
    <n v="1"/>
    <n v="0"/>
    <n v="0"/>
    <n v="0"/>
    <n v="0"/>
    <n v="1649.7652934572534"/>
    <n v="1558.9850195533936"/>
    <n v="0.50975635999548807"/>
    <n v="63"/>
    <n v="76"/>
    <n v="0"/>
    <n v="-13"/>
    <n v="0"/>
    <n v="0.43884502903329287"/>
    <n v="1"/>
    <n v="71.05"/>
    <n v="71.05"/>
    <n v="-15.894172368981026"/>
    <n v="1633.8711210882723"/>
    <n v="0"/>
    <n v="1"/>
    <n v="0"/>
    <n v="0"/>
    <n v="0"/>
    <n v="0"/>
    <n v="0"/>
    <n v="0"/>
    <n v="0"/>
    <n v="0"/>
  </r>
  <r>
    <d v="2005-08-25T00:00:00"/>
    <n v="2005"/>
    <x v="32"/>
    <s v="R"/>
    <s v="RS"/>
    <x v="9"/>
    <s v="SAC"/>
    <s v="H"/>
    <n v="1"/>
    <n v="1"/>
    <n v="0"/>
    <n v="0"/>
    <n v="0"/>
    <n v="0"/>
    <n v="1558.9850195533936"/>
    <n v="1649.7652934572534"/>
    <n v="0.49024364000451204"/>
    <n v="76"/>
    <n v="63"/>
    <n v="0"/>
    <n v="13"/>
    <n v="1"/>
    <n v="0.43884502903329287"/>
    <n v="1"/>
    <n v="71.05"/>
    <n v="71.05"/>
    <n v="15.894172368981023"/>
    <n v="1574.8791919223747"/>
    <n v="1"/>
    <n v="0"/>
    <n v="0"/>
    <n v="0"/>
    <n v="0"/>
    <n v="0"/>
    <n v="0"/>
    <n v="0"/>
    <n v="0"/>
    <n v="0"/>
  </r>
  <r>
    <d v="2005-08-26T00:00:00"/>
    <n v="2005"/>
    <x v="32"/>
    <s v="R"/>
    <s v="RS"/>
    <x v="0"/>
    <s v="CON"/>
    <s v="A"/>
    <n v="2"/>
    <n v="2"/>
    <n v="0"/>
    <n v="0"/>
    <n v="0"/>
    <n v="0"/>
    <n v="1469.442839474422"/>
    <n v="1641.4939188645619"/>
    <n v="0.18634320372484064"/>
    <n v="47"/>
    <n v="81"/>
    <n v="0"/>
    <n v="-34"/>
    <n v="0"/>
    <n v="0.6565510261057208"/>
    <n v="1"/>
    <n v="71.05"/>
    <n v="71.05"/>
    <n v="-8.6925285256300437"/>
    <n v="1460.750310948792"/>
    <n v="0"/>
    <n v="1"/>
    <n v="0"/>
    <n v="0"/>
    <n v="0"/>
    <n v="0"/>
    <n v="0"/>
    <n v="0"/>
    <n v="0"/>
    <n v="0"/>
  </r>
  <r>
    <d v="2005-08-26T00:00:00"/>
    <n v="2005"/>
    <x v="32"/>
    <s v="R"/>
    <s v="RS"/>
    <x v="2"/>
    <s v="WAS"/>
    <s v="H"/>
    <n v="2"/>
    <n v="2"/>
    <n v="0"/>
    <n v="0"/>
    <n v="0"/>
    <n v="0"/>
    <n v="1641.4939188645619"/>
    <n v="1469.442839474422"/>
    <n v="0.81365679627515941"/>
    <n v="81"/>
    <n v="47"/>
    <n v="0"/>
    <n v="34"/>
    <n v="1"/>
    <n v="0.6565510261057208"/>
    <n v="1"/>
    <n v="71.05"/>
    <n v="71.05"/>
    <n v="8.692528525630042"/>
    <n v="1650.1864473901919"/>
    <n v="1"/>
    <n v="0"/>
    <n v="0"/>
    <n v="0"/>
    <n v="0"/>
    <n v="0"/>
    <n v="0"/>
    <n v="0"/>
    <n v="0"/>
    <n v="0"/>
  </r>
  <r>
    <d v="2005-08-26T00:00:00"/>
    <n v="2005"/>
    <x v="32"/>
    <s v="R"/>
    <s v="RS"/>
    <x v="8"/>
    <s v="SAS"/>
    <s v="A"/>
    <n v="2"/>
    <n v="2"/>
    <n v="0"/>
    <n v="0"/>
    <n v="0"/>
    <n v="0"/>
    <n v="1513.1980441060282"/>
    <n v="1316.9629975142736"/>
    <n v="0.65612584894880188"/>
    <n v="70"/>
    <n v="67"/>
    <n v="0"/>
    <n v="3"/>
    <n v="1"/>
    <n v="0.24939943039566592"/>
    <n v="1"/>
    <n v="71.05"/>
    <n v="71.05"/>
    <n v="6.0933913362672998"/>
    <n v="1519.2914354422956"/>
    <n v="1"/>
    <n v="0"/>
    <n v="0"/>
    <n v="0"/>
    <n v="0"/>
    <n v="0"/>
    <n v="0"/>
    <n v="0"/>
    <n v="0"/>
    <n v="0"/>
  </r>
  <r>
    <d v="2005-08-26T00:00:00"/>
    <n v="2005"/>
    <x v="33"/>
    <s v="R"/>
    <s v="RS"/>
    <x v="7"/>
    <s v="LAS"/>
    <s v="H"/>
    <n v="2"/>
    <n v="2"/>
    <n v="0"/>
    <n v="0"/>
    <n v="0"/>
    <n v="0"/>
    <n v="1316.9629975142736"/>
    <n v="1513.1980441060282"/>
    <n v="0.34387415105119812"/>
    <n v="67"/>
    <n v="70"/>
    <n v="0"/>
    <n v="-3"/>
    <n v="0"/>
    <n v="0.24939943039566592"/>
    <n v="1"/>
    <n v="70.900000000000006"/>
    <n v="70.900000000000006"/>
    <n v="-6.0805270336573063"/>
    <n v="1310.8824704806163"/>
    <n v="0"/>
    <n v="1"/>
    <n v="0"/>
    <n v="0"/>
    <n v="0"/>
    <n v="0"/>
    <n v="0"/>
    <n v="0"/>
    <n v="0"/>
    <n v="0"/>
  </r>
  <r>
    <d v="2005-08-27T00:00:00"/>
    <n v="2005"/>
    <x v="33"/>
    <s v="R"/>
    <s v="RS"/>
    <x v="2"/>
    <s v="CHA"/>
    <s v="A"/>
    <n v="0"/>
    <n v="1"/>
    <n v="-1"/>
    <n v="1"/>
    <n v="-8"/>
    <n v="8"/>
    <n v="1650.1864473901919"/>
    <n v="1340.1454031721103"/>
    <n v="0.77013850498527014"/>
    <n v="78"/>
    <n v="69"/>
    <n v="0"/>
    <n v="9"/>
    <n v="1"/>
    <n v="0.32261760992659111"/>
    <n v="1"/>
    <n v="70.900000000000006"/>
    <n v="70.900000000000006"/>
    <n v="5.2577572590285877"/>
    <n v="1655.4442046492204"/>
    <n v="1"/>
    <n v="0"/>
    <n v="0"/>
    <n v="0"/>
    <n v="0"/>
    <n v="0"/>
    <n v="0"/>
    <n v="0"/>
    <n v="0"/>
    <n v="0"/>
  </r>
  <r>
    <d v="2005-08-27T00:00:00"/>
    <n v="2005"/>
    <x v="33"/>
    <s v="R"/>
    <s v="RS"/>
    <x v="1"/>
    <s v="CON"/>
    <s v="H"/>
    <n v="1"/>
    <n v="0"/>
    <n v="1"/>
    <n v="-1"/>
    <n v="8"/>
    <n v="-8"/>
    <n v="1340.1454031721103"/>
    <n v="1650.1864473901919"/>
    <n v="0.22986149501472983"/>
    <n v="69"/>
    <n v="78"/>
    <n v="0"/>
    <n v="-9"/>
    <n v="0"/>
    <n v="0.32261760992659111"/>
    <n v="1"/>
    <n v="70.900000000000006"/>
    <n v="70.900000000000006"/>
    <n v="-5.2577572590285868"/>
    <n v="1334.8876459130818"/>
    <n v="0"/>
    <n v="1"/>
    <n v="0"/>
    <n v="0"/>
    <n v="0"/>
    <n v="0"/>
    <n v="0"/>
    <n v="0"/>
    <n v="0"/>
    <n v="0"/>
  </r>
  <r>
    <d v="2005-08-27T00:00:00"/>
    <n v="2005"/>
    <x v="33"/>
    <s v="R"/>
    <s v="RS"/>
    <x v="8"/>
    <s v="HOU"/>
    <s v="A"/>
    <n v="0"/>
    <n v="1"/>
    <n v="-1"/>
    <n v="1"/>
    <n v="-8"/>
    <n v="8"/>
    <n v="1519.2914354422956"/>
    <n v="1519.385075822637"/>
    <n v="0.3598108251804234"/>
    <n v="51"/>
    <n v="77"/>
    <n v="0"/>
    <n v="-26"/>
    <n v="0"/>
    <n v="0.65403634367352059"/>
    <n v="1"/>
    <n v="70.900000000000006"/>
    <n v="70.900000000000006"/>
    <n v="-16.684851376924591"/>
    <n v="1502.606584065371"/>
    <n v="0"/>
    <n v="1"/>
    <n v="0"/>
    <n v="0"/>
    <n v="0"/>
    <n v="0"/>
    <n v="0"/>
    <n v="0"/>
    <n v="0"/>
    <n v="0"/>
  </r>
  <r>
    <d v="2005-08-27T00:00:00"/>
    <n v="2005"/>
    <x v="33"/>
    <s v="R"/>
    <s v="RS"/>
    <x v="6"/>
    <s v="LAS"/>
    <s v="H"/>
    <n v="1"/>
    <n v="0"/>
    <n v="1"/>
    <n v="-1"/>
    <n v="8"/>
    <n v="-8"/>
    <n v="1519.385075822637"/>
    <n v="1519.2914354422956"/>
    <n v="0.6401891748195766"/>
    <n v="77"/>
    <n v="51"/>
    <n v="0"/>
    <n v="26"/>
    <n v="1"/>
    <n v="0.65403634367352059"/>
    <n v="1"/>
    <n v="70.900000000000006"/>
    <n v="70.900000000000006"/>
    <n v="16.684851376924591"/>
    <n v="1536.0699271995616"/>
    <n v="1"/>
    <n v="0"/>
    <n v="0"/>
    <n v="0"/>
    <n v="0"/>
    <n v="0"/>
    <n v="0"/>
    <n v="0"/>
    <n v="0"/>
    <n v="0"/>
  </r>
  <r>
    <d v="2005-08-27T00:00:00"/>
    <n v="2005"/>
    <x v="33"/>
    <s v="R"/>
    <s v="RS"/>
    <x v="12"/>
    <s v="IND"/>
    <s v="A"/>
    <n v="1"/>
    <n v="1"/>
    <n v="0"/>
    <n v="0"/>
    <n v="0"/>
    <n v="0"/>
    <n v="1530.9053184025111"/>
    <n v="1534.6163180241522"/>
    <n v="0.37638864626126622"/>
    <n v="50"/>
    <n v="75"/>
    <n v="0"/>
    <n v="-25"/>
    <n v="0"/>
    <n v="0.63936745141858653"/>
    <n v="1"/>
    <n v="70.900000000000006"/>
    <n v="70.900000000000006"/>
    <n v="-17.062131049759699"/>
    <n v="1513.8431873527513"/>
    <n v="0"/>
    <n v="1"/>
    <n v="0"/>
    <n v="0"/>
    <n v="0"/>
    <n v="0"/>
    <n v="0"/>
    <n v="0"/>
    <n v="0"/>
    <n v="0"/>
  </r>
  <r>
    <d v="2005-08-27T00:00:00"/>
    <n v="2005"/>
    <x v="33"/>
    <s v="R"/>
    <s v="RS"/>
    <x v="11"/>
    <s v="NYL"/>
    <s v="H"/>
    <n v="1"/>
    <n v="1"/>
    <n v="0"/>
    <n v="0"/>
    <n v="0"/>
    <n v="0"/>
    <n v="1534.6163180241522"/>
    <n v="1530.9053184025111"/>
    <n v="0.62361135373873378"/>
    <n v="75"/>
    <n v="50"/>
    <n v="0"/>
    <n v="25"/>
    <n v="1"/>
    <n v="0.63936745141858653"/>
    <n v="1"/>
    <n v="70.900000000000006"/>
    <n v="70.900000000000006"/>
    <n v="17.062131049759699"/>
    <n v="1551.6784490739119"/>
    <n v="1"/>
    <n v="0"/>
    <n v="0"/>
    <n v="0"/>
    <n v="0"/>
    <n v="0"/>
    <n v="0"/>
    <n v="0"/>
    <n v="0"/>
    <n v="0"/>
  </r>
  <r>
    <d v="2005-08-27T00:00:00"/>
    <n v="2005"/>
    <x v="33"/>
    <s v="R"/>
    <s v="RS"/>
    <x v="4"/>
    <s v="MIN"/>
    <s v="A"/>
    <n v="1"/>
    <n v="3"/>
    <n v="-2"/>
    <n v="2"/>
    <n v="-16"/>
    <n v="16"/>
    <n v="1633.8711210882723"/>
    <n v="1436.3706986934751"/>
    <n v="0.61518353413733406"/>
    <n v="61"/>
    <n v="52"/>
    <n v="0"/>
    <n v="9"/>
    <n v="1"/>
    <n v="0.34859798592537805"/>
    <n v="1"/>
    <n v="70.900000000000006"/>
    <n v="70.900000000000006"/>
    <n v="9.5109687670008967"/>
    <n v="1643.3820898552731"/>
    <n v="1"/>
    <n v="0"/>
    <n v="0"/>
    <n v="0"/>
    <n v="0"/>
    <n v="0"/>
    <n v="0"/>
    <n v="0"/>
    <n v="0"/>
    <n v="0"/>
  </r>
  <r>
    <d v="2005-08-27T00:00:00"/>
    <n v="2005"/>
    <x v="33"/>
    <s v="R"/>
    <s v="RS"/>
    <x v="10"/>
    <s v="SAC"/>
    <s v="H"/>
    <n v="3"/>
    <n v="1"/>
    <n v="2"/>
    <n v="-2"/>
    <n v="16"/>
    <n v="-16"/>
    <n v="1436.3706986934751"/>
    <n v="1633.8711210882723"/>
    <n v="0.38481646586266605"/>
    <n v="52"/>
    <n v="61"/>
    <n v="0"/>
    <n v="-9"/>
    <n v="0"/>
    <n v="0.34859798592537805"/>
    <n v="1"/>
    <n v="70.900000000000006"/>
    <n v="70.900000000000006"/>
    <n v="-9.5109687670009002"/>
    <n v="1426.8597299264743"/>
    <n v="0"/>
    <n v="1"/>
    <n v="0"/>
    <n v="0"/>
    <n v="0"/>
    <n v="0"/>
    <n v="0"/>
    <n v="0"/>
    <n v="0"/>
    <n v="0"/>
  </r>
  <r>
    <d v="2005-08-27T00:00:00"/>
    <n v="2005"/>
    <x v="33"/>
    <s v="R"/>
    <s v="RS"/>
    <x v="5"/>
    <s v="SEA"/>
    <s v="A"/>
    <n v="1"/>
    <n v="1"/>
    <n v="0"/>
    <n v="0"/>
    <n v="0"/>
    <n v="0"/>
    <n v="1509.4752608393314"/>
    <n v="1574.8791919223747"/>
    <n v="0.29733137271383436"/>
    <n v="74"/>
    <n v="85"/>
    <n v="0"/>
    <n v="-11"/>
    <n v="0"/>
    <n v="0.41710251670975734"/>
    <n v="1"/>
    <n v="70.900000000000006"/>
    <n v="70.900000000000006"/>
    <n v="-8.7928523673696404"/>
    <n v="1500.6824084719617"/>
    <n v="0"/>
    <n v="1"/>
    <n v="0"/>
    <n v="0"/>
    <n v="0"/>
    <n v="0"/>
    <n v="0"/>
    <n v="0"/>
    <n v="0"/>
    <n v="0"/>
  </r>
  <r>
    <d v="2005-08-27T00:00:00"/>
    <n v="2005"/>
    <x v="33"/>
    <s v="R"/>
    <s v="RS"/>
    <x v="9"/>
    <s v="PHX"/>
    <s v="H"/>
    <n v="1"/>
    <n v="1"/>
    <n v="0"/>
    <n v="0"/>
    <n v="0"/>
    <n v="0"/>
    <n v="1574.8791919223747"/>
    <n v="1509.4752608393314"/>
    <n v="0.70266862728616564"/>
    <n v="85"/>
    <n v="74"/>
    <n v="0"/>
    <n v="11"/>
    <n v="1"/>
    <n v="0.41710251670975734"/>
    <n v="1"/>
    <n v="70.900000000000006"/>
    <n v="70.900000000000006"/>
    <n v="8.7928523673696404"/>
    <n v="1583.6720442897445"/>
    <n v="1"/>
    <n v="0"/>
    <n v="0"/>
    <n v="0"/>
    <n v="0"/>
    <n v="0"/>
    <n v="0"/>
    <n v="0"/>
    <n v="0"/>
    <n v="0"/>
  </r>
  <r>
    <d v="2005-08-27T00:00:00"/>
    <n v="2005"/>
    <x v="33"/>
    <s v="R"/>
    <s v="RS"/>
    <x v="3"/>
    <s v="WAS"/>
    <s v="A"/>
    <n v="1"/>
    <n v="0"/>
    <n v="1"/>
    <n v="-1"/>
    <n v="8"/>
    <n v="-8"/>
    <n v="1489.3552412590132"/>
    <n v="1460.750310948792"/>
    <n v="0.44354766365081205"/>
    <n v="67"/>
    <n v="76"/>
    <n v="0"/>
    <n v="-9"/>
    <n v="0"/>
    <n v="0.39651951620744569"/>
    <n v="1"/>
    <n v="70.900000000000006"/>
    <n v="70.900000000000006"/>
    <n v="-12.469559124908587"/>
    <n v="1476.8856821341046"/>
    <n v="0"/>
    <n v="1"/>
    <n v="0"/>
    <n v="0"/>
    <n v="0"/>
    <n v="0"/>
    <n v="0"/>
    <n v="0"/>
    <n v="0"/>
    <n v="0"/>
  </r>
  <r>
    <d v="2005-08-27T00:00:00"/>
    <n v="2005"/>
    <x v="33"/>
    <s v="R"/>
    <s v="RS"/>
    <x v="0"/>
    <s v="DET"/>
    <s v="H"/>
    <n v="0"/>
    <n v="1"/>
    <n v="-1"/>
    <n v="1"/>
    <n v="-8"/>
    <n v="8"/>
    <n v="1460.750310948792"/>
    <n v="1489.3552412590132"/>
    <n v="0.556452336349188"/>
    <n v="76"/>
    <n v="67"/>
    <n v="0"/>
    <n v="9"/>
    <n v="1"/>
    <n v="0.39651951620744569"/>
    <n v="1"/>
    <n v="70.900000000000006"/>
    <n v="70.900000000000006"/>
    <n v="12.469559124908585"/>
    <n v="1473.2198700737006"/>
    <n v="1"/>
    <n v="0"/>
    <n v="0"/>
    <n v="0"/>
    <n v="0"/>
    <n v="0"/>
    <n v="0"/>
    <n v="0"/>
    <n v="0"/>
    <n v="0"/>
  </r>
  <r>
    <d v="2005-08-30T00:00:00"/>
    <n v="2005"/>
    <x v="34"/>
    <s v="P"/>
    <n v="1"/>
    <x v="9"/>
    <s v="HOU"/>
    <s v="A"/>
    <n v="2"/>
    <n v="2"/>
    <n v="0"/>
    <n v="0"/>
    <n v="0"/>
    <n v="0"/>
    <n v="1583.6720442897445"/>
    <n v="1536.0699271995616"/>
    <n v="0.44781002426433392"/>
    <n v="75"/>
    <n v="67"/>
    <n v="0"/>
    <n v="8"/>
    <n v="1"/>
    <n v="0.37349939986509606"/>
    <n v="1.1000000000000001"/>
    <n v="70.75"/>
    <n v="77.825000000000003"/>
    <n v="16.050832255509832"/>
    <n v="1599.7228765452544"/>
    <n v="0"/>
    <n v="0"/>
    <n v="1"/>
    <n v="0"/>
    <n v="0"/>
    <n v="0"/>
    <n v="0"/>
    <n v="0"/>
    <n v="0"/>
    <n v="0"/>
  </r>
  <r>
    <d v="2005-08-30T00:00:00"/>
    <n v="2005"/>
    <x v="34"/>
    <s v="P"/>
    <n v="1"/>
    <x v="6"/>
    <s v="SEA"/>
    <s v="H"/>
    <n v="2"/>
    <n v="2"/>
    <n v="0"/>
    <n v="0"/>
    <n v="0"/>
    <n v="0"/>
    <n v="1536.0699271995616"/>
    <n v="1583.6720442897445"/>
    <n v="0.55218997573566608"/>
    <n v="67"/>
    <n v="75"/>
    <n v="0"/>
    <n v="-8"/>
    <n v="0"/>
    <n v="0.37349939986509606"/>
    <n v="1.1000000000000001"/>
    <n v="70.75"/>
    <n v="77.825000000000003"/>
    <n v="-16.050832255509832"/>
    <n v="1520.0190949440516"/>
    <n v="0"/>
    <n v="0"/>
    <n v="0"/>
    <n v="1"/>
    <n v="0"/>
    <n v="0"/>
    <n v="0"/>
    <n v="0"/>
    <n v="0"/>
    <n v="0"/>
  </r>
  <r>
    <d v="2005-08-30T00:00:00"/>
    <n v="2005"/>
    <x v="34"/>
    <s v="P"/>
    <n v="1"/>
    <x v="11"/>
    <s v="NYL"/>
    <s v="A"/>
    <n v="2"/>
    <n v="2"/>
    <n v="0"/>
    <n v="0"/>
    <n v="0"/>
    <n v="0"/>
    <n v="1551.6784490739119"/>
    <n v="1513.8431873527513"/>
    <n v="0.43395184178441892"/>
    <n v="63"/>
    <n v="51"/>
    <n v="0"/>
    <n v="12"/>
    <n v="1"/>
    <n v="0.44218754192764964"/>
    <n v="1.1000000000000001"/>
    <n v="70.75"/>
    <n v="77.825000000000003"/>
    <n v="19.479554205487194"/>
    <n v="1571.1580032793991"/>
    <n v="0"/>
    <n v="0"/>
    <n v="1"/>
    <n v="0"/>
    <n v="0"/>
    <n v="0"/>
    <n v="0"/>
    <n v="0"/>
    <n v="0"/>
    <n v="0"/>
  </r>
  <r>
    <d v="2005-08-30T00:00:00"/>
    <n v="2005"/>
    <x v="34"/>
    <s v="P"/>
    <n v="1"/>
    <x v="12"/>
    <s v="IND"/>
    <s v="H"/>
    <n v="2"/>
    <n v="2"/>
    <n v="0"/>
    <n v="0"/>
    <n v="0"/>
    <n v="0"/>
    <n v="1513.8431873527513"/>
    <n v="1551.6784490739119"/>
    <n v="0.56604815821558108"/>
    <n v="51"/>
    <n v="63"/>
    <n v="0"/>
    <n v="-12"/>
    <n v="0"/>
    <n v="0.44218754192764964"/>
    <n v="1.1000000000000001"/>
    <n v="70.75"/>
    <n v="77.825000000000003"/>
    <n v="-19.479554205487194"/>
    <n v="1494.3636331472642"/>
    <n v="0"/>
    <n v="0"/>
    <n v="0"/>
    <n v="1"/>
    <n v="0"/>
    <n v="0"/>
    <n v="0"/>
    <n v="0"/>
    <n v="0"/>
    <n v="0"/>
  </r>
  <r>
    <d v="2005-08-31T00:00:00"/>
    <n v="2005"/>
    <x v="34"/>
    <s v="P"/>
    <n v="1"/>
    <x v="2"/>
    <s v="DET"/>
    <s v="A"/>
    <n v="3"/>
    <n v="3"/>
    <n v="0"/>
    <n v="0"/>
    <n v="0"/>
    <n v="0"/>
    <n v="1655.4442046492204"/>
    <n v="1476.8856821341046"/>
    <n v="0.63281739302571638"/>
    <n v="73"/>
    <n v="62"/>
    <n v="0"/>
    <n v="11"/>
    <n v="1"/>
    <n v="0.38286598333613392"/>
    <n v="1.1000000000000001"/>
    <n v="70.75"/>
    <n v="77.825000000000003"/>
    <n v="10.940773128154927"/>
    <n v="1666.3849777773753"/>
    <n v="0"/>
    <n v="0"/>
    <n v="1"/>
    <n v="0"/>
    <n v="0"/>
    <n v="0"/>
    <n v="0"/>
    <n v="0"/>
    <n v="0"/>
    <n v="0"/>
  </r>
  <r>
    <d v="2005-08-31T00:00:00"/>
    <n v="2005"/>
    <x v="34"/>
    <s v="P"/>
    <n v="1"/>
    <x v="3"/>
    <s v="CON"/>
    <s v="H"/>
    <n v="3"/>
    <n v="3"/>
    <n v="0"/>
    <n v="0"/>
    <n v="0"/>
    <n v="0"/>
    <n v="1476.8856821341046"/>
    <n v="1655.4442046492204"/>
    <n v="0.36718260697428362"/>
    <n v="62"/>
    <n v="73"/>
    <n v="0"/>
    <n v="-11"/>
    <n v="0"/>
    <n v="0.38286598333613392"/>
    <n v="1.1000000000000001"/>
    <n v="70.75"/>
    <n v="77.825000000000003"/>
    <n v="-10.940773128154927"/>
    <n v="1465.9449090059497"/>
    <n v="0"/>
    <n v="0"/>
    <n v="0"/>
    <n v="1"/>
    <n v="0"/>
    <n v="0"/>
    <n v="0"/>
    <n v="0"/>
    <n v="0"/>
    <n v="0"/>
  </r>
  <r>
    <d v="2005-08-31T00:00:00"/>
    <n v="2005"/>
    <x v="34"/>
    <s v="P"/>
    <n v="1"/>
    <x v="4"/>
    <s v="LAS"/>
    <s v="A"/>
    <n v="3"/>
    <n v="3"/>
    <n v="0"/>
    <n v="0"/>
    <n v="0"/>
    <n v="0"/>
    <n v="1643.3820898552731"/>
    <n v="1502.606584065371"/>
    <n v="0.58098691418821158"/>
    <n v="75"/>
    <n v="72"/>
    <n v="0"/>
    <n v="3"/>
    <n v="1"/>
    <n v="0.25971553314833257"/>
    <n v="1.1000000000000001"/>
    <n v="70.75"/>
    <n v="77.825000000000003"/>
    <n v="8.4692439080423547"/>
    <n v="1651.8513337633153"/>
    <n v="0"/>
    <n v="0"/>
    <n v="1"/>
    <n v="0"/>
    <n v="0"/>
    <n v="0"/>
    <n v="0"/>
    <n v="0"/>
    <n v="0"/>
    <n v="0"/>
  </r>
  <r>
    <d v="2005-08-31T00:00:00"/>
    <n v="2005"/>
    <x v="34"/>
    <s v="P"/>
    <n v="1"/>
    <x v="8"/>
    <s v="SAC"/>
    <s v="H"/>
    <n v="3"/>
    <n v="3"/>
    <n v="0"/>
    <n v="0"/>
    <n v="0"/>
    <n v="0"/>
    <n v="1502.606584065371"/>
    <n v="1643.3820898552731"/>
    <n v="0.41901308581178837"/>
    <n v="72"/>
    <n v="75"/>
    <n v="0"/>
    <n v="-3"/>
    <n v="0"/>
    <n v="0.25971553314833257"/>
    <n v="1.1000000000000001"/>
    <n v="70.75"/>
    <n v="77.825000000000003"/>
    <n v="-8.4692439080423547"/>
    <n v="1494.1373401573287"/>
    <n v="0"/>
    <n v="0"/>
    <n v="0"/>
    <n v="1"/>
    <n v="0"/>
    <n v="0"/>
    <n v="0"/>
    <n v="0"/>
    <n v="0"/>
    <n v="0"/>
  </r>
  <r>
    <d v="2005-09-01T00:00:00"/>
    <n v="2005"/>
    <x v="35"/>
    <s v="P"/>
    <n v="1"/>
    <x v="12"/>
    <s v="IND"/>
    <s v="A"/>
    <n v="1"/>
    <n v="1"/>
    <n v="0"/>
    <n v="0"/>
    <n v="0"/>
    <n v="0"/>
    <n v="1494.3636331472642"/>
    <n v="1571.1580032793991"/>
    <n v="0.28381684904862803"/>
    <n v="50"/>
    <n v="58"/>
    <n v="0"/>
    <n v="-8"/>
    <n v="0"/>
    <n v="0.36495981882766498"/>
    <n v="1.1000000000000001"/>
    <n v="70.599999999999994"/>
    <n v="77.66"/>
    <n v="-8.0441583795289606"/>
    <n v="1486.3194747677353"/>
    <n v="0"/>
    <n v="0"/>
    <n v="0"/>
    <n v="1"/>
    <n v="0"/>
    <n v="0"/>
    <n v="0"/>
    <n v="0"/>
    <n v="0"/>
    <n v="0"/>
  </r>
  <r>
    <d v="2005-09-01T00:00:00"/>
    <n v="2005"/>
    <x v="35"/>
    <s v="P"/>
    <n v="1"/>
    <x v="11"/>
    <s v="NYL"/>
    <s v="H"/>
    <n v="1"/>
    <n v="1"/>
    <n v="0"/>
    <n v="0"/>
    <n v="0"/>
    <n v="0"/>
    <n v="1571.1580032793991"/>
    <n v="1494.3636331472642"/>
    <n v="0.71618315095137186"/>
    <n v="58"/>
    <n v="50"/>
    <n v="0"/>
    <n v="8"/>
    <n v="1"/>
    <n v="0.36495981882766498"/>
    <n v="1.1000000000000001"/>
    <n v="70.599999999999994"/>
    <n v="77.66"/>
    <n v="8.0441583795289642"/>
    <n v="1579.2021616589279"/>
    <n v="0"/>
    <n v="0"/>
    <n v="1"/>
    <n v="0"/>
    <n v="0"/>
    <n v="0"/>
    <n v="0"/>
    <n v="0"/>
    <n v="0"/>
    <n v="0"/>
  </r>
  <r>
    <d v="2005-09-01T00:00:00"/>
    <n v="2005"/>
    <x v="35"/>
    <s v="P"/>
    <n v="1"/>
    <x v="6"/>
    <s v="SEA"/>
    <s v="A"/>
    <n v="1"/>
    <n v="1"/>
    <n v="0"/>
    <n v="0"/>
    <n v="0"/>
    <n v="0"/>
    <n v="1520.0190949440516"/>
    <n v="1599.7228765452544"/>
    <n v="0.28042494601482837"/>
    <n v="67"/>
    <n v="64"/>
    <n v="0"/>
    <n v="3"/>
    <n v="1"/>
    <n v="0.27211002290135172"/>
    <n v="1.1000000000000001"/>
    <n v="70.599999999999994"/>
    <n v="77.66"/>
    <n v="15.206106365990912"/>
    <n v="1535.2252013100426"/>
    <n v="0"/>
    <n v="0"/>
    <n v="1"/>
    <n v="0"/>
    <n v="0"/>
    <n v="0"/>
    <n v="0"/>
    <n v="0"/>
    <n v="0"/>
    <n v="0"/>
  </r>
  <r>
    <d v="2005-09-01T00:00:00"/>
    <n v="2005"/>
    <x v="35"/>
    <s v="P"/>
    <n v="1"/>
    <x v="9"/>
    <s v="HOU"/>
    <s v="H"/>
    <n v="1"/>
    <n v="1"/>
    <n v="0"/>
    <n v="0"/>
    <n v="0"/>
    <n v="0"/>
    <n v="1599.7228765452544"/>
    <n v="1520.0190949440516"/>
    <n v="0.71957505398517163"/>
    <n v="64"/>
    <n v="67"/>
    <n v="0"/>
    <n v="-3"/>
    <n v="0"/>
    <n v="0.27211002290135172"/>
    <n v="1.1000000000000001"/>
    <n v="70.599999999999994"/>
    <n v="77.66"/>
    <n v="-15.206106365990912"/>
    <n v="1584.5167701792634"/>
    <n v="0"/>
    <n v="0"/>
    <n v="0"/>
    <n v="1"/>
    <n v="0"/>
    <n v="0"/>
    <n v="0"/>
    <n v="0"/>
    <n v="0"/>
    <n v="0"/>
  </r>
  <r>
    <d v="2005-09-02T00:00:00"/>
    <n v="2005"/>
    <x v="35"/>
    <s v="P"/>
    <n v="1"/>
    <x v="3"/>
    <s v="CON"/>
    <s v="A"/>
    <n v="1"/>
    <n v="1"/>
    <n v="0"/>
    <n v="0"/>
    <n v="0"/>
    <n v="0"/>
    <n v="1465.9449090059497"/>
    <n v="1666.3849777773753"/>
    <n v="0.1628234281455706"/>
    <n v="67"/>
    <n v="75"/>
    <n v="0"/>
    <n v="-8"/>
    <n v="0"/>
    <n v="0.33273729622175058"/>
    <n v="1.1000000000000001"/>
    <n v="70.599999999999994"/>
    <n v="77.66"/>
    <n v="-4.2074189996691418"/>
    <n v="1461.7374900062805"/>
    <n v="0"/>
    <n v="0"/>
    <n v="0"/>
    <n v="1"/>
    <n v="0"/>
    <n v="0"/>
    <n v="0"/>
    <n v="0"/>
    <n v="0"/>
    <n v="0"/>
  </r>
  <r>
    <d v="2005-09-02T00:00:00"/>
    <n v="2005"/>
    <x v="35"/>
    <s v="P"/>
    <n v="1"/>
    <x v="2"/>
    <s v="DET"/>
    <s v="H"/>
    <n v="1"/>
    <n v="1"/>
    <n v="0"/>
    <n v="0"/>
    <n v="0"/>
    <n v="0"/>
    <n v="1666.3849777773753"/>
    <n v="1465.9449090059497"/>
    <n v="0.8371765718544294"/>
    <n v="75"/>
    <n v="67"/>
    <n v="0"/>
    <n v="8"/>
    <n v="1"/>
    <n v="0.33273729622175058"/>
    <n v="1.1000000000000001"/>
    <n v="70.599999999999994"/>
    <n v="77.66"/>
    <n v="4.2074189996691418"/>
    <n v="1670.5923967770445"/>
    <n v="0"/>
    <n v="0"/>
    <n v="1"/>
    <n v="0"/>
    <n v="0"/>
    <n v="0"/>
    <n v="0"/>
    <n v="0"/>
    <n v="0"/>
    <n v="0"/>
  </r>
  <r>
    <d v="2005-09-02T00:00:00"/>
    <n v="2005"/>
    <x v="35"/>
    <s v="P"/>
    <n v="1"/>
    <x v="8"/>
    <s v="SAC"/>
    <s v="A"/>
    <n v="1"/>
    <n v="1"/>
    <n v="0"/>
    <n v="0"/>
    <n v="0"/>
    <n v="0"/>
    <n v="1494.1373401573287"/>
    <n v="1651.8513337633153"/>
    <n v="0.19918154213689851"/>
    <n v="63"/>
    <n v="81"/>
    <n v="0"/>
    <n v="-18"/>
    <n v="0"/>
    <n v="0.48331292278189275"/>
    <n v="1.1000000000000001"/>
    <n v="70.599999999999994"/>
    <n v="77.66"/>
    <n v="-7.4760962524422601"/>
    <n v="1486.6612439048865"/>
    <n v="0"/>
    <n v="0"/>
    <n v="0"/>
    <n v="1"/>
    <n v="0"/>
    <n v="0"/>
    <n v="0"/>
    <n v="0"/>
    <n v="0"/>
    <n v="0"/>
  </r>
  <r>
    <d v="2005-09-02T00:00:00"/>
    <n v="2005"/>
    <x v="35"/>
    <s v="P"/>
    <n v="1"/>
    <x v="4"/>
    <s v="LAS"/>
    <s v="H"/>
    <n v="1"/>
    <n v="1"/>
    <n v="0"/>
    <n v="0"/>
    <n v="0"/>
    <n v="0"/>
    <n v="1651.8513337633153"/>
    <n v="1494.1373401573287"/>
    <n v="0.80081845786310146"/>
    <n v="81"/>
    <n v="63"/>
    <n v="0"/>
    <n v="18"/>
    <n v="1"/>
    <n v="0.48331292278189275"/>
    <n v="1.1000000000000001"/>
    <n v="70.599999999999994"/>
    <n v="77.66"/>
    <n v="7.4760962524422609"/>
    <n v="1659.3274300157575"/>
    <n v="0"/>
    <n v="0"/>
    <n v="1"/>
    <n v="0"/>
    <n v="0"/>
    <n v="0"/>
    <n v="0"/>
    <n v="0"/>
    <n v="0"/>
    <n v="0"/>
  </r>
  <r>
    <d v="2005-09-03T00:00:00"/>
    <n v="2005"/>
    <x v="36"/>
    <s v="P"/>
    <n v="1"/>
    <x v="6"/>
    <s v="SEA"/>
    <s v="A"/>
    <n v="1"/>
    <n v="1"/>
    <n v="0"/>
    <n v="0"/>
    <n v="0"/>
    <n v="0"/>
    <n v="1535.2252013100426"/>
    <n v="1584.5167701792634"/>
    <n v="0.31706606919354047"/>
    <n v="75"/>
    <n v="58"/>
    <n v="0"/>
    <n v="17"/>
    <n v="1"/>
    <n v="0.51143423906775898"/>
    <n v="1.1000000000000001"/>
    <n v="70.45"/>
    <n v="77.495000000000005"/>
    <n v="27.067127751779349"/>
    <n v="1562.2923290618219"/>
    <n v="0"/>
    <n v="0"/>
    <n v="1"/>
    <n v="0"/>
    <n v="0"/>
    <n v="0"/>
    <n v="0"/>
    <n v="0"/>
    <n v="0"/>
    <n v="0"/>
  </r>
  <r>
    <d v="2005-09-03T00:00:00"/>
    <n v="2005"/>
    <x v="36"/>
    <s v="P"/>
    <n v="1"/>
    <x v="9"/>
    <s v="HOU"/>
    <s v="H"/>
    <n v="1"/>
    <n v="1"/>
    <n v="0"/>
    <n v="0"/>
    <n v="0"/>
    <n v="0"/>
    <n v="1584.5167701792634"/>
    <n v="1535.2252013100426"/>
    <n v="0.68293393080645959"/>
    <n v="58"/>
    <n v="75"/>
    <n v="0"/>
    <n v="-17"/>
    <n v="0"/>
    <n v="0.51143423906775898"/>
    <n v="1.1000000000000001"/>
    <n v="70.45"/>
    <n v="77.495000000000005"/>
    <n v="-27.067127751779353"/>
    <n v="1557.4496424274842"/>
    <n v="0"/>
    <n v="0"/>
    <n v="0"/>
    <n v="1"/>
    <n v="0"/>
    <n v="0"/>
    <n v="0"/>
    <n v="0"/>
    <n v="0"/>
    <n v="0"/>
  </r>
  <r>
    <d v="2005-09-08T00:00:00"/>
    <n v="2005"/>
    <x v="36"/>
    <s v="P"/>
    <n v="2"/>
    <x v="4"/>
    <s v="HOU"/>
    <s v="A"/>
    <n v="5"/>
    <n v="4"/>
    <n v="1"/>
    <n v="-1"/>
    <n v="8"/>
    <n v="-8"/>
    <n v="1659.3274300157575"/>
    <n v="1562.2923290618219"/>
    <n v="0.54168786631940491"/>
    <n v="73"/>
    <n v="69"/>
    <n v="1"/>
    <n v="4"/>
    <n v="1"/>
    <n v="0.25932016292297327"/>
    <n v="1.2"/>
    <n v="70.45"/>
    <n v="84.54"/>
    <n v="10.047543254427545"/>
    <n v="1669.3749732701851"/>
    <n v="0"/>
    <n v="0"/>
    <n v="0"/>
    <n v="0"/>
    <n v="1"/>
    <n v="0"/>
    <n v="0"/>
    <n v="0"/>
    <n v="0"/>
    <n v="0"/>
  </r>
  <r>
    <d v="2005-09-08T00:00:00"/>
    <n v="2005"/>
    <x v="37"/>
    <s v="P"/>
    <n v="2"/>
    <x v="6"/>
    <s v="SAC"/>
    <s v="H"/>
    <n v="4"/>
    <n v="5"/>
    <n v="-1"/>
    <n v="1"/>
    <n v="-8"/>
    <n v="8"/>
    <n v="1562.2923290618219"/>
    <n v="1659.3274300157575"/>
    <n v="0.45831213368059515"/>
    <n v="69"/>
    <n v="73"/>
    <n v="1"/>
    <n v="-4"/>
    <n v="0"/>
    <n v="0.25932016292297327"/>
    <n v="1.2"/>
    <n v="70.3"/>
    <n v="84.36"/>
    <n v="-10.026150330535931"/>
    <n v="1552.2661787312859"/>
    <n v="0"/>
    <n v="0"/>
    <n v="0"/>
    <n v="0"/>
    <n v="0"/>
    <n v="1"/>
    <n v="0"/>
    <n v="0"/>
    <n v="0"/>
    <n v="0"/>
  </r>
  <r>
    <d v="2005-09-08T00:00:00"/>
    <n v="2005"/>
    <x v="36"/>
    <s v="P"/>
    <n v="2"/>
    <x v="2"/>
    <s v="IND"/>
    <s v="A"/>
    <n v="5"/>
    <n v="6"/>
    <n v="-1"/>
    <n v="1"/>
    <n v="-8"/>
    <n v="8"/>
    <n v="1670.5923967770445"/>
    <n v="1579.2021616589279"/>
    <n v="0.48761208800243422"/>
    <n v="73"/>
    <n v="68"/>
    <n v="0"/>
    <n v="5"/>
    <n v="1"/>
    <n v="0.30827797804827334"/>
    <n v="1.2"/>
    <n v="70.45"/>
    <n v="84.54"/>
    <n v="13.353761668029815"/>
    <n v="1683.9461584450744"/>
    <n v="0"/>
    <n v="0"/>
    <n v="0"/>
    <n v="0"/>
    <n v="1"/>
    <n v="0"/>
    <n v="0"/>
    <n v="0"/>
    <n v="0"/>
    <n v="0"/>
  </r>
  <r>
    <d v="2005-09-08T00:00:00"/>
    <n v="2005"/>
    <x v="36"/>
    <s v="P"/>
    <n v="2"/>
    <x v="11"/>
    <s v="CON"/>
    <s v="H"/>
    <n v="6"/>
    <n v="5"/>
    <n v="1"/>
    <n v="-1"/>
    <n v="8"/>
    <n v="-8"/>
    <n v="1579.2021616589279"/>
    <n v="1670.5923967770445"/>
    <n v="0.51238791199756584"/>
    <n v="68"/>
    <n v="73"/>
    <n v="0"/>
    <n v="-5"/>
    <n v="0"/>
    <n v="0.30827797804827334"/>
    <n v="1.2"/>
    <n v="70.45"/>
    <n v="84.54"/>
    <n v="-13.353761668029815"/>
    <n v="1565.8483999908981"/>
    <n v="0"/>
    <n v="0"/>
    <n v="0"/>
    <n v="0"/>
    <n v="0"/>
    <n v="1"/>
    <n v="0"/>
    <n v="0"/>
    <n v="0"/>
    <n v="0"/>
  </r>
  <r>
    <d v="2005-09-10T00:00:00"/>
    <n v="2005"/>
    <x v="37"/>
    <s v="P"/>
    <n v="2"/>
    <x v="11"/>
    <s v="CON"/>
    <s v="A"/>
    <n v="1"/>
    <n v="1"/>
    <n v="0"/>
    <n v="0"/>
    <n v="0"/>
    <n v="0"/>
    <n v="1565.8483999908981"/>
    <n v="1683.9461584450744"/>
    <n v="0.23805580178222321"/>
    <n v="67"/>
    <n v="77"/>
    <n v="1"/>
    <n v="-10"/>
    <n v="0"/>
    <n v="0.34669664852081877"/>
    <n v="1.2"/>
    <n v="70.3"/>
    <n v="84.36"/>
    <n v="-6.9624964191719645"/>
    <n v="1558.8859035717262"/>
    <n v="0"/>
    <n v="0"/>
    <n v="0"/>
    <n v="0"/>
    <n v="0"/>
    <n v="1"/>
    <n v="0"/>
    <n v="0"/>
    <n v="0"/>
    <n v="0"/>
  </r>
  <r>
    <d v="2005-09-10T00:00:00"/>
    <n v="2005"/>
    <x v="37"/>
    <s v="P"/>
    <n v="2"/>
    <x v="2"/>
    <s v="IND"/>
    <s v="H"/>
    <n v="1"/>
    <n v="1"/>
    <n v="0"/>
    <n v="0"/>
    <n v="0"/>
    <n v="0"/>
    <n v="1683.9461584450744"/>
    <n v="1565.8483999908981"/>
    <n v="0.76194419821777681"/>
    <n v="77"/>
    <n v="67"/>
    <n v="1"/>
    <n v="10"/>
    <n v="1"/>
    <n v="0.34669664852081877"/>
    <n v="1.2"/>
    <n v="70.3"/>
    <n v="84.36"/>
    <n v="6.9624964191719636"/>
    <n v="1690.9086548642463"/>
    <n v="0"/>
    <n v="0"/>
    <n v="0"/>
    <n v="0"/>
    <n v="1"/>
    <n v="0"/>
    <n v="0"/>
    <n v="0"/>
    <n v="0"/>
    <n v="0"/>
  </r>
  <r>
    <d v="2005-09-10T00:00:00"/>
    <n v="2005"/>
    <x v="38"/>
    <s v="P"/>
    <n v="2"/>
    <x v="6"/>
    <s v="SAC"/>
    <s v="A"/>
    <n v="1"/>
    <n v="1"/>
    <n v="0"/>
    <n v="0"/>
    <n v="0"/>
    <n v="0"/>
    <n v="1552.2661787312859"/>
    <n v="1669.3749732701851"/>
    <n v="0.23908995531981111"/>
    <n v="65"/>
    <n v="74"/>
    <n v="0"/>
    <n v="-9"/>
    <n v="0"/>
    <n v="0.36987516490408157"/>
    <n v="1.2"/>
    <n v="70.150000000000006"/>
    <n v="84.18"/>
    <n v="-7.4443266972664182"/>
    <n v="1544.8218520340195"/>
    <n v="0"/>
    <n v="0"/>
    <n v="0"/>
    <n v="0"/>
    <n v="0"/>
    <n v="1"/>
    <n v="0"/>
    <n v="0"/>
    <n v="0"/>
    <n v="0"/>
  </r>
  <r>
    <d v="2005-09-10T00:00:00"/>
    <n v="2005"/>
    <x v="37"/>
    <s v="P"/>
    <n v="2"/>
    <x v="4"/>
    <s v="HOU"/>
    <s v="H"/>
    <n v="1"/>
    <n v="1"/>
    <n v="0"/>
    <n v="0"/>
    <n v="0"/>
    <n v="0"/>
    <n v="1669.3749732701851"/>
    <n v="1552.2661787312859"/>
    <n v="0.76091004468018886"/>
    <n v="74"/>
    <n v="65"/>
    <n v="0"/>
    <n v="9"/>
    <n v="1"/>
    <n v="0.36987516490408157"/>
    <n v="1.2"/>
    <n v="70.3"/>
    <n v="84.36"/>
    <n v="7.460244715863567"/>
    <n v="1676.8352179860487"/>
    <n v="0"/>
    <n v="0"/>
    <n v="0"/>
    <n v="0"/>
    <n v="1"/>
    <n v="0"/>
    <n v="0"/>
    <n v="0"/>
    <n v="0"/>
    <n v="0"/>
  </r>
  <r>
    <d v="2005-09-14T00:00:00"/>
    <n v="2005"/>
    <x v="38"/>
    <s v="P"/>
    <n v="3"/>
    <x v="4"/>
    <s v="CON"/>
    <s v="A"/>
    <n v="3"/>
    <n v="3"/>
    <n v="0"/>
    <n v="0"/>
    <n v="0"/>
    <n v="0"/>
    <n v="1676.8352179860487"/>
    <n v="1690.9086548642463"/>
    <n v="0.36249392648574952"/>
    <n v="69"/>
    <n v="65"/>
    <n v="0"/>
    <n v="4"/>
    <n v="1"/>
    <n v="0.30782263290894218"/>
    <n v="1.35"/>
    <n v="70.150000000000006"/>
    <n v="94.702500000000015"/>
    <n v="18.584304771818566"/>
    <n v="1695.4195227578673"/>
    <n v="0"/>
    <n v="0"/>
    <n v="0"/>
    <n v="0"/>
    <n v="0"/>
    <n v="0"/>
    <n v="1"/>
    <n v="0"/>
    <n v="0"/>
    <n v="0"/>
  </r>
  <r>
    <d v="2005-09-14T00:00:00"/>
    <n v="2005"/>
    <x v="38"/>
    <s v="P"/>
    <n v="3"/>
    <x v="2"/>
    <s v="SAC"/>
    <s v="H"/>
    <n v="3"/>
    <n v="3"/>
    <n v="0"/>
    <n v="0"/>
    <n v="0"/>
    <n v="0"/>
    <n v="1690.9086548642463"/>
    <n v="1676.8352179860487"/>
    <n v="0.63750607351425048"/>
    <n v="65"/>
    <n v="69"/>
    <n v="0"/>
    <n v="-4"/>
    <n v="0"/>
    <n v="0.30782263290894218"/>
    <n v="1.35"/>
    <n v="70.150000000000006"/>
    <n v="94.702500000000015"/>
    <n v="-18.584304771818566"/>
    <n v="1672.3243500924277"/>
    <n v="0"/>
    <n v="0"/>
    <n v="0"/>
    <n v="0"/>
    <n v="0"/>
    <n v="0"/>
    <n v="0"/>
    <n v="1"/>
    <n v="0"/>
    <n v="0"/>
  </r>
  <r>
    <d v="2005-09-15T00:00:00"/>
    <n v="2005"/>
    <x v="39"/>
    <s v="P"/>
    <n v="3"/>
    <x v="4"/>
    <s v="CON"/>
    <s v="A"/>
    <n v="0"/>
    <n v="0"/>
    <n v="0"/>
    <n v="0"/>
    <n v="0"/>
    <n v="0"/>
    <n v="1695.4195227578673"/>
    <n v="1672.3243500924277"/>
    <n v="0.41323781068137022"/>
    <n v="70"/>
    <n v="77"/>
    <n v="1"/>
    <n v="-7"/>
    <n v="0"/>
    <n v="0.3268067401615542"/>
    <n v="1.35"/>
    <n v="70"/>
    <n v="94.5"/>
    <n v="-12.76212122201609"/>
    <n v="1682.6574015358512"/>
    <n v="0"/>
    <n v="0"/>
    <n v="0"/>
    <n v="0"/>
    <n v="0"/>
    <n v="0"/>
    <n v="0"/>
    <n v="1"/>
    <n v="0"/>
    <n v="0"/>
  </r>
  <r>
    <d v="2005-09-15T00:00:00"/>
    <n v="2005"/>
    <x v="39"/>
    <s v="P"/>
    <n v="3"/>
    <x v="2"/>
    <s v="SAC"/>
    <s v="H"/>
    <n v="0"/>
    <n v="0"/>
    <n v="0"/>
    <n v="0"/>
    <n v="0"/>
    <n v="0"/>
    <n v="1672.3243500924277"/>
    <n v="1695.4195227578673"/>
    <n v="0.58676218931862978"/>
    <n v="77"/>
    <n v="70"/>
    <n v="1"/>
    <n v="7"/>
    <n v="1"/>
    <n v="0.3268067401615542"/>
    <n v="1.35"/>
    <n v="70"/>
    <n v="94.5"/>
    <n v="12.76212122201609"/>
    <n v="1685.0864713144438"/>
    <n v="0"/>
    <n v="0"/>
    <n v="0"/>
    <n v="0"/>
    <n v="0"/>
    <n v="0"/>
    <n v="1"/>
    <n v="0"/>
    <n v="0"/>
    <n v="0"/>
  </r>
  <r>
    <d v="2005-09-18T00:00:00"/>
    <n v="2005"/>
    <x v="40"/>
    <s v="P"/>
    <n v="3"/>
    <x v="2"/>
    <s v="SAC"/>
    <s v="A"/>
    <n v="2"/>
    <n v="2"/>
    <n v="0"/>
    <n v="0"/>
    <n v="0"/>
    <n v="0"/>
    <n v="1685.0864713144438"/>
    <n v="1682.6574015358512"/>
    <n v="0.3847203862893257"/>
    <n v="55"/>
    <n v="66"/>
    <n v="0"/>
    <n v="-11"/>
    <n v="0"/>
    <n v="0.43894744195293273"/>
    <n v="1.35"/>
    <n v="69.849999999999994"/>
    <n v="94.297499999999999"/>
    <n v="-15.924210195066383"/>
    <n v="1669.1622611193775"/>
    <n v="0"/>
    <n v="0"/>
    <n v="0"/>
    <n v="0"/>
    <n v="0"/>
    <n v="0"/>
    <n v="0"/>
    <n v="1"/>
    <n v="0"/>
    <n v="0"/>
  </r>
  <r>
    <d v="2005-09-18T00:00:00"/>
    <n v="2005"/>
    <x v="40"/>
    <s v="P"/>
    <n v="3"/>
    <x v="4"/>
    <s v="CON"/>
    <s v="H"/>
    <n v="2"/>
    <n v="2"/>
    <n v="0"/>
    <n v="0"/>
    <n v="0"/>
    <n v="0"/>
    <n v="1682.6574015358512"/>
    <n v="1685.0864713144438"/>
    <n v="0.6152796137106743"/>
    <n v="66"/>
    <n v="55"/>
    <n v="0"/>
    <n v="11"/>
    <n v="1"/>
    <n v="0.43894744195293273"/>
    <n v="1.35"/>
    <n v="69.849999999999994"/>
    <n v="94.297499999999999"/>
    <n v="15.924210195066383"/>
    <n v="1698.5816117309175"/>
    <n v="0"/>
    <n v="0"/>
    <n v="0"/>
    <n v="0"/>
    <n v="0"/>
    <n v="0"/>
    <n v="1"/>
    <n v="0"/>
    <n v="0"/>
    <n v="0"/>
  </r>
  <r>
    <d v="2005-09-20T00:00:00"/>
    <n v="2005"/>
    <x v="41"/>
    <s v="P"/>
    <n v="3"/>
    <x v="2"/>
    <s v="SAC"/>
    <s v="A"/>
    <n v="1"/>
    <n v="1"/>
    <n v="0"/>
    <n v="0"/>
    <n v="0"/>
    <n v="0"/>
    <n v="1669.1622611193775"/>
    <n v="1698.5816117309175"/>
    <n v="0.34233761804392643"/>
    <n v="59"/>
    <n v="62"/>
    <n v="0"/>
    <n v="-3"/>
    <n v="0"/>
    <n v="0.28323958391027221"/>
    <n v="1.35"/>
    <n v="69.7"/>
    <n v="94.095000000000013"/>
    <n v="-9.1237866008366719"/>
    <n v="1660.0384745185409"/>
    <n v="0"/>
    <n v="0"/>
    <n v="0"/>
    <n v="0"/>
    <n v="0"/>
    <n v="0"/>
    <n v="0"/>
    <n v="1"/>
    <n v="0"/>
    <n v="0"/>
  </r>
  <r>
    <d v="2005-09-20T00:00:00"/>
    <n v="2005"/>
    <x v="41"/>
    <s v="P"/>
    <n v="3"/>
    <x v="4"/>
    <s v="CON"/>
    <s v="H"/>
    <n v="1"/>
    <n v="1"/>
    <n v="0"/>
    <n v="0"/>
    <n v="0"/>
    <n v="0"/>
    <n v="1698.5816117309175"/>
    <n v="1669.1622611193775"/>
    <n v="0.65766238195607363"/>
    <n v="62"/>
    <n v="59"/>
    <n v="0"/>
    <n v="3"/>
    <n v="1"/>
    <n v="0.28323958391027221"/>
    <n v="1.35"/>
    <n v="69.7"/>
    <n v="94.095000000000013"/>
    <n v="9.1237866008366701"/>
    <n v="1707.7053983317542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7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8">
        <item m="1" x="38"/>
        <item m="1" x="32"/>
        <item m="1" x="49"/>
        <item m="1" x="25"/>
        <item m="1" x="23"/>
        <item m="1" x="37"/>
        <item m="1" x="53"/>
        <item x="1"/>
        <item m="1" x="22"/>
        <item m="1" x="39"/>
        <item m="1" x="13"/>
        <item x="2"/>
        <item m="1" x="27"/>
        <item m="1" x="31"/>
        <item x="3"/>
        <item m="1" x="54"/>
        <item m="1" x="34"/>
        <item x="6"/>
        <item x="11"/>
        <item m="1" x="48"/>
        <item m="1" x="47"/>
        <item m="1" x="21"/>
        <item m="1" x="20"/>
        <item m="1" x="56"/>
        <item x="8"/>
        <item m="1" x="55"/>
        <item m="1" x="24"/>
        <item m="1" x="15"/>
        <item m="1" x="33"/>
        <item x="10"/>
        <item m="1" x="41"/>
        <item m="1" x="18"/>
        <item m="1" x="28"/>
        <item m="1" x="42"/>
        <item m="1" x="50"/>
        <item x="12"/>
        <item m="1" x="43"/>
        <item m="1" x="30"/>
        <item m="1" x="17"/>
        <item m="1" x="26"/>
        <item x="5"/>
        <item m="1" x="45"/>
        <item m="1" x="16"/>
        <item m="1" x="29"/>
        <item x="4"/>
        <item x="7"/>
        <item m="1" x="40"/>
        <item x="9"/>
        <item m="1" x="51"/>
        <item m="1" x="46"/>
        <item m="1" x="52"/>
        <item m="1" x="44"/>
        <item m="1" x="19"/>
        <item m="1" x="14"/>
        <item m="1" x="36"/>
        <item x="0"/>
        <item m="1" x="35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4">
    <i>
      <x v="7"/>
    </i>
    <i>
      <x v="11"/>
    </i>
    <i>
      <x v="14"/>
    </i>
    <i>
      <x v="17"/>
    </i>
    <i>
      <x v="18"/>
    </i>
    <i>
      <x v="24"/>
    </i>
    <i>
      <x v="29"/>
    </i>
    <i>
      <x v="35"/>
    </i>
    <i>
      <x v="40"/>
    </i>
    <i>
      <x v="44"/>
    </i>
    <i>
      <x v="45"/>
    </i>
    <i>
      <x v="47"/>
    </i>
    <i>
      <x v="5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5">
      <pivotArea outline="0" collapsedLevelsAreSubtotals="1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6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4" totalsRowShown="0">
  <autoFilter ref="A1:D14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4">
    <sortCondition ref="C10:C14"/>
  </sortState>
  <tableColumns count="4">
    <tableColumn id="1" xr3:uid="{8C17ECDF-4459-4994-A3F5-8E8FEDF92B6F}" name="TeamID"/>
    <tableColumn id="4" xr3:uid="{789F069E-DAF9-4B19-A6DB-107BA6995CE5}" name="Logo" dataDxfId="48"/>
    <tableColumn id="5" xr3:uid="{A9DA91BA-5529-4913-978B-19C8EF225B29}" name="TeamName" dataDxfId="47"/>
    <tableColumn id="2" xr3:uid="{AA4C8157-DB69-4779-8EEE-6F419B992D71}" name="PreSeasonElo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77" totalsRowShown="0" headerRowDxfId="43" dataDxfId="42">
  <autoFilter ref="A1:AL477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41"/>
    <tableColumn id="21" xr3:uid="{D754AB95-C77C-4DD5-B1B9-A24A4FEE7279}" name="Season" dataDxfId="40"/>
    <tableColumn id="19" xr3:uid="{4C42B78B-6AFC-42C3-A5F4-3266E247C458}" name="GamesPlayed" dataDxfId="39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8"/>
    <tableColumn id="14" xr3:uid="{EFA83923-8CCA-4DC9-BC85-5D86949A45D9}" name="Round" dataDxfId="37"/>
    <tableColumn id="2" xr3:uid="{6E102E51-A49B-416B-8CD2-B93B2A4EA389}" name="Team" dataDxfId="36"/>
    <tableColumn id="3" xr3:uid="{19101345-1C34-4AF3-88E6-76A7F19B7FE6}" name="Opponent" dataDxfId="35"/>
    <tableColumn id="16" xr3:uid="{4CBCDF29-B095-48DF-8EF6-06DC7D78C844}" name="HomeAway" dataDxfId="34"/>
    <tableColumn id="32" xr3:uid="{E3FA53E3-DAD6-4BC2-969A-C53F4798E86D}" name="DaysOff" dataDxfId="33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2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31">
      <calculatedColumnFormula>Games[[#This Row],[DaysOff]]-Games[[#This Row],[OppDaysOff]]</calculatedColumnFormula>
    </tableColumn>
    <tableColumn id="35" xr3:uid="{3F2DB366-7372-41BA-8B0C-09F9BA7EA850}" name="OppRestDiff" dataDxfId="30">
      <calculatedColumnFormula>Games[[#This Row],[OppDaysOff]]-Games[[#This Row],[DaysOff]]</calculatedColumnFormula>
    </tableColumn>
    <tableColumn id="36" xr3:uid="{BDD0FD2C-608F-4CCC-867B-4481F0F4B802}" name="RestAdj" dataDxfId="29">
      <calculatedColumnFormula>MAX(-16, MIN(16, Games[[#This Row],[RestDiff]]*8))</calculatedColumnFormula>
    </tableColumn>
    <tableColumn id="37" xr3:uid="{5F89213A-4C28-428C-B766-3B05D4F530A5}" name="OppRestAdj" dataDxfId="28">
      <calculatedColumnFormula>MAX(-16, MIN(16, Games[[#This Row],[OppRestDiff]]*8))</calculatedColumnFormula>
    </tableColumn>
    <tableColumn id="4" xr3:uid="{68053CFA-948B-4F2C-A114-7C46ABD9EA33}" name="PreGmRate" dataDxfId="27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6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5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4"/>
    <tableColumn id="8" xr3:uid="{0CDDF0F9-2F1E-487C-96DD-90F70CE7DAFC}" name="PointsAgainst" dataDxfId="23"/>
    <tableColumn id="22" xr3:uid="{AB7B5B5C-5BAD-4213-990E-8EB9B177497C}" name="OT" dataDxfId="22"/>
    <tableColumn id="9" xr3:uid="{CE171F1D-5E5D-4800-A6DC-8F6DBD74C939}" name="MOV" dataDxfId="21">
      <calculatedColumnFormula>Games[[#This Row],[PointsFor]]-Games[[#This Row],[PointsAgainst]]</calculatedColumnFormula>
    </tableColumn>
    <tableColumn id="10" xr3:uid="{883A3911-25F6-4C39-9637-F1C42D6A1FC2}" name="Result" dataDxfId="20">
      <calculatedColumnFormula>IF(Games[[#This Row],[MOV]]&gt;0,1,IF(Games[[#This Row],[MOV]]=0,0.5,0))</calculatedColumnFormula>
    </tableColumn>
    <tableColumn id="15" xr3:uid="{00048431-5FD6-47EE-807E-5B63FD521193}" name="MOVMult" dataDxfId="19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8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17">
      <calculatedColumnFormula>MAX(kmin, kmax - 0.15 * MIN(Games[[#This Row],[GamesPlayed]], 82))</calculatedColumnFormula>
    </tableColumn>
    <tableColumn id="29" xr3:uid="{FBA5D644-15ED-4725-9E52-1D37FD0FAC64}" name="Keff" dataDxfId="16">
      <calculatedColumnFormula>Games[[#This Row],[K]]*Games[[#This Row],[POMult]]</calculatedColumnFormula>
    </tableColumn>
    <tableColumn id="11" xr3:uid="{309DAEBD-E62C-4090-89E9-A58FD32AB89B}" name="RatingChange" dataDxfId="15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4">
      <calculatedColumnFormula>Games[[#This Row],[PreGmRate]]+Games[[#This Row],[RatingChange]]</calculatedColumnFormula>
    </tableColumn>
    <tableColumn id="17" xr3:uid="{90B7BF87-E472-4474-A10D-555BD3BF8F04}" name="W" dataDxfId="13">
      <calculatedColumnFormula>IF(Games[[#This Row],[Type]]="R",IF(Games[[#This Row],[Result]]&gt;0.5,1,0),0)</calculatedColumnFormula>
    </tableColumn>
    <tableColumn id="18" xr3:uid="{29756EA1-783D-4C76-A7B8-F906AF0EC7E7}" name="L" dataDxfId="12">
      <calculatedColumnFormula>IF(Games[[#This Row],[Type]]="R",IF(Games[[#This Row],[Result]]&lt;0.5,1,0),0)</calculatedColumnFormula>
    </tableColumn>
    <tableColumn id="23" xr3:uid="{C253CFA7-28A4-4AE5-B131-DC1E8F2B73F8}" name="R1W" dataDxfId="11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10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9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8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7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6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5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4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8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1449.4278846976563</v>
      </c>
      <c r="G2" t="s">
        <v>68</v>
      </c>
      <c r="H2" s="12">
        <v>1334.8876459130818</v>
      </c>
    </row>
    <row r="3" spans="1:8" x14ac:dyDescent="0.35">
      <c r="A3" t="s">
        <v>86</v>
      </c>
      <c r="B3" s="8"/>
      <c r="C3" s="15" t="s">
        <v>85</v>
      </c>
      <c r="D3" s="13">
        <v>1556.2289108288146</v>
      </c>
      <c r="G3" t="s">
        <v>85</v>
      </c>
      <c r="H3" s="12">
        <v>1660.0384745185409</v>
      </c>
    </row>
    <row r="4" spans="1:8" x14ac:dyDescent="0.35">
      <c r="A4" t="s">
        <v>75</v>
      </c>
      <c r="B4" s="8"/>
      <c r="C4" s="15" t="s">
        <v>76</v>
      </c>
      <c r="D4" s="13">
        <v>1508.9121562549094</v>
      </c>
      <c r="G4" t="s">
        <v>76</v>
      </c>
      <c r="H4" s="12">
        <v>1461.7374900062805</v>
      </c>
    </row>
    <row r="5" spans="1:8" x14ac:dyDescent="0.35">
      <c r="A5" t="s">
        <v>2</v>
      </c>
      <c r="B5" s="8"/>
      <c r="C5" s="15" t="s">
        <v>65</v>
      </c>
      <c r="D5" s="13">
        <v>1444.9797026186211</v>
      </c>
      <c r="G5" t="s">
        <v>65</v>
      </c>
      <c r="H5" s="12">
        <v>1544.8218520340195</v>
      </c>
    </row>
    <row r="6" spans="1:8" x14ac:dyDescent="0.35">
      <c r="A6" t="s">
        <v>79</v>
      </c>
      <c r="B6" s="8"/>
      <c r="C6" s="15" t="s">
        <v>80</v>
      </c>
      <c r="D6" s="13">
        <v>1445.4726390201686</v>
      </c>
      <c r="G6" t="s">
        <v>80</v>
      </c>
      <c r="H6" s="12">
        <v>1558.8859035717262</v>
      </c>
    </row>
    <row r="7" spans="1:8" x14ac:dyDescent="0.35">
      <c r="A7" t="s">
        <v>70</v>
      </c>
      <c r="B7" s="8"/>
      <c r="C7" s="15" t="s">
        <v>71</v>
      </c>
      <c r="D7" s="13">
        <v>1609.6139416315009</v>
      </c>
      <c r="G7" t="s">
        <v>71</v>
      </c>
      <c r="H7" s="12">
        <v>1486.6612439048865</v>
      </c>
    </row>
    <row r="8" spans="1:8" x14ac:dyDescent="0.35">
      <c r="A8" t="s">
        <v>77</v>
      </c>
      <c r="B8" s="8"/>
      <c r="C8" s="15" t="s">
        <v>78</v>
      </c>
      <c r="D8" s="13">
        <v>1478.0093139465582</v>
      </c>
      <c r="G8" t="s">
        <v>78</v>
      </c>
      <c r="H8" s="12">
        <v>1426.8597299264743</v>
      </c>
    </row>
    <row r="9" spans="1:8" x14ac:dyDescent="0.35">
      <c r="A9" t="s">
        <v>66</v>
      </c>
      <c r="B9" s="8"/>
      <c r="C9" s="15" t="s">
        <v>67</v>
      </c>
      <c r="D9" s="13">
        <v>1469.8173153788766</v>
      </c>
      <c r="G9" t="s">
        <v>67</v>
      </c>
      <c r="H9" s="12">
        <v>1486.3194747677353</v>
      </c>
    </row>
    <row r="10" spans="1:8" x14ac:dyDescent="0.35">
      <c r="A10" t="s">
        <v>44</v>
      </c>
      <c r="B10" s="8"/>
      <c r="C10" s="15" t="s">
        <v>69</v>
      </c>
      <c r="D10" s="13">
        <v>1504.0038968446224</v>
      </c>
      <c r="G10" t="s">
        <v>69</v>
      </c>
      <c r="H10" s="12">
        <v>1500.6824084719617</v>
      </c>
    </row>
    <row r="11" spans="1:8" x14ac:dyDescent="0.35">
      <c r="A11" t="s">
        <v>45</v>
      </c>
      <c r="B11" s="8"/>
      <c r="C11" s="15" t="s">
        <v>72</v>
      </c>
      <c r="D11" s="13">
        <v>1580.1929617627434</v>
      </c>
      <c r="G11" t="s">
        <v>72</v>
      </c>
      <c r="H11" s="12">
        <v>1707.7053983317542</v>
      </c>
    </row>
    <row r="12" spans="1:8" x14ac:dyDescent="0.35">
      <c r="A12" t="s">
        <v>84</v>
      </c>
      <c r="B12" s="8"/>
      <c r="C12" s="15" t="s">
        <v>83</v>
      </c>
      <c r="D12" s="13">
        <v>1372.9188597151965</v>
      </c>
      <c r="G12" t="s">
        <v>83</v>
      </c>
      <c r="H12" s="12">
        <v>1310.8824704806163</v>
      </c>
    </row>
    <row r="13" spans="1:8" x14ac:dyDescent="0.35">
      <c r="A13" t="s">
        <v>81</v>
      </c>
      <c r="B13" s="8"/>
      <c r="C13" s="15" t="s">
        <v>82</v>
      </c>
      <c r="D13" s="13">
        <v>1631.3206960245427</v>
      </c>
      <c r="G13" t="s">
        <v>82</v>
      </c>
      <c r="H13" s="12">
        <v>1557.4496424274842</v>
      </c>
    </row>
    <row r="14" spans="1:8" x14ac:dyDescent="0.35">
      <c r="A14" t="s">
        <v>73</v>
      </c>
      <c r="B14" s="8"/>
      <c r="C14" s="15" t="s">
        <v>74</v>
      </c>
      <c r="D14" s="13">
        <v>1468.1261647562219</v>
      </c>
      <c r="G14" t="s">
        <v>74</v>
      </c>
      <c r="H14" s="12">
        <v>1473.2198700737006</v>
      </c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15"/>
      <c r="D24" s="13"/>
    </row>
    <row r="25" spans="2:4" x14ac:dyDescent="0.35">
      <c r="B25" s="8"/>
      <c r="C25" s="15"/>
      <c r="D25" s="13"/>
    </row>
    <row r="26" spans="2:4" x14ac:dyDescent="0.35">
      <c r="B26" s="8"/>
      <c r="C26" s="8"/>
      <c r="D26" s="13"/>
    </row>
    <row r="27" spans="2:4" x14ac:dyDescent="0.35">
      <c r="B27" s="8"/>
      <c r="C27" s="8"/>
      <c r="D27" s="13"/>
    </row>
    <row r="28" spans="2:4" x14ac:dyDescent="0.35">
      <c r="B28" s="8"/>
      <c r="C28" s="8"/>
      <c r="D28" s="13"/>
    </row>
  </sheetData>
  <sortState xmlns:xlrd2="http://schemas.microsoft.com/office/spreadsheetml/2017/richdata2" ref="G2:H14">
    <sortCondition ref="G2:G1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7"/>
  <sheetViews>
    <sheetView workbookViewId="0">
      <selection activeCell="G2" sqref="G2:G14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4">_xlfn.SORTBY(A25:H37,G25:G37,-1)</f>
        <v>SAC</v>
      </c>
      <c r="B2">
        <v>0</v>
      </c>
      <c r="C2" t="str">
        <v>Sacramento Monarchs</v>
      </c>
      <c r="D2" s="1">
        <v>25</v>
      </c>
      <c r="E2" s="1">
        <v>9</v>
      </c>
      <c r="F2" s="3">
        <v>0.73529411764705888</v>
      </c>
      <c r="G2" s="9">
        <v>1707.7053983317542</v>
      </c>
      <c r="H2" s="1">
        <v>38615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2</v>
      </c>
      <c r="AO2" s="1">
        <f>_xlfn.XLOOKUP($AK2,StandingsPivot!$A$4:$A$33,StandingsPivot!E$4:E$33)</f>
        <v>1</v>
      </c>
      <c r="AP2" s="1">
        <f>_xlfn.XLOOKUP($AK2,StandingsPivot!$A$4:$A$33,StandingsPivot!F$4:F$33)</f>
        <v>0</v>
      </c>
      <c r="AQ2" s="1">
        <f>_xlfn.XLOOKUP($AK2,StandingsPivot!$A$4:$A$33,StandingsPivot!G$4:G$33)</f>
        <v>2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2</v>
      </c>
      <c r="AW2" s="1">
        <f t="shared" ref="AW2:AW5" si="1">SUM(AO2,AQ2,AS2,AU2)</f>
        <v>3</v>
      </c>
      <c r="AX2" s="4" cm="1">
        <f t="array" ref="AX2">_xlfn.IFNA(INDEX(Games[PostGmRate], MATCH(1, (Games[Team]=AK2)*(Games[Date]=AY2), 0)),0)</f>
        <v>1544.8218520340195</v>
      </c>
      <c r="AY2" s="1">
        <f>_xlfn.MAXIFS(Games[Date], Games[Team], AK2)</f>
        <v>38605</v>
      </c>
      <c r="AZ2">
        <f t="shared" ref="AZ2:AZ5" si="2">SUM(AV2:AW2)</f>
        <v>5</v>
      </c>
    </row>
    <row r="3" spans="1:68" x14ac:dyDescent="0.35">
      <c r="A3" t="str">
        <v>CON</v>
      </c>
      <c r="B3">
        <v>0</v>
      </c>
      <c r="C3" t="str">
        <v>Connecticut Sun</v>
      </c>
      <c r="D3" s="1">
        <v>26</v>
      </c>
      <c r="E3" s="1">
        <v>8</v>
      </c>
      <c r="F3" s="3">
        <v>0.76470588235294112</v>
      </c>
      <c r="G3" s="9">
        <v>1660.0384745185409</v>
      </c>
      <c r="H3" s="1">
        <v>38615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2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2</v>
      </c>
      <c r="AX3" s="4" cm="1">
        <f t="array" ref="AX3">_xlfn.IFNA(INDEX(Games[PostGmRate], MATCH(1, (Games[Team]=AK3)*(Games[Date]=AY3), 0)),0)</f>
        <v>1486.3194747677353</v>
      </c>
      <c r="AY3" s="1">
        <f>_xlfn.MAXIFS(Games[Date], Games[Team], AK3)</f>
        <v>38596</v>
      </c>
      <c r="AZ3">
        <f t="shared" si="2"/>
        <v>2</v>
      </c>
    </row>
    <row r="4" spans="1:68" x14ac:dyDescent="0.35">
      <c r="A4" t="str">
        <v>IND</v>
      </c>
      <c r="B4">
        <v>0</v>
      </c>
      <c r="C4" t="str">
        <v>Indiana Fever</v>
      </c>
      <c r="D4" s="1">
        <v>21</v>
      </c>
      <c r="E4" s="1">
        <v>13</v>
      </c>
      <c r="F4" s="3">
        <v>0.61764705882352944</v>
      </c>
      <c r="G4" s="9">
        <v>1558.8859035717262</v>
      </c>
      <c r="H4" s="1">
        <v>38605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0</v>
      </c>
      <c r="AO4" s="1">
        <f>_xlfn.XLOOKUP($AK4,StandingsPivot!$A$4:$A$33,StandingsPivot!E$4:E$33)</f>
        <v>0</v>
      </c>
      <c r="AP4" s="1">
        <f>_xlfn.XLOOKUP($AK4,StandingsPivot!$A$4:$A$33,StandingsPivot!F$4:F$33)</f>
        <v>0</v>
      </c>
      <c r="AQ4" s="1">
        <f>_xlfn.XLOOKUP($AK4,StandingsPivot!$A$4:$A$33,StandingsPivot!G$4:G$33)</f>
        <v>0</v>
      </c>
      <c r="AR4" s="1">
        <f>_xlfn.XLOOKUP($AK4,StandingsPivot!$A$4:$A$33,StandingsPivot!H$4:H$33)</f>
        <v>0</v>
      </c>
      <c r="AS4" s="1">
        <f>_xlfn.XLOOKUP($AK4,StandingsPivot!$A$4:$A$33,StandingsPivot!I$4:I$33)</f>
        <v>0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0</v>
      </c>
      <c r="AW4" s="1">
        <f t="shared" si="1"/>
        <v>0</v>
      </c>
      <c r="AX4" s="4" cm="1">
        <f t="array" ref="AX4">_xlfn.IFNA(INDEX(Games[PostGmRate], MATCH(1, (Games[Team]=AK4)*(Games[Date]=AY4), 0)),0)</f>
        <v>1334.8876459130818</v>
      </c>
      <c r="AY4" s="1">
        <f>_xlfn.MAXIFS(Games[Date], Games[Team], AK4)</f>
        <v>38591</v>
      </c>
      <c r="AZ4">
        <f t="shared" si="2"/>
        <v>0</v>
      </c>
    </row>
    <row r="5" spans="1:68" x14ac:dyDescent="0.35">
      <c r="A5" t="str">
        <v>SEA</v>
      </c>
      <c r="B5">
        <v>0</v>
      </c>
      <c r="C5" t="str">
        <v>Seattle Storm</v>
      </c>
      <c r="D5" s="1">
        <v>20</v>
      </c>
      <c r="E5" s="1">
        <v>14</v>
      </c>
      <c r="F5" s="3">
        <v>0.58823529411764708</v>
      </c>
      <c r="G5" s="9">
        <v>1557.4496424274842</v>
      </c>
      <c r="H5" s="1">
        <v>38598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HOU</v>
      </c>
      <c r="B6">
        <v>0</v>
      </c>
      <c r="C6" t="str">
        <v>Houston Comets</v>
      </c>
      <c r="D6" s="1">
        <v>19</v>
      </c>
      <c r="E6" s="1">
        <v>15</v>
      </c>
      <c r="F6" s="3">
        <v>0.55882352941176472</v>
      </c>
      <c r="G6" s="9">
        <v>1544.8218520340195</v>
      </c>
      <c r="H6" s="1">
        <v>38605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1500.6824084719617</v>
      </c>
      <c r="AY6" s="1">
        <f>_xlfn.MAXIFS(Games[Date], Games[Team], AK6)</f>
        <v>38591</v>
      </c>
      <c r="AZ6">
        <f>SUM(AV6:AW6)</f>
        <v>0</v>
      </c>
      <c r="BO6" s="4"/>
      <c r="BP6" s="1"/>
    </row>
    <row r="7" spans="1:68" x14ac:dyDescent="0.35">
      <c r="A7" t="str">
        <v>PHX</v>
      </c>
      <c r="B7">
        <v>0</v>
      </c>
      <c r="C7" t="str">
        <v>Phoenix Mercury</v>
      </c>
      <c r="D7" s="1">
        <v>16</v>
      </c>
      <c r="E7" s="1">
        <v>18</v>
      </c>
      <c r="F7" s="3">
        <v>0.47058823529411764</v>
      </c>
      <c r="G7" s="9">
        <v>1500.6824084719617</v>
      </c>
      <c r="H7" s="1">
        <v>38591</v>
      </c>
      <c r="AK7" t="s">
        <v>70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2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2</v>
      </c>
      <c r="AX7" s="4" cm="1">
        <f t="array" ref="AX7">_xlfn.IFNA(INDEX(Games[PostGmRate], MATCH(1, (Games[Team]=AK7)*(Games[Date]=AY7), 0)),0)</f>
        <v>1486.6612439048865</v>
      </c>
      <c r="AY7" s="1">
        <f>_xlfn.MAXIFS(Games[Date], Games[Team], AK7)</f>
        <v>38597</v>
      </c>
      <c r="AZ7">
        <f>SUM(AV7:AW7)</f>
        <v>2</v>
      </c>
      <c r="BO7" s="4"/>
      <c r="BP7" s="1"/>
    </row>
    <row r="8" spans="1:68" x14ac:dyDescent="0.35">
      <c r="A8" t="str">
        <v>LAS</v>
      </c>
      <c r="B8">
        <v>0</v>
      </c>
      <c r="C8" t="str">
        <v>Los Angeles Sparks</v>
      </c>
      <c r="D8" s="1">
        <v>17</v>
      </c>
      <c r="E8" s="1">
        <v>17</v>
      </c>
      <c r="F8" s="3">
        <v>0.5</v>
      </c>
      <c r="G8" s="9">
        <v>1486.6612439048865</v>
      </c>
      <c r="H8" s="1">
        <v>38597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2</v>
      </c>
      <c r="AO8" s="1">
        <f>_xlfn.XLOOKUP($AK8,StandingsPivot!$A$4:$A$33,StandingsPivot!E$4:E$33)</f>
        <v>0</v>
      </c>
      <c r="AP8" s="1">
        <f>_xlfn.XLOOKUP($AK8,StandingsPivot!$A$4:$A$33,StandingsPivot!F$4:F$33)</f>
        <v>2</v>
      </c>
      <c r="AQ8" s="1">
        <f>_xlfn.XLOOKUP($AK8,StandingsPivot!$A$4:$A$33,StandingsPivot!G$4:G$33)</f>
        <v>0</v>
      </c>
      <c r="AR8" s="1">
        <f>_xlfn.XLOOKUP($AK8,StandingsPivot!$A$4:$A$33,StandingsPivot!H$4:H$33)</f>
        <v>3</v>
      </c>
      <c r="AS8" s="1">
        <f>_xlfn.XLOOKUP($AK8,StandingsPivot!$A$4:$A$33,StandingsPivot!I$4:I$33)</f>
        <v>1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7</v>
      </c>
      <c r="AW8" s="1">
        <f t="shared" si="3"/>
        <v>1</v>
      </c>
      <c r="AX8" s="4" cm="1">
        <f t="array" ref="AX8">_xlfn.IFNA(INDEX(Games[PostGmRate], MATCH(1, (Games[Team]=AK8)*(Games[Date]=AY8), 0)),0)</f>
        <v>1707.7053983317542</v>
      </c>
      <c r="AY8" s="1">
        <f>_xlfn.MAXIFS(Games[Date], Games[Team], AK8)</f>
        <v>38615</v>
      </c>
      <c r="AZ8">
        <f>SUM(AV8:AW8)</f>
        <v>8</v>
      </c>
      <c r="BO8" s="4"/>
      <c r="BP8" s="1"/>
    </row>
    <row r="9" spans="1:68" x14ac:dyDescent="0.35">
      <c r="A9" t="str">
        <v>NYL</v>
      </c>
      <c r="B9">
        <v>0</v>
      </c>
      <c r="C9" t="str">
        <v>New York Liberty</v>
      </c>
      <c r="D9" s="1">
        <v>18</v>
      </c>
      <c r="E9" s="1">
        <v>16</v>
      </c>
      <c r="F9" s="3">
        <v>0.52941176470588236</v>
      </c>
      <c r="G9" s="9">
        <v>1486.3194747677353</v>
      </c>
      <c r="H9" s="1">
        <v>38596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WAS</v>
      </c>
      <c r="B10">
        <v>0</v>
      </c>
      <c r="C10" t="str">
        <v>Washington Mystics</v>
      </c>
      <c r="D10" s="1">
        <v>16</v>
      </c>
      <c r="E10" s="1">
        <v>18</v>
      </c>
      <c r="F10" s="3">
        <v>0.47058823529411764</v>
      </c>
      <c r="G10" s="9">
        <v>1473.2198700737006</v>
      </c>
      <c r="H10" s="1">
        <v>38591</v>
      </c>
      <c r="O10" s="3"/>
      <c r="P10" s="4"/>
      <c r="Q10" s="1"/>
      <c r="AX10" s="4"/>
      <c r="BO10" s="4"/>
      <c r="BP10" s="1"/>
    </row>
    <row r="11" spans="1:68" x14ac:dyDescent="0.35">
      <c r="A11" t="str">
        <v>DET</v>
      </c>
      <c r="B11">
        <v>0</v>
      </c>
      <c r="C11" t="str">
        <v>Detroit Shock</v>
      </c>
      <c r="D11" s="1">
        <v>16</v>
      </c>
      <c r="E11" s="1">
        <v>18</v>
      </c>
      <c r="F11" s="3">
        <v>0.47058823529411764</v>
      </c>
      <c r="G11" s="9">
        <v>1461.7374900062805</v>
      </c>
      <c r="H11" s="1">
        <v>38597</v>
      </c>
      <c r="O11" s="3"/>
      <c r="P11" s="4"/>
      <c r="Q11" s="1"/>
      <c r="AX11" s="4"/>
      <c r="BO11" s="4"/>
      <c r="BP11" s="1"/>
    </row>
    <row r="12" spans="1:68" x14ac:dyDescent="0.35">
      <c r="A12" t="str">
        <v>MIN</v>
      </c>
      <c r="B12">
        <v>0</v>
      </c>
      <c r="C12" t="str">
        <v>Minnesota Lynx</v>
      </c>
      <c r="D12" s="1">
        <v>14</v>
      </c>
      <c r="E12" s="1">
        <v>20</v>
      </c>
      <c r="F12" s="3">
        <v>0.41176470588235292</v>
      </c>
      <c r="G12" s="9">
        <v>1426.8597299264743</v>
      </c>
      <c r="H12" s="1">
        <v>38591</v>
      </c>
      <c r="O12" s="3"/>
      <c r="P12" s="4"/>
      <c r="Q12" s="1"/>
      <c r="AX12" s="4"/>
      <c r="BO12" s="4"/>
      <c r="BP12" s="1"/>
    </row>
    <row r="13" spans="1:68" x14ac:dyDescent="0.35">
      <c r="A13" t="str">
        <v>CHA</v>
      </c>
      <c r="B13">
        <v>0</v>
      </c>
      <c r="C13" t="str">
        <v>Charlotte Sting</v>
      </c>
      <c r="D13" s="1">
        <v>6</v>
      </c>
      <c r="E13" s="1">
        <v>28</v>
      </c>
      <c r="F13" s="3">
        <v>0.17647058823529413</v>
      </c>
      <c r="G13" s="9">
        <v>1334.8876459130818</v>
      </c>
      <c r="H13" s="1">
        <v>38591</v>
      </c>
      <c r="AX13" s="4"/>
      <c r="BO13" s="4"/>
      <c r="BP13" s="1"/>
    </row>
    <row r="14" spans="1:68" x14ac:dyDescent="0.35">
      <c r="A14" t="str">
        <v>SAS</v>
      </c>
      <c r="B14">
        <v>0</v>
      </c>
      <c r="C14" t="str">
        <v>San Antonio Silver Stars</v>
      </c>
      <c r="D14" s="1">
        <v>7</v>
      </c>
      <c r="E14" s="1">
        <v>27</v>
      </c>
      <c r="F14" s="3">
        <v>0.20588235294117646</v>
      </c>
      <c r="G14" s="9">
        <v>1310.8824704806163</v>
      </c>
      <c r="H14" s="1">
        <v>38590</v>
      </c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6</v>
      </c>
      <c r="E25" s="1">
        <f>_xlfn.XLOOKUP($A25,StandingsPivot!$A$4:$A$35,StandingsPivot!C$4:C$35)</f>
        <v>28</v>
      </c>
      <c r="F25" s="3">
        <f t="shared" ref="F25:F37" si="4">(D25)/(D25+E25)</f>
        <v>0.17647058823529413</v>
      </c>
      <c r="G25" s="9" cm="1">
        <f t="array" ref="G25">INDEX(Games[PostGmRate], MATCH(1, (Games[Team]=A25)*(Games[Date]=H25), 0))</f>
        <v>1334.8876459130818</v>
      </c>
      <c r="H25" s="1">
        <f>_xlfn.MAXIFS(Games[Date], Games[Team], A25)</f>
        <v>38591</v>
      </c>
      <c r="AR25" s="3"/>
      <c r="AS25" s="4"/>
      <c r="BD25" s="1"/>
      <c r="BG25" s="3"/>
      <c r="BH25" s="4"/>
    </row>
    <row r="26" spans="1:60" x14ac:dyDescent="0.35">
      <c r="A26" t="s">
        <v>86</v>
      </c>
      <c r="B26">
        <f>_xlfn.XLOOKUP(A26,ConfDiv[TeamID],ConfDiv[Logo])</f>
        <v>0</v>
      </c>
      <c r="C26" t="str">
        <f>_xlfn.XLOOKUP(A26,ConfDiv[TeamID],ConfDiv[TeamName])</f>
        <v>Connecticut Sun</v>
      </c>
      <c r="D26" s="1">
        <f>_xlfn.XLOOKUP($A26,StandingsPivot!$A$4:$A$35,StandingsPivot!B$4:B$35)</f>
        <v>26</v>
      </c>
      <c r="E26" s="1">
        <f>_xlfn.XLOOKUP($A26,StandingsPivot!$A$4:$A$35,StandingsPivot!C$4:C$35)</f>
        <v>8</v>
      </c>
      <c r="F26" s="3">
        <f t="shared" si="4"/>
        <v>0.76470588235294112</v>
      </c>
      <c r="G26" s="9" cm="1">
        <f t="array" ref="G26">INDEX(Games[PostGmRate], MATCH(1, (Games[Team]=A26)*(Games[Date]=H26), 0))</f>
        <v>1660.0384745185409</v>
      </c>
      <c r="H26" s="1">
        <f>_xlfn.MAXIFS(Games[Date], Games[Team], A26)</f>
        <v>38615</v>
      </c>
      <c r="AR26" s="3"/>
      <c r="AS26" s="4"/>
      <c r="BD26" s="1"/>
      <c r="BG26" s="3"/>
      <c r="BH26" s="4"/>
    </row>
    <row r="27" spans="1:60" x14ac:dyDescent="0.35">
      <c r="A27" t="s">
        <v>75</v>
      </c>
      <c r="B27">
        <f>_xlfn.XLOOKUP(A27,ConfDiv[TeamID],ConfDiv[Logo])</f>
        <v>0</v>
      </c>
      <c r="C27" t="str">
        <f>_xlfn.XLOOKUP(A27,ConfDiv[TeamID],ConfDiv[TeamName])</f>
        <v>Detroit Shock</v>
      </c>
      <c r="D27" s="1">
        <f>_xlfn.XLOOKUP($A27,StandingsPivot!$A$4:$A$35,StandingsPivot!B$4:B$35)</f>
        <v>16</v>
      </c>
      <c r="E27" s="1">
        <f>_xlfn.XLOOKUP($A27,StandingsPivot!$A$4:$A$35,StandingsPivot!C$4:C$35)</f>
        <v>18</v>
      </c>
      <c r="F27" s="3">
        <f t="shared" si="4"/>
        <v>0.47058823529411764</v>
      </c>
      <c r="G27" s="9" cm="1">
        <f t="array" ref="G27">INDEX(Games[PostGmRate], MATCH(1, (Games[Team]=A27)*(Games[Date]=H27), 0))</f>
        <v>1461.7374900062805</v>
      </c>
      <c r="H27" s="1">
        <f>_xlfn.MAXIFS(Games[Date], Games[Team], A27)</f>
        <v>38597</v>
      </c>
      <c r="AR27" s="3"/>
      <c r="AS27" s="4"/>
      <c r="BD27" s="1"/>
      <c r="BG27" s="3"/>
      <c r="BH27" s="4"/>
    </row>
    <row r="28" spans="1:60" x14ac:dyDescent="0.35">
      <c r="A28" t="s">
        <v>2</v>
      </c>
      <c r="B28">
        <f>_xlfn.XLOOKUP(A28,ConfDiv[TeamID],ConfDiv[Logo])</f>
        <v>0</v>
      </c>
      <c r="C28" t="str">
        <f>_xlfn.XLOOKUP(A28,ConfDiv[TeamID],ConfDiv[TeamName])</f>
        <v>Houston Comets</v>
      </c>
      <c r="D28" s="1">
        <f>_xlfn.XLOOKUP($A28,StandingsPivot!$A$4:$A$35,StandingsPivot!B$4:B$35)</f>
        <v>19</v>
      </c>
      <c r="E28" s="1">
        <f>_xlfn.XLOOKUP($A28,StandingsPivot!$A$4:$A$35,StandingsPivot!C$4:C$35)</f>
        <v>15</v>
      </c>
      <c r="F28" s="3">
        <f t="shared" si="4"/>
        <v>0.55882352941176472</v>
      </c>
      <c r="G28" s="9" cm="1">
        <f t="array" ref="G28">INDEX(Games[PostGmRate], MATCH(1, (Games[Team]=A28)*(Games[Date]=H28), 0))</f>
        <v>1544.8218520340195</v>
      </c>
      <c r="H28" s="1">
        <f>_xlfn.MAXIFS(Games[Date], Games[Team], A28)</f>
        <v>38605</v>
      </c>
      <c r="AR28" s="3"/>
      <c r="AS28" s="4"/>
      <c r="BD28" s="1"/>
      <c r="BG28" s="3"/>
      <c r="BH28" s="4"/>
    </row>
    <row r="29" spans="1:60" x14ac:dyDescent="0.35">
      <c r="A29" t="s">
        <v>79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21</v>
      </c>
      <c r="E29" s="1">
        <f>_xlfn.XLOOKUP($A29,StandingsPivot!$A$4:$A$35,StandingsPivot!C$4:C$35)</f>
        <v>13</v>
      </c>
      <c r="F29" s="3">
        <f t="shared" si="4"/>
        <v>0.61764705882352944</v>
      </c>
      <c r="G29" s="9" cm="1">
        <f t="array" ref="G29">INDEX(Games[PostGmRate], MATCH(1, (Games[Team]=A29)*(Games[Date]=H29), 0))</f>
        <v>1558.8859035717262</v>
      </c>
      <c r="H29" s="1">
        <f>_xlfn.MAXIFS(Games[Date], Games[Team], A29)</f>
        <v>38605</v>
      </c>
      <c r="AR29" s="3"/>
      <c r="AS29" s="4"/>
      <c r="BD29" s="1"/>
      <c r="BG29" s="3"/>
      <c r="BH29" s="4"/>
    </row>
    <row r="30" spans="1:60" x14ac:dyDescent="0.35">
      <c r="A30" t="s">
        <v>70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17</v>
      </c>
      <c r="E30" s="1">
        <f>_xlfn.XLOOKUP($A30,StandingsPivot!$A$4:$A$35,StandingsPivot!C$4:C$35)</f>
        <v>17</v>
      </c>
      <c r="F30" s="3">
        <f t="shared" si="4"/>
        <v>0.5</v>
      </c>
      <c r="G30" s="9" cm="1">
        <f t="array" ref="G30">INDEX(Games[PostGmRate], MATCH(1, (Games[Team]=A30)*(Games[Date]=H30), 0))</f>
        <v>1486.6612439048865</v>
      </c>
      <c r="H30" s="1">
        <f>_xlfn.MAXIFS(Games[Date], Games[Team], A30)</f>
        <v>38597</v>
      </c>
      <c r="AR30" s="3"/>
      <c r="AS30" s="4"/>
      <c r="BD30" s="1"/>
      <c r="BG30" s="3"/>
      <c r="BH30" s="4"/>
    </row>
    <row r="31" spans="1:60" x14ac:dyDescent="0.35">
      <c r="A31" t="s">
        <v>77</v>
      </c>
      <c r="B31">
        <f>_xlfn.XLOOKUP(A31,ConfDiv[TeamID],ConfDiv[Logo])</f>
        <v>0</v>
      </c>
      <c r="C31" t="str">
        <f>_xlfn.XLOOKUP(A31,ConfDiv[TeamID],ConfDiv[TeamName])</f>
        <v>Minnesota Lynx</v>
      </c>
      <c r="D31" s="1">
        <f>_xlfn.XLOOKUP($A31,StandingsPivot!$A$4:$A$35,StandingsPivot!B$4:B$35)</f>
        <v>14</v>
      </c>
      <c r="E31" s="1">
        <f>_xlfn.XLOOKUP($A31,StandingsPivot!$A$4:$A$35,StandingsPivot!C$4:C$35)</f>
        <v>20</v>
      </c>
      <c r="F31" s="3">
        <f t="shared" si="4"/>
        <v>0.41176470588235292</v>
      </c>
      <c r="G31" s="9" cm="1">
        <f t="array" ref="G31">INDEX(Games[PostGmRate], MATCH(1, (Games[Team]=A31)*(Games[Date]=H31), 0))</f>
        <v>1426.8597299264743</v>
      </c>
      <c r="H31" s="1">
        <f>_xlfn.MAXIFS(Games[Date], Games[Team], A31)</f>
        <v>38591</v>
      </c>
      <c r="AR31" s="3"/>
      <c r="AS31" s="4"/>
      <c r="BD31" s="1"/>
      <c r="BG31" s="3"/>
      <c r="BH31" s="4"/>
    </row>
    <row r="32" spans="1:60" x14ac:dyDescent="0.35">
      <c r="A32" t="s">
        <v>66</v>
      </c>
      <c r="B32">
        <f>_xlfn.XLOOKUP(A32,ConfDiv[TeamID],ConfDiv[Logo])</f>
        <v>0</v>
      </c>
      <c r="C32" t="str">
        <f>_xlfn.XLOOKUP(A32,ConfDiv[TeamID],ConfDiv[TeamName])</f>
        <v>New York Liberty</v>
      </c>
      <c r="D32" s="1">
        <f>_xlfn.XLOOKUP($A32,StandingsPivot!$A$4:$A$35,StandingsPivot!B$4:B$35)</f>
        <v>18</v>
      </c>
      <c r="E32" s="1">
        <f>_xlfn.XLOOKUP($A32,StandingsPivot!$A$4:$A$35,StandingsPivot!C$4:C$35)</f>
        <v>16</v>
      </c>
      <c r="F32" s="3">
        <f t="shared" si="4"/>
        <v>0.52941176470588236</v>
      </c>
      <c r="G32" s="9" cm="1">
        <f t="array" ref="G32">INDEX(Games[PostGmRate], MATCH(1, (Games[Team]=A32)*(Games[Date]=H32), 0))</f>
        <v>1486.3194747677353</v>
      </c>
      <c r="H32" s="1">
        <f>_xlfn.MAXIFS(Games[Date], Games[Team], A32)</f>
        <v>38596</v>
      </c>
      <c r="AR32" s="3"/>
      <c r="AS32" s="4"/>
      <c r="BD32" s="1"/>
      <c r="BG32" s="3"/>
      <c r="BH32" s="4"/>
    </row>
    <row r="33" spans="1:60" x14ac:dyDescent="0.35">
      <c r="A33" t="s">
        <v>44</v>
      </c>
      <c r="B33">
        <f>_xlfn.XLOOKUP(A33,ConfDiv[TeamID],ConfDiv[Logo])</f>
        <v>0</v>
      </c>
      <c r="C33" t="str">
        <f>_xlfn.XLOOKUP(A33,ConfDiv[TeamID],ConfDiv[TeamName])</f>
        <v>Phoenix Mercury</v>
      </c>
      <c r="D33" s="1">
        <f>_xlfn.XLOOKUP($A33,StandingsPivot!$A$4:$A$35,StandingsPivot!B$4:B$35)</f>
        <v>16</v>
      </c>
      <c r="E33" s="1">
        <f>_xlfn.XLOOKUP($A33,StandingsPivot!$A$4:$A$35,StandingsPivot!C$4:C$35)</f>
        <v>18</v>
      </c>
      <c r="F33" s="3">
        <f t="shared" si="4"/>
        <v>0.47058823529411764</v>
      </c>
      <c r="G33" s="9" cm="1">
        <f t="array" ref="G33">INDEX(Games[PostGmRate], MATCH(1, (Games[Team]=A33)*(Games[Date]=H33), 0))</f>
        <v>1500.6824084719617</v>
      </c>
      <c r="H33" s="1">
        <f>_xlfn.MAXIFS(Games[Date], Games[Team], A33)</f>
        <v>38591</v>
      </c>
      <c r="AR33" s="3"/>
      <c r="AS33" s="4"/>
      <c r="BD33" s="1"/>
      <c r="BG33" s="3"/>
      <c r="BH33" s="4"/>
    </row>
    <row r="34" spans="1:60" x14ac:dyDescent="0.35">
      <c r="A34" t="s">
        <v>45</v>
      </c>
      <c r="B34">
        <f>_xlfn.XLOOKUP(A34,ConfDiv[TeamID],ConfDiv[Logo])</f>
        <v>0</v>
      </c>
      <c r="C34" t="str">
        <f>_xlfn.XLOOKUP(A34,ConfDiv[TeamID],ConfDiv[TeamName])</f>
        <v>Sacramento Monarchs</v>
      </c>
      <c r="D34" s="1">
        <f>_xlfn.XLOOKUP($A34,StandingsPivot!$A$4:$A$35,StandingsPivot!B$4:B$35)</f>
        <v>25</v>
      </c>
      <c r="E34" s="1">
        <f>_xlfn.XLOOKUP($A34,StandingsPivot!$A$4:$A$35,StandingsPivot!C$4:C$35)</f>
        <v>9</v>
      </c>
      <c r="F34" s="3">
        <f t="shared" si="4"/>
        <v>0.73529411764705888</v>
      </c>
      <c r="G34" s="9" cm="1">
        <f t="array" ref="G34">INDEX(Games[PostGmRate], MATCH(1, (Games[Team]=A34)*(Games[Date]=H34), 0))</f>
        <v>1707.7053983317542</v>
      </c>
      <c r="H34" s="1">
        <f>_xlfn.MAXIFS(Games[Date], Games[Team], A34)</f>
        <v>38615</v>
      </c>
    </row>
    <row r="35" spans="1:60" x14ac:dyDescent="0.35">
      <c r="A35" t="s">
        <v>84</v>
      </c>
      <c r="B35">
        <f>_xlfn.XLOOKUP(A35,ConfDiv[TeamID],ConfDiv[Logo])</f>
        <v>0</v>
      </c>
      <c r="C35" t="str">
        <f>_xlfn.XLOOKUP(A35,ConfDiv[TeamID],ConfDiv[TeamName])</f>
        <v>San Antonio Silver Stars</v>
      </c>
      <c r="D35" s="1">
        <f>_xlfn.XLOOKUP($A35,StandingsPivot!$A$4:$A$35,StandingsPivot!B$4:B$35)</f>
        <v>7</v>
      </c>
      <c r="E35" s="1">
        <f>_xlfn.XLOOKUP($A35,StandingsPivot!$A$4:$A$35,StandingsPivot!C$4:C$35)</f>
        <v>27</v>
      </c>
      <c r="F35" s="3">
        <f t="shared" si="4"/>
        <v>0.20588235294117646</v>
      </c>
      <c r="G35" s="9" cm="1">
        <f t="array" ref="G35">INDEX(Games[PostGmRate], MATCH(1, (Games[Team]=A35)*(Games[Date]=H35), 0))</f>
        <v>1310.8824704806163</v>
      </c>
      <c r="H35" s="1">
        <f>_xlfn.MAXIFS(Games[Date], Games[Team], A35)</f>
        <v>38590</v>
      </c>
    </row>
    <row r="36" spans="1:60" x14ac:dyDescent="0.35">
      <c r="A36" t="s">
        <v>81</v>
      </c>
      <c r="B36">
        <f>_xlfn.XLOOKUP(A36,ConfDiv[TeamID],ConfDiv[Logo])</f>
        <v>0</v>
      </c>
      <c r="C36" t="str">
        <f>_xlfn.XLOOKUP(A36,ConfDiv[TeamID],ConfDiv[TeamName])</f>
        <v>Seattle Storm</v>
      </c>
      <c r="D36" s="1">
        <f>_xlfn.XLOOKUP($A36,StandingsPivot!$A$4:$A$35,StandingsPivot!B$4:B$35)</f>
        <v>20</v>
      </c>
      <c r="E36" s="1">
        <f>_xlfn.XLOOKUP($A36,StandingsPivot!$A$4:$A$35,StandingsPivot!C$4:C$35)</f>
        <v>14</v>
      </c>
      <c r="F36" s="3">
        <f t="shared" si="4"/>
        <v>0.58823529411764708</v>
      </c>
      <c r="G36" s="9" cm="1">
        <f t="array" ref="G36">INDEX(Games[PostGmRate], MATCH(1, (Games[Team]=A36)*(Games[Date]=H36), 0))</f>
        <v>1557.4496424274842</v>
      </c>
      <c r="H36" s="1">
        <f>_xlfn.MAXIFS(Games[Date], Games[Team], A36)</f>
        <v>38598</v>
      </c>
    </row>
    <row r="37" spans="1:60" x14ac:dyDescent="0.35">
      <c r="A37" t="s">
        <v>73</v>
      </c>
      <c r="B37">
        <f>_xlfn.XLOOKUP(A37,ConfDiv[TeamID],ConfDiv[Logo])</f>
        <v>0</v>
      </c>
      <c r="C37" t="str">
        <f>_xlfn.XLOOKUP(A37,ConfDiv[TeamID],ConfDiv[TeamName])</f>
        <v>Washington Mystics</v>
      </c>
      <c r="D37" s="1">
        <f>_xlfn.XLOOKUP($A37,StandingsPivot!$A$4:$A$35,StandingsPivot!B$4:B$35)</f>
        <v>16</v>
      </c>
      <c r="E37" s="1">
        <f>_xlfn.XLOOKUP($A37,StandingsPivot!$A$4:$A$35,StandingsPivot!C$4:C$35)</f>
        <v>18</v>
      </c>
      <c r="F37" s="3">
        <f t="shared" si="4"/>
        <v>0.47058823529411764</v>
      </c>
      <c r="G37" s="9" cm="1">
        <f t="array" ref="G37">INDEX(Games[PostGmRate], MATCH(1, (Games[Team]=A37)*(Games[Date]=H37), 0))</f>
        <v>1473.2198700737006</v>
      </c>
      <c r="H37" s="1">
        <f>_xlfn.MAXIFS(Games[Date], Games[Team], A37)</f>
        <v>38591</v>
      </c>
    </row>
  </sheetData>
  <sortState xmlns:xlrd2="http://schemas.microsoft.com/office/spreadsheetml/2017/richdata2" ref="A25:G37">
    <sortCondition ref="A25:A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6</v>
      </c>
      <c r="C4" s="2">
        <v>28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86</v>
      </c>
      <c r="B5" s="2">
        <v>26</v>
      </c>
      <c r="C5" s="2">
        <v>8</v>
      </c>
      <c r="D5" s="2">
        <v>2</v>
      </c>
      <c r="E5" s="2">
        <v>0</v>
      </c>
      <c r="F5" s="2">
        <v>2</v>
      </c>
      <c r="G5" s="2">
        <v>0</v>
      </c>
      <c r="H5" s="2">
        <v>1</v>
      </c>
      <c r="I5" s="2">
        <v>3</v>
      </c>
      <c r="J5" s="2">
        <v>0</v>
      </c>
      <c r="K5" s="2">
        <v>0</v>
      </c>
    </row>
    <row r="6" spans="1:11" x14ac:dyDescent="0.35">
      <c r="A6" s="6" t="s">
        <v>75</v>
      </c>
      <c r="B6" s="2">
        <v>16</v>
      </c>
      <c r="C6" s="2">
        <v>18</v>
      </c>
      <c r="D6" s="2">
        <v>0</v>
      </c>
      <c r="E6" s="2">
        <v>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2</v>
      </c>
      <c r="B7" s="2">
        <v>19</v>
      </c>
      <c r="C7" s="2">
        <v>15</v>
      </c>
      <c r="D7" s="2">
        <v>2</v>
      </c>
      <c r="E7" s="2">
        <v>1</v>
      </c>
      <c r="F7" s="2">
        <v>0</v>
      </c>
      <c r="G7" s="2">
        <v>2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79</v>
      </c>
      <c r="B8" s="2">
        <v>21</v>
      </c>
      <c r="C8" s="2">
        <v>13</v>
      </c>
      <c r="D8" s="2">
        <v>2</v>
      </c>
      <c r="E8" s="2">
        <v>0</v>
      </c>
      <c r="F8" s="2">
        <v>0</v>
      </c>
      <c r="G8" s="2">
        <v>2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70</v>
      </c>
      <c r="B9" s="2">
        <v>17</v>
      </c>
      <c r="C9" s="2">
        <v>17</v>
      </c>
      <c r="D9" s="2">
        <v>0</v>
      </c>
      <c r="E9" s="2">
        <v>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77</v>
      </c>
      <c r="B10" s="2">
        <v>14</v>
      </c>
      <c r="C10" s="2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66</v>
      </c>
      <c r="B11" s="2">
        <v>18</v>
      </c>
      <c r="C11" s="2">
        <v>16</v>
      </c>
      <c r="D11" s="2">
        <v>0</v>
      </c>
      <c r="E11" s="2">
        <v>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44</v>
      </c>
      <c r="B12" s="2">
        <v>16</v>
      </c>
      <c r="C12" s="2">
        <v>18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45</v>
      </c>
      <c r="B13" s="2">
        <v>25</v>
      </c>
      <c r="C13" s="2">
        <v>9</v>
      </c>
      <c r="D13" s="2">
        <v>2</v>
      </c>
      <c r="E13" s="2">
        <v>0</v>
      </c>
      <c r="F13" s="2">
        <v>2</v>
      </c>
      <c r="G13" s="2">
        <v>0</v>
      </c>
      <c r="H13" s="2">
        <v>3</v>
      </c>
      <c r="I13" s="2">
        <v>1</v>
      </c>
      <c r="J13" s="2">
        <v>0</v>
      </c>
      <c r="K13" s="2">
        <v>0</v>
      </c>
    </row>
    <row r="14" spans="1:11" x14ac:dyDescent="0.35">
      <c r="A14" s="6" t="s">
        <v>84</v>
      </c>
      <c r="B14" s="2">
        <v>7</v>
      </c>
      <c r="C14" s="2">
        <v>27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81</v>
      </c>
      <c r="B15" s="2">
        <v>20</v>
      </c>
      <c r="C15" s="2">
        <v>14</v>
      </c>
      <c r="D15" s="2">
        <v>1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73</v>
      </c>
      <c r="B16" s="2">
        <v>16</v>
      </c>
      <c r="C16" s="2">
        <v>18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20</v>
      </c>
      <c r="B17" s="2">
        <v>221</v>
      </c>
      <c r="C17" s="2">
        <v>221</v>
      </c>
      <c r="D17" s="2">
        <v>9</v>
      </c>
      <c r="E17" s="2">
        <v>9</v>
      </c>
      <c r="F17" s="2">
        <v>4</v>
      </c>
      <c r="G17" s="2">
        <v>4</v>
      </c>
      <c r="H17" s="2">
        <v>4</v>
      </c>
      <c r="I17" s="2">
        <v>4</v>
      </c>
      <c r="J17" s="2">
        <v>0</v>
      </c>
      <c r="K17" s="2">
        <v>0</v>
      </c>
    </row>
    <row r="18" spans="1:11" x14ac:dyDescent="0.35">
      <c r="B18"/>
      <c r="C18"/>
      <c r="D18"/>
    </row>
    <row r="19" spans="1:11" x14ac:dyDescent="0.35">
      <c r="B19"/>
      <c r="C19"/>
      <c r="D19"/>
    </row>
    <row r="20" spans="1:11" x14ac:dyDescent="0.35">
      <c r="B20"/>
      <c r="C20"/>
      <c r="D20"/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6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77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38493</v>
      </c>
      <c r="B2" s="2">
        <v>2005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73</v>
      </c>
      <c r="G2" s="1" t="s">
        <v>64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1484.0630823781109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1474.7139423488281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0.39419202640443352</v>
      </c>
      <c r="R2" s="1">
        <v>60</v>
      </c>
      <c r="S2" s="1">
        <v>42</v>
      </c>
      <c r="T2" s="1">
        <v>0</v>
      </c>
      <c r="U2" s="1">
        <f>Games[[#This Row],[PointsFor]]-Games[[#This Row],[PointsAgainst]]</f>
        <v>18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0.54260651190912201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24.933059406680297</v>
      </c>
      <c r="AB2" s="4">
        <f>Games[[#This Row],[PreGmRate]]+Games[[#This Row],[RatingChange]]</f>
        <v>1508.9961417847912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38493</v>
      </c>
      <c r="B3" s="2">
        <v>2005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64</v>
      </c>
      <c r="G3" s="1" t="s">
        <v>73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1474.7139423488281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1484.0630823781109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0.60580797359556648</v>
      </c>
      <c r="R3" s="1">
        <v>42</v>
      </c>
      <c r="S3" s="1">
        <v>60</v>
      </c>
      <c r="T3" s="1">
        <v>0</v>
      </c>
      <c r="U3" s="1">
        <f>Games[[#This Row],[PointsFor]]-Games[[#This Row],[PointsAgainst]]</f>
        <v>-18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0.54260651190912201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-24.933059406680297</v>
      </c>
      <c r="AB3" s="4">
        <f>Games[[#This Row],[PreGmRate]]+Games[[#This Row],[RatingChange]]</f>
        <v>1449.7808829421479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38493</v>
      </c>
      <c r="B4" s="2">
        <v>2005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86</v>
      </c>
      <c r="G4" s="1" t="s">
        <v>75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1528.1144554144073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1504.4560781274547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0.41402414255218101</v>
      </c>
      <c r="R4" s="1">
        <v>67</v>
      </c>
      <c r="S4" s="1">
        <v>78</v>
      </c>
      <c r="T4" s="1">
        <v>0</v>
      </c>
      <c r="U4" s="1">
        <f>Games[[#This Row],[PointsFor]]-Games[[#This Row],[PointsAgainst]]</f>
        <v>-11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0.43133212186180769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-13.545438018301274</v>
      </c>
      <c r="AB4" s="4">
        <f>Games[[#This Row],[PreGmRate]]+Games[[#This Row],[RatingChange]]</f>
        <v>1514.5690173961061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38493</v>
      </c>
      <c r="B5" s="2">
        <v>2005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75</v>
      </c>
      <c r="G5" s="1" t="s">
        <v>86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1504.4560781274547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1528.1144554144073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0.58597585744781899</v>
      </c>
      <c r="R5" s="1">
        <v>78</v>
      </c>
      <c r="S5" s="1">
        <v>67</v>
      </c>
      <c r="T5" s="1">
        <v>0</v>
      </c>
      <c r="U5" s="1">
        <f>Games[[#This Row],[PointsFor]]-Games[[#This Row],[PointsAgainst]]</f>
        <v>11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0.43133212186180769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13.545438018301274</v>
      </c>
      <c r="AB5" s="4">
        <f>Games[[#This Row],[PreGmRate]]+Games[[#This Row],[RatingChange]]</f>
        <v>1518.0015161457559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38493</v>
      </c>
      <c r="B6" s="2">
        <v>2005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45</v>
      </c>
      <c r="G6" s="1" t="s">
        <v>44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1540.0964808813717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1502.0019484223112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0.43431848769975395</v>
      </c>
      <c r="R6" s="1">
        <v>77</v>
      </c>
      <c r="S6" s="1">
        <v>72</v>
      </c>
      <c r="T6" s="1">
        <v>0</v>
      </c>
      <c r="U6" s="1">
        <f>Games[[#This Row],[PointsFor]]-Games[[#This Row],[PointsAgainst]]</f>
        <v>5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0.32154828255544476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13.796653737453797</v>
      </c>
      <c r="AB6" s="4">
        <f>Games[[#This Row],[PreGmRate]]+Games[[#This Row],[RatingChange]]</f>
        <v>1553.8931346188256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38493</v>
      </c>
      <c r="B7" s="2">
        <v>2005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44</v>
      </c>
      <c r="G7" s="1" t="s">
        <v>45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1502.0019484223112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1540.0964808813717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0.5656815123002461</v>
      </c>
      <c r="R7" s="1">
        <v>72</v>
      </c>
      <c r="S7" s="1">
        <v>77</v>
      </c>
      <c r="T7" s="1">
        <v>0</v>
      </c>
      <c r="U7" s="1">
        <f>Games[[#This Row],[PointsFor]]-Games[[#This Row],[PointsAgainst]]</f>
        <v>-5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0.32154828255544476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-13.796653737453797</v>
      </c>
      <c r="AB7" s="4">
        <f>Games[[#This Row],[PreGmRate]]+Games[[#This Row],[RatingChange]]</f>
        <v>1488.2052946848573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38493</v>
      </c>
      <c r="B8" s="2">
        <v>2005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2</v>
      </c>
      <c r="G8" s="1" t="s">
        <v>84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1472.4898513093106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1436.4594298575983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0.43140156351853487</v>
      </c>
      <c r="R8" s="1">
        <v>78</v>
      </c>
      <c r="S8" s="1">
        <v>70</v>
      </c>
      <c r="T8" s="1">
        <v>0</v>
      </c>
      <c r="U8" s="1">
        <f>Games[[#This Row],[PointsFor]]-Games[[#This Row],[PointsAgainst]]</f>
        <v>8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0.37699609485041374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16.259159738445081</v>
      </c>
      <c r="AB8" s="4">
        <f>Games[[#This Row],[PreGmRate]]+Games[[#This Row],[RatingChange]]</f>
        <v>1488.7490110477556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38493</v>
      </c>
      <c r="B9" s="2">
        <v>2005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84</v>
      </c>
      <c r="G9" s="1" t="s">
        <v>2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1436.4594298575983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1472.4898513093106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0.56859843648146513</v>
      </c>
      <c r="R9" s="1">
        <v>70</v>
      </c>
      <c r="S9" s="1">
        <v>78</v>
      </c>
      <c r="T9" s="1">
        <v>0</v>
      </c>
      <c r="U9" s="1">
        <f>Games[[#This Row],[PointsFor]]-Games[[#This Row],[PointsAgainst]]</f>
        <v>-8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0.37699609485041374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-16.259159738445081</v>
      </c>
      <c r="AB9" s="4">
        <f>Games[[#This Row],[PreGmRate]]+Games[[#This Row],[RatingChange]]</f>
        <v>1420.2002701191532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38493</v>
      </c>
      <c r="B10" s="2">
        <v>2005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70</v>
      </c>
      <c r="G10" s="1" t="s">
        <v>81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1554.8069708157504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1565.6603480122712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0.36678830746617314</v>
      </c>
      <c r="R10" s="1">
        <v>68</v>
      </c>
      <c r="S10" s="1">
        <v>50</v>
      </c>
      <c r="T10" s="1">
        <v>0</v>
      </c>
      <c r="U10" s="1">
        <f>Games[[#This Row],[PointsFor]]-Games[[#This Row],[PointsAgainst]]</f>
        <v>18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0.54193243452058726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26.028530818618375</v>
      </c>
      <c r="AB10" s="4">
        <f>Games[[#This Row],[PreGmRate]]+Games[[#This Row],[RatingChange]]</f>
        <v>1580.8355016343687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38493</v>
      </c>
      <c r="B11" s="2">
        <v>2005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81</v>
      </c>
      <c r="G11" s="1" t="s">
        <v>70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1565.6603480122712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1554.8069708157504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0.63321169253382681</v>
      </c>
      <c r="R11" s="1">
        <v>50</v>
      </c>
      <c r="S11" s="1">
        <v>68</v>
      </c>
      <c r="T11" s="1">
        <v>0</v>
      </c>
      <c r="U11" s="1">
        <f>Games[[#This Row],[PointsFor]]-Games[[#This Row],[PointsAgainst]]</f>
        <v>-18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0.54193243452058726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-26.028530818618368</v>
      </c>
      <c r="AB11" s="4">
        <f>Games[[#This Row],[PreGmRate]]+Games[[#This Row],[RatingChange]]</f>
        <v>1539.631817193653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38494</v>
      </c>
      <c r="B12" s="2">
        <v>2005</v>
      </c>
      <c r="C12" s="2">
        <f>COUNTIFS(Games[Team],Games[[#This Row],[Team]],Games[Season],Games[[#This Row],[Season]],Games[Date],"&lt;=" &amp; Games[[#This Row],[Date]])</f>
        <v>1</v>
      </c>
      <c r="D12" s="2" t="s">
        <v>23</v>
      </c>
      <c r="E12" s="2" t="s">
        <v>29</v>
      </c>
      <c r="F12" s="1" t="s">
        <v>77</v>
      </c>
      <c r="G12" s="1" t="s">
        <v>2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" s="2">
        <f>Games[[#This Row],[DaysOff]]-Games[[#This Row],[OppDaysOff]]</f>
        <v>1</v>
      </c>
      <c r="L12" s="2">
        <f>Games[[#This Row],[OppDaysOff]]-Games[[#This Row],[DaysOff]]</f>
        <v>-1</v>
      </c>
      <c r="M12" s="1">
        <f>MAX(-16, MIN(16, Games[[#This Row],[RestDiff]]*8))</f>
        <v>8</v>
      </c>
      <c r="N12" s="1">
        <f>MAX(-16, MIN(16, Games[[#This Row],[OppRestDiff]]*8))</f>
        <v>-8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1489.004656973279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1488.7490110477556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0.40372504028963041</v>
      </c>
      <c r="R12" s="1">
        <v>65</v>
      </c>
      <c r="S12" s="1">
        <v>79</v>
      </c>
      <c r="T12" s="1">
        <v>0</v>
      </c>
      <c r="U12" s="1">
        <f>Games[[#This Row],[PointsFor]]-Games[[#This Row],[PointsAgainst]]</f>
        <v>-14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0.48750424647219631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-14.928620386942601</v>
      </c>
      <c r="AB12" s="4">
        <f>Games[[#This Row],[PreGmRate]]+Games[[#This Row],[RatingChange]]</f>
        <v>1474.0760365863364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38494</v>
      </c>
      <c r="B13" s="2">
        <v>2005</v>
      </c>
      <c r="C13" s="2">
        <f>COUNTIFS(Games[Team],Games[[#This Row],[Team]],Games[Season],Games[[#This Row],[Season]],Games[Date],"&lt;=" &amp; Games[[#This Row],[Date]])</f>
        <v>2</v>
      </c>
      <c r="D13" s="2" t="s">
        <v>23</v>
      </c>
      <c r="E13" s="2" t="s">
        <v>29</v>
      </c>
      <c r="F13" s="1" t="s">
        <v>2</v>
      </c>
      <c r="G13" s="1" t="s">
        <v>77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-1</v>
      </c>
      <c r="L13" s="2">
        <f>Games[[#This Row],[OppDaysOff]]-Games[[#This Row],[DaysOff]]</f>
        <v>1</v>
      </c>
      <c r="M13" s="1">
        <f>MAX(-16, MIN(16, Games[[#This Row],[RestDiff]]*8))</f>
        <v>-8</v>
      </c>
      <c r="N13" s="1">
        <f>MAX(-16, MIN(16, Games[[#This Row],[OppRestDiff]]*8))</f>
        <v>8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1488.7490110477556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1489.004656973279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0.59627495971036959</v>
      </c>
      <c r="R13" s="1">
        <v>79</v>
      </c>
      <c r="S13" s="1">
        <v>65</v>
      </c>
      <c r="T13" s="1">
        <v>0</v>
      </c>
      <c r="U13" s="1">
        <f>Games[[#This Row],[PointsFor]]-Games[[#This Row],[PointsAgainst]]</f>
        <v>14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0.48750424647219631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14.899097736210351</v>
      </c>
      <c r="AB13" s="4">
        <f>Games[[#This Row],[PreGmRate]]+Games[[#This Row],[RatingChange]]</f>
        <v>1503.6481087839659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38494</v>
      </c>
      <c r="B14" s="2">
        <v>2005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64</v>
      </c>
      <c r="G14" s="1" t="s">
        <v>79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-1</v>
      </c>
      <c r="L14" s="2">
        <f>Games[[#This Row],[OppDaysOff]]-Games[[#This Row],[DaysOff]]</f>
        <v>1</v>
      </c>
      <c r="M14" s="1">
        <f>MAX(-16, MIN(16, Games[[#This Row],[RestDiff]]*8))</f>
        <v>-8</v>
      </c>
      <c r="N14" s="1">
        <f>MAX(-16, MIN(16, Games[[#This Row],[OppRestDiff]]*8))</f>
        <v>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1449.7808829421479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1472.7363195100843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0.33008770955420086</v>
      </c>
      <c r="R14" s="1">
        <v>58</v>
      </c>
      <c r="S14" s="1">
        <v>68</v>
      </c>
      <c r="T14" s="1">
        <v>0</v>
      </c>
      <c r="U14" s="1">
        <f>Games[[#This Row],[PointsFor]]-Games[[#This Row],[PointsAgainst]]</f>
        <v>-10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0.41518736007559698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-10.374552125546927</v>
      </c>
      <c r="AB14" s="4">
        <f>Games[[#This Row],[PreGmRate]]+Games[[#This Row],[RatingChange]]</f>
        <v>1439.406330816601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38494</v>
      </c>
      <c r="B15" s="2">
        <v>2005</v>
      </c>
      <c r="C15" s="2">
        <f>COUNTIFS(Games[Team],Games[[#This Row],[Team]],Games[Season],Games[[#This Row],[Season]],Games[Date],"&lt;=" &amp; Games[[#This Row],[Date]])</f>
        <v>1</v>
      </c>
      <c r="D15" s="2" t="s">
        <v>23</v>
      </c>
      <c r="E15" s="2" t="s">
        <v>29</v>
      </c>
      <c r="F15" s="1" t="s">
        <v>79</v>
      </c>
      <c r="G15" s="1" t="s">
        <v>64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" s="2">
        <f>Games[[#This Row],[DaysOff]]-Games[[#This Row],[OppDaysOff]]</f>
        <v>1</v>
      </c>
      <c r="L15" s="2">
        <f>Games[[#This Row],[OppDaysOff]]-Games[[#This Row],[DaysOff]]</f>
        <v>-1</v>
      </c>
      <c r="M15" s="1">
        <f>MAX(-16, MIN(16, Games[[#This Row],[RestDiff]]*8))</f>
        <v>8</v>
      </c>
      <c r="N15" s="1">
        <f>MAX(-16, MIN(16, Games[[#This Row],[OppRestDiff]]*8))</f>
        <v>-8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1472.7363195100843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1449.7808829421479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0.66991229044579914</v>
      </c>
      <c r="R15" s="1">
        <v>68</v>
      </c>
      <c r="S15" s="1">
        <v>58</v>
      </c>
      <c r="T15" s="1">
        <v>0</v>
      </c>
      <c r="U15" s="1">
        <f>Games[[#This Row],[PointsFor]]-Games[[#This Row],[PointsAgainst]]</f>
        <v>10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0.41518736007559698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10.395109362255408</v>
      </c>
      <c r="AB15" s="4">
        <f>Games[[#This Row],[PreGmRate]]+Games[[#This Row],[RatingChange]]</f>
        <v>1483.1314288723397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38494</v>
      </c>
      <c r="B16" s="2">
        <v>2005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75</v>
      </c>
      <c r="G16" s="1" t="s">
        <v>66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-1</v>
      </c>
      <c r="L16" s="2">
        <f>Games[[#This Row],[OppDaysOff]]-Games[[#This Row],[DaysOff]]</f>
        <v>1</v>
      </c>
      <c r="M16" s="1">
        <f>MAX(-16, MIN(16, Games[[#This Row],[RestDiff]]*8))</f>
        <v>-8</v>
      </c>
      <c r="N16" s="1">
        <f>MAX(-16, MIN(16, Games[[#This Row],[OppRestDiff]]*8))</f>
        <v>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1518.0015161457559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1484.9086576894383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0.4048857520583205</v>
      </c>
      <c r="R16" s="1">
        <v>78</v>
      </c>
      <c r="S16" s="1">
        <v>71</v>
      </c>
      <c r="T16" s="1">
        <v>0</v>
      </c>
      <c r="U16" s="1">
        <f>Games[[#This Row],[PointsFor]]-Games[[#This Row],[PointsAgainst]]</f>
        <v>7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0.36017450262470829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16.225914854075473</v>
      </c>
      <c r="AB16" s="4">
        <f>Games[[#This Row],[PreGmRate]]+Games[[#This Row],[RatingChange]]</f>
        <v>1534.2274309998313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38494</v>
      </c>
      <c r="B17" s="2">
        <v>2005</v>
      </c>
      <c r="C17" s="2">
        <f>COUNTIFS(Games[Team],Games[[#This Row],[Team]],Games[Season],Games[[#This Row],[Season]],Games[Date],"&lt;=" &amp; Games[[#This Row],[Date]])</f>
        <v>1</v>
      </c>
      <c r="D17" s="2" t="s">
        <v>23</v>
      </c>
      <c r="E17" s="2" t="s">
        <v>29</v>
      </c>
      <c r="F17" s="1" t="s">
        <v>66</v>
      </c>
      <c r="G17" s="1" t="s">
        <v>75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" s="2">
        <f>Games[[#This Row],[DaysOff]]-Games[[#This Row],[OppDaysOff]]</f>
        <v>1</v>
      </c>
      <c r="L17" s="2">
        <f>Games[[#This Row],[OppDaysOff]]-Games[[#This Row],[DaysOff]]</f>
        <v>-1</v>
      </c>
      <c r="M17" s="1">
        <f>MAX(-16, MIN(16, Games[[#This Row],[RestDiff]]*8))</f>
        <v>8</v>
      </c>
      <c r="N17" s="1">
        <f>MAX(-16, MIN(16, Games[[#This Row],[OppRestDiff]]*8))</f>
        <v>-8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1484.9086576894383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1518.0015161457559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0.59511424794167955</v>
      </c>
      <c r="R17" s="1">
        <v>71</v>
      </c>
      <c r="S17" s="1">
        <v>78</v>
      </c>
      <c r="T17" s="1">
        <v>0</v>
      </c>
      <c r="U17" s="1">
        <f>Games[[#This Row],[PointsFor]]-Games[[#This Row],[PointsAgainst]]</f>
        <v>-7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0.36017450262470829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-16.258066600814061</v>
      </c>
      <c r="AB17" s="4">
        <f>Games[[#This Row],[PreGmRate]]+Games[[#This Row],[RatingChange]]</f>
        <v>1468.6505910886242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38494</v>
      </c>
      <c r="B18" s="2">
        <v>2005</v>
      </c>
      <c r="C18" s="2">
        <f>COUNTIFS(Games[Team],Games[[#This Row],[Team]],Games[Season],Games[[#This Row],[Season]],Games[Date],"&lt;=" &amp; Games[[#This Row],[Date]])</f>
        <v>2</v>
      </c>
      <c r="D18" s="2" t="s">
        <v>23</v>
      </c>
      <c r="E18" s="2" t="s">
        <v>29</v>
      </c>
      <c r="F18" s="1" t="s">
        <v>86</v>
      </c>
      <c r="G18" s="1" t="s">
        <v>73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1514.5690173961061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1508.9961417847912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0.38901302412634714</v>
      </c>
      <c r="R18" s="1">
        <v>69</v>
      </c>
      <c r="S18" s="1">
        <v>67</v>
      </c>
      <c r="T18" s="1">
        <v>0</v>
      </c>
      <c r="U18" s="1">
        <f>Games[[#This Row],[PointsFor]]-Games[[#This Row],[PointsAgainst]]</f>
        <v>2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0.26660319875613103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12.330854919985192</v>
      </c>
      <c r="AB18" s="4">
        <f>Games[[#This Row],[PreGmRate]]+Games[[#This Row],[RatingChange]]</f>
        <v>1526.8998723160912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38494</v>
      </c>
      <c r="B19" s="2">
        <v>2005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73</v>
      </c>
      <c r="G19" s="1" t="s">
        <v>86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1508.9961417847912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1514.5690173961061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0.61098697587365292</v>
      </c>
      <c r="R19" s="1">
        <v>67</v>
      </c>
      <c r="S19" s="1">
        <v>69</v>
      </c>
      <c r="T19" s="1">
        <v>0</v>
      </c>
      <c r="U19" s="1">
        <f>Games[[#This Row],[PointsFor]]-Games[[#This Row],[PointsAgainst]]</f>
        <v>-2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0.26660319875613103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-12.330854919985194</v>
      </c>
      <c r="AB19" s="4">
        <f>Games[[#This Row],[PreGmRate]]+Games[[#This Row],[RatingChange]]</f>
        <v>1496.6652868648061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38496</v>
      </c>
      <c r="B20" s="2">
        <v>2005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84</v>
      </c>
      <c r="G20" s="1" t="s">
        <v>75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" s="2">
        <f>Games[[#This Row],[DaysOff]]-Games[[#This Row],[OppDaysOff]]</f>
        <v>1</v>
      </c>
      <c r="L20" s="2">
        <f>Games[[#This Row],[OppDaysOff]]-Games[[#This Row],[DaysOff]]</f>
        <v>-1</v>
      </c>
      <c r="M20" s="1">
        <f>MAX(-16, MIN(16, Games[[#This Row],[RestDiff]]*8))</f>
        <v>8</v>
      </c>
      <c r="N20" s="1">
        <f>MAX(-16, MIN(16, Games[[#This Row],[OppRestDiff]]*8))</f>
        <v>-8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1420.2002701191532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1534.2274309998313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0.25964152442384725</v>
      </c>
      <c r="R20" s="1">
        <v>65</v>
      </c>
      <c r="S20" s="1">
        <v>74</v>
      </c>
      <c r="T20" s="1">
        <v>0</v>
      </c>
      <c r="U20" s="1">
        <f>Games[[#This Row],[PointsFor]]-Games[[#This Row],[PointsAgainst]]</f>
        <v>-9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0.37074258971191015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-7.2868949569365489</v>
      </c>
      <c r="AB20" s="4">
        <f>Games[[#This Row],[PreGmRate]]+Games[[#This Row],[RatingChange]]</f>
        <v>1412.9133751622167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38496</v>
      </c>
      <c r="B21" s="2">
        <v>2005</v>
      </c>
      <c r="C21" s="2">
        <f>COUNTIFS(Games[Team],Games[[#This Row],[Team]],Games[Season],Games[[#This Row],[Season]],Games[Date],"&lt;=" &amp; Games[[#This Row],[Date]])</f>
        <v>3</v>
      </c>
      <c r="D21" s="2" t="s">
        <v>23</v>
      </c>
      <c r="E21" s="2" t="s">
        <v>29</v>
      </c>
      <c r="F21" s="1" t="s">
        <v>75</v>
      </c>
      <c r="G21" s="1" t="s">
        <v>84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-1</v>
      </c>
      <c r="L21" s="2">
        <f>Games[[#This Row],[OppDaysOff]]-Games[[#This Row],[DaysOff]]</f>
        <v>1</v>
      </c>
      <c r="M21" s="1">
        <f>MAX(-16, MIN(16, Games[[#This Row],[RestDiff]]*8))</f>
        <v>-8</v>
      </c>
      <c r="N21" s="1">
        <f>MAX(-16, MIN(16, Games[[#This Row],[OppRestDiff]]*8))</f>
        <v>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1534.2274309998313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1420.2002701191532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0.74035847557615275</v>
      </c>
      <c r="R21" s="1">
        <v>74</v>
      </c>
      <c r="S21" s="1">
        <v>65</v>
      </c>
      <c r="T21" s="1">
        <v>0</v>
      </c>
      <c r="U21" s="1">
        <f>Games[[#This Row],[PointsFor]]-Games[[#This Row],[PointsAgainst]]</f>
        <v>9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0.37074258971191015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75.55</v>
      </c>
      <c r="Z21" s="4">
        <f>Games[[#This Row],[K]]*Games[[#This Row],[POMult]]</f>
        <v>75.55</v>
      </c>
      <c r="AA21" s="4">
        <f>(Games[[#This Row],[Keff]]*Games[[#This Row],[MOVMult]])*(Games[[#This Row],[Result]]-Games[[#This Row],[ExpectedWin%]])</f>
        <v>7.2724559312623018</v>
      </c>
      <c r="AB21" s="4">
        <f>Games[[#This Row],[PreGmRate]]+Games[[#This Row],[RatingChange]]</f>
        <v>1541.4998869310937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38496</v>
      </c>
      <c r="B22" s="2">
        <v>2005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44</v>
      </c>
      <c r="G22" s="1" t="s">
        <v>79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1</v>
      </c>
      <c r="L22" s="2">
        <f>Games[[#This Row],[OppDaysOff]]-Games[[#This Row],[DaysOff]]</f>
        <v>-1</v>
      </c>
      <c r="M22" s="1">
        <f>MAX(-16, MIN(16, Games[[#This Row],[RestDiff]]*8))</f>
        <v>8</v>
      </c>
      <c r="N22" s="1">
        <f>MAX(-16, MIN(16, Games[[#This Row],[OppRestDiff]]*8))</f>
        <v>-8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1488.2052946848573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1483.1314288723397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0.41041938224535168</v>
      </c>
      <c r="R22" s="1">
        <v>76</v>
      </c>
      <c r="S22" s="1">
        <v>83</v>
      </c>
      <c r="T22" s="1">
        <v>0</v>
      </c>
      <c r="U22" s="1">
        <f>Games[[#This Row],[PointsFor]]-Games[[#This Row],[PointsAgainst]]</f>
        <v>-7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0.3685488662432585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-11.450351569416267</v>
      </c>
      <c r="AB22" s="4">
        <f>Games[[#This Row],[PreGmRate]]+Games[[#This Row],[RatingChange]]</f>
        <v>1476.7549431154412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38496</v>
      </c>
      <c r="B23" s="2">
        <v>2005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79</v>
      </c>
      <c r="G23" s="1" t="s">
        <v>44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" s="2">
        <f>Games[[#This Row],[DaysOff]]-Games[[#This Row],[OppDaysOff]]</f>
        <v>-1</v>
      </c>
      <c r="L23" s="2">
        <f>Games[[#This Row],[OppDaysOff]]-Games[[#This Row],[DaysOff]]</f>
        <v>1</v>
      </c>
      <c r="M23" s="1">
        <f>MAX(-16, MIN(16, Games[[#This Row],[RestDiff]]*8))</f>
        <v>-8</v>
      </c>
      <c r="N23" s="1">
        <f>MAX(-16, MIN(16, Games[[#This Row],[OppRestDiff]]*8))</f>
        <v>8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1483.1314288723397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1488.2052946848573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0.58958061775464832</v>
      </c>
      <c r="R23" s="1">
        <v>83</v>
      </c>
      <c r="S23" s="1">
        <v>76</v>
      </c>
      <c r="T23" s="1">
        <v>0</v>
      </c>
      <c r="U23" s="1">
        <f>Games[[#This Row],[PointsFor]]-Games[[#This Row],[PointsAgainst]]</f>
        <v>7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0.3685488662432585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11.450351569416267</v>
      </c>
      <c r="AB23" s="4">
        <f>Games[[#This Row],[PreGmRate]]+Games[[#This Row],[RatingChange]]</f>
        <v>1494.5817804417559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38497</v>
      </c>
      <c r="B24" s="2">
        <v>2005</v>
      </c>
      <c r="C24" s="2">
        <f>COUNTIFS(Games[Team],Games[[#This Row],[Team]],Games[Season],Games[[#This Row],[Season]],Games[Date],"&lt;=" &amp; Games[[#This Row],[Date]])</f>
        <v>2</v>
      </c>
      <c r="D24" s="2" t="s">
        <v>23</v>
      </c>
      <c r="E24" s="2" t="s">
        <v>29</v>
      </c>
      <c r="F24" s="1" t="s">
        <v>70</v>
      </c>
      <c r="G24" s="1" t="s">
        <v>77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" s="2">
        <f>Games[[#This Row],[DaysOff]]-Games[[#This Row],[OppDaysOff]]</f>
        <v>1</v>
      </c>
      <c r="L24" s="2">
        <f>Games[[#This Row],[OppDaysOff]]-Games[[#This Row],[DaysOff]]</f>
        <v>-1</v>
      </c>
      <c r="M24" s="1">
        <f>MAX(-16, MIN(16, Games[[#This Row],[RestDiff]]*8))</f>
        <v>8</v>
      </c>
      <c r="N24" s="1">
        <f>MAX(-16, MIN(16, Games[[#This Row],[OppRestDiff]]*8))</f>
        <v>-8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1580.8355016343687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1474.0760365863364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0.5555491024019511</v>
      </c>
      <c r="R24" s="1">
        <v>65</v>
      </c>
      <c r="S24" s="1">
        <v>68</v>
      </c>
      <c r="T24" s="1">
        <v>0</v>
      </c>
      <c r="U24" s="1">
        <f>Games[[#This Row],[PointsFor]]-Games[[#This Row],[PointsAgainst]]</f>
        <v>-3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0.26647614548225229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-11.206672165968714</v>
      </c>
      <c r="AB24" s="4">
        <f>Games[[#This Row],[PreGmRate]]+Games[[#This Row],[RatingChange]]</f>
        <v>1569.6288294684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38497</v>
      </c>
      <c r="B25" s="2">
        <v>2005</v>
      </c>
      <c r="C25" s="2">
        <f>COUNTIFS(Games[Team],Games[[#This Row],[Team]],Games[Season],Games[[#This Row],[Season]],Games[Date],"&lt;=" &amp; Games[[#This Row],[Date]])</f>
        <v>2</v>
      </c>
      <c r="D25" s="2" t="s">
        <v>23</v>
      </c>
      <c r="E25" s="2" t="s">
        <v>29</v>
      </c>
      <c r="F25" s="1" t="s">
        <v>77</v>
      </c>
      <c r="G25" s="1" t="s">
        <v>70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" s="2">
        <f>Games[[#This Row],[DaysOff]]-Games[[#This Row],[OppDaysOff]]</f>
        <v>-1</v>
      </c>
      <c r="L25" s="2">
        <f>Games[[#This Row],[OppDaysOff]]-Games[[#This Row],[DaysOff]]</f>
        <v>1</v>
      </c>
      <c r="M25" s="1">
        <f>MAX(-16, MIN(16, Games[[#This Row],[RestDiff]]*8))</f>
        <v>-8</v>
      </c>
      <c r="N25" s="1">
        <f>MAX(-16, MIN(16, Games[[#This Row],[OppRestDiff]]*8))</f>
        <v>8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1474.0760365863364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1580.8355016343687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0.44445089759804896</v>
      </c>
      <c r="R25" s="1">
        <v>68</v>
      </c>
      <c r="S25" s="1">
        <v>65</v>
      </c>
      <c r="T25" s="1">
        <v>0</v>
      </c>
      <c r="U25" s="1">
        <f>Games[[#This Row],[PointsFor]]-Games[[#This Row],[PointsAgainst]]</f>
        <v>3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0.26647614548225229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11.206672165968712</v>
      </c>
      <c r="AB25" s="4">
        <f>Games[[#This Row],[PreGmRate]]+Games[[#This Row],[RatingChange]]</f>
        <v>1485.2827087523051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38498</v>
      </c>
      <c r="B26" s="2">
        <v>2005</v>
      </c>
      <c r="C26" s="2">
        <f>COUNTIFS(Games[Team],Games[[#This Row],[Team]],Games[Season],Games[[#This Row],[Season]],Games[Date],"&lt;=" &amp; Games[[#This Row],[Date]])</f>
        <v>3</v>
      </c>
      <c r="D26" s="2" t="s">
        <v>23</v>
      </c>
      <c r="E26" s="2" t="s">
        <v>29</v>
      </c>
      <c r="F26" s="1" t="s">
        <v>44</v>
      </c>
      <c r="G26" s="1" t="s">
        <v>64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" s="2">
        <f>Games[[#This Row],[DaysOff]]-Games[[#This Row],[OppDaysOff]]</f>
        <v>-2</v>
      </c>
      <c r="L26" s="2">
        <f>Games[[#This Row],[OppDaysOff]]-Games[[#This Row],[DaysOff]]</f>
        <v>2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1476.7549431154412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1439.406330816601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0.38870622950403788</v>
      </c>
      <c r="R26" s="1">
        <v>68</v>
      </c>
      <c r="S26" s="1">
        <v>58</v>
      </c>
      <c r="T26" s="1">
        <v>0</v>
      </c>
      <c r="U26" s="1">
        <f>Games[[#This Row],[PointsFor]]-Games[[#This Row],[PointsAgainst]]</f>
        <v>10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0.41035778773404352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18.951653986348365</v>
      </c>
      <c r="AB26" s="4">
        <f>Games[[#This Row],[PreGmRate]]+Games[[#This Row],[RatingChange]]</f>
        <v>1495.7065971017896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38498</v>
      </c>
      <c r="B27" s="2">
        <v>2005</v>
      </c>
      <c r="C27" s="2">
        <f>COUNTIFS(Games[Team],Games[[#This Row],[Team]],Games[Season],Games[[#This Row],[Season]],Games[Date],"&lt;=" &amp; Games[[#This Row],[Date]])</f>
        <v>3</v>
      </c>
      <c r="D27" s="2" t="s">
        <v>23</v>
      </c>
      <c r="E27" s="2" t="s">
        <v>29</v>
      </c>
      <c r="F27" s="1" t="s">
        <v>64</v>
      </c>
      <c r="G27" s="1" t="s">
        <v>44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2</v>
      </c>
      <c r="L27" s="2">
        <f>Games[[#This Row],[OppDaysOff]]-Games[[#This Row],[DaysOff]]</f>
        <v>-2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1439.406330816601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1476.7549431154412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0.61129377049596212</v>
      </c>
      <c r="R27" s="1">
        <v>58</v>
      </c>
      <c r="S27" s="1">
        <v>68</v>
      </c>
      <c r="T27" s="1">
        <v>0</v>
      </c>
      <c r="U27" s="1">
        <f>Games[[#This Row],[PointsFor]]-Games[[#This Row],[PointsAgainst]]</f>
        <v>-10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0.41035778773404352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-18.951653986348365</v>
      </c>
      <c r="AB27" s="4">
        <f>Games[[#This Row],[PreGmRate]]+Games[[#This Row],[RatingChange]]</f>
        <v>1420.4546768302525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38498</v>
      </c>
      <c r="B28" s="2">
        <v>2005</v>
      </c>
      <c r="C28" s="2">
        <f>COUNTIFS(Games[Team],Games[[#This Row],[Team]],Games[Season],Games[[#This Row],[Season]],Games[Date],"&lt;=" &amp; Games[[#This Row],[Date]])</f>
        <v>3</v>
      </c>
      <c r="D28" s="2" t="s">
        <v>23</v>
      </c>
      <c r="E28" s="2" t="s">
        <v>29</v>
      </c>
      <c r="F28" s="1" t="s">
        <v>79</v>
      </c>
      <c r="G28" s="1" t="s">
        <v>66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" s="2">
        <f>Games[[#This Row],[DaysOff]]-Games[[#This Row],[OppDaysOff]]</f>
        <v>-2</v>
      </c>
      <c r="L28" s="2">
        <f>Games[[#This Row],[OppDaysOff]]-Games[[#This Row],[DaysOff]]</f>
        <v>2</v>
      </c>
      <c r="M28" s="1">
        <f>MAX(-16, MIN(16, Games[[#This Row],[RestDiff]]*8))</f>
        <v>-16</v>
      </c>
      <c r="N28" s="1">
        <f>MAX(-16, MIN(16, Games[[#This Row],[OppRestDiff]]*8))</f>
        <v>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1494.5817804417559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1468.6505910886242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0.37320825505648397</v>
      </c>
      <c r="R28" s="1">
        <v>67</v>
      </c>
      <c r="S28" s="1">
        <v>59</v>
      </c>
      <c r="T28" s="1">
        <v>0</v>
      </c>
      <c r="U28" s="1">
        <f>Games[[#This Row],[PointsFor]]-Games[[#This Row],[PointsAgainst]]</f>
        <v>8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0.38010179205040245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17.999384478179678</v>
      </c>
      <c r="AB28" s="4">
        <f>Games[[#This Row],[PreGmRate]]+Games[[#This Row],[RatingChange]]</f>
        <v>1512.5811649199356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38498</v>
      </c>
      <c r="B29" s="2">
        <v>2005</v>
      </c>
      <c r="C29" s="2">
        <f>COUNTIFS(Games[Team],Games[[#This Row],[Team]],Games[Season],Games[[#This Row],[Season]],Games[Date],"&lt;=" &amp; Games[[#This Row],[Date]])</f>
        <v>2</v>
      </c>
      <c r="D29" s="2" t="s">
        <v>23</v>
      </c>
      <c r="E29" s="2" t="s">
        <v>29</v>
      </c>
      <c r="F29" s="1" t="s">
        <v>66</v>
      </c>
      <c r="G29" s="1" t="s">
        <v>79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2</v>
      </c>
      <c r="L29" s="2">
        <f>Games[[#This Row],[OppDaysOff]]-Games[[#This Row],[DaysOff]]</f>
        <v>-2</v>
      </c>
      <c r="M29" s="1">
        <f>MAX(-16, MIN(16, Games[[#This Row],[RestDiff]]*8))</f>
        <v>16</v>
      </c>
      <c r="N29" s="1">
        <f>MAX(-16, MIN(16, Games[[#This Row],[OppRestDiff]]*8))</f>
        <v>-16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1468.6505910886242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1494.5817804417559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0.62679174494351608</v>
      </c>
      <c r="R29" s="1">
        <v>59</v>
      </c>
      <c r="S29" s="1">
        <v>67</v>
      </c>
      <c r="T29" s="1">
        <v>0</v>
      </c>
      <c r="U29" s="1">
        <f>Games[[#This Row],[PointsFor]]-Games[[#This Row],[PointsAgainst]]</f>
        <v>-8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0.38010179205040245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-18.035121178003994</v>
      </c>
      <c r="AB29" s="4">
        <f>Games[[#This Row],[PreGmRate]]+Games[[#This Row],[RatingChange]]</f>
        <v>1450.6154699106203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38498</v>
      </c>
      <c r="B30" s="2">
        <v>2005</v>
      </c>
      <c r="C30" s="2">
        <f>COUNTIFS(Games[Team],Games[[#This Row],[Team]],Games[Season],Games[[#This Row],[Season]],Games[Date],"&lt;=" &amp; Games[[#This Row],[Date]])</f>
        <v>3</v>
      </c>
      <c r="D30" s="2" t="s">
        <v>23</v>
      </c>
      <c r="E30" s="2" t="s">
        <v>29</v>
      </c>
      <c r="F30" s="1" t="s">
        <v>70</v>
      </c>
      <c r="G30" s="1" t="s">
        <v>73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" s="2">
        <f>Games[[#This Row],[DaysOff]]-Games[[#This Row],[OppDaysOff]]</f>
        <v>-3</v>
      </c>
      <c r="L30" s="2">
        <f>Games[[#This Row],[OppDaysOff]]-Games[[#This Row],[DaysOff]]</f>
        <v>3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1569.6288294684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1496.6652868648061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0.43838039080228108</v>
      </c>
      <c r="R30" s="1">
        <v>84</v>
      </c>
      <c r="S30" s="1">
        <v>75</v>
      </c>
      <c r="T30" s="1">
        <v>0</v>
      </c>
      <c r="U30" s="1">
        <f>Games[[#This Row],[PointsFor]]-Games[[#This Row],[PointsAgainst]]</f>
        <v>9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0.38270210911169578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16.23818882681115</v>
      </c>
      <c r="AB30" s="4">
        <f>Games[[#This Row],[PreGmRate]]+Games[[#This Row],[RatingChange]]</f>
        <v>1585.8670182952112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38498</v>
      </c>
      <c r="B31" s="2">
        <v>2005</v>
      </c>
      <c r="C31" s="2">
        <f>COUNTIFS(Games[Team],Games[[#This Row],[Team]],Games[Season],Games[[#This Row],[Season]],Games[Date],"&lt;=" &amp; Games[[#This Row],[Date]])</f>
        <v>3</v>
      </c>
      <c r="D31" s="2" t="s">
        <v>23</v>
      </c>
      <c r="E31" s="2" t="s">
        <v>29</v>
      </c>
      <c r="F31" s="1" t="s">
        <v>73</v>
      </c>
      <c r="G31" s="1" t="s">
        <v>70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" s="2">
        <f>Games[[#This Row],[DaysOff]]-Games[[#This Row],[OppDaysOff]]</f>
        <v>3</v>
      </c>
      <c r="L31" s="2">
        <f>Games[[#This Row],[OppDaysOff]]-Games[[#This Row],[DaysOff]]</f>
        <v>-3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1496.6652868648061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1569.6288294684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0.56161960919771892</v>
      </c>
      <c r="R31" s="1">
        <v>75</v>
      </c>
      <c r="S31" s="1">
        <v>84</v>
      </c>
      <c r="T31" s="1">
        <v>0</v>
      </c>
      <c r="U31" s="1">
        <f>Games[[#This Row],[PointsFor]]-Games[[#This Row],[PointsAgainst]]</f>
        <v>-9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0.38270210911169578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-16.23818882681115</v>
      </c>
      <c r="AB31" s="4">
        <f>Games[[#This Row],[PreGmRate]]+Games[[#This Row],[RatingChange]]</f>
        <v>1480.4270980379949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38499</v>
      </c>
      <c r="B32" s="2">
        <v>2005</v>
      </c>
      <c r="C32" s="2">
        <f>COUNTIFS(Games[Team],Games[[#This Row],[Team]],Games[Season],Games[[#This Row],[Season]],Games[Date],"&lt;=" &amp; Games[[#This Row],[Date]])</f>
        <v>2</v>
      </c>
      <c r="D32" s="2" t="s">
        <v>23</v>
      </c>
      <c r="E32" s="2" t="s">
        <v>29</v>
      </c>
      <c r="F32" s="1" t="s">
        <v>45</v>
      </c>
      <c r="G32" s="1" t="s">
        <v>84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" s="2">
        <f>Games[[#This Row],[DaysOff]]-Games[[#This Row],[OppDaysOff]]</f>
        <v>3</v>
      </c>
      <c r="L32" s="2">
        <f>Games[[#This Row],[OppDaysOff]]-Games[[#This Row],[DaysOff]]</f>
        <v>-3</v>
      </c>
      <c r="M32" s="1">
        <f>MAX(-16, MIN(16, Games[[#This Row],[RestDiff]]*8))</f>
        <v>16</v>
      </c>
      <c r="N32" s="1">
        <f>MAX(-16, MIN(16, Games[[#This Row],[OppRestDiff]]*8))</f>
        <v>-16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1553.8931346188256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1412.9133751622167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0.62532409520560017</v>
      </c>
      <c r="R32" s="1">
        <v>71</v>
      </c>
      <c r="S32" s="1">
        <v>67</v>
      </c>
      <c r="T32" s="1">
        <v>0</v>
      </c>
      <c r="U32" s="1">
        <f>Games[[#This Row],[PointsFor]]-Games[[#This Row],[PointsAgainst]]</f>
        <v>4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0.27869121755878962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75.7</v>
      </c>
      <c r="Z32" s="4">
        <f>Games[[#This Row],[K]]*Games[[#This Row],[POMult]]</f>
        <v>75.7</v>
      </c>
      <c r="AA32" s="4">
        <f>(Games[[#This Row],[Keff]]*Games[[#This Row],[MOVMult]])*(Games[[#This Row],[Result]]-Games[[#This Row],[ExpectedWin%]])</f>
        <v>7.904509526149897</v>
      </c>
      <c r="AB32" s="4">
        <f>Games[[#This Row],[PreGmRate]]+Games[[#This Row],[RatingChange]]</f>
        <v>1561.7976441449755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38499</v>
      </c>
      <c r="B33" s="2">
        <v>2005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84</v>
      </c>
      <c r="G33" s="1" t="s">
        <v>45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3" s="2">
        <f>Games[[#This Row],[DaysOff]]-Games[[#This Row],[OppDaysOff]]</f>
        <v>-3</v>
      </c>
      <c r="L33" s="2">
        <f>Games[[#This Row],[OppDaysOff]]-Games[[#This Row],[DaysOff]]</f>
        <v>3</v>
      </c>
      <c r="M33" s="1">
        <f>MAX(-16, MIN(16, Games[[#This Row],[RestDiff]]*8))</f>
        <v>-16</v>
      </c>
      <c r="N33" s="1">
        <f>MAX(-16, MIN(16, Games[[#This Row],[OppRestDiff]]*8))</f>
        <v>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1412.9133751622167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1553.8931346188256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0.37467590479439983</v>
      </c>
      <c r="R33" s="1">
        <v>67</v>
      </c>
      <c r="S33" s="1">
        <v>71</v>
      </c>
      <c r="T33" s="1">
        <v>0</v>
      </c>
      <c r="U33" s="1">
        <f>Games[[#This Row],[PointsFor]]-Games[[#This Row],[PointsAgainst]]</f>
        <v>-4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0.27869121755878962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-7.8888466935353332</v>
      </c>
      <c r="AB33" s="4">
        <f>Games[[#This Row],[PreGmRate]]+Games[[#This Row],[RatingChange]]</f>
        <v>1405.0245284686814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38499</v>
      </c>
      <c r="B34" s="2">
        <v>2005</v>
      </c>
      <c r="C34" s="2">
        <f>COUNTIFS(Games[Team],Games[[#This Row],[Team]],Games[Season],Games[[#This Row],[Season]],Games[Date],"&lt;=" &amp; Games[[#This Row],[Date]])</f>
        <v>3</v>
      </c>
      <c r="D34" s="2" t="s">
        <v>23</v>
      </c>
      <c r="E34" s="2" t="s">
        <v>29</v>
      </c>
      <c r="F34" s="1" t="s">
        <v>2</v>
      </c>
      <c r="G34" s="1" t="s">
        <v>81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" s="2">
        <f>Games[[#This Row],[DaysOff]]-Games[[#This Row],[OppDaysOff]]</f>
        <v>-1</v>
      </c>
      <c r="L34" s="2">
        <f>Games[[#This Row],[OppDaysOff]]-Games[[#This Row],[DaysOff]]</f>
        <v>1</v>
      </c>
      <c r="M34" s="1">
        <f>MAX(-16, MIN(16, Games[[#This Row],[RestDiff]]*8))</f>
        <v>-8</v>
      </c>
      <c r="N34" s="1">
        <f>MAX(-16, MIN(16, Games[[#This Row],[OppRestDiff]]*8))</f>
        <v>8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1503.6481087839659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1539.631817193653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0.31371993318931712</v>
      </c>
      <c r="R34" s="1">
        <v>69</v>
      </c>
      <c r="S34" s="1">
        <v>79</v>
      </c>
      <c r="T34" s="1">
        <v>0</v>
      </c>
      <c r="U34" s="1">
        <f>Games[[#This Row],[PointsFor]]-Games[[#This Row],[PointsAgainst]]</f>
        <v>-10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0.41081094818964781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-9.7368525122329483</v>
      </c>
      <c r="AB34" s="4">
        <f>Games[[#This Row],[PreGmRate]]+Games[[#This Row],[RatingChange]]</f>
        <v>1493.911256271733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38499</v>
      </c>
      <c r="B35" s="2">
        <v>2005</v>
      </c>
      <c r="C35" s="2">
        <f>COUNTIFS(Games[Team],Games[[#This Row],[Team]],Games[Season],Games[[#This Row],[Season]],Games[Date],"&lt;=" &amp; Games[[#This Row],[Date]])</f>
        <v>2</v>
      </c>
      <c r="D35" s="2" t="s">
        <v>23</v>
      </c>
      <c r="E35" s="2" t="s">
        <v>29</v>
      </c>
      <c r="F35" s="1" t="s">
        <v>81</v>
      </c>
      <c r="G35" s="1" t="s">
        <v>2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5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5" s="2">
        <f>Games[[#This Row],[DaysOff]]-Games[[#This Row],[OppDaysOff]]</f>
        <v>1</v>
      </c>
      <c r="L35" s="2">
        <f>Games[[#This Row],[OppDaysOff]]-Games[[#This Row],[DaysOff]]</f>
        <v>-1</v>
      </c>
      <c r="M35" s="1">
        <f>MAX(-16, MIN(16, Games[[#This Row],[RestDiff]]*8))</f>
        <v>8</v>
      </c>
      <c r="N35" s="1">
        <f>MAX(-16, MIN(16, Games[[#This Row],[OppRestDiff]]*8))</f>
        <v>-8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1539.631817193653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1503.6481087839659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0.68628006681068288</v>
      </c>
      <c r="R35" s="1">
        <v>79</v>
      </c>
      <c r="S35" s="1">
        <v>69</v>
      </c>
      <c r="T35" s="1">
        <v>0</v>
      </c>
      <c r="U35" s="1">
        <f>Games[[#This Row],[PointsFor]]-Games[[#This Row],[PointsAgainst]]</f>
        <v>10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0.41081094818964781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75.7</v>
      </c>
      <c r="Z35" s="4">
        <f>Games[[#This Row],[K]]*Games[[#This Row],[POMult]]</f>
        <v>75.7</v>
      </c>
      <c r="AA35" s="4">
        <f>(Games[[#This Row],[Keff]]*Games[[#This Row],[MOVMult]])*(Games[[#This Row],[Result]]-Games[[#This Row],[ExpectedWin%]])</f>
        <v>9.7561844497158727</v>
      </c>
      <c r="AB35" s="4">
        <f>Games[[#This Row],[PreGmRate]]+Games[[#This Row],[RatingChange]]</f>
        <v>1549.3880016433689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38500</v>
      </c>
      <c r="B36" s="2">
        <v>2005</v>
      </c>
      <c r="C36" s="2">
        <f>COUNTIFS(Games[Team],Games[[#This Row],[Team]],Games[Season],Games[[#This Row],[Season]],Games[Date],"&lt;=" &amp; Games[[#This Row],[Date]])</f>
        <v>4</v>
      </c>
      <c r="D36" s="2" t="s">
        <v>23</v>
      </c>
      <c r="E36" s="2" t="s">
        <v>29</v>
      </c>
      <c r="F36" s="1" t="s">
        <v>70</v>
      </c>
      <c r="G36" s="1" t="s">
        <v>64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1585.8670182952112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1420.4546768302525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0.61506349543479533</v>
      </c>
      <c r="R36" s="1">
        <v>75</v>
      </c>
      <c r="S36" s="1">
        <v>84</v>
      </c>
      <c r="T36" s="1">
        <v>0</v>
      </c>
      <c r="U36" s="1">
        <f>Games[[#This Row],[PointsFor]]-Games[[#This Row],[PointsAgainst]]</f>
        <v>-9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0.35679026604813635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-16.546429580219872</v>
      </c>
      <c r="AB36" s="4">
        <f>Games[[#This Row],[PreGmRate]]+Games[[#This Row],[RatingChange]]</f>
        <v>1569.3205887149913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38500</v>
      </c>
      <c r="B37" s="2">
        <v>2005</v>
      </c>
      <c r="C37" s="2">
        <f>COUNTIFS(Games[Team],Games[[#This Row],[Team]],Games[Season],Games[[#This Row],[Season]],Games[Date],"&lt;=" &amp; Games[[#This Row],[Date]])</f>
        <v>4</v>
      </c>
      <c r="D37" s="2" t="s">
        <v>23</v>
      </c>
      <c r="E37" s="2" t="s">
        <v>29</v>
      </c>
      <c r="F37" s="1" t="s">
        <v>64</v>
      </c>
      <c r="G37" s="1" t="s">
        <v>70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1420.4546768302525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1585.8670182952112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0.38493650456520467</v>
      </c>
      <c r="R37" s="1">
        <v>84</v>
      </c>
      <c r="S37" s="1">
        <v>75</v>
      </c>
      <c r="T37" s="1">
        <v>0</v>
      </c>
      <c r="U37" s="1">
        <f>Games[[#This Row],[PointsFor]]-Games[[#This Row],[PointsAgainst]]</f>
        <v>9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0.35679026604813635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16.546429580219872</v>
      </c>
      <c r="AB37" s="4">
        <f>Games[[#This Row],[PreGmRate]]+Games[[#This Row],[RatingChange]]</f>
        <v>1437.0011064104724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38500</v>
      </c>
      <c r="B38" s="2">
        <v>2005</v>
      </c>
      <c r="C38" s="2">
        <f>COUNTIFS(Games[Team],Games[[#This Row],[Team]],Games[Season],Games[[#This Row],[Season]],Games[Date],"&lt;=" &amp; Games[[#This Row],[Date]])</f>
        <v>4</v>
      </c>
      <c r="D38" s="2" t="s">
        <v>23</v>
      </c>
      <c r="E38" s="2" t="s">
        <v>29</v>
      </c>
      <c r="F38" s="1" t="s">
        <v>44</v>
      </c>
      <c r="G38" s="1" t="s">
        <v>86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" s="2">
        <f>Games[[#This Row],[DaysOff]]-Games[[#This Row],[OppDaysOff]]</f>
        <v>-4</v>
      </c>
      <c r="L38" s="2">
        <f>Games[[#This Row],[OppDaysOff]]-Games[[#This Row],[DaysOff]]</f>
        <v>4</v>
      </c>
      <c r="M38" s="1">
        <f>MAX(-16, MIN(16, Games[[#This Row],[RestDiff]]*8))</f>
        <v>-16</v>
      </c>
      <c r="N38" s="1">
        <f>MAX(-16, MIN(16, Games[[#This Row],[OppRestDiff]]*8))</f>
        <v>16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1495.7065971017896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1526.8998723160912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0.29999690400929563</v>
      </c>
      <c r="R38" s="1">
        <v>68</v>
      </c>
      <c r="S38" s="1">
        <v>85</v>
      </c>
      <c r="T38" s="1">
        <v>0</v>
      </c>
      <c r="U38" s="1">
        <f>Games[[#This Row],[PointsFor]]-Games[[#This Row],[PointsAgainst]]</f>
        <v>-17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0.51895221957509841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-11.738578063776643</v>
      </c>
      <c r="AB38" s="4">
        <f>Games[[#This Row],[PreGmRate]]+Games[[#This Row],[RatingChange]]</f>
        <v>1483.9680190380129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38500</v>
      </c>
      <c r="B39" s="2">
        <v>2005</v>
      </c>
      <c r="C39" s="2">
        <f>COUNTIFS(Games[Team],Games[[#This Row],[Team]],Games[Season],Games[[#This Row],[Season]],Games[Date],"&lt;=" &amp; Games[[#This Row],[Date]])</f>
        <v>3</v>
      </c>
      <c r="D39" s="2" t="s">
        <v>23</v>
      </c>
      <c r="E39" s="2" t="s">
        <v>29</v>
      </c>
      <c r="F39" s="1" t="s">
        <v>86</v>
      </c>
      <c r="G39" s="1" t="s">
        <v>44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5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4</v>
      </c>
      <c r="L39" s="2">
        <f>Games[[#This Row],[OppDaysOff]]-Games[[#This Row],[DaysOff]]</f>
        <v>-4</v>
      </c>
      <c r="M39" s="1">
        <f>MAX(-16, MIN(16, Games[[#This Row],[RestDiff]]*8))</f>
        <v>16</v>
      </c>
      <c r="N39" s="1">
        <f>MAX(-16, MIN(16, Games[[#This Row],[OppRestDiff]]*8))</f>
        <v>-16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1526.8998723160912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1495.7065971017896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0.70000309599070432</v>
      </c>
      <c r="R39" s="1">
        <v>85</v>
      </c>
      <c r="S39" s="1">
        <v>68</v>
      </c>
      <c r="T39" s="1">
        <v>0</v>
      </c>
      <c r="U39" s="1">
        <f>Games[[#This Row],[PointsFor]]-Games[[#This Row],[PointsAgainst]]</f>
        <v>17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0.51895221957509841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11.761930672656835</v>
      </c>
      <c r="AB39" s="4">
        <f>Games[[#This Row],[PreGmRate]]+Games[[#This Row],[RatingChange]]</f>
        <v>1538.6618029887481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38501</v>
      </c>
      <c r="B40" s="2">
        <v>2005</v>
      </c>
      <c r="C40" s="2">
        <f>COUNTIFS(Games[Team],Games[[#This Row],[Team]],Games[Season],Games[[#This Row],[Season]],Games[Date],"&lt;=" &amp; Games[[#This Row],[Date]])</f>
        <v>4</v>
      </c>
      <c r="D40" s="2" t="s">
        <v>23</v>
      </c>
      <c r="E40" s="2" t="s">
        <v>29</v>
      </c>
      <c r="F40" s="1" t="s">
        <v>79</v>
      </c>
      <c r="G40" s="1" t="s">
        <v>2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1</v>
      </c>
      <c r="L40" s="2">
        <f>Games[[#This Row],[OppDaysOff]]-Games[[#This Row],[DaysOff]]</f>
        <v>-1</v>
      </c>
      <c r="M40" s="1">
        <f>MAX(-16, MIN(16, Games[[#This Row],[RestDiff]]*8))</f>
        <v>8</v>
      </c>
      <c r="N40" s="1">
        <f>MAX(-16, MIN(16, Games[[#This Row],[OppRestDiff]]*8))</f>
        <v>-8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1512.5811649199356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1493.911256271733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0.42948152373311532</v>
      </c>
      <c r="R40" s="1">
        <v>78</v>
      </c>
      <c r="S40" s="1">
        <v>86</v>
      </c>
      <c r="T40" s="1">
        <v>1</v>
      </c>
      <c r="U40" s="1">
        <f>Games[[#This Row],[PointsFor]]-Games[[#This Row],[PointsAgainst]]</f>
        <v>-8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0.34412991969945322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-11.143927147510556</v>
      </c>
      <c r="AB40" s="4">
        <f>Games[[#This Row],[PreGmRate]]+Games[[#This Row],[RatingChange]]</f>
        <v>1501.4372377724251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38501</v>
      </c>
      <c r="B41" s="2">
        <v>2005</v>
      </c>
      <c r="C41" s="2">
        <f>COUNTIFS(Games[Team],Games[[#This Row],[Team]],Games[Season],Games[[#This Row],[Season]],Games[Date],"&lt;=" &amp; Games[[#This Row],[Date]])</f>
        <v>4</v>
      </c>
      <c r="D41" s="2" t="s">
        <v>23</v>
      </c>
      <c r="E41" s="2" t="s">
        <v>29</v>
      </c>
      <c r="F41" s="1" t="s">
        <v>2</v>
      </c>
      <c r="G41" s="1" t="s">
        <v>79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" s="2">
        <f>Games[[#This Row],[DaysOff]]-Games[[#This Row],[OppDaysOff]]</f>
        <v>-1</v>
      </c>
      <c r="L41" s="2">
        <f>Games[[#This Row],[OppDaysOff]]-Games[[#This Row],[DaysOff]]</f>
        <v>1</v>
      </c>
      <c r="M41" s="1">
        <f>MAX(-16, MIN(16, Games[[#This Row],[RestDiff]]*8))</f>
        <v>-8</v>
      </c>
      <c r="N41" s="1">
        <f>MAX(-16, MIN(16, Games[[#This Row],[OppRestDiff]]*8))</f>
        <v>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1493.911256271733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1512.5811649199356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0.57051847626688468</v>
      </c>
      <c r="R41" s="1">
        <v>86</v>
      </c>
      <c r="S41" s="1">
        <v>78</v>
      </c>
      <c r="T41" s="1">
        <v>1</v>
      </c>
      <c r="U41" s="1">
        <f>Games[[#This Row],[PointsFor]]-Games[[#This Row],[PointsAgainst]]</f>
        <v>8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0.34412991969945322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11.143927147510556</v>
      </c>
      <c r="AB41" s="4">
        <f>Games[[#This Row],[PreGmRate]]+Games[[#This Row],[RatingChange]]</f>
        <v>1505.0551834192436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38501</v>
      </c>
      <c r="B42" s="2">
        <v>2005</v>
      </c>
      <c r="C42" s="2">
        <f>COUNTIFS(Games[Team],Games[[#This Row],[Team]],Games[Season],Games[[#This Row],[Season]],Games[Date],"&lt;=" &amp; Games[[#This Row],[Date]])</f>
        <v>3</v>
      </c>
      <c r="D42" s="2" t="s">
        <v>23</v>
      </c>
      <c r="E42" s="2" t="s">
        <v>29</v>
      </c>
      <c r="F42" s="1" t="s">
        <v>45</v>
      </c>
      <c r="G42" s="1" t="s">
        <v>77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" s="2">
        <f>Games[[#This Row],[DaysOff]]-Games[[#This Row],[OppDaysOff]]</f>
        <v>-2</v>
      </c>
      <c r="L42" s="2">
        <f>Games[[#This Row],[OppDaysOff]]-Games[[#This Row],[DaysOff]]</f>
        <v>2</v>
      </c>
      <c r="M42" s="1">
        <f>MAX(-16, MIN(16, Games[[#This Row],[RestDiff]]*8))</f>
        <v>-16</v>
      </c>
      <c r="N42" s="1">
        <f>MAX(-16, MIN(16, Games[[#This Row],[OppRestDiff]]*8))</f>
        <v>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1561.7976441449755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1485.2827087523051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0.44341980525936542</v>
      </c>
      <c r="R42" s="1">
        <v>67</v>
      </c>
      <c r="S42" s="1">
        <v>66</v>
      </c>
      <c r="T42" s="1">
        <v>0</v>
      </c>
      <c r="U42" s="1">
        <f>Games[[#This Row],[PointsFor]]-Games[[#This Row],[PointsAgainst]]</f>
        <v>1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0.22954342094573083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75.55</v>
      </c>
      <c r="Z42" s="4">
        <f>Games[[#This Row],[K]]*Games[[#This Row],[POMult]]</f>
        <v>75.55</v>
      </c>
      <c r="AA42" s="4">
        <f>(Games[[#This Row],[Keff]]*Games[[#This Row],[MOVMult]])*(Games[[#This Row],[Result]]-Games[[#This Row],[ExpectedWin%]])</f>
        <v>9.6522167719177485</v>
      </c>
      <c r="AB42" s="4">
        <f>Games[[#This Row],[PreGmRate]]+Games[[#This Row],[RatingChange]]</f>
        <v>1571.4498609168932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38501</v>
      </c>
      <c r="B43" s="2">
        <v>2005</v>
      </c>
      <c r="C43" s="2">
        <f>COUNTIFS(Games[Team],Games[[#This Row],[Team]],Games[Season],Games[[#This Row],[Season]],Games[Date],"&lt;=" &amp; Games[[#This Row],[Date]])</f>
        <v>3</v>
      </c>
      <c r="D43" s="2" t="s">
        <v>23</v>
      </c>
      <c r="E43" s="2" t="s">
        <v>29</v>
      </c>
      <c r="F43" s="1" t="s">
        <v>77</v>
      </c>
      <c r="G43" s="1" t="s">
        <v>45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2</v>
      </c>
      <c r="L43" s="2">
        <f>Games[[#This Row],[OppDaysOff]]-Games[[#This Row],[DaysOff]]</f>
        <v>-2</v>
      </c>
      <c r="M43" s="1">
        <f>MAX(-16, MIN(16, Games[[#This Row],[RestDiff]]*8))</f>
        <v>16</v>
      </c>
      <c r="N43" s="1">
        <f>MAX(-16, MIN(16, Games[[#This Row],[OppRestDiff]]*8))</f>
        <v>-16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1485.2827087523051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1561.7976441449755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0.55658019474063458</v>
      </c>
      <c r="R43" s="1">
        <v>66</v>
      </c>
      <c r="S43" s="1">
        <v>67</v>
      </c>
      <c r="T43" s="1">
        <v>0</v>
      </c>
      <c r="U43" s="1">
        <f>Games[[#This Row],[PointsFor]]-Games[[#This Row],[PointsAgainst]]</f>
        <v>-1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0.22954342094573083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75.55</v>
      </c>
      <c r="Z43" s="4">
        <f>Games[[#This Row],[K]]*Games[[#This Row],[POMult]]</f>
        <v>75.55</v>
      </c>
      <c r="AA43" s="4">
        <f>(Games[[#This Row],[Keff]]*Games[[#This Row],[MOVMult]])*(Games[[#This Row],[Result]]-Games[[#This Row],[ExpectedWin%]])</f>
        <v>-9.6522167719177485</v>
      </c>
      <c r="AB43" s="4">
        <f>Games[[#This Row],[PreGmRate]]+Games[[#This Row],[RatingChange]]</f>
        <v>1475.6304919803874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38501</v>
      </c>
      <c r="B44" s="2">
        <v>2005</v>
      </c>
      <c r="C44" s="2">
        <f>COUNTIFS(Games[Team],Games[[#This Row],[Team]],Games[Season],Games[[#This Row],[Season]],Games[Date],"&lt;=" &amp; Games[[#This Row],[Date]])</f>
        <v>4</v>
      </c>
      <c r="D44" s="2" t="s">
        <v>23</v>
      </c>
      <c r="E44" s="2" t="s">
        <v>29</v>
      </c>
      <c r="F44" s="1" t="s">
        <v>84</v>
      </c>
      <c r="G44" s="1" t="s">
        <v>81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1405.0245284686814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1549.3880016433689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0.21172381972811768</v>
      </c>
      <c r="R44" s="1">
        <v>51</v>
      </c>
      <c r="S44" s="1">
        <v>79</v>
      </c>
      <c r="T44" s="1">
        <v>0</v>
      </c>
      <c r="U44" s="1">
        <f>Games[[#This Row],[PointsFor]]-Games[[#This Row],[PointsAgainst]]</f>
        <v>-28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0.60616612125059821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-9.6768214162039303</v>
      </c>
      <c r="AB44" s="4">
        <f>Games[[#This Row],[PreGmRate]]+Games[[#This Row],[RatingChange]]</f>
        <v>1395.3477070524775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38501</v>
      </c>
      <c r="B45" s="2">
        <v>2005</v>
      </c>
      <c r="C45" s="2">
        <f>COUNTIFS(Games[Team],Games[[#This Row],[Team]],Games[Season],Games[[#This Row],[Season]],Games[Date],"&lt;=" &amp; Games[[#This Row],[Date]])</f>
        <v>3</v>
      </c>
      <c r="D45" s="2" t="s">
        <v>23</v>
      </c>
      <c r="E45" s="2" t="s">
        <v>29</v>
      </c>
      <c r="F45" s="1" t="s">
        <v>81</v>
      </c>
      <c r="G45" s="1" t="s">
        <v>84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1549.3880016433689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1405.0245284686814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0.78827618027188229</v>
      </c>
      <c r="R45" s="1">
        <v>79</v>
      </c>
      <c r="S45" s="1">
        <v>51</v>
      </c>
      <c r="T45" s="1">
        <v>0</v>
      </c>
      <c r="U45" s="1">
        <f>Games[[#This Row],[PointsFor]]-Games[[#This Row],[PointsAgainst]]</f>
        <v>28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0.60616612125059821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9.696072387191073</v>
      </c>
      <c r="AB45" s="4">
        <f>Games[[#This Row],[PreGmRate]]+Games[[#This Row],[RatingChange]]</f>
        <v>1559.08407403056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38503</v>
      </c>
      <c r="B46" s="2">
        <v>2005</v>
      </c>
      <c r="C46" s="2">
        <f>COUNTIFS(Games[Team],Games[[#This Row],[Team]],Games[Season],Games[[#This Row],[Season]],Games[Date],"&lt;=" &amp; Games[[#This Row],[Date]])</f>
        <v>5</v>
      </c>
      <c r="D46" s="2" t="s">
        <v>23</v>
      </c>
      <c r="E46" s="2" t="s">
        <v>29</v>
      </c>
      <c r="F46" s="1" t="s">
        <v>84</v>
      </c>
      <c r="G46" s="1" t="s">
        <v>70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" s="2">
        <f>Games[[#This Row],[DaysOff]]-Games[[#This Row],[OppDaysOff]]</f>
        <v>-1</v>
      </c>
      <c r="L46" s="2">
        <f>Games[[#This Row],[OppDaysOff]]-Games[[#This Row],[DaysOff]]</f>
        <v>1</v>
      </c>
      <c r="M46" s="1">
        <f>MAX(-16, MIN(16, Games[[#This Row],[RestDiff]]*8))</f>
        <v>-8</v>
      </c>
      <c r="N46" s="1">
        <f>MAX(-16, MIN(16, Games[[#This Row],[OppRestDiff]]*8))</f>
        <v>8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1395.3477070524775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1569.3205887149913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0.17120450149599173</v>
      </c>
      <c r="R46" s="1">
        <v>70</v>
      </c>
      <c r="S46" s="1">
        <v>81</v>
      </c>
      <c r="T46" s="1">
        <v>0</v>
      </c>
      <c r="U46" s="1">
        <f>Games[[#This Row],[PointsFor]]-Games[[#This Row],[PointsAgainst]]</f>
        <v>-11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0.38414380032778617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-4.9489778748015549</v>
      </c>
      <c r="AB46" s="4">
        <f>Games[[#This Row],[PreGmRate]]+Games[[#This Row],[RatingChange]]</f>
        <v>1390.3987291776759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38503</v>
      </c>
      <c r="B47" s="2">
        <v>2005</v>
      </c>
      <c r="C47" s="2">
        <f>COUNTIFS(Games[Team],Games[[#This Row],[Team]],Games[Season],Games[[#This Row],[Season]],Games[Date],"&lt;=" &amp; Games[[#This Row],[Date]])</f>
        <v>5</v>
      </c>
      <c r="D47" s="2" t="s">
        <v>23</v>
      </c>
      <c r="E47" s="2" t="s">
        <v>29</v>
      </c>
      <c r="F47" s="1" t="s">
        <v>70</v>
      </c>
      <c r="G47" s="1" t="s">
        <v>84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1</v>
      </c>
      <c r="L47" s="2">
        <f>Games[[#This Row],[OppDaysOff]]-Games[[#This Row],[DaysOff]]</f>
        <v>-1</v>
      </c>
      <c r="M47" s="1">
        <f>MAX(-16, MIN(16, Games[[#This Row],[RestDiff]]*8))</f>
        <v>8</v>
      </c>
      <c r="N47" s="1">
        <f>MAX(-16, MIN(16, Games[[#This Row],[OppRestDiff]]*8))</f>
        <v>-8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1569.3205887149913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1395.3477070524775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0.82879549850400824</v>
      </c>
      <c r="R47" s="1">
        <v>81</v>
      </c>
      <c r="S47" s="1">
        <v>70</v>
      </c>
      <c r="T47" s="1">
        <v>0</v>
      </c>
      <c r="U47" s="1">
        <f>Games[[#This Row],[PointsFor]]-Games[[#This Row],[PointsAgainst]]</f>
        <v>11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0.38414380032778617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75.25</v>
      </c>
      <c r="Z47" s="4">
        <f>Games[[#This Row],[K]]*Games[[#This Row],[POMult]]</f>
        <v>75.25</v>
      </c>
      <c r="AA47" s="4">
        <f>(Games[[#This Row],[Keff]]*Games[[#This Row],[MOVMult]])*(Games[[#This Row],[Result]]-Games[[#This Row],[ExpectedWin%]])</f>
        <v>4.9489778748015558</v>
      </c>
      <c r="AB47" s="4">
        <f>Games[[#This Row],[PreGmRate]]+Games[[#This Row],[RatingChange]]</f>
        <v>1574.2695665897929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38504</v>
      </c>
      <c r="B48" s="2">
        <v>2005</v>
      </c>
      <c r="C48" s="2">
        <f>COUNTIFS(Games[Team],Games[[#This Row],[Team]],Games[Season],Games[[#This Row],[Season]],Games[Date],"&lt;=" &amp; Games[[#This Row],[Date]])</f>
        <v>4</v>
      </c>
      <c r="D48" s="2" t="s">
        <v>23</v>
      </c>
      <c r="E48" s="2" t="s">
        <v>29</v>
      </c>
      <c r="F48" s="1" t="s">
        <v>45</v>
      </c>
      <c r="G48" s="1" t="s">
        <v>79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" s="2">
        <f>Games[[#This Row],[DaysOff]]-Games[[#This Row],[OppDaysOff]]</f>
        <v>0</v>
      </c>
      <c r="L48" s="2">
        <f>Games[[#This Row],[OppDaysOff]]-Games[[#This Row],[DaysOff]]</f>
        <v>0</v>
      </c>
      <c r="M48" s="1">
        <f>MAX(-16, MIN(16, Games[[#This Row],[RestDiff]]*8))</f>
        <v>0</v>
      </c>
      <c r="N48" s="1">
        <f>MAX(-16, MIN(16, Games[[#This Row],[OppRestDiff]]*8))</f>
        <v>0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1571.4498609168932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1501.4372377724251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0.47988141469127105</v>
      </c>
      <c r="R48" s="1">
        <v>60</v>
      </c>
      <c r="S48" s="1">
        <v>61</v>
      </c>
      <c r="T48" s="1">
        <v>0</v>
      </c>
      <c r="U48" s="1">
        <f>Games[[#This Row],[PointsFor]]-Games[[#This Row],[PointsAgainst]]</f>
        <v>-1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0.2307186557192358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-8.348106655627026</v>
      </c>
      <c r="AB48" s="4">
        <f>Games[[#This Row],[PreGmRate]]+Games[[#This Row],[RatingChange]]</f>
        <v>1563.101754261266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38504</v>
      </c>
      <c r="B49" s="2">
        <v>2005</v>
      </c>
      <c r="C49" s="2">
        <f>COUNTIFS(Games[Team],Games[[#This Row],[Team]],Games[Season],Games[[#This Row],[Season]],Games[Date],"&lt;=" &amp; Games[[#This Row],[Date]])</f>
        <v>5</v>
      </c>
      <c r="D49" s="2" t="s">
        <v>23</v>
      </c>
      <c r="E49" s="2" t="s">
        <v>29</v>
      </c>
      <c r="F49" s="1" t="s">
        <v>79</v>
      </c>
      <c r="G49" s="1" t="s">
        <v>45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" s="2">
        <f>Games[[#This Row],[DaysOff]]-Games[[#This Row],[OppDaysOff]]</f>
        <v>0</v>
      </c>
      <c r="L49" s="2">
        <f>Games[[#This Row],[OppDaysOff]]-Games[[#This Row],[DaysOff]]</f>
        <v>0</v>
      </c>
      <c r="M49" s="1">
        <f>MAX(-16, MIN(16, Games[[#This Row],[RestDiff]]*8))</f>
        <v>0</v>
      </c>
      <c r="N49" s="1">
        <f>MAX(-16, MIN(16, Games[[#This Row],[OppRestDiff]]*8))</f>
        <v>0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1501.4372377724251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1571.4498609168932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0.52011858530872901</v>
      </c>
      <c r="R49" s="1">
        <v>61</v>
      </c>
      <c r="S49" s="1">
        <v>60</v>
      </c>
      <c r="T49" s="1">
        <v>0</v>
      </c>
      <c r="U49" s="1">
        <f>Games[[#This Row],[PointsFor]]-Games[[#This Row],[PointsAgainst]]</f>
        <v>1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0.2307186557192358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75.25</v>
      </c>
      <c r="Z49" s="4">
        <f>Games[[#This Row],[K]]*Games[[#This Row],[POMult]]</f>
        <v>75.25</v>
      </c>
      <c r="AA49" s="4">
        <f>(Games[[#This Row],[Keff]]*Games[[#This Row],[MOVMult]])*(Games[[#This Row],[Result]]-Games[[#This Row],[ExpectedWin%]])</f>
        <v>8.3314990163916924</v>
      </c>
      <c r="AB49" s="4">
        <f>Games[[#This Row],[PreGmRate]]+Games[[#This Row],[RatingChange]]</f>
        <v>1509.7687367888168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38504</v>
      </c>
      <c r="B50" s="2">
        <v>2005</v>
      </c>
      <c r="C50" s="2">
        <f>COUNTIFS(Games[Team],Games[[#This Row],[Team]],Games[Season],Games[[#This Row],[Season]],Games[Date],"&lt;=" &amp; Games[[#This Row],[Date]])</f>
        <v>3</v>
      </c>
      <c r="D50" s="2" t="s">
        <v>23</v>
      </c>
      <c r="E50" s="2" t="s">
        <v>29</v>
      </c>
      <c r="F50" s="1" t="s">
        <v>66</v>
      </c>
      <c r="G50" s="1" t="s">
        <v>73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5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1450.6154699106203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1480.4270980379949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0.34182939779575766</v>
      </c>
      <c r="R50" s="1">
        <v>77</v>
      </c>
      <c r="S50" s="1">
        <v>68</v>
      </c>
      <c r="T50" s="1">
        <v>0</v>
      </c>
      <c r="U50" s="1">
        <f>Games[[#This Row],[PointsFor]]-Games[[#This Row],[PointsAgainst]]</f>
        <v>9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0.39613044911479278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75.55</v>
      </c>
      <c r="Z50" s="4">
        <f>Games[[#This Row],[K]]*Games[[#This Row],[POMult]]</f>
        <v>75.55</v>
      </c>
      <c r="AA50" s="4">
        <f>(Games[[#This Row],[Keff]]*Games[[#This Row],[MOVMult]])*(Games[[#This Row],[Result]]-Games[[#This Row],[ExpectedWin%]])</f>
        <v>19.697502997333938</v>
      </c>
      <c r="AB50" s="4">
        <f>Games[[#This Row],[PreGmRate]]+Games[[#This Row],[RatingChange]]</f>
        <v>1470.3129729079542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38504</v>
      </c>
      <c r="B51" s="2">
        <v>2005</v>
      </c>
      <c r="C51" s="2">
        <f>COUNTIFS(Games[Team],Games[[#This Row],[Team]],Games[Season],Games[[#This Row],[Season]],Games[Date],"&lt;=" &amp; Games[[#This Row],[Date]])</f>
        <v>4</v>
      </c>
      <c r="D51" s="2" t="s">
        <v>23</v>
      </c>
      <c r="E51" s="2" t="s">
        <v>29</v>
      </c>
      <c r="F51" s="1" t="s">
        <v>73</v>
      </c>
      <c r="G51" s="1" t="s">
        <v>66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5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1480.4270980379949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1450.6154699106203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0.65817060220424228</v>
      </c>
      <c r="R51" s="1">
        <v>68</v>
      </c>
      <c r="S51" s="1">
        <v>77</v>
      </c>
      <c r="T51" s="1">
        <v>0</v>
      </c>
      <c r="U51" s="1">
        <f>Games[[#This Row],[PointsFor]]-Games[[#This Row],[PointsAgainst]]</f>
        <v>-9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0.39613044911479278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-19.658394784897141</v>
      </c>
      <c r="AB51" s="4">
        <f>Games[[#This Row],[PreGmRate]]+Games[[#This Row],[RatingChange]]</f>
        <v>1460.7687032530978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38505</v>
      </c>
      <c r="B52" s="2">
        <v>2005</v>
      </c>
      <c r="C52" s="2">
        <f>COUNTIFS(Games[Team],Games[[#This Row],[Team]],Games[Season],Games[[#This Row],[Season]],Games[Date],"&lt;=" &amp; Games[[#This Row],[Date]])</f>
        <v>4</v>
      </c>
      <c r="D52" s="2" t="s">
        <v>23</v>
      </c>
      <c r="E52" s="2" t="s">
        <v>29</v>
      </c>
      <c r="F52" s="1" t="s">
        <v>81</v>
      </c>
      <c r="G52" s="1" t="s">
        <v>44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3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2" s="2">
        <f>Games[[#This Row],[DaysOff]]-Games[[#This Row],[OppDaysOff]]</f>
        <v>-1</v>
      </c>
      <c r="L52" s="2">
        <f>Games[[#This Row],[OppDaysOff]]-Games[[#This Row],[DaysOff]]</f>
        <v>1</v>
      </c>
      <c r="M52" s="1">
        <f>MAX(-16, MIN(16, Games[[#This Row],[RestDiff]]*8))</f>
        <v>-8</v>
      </c>
      <c r="N52" s="1">
        <f>MAX(-16, MIN(16, Games[[#This Row],[OppRestDiff]]*8))</f>
        <v>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1559.08407403056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1483.9680190380129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0.46425023182085667</v>
      </c>
      <c r="R52" s="1">
        <v>78</v>
      </c>
      <c r="S52" s="1">
        <v>67</v>
      </c>
      <c r="T52" s="1">
        <v>0</v>
      </c>
      <c r="U52" s="1">
        <f>Games[[#This Row],[PointsFor]]-Games[[#This Row],[PointsAgainst]]</f>
        <v>11</v>
      </c>
      <c r="V52" s="1">
        <f>IF(Games[[#This Row],[MOV]]&gt;0,1,IF(Games[[#This Row],[MOV]]=0,0.5,0))</f>
        <v>1</v>
      </c>
      <c r="W52" s="4">
        <f>((ABS(Games[[#This Row],[MOV]])+5)^0.6)/(12+0.01*(ABS(Games[[#This Row],[PreGmRate]]-Games[[#This Row],[OppPreGmRate]])))*IF(Games[[#This Row],[OT]]=1,0.9,1)</f>
        <v>0.41392558915921002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75.400000000000006</v>
      </c>
      <c r="Z52" s="4">
        <f>Games[[#This Row],[K]]*Games[[#This Row],[POMult]]</f>
        <v>75.400000000000006</v>
      </c>
      <c r="AA52" s="4">
        <f>(Games[[#This Row],[Keff]]*Games[[#This Row],[MOVMult]])*(Games[[#This Row],[Result]]-Games[[#This Row],[ExpectedWin%]])</f>
        <v>16.720744598033843</v>
      </c>
      <c r="AB52" s="4">
        <f>Games[[#This Row],[PreGmRate]]+Games[[#This Row],[RatingChange]]</f>
        <v>1575.8048186285939</v>
      </c>
      <c r="AC52" s="2">
        <f>IF(Games[[#This Row],[Type]]="R",IF(Games[[#This Row],[Result]]&gt;0.5,1,0),0)</f>
        <v>1</v>
      </c>
      <c r="AD52" s="2">
        <f>IF(Games[[#This Row],[Type]]="R",IF(Games[[#This Row],[Result]]&lt;0.5,1,0),0)</f>
        <v>0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38505</v>
      </c>
      <c r="B53" s="2">
        <v>2005</v>
      </c>
      <c r="C53" s="2">
        <f>COUNTIFS(Games[Team],Games[[#This Row],[Team]],Games[Season],Games[[#This Row],[Season]],Games[Date],"&lt;=" &amp; Games[[#This Row],[Date]])</f>
        <v>5</v>
      </c>
      <c r="D53" s="2" t="s">
        <v>23</v>
      </c>
      <c r="E53" s="2" t="s">
        <v>29</v>
      </c>
      <c r="F53" s="1" t="s">
        <v>44</v>
      </c>
      <c r="G53" s="1" t="s">
        <v>81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4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3" s="2">
        <f>Games[[#This Row],[DaysOff]]-Games[[#This Row],[OppDaysOff]]</f>
        <v>1</v>
      </c>
      <c r="L53" s="2">
        <f>Games[[#This Row],[OppDaysOff]]-Games[[#This Row],[DaysOff]]</f>
        <v>-1</v>
      </c>
      <c r="M53" s="1">
        <f>MAX(-16, MIN(16, Games[[#This Row],[RestDiff]]*8))</f>
        <v>8</v>
      </c>
      <c r="N53" s="1">
        <f>MAX(-16, MIN(16, Games[[#This Row],[OppRestDiff]]*8))</f>
        <v>-8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1483.9680190380129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1559.08407403056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0.53574976817914322</v>
      </c>
      <c r="R53" s="1">
        <v>67</v>
      </c>
      <c r="S53" s="1">
        <v>78</v>
      </c>
      <c r="T53" s="1">
        <v>0</v>
      </c>
      <c r="U53" s="1">
        <f>Games[[#This Row],[PointsFor]]-Games[[#This Row],[PointsAgainst]]</f>
        <v>-11</v>
      </c>
      <c r="V53" s="1">
        <f>IF(Games[[#This Row],[MOV]]&gt;0,1,IF(Games[[#This Row],[MOV]]=0,0.5,0))</f>
        <v>0</v>
      </c>
      <c r="W53" s="4">
        <f>((ABS(Games[[#This Row],[MOV]])+5)^0.6)/(12+0.01*(ABS(Games[[#This Row],[PreGmRate]]-Games[[#This Row],[OppPreGmRate]])))*IF(Games[[#This Row],[OT]]=1,0.9,1)</f>
        <v>0.41392558915921002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-16.687480517268519</v>
      </c>
      <c r="AB53" s="4">
        <f>Games[[#This Row],[PreGmRate]]+Games[[#This Row],[RatingChange]]</f>
        <v>1467.2805385207444</v>
      </c>
      <c r="AC53" s="2">
        <f>IF(Games[[#This Row],[Type]]="R",IF(Games[[#This Row],[Result]]&gt;0.5,1,0),0)</f>
        <v>0</v>
      </c>
      <c r="AD53" s="2">
        <f>IF(Games[[#This Row],[Type]]="R",IF(Games[[#This Row],[Result]]&lt;0.5,1,0),0)</f>
        <v>1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38505</v>
      </c>
      <c r="B54" s="2">
        <v>2005</v>
      </c>
      <c r="C54" s="2">
        <f>COUNTIFS(Games[Team],Games[[#This Row],[Team]],Games[Season],Games[[#This Row],[Season]],Games[Date],"&lt;=" &amp; Games[[#This Row],[Date]])</f>
        <v>5</v>
      </c>
      <c r="D54" s="2" t="s">
        <v>23</v>
      </c>
      <c r="E54" s="2" t="s">
        <v>29</v>
      </c>
      <c r="F54" s="1" t="s">
        <v>64</v>
      </c>
      <c r="G54" s="1" t="s">
        <v>84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4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3</v>
      </c>
      <c r="L54" s="2">
        <f>Games[[#This Row],[OppDaysOff]]-Games[[#This Row],[DaysOff]]</f>
        <v>-3</v>
      </c>
      <c r="M54" s="1">
        <f>MAX(-16, MIN(16, Games[[#This Row],[RestDiff]]*8))</f>
        <v>16</v>
      </c>
      <c r="N54" s="1">
        <f>MAX(-16, MIN(16, Games[[#This Row],[OppRestDiff]]*8))</f>
        <v>-16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1437.0011064104724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1390.3987291776759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0.49223282129679452</v>
      </c>
      <c r="R54" s="1">
        <v>62</v>
      </c>
      <c r="S54" s="1">
        <v>69</v>
      </c>
      <c r="T54" s="1">
        <v>0</v>
      </c>
      <c r="U54" s="1">
        <f>Games[[#This Row],[PointsFor]]-Games[[#This Row],[PointsAgainst]]</f>
        <v>-7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0.3562712658790681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-13.196472878885217</v>
      </c>
      <c r="AB54" s="4">
        <f>Games[[#This Row],[PreGmRate]]+Games[[#This Row],[RatingChange]]</f>
        <v>1423.8046335315871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38505</v>
      </c>
      <c r="B55" s="2">
        <v>2005</v>
      </c>
      <c r="C55" s="2">
        <f>COUNTIFS(Games[Team],Games[[#This Row],[Team]],Games[Season],Games[[#This Row],[Season]],Games[Date],"&lt;=" &amp; Games[[#This Row],[Date]])</f>
        <v>6</v>
      </c>
      <c r="D55" s="2" t="s">
        <v>23</v>
      </c>
      <c r="E55" s="2" t="s">
        <v>29</v>
      </c>
      <c r="F55" s="1" t="s">
        <v>84</v>
      </c>
      <c r="G55" s="1" t="s">
        <v>64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5" s="2">
        <f>Games[[#This Row],[DaysOff]]-Games[[#This Row],[OppDaysOff]]</f>
        <v>-3</v>
      </c>
      <c r="L55" s="2">
        <f>Games[[#This Row],[OppDaysOff]]-Games[[#This Row],[DaysOff]]</f>
        <v>3</v>
      </c>
      <c r="M55" s="1">
        <f>MAX(-16, MIN(16, Games[[#This Row],[RestDiff]]*8))</f>
        <v>-16</v>
      </c>
      <c r="N55" s="1">
        <f>MAX(-16, MIN(16, Games[[#This Row],[OppRestDiff]]*8))</f>
        <v>16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1390.3987291776759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1437.0011064104724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0.50776717870320554</v>
      </c>
      <c r="R55" s="1">
        <v>69</v>
      </c>
      <c r="S55" s="1">
        <v>62</v>
      </c>
      <c r="T55" s="1">
        <v>0</v>
      </c>
      <c r="U55" s="1">
        <f>Games[[#This Row],[PointsFor]]-Games[[#This Row],[PointsAgainst]]</f>
        <v>7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0.3562712658790681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75.099999999999994</v>
      </c>
      <c r="Z55" s="4">
        <f>Games[[#This Row],[K]]*Games[[#This Row],[POMult]]</f>
        <v>75.099999999999994</v>
      </c>
      <c r="AA55" s="4">
        <f>(Games[[#This Row],[Keff]]*Games[[#This Row],[MOVMult]])*(Games[[#This Row],[Result]]-Games[[#This Row],[ExpectedWin%]])</f>
        <v>13.170167617332618</v>
      </c>
      <c r="AB55" s="4">
        <f>Games[[#This Row],[PreGmRate]]+Games[[#This Row],[RatingChange]]</f>
        <v>1403.5688967950086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38506</v>
      </c>
      <c r="B56" s="2">
        <v>2005</v>
      </c>
      <c r="C56" s="2">
        <f>COUNTIFS(Games[Team],Games[[#This Row],[Team]],Games[Season],Games[[#This Row],[Season]],Games[Date],"&lt;=" &amp; Games[[#This Row],[Date]])</f>
        <v>4</v>
      </c>
      <c r="D56" s="2" t="s">
        <v>23</v>
      </c>
      <c r="E56" s="2" t="s">
        <v>29</v>
      </c>
      <c r="F56" s="1" t="s">
        <v>66</v>
      </c>
      <c r="G56" s="1" t="s">
        <v>75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56" s="2">
        <f>Games[[#This Row],[DaysOff]]-Games[[#This Row],[OppDaysOff]]</f>
        <v>-8</v>
      </c>
      <c r="L56" s="2">
        <f>Games[[#This Row],[OppDaysOff]]-Games[[#This Row],[DaysOff]]</f>
        <v>8</v>
      </c>
      <c r="M56" s="1">
        <f>MAX(-16, MIN(16, Games[[#This Row],[RestDiff]]*8))</f>
        <v>-16</v>
      </c>
      <c r="N56" s="1">
        <f>MAX(-16, MIN(16, Games[[#This Row],[OppRestDiff]]*8))</f>
        <v>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1470.3129729079542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1541.4998869310937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0.25397287416104142</v>
      </c>
      <c r="R56" s="1">
        <v>66</v>
      </c>
      <c r="S56" s="1">
        <v>68</v>
      </c>
      <c r="T56" s="1">
        <v>1</v>
      </c>
      <c r="U56" s="1">
        <f>Games[[#This Row],[PointsFor]]-Games[[#This Row],[PointsAgainst]]</f>
        <v>-2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0.2275579014253272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-4.3576324834336155</v>
      </c>
      <c r="AB56" s="4">
        <f>Games[[#This Row],[PreGmRate]]+Games[[#This Row],[RatingChange]]</f>
        <v>1465.9553404245205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38506</v>
      </c>
      <c r="B57" s="2">
        <v>2005</v>
      </c>
      <c r="C57" s="2">
        <f>COUNTIFS(Games[Team],Games[[#This Row],[Team]],Games[Season],Games[[#This Row],[Season]],Games[Date],"&lt;=" &amp; Games[[#This Row],[Date]])</f>
        <v>4</v>
      </c>
      <c r="D57" s="2" t="s">
        <v>23</v>
      </c>
      <c r="E57" s="2" t="s">
        <v>29</v>
      </c>
      <c r="F57" s="1" t="s">
        <v>75</v>
      </c>
      <c r="G57" s="1" t="s">
        <v>66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9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8</v>
      </c>
      <c r="L57" s="2">
        <f>Games[[#This Row],[OppDaysOff]]-Games[[#This Row],[DaysOff]]</f>
        <v>-8</v>
      </c>
      <c r="M57" s="1">
        <f>MAX(-16, MIN(16, Games[[#This Row],[RestDiff]]*8))</f>
        <v>16</v>
      </c>
      <c r="N57" s="1">
        <f>MAX(-16, MIN(16, Games[[#This Row],[OppRestDiff]]*8))</f>
        <v>-16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1541.4998869310937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1470.3129729079542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0.74602712583895858</v>
      </c>
      <c r="R57" s="1">
        <v>68</v>
      </c>
      <c r="S57" s="1">
        <v>66</v>
      </c>
      <c r="T57" s="1">
        <v>1</v>
      </c>
      <c r="U57" s="1">
        <f>Games[[#This Row],[PointsFor]]-Games[[#This Row],[PointsAgainst]]</f>
        <v>2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0.2275579014253272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75.400000000000006</v>
      </c>
      <c r="Z57" s="4">
        <f>Games[[#This Row],[K]]*Games[[#This Row],[POMult]]</f>
        <v>75.400000000000006</v>
      </c>
      <c r="AA57" s="4">
        <f>(Games[[#This Row],[Keff]]*Games[[#This Row],[MOVMult]])*(Games[[#This Row],[Result]]-Games[[#This Row],[ExpectedWin%]])</f>
        <v>4.3576324834336155</v>
      </c>
      <c r="AB57" s="4">
        <f>Games[[#This Row],[PreGmRate]]+Games[[#This Row],[RatingChange]]</f>
        <v>1545.8575194145274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38506</v>
      </c>
      <c r="B58" s="2">
        <v>2005</v>
      </c>
      <c r="C58" s="2">
        <f>COUNTIFS(Games[Team],Games[[#This Row],[Team]],Games[Season],Games[[#This Row],[Season]],Games[Date],"&lt;=" &amp; Games[[#This Row],[Date]])</f>
        <v>4</v>
      </c>
      <c r="D58" s="2" t="s">
        <v>23</v>
      </c>
      <c r="E58" s="2" t="s">
        <v>29</v>
      </c>
      <c r="F58" s="1" t="s">
        <v>77</v>
      </c>
      <c r="G58" s="1" t="s">
        <v>73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4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3</v>
      </c>
      <c r="L58" s="2">
        <f>Games[[#This Row],[OppDaysOff]]-Games[[#This Row],[DaysOff]]</f>
        <v>-3</v>
      </c>
      <c r="M58" s="1">
        <f>MAX(-16, MIN(16, Games[[#This Row],[RestDiff]]*8))</f>
        <v>16</v>
      </c>
      <c r="N58" s="1">
        <f>MAX(-16, MIN(16, Games[[#This Row],[OppRestDiff]]*8))</f>
        <v>-16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1475.6304919803874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1460.7687032530978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0.44675644995011138</v>
      </c>
      <c r="R58" s="1">
        <v>71</v>
      </c>
      <c r="S58" s="1">
        <v>74</v>
      </c>
      <c r="T58" s="1">
        <v>0</v>
      </c>
      <c r="U58" s="1">
        <f>Games[[#This Row],[PointsFor]]-Games[[#This Row],[PointsAgainst]]</f>
        <v>-3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0.28663361425109207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75.400000000000006</v>
      </c>
      <c r="Z58" s="4">
        <f>Games[[#This Row],[K]]*Games[[#This Row],[POMult]]</f>
        <v>75.400000000000006</v>
      </c>
      <c r="AA58" s="4">
        <f>(Games[[#This Row],[Keff]]*Games[[#This Row],[MOVMult]])*(Games[[#This Row],[Result]]-Games[[#This Row],[ExpectedWin%]])</f>
        <v>-9.6553783618147424</v>
      </c>
      <c r="AB58" s="4">
        <f>Games[[#This Row],[PreGmRate]]+Games[[#This Row],[RatingChange]]</f>
        <v>1465.9751136185728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38506</v>
      </c>
      <c r="B59" s="2">
        <v>2005</v>
      </c>
      <c r="C59" s="2">
        <f>COUNTIFS(Games[Team],Games[[#This Row],[Team]],Games[Season],Games[[#This Row],[Season]],Games[Date],"&lt;=" &amp; Games[[#This Row],[Date]])</f>
        <v>5</v>
      </c>
      <c r="D59" s="2" t="s">
        <v>23</v>
      </c>
      <c r="E59" s="2" t="s">
        <v>29</v>
      </c>
      <c r="F59" s="1" t="s">
        <v>73</v>
      </c>
      <c r="G59" s="1" t="s">
        <v>77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9" s="2">
        <f>Games[[#This Row],[DaysOff]]-Games[[#This Row],[OppDaysOff]]</f>
        <v>-3</v>
      </c>
      <c r="L59" s="2">
        <f>Games[[#This Row],[OppDaysOff]]-Games[[#This Row],[DaysOff]]</f>
        <v>3</v>
      </c>
      <c r="M59" s="1">
        <f>MAX(-16, MIN(16, Games[[#This Row],[RestDiff]]*8))</f>
        <v>-16</v>
      </c>
      <c r="N59" s="1">
        <f>MAX(-16, MIN(16, Games[[#This Row],[OppRestDiff]]*8))</f>
        <v>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1460.7687032530978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1475.6304919803874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0.55324355004988868</v>
      </c>
      <c r="R59" s="1">
        <v>74</v>
      </c>
      <c r="S59" s="1">
        <v>71</v>
      </c>
      <c r="T59" s="1">
        <v>0</v>
      </c>
      <c r="U59" s="1">
        <f>Games[[#This Row],[PointsFor]]-Games[[#This Row],[PointsAgainst]]</f>
        <v>3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0.28663361425109207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9.6361700494238622</v>
      </c>
      <c r="AB59" s="4">
        <f>Games[[#This Row],[PreGmRate]]+Games[[#This Row],[RatingChange]]</f>
        <v>1470.4048733025215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38507</v>
      </c>
      <c r="B60" s="2">
        <v>2005</v>
      </c>
      <c r="C60" s="2">
        <f>COUNTIFS(Games[Team],Games[[#This Row],[Team]],Games[Season],Games[[#This Row],[Season]],Games[Date],"&lt;=" &amp; Games[[#This Row],[Date]])</f>
        <v>7</v>
      </c>
      <c r="D60" s="2" t="s">
        <v>23</v>
      </c>
      <c r="E60" s="2" t="s">
        <v>29</v>
      </c>
      <c r="F60" s="1" t="s">
        <v>84</v>
      </c>
      <c r="G60" s="1" t="s">
        <v>86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60" s="2">
        <f>Games[[#This Row],[DaysOff]]-Games[[#This Row],[OppDaysOff]]</f>
        <v>-5</v>
      </c>
      <c r="L60" s="2">
        <f>Games[[#This Row],[OppDaysOff]]-Games[[#This Row],[DaysOff]]</f>
        <v>5</v>
      </c>
      <c r="M60" s="1">
        <f>MAX(-16, MIN(16, Games[[#This Row],[RestDiff]]*8))</f>
        <v>-16</v>
      </c>
      <c r="N60" s="1">
        <f>MAX(-16, MIN(16, Games[[#This Row],[OppRestDiff]]*8))</f>
        <v>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1403.5688967950086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1538.6618029887481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0.19070944646992233</v>
      </c>
      <c r="R60" s="1">
        <v>69</v>
      </c>
      <c r="S60" s="1">
        <v>80</v>
      </c>
      <c r="T60" s="1">
        <v>0</v>
      </c>
      <c r="U60" s="1">
        <f>Games[[#This Row],[PointsFor]]-Games[[#This Row],[PointsAgainst]]</f>
        <v>-11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0.39533066340221162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74.95</v>
      </c>
      <c r="Z60" s="4">
        <f>Games[[#This Row],[K]]*Games[[#This Row],[POMult]]</f>
        <v>74.95</v>
      </c>
      <c r="AA60" s="4">
        <f>(Games[[#This Row],[Keff]]*Games[[#This Row],[MOVMult]])*(Games[[#This Row],[Result]]-Games[[#This Row],[ExpectedWin%]])</f>
        <v>-5.650727234652221</v>
      </c>
      <c r="AB60" s="4">
        <f>Games[[#This Row],[PreGmRate]]+Games[[#This Row],[RatingChange]]</f>
        <v>1397.9181695603563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38507</v>
      </c>
      <c r="B61" s="2">
        <v>2005</v>
      </c>
      <c r="C61" s="2">
        <f>COUNTIFS(Games[Team],Games[[#This Row],[Team]],Games[Season],Games[[#This Row],[Season]],Games[Date],"&lt;=" &amp; Games[[#This Row],[Date]])</f>
        <v>4</v>
      </c>
      <c r="D61" s="2" t="s">
        <v>23</v>
      </c>
      <c r="E61" s="2" t="s">
        <v>29</v>
      </c>
      <c r="F61" s="1" t="s">
        <v>86</v>
      </c>
      <c r="G61" s="1" t="s">
        <v>84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6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5</v>
      </c>
      <c r="L61" s="2">
        <f>Games[[#This Row],[OppDaysOff]]-Games[[#This Row],[DaysOff]]</f>
        <v>-5</v>
      </c>
      <c r="M61" s="1">
        <f>MAX(-16, MIN(16, Games[[#This Row],[RestDiff]]*8))</f>
        <v>16</v>
      </c>
      <c r="N61" s="1">
        <f>MAX(-16, MIN(16, Games[[#This Row],[OppRestDiff]]*8))</f>
        <v>-16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1538.6618029887481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1403.5688967950086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0.80929055353007762</v>
      </c>
      <c r="R61" s="1">
        <v>80</v>
      </c>
      <c r="S61" s="1">
        <v>69</v>
      </c>
      <c r="T61" s="1">
        <v>0</v>
      </c>
      <c r="U61" s="1">
        <f>Games[[#This Row],[PointsFor]]-Games[[#This Row],[PointsAgainst]]</f>
        <v>11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0.39533066340221162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5.6846542160477336</v>
      </c>
      <c r="AB61" s="4">
        <f>Games[[#This Row],[PreGmRate]]+Games[[#This Row],[RatingChange]]</f>
        <v>1544.3464572047958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38507</v>
      </c>
      <c r="B62" s="2">
        <v>2005</v>
      </c>
      <c r="C62" s="2">
        <f>COUNTIFS(Games[Team],Games[[#This Row],[Team]],Games[Season],Games[[#This Row],[Season]],Games[Date],"&lt;=" &amp; Games[[#This Row],[Date]])</f>
        <v>6</v>
      </c>
      <c r="D62" s="2" t="s">
        <v>23</v>
      </c>
      <c r="E62" s="2" t="s">
        <v>29</v>
      </c>
      <c r="F62" s="1" t="s">
        <v>44</v>
      </c>
      <c r="G62" s="1" t="s">
        <v>2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62" s="2">
        <f>Games[[#This Row],[DaysOff]]-Games[[#This Row],[OppDaysOff]]</f>
        <v>-4</v>
      </c>
      <c r="L62" s="2">
        <f>Games[[#This Row],[OppDaysOff]]-Games[[#This Row],[DaysOff]]</f>
        <v>4</v>
      </c>
      <c r="M62" s="1">
        <f>MAX(-16, MIN(16, Games[[#This Row],[RestDiff]]*8))</f>
        <v>-16</v>
      </c>
      <c r="N62" s="1">
        <f>MAX(-16, MIN(16, Games[[#This Row],[OppRestDiff]]*8))</f>
        <v>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1467.2805385207444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1505.0551834192436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0.29210178218349087</v>
      </c>
      <c r="R62" s="1">
        <v>57</v>
      </c>
      <c r="S62" s="1">
        <v>59</v>
      </c>
      <c r="T62" s="1">
        <v>0</v>
      </c>
      <c r="U62" s="1">
        <f>Games[[#This Row],[PointsFor]]-Games[[#This Row],[PointsAgainst]]</f>
        <v>-2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0.25966728781874532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-5.696280743750334</v>
      </c>
      <c r="AB62" s="4">
        <f>Games[[#This Row],[PreGmRate]]+Games[[#This Row],[RatingChange]]</f>
        <v>1461.584257776994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38507</v>
      </c>
      <c r="B63" s="2">
        <v>2005</v>
      </c>
      <c r="C63" s="2">
        <f>COUNTIFS(Games[Team],Games[[#This Row],[Team]],Games[Season],Games[[#This Row],[Season]],Games[Date],"&lt;=" &amp; Games[[#This Row],[Date]])</f>
        <v>5</v>
      </c>
      <c r="D63" s="2" t="s">
        <v>23</v>
      </c>
      <c r="E63" s="2" t="s">
        <v>29</v>
      </c>
      <c r="F63" s="1" t="s">
        <v>2</v>
      </c>
      <c r="G63" s="1" t="s">
        <v>44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5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4</v>
      </c>
      <c r="L63" s="2">
        <f>Games[[#This Row],[OppDaysOff]]-Games[[#This Row],[DaysOff]]</f>
        <v>-4</v>
      </c>
      <c r="M63" s="1">
        <f>MAX(-16, MIN(16, Games[[#This Row],[RestDiff]]*8))</f>
        <v>16</v>
      </c>
      <c r="N63" s="1">
        <f>MAX(-16, MIN(16, Games[[#This Row],[OppRestDiff]]*8))</f>
        <v>-16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1505.0551834192436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1467.2805385207444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0.70789821781650919</v>
      </c>
      <c r="R63" s="1">
        <v>59</v>
      </c>
      <c r="S63" s="1">
        <v>57</v>
      </c>
      <c r="T63" s="1">
        <v>0</v>
      </c>
      <c r="U63" s="1">
        <f>Games[[#This Row],[PointsFor]]-Games[[#This Row],[PointsAgainst]]</f>
        <v>2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0.25966728781874532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5.7076581353823244</v>
      </c>
      <c r="AB63" s="4">
        <f>Games[[#This Row],[PreGmRate]]+Games[[#This Row],[RatingChange]]</f>
        <v>1510.762841554626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38507</v>
      </c>
      <c r="B64" s="2">
        <v>2005</v>
      </c>
      <c r="C64" s="2">
        <f>COUNTIFS(Games[Team],Games[[#This Row],[Team]],Games[Season],Games[[#This Row],[Season]],Games[Date],"&lt;=" &amp; Games[[#This Row],[Date]])</f>
        <v>6</v>
      </c>
      <c r="D64" s="2" t="s">
        <v>23</v>
      </c>
      <c r="E64" s="2" t="s">
        <v>29</v>
      </c>
      <c r="F64" s="1" t="s">
        <v>64</v>
      </c>
      <c r="G64" s="1" t="s">
        <v>77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4" s="2">
        <f>Games[[#This Row],[DaysOff]]-Games[[#This Row],[OppDaysOff]]</f>
        <v>1</v>
      </c>
      <c r="L64" s="2">
        <f>Games[[#This Row],[OppDaysOff]]-Games[[#This Row],[DaysOff]]</f>
        <v>-1</v>
      </c>
      <c r="M64" s="1">
        <f>MAX(-16, MIN(16, Games[[#This Row],[RestDiff]]*8))</f>
        <v>8</v>
      </c>
      <c r="N64" s="1">
        <f>MAX(-16, MIN(16, Games[[#This Row],[OppRestDiff]]*8))</f>
        <v>-8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1423.8046335315871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1465.9751136185728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0.34656056362309395</v>
      </c>
      <c r="R64" s="1">
        <v>67</v>
      </c>
      <c r="S64" s="1">
        <v>73</v>
      </c>
      <c r="T64" s="1">
        <v>0</v>
      </c>
      <c r="U64" s="1">
        <f>Games[[#This Row],[PointsFor]]-Games[[#This Row],[PointsAgainst]]</f>
        <v>-6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0.33935512078798635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-8.8322933548429425</v>
      </c>
      <c r="AB64" s="4">
        <f>Games[[#This Row],[PreGmRate]]+Games[[#This Row],[RatingChange]]</f>
        <v>1414.9723401767442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38507</v>
      </c>
      <c r="B65" s="2">
        <v>2005</v>
      </c>
      <c r="C65" s="2">
        <f>COUNTIFS(Games[Team],Games[[#This Row],[Team]],Games[Season],Games[[#This Row],[Season]],Games[Date],"&lt;=" &amp; Games[[#This Row],[Date]])</f>
        <v>5</v>
      </c>
      <c r="D65" s="2" t="s">
        <v>23</v>
      </c>
      <c r="E65" s="2" t="s">
        <v>29</v>
      </c>
      <c r="F65" s="1" t="s">
        <v>77</v>
      </c>
      <c r="G65" s="1" t="s">
        <v>64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0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-1</v>
      </c>
      <c r="L65" s="2">
        <f>Games[[#This Row],[OppDaysOff]]-Games[[#This Row],[DaysOff]]</f>
        <v>1</v>
      </c>
      <c r="M65" s="1">
        <f>MAX(-16, MIN(16, Games[[#This Row],[RestDiff]]*8))</f>
        <v>-8</v>
      </c>
      <c r="N65" s="1">
        <f>MAX(-16, MIN(16, Games[[#This Row],[OppRestDiff]]*8))</f>
        <v>8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1465.9751136185728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1423.8046335315871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0.65343943637690605</v>
      </c>
      <c r="R65" s="1">
        <v>73</v>
      </c>
      <c r="S65" s="1">
        <v>67</v>
      </c>
      <c r="T65" s="1">
        <v>0</v>
      </c>
      <c r="U65" s="1">
        <f>Games[[#This Row],[PointsFor]]-Games[[#This Row],[PointsAgainst]]</f>
        <v>6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0.33935512078798635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8.849934420132243</v>
      </c>
      <c r="AB65" s="4">
        <f>Games[[#This Row],[PreGmRate]]+Games[[#This Row],[RatingChange]]</f>
        <v>1474.8250480387051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38507</v>
      </c>
      <c r="B66" s="2">
        <v>2005</v>
      </c>
      <c r="C66" s="2">
        <f>COUNTIFS(Games[Team],Games[[#This Row],[Team]],Games[Season],Games[[#This Row],[Season]],Games[Date],"&lt;=" &amp; Games[[#This Row],[Date]])</f>
        <v>6</v>
      </c>
      <c r="D66" s="2" t="s">
        <v>23</v>
      </c>
      <c r="E66" s="2" t="s">
        <v>29</v>
      </c>
      <c r="F66" s="1" t="s">
        <v>70</v>
      </c>
      <c r="G66" s="1" t="s">
        <v>45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6" s="2">
        <f>Games[[#This Row],[DaysOff]]-Games[[#This Row],[OppDaysOff]]</f>
        <v>1</v>
      </c>
      <c r="L66" s="2">
        <f>Games[[#This Row],[OppDaysOff]]-Games[[#This Row],[DaysOff]]</f>
        <v>-1</v>
      </c>
      <c r="M66" s="1">
        <f>MAX(-16, MIN(16, Games[[#This Row],[RestDiff]]*8))</f>
        <v>8</v>
      </c>
      <c r="N66" s="1">
        <f>MAX(-16, MIN(16, Games[[#This Row],[OppRestDiff]]*8))</f>
        <v>-8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1574.2695665897929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1563.101754261266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0.41893365620497935</v>
      </c>
      <c r="R66" s="1">
        <v>53</v>
      </c>
      <c r="S66" s="1">
        <v>81</v>
      </c>
      <c r="T66" s="1">
        <v>0</v>
      </c>
      <c r="U66" s="1">
        <f>Games[[#This Row],[PointsFor]]-Games[[#This Row],[PointsAgainst]]</f>
        <v>-28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0.67282797956674956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-21.168458439315753</v>
      </c>
      <c r="AB66" s="4">
        <f>Games[[#This Row],[PreGmRate]]+Games[[#This Row],[RatingChange]]</f>
        <v>1553.1011081504771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38507</v>
      </c>
      <c r="B67" s="2">
        <v>2005</v>
      </c>
      <c r="C67" s="2">
        <f>COUNTIFS(Games[Team],Games[[#This Row],[Team]],Games[Season],Games[[#This Row],[Season]],Games[Date],"&lt;=" &amp; Games[[#This Row],[Date]])</f>
        <v>5</v>
      </c>
      <c r="D67" s="2" t="s">
        <v>23</v>
      </c>
      <c r="E67" s="2" t="s">
        <v>29</v>
      </c>
      <c r="F67" s="1" t="s">
        <v>45</v>
      </c>
      <c r="G67" s="1" t="s">
        <v>70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7" s="2">
        <f>Games[[#This Row],[DaysOff]]-Games[[#This Row],[OppDaysOff]]</f>
        <v>-1</v>
      </c>
      <c r="L67" s="2">
        <f>Games[[#This Row],[OppDaysOff]]-Games[[#This Row],[DaysOff]]</f>
        <v>1</v>
      </c>
      <c r="M67" s="1">
        <f>MAX(-16, MIN(16, Games[[#This Row],[RestDiff]]*8))</f>
        <v>-8</v>
      </c>
      <c r="N67" s="1">
        <f>MAX(-16, MIN(16, Games[[#This Row],[OppRestDiff]]*8))</f>
        <v>8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1563.101754261266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1574.2695665897929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0.58106634379502065</v>
      </c>
      <c r="R67" s="1">
        <v>81</v>
      </c>
      <c r="S67" s="1">
        <v>53</v>
      </c>
      <c r="T67" s="1">
        <v>0</v>
      </c>
      <c r="U67" s="1">
        <f>Games[[#This Row],[PointsFor]]-Games[[#This Row],[PointsAgainst]]</f>
        <v>28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0.67282797956674956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21.210738982137293</v>
      </c>
      <c r="AB67" s="4">
        <f>Games[[#This Row],[PreGmRate]]+Games[[#This Row],[RatingChange]]</f>
        <v>1584.3124932434034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38507</v>
      </c>
      <c r="B68" s="2">
        <v>2005</v>
      </c>
      <c r="C68" s="2">
        <f>COUNTIFS(Games[Team],Games[[#This Row],[Team]],Games[Season],Games[[#This Row],[Season]],Games[Date],"&lt;=" &amp; Games[[#This Row],[Date]])</f>
        <v>6</v>
      </c>
      <c r="D68" s="2" t="s">
        <v>23</v>
      </c>
      <c r="E68" s="2" t="s">
        <v>29</v>
      </c>
      <c r="F68" s="1" t="s">
        <v>79</v>
      </c>
      <c r="G68" s="1" t="s">
        <v>81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1</v>
      </c>
      <c r="L68" s="2">
        <f>Games[[#This Row],[OppDaysOff]]-Games[[#This Row],[DaysOff]]</f>
        <v>-1</v>
      </c>
      <c r="M68" s="1">
        <f>MAX(-16, MIN(16, Games[[#This Row],[RestDiff]]*8))</f>
        <v>8</v>
      </c>
      <c r="N68" s="1">
        <f>MAX(-16, MIN(16, Games[[#This Row],[OppRestDiff]]*8))</f>
        <v>-8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1509.7687367888168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1575.8048186285939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0.31613877956518194</v>
      </c>
      <c r="R68" s="1">
        <v>77</v>
      </c>
      <c r="S68" s="1">
        <v>83</v>
      </c>
      <c r="T68" s="1">
        <v>0</v>
      </c>
      <c r="U68" s="1">
        <f>Games[[#This Row],[PointsFor]]-Games[[#This Row],[PointsAgainst]]</f>
        <v>-6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0.3329580565323394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-7.9050976182534995</v>
      </c>
      <c r="AB68" s="4">
        <f>Games[[#This Row],[PreGmRate]]+Games[[#This Row],[RatingChange]]</f>
        <v>1501.8636391705634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38507</v>
      </c>
      <c r="B69" s="2">
        <v>2005</v>
      </c>
      <c r="C69" s="2">
        <f>COUNTIFS(Games[Team],Games[[#This Row],[Team]],Games[Season],Games[[#This Row],[Season]],Games[Date],"&lt;=" &amp; Games[[#This Row],[Date]])</f>
        <v>5</v>
      </c>
      <c r="D69" s="2" t="s">
        <v>23</v>
      </c>
      <c r="E69" s="2" t="s">
        <v>29</v>
      </c>
      <c r="F69" s="1" t="s">
        <v>81</v>
      </c>
      <c r="G69" s="1" t="s">
        <v>79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9" s="2">
        <f>Games[[#This Row],[DaysOff]]-Games[[#This Row],[OppDaysOff]]</f>
        <v>-1</v>
      </c>
      <c r="L69" s="2">
        <f>Games[[#This Row],[OppDaysOff]]-Games[[#This Row],[DaysOff]]</f>
        <v>1</v>
      </c>
      <c r="M69" s="1">
        <f>MAX(-16, MIN(16, Games[[#This Row],[RestDiff]]*8))</f>
        <v>-8</v>
      </c>
      <c r="N69" s="1">
        <f>MAX(-16, MIN(16, Games[[#This Row],[OppRestDiff]]*8))</f>
        <v>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1575.8048186285939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1509.7687367888168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0.68386122043481812</v>
      </c>
      <c r="R69" s="1">
        <v>83</v>
      </c>
      <c r="S69" s="1">
        <v>77</v>
      </c>
      <c r="T69" s="1">
        <v>0</v>
      </c>
      <c r="U69" s="1">
        <f>Games[[#This Row],[PointsFor]]-Games[[#This Row],[PointsAgainst]]</f>
        <v>6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0.3329580565323394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75.25</v>
      </c>
      <c r="Z69" s="4">
        <f>Games[[#This Row],[K]]*Games[[#This Row],[POMult]]</f>
        <v>75.25</v>
      </c>
      <c r="AA69" s="4">
        <f>(Games[[#This Row],[Keff]]*Games[[#This Row],[MOVMult]])*(Games[[#This Row],[Result]]-Games[[#This Row],[ExpectedWin%]])</f>
        <v>7.9208867612992782</v>
      </c>
      <c r="AB69" s="4">
        <f>Games[[#This Row],[PreGmRate]]+Games[[#This Row],[RatingChange]]</f>
        <v>1583.7257053898932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38508</v>
      </c>
      <c r="B70" s="2">
        <v>2005</v>
      </c>
      <c r="C70" s="2">
        <f>COUNTIFS(Games[Team],Games[[#This Row],[Team]],Games[Season],Games[[#This Row],[Season]],Games[Date],"&lt;=" &amp; Games[[#This Row],[Date]])</f>
        <v>6</v>
      </c>
      <c r="D70" s="2" t="s">
        <v>23</v>
      </c>
      <c r="E70" s="2" t="s">
        <v>29</v>
      </c>
      <c r="F70" s="1" t="s">
        <v>73</v>
      </c>
      <c r="G70" s="1" t="s">
        <v>66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1470.4048733025215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1465.9553404245205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0.38747716642219532</v>
      </c>
      <c r="R70" s="1">
        <v>58</v>
      </c>
      <c r="S70" s="1">
        <v>61</v>
      </c>
      <c r="T70" s="1">
        <v>0</v>
      </c>
      <c r="U70" s="1">
        <f>Games[[#This Row],[PointsFor]]-Games[[#This Row],[PointsAgainst]]</f>
        <v>-3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0.28911151178446343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-8.4130106134077032</v>
      </c>
      <c r="AB70" s="4">
        <f>Games[[#This Row],[PreGmRate]]+Games[[#This Row],[RatingChange]]</f>
        <v>1461.9918626891138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38508</v>
      </c>
      <c r="B71" s="2">
        <v>2005</v>
      </c>
      <c r="C71" s="2">
        <f>COUNTIFS(Games[Team],Games[[#This Row],[Team]],Games[Season],Games[[#This Row],[Season]],Games[Date],"&lt;=" &amp; Games[[#This Row],[Date]])</f>
        <v>5</v>
      </c>
      <c r="D71" s="2" t="s">
        <v>23</v>
      </c>
      <c r="E71" s="2" t="s">
        <v>29</v>
      </c>
      <c r="F71" s="1" t="s">
        <v>66</v>
      </c>
      <c r="G71" s="1" t="s">
        <v>73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1465.9553404245205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1470.4048733025215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0.61252283357780468</v>
      </c>
      <c r="R71" s="1">
        <v>61</v>
      </c>
      <c r="S71" s="1">
        <v>58</v>
      </c>
      <c r="T71" s="1">
        <v>0</v>
      </c>
      <c r="U71" s="1">
        <f>Games[[#This Row],[PointsFor]]-Games[[#This Row],[PointsAgainst]]</f>
        <v>3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0.28911151178446343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75.25</v>
      </c>
      <c r="Z71" s="4">
        <f>Games[[#This Row],[K]]*Games[[#This Row],[POMult]]</f>
        <v>75.25</v>
      </c>
      <c r="AA71" s="4">
        <f>(Games[[#This Row],[Keff]]*Games[[#This Row],[MOVMult]])*(Games[[#This Row],[Result]]-Games[[#This Row],[ExpectedWin%]])</f>
        <v>8.4298142298126475</v>
      </c>
      <c r="AB71" s="4">
        <f>Games[[#This Row],[PreGmRate]]+Games[[#This Row],[RatingChange]]</f>
        <v>1474.3851546543331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38510</v>
      </c>
      <c r="B72" s="2">
        <v>2005</v>
      </c>
      <c r="C72" s="2">
        <f>COUNTIFS(Games[Team],Games[[#This Row],[Team]],Games[Season],Games[[#This Row],[Season]],Games[Date],"&lt;=" &amp; Games[[#This Row],[Date]])</f>
        <v>6</v>
      </c>
      <c r="D72" s="2" t="s">
        <v>23</v>
      </c>
      <c r="E72" s="2" t="s">
        <v>29</v>
      </c>
      <c r="F72" s="1" t="s">
        <v>81</v>
      </c>
      <c r="G72" s="1" t="s">
        <v>86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1583.7257053898932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1544.3464572047958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0.43613631267311748</v>
      </c>
      <c r="R72" s="1">
        <v>69</v>
      </c>
      <c r="S72" s="1">
        <v>81</v>
      </c>
      <c r="T72" s="1">
        <v>0</v>
      </c>
      <c r="U72" s="1">
        <f>Games[[#This Row],[PointsFor]]-Games[[#This Row],[PointsAgainst]]</f>
        <v>-12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0.44163667617751101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75.099999999999994</v>
      </c>
      <c r="Z72" s="4">
        <f>Games[[#This Row],[K]]*Games[[#This Row],[POMult]]</f>
        <v>75.099999999999994</v>
      </c>
      <c r="AA72" s="4">
        <f>(Games[[#This Row],[Keff]]*Games[[#This Row],[MOVMult]])*(Games[[#This Row],[Result]]-Games[[#This Row],[ExpectedWin%]])</f>
        <v>-14.465295740844272</v>
      </c>
      <c r="AB72" s="4">
        <f>Games[[#This Row],[PreGmRate]]+Games[[#This Row],[RatingChange]]</f>
        <v>1569.2604096490488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38510</v>
      </c>
      <c r="B73" s="2">
        <v>2005</v>
      </c>
      <c r="C73" s="2">
        <f>COUNTIFS(Games[Team],Games[[#This Row],[Team]],Games[Season],Games[[#This Row],[Season]],Games[Date],"&lt;=" &amp; Games[[#This Row],[Date]])</f>
        <v>5</v>
      </c>
      <c r="D73" s="2" t="s">
        <v>23</v>
      </c>
      <c r="E73" s="2" t="s">
        <v>29</v>
      </c>
      <c r="F73" s="1" t="s">
        <v>86</v>
      </c>
      <c r="G73" s="1" t="s">
        <v>81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1544.3464572047958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1583.7257053898932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0.56386368732688252</v>
      </c>
      <c r="R73" s="1">
        <v>81</v>
      </c>
      <c r="S73" s="1">
        <v>69</v>
      </c>
      <c r="T73" s="1">
        <v>0</v>
      </c>
      <c r="U73" s="1">
        <f>Games[[#This Row],[PointsFor]]-Games[[#This Row],[PointsAgainst]]</f>
        <v>12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0.44163667617751101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75.25</v>
      </c>
      <c r="Z73" s="4">
        <f>Games[[#This Row],[K]]*Games[[#This Row],[POMult]]</f>
        <v>75.25</v>
      </c>
      <c r="AA73" s="4">
        <f>(Games[[#This Row],[Keff]]*Games[[#This Row],[MOVMult]])*(Games[[#This Row],[Result]]-Games[[#This Row],[ExpectedWin%]])</f>
        <v>14.494187809567663</v>
      </c>
      <c r="AB73" s="4">
        <f>Games[[#This Row],[PreGmRate]]+Games[[#This Row],[RatingChange]]</f>
        <v>1558.8406450143634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38510</v>
      </c>
      <c r="B74" s="2">
        <v>2005</v>
      </c>
      <c r="C74" s="2">
        <f>COUNTIFS(Games[Team],Games[[#This Row],[Team]],Games[Season],Games[[#This Row],[Season]],Games[Date],"&lt;=" &amp; Games[[#This Row],[Date]])</f>
        <v>6</v>
      </c>
      <c r="D74" s="2" t="s">
        <v>23</v>
      </c>
      <c r="E74" s="2" t="s">
        <v>29</v>
      </c>
      <c r="F74" s="1" t="s">
        <v>77</v>
      </c>
      <c r="G74" s="1" t="s">
        <v>2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1474.8250480387051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1510.762841554626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0.3339402183895408</v>
      </c>
      <c r="R74" s="1">
        <v>62</v>
      </c>
      <c r="S74" s="1">
        <v>58</v>
      </c>
      <c r="T74" s="1">
        <v>0</v>
      </c>
      <c r="U74" s="1">
        <f>Games[[#This Row],[PointsFor]]-Games[[#This Row],[PointsAgainst]]</f>
        <v>4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0.3023770968452395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75.099999999999994</v>
      </c>
      <c r="Z74" s="4">
        <f>Games[[#This Row],[K]]*Games[[#This Row],[POMult]]</f>
        <v>75.099999999999994</v>
      </c>
      <c r="AA74" s="4">
        <f>(Games[[#This Row],[Keff]]*Games[[#This Row],[MOVMult]])*(Games[[#This Row],[Result]]-Games[[#This Row],[ExpectedWin%]])</f>
        <v>15.125231853964742</v>
      </c>
      <c r="AB74" s="4">
        <f>Games[[#This Row],[PreGmRate]]+Games[[#This Row],[RatingChange]]</f>
        <v>1489.9502798926699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38510</v>
      </c>
      <c r="B75" s="2">
        <v>2005</v>
      </c>
      <c r="C75" s="2">
        <f>COUNTIFS(Games[Team],Games[[#This Row],[Team]],Games[Season],Games[[#This Row],[Season]],Games[Date],"&lt;=" &amp; Games[[#This Row],[Date]])</f>
        <v>6</v>
      </c>
      <c r="D75" s="2" t="s">
        <v>23</v>
      </c>
      <c r="E75" s="2" t="s">
        <v>29</v>
      </c>
      <c r="F75" s="1" t="s">
        <v>2</v>
      </c>
      <c r="G75" s="1" t="s">
        <v>77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1510.762841554626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1474.8250480387051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0.6660597816104592</v>
      </c>
      <c r="R75" s="1">
        <v>58</v>
      </c>
      <c r="S75" s="1">
        <v>62</v>
      </c>
      <c r="T75" s="1">
        <v>0</v>
      </c>
      <c r="U75" s="1">
        <f>Games[[#This Row],[PointsFor]]-Games[[#This Row],[PointsAgainst]]</f>
        <v>-4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0.3023770968452395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-15.125231853964742</v>
      </c>
      <c r="AB75" s="4">
        <f>Games[[#This Row],[PreGmRate]]+Games[[#This Row],[RatingChange]]</f>
        <v>1495.6376097006612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38510</v>
      </c>
      <c r="B76" s="2">
        <v>2005</v>
      </c>
      <c r="C76" s="2">
        <f>COUNTIFS(Games[Team],Games[[#This Row],[Team]],Games[Season],Games[[#This Row],[Season]],Games[Date],"&lt;=" &amp; Games[[#This Row],[Date]])</f>
        <v>7</v>
      </c>
      <c r="D76" s="2" t="s">
        <v>23</v>
      </c>
      <c r="E76" s="2" t="s">
        <v>29</v>
      </c>
      <c r="F76" s="1" t="s">
        <v>79</v>
      </c>
      <c r="G76" s="1" t="s">
        <v>45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1501.8636391705634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1584.3124932434034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0.27724742095133187</v>
      </c>
      <c r="R76" s="1">
        <v>51</v>
      </c>
      <c r="S76" s="1">
        <v>65</v>
      </c>
      <c r="T76" s="1">
        <v>0</v>
      </c>
      <c r="U76" s="1">
        <f>Games[[#This Row],[PointsFor]]-Games[[#This Row],[PointsAgainst]]</f>
        <v>-14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0.45625969595797033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-9.4809369579295364</v>
      </c>
      <c r="AB76" s="4">
        <f>Games[[#This Row],[PreGmRate]]+Games[[#This Row],[RatingChange]]</f>
        <v>1492.3827022126338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38510</v>
      </c>
      <c r="B77" s="2">
        <v>2005</v>
      </c>
      <c r="C77" s="2">
        <f>COUNTIFS(Games[Team],Games[[#This Row],[Team]],Games[Season],Games[[#This Row],[Season]],Games[Date],"&lt;=" &amp; Games[[#This Row],[Date]])</f>
        <v>6</v>
      </c>
      <c r="D77" s="2" t="s">
        <v>23</v>
      </c>
      <c r="E77" s="2" t="s">
        <v>29</v>
      </c>
      <c r="F77" s="1" t="s">
        <v>45</v>
      </c>
      <c r="G77" s="1" t="s">
        <v>79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1584.3124932434034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1501.8636391705634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0.72275257904866808</v>
      </c>
      <c r="R77" s="1">
        <v>65</v>
      </c>
      <c r="S77" s="1">
        <v>51</v>
      </c>
      <c r="T77" s="1">
        <v>0</v>
      </c>
      <c r="U77" s="1">
        <f>Games[[#This Row],[PointsFor]]-Games[[#This Row],[PointsAgainst]]</f>
        <v>14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0.45625969595797033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75.099999999999994</v>
      </c>
      <c r="Z77" s="4">
        <f>Games[[#This Row],[K]]*Games[[#This Row],[POMult]]</f>
        <v>75.099999999999994</v>
      </c>
      <c r="AA77" s="4">
        <f>(Games[[#This Row],[Keff]]*Games[[#This Row],[MOVMult]])*(Games[[#This Row],[Result]]-Games[[#This Row],[ExpectedWin%]])</f>
        <v>9.4999114815277963</v>
      </c>
      <c r="AB77" s="4">
        <f>Games[[#This Row],[PreGmRate]]+Games[[#This Row],[RatingChange]]</f>
        <v>1593.8124047249312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38510</v>
      </c>
      <c r="B78" s="2">
        <v>2005</v>
      </c>
      <c r="C78" s="2">
        <f>COUNTIFS(Games[Team],Games[[#This Row],[Team]],Games[Season],Games[[#This Row],[Season]],Games[Date],"&lt;=" &amp; Games[[#This Row],[Date]])</f>
        <v>7</v>
      </c>
      <c r="D78" s="2" t="s">
        <v>23</v>
      </c>
      <c r="E78" s="2" t="s">
        <v>29</v>
      </c>
      <c r="F78" s="1" t="s">
        <v>73</v>
      </c>
      <c r="G78" s="1" t="s">
        <v>84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8" s="2">
        <f>Games[[#This Row],[DaysOff]]-Games[[#This Row],[OppDaysOff]]</f>
        <v>-1</v>
      </c>
      <c r="L78" s="2">
        <f>Games[[#This Row],[OppDaysOff]]-Games[[#This Row],[DaysOff]]</f>
        <v>1</v>
      </c>
      <c r="M78" s="1">
        <f>MAX(-16, MIN(16, Games[[#This Row],[RestDiff]]*8))</f>
        <v>-8</v>
      </c>
      <c r="N78" s="1">
        <f>MAX(-16, MIN(16, Games[[#This Row],[OppRestDiff]]*8))</f>
        <v>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1461.9918626891138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1397.9181695603563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0.44848137740223842</v>
      </c>
      <c r="R78" s="1">
        <v>62</v>
      </c>
      <c r="S78" s="1">
        <v>71</v>
      </c>
      <c r="T78" s="1">
        <v>0</v>
      </c>
      <c r="U78" s="1">
        <f>Games[[#This Row],[PointsFor]]-Games[[#This Row],[PointsAgainst]]</f>
        <v>-9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0.38539353775402801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74.95</v>
      </c>
      <c r="Z78" s="4">
        <f>Games[[#This Row],[K]]*Games[[#This Row],[POMult]]</f>
        <v>74.95</v>
      </c>
      <c r="AA78" s="4">
        <f>(Games[[#This Row],[Keff]]*Games[[#This Row],[MOVMult]])*(Games[[#This Row],[Result]]-Games[[#This Row],[ExpectedWin%]])</f>
        <v>-12.954494757805913</v>
      </c>
      <c r="AB78" s="4">
        <f>Games[[#This Row],[PreGmRate]]+Games[[#This Row],[RatingChange]]</f>
        <v>1449.0373679313079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38510</v>
      </c>
      <c r="B79" s="2">
        <v>2005</v>
      </c>
      <c r="C79" s="2">
        <f>COUNTIFS(Games[Team],Games[[#This Row],[Team]],Games[Season],Games[[#This Row],[Season]],Games[Date],"&lt;=" &amp; Games[[#This Row],[Date]])</f>
        <v>8</v>
      </c>
      <c r="D79" s="2" t="s">
        <v>23</v>
      </c>
      <c r="E79" s="2" t="s">
        <v>29</v>
      </c>
      <c r="F79" s="1" t="s">
        <v>84</v>
      </c>
      <c r="G79" s="1" t="s">
        <v>73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9" s="2">
        <f>Games[[#This Row],[DaysOff]]-Games[[#This Row],[OppDaysOff]]</f>
        <v>1</v>
      </c>
      <c r="L79" s="2">
        <f>Games[[#This Row],[OppDaysOff]]-Games[[#This Row],[DaysOff]]</f>
        <v>-1</v>
      </c>
      <c r="M79" s="1">
        <f>MAX(-16, MIN(16, Games[[#This Row],[RestDiff]]*8))</f>
        <v>8</v>
      </c>
      <c r="N79" s="1">
        <f>MAX(-16, MIN(16, Games[[#This Row],[OppRestDiff]]*8))</f>
        <v>-8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1397.9181695603563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1461.9918626891138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0.55151862259776152</v>
      </c>
      <c r="R79" s="1">
        <v>71</v>
      </c>
      <c r="S79" s="1">
        <v>62</v>
      </c>
      <c r="T79" s="1">
        <v>0</v>
      </c>
      <c r="U79" s="1">
        <f>Games[[#This Row],[PointsFor]]-Games[[#This Row],[PointsAgainst]]</f>
        <v>9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0.38539353775402801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74.8</v>
      </c>
      <c r="Z79" s="4">
        <f>Games[[#This Row],[K]]*Games[[#This Row],[POMult]]</f>
        <v>74.8</v>
      </c>
      <c r="AA79" s="4">
        <f>(Games[[#This Row],[Keff]]*Games[[#This Row],[MOVMult]])*(Games[[#This Row],[Result]]-Games[[#This Row],[ExpectedWin%]])</f>
        <v>12.928568484107835</v>
      </c>
      <c r="AB79" s="4">
        <f>Games[[#This Row],[PreGmRate]]+Games[[#This Row],[RatingChange]]</f>
        <v>1410.8467380444642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38511</v>
      </c>
      <c r="B80" s="2">
        <v>2005</v>
      </c>
      <c r="C80" s="2">
        <f>COUNTIFS(Games[Team],Games[[#This Row],[Team]],Games[Season],Games[[#This Row],[Season]],Games[Date],"&lt;=" &amp; Games[[#This Row],[Date]])</f>
        <v>7</v>
      </c>
      <c r="D80" s="2" t="s">
        <v>23</v>
      </c>
      <c r="E80" s="2" t="s">
        <v>29</v>
      </c>
      <c r="F80" s="1" t="s">
        <v>81</v>
      </c>
      <c r="G80" s="1" t="s">
        <v>75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0" s="2">
        <f>Games[[#This Row],[DaysOff]]-Games[[#This Row],[OppDaysOff]]</f>
        <v>-4</v>
      </c>
      <c r="L80" s="2">
        <f>Games[[#This Row],[OppDaysOff]]-Games[[#This Row],[DaysOff]]</f>
        <v>4</v>
      </c>
      <c r="M80" s="1">
        <f>MAX(-16, MIN(16, Games[[#This Row],[RestDiff]]*8))</f>
        <v>-16</v>
      </c>
      <c r="N80" s="1">
        <f>MAX(-16, MIN(16, Games[[#This Row],[OppRestDiff]]*8))</f>
        <v>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1569.2604096490488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1545.8575194145274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0.36981004415993873</v>
      </c>
      <c r="R80" s="1">
        <v>76</v>
      </c>
      <c r="S80" s="1">
        <v>61</v>
      </c>
      <c r="T80" s="1">
        <v>0</v>
      </c>
      <c r="U80" s="1">
        <f>Games[[#This Row],[PointsFor]]-Games[[#This Row],[PointsAgainst]]</f>
        <v>15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0.49322887698822049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23.29654992140831</v>
      </c>
      <c r="AB80" s="4">
        <f>Games[[#This Row],[PreGmRate]]+Games[[#This Row],[RatingChange]]</f>
        <v>1592.5569595704571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38511</v>
      </c>
      <c r="B81" s="2">
        <v>2005</v>
      </c>
      <c r="C81" s="2">
        <f>COUNTIFS(Games[Team],Games[[#This Row],[Team]],Games[Season],Games[[#This Row],[Season]],Games[Date],"&lt;=" &amp; Games[[#This Row],[Date]])</f>
        <v>5</v>
      </c>
      <c r="D81" s="2" t="s">
        <v>23</v>
      </c>
      <c r="E81" s="2" t="s">
        <v>29</v>
      </c>
      <c r="F81" s="1" t="s">
        <v>75</v>
      </c>
      <c r="G81" s="1" t="s">
        <v>81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4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1" s="2">
        <f>Games[[#This Row],[DaysOff]]-Games[[#This Row],[OppDaysOff]]</f>
        <v>4</v>
      </c>
      <c r="L81" s="2">
        <f>Games[[#This Row],[OppDaysOff]]-Games[[#This Row],[DaysOff]]</f>
        <v>-4</v>
      </c>
      <c r="M81" s="1">
        <f>MAX(-16, MIN(16, Games[[#This Row],[RestDiff]]*8))</f>
        <v>16</v>
      </c>
      <c r="N81" s="1">
        <f>MAX(-16, MIN(16, Games[[#This Row],[OppRestDiff]]*8))</f>
        <v>-16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1545.8575194145274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1569.2604096490488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0.63018995584006121</v>
      </c>
      <c r="R81" s="1">
        <v>61</v>
      </c>
      <c r="S81" s="1">
        <v>76</v>
      </c>
      <c r="T81" s="1">
        <v>0</v>
      </c>
      <c r="U81" s="1">
        <f>Games[[#This Row],[PointsFor]]-Games[[#This Row],[PointsAgainst]]</f>
        <v>-15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0.49322887698822049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75.25</v>
      </c>
      <c r="Z81" s="4">
        <f>Games[[#This Row],[K]]*Games[[#This Row],[POMult]]</f>
        <v>75.25</v>
      </c>
      <c r="AA81" s="4">
        <f>(Games[[#This Row],[Keff]]*Games[[#This Row],[MOVMult]])*(Games[[#This Row],[Result]]-Games[[#This Row],[ExpectedWin%]])</f>
        <v>-23.389798286670786</v>
      </c>
      <c r="AB81" s="4">
        <f>Games[[#This Row],[PreGmRate]]+Games[[#This Row],[RatingChange]]</f>
        <v>1522.4677211278565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38511</v>
      </c>
      <c r="B82" s="2">
        <v>2005</v>
      </c>
      <c r="C82" s="2">
        <f>COUNTIFS(Games[Team],Games[[#This Row],[Team]],Games[Season],Games[[#This Row],[Season]],Games[Date],"&lt;=" &amp; Games[[#This Row],[Date]])</f>
        <v>7</v>
      </c>
      <c r="D82" s="2" t="s">
        <v>23</v>
      </c>
      <c r="E82" s="2" t="s">
        <v>29</v>
      </c>
      <c r="F82" s="1" t="s">
        <v>44</v>
      </c>
      <c r="G82" s="1" t="s">
        <v>70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2" s="2">
        <f>Games[[#This Row],[DaysOff]]-Games[[#This Row],[OppDaysOff]]</f>
        <v>0</v>
      </c>
      <c r="L82" s="2">
        <f>Games[[#This Row],[OppDaysOff]]-Games[[#This Row],[DaysOff]]</f>
        <v>0</v>
      </c>
      <c r="M82" s="1">
        <f>MAX(-16, MIN(16, Games[[#This Row],[RestDiff]]*8))</f>
        <v>0</v>
      </c>
      <c r="N82" s="1">
        <f>MAX(-16, MIN(16, Games[[#This Row],[OppRestDiff]]*8))</f>
        <v>0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1461.584257776994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1553.1011081504771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0.26691014604931129</v>
      </c>
      <c r="R82" s="1">
        <v>66</v>
      </c>
      <c r="S82" s="1">
        <v>63</v>
      </c>
      <c r="T82" s="1">
        <v>0</v>
      </c>
      <c r="U82" s="1">
        <f>Games[[#This Row],[PointsFor]]-Games[[#This Row],[PointsAgainst]]</f>
        <v>3</v>
      </c>
      <c r="V82" s="1">
        <f>IF(Games[[#This Row],[MOV]]&gt;0,1,IF(Games[[#This Row],[MOV]]=0,0.5,0))</f>
        <v>1</v>
      </c>
      <c r="W82" s="4">
        <f>((ABS(Games[[#This Row],[MOV]])+5)^0.6)/(12+0.01*(ABS(Games[[#This Row],[PreGmRate]]-Games[[#This Row],[OppPreGmRate]])))*IF(Games[[#This Row],[OT]]=1,0.9,1)</f>
        <v>0.26962112435292712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74.95</v>
      </c>
      <c r="Z82" s="4">
        <f>Games[[#This Row],[K]]*Games[[#This Row],[POMult]]</f>
        <v>74.95</v>
      </c>
      <c r="AA82" s="4">
        <f>(Games[[#This Row],[Keff]]*Games[[#This Row],[MOVMult]])*(Games[[#This Row],[Result]]-Games[[#This Row],[ExpectedWin%]])</f>
        <v>14.814355475009393</v>
      </c>
      <c r="AB82" s="4">
        <f>Games[[#This Row],[PreGmRate]]+Games[[#This Row],[RatingChange]]</f>
        <v>1476.3986132520035</v>
      </c>
      <c r="AC82" s="2">
        <f>IF(Games[[#This Row],[Type]]="R",IF(Games[[#This Row],[Result]]&gt;0.5,1,0),0)</f>
        <v>1</v>
      </c>
      <c r="AD82" s="2">
        <f>IF(Games[[#This Row],[Type]]="R",IF(Games[[#This Row],[Result]]&lt;0.5,1,0),0)</f>
        <v>0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38511</v>
      </c>
      <c r="B83" s="2">
        <v>2005</v>
      </c>
      <c r="C83" s="2">
        <f>COUNTIFS(Games[Team],Games[[#This Row],[Team]],Games[Season],Games[[#This Row],[Season]],Games[Date],"&lt;=" &amp; Games[[#This Row],[Date]])</f>
        <v>7</v>
      </c>
      <c r="D83" s="2" t="s">
        <v>23</v>
      </c>
      <c r="E83" s="2" t="s">
        <v>29</v>
      </c>
      <c r="F83" s="1" t="s">
        <v>70</v>
      </c>
      <c r="G83" s="1" t="s">
        <v>44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3" s="2">
        <f>Games[[#This Row],[DaysOff]]-Games[[#This Row],[OppDaysOff]]</f>
        <v>0</v>
      </c>
      <c r="L83" s="2">
        <f>Games[[#This Row],[OppDaysOff]]-Games[[#This Row],[DaysOff]]</f>
        <v>0</v>
      </c>
      <c r="M83" s="1">
        <f>MAX(-16, MIN(16, Games[[#This Row],[RestDiff]]*8))</f>
        <v>0</v>
      </c>
      <c r="N83" s="1">
        <f>MAX(-16, MIN(16, Games[[#This Row],[OppRestDiff]]*8))</f>
        <v>0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1553.1011081504771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1461.584257776994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0.73308985395068871</v>
      </c>
      <c r="R83" s="1">
        <v>63</v>
      </c>
      <c r="S83" s="1">
        <v>66</v>
      </c>
      <c r="T83" s="1">
        <v>0</v>
      </c>
      <c r="U83" s="1">
        <f>Games[[#This Row],[PointsFor]]-Games[[#This Row],[PointsAgainst]]</f>
        <v>-3</v>
      </c>
      <c r="V83" s="1">
        <f>IF(Games[[#This Row],[MOV]]&gt;0,1,IF(Games[[#This Row],[MOV]]=0,0.5,0))</f>
        <v>0</v>
      </c>
      <c r="W83" s="4">
        <f>((ABS(Games[[#This Row],[MOV]])+5)^0.6)/(12+0.01*(ABS(Games[[#This Row],[PreGmRate]]-Games[[#This Row],[OppPreGmRate]])))*IF(Games[[#This Row],[OT]]=1,0.9,1)</f>
        <v>0.26962112435292712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-14.814355475009393</v>
      </c>
      <c r="AB83" s="4">
        <f>Games[[#This Row],[PreGmRate]]+Games[[#This Row],[RatingChange]]</f>
        <v>1538.2867526754676</v>
      </c>
      <c r="AC83" s="2">
        <f>IF(Games[[#This Row],[Type]]="R",IF(Games[[#This Row],[Result]]&gt;0.5,1,0),0)</f>
        <v>0</v>
      </c>
      <c r="AD83" s="2">
        <f>IF(Games[[#This Row],[Type]]="R",IF(Games[[#This Row],[Result]]&lt;0.5,1,0),0)</f>
        <v>1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38513</v>
      </c>
      <c r="B84" s="2">
        <v>2005</v>
      </c>
      <c r="C84" s="2">
        <f>COUNTIFS(Games[Team],Games[[#This Row],[Team]],Games[Season],Games[[#This Row],[Season]],Games[Date],"&lt;=" &amp; Games[[#This Row],[Date]])</f>
        <v>7</v>
      </c>
      <c r="D84" s="2" t="s">
        <v>23</v>
      </c>
      <c r="E84" s="2" t="s">
        <v>29</v>
      </c>
      <c r="F84" s="1" t="s">
        <v>64</v>
      </c>
      <c r="G84" s="1" t="s">
        <v>75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5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4</v>
      </c>
      <c r="L84" s="2">
        <f>Games[[#This Row],[OppDaysOff]]-Games[[#This Row],[DaysOff]]</f>
        <v>-4</v>
      </c>
      <c r="M84" s="1">
        <f>MAX(-16, MIN(16, Games[[#This Row],[RestDiff]]*8))</f>
        <v>16</v>
      </c>
      <c r="N84" s="1">
        <f>MAX(-16, MIN(16, Games[[#This Row],[OppRestDiff]]*8))</f>
        <v>-16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1414.9723401767442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1522.4677211278565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0.28533923264264316</v>
      </c>
      <c r="R84" s="1">
        <v>55</v>
      </c>
      <c r="S84" s="1">
        <v>69</v>
      </c>
      <c r="T84" s="1">
        <v>0</v>
      </c>
      <c r="U84" s="1">
        <f>Games[[#This Row],[PointsFor]]-Games[[#This Row],[PointsAgainst]]</f>
        <v>-14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0.4475195344975369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-9.5707312984306991</v>
      </c>
      <c r="AB84" s="4">
        <f>Games[[#This Row],[PreGmRate]]+Games[[#This Row],[RatingChange]]</f>
        <v>1405.4016088783135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38513</v>
      </c>
      <c r="B85" s="2">
        <v>2005</v>
      </c>
      <c r="C85" s="2">
        <f>COUNTIFS(Games[Team],Games[[#This Row],[Team]],Games[Season],Games[[#This Row],[Season]],Games[Date],"&lt;=" &amp; Games[[#This Row],[Date]])</f>
        <v>6</v>
      </c>
      <c r="D85" s="2" t="s">
        <v>23</v>
      </c>
      <c r="E85" s="2" t="s">
        <v>29</v>
      </c>
      <c r="F85" s="1" t="s">
        <v>75</v>
      </c>
      <c r="G85" s="1" t="s">
        <v>64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5" s="2">
        <f>Games[[#This Row],[DaysOff]]-Games[[#This Row],[OppDaysOff]]</f>
        <v>-4</v>
      </c>
      <c r="L85" s="2">
        <f>Games[[#This Row],[OppDaysOff]]-Games[[#This Row],[DaysOff]]</f>
        <v>4</v>
      </c>
      <c r="M85" s="1">
        <f>MAX(-16, MIN(16, Games[[#This Row],[RestDiff]]*8))</f>
        <v>-16</v>
      </c>
      <c r="N85" s="1">
        <f>MAX(-16, MIN(16, Games[[#This Row],[OppRestDiff]]*8))</f>
        <v>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1522.4677211278565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1414.9723401767442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0.71466076735735684</v>
      </c>
      <c r="R85" s="1">
        <v>69</v>
      </c>
      <c r="S85" s="1">
        <v>55</v>
      </c>
      <c r="T85" s="1">
        <v>0</v>
      </c>
      <c r="U85" s="1">
        <f>Games[[#This Row],[PointsFor]]-Games[[#This Row],[PointsAgainst]]</f>
        <v>14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0.4475195344975369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9.5898855305156161</v>
      </c>
      <c r="AB85" s="4">
        <f>Games[[#This Row],[PreGmRate]]+Games[[#This Row],[RatingChange]]</f>
        <v>1532.0576066583722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38513</v>
      </c>
      <c r="B86" s="2">
        <v>2005</v>
      </c>
      <c r="C86" s="2">
        <f>COUNTIFS(Games[Team],Games[[#This Row],[Team]],Games[Season],Games[[#This Row],[Season]],Games[Date],"&lt;=" &amp; Games[[#This Row],[Date]])</f>
        <v>6</v>
      </c>
      <c r="D86" s="2" t="s">
        <v>23</v>
      </c>
      <c r="E86" s="2" t="s">
        <v>29</v>
      </c>
      <c r="F86" s="1" t="s">
        <v>86</v>
      </c>
      <c r="G86" s="1" t="s">
        <v>2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1558.8406450143634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1495.6376097006612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0.47010645665867462</v>
      </c>
      <c r="R86" s="1">
        <v>77</v>
      </c>
      <c r="S86" s="1">
        <v>57</v>
      </c>
      <c r="T86" s="1">
        <v>0</v>
      </c>
      <c r="U86" s="1">
        <f>Games[[#This Row],[PointsFor]]-Games[[#This Row],[PointsAgainst]]</f>
        <v>20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0.54612347456819332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75.099999999999994</v>
      </c>
      <c r="Z86" s="4">
        <f>Games[[#This Row],[K]]*Games[[#This Row],[POMult]]</f>
        <v>75.099999999999994</v>
      </c>
      <c r="AA86" s="4">
        <f>(Games[[#This Row],[Keff]]*Games[[#This Row],[MOVMult]])*(Games[[#This Row],[Result]]-Games[[#This Row],[ExpectedWin%]])</f>
        <v>21.732986458365293</v>
      </c>
      <c r="AB86" s="4">
        <f>Games[[#This Row],[PreGmRate]]+Games[[#This Row],[RatingChange]]</f>
        <v>1580.5736314727287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38513</v>
      </c>
      <c r="B87" s="2">
        <v>2005</v>
      </c>
      <c r="C87" s="2">
        <f>COUNTIFS(Games[Team],Games[[#This Row],[Team]],Games[Season],Games[[#This Row],[Season]],Games[Date],"&lt;=" &amp; Games[[#This Row],[Date]])</f>
        <v>7</v>
      </c>
      <c r="D87" s="2" t="s">
        <v>23</v>
      </c>
      <c r="E87" s="2" t="s">
        <v>29</v>
      </c>
      <c r="F87" s="1" t="s">
        <v>2</v>
      </c>
      <c r="G87" s="1" t="s">
        <v>86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1495.6376097006612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1558.8406450143634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0.52989354334132543</v>
      </c>
      <c r="R87" s="1">
        <v>57</v>
      </c>
      <c r="S87" s="1">
        <v>77</v>
      </c>
      <c r="T87" s="1">
        <v>0</v>
      </c>
      <c r="U87" s="1">
        <f>Games[[#This Row],[PointsFor]]-Games[[#This Row],[PointsAgainst]]</f>
        <v>-20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0.54612347456819332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74.95</v>
      </c>
      <c r="Z87" s="4">
        <f>Games[[#This Row],[K]]*Games[[#This Row],[POMult]]</f>
        <v>74.95</v>
      </c>
      <c r="AA87" s="4">
        <f>(Games[[#This Row],[Keff]]*Games[[#This Row],[MOVMult]])*(Games[[#This Row],[Result]]-Games[[#This Row],[ExpectedWin%]])</f>
        <v>-21.689578362909174</v>
      </c>
      <c r="AB87" s="4">
        <f>Games[[#This Row],[PreGmRate]]+Games[[#This Row],[RatingChange]]</f>
        <v>1473.9480313377521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38513</v>
      </c>
      <c r="B88" s="2">
        <v>2005</v>
      </c>
      <c r="C88" s="2">
        <f>COUNTIFS(Games[Team],Games[[#This Row],[Team]],Games[Season],Games[[#This Row],[Season]],Games[Date],"&lt;=" &amp; Games[[#This Row],[Date]])</f>
        <v>6</v>
      </c>
      <c r="D88" s="2" t="s">
        <v>23</v>
      </c>
      <c r="E88" s="2" t="s">
        <v>29</v>
      </c>
      <c r="F88" s="1" t="s">
        <v>66</v>
      </c>
      <c r="G88" s="1" t="s">
        <v>79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8" s="2">
        <f>Games[[#This Row],[DaysOff]]-Games[[#This Row],[OppDaysOff]]</f>
        <v>2</v>
      </c>
      <c r="L88" s="2">
        <f>Games[[#This Row],[OppDaysOff]]-Games[[#This Row],[DaysOff]]</f>
        <v>-2</v>
      </c>
      <c r="M88" s="1">
        <f>MAX(-16, MIN(16, Games[[#This Row],[RestDiff]]*8))</f>
        <v>16</v>
      </c>
      <c r="N88" s="1">
        <f>MAX(-16, MIN(16, Games[[#This Row],[OppRestDiff]]*8))</f>
        <v>-16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1474.3851546543331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1492.3827022126338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0.40060659316691316</v>
      </c>
      <c r="R88" s="1">
        <v>59</v>
      </c>
      <c r="S88" s="1">
        <v>62</v>
      </c>
      <c r="T88" s="1">
        <v>0</v>
      </c>
      <c r="U88" s="1">
        <f>Games[[#This Row],[PointsFor]]-Games[[#This Row],[PointsAgainst]]</f>
        <v>-3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0.28589567032915697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75.099999999999994</v>
      </c>
      <c r="Z88" s="4">
        <f>Games[[#This Row],[K]]*Games[[#This Row],[POMult]]</f>
        <v>75.099999999999994</v>
      </c>
      <c r="AA88" s="4">
        <f>(Games[[#This Row],[Keff]]*Games[[#This Row],[MOVMult]])*(Games[[#This Row],[Result]]-Games[[#This Row],[ExpectedWin%]])</f>
        <v>-8.6013299559292626</v>
      </c>
      <c r="AB88" s="4">
        <f>Games[[#This Row],[PreGmRate]]+Games[[#This Row],[RatingChange]]</f>
        <v>1465.7838246984038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38513</v>
      </c>
      <c r="B89" s="2">
        <v>2005</v>
      </c>
      <c r="C89" s="2">
        <f>COUNTIFS(Games[Team],Games[[#This Row],[Team]],Games[Season],Games[[#This Row],[Season]],Games[Date],"&lt;=" &amp; Games[[#This Row],[Date]])</f>
        <v>8</v>
      </c>
      <c r="D89" s="2" t="s">
        <v>23</v>
      </c>
      <c r="E89" s="2" t="s">
        <v>29</v>
      </c>
      <c r="F89" s="1" t="s">
        <v>79</v>
      </c>
      <c r="G89" s="1" t="s">
        <v>66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9" s="2">
        <f>Games[[#This Row],[DaysOff]]-Games[[#This Row],[OppDaysOff]]</f>
        <v>-2</v>
      </c>
      <c r="L89" s="2">
        <f>Games[[#This Row],[OppDaysOff]]-Games[[#This Row],[DaysOff]]</f>
        <v>2</v>
      </c>
      <c r="M89" s="1">
        <f>MAX(-16, MIN(16, Games[[#This Row],[RestDiff]]*8))</f>
        <v>-16</v>
      </c>
      <c r="N89" s="1">
        <f>MAX(-16, MIN(16, Games[[#This Row],[OppRestDiff]]*8))</f>
        <v>16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1492.3827022126338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1474.3851546543331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0.59939340683308684</v>
      </c>
      <c r="R89" s="1">
        <v>62</v>
      </c>
      <c r="S89" s="1">
        <v>59</v>
      </c>
      <c r="T89" s="1">
        <v>0</v>
      </c>
      <c r="U89" s="1">
        <f>Games[[#This Row],[PointsFor]]-Games[[#This Row],[PointsAgainst]]</f>
        <v>3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0.28589567032915697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8.566970448781742</v>
      </c>
      <c r="AB89" s="4">
        <f>Games[[#This Row],[PreGmRate]]+Games[[#This Row],[RatingChange]]</f>
        <v>1500.9496726614157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38513</v>
      </c>
      <c r="B90" s="2">
        <v>2005</v>
      </c>
      <c r="C90" s="2">
        <f>COUNTIFS(Games[Team],Games[[#This Row],[Team]],Games[Season],Games[[#This Row],[Season]],Games[Date],"&lt;=" &amp; Games[[#This Row],[Date]])</f>
        <v>8</v>
      </c>
      <c r="D90" s="2" t="s">
        <v>23</v>
      </c>
      <c r="E90" s="2" t="s">
        <v>29</v>
      </c>
      <c r="F90" s="1" t="s">
        <v>44</v>
      </c>
      <c r="G90" s="1" t="s">
        <v>45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-1</v>
      </c>
      <c r="L90" s="2">
        <f>Games[[#This Row],[OppDaysOff]]-Games[[#This Row],[DaysOff]]</f>
        <v>1</v>
      </c>
      <c r="M90" s="1">
        <f>MAX(-16, MIN(16, Games[[#This Row],[RestDiff]]*8))</f>
        <v>-8</v>
      </c>
      <c r="N90" s="1">
        <f>MAX(-16, MIN(16, Games[[#This Row],[OppRestDiff]]*8))</f>
        <v>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1476.3986132520035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1593.8124047249312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0.22243464190999848</v>
      </c>
      <c r="R90" s="1">
        <v>61</v>
      </c>
      <c r="S90" s="1">
        <v>73</v>
      </c>
      <c r="T90" s="1">
        <v>0</v>
      </c>
      <c r="U90" s="1">
        <f>Games[[#This Row],[PointsFor]]-Games[[#This Row],[PointsAgainst]]</f>
        <v>-12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0.41547715321841366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-6.9127550824846713</v>
      </c>
      <c r="AB90" s="4">
        <f>Games[[#This Row],[PreGmRate]]+Games[[#This Row],[RatingChange]]</f>
        <v>1469.4858581695189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38513</v>
      </c>
      <c r="B91" s="2">
        <v>2005</v>
      </c>
      <c r="C91" s="2">
        <f>COUNTIFS(Games[Team],Games[[#This Row],[Team]],Games[Season],Games[[#This Row],[Season]],Games[Date],"&lt;=" &amp; Games[[#This Row],[Date]])</f>
        <v>7</v>
      </c>
      <c r="D91" s="2" t="s">
        <v>23</v>
      </c>
      <c r="E91" s="2" t="s">
        <v>29</v>
      </c>
      <c r="F91" s="1" t="s">
        <v>45</v>
      </c>
      <c r="G91" s="1" t="s">
        <v>44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1</v>
      </c>
      <c r="L91" s="2">
        <f>Games[[#This Row],[OppDaysOff]]-Games[[#This Row],[DaysOff]]</f>
        <v>-1</v>
      </c>
      <c r="M91" s="1">
        <f>MAX(-16, MIN(16, Games[[#This Row],[RestDiff]]*8))</f>
        <v>8</v>
      </c>
      <c r="N91" s="1">
        <f>MAX(-16, MIN(16, Games[[#This Row],[OppRestDiff]]*8))</f>
        <v>-8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1593.8124047249312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1476.3986132520035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0.7775653580900016</v>
      </c>
      <c r="R91" s="1">
        <v>73</v>
      </c>
      <c r="S91" s="1">
        <v>61</v>
      </c>
      <c r="T91" s="1">
        <v>0</v>
      </c>
      <c r="U91" s="1">
        <f>Games[[#This Row],[PointsFor]]-Games[[#This Row],[PointsAgainst]]</f>
        <v>12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0.41547715321841366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74.95</v>
      </c>
      <c r="Z91" s="4">
        <f>Games[[#This Row],[K]]*Games[[#This Row],[POMult]]</f>
        <v>74.95</v>
      </c>
      <c r="AA91" s="4">
        <f>(Games[[#This Row],[Keff]]*Games[[#This Row],[MOVMult]])*(Games[[#This Row],[Result]]-Games[[#This Row],[ExpectedWin%]])</f>
        <v>6.9266175592543577</v>
      </c>
      <c r="AB91" s="4">
        <f>Games[[#This Row],[PreGmRate]]+Games[[#This Row],[RatingChange]]</f>
        <v>1600.7390222841855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38513</v>
      </c>
      <c r="B92" s="2">
        <v>2005</v>
      </c>
      <c r="C92" s="2">
        <f>COUNTIFS(Games[Team],Games[[#This Row],[Team]],Games[Season],Games[[#This Row],[Season]],Games[Date],"&lt;=" &amp; Games[[#This Row],[Date]])</f>
        <v>8</v>
      </c>
      <c r="D92" s="2" t="s">
        <v>23</v>
      </c>
      <c r="E92" s="2" t="s">
        <v>29</v>
      </c>
      <c r="F92" s="1" t="s">
        <v>81</v>
      </c>
      <c r="G92" s="1" t="s">
        <v>73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2" s="2">
        <f>Games[[#This Row],[DaysOff]]-Games[[#This Row],[OppDaysOff]]</f>
        <v>-1</v>
      </c>
      <c r="L92" s="2">
        <f>Games[[#This Row],[OppDaysOff]]-Games[[#This Row],[DaysOff]]</f>
        <v>1</v>
      </c>
      <c r="M92" s="1">
        <f>MAX(-16, MIN(16, Games[[#This Row],[RestDiff]]*8))</f>
        <v>-8</v>
      </c>
      <c r="N92" s="1">
        <f>MAX(-16, MIN(16, Games[[#This Row],[OppRestDiff]]*8))</f>
        <v>8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1592.5569595704571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1449.0373679313079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0.5623042175601447</v>
      </c>
      <c r="R92" s="1">
        <v>52</v>
      </c>
      <c r="S92" s="1">
        <v>64</v>
      </c>
      <c r="T92" s="1">
        <v>0</v>
      </c>
      <c r="U92" s="1">
        <f>Games[[#This Row],[PointsFor]]-Games[[#This Row],[PointsAgainst]]</f>
        <v>-12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0.40740405655272416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-17.135559439952996</v>
      </c>
      <c r="AB92" s="4">
        <f>Games[[#This Row],[PreGmRate]]+Games[[#This Row],[RatingChange]]</f>
        <v>1575.4214001305043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38513</v>
      </c>
      <c r="B93" s="2">
        <v>2005</v>
      </c>
      <c r="C93" s="2">
        <f>COUNTIFS(Games[Team],Games[[#This Row],[Team]],Games[Season],Games[[#This Row],[Season]],Games[Date],"&lt;=" &amp; Games[[#This Row],[Date]])</f>
        <v>8</v>
      </c>
      <c r="D93" s="2" t="s">
        <v>23</v>
      </c>
      <c r="E93" s="2" t="s">
        <v>29</v>
      </c>
      <c r="F93" s="1" t="s">
        <v>73</v>
      </c>
      <c r="G93" s="1" t="s">
        <v>81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1</v>
      </c>
      <c r="L93" s="2">
        <f>Games[[#This Row],[OppDaysOff]]-Games[[#This Row],[DaysOff]]</f>
        <v>-1</v>
      </c>
      <c r="M93" s="1">
        <f>MAX(-16, MIN(16, Games[[#This Row],[RestDiff]]*8))</f>
        <v>8</v>
      </c>
      <c r="N93" s="1">
        <f>MAX(-16, MIN(16, Games[[#This Row],[OppRestDiff]]*8))</f>
        <v>-8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1449.0373679313079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1592.5569595704571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0.43769578243985524</v>
      </c>
      <c r="R93" s="1">
        <v>64</v>
      </c>
      <c r="S93" s="1">
        <v>52</v>
      </c>
      <c r="T93" s="1">
        <v>0</v>
      </c>
      <c r="U93" s="1">
        <f>Games[[#This Row],[PointsFor]]-Games[[#This Row],[PointsAgainst]]</f>
        <v>12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0.40740405655272416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17.135559439952996</v>
      </c>
      <c r="AB93" s="4">
        <f>Games[[#This Row],[PreGmRate]]+Games[[#This Row],[RatingChange]]</f>
        <v>1466.1729273712608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38514</v>
      </c>
      <c r="B94" s="2">
        <v>2005</v>
      </c>
      <c r="C94" s="2">
        <f>COUNTIFS(Games[Team],Games[[#This Row],[Team]],Games[Season],Games[[#This Row],[Season]],Games[Date],"&lt;=" &amp; Games[[#This Row],[Date]])</f>
        <v>8</v>
      </c>
      <c r="D94" s="2" t="s">
        <v>23</v>
      </c>
      <c r="E94" s="2" t="s">
        <v>29</v>
      </c>
      <c r="F94" s="1" t="s">
        <v>45</v>
      </c>
      <c r="G94" s="1" t="s">
        <v>70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4" s="2">
        <f>Games[[#This Row],[DaysOff]]-Games[[#This Row],[OppDaysOff]]</f>
        <v>-2</v>
      </c>
      <c r="L94" s="2">
        <f>Games[[#This Row],[OppDaysOff]]-Games[[#This Row],[DaysOff]]</f>
        <v>2</v>
      </c>
      <c r="M94" s="1">
        <f>MAX(-16, MIN(16, Games[[#This Row],[RestDiff]]*8))</f>
        <v>-16</v>
      </c>
      <c r="N94" s="1">
        <f>MAX(-16, MIN(16, Games[[#This Row],[OppRestDiff]]*8))</f>
        <v>16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1600.7390222841855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1538.2867526754676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0.42354304656581815</v>
      </c>
      <c r="R94" s="1">
        <v>74</v>
      </c>
      <c r="S94" s="1">
        <v>81</v>
      </c>
      <c r="T94" s="1">
        <v>0</v>
      </c>
      <c r="U94" s="1">
        <f>Games[[#This Row],[PointsFor]]-Games[[#This Row],[PointsAgainst]]</f>
        <v>-7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0.35179833541131533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-11.145330059015524</v>
      </c>
      <c r="AB94" s="4">
        <f>Games[[#This Row],[PreGmRate]]+Games[[#This Row],[RatingChange]]</f>
        <v>1589.5936922251699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38514</v>
      </c>
      <c r="B95" s="2">
        <v>2005</v>
      </c>
      <c r="C95" s="2">
        <f>COUNTIFS(Games[Team],Games[[#This Row],[Team]],Games[Season],Games[[#This Row],[Season]],Games[Date],"&lt;=" &amp; Games[[#This Row],[Date]])</f>
        <v>8</v>
      </c>
      <c r="D95" s="2" t="s">
        <v>23</v>
      </c>
      <c r="E95" s="2" t="s">
        <v>29</v>
      </c>
      <c r="F95" s="1" t="s">
        <v>70</v>
      </c>
      <c r="G95" s="1" t="s">
        <v>45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5" s="2">
        <f>Games[[#This Row],[DaysOff]]-Games[[#This Row],[OppDaysOff]]</f>
        <v>2</v>
      </c>
      <c r="L95" s="2">
        <f>Games[[#This Row],[OppDaysOff]]-Games[[#This Row],[DaysOff]]</f>
        <v>-2</v>
      </c>
      <c r="M95" s="1">
        <f>MAX(-16, MIN(16, Games[[#This Row],[RestDiff]]*8))</f>
        <v>16</v>
      </c>
      <c r="N95" s="1">
        <f>MAX(-16, MIN(16, Games[[#This Row],[OppRestDiff]]*8))</f>
        <v>-16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1538.2867526754676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1600.7390222841855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0.5764569534341818</v>
      </c>
      <c r="R95" s="1">
        <v>81</v>
      </c>
      <c r="S95" s="1">
        <v>74</v>
      </c>
      <c r="T95" s="1">
        <v>0</v>
      </c>
      <c r="U95" s="1">
        <f>Games[[#This Row],[PointsFor]]-Games[[#This Row],[PointsAgainst]]</f>
        <v>7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0.35179833541131533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74.8</v>
      </c>
      <c r="Z95" s="4">
        <f>Games[[#This Row],[K]]*Games[[#This Row],[POMult]]</f>
        <v>74.8</v>
      </c>
      <c r="AA95" s="4">
        <f>(Games[[#This Row],[Keff]]*Games[[#This Row],[MOVMult]])*(Games[[#This Row],[Result]]-Games[[#This Row],[ExpectedWin%]])</f>
        <v>11.145330059015526</v>
      </c>
      <c r="AB95" s="4">
        <f>Games[[#This Row],[PreGmRate]]+Games[[#This Row],[RatingChange]]</f>
        <v>1549.4320827344832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38514</v>
      </c>
      <c r="B96" s="2">
        <v>2005</v>
      </c>
      <c r="C96" s="2">
        <f>COUNTIFS(Games[Team],Games[[#This Row],[Team]],Games[Season],Games[[#This Row],[Season]],Games[Date],"&lt;=" &amp; Games[[#This Row],[Date]])</f>
        <v>9</v>
      </c>
      <c r="D96" s="2" t="s">
        <v>23</v>
      </c>
      <c r="E96" s="2" t="s">
        <v>29</v>
      </c>
      <c r="F96" s="1" t="s">
        <v>73</v>
      </c>
      <c r="G96" s="1" t="s">
        <v>77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6" s="2">
        <f>Games[[#This Row],[DaysOff]]-Games[[#This Row],[OppDaysOff]]</f>
        <v>-3</v>
      </c>
      <c r="L96" s="2">
        <f>Games[[#This Row],[OppDaysOff]]-Games[[#This Row],[DaysOff]]</f>
        <v>3</v>
      </c>
      <c r="M96" s="1">
        <f>MAX(-16, MIN(16, Games[[#This Row],[RestDiff]]*8))</f>
        <v>-16</v>
      </c>
      <c r="N96" s="1">
        <f>MAX(-16, MIN(16, Games[[#This Row],[OppRestDiff]]*8))</f>
        <v>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1466.1729273712608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1489.9502798926699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0.30903745808926075</v>
      </c>
      <c r="R96" s="1">
        <v>60</v>
      </c>
      <c r="S96" s="1">
        <v>78</v>
      </c>
      <c r="T96" s="1">
        <v>0</v>
      </c>
      <c r="U96" s="1">
        <f>Games[[#This Row],[PointsFor]]-Games[[#This Row],[PointsAgainst]]</f>
        <v>-18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0.53620923544595978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74.650000000000006</v>
      </c>
      <c r="Z96" s="4">
        <f>Games[[#This Row],[K]]*Games[[#This Row],[POMult]]</f>
        <v>74.650000000000006</v>
      </c>
      <c r="AA96" s="4">
        <f>(Games[[#This Row],[Keff]]*Games[[#This Row],[MOVMult]])*(Games[[#This Row],[Result]]-Games[[#This Row],[ExpectedWin%]])</f>
        <v>-12.37015737577123</v>
      </c>
      <c r="AB96" s="4">
        <f>Games[[#This Row],[PreGmRate]]+Games[[#This Row],[RatingChange]]</f>
        <v>1453.8027699954896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38514</v>
      </c>
      <c r="B97" s="2">
        <v>2005</v>
      </c>
      <c r="C97" s="2">
        <f>COUNTIFS(Games[Team],Games[[#This Row],[Team]],Games[Season],Games[[#This Row],[Season]],Games[Date],"&lt;=" &amp; Games[[#This Row],[Date]])</f>
        <v>7</v>
      </c>
      <c r="D97" s="2" t="s">
        <v>23</v>
      </c>
      <c r="E97" s="2" t="s">
        <v>29</v>
      </c>
      <c r="F97" s="1" t="s">
        <v>77</v>
      </c>
      <c r="G97" s="1" t="s">
        <v>73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7" s="2">
        <f>Games[[#This Row],[DaysOff]]-Games[[#This Row],[OppDaysOff]]</f>
        <v>3</v>
      </c>
      <c r="L97" s="2">
        <f>Games[[#This Row],[OppDaysOff]]-Games[[#This Row],[DaysOff]]</f>
        <v>-3</v>
      </c>
      <c r="M97" s="1">
        <f>MAX(-16, MIN(16, Games[[#This Row],[RestDiff]]*8))</f>
        <v>16</v>
      </c>
      <c r="N97" s="1">
        <f>MAX(-16, MIN(16, Games[[#This Row],[OppRestDiff]]*8))</f>
        <v>-16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1489.9502798926699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1466.1729273712608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0.69096254191073925</v>
      </c>
      <c r="R97" s="1">
        <v>78</v>
      </c>
      <c r="S97" s="1">
        <v>60</v>
      </c>
      <c r="T97" s="1">
        <v>0</v>
      </c>
      <c r="U97" s="1">
        <f>Games[[#This Row],[PointsFor]]-Games[[#This Row],[PointsAgainst]]</f>
        <v>18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0.53620923544595978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74.95</v>
      </c>
      <c r="Z97" s="4">
        <f>Games[[#This Row],[K]]*Games[[#This Row],[POMult]]</f>
        <v>74.95</v>
      </c>
      <c r="AA97" s="4">
        <f>(Games[[#This Row],[Keff]]*Games[[#This Row],[MOVMult]])*(Games[[#This Row],[Result]]-Games[[#This Row],[ExpectedWin%]])</f>
        <v>12.419869997509091</v>
      </c>
      <c r="AB97" s="4">
        <f>Games[[#This Row],[PreGmRate]]+Games[[#This Row],[RatingChange]]</f>
        <v>1502.3701498901789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38514</v>
      </c>
      <c r="B98" s="2">
        <v>2005</v>
      </c>
      <c r="C98" s="2">
        <f>COUNTIFS(Games[Team],Games[[#This Row],[Team]],Games[Season],Games[[#This Row],[Season]],Games[Date],"&lt;=" &amp; Games[[#This Row],[Date]])</f>
        <v>7</v>
      </c>
      <c r="D98" s="2" t="s">
        <v>23</v>
      </c>
      <c r="E98" s="2" t="s">
        <v>29</v>
      </c>
      <c r="F98" s="1" t="s">
        <v>86</v>
      </c>
      <c r="G98" s="1" t="s">
        <v>84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8" s="2">
        <f>Games[[#This Row],[DaysOff]]-Games[[#This Row],[OppDaysOff]]</f>
        <v>-3</v>
      </c>
      <c r="L98" s="2">
        <f>Games[[#This Row],[OppDaysOff]]-Games[[#This Row],[DaysOff]]</f>
        <v>3</v>
      </c>
      <c r="M98" s="1">
        <f>MAX(-16, MIN(16, Games[[#This Row],[RestDiff]]*8))</f>
        <v>-16</v>
      </c>
      <c r="N98" s="1">
        <f>MAX(-16, MIN(16, Games[[#This Row],[OppRestDiff]]*8))</f>
        <v>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1580.5736314727287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1410.8467380444642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0.57670874099374447</v>
      </c>
      <c r="R98" s="1">
        <v>78</v>
      </c>
      <c r="S98" s="1">
        <v>69</v>
      </c>
      <c r="T98" s="1">
        <v>0</v>
      </c>
      <c r="U98" s="1">
        <f>Games[[#This Row],[PointsFor]]-Games[[#This Row],[PointsAgainst]]</f>
        <v>9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0.35566639956770718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74.95</v>
      </c>
      <c r="Z98" s="4">
        <f>Games[[#This Row],[K]]*Games[[#This Row],[POMult]]</f>
        <v>74.95</v>
      </c>
      <c r="AA98" s="4">
        <f>(Games[[#This Row],[Keff]]*Games[[#This Row],[MOVMult]])*(Games[[#This Row],[Result]]-Games[[#This Row],[ExpectedWin%]])</f>
        <v>11.283758330539792</v>
      </c>
      <c r="AB98" s="4">
        <f>Games[[#This Row],[PreGmRate]]+Games[[#This Row],[RatingChange]]</f>
        <v>1591.8573898032685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38514</v>
      </c>
      <c r="B99" s="2">
        <v>2005</v>
      </c>
      <c r="C99" s="2">
        <f>COUNTIFS(Games[Team],Games[[#This Row],[Team]],Games[Season],Games[[#This Row],[Season]],Games[Date],"&lt;=" &amp; Games[[#This Row],[Date]])</f>
        <v>9</v>
      </c>
      <c r="D99" s="2" t="s">
        <v>23</v>
      </c>
      <c r="E99" s="2" t="s">
        <v>29</v>
      </c>
      <c r="F99" s="1" t="s">
        <v>84</v>
      </c>
      <c r="G99" s="1" t="s">
        <v>86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3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9" s="2">
        <f>Games[[#This Row],[DaysOff]]-Games[[#This Row],[OppDaysOff]]</f>
        <v>3</v>
      </c>
      <c r="L99" s="2">
        <f>Games[[#This Row],[OppDaysOff]]-Games[[#This Row],[DaysOff]]</f>
        <v>-3</v>
      </c>
      <c r="M99" s="1">
        <f>MAX(-16, MIN(16, Games[[#This Row],[RestDiff]]*8))</f>
        <v>16</v>
      </c>
      <c r="N99" s="1">
        <f>MAX(-16, MIN(16, Games[[#This Row],[OppRestDiff]]*8))</f>
        <v>-16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1410.8467380444642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1580.5736314727287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0.42329125900625564</v>
      </c>
      <c r="R99" s="1">
        <v>69</v>
      </c>
      <c r="S99" s="1">
        <v>78</v>
      </c>
      <c r="T99" s="1">
        <v>0</v>
      </c>
      <c r="U99" s="1">
        <f>Games[[#This Row],[PointsFor]]-Games[[#This Row],[PointsAgainst]]</f>
        <v>-9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0.35566639956770718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74.650000000000006</v>
      </c>
      <c r="Z99" s="4">
        <f>Games[[#This Row],[K]]*Games[[#This Row],[POMult]]</f>
        <v>74.650000000000006</v>
      </c>
      <c r="AA99" s="4">
        <f>(Games[[#This Row],[Keff]]*Games[[#This Row],[MOVMult]])*(Games[[#This Row],[Result]]-Games[[#This Row],[ExpectedWin%]])</f>
        <v>-11.238593187122024</v>
      </c>
      <c r="AB99" s="4">
        <f>Games[[#This Row],[PreGmRate]]+Games[[#This Row],[RatingChange]]</f>
        <v>1399.6081448573423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38515</v>
      </c>
      <c r="B100" s="2">
        <v>2005</v>
      </c>
      <c r="C100" s="2">
        <f>COUNTIFS(Games[Team],Games[[#This Row],[Team]],Games[Season],Games[[#This Row],[Season]],Games[Date],"&lt;=" &amp; Games[[#This Row],[Date]])</f>
        <v>9</v>
      </c>
      <c r="D100" s="2" t="s">
        <v>23</v>
      </c>
      <c r="E100" s="2" t="s">
        <v>29</v>
      </c>
      <c r="F100" s="1" t="s">
        <v>81</v>
      </c>
      <c r="G100" s="1" t="s">
        <v>64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1575.4214001305043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1405.4016088783135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0.62132352844851357</v>
      </c>
      <c r="R100" s="1">
        <v>62</v>
      </c>
      <c r="S100" s="1">
        <v>60</v>
      </c>
      <c r="T100" s="1">
        <v>0</v>
      </c>
      <c r="U100" s="1">
        <f>Games[[#This Row],[PointsFor]]-Games[[#This Row],[PointsAgainst]]</f>
        <v>2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0.23460214737324137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6.6317800942425702</v>
      </c>
      <c r="AB100" s="4">
        <f>Games[[#This Row],[PreGmRate]]+Games[[#This Row],[RatingChange]]</f>
        <v>1582.0531802247467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38515</v>
      </c>
      <c r="B101" s="2">
        <v>2005</v>
      </c>
      <c r="C101" s="2">
        <f>COUNTIFS(Games[Team],Games[[#This Row],[Team]],Games[Season],Games[[#This Row],[Season]],Games[Date],"&lt;=" &amp; Games[[#This Row],[Date]])</f>
        <v>8</v>
      </c>
      <c r="D101" s="2" t="s">
        <v>23</v>
      </c>
      <c r="E101" s="2" t="s">
        <v>29</v>
      </c>
      <c r="F101" s="1" t="s">
        <v>64</v>
      </c>
      <c r="G101" s="1" t="s">
        <v>81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1405.4016088783135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1575.4214001305043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0.37867647155148643</v>
      </c>
      <c r="R101" s="1">
        <v>60</v>
      </c>
      <c r="S101" s="1">
        <v>62</v>
      </c>
      <c r="T101" s="1">
        <v>0</v>
      </c>
      <c r="U101" s="1">
        <f>Games[[#This Row],[PointsFor]]-Games[[#This Row],[PointsAgainst]]</f>
        <v>-2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0.23460214737324137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74.8</v>
      </c>
      <c r="Z101" s="4">
        <f>Games[[#This Row],[K]]*Games[[#This Row],[POMult]]</f>
        <v>74.8</v>
      </c>
      <c r="AA101" s="4">
        <f>(Games[[#This Row],[Keff]]*Games[[#This Row],[MOVMult]])*(Games[[#This Row],[Result]]-Games[[#This Row],[ExpectedWin%]])</f>
        <v>-6.645105841250424</v>
      </c>
      <c r="AB101" s="4">
        <f>Games[[#This Row],[PreGmRate]]+Games[[#This Row],[RatingChange]]</f>
        <v>1398.7565030370631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38515</v>
      </c>
      <c r="B102" s="2">
        <v>2005</v>
      </c>
      <c r="C102" s="2">
        <f>COUNTIFS(Games[Team],Games[[#This Row],[Team]],Games[Season],Games[[#This Row],[Season]],Games[Date],"&lt;=" &amp; Games[[#This Row],[Date]])</f>
        <v>7</v>
      </c>
      <c r="D102" s="2" t="s">
        <v>23</v>
      </c>
      <c r="E102" s="2" t="s">
        <v>29</v>
      </c>
      <c r="F102" s="1" t="s">
        <v>75</v>
      </c>
      <c r="G102" s="1" t="s">
        <v>66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1532.0576066583722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1465.7838246984038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0.47451203331748448</v>
      </c>
      <c r="R102" s="1">
        <v>69</v>
      </c>
      <c r="S102" s="1">
        <v>72</v>
      </c>
      <c r="T102" s="1">
        <v>0</v>
      </c>
      <c r="U102" s="1">
        <f>Games[[#This Row],[PointsFor]]-Games[[#This Row],[PointsAgainst]]</f>
        <v>-3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0.27499600029581767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74.95</v>
      </c>
      <c r="Z102" s="4">
        <f>Games[[#This Row],[K]]*Games[[#This Row],[POMult]]</f>
        <v>74.95</v>
      </c>
      <c r="AA102" s="4">
        <f>(Games[[#This Row],[Keff]]*Games[[#This Row],[MOVMult]])*(Games[[#This Row],[Result]]-Games[[#This Row],[ExpectedWin%]])</f>
        <v>-9.780143898528074</v>
      </c>
      <c r="AB102" s="4">
        <f>Games[[#This Row],[PreGmRate]]+Games[[#This Row],[RatingChange]]</f>
        <v>1522.2774627598442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38515</v>
      </c>
      <c r="B103" s="2">
        <v>2005</v>
      </c>
      <c r="C103" s="2">
        <f>COUNTIFS(Games[Team],Games[[#This Row],[Team]],Games[Season],Games[[#This Row],[Season]],Games[Date],"&lt;=" &amp; Games[[#This Row],[Date]])</f>
        <v>7</v>
      </c>
      <c r="D103" s="2" t="s">
        <v>23</v>
      </c>
      <c r="E103" s="2" t="s">
        <v>29</v>
      </c>
      <c r="F103" s="1" t="s">
        <v>66</v>
      </c>
      <c r="G103" s="1" t="s">
        <v>75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1465.7838246984038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1532.0576066583722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0.52548796668251552</v>
      </c>
      <c r="R103" s="1">
        <v>72</v>
      </c>
      <c r="S103" s="1">
        <v>69</v>
      </c>
      <c r="T103" s="1">
        <v>0</v>
      </c>
      <c r="U103" s="1">
        <f>Games[[#This Row],[PointsFor]]-Games[[#This Row],[PointsAgainst]]</f>
        <v>3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0.27499600029581767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74.95</v>
      </c>
      <c r="Z103" s="4">
        <f>Games[[#This Row],[K]]*Games[[#This Row],[POMult]]</f>
        <v>74.95</v>
      </c>
      <c r="AA103" s="4">
        <f>(Games[[#This Row],[Keff]]*Games[[#This Row],[MOVMult]])*(Games[[#This Row],[Result]]-Games[[#This Row],[ExpectedWin%]])</f>
        <v>9.780143898528074</v>
      </c>
      <c r="AB103" s="4">
        <f>Games[[#This Row],[PreGmRate]]+Games[[#This Row],[RatingChange]]</f>
        <v>1475.5639685969318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38516</v>
      </c>
      <c r="B104" s="2">
        <v>2005</v>
      </c>
      <c r="C104" s="2">
        <f>COUNTIFS(Games[Team],Games[[#This Row],[Team]],Games[Season],Games[[#This Row],[Season]],Games[Date],"&lt;=" &amp; Games[[#This Row],[Date]])</f>
        <v>8</v>
      </c>
      <c r="D104" s="2" t="s">
        <v>23</v>
      </c>
      <c r="E104" s="2" t="s">
        <v>29</v>
      </c>
      <c r="F104" s="1" t="s">
        <v>2</v>
      </c>
      <c r="G104" s="1" t="s">
        <v>45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1</v>
      </c>
      <c r="L104" s="2">
        <f>Games[[#This Row],[OppDaysOff]]-Games[[#This Row],[DaysOff]]</f>
        <v>-1</v>
      </c>
      <c r="M104" s="1">
        <f>MAX(-16, MIN(16, Games[[#This Row],[RestDiff]]*8))</f>
        <v>8</v>
      </c>
      <c r="N104" s="1">
        <f>MAX(-16, MIN(16, Games[[#This Row],[OppRestDiff]]*8))</f>
        <v>-8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1473.9480313377521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1589.5936922251699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0.25785458426887453</v>
      </c>
      <c r="R104" s="1">
        <v>68</v>
      </c>
      <c r="S104" s="1">
        <v>74</v>
      </c>
      <c r="T104" s="1">
        <v>0</v>
      </c>
      <c r="U104" s="1">
        <f>Games[[#This Row],[PointsFor]]-Games[[#This Row],[PointsAgainst]]</f>
        <v>-6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0.32040307344217483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74.8</v>
      </c>
      <c r="Z104" s="4">
        <f>Games[[#This Row],[K]]*Games[[#This Row],[POMult]]</f>
        <v>74.8</v>
      </c>
      <c r="AA104" s="4">
        <f>(Games[[#This Row],[Keff]]*Games[[#This Row],[MOVMult]])*(Games[[#This Row],[Result]]-Games[[#This Row],[ExpectedWin%]])</f>
        <v>-6.1797816173074445</v>
      </c>
      <c r="AB104" s="4">
        <f>Games[[#This Row],[PreGmRate]]+Games[[#This Row],[RatingChange]]</f>
        <v>1467.7682497204446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38516</v>
      </c>
      <c r="B105" s="2">
        <v>2005</v>
      </c>
      <c r="C105" s="2">
        <f>COUNTIFS(Games[Team],Games[[#This Row],[Team]],Games[Season],Games[[#This Row],[Season]],Games[Date],"&lt;=" &amp; Games[[#This Row],[Date]])</f>
        <v>9</v>
      </c>
      <c r="D105" s="2" t="s">
        <v>23</v>
      </c>
      <c r="E105" s="2" t="s">
        <v>29</v>
      </c>
      <c r="F105" s="1" t="s">
        <v>45</v>
      </c>
      <c r="G105" s="1" t="s">
        <v>2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5" s="2">
        <f>Games[[#This Row],[DaysOff]]-Games[[#This Row],[OppDaysOff]]</f>
        <v>-1</v>
      </c>
      <c r="L105" s="2">
        <f>Games[[#This Row],[OppDaysOff]]-Games[[#This Row],[DaysOff]]</f>
        <v>1</v>
      </c>
      <c r="M105" s="1">
        <f>MAX(-16, MIN(16, Games[[#This Row],[RestDiff]]*8))</f>
        <v>-8</v>
      </c>
      <c r="N105" s="1">
        <f>MAX(-16, MIN(16, Games[[#This Row],[OppRestDiff]]*8))</f>
        <v>8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1589.5936922251699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1473.9480313377521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0.74214541573112547</v>
      </c>
      <c r="R105" s="1">
        <v>74</v>
      </c>
      <c r="S105" s="1">
        <v>68</v>
      </c>
      <c r="T105" s="1">
        <v>0</v>
      </c>
      <c r="U105" s="1">
        <f>Games[[#This Row],[PointsFor]]-Games[[#This Row],[PointsAgainst]]</f>
        <v>6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0.32040307344217483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6.1673890071123099</v>
      </c>
      <c r="AB105" s="4">
        <f>Games[[#This Row],[PreGmRate]]+Games[[#This Row],[RatingChange]]</f>
        <v>1595.7610812322821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38518</v>
      </c>
      <c r="B106" s="2">
        <v>2005</v>
      </c>
      <c r="C106" s="2">
        <f>COUNTIFS(Games[Team],Games[[#This Row],[Team]],Games[Season],Games[[#This Row],[Season]],Games[Date],"&lt;=" &amp; Games[[#This Row],[Date]])</f>
        <v>8</v>
      </c>
      <c r="D106" s="2" t="s">
        <v>23</v>
      </c>
      <c r="E106" s="2" t="s">
        <v>29</v>
      </c>
      <c r="F106" s="1" t="s">
        <v>75</v>
      </c>
      <c r="G106" s="1" t="s">
        <v>79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6" s="2">
        <f>Games[[#This Row],[DaysOff]]-Games[[#This Row],[OppDaysOff]]</f>
        <v>-2</v>
      </c>
      <c r="L106" s="2">
        <f>Games[[#This Row],[OppDaysOff]]-Games[[#This Row],[DaysOff]]</f>
        <v>2</v>
      </c>
      <c r="M106" s="1">
        <f>MAX(-16, MIN(16, Games[[#This Row],[RestDiff]]*8))</f>
        <v>-16</v>
      </c>
      <c r="N106" s="1">
        <f>MAX(-16, MIN(16, Games[[#This Row],[OppRestDiff]]*8))</f>
        <v>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1522.2774627598442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1500.9496726614157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0.36703055546853885</v>
      </c>
      <c r="R106" s="1">
        <v>79</v>
      </c>
      <c r="S106" s="1">
        <v>84</v>
      </c>
      <c r="T106" s="1">
        <v>1</v>
      </c>
      <c r="U106" s="1">
        <f>Games[[#This Row],[PointsFor]]-Games[[#This Row],[PointsAgainst]]</f>
        <v>-5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0.29336633162934245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74.8</v>
      </c>
      <c r="Z106" s="4">
        <f>Games[[#This Row],[K]]*Games[[#This Row],[POMult]]</f>
        <v>74.8</v>
      </c>
      <c r="AA106" s="4">
        <f>(Games[[#This Row],[Keff]]*Games[[#This Row],[MOVMult]])*(Games[[#This Row],[Result]]-Games[[#This Row],[ExpectedWin%]])</f>
        <v>-8.0540456924956487</v>
      </c>
      <c r="AB106" s="4">
        <f>Games[[#This Row],[PreGmRate]]+Games[[#This Row],[RatingChange]]</f>
        <v>1514.2234170673485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38518</v>
      </c>
      <c r="B107" s="2">
        <v>2005</v>
      </c>
      <c r="C107" s="2">
        <f>COUNTIFS(Games[Team],Games[[#This Row],[Team]],Games[Season],Games[[#This Row],[Season]],Games[Date],"&lt;=" &amp; Games[[#This Row],[Date]])</f>
        <v>9</v>
      </c>
      <c r="D107" s="2" t="s">
        <v>23</v>
      </c>
      <c r="E107" s="2" t="s">
        <v>29</v>
      </c>
      <c r="F107" s="1" t="s">
        <v>79</v>
      </c>
      <c r="G107" s="1" t="s">
        <v>75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2</v>
      </c>
      <c r="L107" s="2">
        <f>Games[[#This Row],[OppDaysOff]]-Games[[#This Row],[DaysOff]]</f>
        <v>-2</v>
      </c>
      <c r="M107" s="1">
        <f>MAX(-16, MIN(16, Games[[#This Row],[RestDiff]]*8))</f>
        <v>16</v>
      </c>
      <c r="N107" s="1">
        <f>MAX(-16, MIN(16, Games[[#This Row],[OppRestDiff]]*8))</f>
        <v>-16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1500.9496726614157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1522.2774627598442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0.6329694445314612</v>
      </c>
      <c r="R107" s="1">
        <v>84</v>
      </c>
      <c r="S107" s="1">
        <v>79</v>
      </c>
      <c r="T107" s="1">
        <v>1</v>
      </c>
      <c r="U107" s="1">
        <f>Games[[#This Row],[PointsFor]]-Games[[#This Row],[PointsAgainst]]</f>
        <v>5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0.29336633162934245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74.650000000000006</v>
      </c>
      <c r="Z107" s="4">
        <f>Games[[#This Row],[K]]*Games[[#This Row],[POMult]]</f>
        <v>74.650000000000006</v>
      </c>
      <c r="AA107" s="4">
        <f>(Games[[#This Row],[Keff]]*Games[[#This Row],[MOVMult]])*(Games[[#This Row],[Result]]-Games[[#This Row],[ExpectedWin%]])</f>
        <v>8.0378945313475949</v>
      </c>
      <c r="AB107" s="4">
        <f>Games[[#This Row],[PreGmRate]]+Games[[#This Row],[RatingChange]]</f>
        <v>1508.9875671927632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38518</v>
      </c>
      <c r="B108" s="2">
        <v>2005</v>
      </c>
      <c r="C108" s="2">
        <f>COUNTIFS(Games[Team],Games[[#This Row],[Team]],Games[Season],Games[[#This Row],[Season]],Games[Date],"&lt;=" &amp; Games[[#This Row],[Date]])</f>
        <v>9</v>
      </c>
      <c r="D108" s="2" t="s">
        <v>23</v>
      </c>
      <c r="E108" s="2" t="s">
        <v>29</v>
      </c>
      <c r="F108" s="1" t="s">
        <v>2</v>
      </c>
      <c r="G108" s="1" t="s">
        <v>70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8" s="2">
        <f>Games[[#This Row],[DaysOff]]-Games[[#This Row],[OppDaysOff]]</f>
        <v>-2</v>
      </c>
      <c r="L108" s="2">
        <f>Games[[#This Row],[OppDaysOff]]-Games[[#This Row],[DaysOff]]</f>
        <v>2</v>
      </c>
      <c r="M108" s="1">
        <f>MAX(-16, MIN(16, Games[[#This Row],[RestDiff]]*8))</f>
        <v>-16</v>
      </c>
      <c r="N108" s="1">
        <f>MAX(-16, MIN(16, Games[[#This Row],[OppRestDiff]]*8))</f>
        <v>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1467.7682497204446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1549.4320827344832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0.24271633532116432</v>
      </c>
      <c r="R108" s="1">
        <v>64</v>
      </c>
      <c r="S108" s="1">
        <v>83</v>
      </c>
      <c r="T108" s="1">
        <v>0</v>
      </c>
      <c r="U108" s="1">
        <f>Games[[#This Row],[PointsFor]]-Games[[#This Row],[PointsAgainst]]</f>
        <v>-19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0.52523373908792059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-9.5165916424654924</v>
      </c>
      <c r="AB108" s="4">
        <f>Games[[#This Row],[PreGmRate]]+Games[[#This Row],[RatingChange]]</f>
        <v>1458.2516580779791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38518</v>
      </c>
      <c r="B109" s="2">
        <v>2005</v>
      </c>
      <c r="C109" s="2">
        <f>COUNTIFS(Games[Team],Games[[#This Row],[Team]],Games[Season],Games[[#This Row],[Season]],Games[Date],"&lt;=" &amp; Games[[#This Row],[Date]])</f>
        <v>9</v>
      </c>
      <c r="D109" s="2" t="s">
        <v>23</v>
      </c>
      <c r="E109" s="2" t="s">
        <v>29</v>
      </c>
      <c r="F109" s="1" t="s">
        <v>70</v>
      </c>
      <c r="G109" s="1" t="s">
        <v>2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2</v>
      </c>
      <c r="L109" s="2">
        <f>Games[[#This Row],[OppDaysOff]]-Games[[#This Row],[DaysOff]]</f>
        <v>-2</v>
      </c>
      <c r="M109" s="1">
        <f>MAX(-16, MIN(16, Games[[#This Row],[RestDiff]]*8))</f>
        <v>16</v>
      </c>
      <c r="N109" s="1">
        <f>MAX(-16, MIN(16, Games[[#This Row],[OppRestDiff]]*8))</f>
        <v>-16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1549.4320827344832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1467.7682497204446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0.75728366467883579</v>
      </c>
      <c r="R109" s="1">
        <v>83</v>
      </c>
      <c r="S109" s="1">
        <v>64</v>
      </c>
      <c r="T109" s="1">
        <v>0</v>
      </c>
      <c r="U109" s="1">
        <f>Games[[#This Row],[PointsFor]]-Games[[#This Row],[PointsAgainst]]</f>
        <v>19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0.52523373908792059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9.5165916424654871</v>
      </c>
      <c r="AB109" s="4">
        <f>Games[[#This Row],[PreGmRate]]+Games[[#This Row],[RatingChange]]</f>
        <v>1558.9486743769487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38518</v>
      </c>
      <c r="B110" s="2">
        <v>2005</v>
      </c>
      <c r="C110" s="2">
        <f>COUNTIFS(Games[Team],Games[[#This Row],[Team]],Games[Season],Games[[#This Row],[Season]],Games[Date],"&lt;=" &amp; Games[[#This Row],[Date]])</f>
        <v>10</v>
      </c>
      <c r="D110" s="2" t="s">
        <v>23</v>
      </c>
      <c r="E110" s="2" t="s">
        <v>29</v>
      </c>
      <c r="F110" s="1" t="s">
        <v>84</v>
      </c>
      <c r="G110" s="1" t="s">
        <v>44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0" s="2">
        <f>Games[[#This Row],[DaysOff]]-Games[[#This Row],[OppDaysOff]]</f>
        <v>-1</v>
      </c>
      <c r="L110" s="2">
        <f>Games[[#This Row],[OppDaysOff]]-Games[[#This Row],[DaysOff]]</f>
        <v>1</v>
      </c>
      <c r="M110" s="1">
        <f>MAX(-16, MIN(16, Games[[#This Row],[RestDiff]]*8))</f>
        <v>-8</v>
      </c>
      <c r="N110" s="1">
        <f>MAX(-16, MIN(16, Games[[#This Row],[OppRestDiff]]*8))</f>
        <v>8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1399.6081448573423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1469.4858581695189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0.27330971575450697</v>
      </c>
      <c r="R110" s="1">
        <v>62</v>
      </c>
      <c r="S110" s="1">
        <v>76</v>
      </c>
      <c r="T110" s="1">
        <v>0</v>
      </c>
      <c r="U110" s="1">
        <f>Games[[#This Row],[PointsFor]]-Games[[#This Row],[PointsAgainst]]</f>
        <v>-14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0.46077643390933176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74.5</v>
      </c>
      <c r="Z110" s="4">
        <f>Games[[#This Row],[K]]*Games[[#This Row],[POMult]]</f>
        <v>74.5</v>
      </c>
      <c r="AA110" s="4">
        <f>(Games[[#This Row],[Keff]]*Games[[#This Row],[MOVMult]])*(Games[[#This Row],[Result]]-Games[[#This Row],[ExpectedWin%]])</f>
        <v>-9.3821333752710441</v>
      </c>
      <c r="AB110" s="4">
        <f>Games[[#This Row],[PreGmRate]]+Games[[#This Row],[RatingChange]]</f>
        <v>1390.2260114820713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38518</v>
      </c>
      <c r="B111" s="2">
        <v>2005</v>
      </c>
      <c r="C111" s="2">
        <f>COUNTIFS(Games[Team],Games[[#This Row],[Team]],Games[Season],Games[[#This Row],[Season]],Games[Date],"&lt;=" &amp; Games[[#This Row],[Date]])</f>
        <v>9</v>
      </c>
      <c r="D111" s="2" t="s">
        <v>23</v>
      </c>
      <c r="E111" s="2" t="s">
        <v>29</v>
      </c>
      <c r="F111" s="1" t="s">
        <v>44</v>
      </c>
      <c r="G111" s="1" t="s">
        <v>84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1" s="2">
        <f>Games[[#This Row],[DaysOff]]-Games[[#This Row],[OppDaysOff]]</f>
        <v>1</v>
      </c>
      <c r="L111" s="2">
        <f>Games[[#This Row],[OppDaysOff]]-Games[[#This Row],[DaysOff]]</f>
        <v>-1</v>
      </c>
      <c r="M111" s="1">
        <f>MAX(-16, MIN(16, Games[[#This Row],[RestDiff]]*8))</f>
        <v>8</v>
      </c>
      <c r="N111" s="1">
        <f>MAX(-16, MIN(16, Games[[#This Row],[OppRestDiff]]*8))</f>
        <v>-8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1469.4858581695189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1399.6081448573423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0.72669028424549298</v>
      </c>
      <c r="R111" s="1">
        <v>76</v>
      </c>
      <c r="S111" s="1">
        <v>62</v>
      </c>
      <c r="T111" s="1">
        <v>0</v>
      </c>
      <c r="U111" s="1">
        <f>Games[[#This Row],[PointsFor]]-Games[[#This Row],[PointsAgainst]]</f>
        <v>14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0.46077643390933176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74.650000000000006</v>
      </c>
      <c r="Z111" s="4">
        <f>Games[[#This Row],[K]]*Games[[#This Row],[POMult]]</f>
        <v>74.650000000000006</v>
      </c>
      <c r="AA111" s="4">
        <f>(Games[[#This Row],[Keff]]*Games[[#This Row],[MOVMult]])*(Games[[#This Row],[Result]]-Games[[#This Row],[ExpectedWin%]])</f>
        <v>9.4010235766977672</v>
      </c>
      <c r="AB111" s="4">
        <f>Games[[#This Row],[PreGmRate]]+Games[[#This Row],[RatingChange]]</f>
        <v>1478.8868817462167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38518</v>
      </c>
      <c r="B112" s="2">
        <v>2005</v>
      </c>
      <c r="C112" s="2">
        <f>COUNTIFS(Games[Team],Games[[#This Row],[Team]],Games[Season],Games[[#This Row],[Season]],Games[Date],"&lt;=" &amp; Games[[#This Row],[Date]])</f>
        <v>8</v>
      </c>
      <c r="D112" s="2" t="s">
        <v>23</v>
      </c>
      <c r="E112" s="2" t="s">
        <v>29</v>
      </c>
      <c r="F112" s="1" t="s">
        <v>77</v>
      </c>
      <c r="G112" s="1" t="s">
        <v>81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2" s="2">
        <f>Games[[#This Row],[DaysOff]]-Games[[#This Row],[OppDaysOff]]</f>
        <v>1</v>
      </c>
      <c r="L112" s="2">
        <f>Games[[#This Row],[OppDaysOff]]-Games[[#This Row],[DaysOff]]</f>
        <v>-1</v>
      </c>
      <c r="M112" s="1">
        <f>MAX(-16, MIN(16, Games[[#This Row],[RestDiff]]*8))</f>
        <v>8</v>
      </c>
      <c r="N112" s="1">
        <f>MAX(-16, MIN(16, Games[[#This Row],[OppRestDiff]]*8))</f>
        <v>-8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1502.3701498901789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1582.0531802247467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0.29940519754174399</v>
      </c>
      <c r="R112" s="1">
        <v>86</v>
      </c>
      <c r="S112" s="1">
        <v>81</v>
      </c>
      <c r="T112" s="1">
        <v>1</v>
      </c>
      <c r="U112" s="1">
        <f>Games[[#This Row],[PointsFor]]-Games[[#This Row],[PointsAgainst]]</f>
        <v>5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0.27998843854674887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74.8</v>
      </c>
      <c r="Z112" s="4">
        <f>Games[[#This Row],[K]]*Games[[#This Row],[POMult]]</f>
        <v>74.8</v>
      </c>
      <c r="AA112" s="4">
        <f>(Games[[#This Row],[Keff]]*Games[[#This Row],[MOVMult]])*(Games[[#This Row],[Result]]-Games[[#This Row],[ExpectedWin%]])</f>
        <v>14.67265167061028</v>
      </c>
      <c r="AB112" s="4">
        <f>Games[[#This Row],[PreGmRate]]+Games[[#This Row],[RatingChange]]</f>
        <v>1517.0428015607893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38518</v>
      </c>
      <c r="B113" s="2">
        <v>2005</v>
      </c>
      <c r="C113" s="2">
        <f>COUNTIFS(Games[Team],Games[[#This Row],[Team]],Games[Season],Games[[#This Row],[Season]],Games[Date],"&lt;=" &amp; Games[[#This Row],[Date]])</f>
        <v>10</v>
      </c>
      <c r="D113" s="2" t="s">
        <v>23</v>
      </c>
      <c r="E113" s="2" t="s">
        <v>29</v>
      </c>
      <c r="F113" s="1" t="s">
        <v>81</v>
      </c>
      <c r="G113" s="1" t="s">
        <v>77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3" s="2">
        <f>Games[[#This Row],[DaysOff]]-Games[[#This Row],[OppDaysOff]]</f>
        <v>-1</v>
      </c>
      <c r="L113" s="2">
        <f>Games[[#This Row],[OppDaysOff]]-Games[[#This Row],[DaysOff]]</f>
        <v>1</v>
      </c>
      <c r="M113" s="1">
        <f>MAX(-16, MIN(16, Games[[#This Row],[RestDiff]]*8))</f>
        <v>-8</v>
      </c>
      <c r="N113" s="1">
        <f>MAX(-16, MIN(16, Games[[#This Row],[OppRestDiff]]*8))</f>
        <v>8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1582.0531802247467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1502.3701498901789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0.70059480245825601</v>
      </c>
      <c r="R113" s="1">
        <v>81</v>
      </c>
      <c r="S113" s="1">
        <v>86</v>
      </c>
      <c r="T113" s="1">
        <v>1</v>
      </c>
      <c r="U113" s="1">
        <f>Games[[#This Row],[PointsFor]]-Games[[#This Row],[PointsAgainst]]</f>
        <v>-5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0.27998843854674887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-14.613804137172002</v>
      </c>
      <c r="AB113" s="4">
        <f>Games[[#This Row],[PreGmRate]]+Games[[#This Row],[RatingChange]]</f>
        <v>1567.4393760875746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38519</v>
      </c>
      <c r="B114" s="2">
        <v>2005</v>
      </c>
      <c r="C114" s="2">
        <f>COUNTIFS(Games[Team],Games[[#This Row],[Team]],Games[Season],Games[[#This Row],[Season]],Games[Date],"&lt;=" &amp; Games[[#This Row],[Date]])</f>
        <v>10</v>
      </c>
      <c r="D114" s="2" t="s">
        <v>23</v>
      </c>
      <c r="E114" s="2" t="s">
        <v>29</v>
      </c>
      <c r="F114" s="1" t="s">
        <v>79</v>
      </c>
      <c r="G114" s="1" t="s">
        <v>64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4" s="2">
        <f>Games[[#This Row],[DaysOff]]-Games[[#This Row],[OppDaysOff]]</f>
        <v>-3</v>
      </c>
      <c r="L114" s="2">
        <f>Games[[#This Row],[OppDaysOff]]-Games[[#This Row],[DaysOff]]</f>
        <v>3</v>
      </c>
      <c r="M114" s="1">
        <f>MAX(-16, MIN(16, Games[[#This Row],[RestDiff]]*8))</f>
        <v>-16</v>
      </c>
      <c r="N114" s="1">
        <f>MAX(-16, MIN(16, Games[[#This Row],[OppRestDiff]]*8))</f>
        <v>16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1508.9875671927632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1398.7565030370631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0.49169859684711309</v>
      </c>
      <c r="R114" s="1">
        <v>60</v>
      </c>
      <c r="S114" s="1">
        <v>57</v>
      </c>
      <c r="T114" s="1">
        <v>0</v>
      </c>
      <c r="U114" s="1">
        <f>Games[[#This Row],[PointsFor]]-Games[[#This Row],[PointsAgainst]]</f>
        <v>3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0.26577008807438046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74.5</v>
      </c>
      <c r="Z114" s="4">
        <f>Games[[#This Row],[K]]*Games[[#This Row],[POMult]]</f>
        <v>74.5</v>
      </c>
      <c r="AA114" s="4">
        <f>(Games[[#This Row],[Keff]]*Games[[#This Row],[MOVMult]])*(Games[[#This Row],[Result]]-Games[[#This Row],[ExpectedWin%]])</f>
        <v>10.064302496978408</v>
      </c>
      <c r="AB114" s="4">
        <f>Games[[#This Row],[PreGmRate]]+Games[[#This Row],[RatingChange]]</f>
        <v>1519.0518696897416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38519</v>
      </c>
      <c r="B115" s="2">
        <v>2005</v>
      </c>
      <c r="C115" s="2">
        <f>COUNTIFS(Games[Team],Games[[#This Row],[Team]],Games[Season],Games[[#This Row],[Season]],Games[Date],"&lt;=" &amp; Games[[#This Row],[Date]])</f>
        <v>9</v>
      </c>
      <c r="D115" s="2" t="s">
        <v>23</v>
      </c>
      <c r="E115" s="2" t="s">
        <v>29</v>
      </c>
      <c r="F115" s="1" t="s">
        <v>64</v>
      </c>
      <c r="G115" s="1" t="s">
        <v>79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5" s="2">
        <f>Games[[#This Row],[DaysOff]]-Games[[#This Row],[OppDaysOff]]</f>
        <v>3</v>
      </c>
      <c r="L115" s="2">
        <f>Games[[#This Row],[OppDaysOff]]-Games[[#This Row],[DaysOff]]</f>
        <v>-3</v>
      </c>
      <c r="M115" s="1">
        <f>MAX(-16, MIN(16, Games[[#This Row],[RestDiff]]*8))</f>
        <v>16</v>
      </c>
      <c r="N115" s="1">
        <f>MAX(-16, MIN(16, Games[[#This Row],[OppRestDiff]]*8))</f>
        <v>-16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1398.7565030370631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1508.9875671927632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0.50830140315288685</v>
      </c>
      <c r="R115" s="1">
        <v>57</v>
      </c>
      <c r="S115" s="1">
        <v>60</v>
      </c>
      <c r="T115" s="1">
        <v>0</v>
      </c>
      <c r="U115" s="1">
        <f>Games[[#This Row],[PointsFor]]-Games[[#This Row],[PointsAgainst]]</f>
        <v>-3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0.26577008807438046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74.650000000000006</v>
      </c>
      <c r="Z115" s="4">
        <f>Games[[#This Row],[K]]*Games[[#This Row],[POMult]]</f>
        <v>74.650000000000006</v>
      </c>
      <c r="AA115" s="4">
        <f>(Games[[#This Row],[Keff]]*Games[[#This Row],[MOVMult]])*(Games[[#This Row],[Result]]-Games[[#This Row],[ExpectedWin%]])</f>
        <v>-10.084566193281049</v>
      </c>
      <c r="AB115" s="4">
        <f>Games[[#This Row],[PreGmRate]]+Games[[#This Row],[RatingChange]]</f>
        <v>1388.6719368437821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38520</v>
      </c>
      <c r="B116" s="2">
        <v>2005</v>
      </c>
      <c r="C116" s="2">
        <f>COUNTIFS(Games[Team],Games[[#This Row],[Team]],Games[Season],Games[[#This Row],[Season]],Games[Date],"&lt;=" &amp; Games[[#This Row],[Date]])</f>
        <v>9</v>
      </c>
      <c r="D116" s="2" t="s">
        <v>23</v>
      </c>
      <c r="E116" s="2" t="s">
        <v>29</v>
      </c>
      <c r="F116" s="1" t="s">
        <v>77</v>
      </c>
      <c r="G116" s="1" t="s">
        <v>45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6" s="2">
        <f>Games[[#This Row],[DaysOff]]-Games[[#This Row],[OppDaysOff]]</f>
        <v>-2</v>
      </c>
      <c r="L116" s="2">
        <f>Games[[#This Row],[OppDaysOff]]-Games[[#This Row],[DaysOff]]</f>
        <v>2</v>
      </c>
      <c r="M116" s="1">
        <f>MAX(-16, MIN(16, Games[[#This Row],[RestDiff]]*8))</f>
        <v>-16</v>
      </c>
      <c r="N116" s="1">
        <f>MAX(-16, MIN(16, Games[[#This Row],[OppRestDiff]]*8))</f>
        <v>16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1517.0428015607893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1595.7610812322821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0.24584650936185737</v>
      </c>
      <c r="R116" s="1">
        <v>50</v>
      </c>
      <c r="S116" s="1">
        <v>67</v>
      </c>
      <c r="T116" s="1">
        <v>0</v>
      </c>
      <c r="U116" s="1">
        <f>Games[[#This Row],[PointsFor]]-Games[[#This Row],[PointsAgainst]]</f>
        <v>-17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0.49966477609324567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74.650000000000006</v>
      </c>
      <c r="Z116" s="4">
        <f>Games[[#This Row],[K]]*Games[[#This Row],[POMult]]</f>
        <v>74.650000000000006</v>
      </c>
      <c r="AA116" s="4">
        <f>(Games[[#This Row],[Keff]]*Games[[#This Row],[MOVMult]])*(Games[[#This Row],[Result]]-Games[[#This Row],[ExpectedWin%]])</f>
        <v>-9.1700687846511286</v>
      </c>
      <c r="AB116" s="4">
        <f>Games[[#This Row],[PreGmRate]]+Games[[#This Row],[RatingChange]]</f>
        <v>1507.872732776138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38520</v>
      </c>
      <c r="B117" s="2">
        <v>2005</v>
      </c>
      <c r="C117" s="2">
        <f>COUNTIFS(Games[Team],Games[[#This Row],[Team]],Games[Season],Games[[#This Row],[Season]],Games[Date],"&lt;=" &amp; Games[[#This Row],[Date]])</f>
        <v>10</v>
      </c>
      <c r="D117" s="2" t="s">
        <v>23</v>
      </c>
      <c r="E117" s="2" t="s">
        <v>29</v>
      </c>
      <c r="F117" s="1" t="s">
        <v>45</v>
      </c>
      <c r="G117" s="1" t="s">
        <v>77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2</v>
      </c>
      <c r="L117" s="2">
        <f>Games[[#This Row],[OppDaysOff]]-Games[[#This Row],[DaysOff]]</f>
        <v>-2</v>
      </c>
      <c r="M117" s="1">
        <f>MAX(-16, MIN(16, Games[[#This Row],[RestDiff]]*8))</f>
        <v>16</v>
      </c>
      <c r="N117" s="1">
        <f>MAX(-16, MIN(16, Games[[#This Row],[OppRestDiff]]*8))</f>
        <v>-16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1595.7610812322821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1517.0428015607893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0.75415349063814263</v>
      </c>
      <c r="R117" s="1">
        <v>67</v>
      </c>
      <c r="S117" s="1">
        <v>50</v>
      </c>
      <c r="T117" s="1">
        <v>0</v>
      </c>
      <c r="U117" s="1">
        <f>Games[[#This Row],[PointsFor]]-Games[[#This Row],[PointsAgainst]]</f>
        <v>17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0.49966477609324567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74.5</v>
      </c>
      <c r="Z117" s="4">
        <f>Games[[#This Row],[K]]*Games[[#This Row],[POMult]]</f>
        <v>74.5</v>
      </c>
      <c r="AA117" s="4">
        <f>(Games[[#This Row],[Keff]]*Games[[#This Row],[MOVMult]])*(Games[[#This Row],[Result]]-Games[[#This Row],[ExpectedWin%]])</f>
        <v>9.1516426584930883</v>
      </c>
      <c r="AB117" s="4">
        <f>Games[[#This Row],[PreGmRate]]+Games[[#This Row],[RatingChange]]</f>
        <v>1604.9127238907752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38521</v>
      </c>
      <c r="B118" s="2">
        <v>2005</v>
      </c>
      <c r="C118" s="2">
        <f>COUNTIFS(Games[Team],Games[[#This Row],[Team]],Games[Season],Games[[#This Row],[Season]],Games[Date],"&lt;=" &amp; Games[[#This Row],[Date]])</f>
        <v>9</v>
      </c>
      <c r="D118" s="2" t="s">
        <v>23</v>
      </c>
      <c r="E118" s="2" t="s">
        <v>29</v>
      </c>
      <c r="F118" s="1" t="s">
        <v>75</v>
      </c>
      <c r="G118" s="1" t="s">
        <v>86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18" s="2">
        <f>Games[[#This Row],[DaysOff]]-Games[[#This Row],[OppDaysOff]]</f>
        <v>-4</v>
      </c>
      <c r="L118" s="2">
        <f>Games[[#This Row],[OppDaysOff]]-Games[[#This Row],[DaysOff]]</f>
        <v>4</v>
      </c>
      <c r="M118" s="1">
        <f>MAX(-16, MIN(16, Games[[#This Row],[RestDiff]]*8))</f>
        <v>-16</v>
      </c>
      <c r="N118" s="1">
        <f>MAX(-16, MIN(16, Games[[#This Row],[OppRestDiff]]*8))</f>
        <v>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1514.2234170673485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1591.8573898032685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0.2470056064391325</v>
      </c>
      <c r="R118" s="1">
        <v>63</v>
      </c>
      <c r="S118" s="1">
        <v>73</v>
      </c>
      <c r="T118" s="1">
        <v>0</v>
      </c>
      <c r="U118" s="1">
        <f>Games[[#This Row],[PointsFor]]-Games[[#This Row],[PointsAgainst]]</f>
        <v>-10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0.39741870522700246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74.650000000000006</v>
      </c>
      <c r="Z118" s="4">
        <f>Games[[#This Row],[K]]*Games[[#This Row],[POMult]]</f>
        <v>74.650000000000006</v>
      </c>
      <c r="AA118" s="4">
        <f>(Games[[#This Row],[Keff]]*Games[[#This Row],[MOVMult]])*(Games[[#This Row],[Result]]-Games[[#This Row],[ExpectedWin%]])</f>
        <v>-7.3279909952105964</v>
      </c>
      <c r="AB118" s="4">
        <f>Games[[#This Row],[PreGmRate]]+Games[[#This Row],[RatingChange]]</f>
        <v>1506.895426072138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38521</v>
      </c>
      <c r="B119" s="2">
        <v>2005</v>
      </c>
      <c r="C119" s="2">
        <f>COUNTIFS(Games[Team],Games[[#This Row],[Team]],Games[Season],Games[[#This Row],[Season]],Games[Date],"&lt;=" &amp; Games[[#This Row],[Date]])</f>
        <v>8</v>
      </c>
      <c r="D119" s="2" t="s">
        <v>23</v>
      </c>
      <c r="E119" s="2" t="s">
        <v>29</v>
      </c>
      <c r="F119" s="1" t="s">
        <v>86</v>
      </c>
      <c r="G119" s="1" t="s">
        <v>75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6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4</v>
      </c>
      <c r="L119" s="2">
        <f>Games[[#This Row],[OppDaysOff]]-Games[[#This Row],[DaysOff]]</f>
        <v>-4</v>
      </c>
      <c r="M119" s="1">
        <f>MAX(-16, MIN(16, Games[[#This Row],[RestDiff]]*8))</f>
        <v>16</v>
      </c>
      <c r="N119" s="1">
        <f>MAX(-16, MIN(16, Games[[#This Row],[OppRestDiff]]*8))</f>
        <v>-16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1591.8573898032685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1514.2234170673485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0.75299439356086761</v>
      </c>
      <c r="R119" s="1">
        <v>73</v>
      </c>
      <c r="S119" s="1">
        <v>63</v>
      </c>
      <c r="T119" s="1">
        <v>0</v>
      </c>
      <c r="U119" s="1">
        <f>Games[[#This Row],[PointsFor]]-Games[[#This Row],[PointsAgainst]]</f>
        <v>10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0.39741870522700246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74.8</v>
      </c>
      <c r="Z119" s="4">
        <f>Games[[#This Row],[K]]*Games[[#This Row],[POMult]]</f>
        <v>74.8</v>
      </c>
      <c r="AA119" s="4">
        <f>(Games[[#This Row],[Keff]]*Games[[#This Row],[MOVMult]])*(Games[[#This Row],[Result]]-Games[[#This Row],[ExpectedWin%]])</f>
        <v>7.3427156924548198</v>
      </c>
      <c r="AB119" s="4">
        <f>Games[[#This Row],[PreGmRate]]+Games[[#This Row],[RatingChange]]</f>
        <v>1599.2001054957234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38521</v>
      </c>
      <c r="B120" s="2">
        <v>2005</v>
      </c>
      <c r="C120" s="2">
        <f>COUNTIFS(Games[Team],Games[[#This Row],[Team]],Games[Season],Games[[#This Row],[Season]],Games[Date],"&lt;=" &amp; Games[[#This Row],[Date]])</f>
        <v>10</v>
      </c>
      <c r="D120" s="2" t="s">
        <v>23</v>
      </c>
      <c r="E120" s="2" t="s">
        <v>29</v>
      </c>
      <c r="F120" s="1" t="s">
        <v>77</v>
      </c>
      <c r="G120" s="1" t="s">
        <v>70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0" s="2">
        <f>Games[[#This Row],[DaysOff]]-Games[[#This Row],[OppDaysOff]]</f>
        <v>-2</v>
      </c>
      <c r="L120" s="2">
        <f>Games[[#This Row],[OppDaysOff]]-Games[[#This Row],[DaysOff]]</f>
        <v>2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1507.872732776138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1558.9486743769487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0.27652466532477343</v>
      </c>
      <c r="R120" s="1">
        <v>56</v>
      </c>
      <c r="S120" s="1">
        <v>69</v>
      </c>
      <c r="T120" s="1">
        <v>0</v>
      </c>
      <c r="U120" s="1">
        <f>Games[[#This Row],[PointsFor]]-Games[[#This Row],[PointsAgainst]]</f>
        <v>-13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0.45277228019598748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74.5</v>
      </c>
      <c r="Z120" s="4">
        <f>Games[[#This Row],[K]]*Games[[#This Row],[POMult]]</f>
        <v>74.5</v>
      </c>
      <c r="AA120" s="4">
        <f>(Games[[#This Row],[Keff]]*Games[[#This Row],[MOVMult]])*(Games[[#This Row],[Result]]-Games[[#This Row],[ExpectedWin%]])</f>
        <v>-9.3276013920899832</v>
      </c>
      <c r="AB120" s="4">
        <f>Games[[#This Row],[PreGmRate]]+Games[[#This Row],[RatingChange]]</f>
        <v>1498.5451313840481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38521</v>
      </c>
      <c r="B121" s="2">
        <v>2005</v>
      </c>
      <c r="C121" s="2">
        <f>COUNTIFS(Games[Team],Games[[#This Row],[Team]],Games[Season],Games[[#This Row],[Season]],Games[Date],"&lt;=" &amp; Games[[#This Row],[Date]])</f>
        <v>10</v>
      </c>
      <c r="D121" s="2" t="s">
        <v>23</v>
      </c>
      <c r="E121" s="2" t="s">
        <v>29</v>
      </c>
      <c r="F121" s="1" t="s">
        <v>70</v>
      </c>
      <c r="G121" s="1" t="s">
        <v>77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1" s="2">
        <f>Games[[#This Row],[DaysOff]]-Games[[#This Row],[OppDaysOff]]</f>
        <v>2</v>
      </c>
      <c r="L121" s="2">
        <f>Games[[#This Row],[OppDaysOff]]-Games[[#This Row],[DaysOff]]</f>
        <v>-2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1558.9486743769487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1507.872732776138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0.72347533467522651</v>
      </c>
      <c r="R121" s="1">
        <v>69</v>
      </c>
      <c r="S121" s="1">
        <v>56</v>
      </c>
      <c r="T121" s="1">
        <v>0</v>
      </c>
      <c r="U121" s="1">
        <f>Games[[#This Row],[PointsFor]]-Games[[#This Row],[PointsAgainst]]</f>
        <v>13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0.45277228019598748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9.327601392089985</v>
      </c>
      <c r="AB121" s="4">
        <f>Games[[#This Row],[PreGmRate]]+Games[[#This Row],[RatingChange]]</f>
        <v>1568.2762757690386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38521</v>
      </c>
      <c r="B122" s="2">
        <v>2005</v>
      </c>
      <c r="C122" s="2">
        <f>COUNTIFS(Games[Team],Games[[#This Row],[Team]],Games[Season],Games[[#This Row],[Season]],Games[Date],"&lt;=" &amp; Games[[#This Row],[Date]])</f>
        <v>10</v>
      </c>
      <c r="D122" s="2" t="s">
        <v>23</v>
      </c>
      <c r="E122" s="2" t="s">
        <v>29</v>
      </c>
      <c r="F122" s="1" t="s">
        <v>44</v>
      </c>
      <c r="G122" s="1" t="s">
        <v>66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2" s="2">
        <f>Games[[#This Row],[DaysOff]]-Games[[#This Row],[OppDaysOff]]</f>
        <v>-3</v>
      </c>
      <c r="L122" s="2">
        <f>Games[[#This Row],[OppDaysOff]]-Games[[#This Row],[DaysOff]]</f>
        <v>3</v>
      </c>
      <c r="M122" s="1">
        <f>MAX(-16, MIN(16, Games[[#This Row],[RestDiff]]*8))</f>
        <v>-16</v>
      </c>
      <c r="N122" s="1">
        <f>MAX(-16, MIN(16, Games[[#This Row],[OppRestDiff]]*8))</f>
        <v>16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1478.8868817462167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1475.5639685969318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0.34330025733936059</v>
      </c>
      <c r="R122" s="1">
        <v>54</v>
      </c>
      <c r="S122" s="1">
        <v>65</v>
      </c>
      <c r="T122" s="1">
        <v>0</v>
      </c>
      <c r="U122" s="1">
        <f>Games[[#This Row],[PointsFor]]-Games[[#This Row],[PointsAgainst]]</f>
        <v>-11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0.43862138628093933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-11.21812319146712</v>
      </c>
      <c r="AB122" s="4">
        <f>Games[[#This Row],[PreGmRate]]+Games[[#This Row],[RatingChange]]</f>
        <v>1467.6687585547495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38521</v>
      </c>
      <c r="B123" s="2">
        <v>2005</v>
      </c>
      <c r="C123" s="2">
        <f>COUNTIFS(Games[Team],Games[[#This Row],[Team]],Games[Season],Games[[#This Row],[Season]],Games[Date],"&lt;=" &amp; Games[[#This Row],[Date]])</f>
        <v>8</v>
      </c>
      <c r="D123" s="2" t="s">
        <v>23</v>
      </c>
      <c r="E123" s="2" t="s">
        <v>29</v>
      </c>
      <c r="F123" s="1" t="s">
        <v>66</v>
      </c>
      <c r="G123" s="1" t="s">
        <v>44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3</v>
      </c>
      <c r="L123" s="2">
        <f>Games[[#This Row],[OppDaysOff]]-Games[[#This Row],[DaysOff]]</f>
        <v>-3</v>
      </c>
      <c r="M123" s="1">
        <f>MAX(-16, MIN(16, Games[[#This Row],[RestDiff]]*8))</f>
        <v>16</v>
      </c>
      <c r="N123" s="1">
        <f>MAX(-16, MIN(16, Games[[#This Row],[OppRestDiff]]*8))</f>
        <v>-16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1475.5639685969318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1478.8868817462167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0.65669974266063946</v>
      </c>
      <c r="R123" s="1">
        <v>65</v>
      </c>
      <c r="S123" s="1">
        <v>54</v>
      </c>
      <c r="T123" s="1">
        <v>0</v>
      </c>
      <c r="U123" s="1">
        <f>Games[[#This Row],[PointsFor]]-Games[[#This Row],[PointsAgainst]]</f>
        <v>11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0.43862138628093933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74.8</v>
      </c>
      <c r="Z123" s="4">
        <f>Games[[#This Row],[K]]*Games[[#This Row],[POMult]]</f>
        <v>74.8</v>
      </c>
      <c r="AA123" s="4">
        <f>(Games[[#This Row],[Keff]]*Games[[#This Row],[MOVMult]])*(Games[[#This Row],[Result]]-Games[[#This Row],[ExpectedWin%]])</f>
        <v>11.263296841902557</v>
      </c>
      <c r="AB123" s="4">
        <f>Games[[#This Row],[PreGmRate]]+Games[[#This Row],[RatingChange]]</f>
        <v>1486.8272654388343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38521</v>
      </c>
      <c r="B124" s="2">
        <v>2005</v>
      </c>
      <c r="C124" s="2">
        <f>COUNTIFS(Games[Team],Games[[#This Row],[Team]],Games[Season],Games[[#This Row],[Season]],Games[Date],"&lt;=" &amp; Games[[#This Row],[Date]])</f>
        <v>10</v>
      </c>
      <c r="D124" s="2" t="s">
        <v>23</v>
      </c>
      <c r="E124" s="2" t="s">
        <v>29</v>
      </c>
      <c r="F124" s="1" t="s">
        <v>2</v>
      </c>
      <c r="G124" s="1" t="s">
        <v>84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1458.2516580779791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1390.2260114820713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0.47702724308253724</v>
      </c>
      <c r="R124" s="1">
        <v>75</v>
      </c>
      <c r="S124" s="1">
        <v>69</v>
      </c>
      <c r="T124" s="1">
        <v>0</v>
      </c>
      <c r="U124" s="1">
        <f>Games[[#This Row],[PointsFor]]-Games[[#This Row],[PointsAgainst]]</f>
        <v>6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0.33243563680342869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74.5</v>
      </c>
      <c r="Z124" s="4">
        <f>Games[[#This Row],[K]]*Games[[#This Row],[POMult]]</f>
        <v>74.5</v>
      </c>
      <c r="AA124" s="4">
        <f>(Games[[#This Row],[Keff]]*Games[[#This Row],[MOVMult]])*(Games[[#This Row],[Result]]-Games[[#This Row],[ExpectedWin%]])</f>
        <v>12.952181220014255</v>
      </c>
      <c r="AB124" s="4">
        <f>Games[[#This Row],[PreGmRate]]+Games[[#This Row],[RatingChange]]</f>
        <v>1471.2038392979932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38521</v>
      </c>
      <c r="B125" s="2">
        <v>2005</v>
      </c>
      <c r="C125" s="2">
        <f>COUNTIFS(Games[Team],Games[[#This Row],[Team]],Games[Season],Games[[#This Row],[Season]],Games[Date],"&lt;=" &amp; Games[[#This Row],[Date]])</f>
        <v>11</v>
      </c>
      <c r="D125" s="2" t="s">
        <v>23</v>
      </c>
      <c r="E125" s="2" t="s">
        <v>29</v>
      </c>
      <c r="F125" s="1" t="s">
        <v>84</v>
      </c>
      <c r="G125" s="1" t="s">
        <v>2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1390.2260114820713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1458.2516580779791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0.52297275691746281</v>
      </c>
      <c r="R125" s="1">
        <v>69</v>
      </c>
      <c r="S125" s="1">
        <v>75</v>
      </c>
      <c r="T125" s="1">
        <v>0</v>
      </c>
      <c r="U125" s="1">
        <f>Games[[#This Row],[PointsFor]]-Games[[#This Row],[PointsAgainst]]</f>
        <v>-6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0.33243563680342869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74.349999999999994</v>
      </c>
      <c r="Z125" s="4">
        <f>Games[[#This Row],[K]]*Games[[#This Row],[POMult]]</f>
        <v>74.349999999999994</v>
      </c>
      <c r="AA125" s="4">
        <f>(Games[[#This Row],[Keff]]*Games[[#This Row],[MOVMult]])*(Games[[#This Row],[Result]]-Games[[#This Row],[ExpectedWin%]])</f>
        <v>-12.926103002792752</v>
      </c>
      <c r="AB125" s="4">
        <f>Games[[#This Row],[PreGmRate]]+Games[[#This Row],[RatingChange]]</f>
        <v>1377.2999084792784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38521</v>
      </c>
      <c r="B126" s="2">
        <v>2005</v>
      </c>
      <c r="C126" s="2">
        <f>COUNTIFS(Games[Team],Games[[#This Row],[Team]],Games[Season],Games[[#This Row],[Season]],Games[Date],"&lt;=" &amp; Games[[#This Row],[Date]])</f>
        <v>11</v>
      </c>
      <c r="D126" s="2" t="s">
        <v>23</v>
      </c>
      <c r="E126" s="2" t="s">
        <v>29</v>
      </c>
      <c r="F126" s="1" t="s">
        <v>79</v>
      </c>
      <c r="G126" s="1" t="s">
        <v>73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26" s="2">
        <f>Games[[#This Row],[DaysOff]]-Games[[#This Row],[OppDaysOff]]</f>
        <v>-5</v>
      </c>
      <c r="L126" s="2">
        <f>Games[[#This Row],[OppDaysOff]]-Games[[#This Row],[DaysOff]]</f>
        <v>5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1519.0518696897416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1453.8027699954896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0.42747865378127481</v>
      </c>
      <c r="R126" s="1">
        <v>78</v>
      </c>
      <c r="S126" s="1">
        <v>88</v>
      </c>
      <c r="T126" s="1">
        <v>1</v>
      </c>
      <c r="U126" s="1">
        <f>Games[[#This Row],[PointsFor]]-Games[[#This Row],[PointsAgainst]]</f>
        <v>-10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0.36117794937715908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74.349999999999994</v>
      </c>
      <c r="Z126" s="4">
        <f>Games[[#This Row],[K]]*Games[[#This Row],[POMult]]</f>
        <v>74.349999999999994</v>
      </c>
      <c r="AA126" s="4">
        <f>(Games[[#This Row],[Keff]]*Games[[#This Row],[MOVMult]])*(Games[[#This Row],[Result]]-Games[[#This Row],[ExpectedWin%]])</f>
        <v>-11.479332456818303</v>
      </c>
      <c r="AB126" s="4">
        <f>Games[[#This Row],[PreGmRate]]+Games[[#This Row],[RatingChange]]</f>
        <v>1507.5725372329232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38521</v>
      </c>
      <c r="B127" s="2">
        <v>2005</v>
      </c>
      <c r="C127" s="2">
        <f>COUNTIFS(Games[Team],Games[[#This Row],[Team]],Games[Season],Games[[#This Row],[Season]],Games[Date],"&lt;=" &amp; Games[[#This Row],[Date]])</f>
        <v>10</v>
      </c>
      <c r="D127" s="2" t="s">
        <v>23</v>
      </c>
      <c r="E127" s="2" t="s">
        <v>29</v>
      </c>
      <c r="F127" s="1" t="s">
        <v>73</v>
      </c>
      <c r="G127" s="1" t="s">
        <v>79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5</v>
      </c>
      <c r="L127" s="2">
        <f>Games[[#This Row],[OppDaysOff]]-Games[[#This Row],[DaysOff]]</f>
        <v>-5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1453.8027699954896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1519.0518696897416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0.57252134621872519</v>
      </c>
      <c r="R127" s="1">
        <v>88</v>
      </c>
      <c r="S127" s="1">
        <v>78</v>
      </c>
      <c r="T127" s="1">
        <v>1</v>
      </c>
      <c r="U127" s="1">
        <f>Games[[#This Row],[PointsFor]]-Games[[#This Row],[PointsAgainst]]</f>
        <v>10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0.36117794937715908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74.5</v>
      </c>
      <c r="Z127" s="4">
        <f>Games[[#This Row],[K]]*Games[[#This Row],[POMult]]</f>
        <v>74.5</v>
      </c>
      <c r="AA127" s="4">
        <f>(Games[[#This Row],[Keff]]*Games[[#This Row],[MOVMult]])*(Games[[#This Row],[Result]]-Games[[#This Row],[ExpectedWin%]])</f>
        <v>11.50249183635459</v>
      </c>
      <c r="AB127" s="4">
        <f>Games[[#This Row],[PreGmRate]]+Games[[#This Row],[RatingChange]]</f>
        <v>1465.3052618318443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38523</v>
      </c>
      <c r="B128" s="2">
        <v>2005</v>
      </c>
      <c r="C128" s="2">
        <f>COUNTIFS(Games[Team],Games[[#This Row],[Team]],Games[Season],Games[[#This Row],[Season]],Games[Date],"&lt;=" &amp; Games[[#This Row],[Date]])</f>
        <v>9</v>
      </c>
      <c r="D128" s="2" t="s">
        <v>23</v>
      </c>
      <c r="E128" s="2" t="s">
        <v>29</v>
      </c>
      <c r="F128" s="1" t="s">
        <v>86</v>
      </c>
      <c r="G128" s="1" t="s">
        <v>70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0</v>
      </c>
      <c r="L128" s="2">
        <f>Games[[#This Row],[OppDaysOff]]-Games[[#This Row],[DaysOff]]</f>
        <v>0</v>
      </c>
      <c r="M128" s="1">
        <f>MAX(-16, MIN(16, Games[[#This Row],[RestDiff]]*8))</f>
        <v>0</v>
      </c>
      <c r="N128" s="1">
        <f>MAX(-16, MIN(16, Games[[#This Row],[OppRestDiff]]*8))</f>
        <v>0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1599.2001054957234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1568.2762757690386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0.42420594513427495</v>
      </c>
      <c r="R128" s="1">
        <v>90</v>
      </c>
      <c r="S128" s="1">
        <v>70</v>
      </c>
      <c r="T128" s="1">
        <v>0</v>
      </c>
      <c r="U128" s="1">
        <f>Games[[#This Row],[PointsFor]]-Games[[#This Row],[PointsAgainst]]</f>
        <v>20</v>
      </c>
      <c r="V128" s="1">
        <f>IF(Games[[#This Row],[MOV]]&gt;0,1,IF(Games[[#This Row],[MOV]]=0,0.5,0))</f>
        <v>1</v>
      </c>
      <c r="W128" s="4">
        <f>((ABS(Games[[#This Row],[MOV]])+5)^0.6)/(12+0.01*(ABS(Games[[#This Row],[PreGmRate]]-Games[[#This Row],[OppPreGmRate]])))*IF(Games[[#This Row],[OT]]=1,0.9,1)</f>
        <v>0.56044477657385616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74.650000000000006</v>
      </c>
      <c r="Z128" s="4">
        <f>Games[[#This Row],[K]]*Games[[#This Row],[POMult]]</f>
        <v>74.650000000000006</v>
      </c>
      <c r="AA128" s="4">
        <f>(Games[[#This Row],[Keff]]*Games[[#This Row],[MOVMult]])*(Games[[#This Row],[Result]]-Games[[#This Row],[ExpectedWin%]])</f>
        <v>24.089612512732074</v>
      </c>
      <c r="AB128" s="4">
        <f>Games[[#This Row],[PreGmRate]]+Games[[#This Row],[RatingChange]]</f>
        <v>1623.2897180084556</v>
      </c>
      <c r="AC128" s="2">
        <f>IF(Games[[#This Row],[Type]]="R",IF(Games[[#This Row],[Result]]&gt;0.5,1,0),0)</f>
        <v>1</v>
      </c>
      <c r="AD128" s="2">
        <f>IF(Games[[#This Row],[Type]]="R",IF(Games[[#This Row],[Result]]&lt;0.5,1,0),0)</f>
        <v>0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38523</v>
      </c>
      <c r="B129" s="2">
        <v>2005</v>
      </c>
      <c r="C129" s="2">
        <f>COUNTIFS(Games[Team],Games[[#This Row],[Team]],Games[Season],Games[[#This Row],[Season]],Games[Date],"&lt;=" &amp; Games[[#This Row],[Date]])</f>
        <v>11</v>
      </c>
      <c r="D129" s="2" t="s">
        <v>23</v>
      </c>
      <c r="E129" s="2" t="s">
        <v>29</v>
      </c>
      <c r="F129" s="1" t="s">
        <v>70</v>
      </c>
      <c r="G129" s="1" t="s">
        <v>86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0</v>
      </c>
      <c r="L129" s="2">
        <f>Games[[#This Row],[OppDaysOff]]-Games[[#This Row],[DaysOff]]</f>
        <v>0</v>
      </c>
      <c r="M129" s="1">
        <f>MAX(-16, MIN(16, Games[[#This Row],[RestDiff]]*8))</f>
        <v>0</v>
      </c>
      <c r="N129" s="1">
        <f>MAX(-16, MIN(16, Games[[#This Row],[OppRestDiff]]*8))</f>
        <v>0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1568.2762757690386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1599.2001054957234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0.5757940548657251</v>
      </c>
      <c r="R129" s="1">
        <v>70</v>
      </c>
      <c r="S129" s="1">
        <v>90</v>
      </c>
      <c r="T129" s="1">
        <v>0</v>
      </c>
      <c r="U129" s="1">
        <f>Games[[#This Row],[PointsFor]]-Games[[#This Row],[PointsAgainst]]</f>
        <v>-20</v>
      </c>
      <c r="V129" s="1">
        <f>IF(Games[[#This Row],[MOV]]&gt;0,1,IF(Games[[#This Row],[MOV]]=0,0.5,0))</f>
        <v>0</v>
      </c>
      <c r="W129" s="4">
        <f>((ABS(Games[[#This Row],[MOV]])+5)^0.6)/(12+0.01*(ABS(Games[[#This Row],[PreGmRate]]-Games[[#This Row],[OppPreGmRate]])))*IF(Games[[#This Row],[OT]]=1,0.9,1)</f>
        <v>0.56044477657385616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74.349999999999994</v>
      </c>
      <c r="Z129" s="4">
        <f>Games[[#This Row],[K]]*Games[[#This Row],[POMult]]</f>
        <v>74.349999999999994</v>
      </c>
      <c r="AA129" s="4">
        <f>(Games[[#This Row],[Keff]]*Games[[#This Row],[MOVMult]])*(Games[[#This Row],[Result]]-Games[[#This Row],[ExpectedWin%]])</f>
        <v>-23.992802281602543</v>
      </c>
      <c r="AB129" s="4">
        <f>Games[[#This Row],[PreGmRate]]+Games[[#This Row],[RatingChange]]</f>
        <v>1544.2834734874361</v>
      </c>
      <c r="AC129" s="2">
        <f>IF(Games[[#This Row],[Type]]="R",IF(Games[[#This Row],[Result]]&gt;0.5,1,0),0)</f>
        <v>0</v>
      </c>
      <c r="AD129" s="2">
        <f>IF(Games[[#This Row],[Type]]="R",IF(Games[[#This Row],[Result]]&lt;0.5,1,0),0)</f>
        <v>1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38524</v>
      </c>
      <c r="B130" s="2">
        <v>2005</v>
      </c>
      <c r="C130" s="2">
        <f>COUNTIFS(Games[Team],Games[[#This Row],[Team]],Games[Season],Games[[#This Row],[Season]],Games[Date],"&lt;=" &amp; Games[[#This Row],[Date]])</f>
        <v>12</v>
      </c>
      <c r="D130" s="2" t="s">
        <v>23</v>
      </c>
      <c r="E130" s="2" t="s">
        <v>29</v>
      </c>
      <c r="F130" s="1" t="s">
        <v>84</v>
      </c>
      <c r="G130" s="1" t="s">
        <v>66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0</v>
      </c>
      <c r="L130" s="2">
        <f>Games[[#This Row],[OppDaysOff]]-Games[[#This Row],[DaysOff]]</f>
        <v>0</v>
      </c>
      <c r="M130" s="1">
        <f>MAX(-16, MIN(16, Games[[#This Row],[RestDiff]]*8))</f>
        <v>0</v>
      </c>
      <c r="N130" s="1">
        <f>MAX(-16, MIN(16, Games[[#This Row],[OppRestDiff]]*8))</f>
        <v>0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1377.2999084792784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1486.8272654388343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0.24711977411212216</v>
      </c>
      <c r="R130" s="1">
        <v>59</v>
      </c>
      <c r="S130" s="1">
        <v>77</v>
      </c>
      <c r="T130" s="1">
        <v>0</v>
      </c>
      <c r="U130" s="1">
        <f>Games[[#This Row],[PointsFor]]-Games[[#This Row],[PointsAgainst]]</f>
        <v>-18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0.501097373082105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74.2</v>
      </c>
      <c r="Z130" s="4">
        <f>Games[[#This Row],[K]]*Games[[#This Row],[POMult]]</f>
        <v>74.2</v>
      </c>
      <c r="AA130" s="4">
        <f>(Games[[#This Row],[Keff]]*Games[[#This Row],[MOVMult]])*(Games[[#This Row],[Result]]-Games[[#This Row],[ExpectedWin%]])</f>
        <v>-9.1882653676016872</v>
      </c>
      <c r="AB130" s="4">
        <f>Games[[#This Row],[PreGmRate]]+Games[[#This Row],[RatingChange]]</f>
        <v>1368.1116431116768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38524</v>
      </c>
      <c r="B131" s="2">
        <v>2005</v>
      </c>
      <c r="C131" s="2">
        <f>COUNTIFS(Games[Team],Games[[#This Row],[Team]],Games[Season],Games[[#This Row],[Season]],Games[Date],"&lt;=" &amp; Games[[#This Row],[Date]])</f>
        <v>9</v>
      </c>
      <c r="D131" s="2" t="s">
        <v>23</v>
      </c>
      <c r="E131" s="2" t="s">
        <v>29</v>
      </c>
      <c r="F131" s="1" t="s">
        <v>66</v>
      </c>
      <c r="G131" s="1" t="s">
        <v>84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0</v>
      </c>
      <c r="L131" s="2">
        <f>Games[[#This Row],[OppDaysOff]]-Games[[#This Row],[DaysOff]]</f>
        <v>0</v>
      </c>
      <c r="M131" s="1">
        <f>MAX(-16, MIN(16, Games[[#This Row],[RestDiff]]*8))</f>
        <v>0</v>
      </c>
      <c r="N131" s="1">
        <f>MAX(-16, MIN(16, Games[[#This Row],[OppRestDiff]]*8))</f>
        <v>0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1486.8272654388343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1377.2999084792784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0.75288022588787784</v>
      </c>
      <c r="R131" s="1">
        <v>77</v>
      </c>
      <c r="S131" s="1">
        <v>59</v>
      </c>
      <c r="T131" s="1">
        <v>0</v>
      </c>
      <c r="U131" s="1">
        <f>Games[[#This Row],[PointsFor]]-Games[[#This Row],[PointsAgainst]]</f>
        <v>18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0.501097373082105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74.650000000000006</v>
      </c>
      <c r="Z131" s="4">
        <f>Games[[#This Row],[K]]*Games[[#This Row],[POMult]]</f>
        <v>74.650000000000006</v>
      </c>
      <c r="AA131" s="4">
        <f>(Games[[#This Row],[Keff]]*Games[[#This Row],[MOVMult]])*(Games[[#This Row],[Result]]-Games[[#This Row],[ExpectedWin%]])</f>
        <v>9.2439893489415912</v>
      </c>
      <c r="AB131" s="4">
        <f>Games[[#This Row],[PreGmRate]]+Games[[#This Row],[RatingChange]]</f>
        <v>1496.0712547877758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38524</v>
      </c>
      <c r="B132" s="2">
        <v>2005</v>
      </c>
      <c r="C132" s="2">
        <f>COUNTIFS(Games[Team],Games[[#This Row],[Team]],Games[Season],Games[[#This Row],[Season]],Games[Date],"&lt;=" &amp; Games[[#This Row],[Date]])</f>
        <v>11</v>
      </c>
      <c r="D132" s="2" t="s">
        <v>23</v>
      </c>
      <c r="E132" s="2" t="s">
        <v>29</v>
      </c>
      <c r="F132" s="1" t="s">
        <v>44</v>
      </c>
      <c r="G132" s="1" t="s">
        <v>73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1467.6687585547495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1465.3052618318443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0.3846310392959712</v>
      </c>
      <c r="R132" s="1">
        <v>56</v>
      </c>
      <c r="S132" s="1">
        <v>77</v>
      </c>
      <c r="T132" s="1">
        <v>0</v>
      </c>
      <c r="U132" s="1">
        <f>Games[[#This Row],[PointsFor]]-Games[[#This Row],[PointsAgainst]]</f>
        <v>-21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0.58741931973975703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74.349999999999994</v>
      </c>
      <c r="Z132" s="4">
        <f>Games[[#This Row],[K]]*Games[[#This Row],[POMult]]</f>
        <v>74.349999999999994</v>
      </c>
      <c r="AA132" s="4">
        <f>(Games[[#This Row],[Keff]]*Games[[#This Row],[MOVMult]])*(Games[[#This Row],[Result]]-Games[[#This Row],[ExpectedWin%]])</f>
        <v>-16.798616951807514</v>
      </c>
      <c r="AB132" s="4">
        <f>Games[[#This Row],[PreGmRate]]+Games[[#This Row],[RatingChange]]</f>
        <v>1450.8701416029419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38524</v>
      </c>
      <c r="B133" s="2">
        <v>2005</v>
      </c>
      <c r="C133" s="2">
        <f>COUNTIFS(Games[Team],Games[[#This Row],[Team]],Games[Season],Games[[#This Row],[Season]],Games[Date],"&lt;=" &amp; Games[[#This Row],[Date]])</f>
        <v>11</v>
      </c>
      <c r="D133" s="2" t="s">
        <v>23</v>
      </c>
      <c r="E133" s="2" t="s">
        <v>29</v>
      </c>
      <c r="F133" s="1" t="s">
        <v>73</v>
      </c>
      <c r="G133" s="1" t="s">
        <v>44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1465.3052618318443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1467.6687585547495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0.61536896070402891</v>
      </c>
      <c r="R133" s="1">
        <v>77</v>
      </c>
      <c r="S133" s="1">
        <v>56</v>
      </c>
      <c r="T133" s="1">
        <v>0</v>
      </c>
      <c r="U133" s="1">
        <f>Games[[#This Row],[PointsFor]]-Games[[#This Row],[PointsAgainst]]</f>
        <v>21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0.58741931973975703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74.349999999999994</v>
      </c>
      <c r="Z133" s="4">
        <f>Games[[#This Row],[K]]*Games[[#This Row],[POMult]]</f>
        <v>74.349999999999994</v>
      </c>
      <c r="AA133" s="4">
        <f>(Games[[#This Row],[Keff]]*Games[[#This Row],[MOVMult]])*(Games[[#This Row],[Result]]-Games[[#This Row],[ExpectedWin%]])</f>
        <v>16.798616951807507</v>
      </c>
      <c r="AB133" s="4">
        <f>Games[[#This Row],[PreGmRate]]+Games[[#This Row],[RatingChange]]</f>
        <v>1482.1038787836519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38525</v>
      </c>
      <c r="B134" s="2">
        <v>2005</v>
      </c>
      <c r="C134" s="2">
        <f>COUNTIFS(Games[Team],Games[[#This Row],[Team]],Games[Season],Games[[#This Row],[Season]],Games[Date],"&lt;=" &amp; Games[[#This Row],[Date]])</f>
        <v>12</v>
      </c>
      <c r="D134" s="2" t="s">
        <v>23</v>
      </c>
      <c r="E134" s="2" t="s">
        <v>29</v>
      </c>
      <c r="F134" s="1" t="s">
        <v>44</v>
      </c>
      <c r="G134" s="1" t="s">
        <v>77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4" s="2">
        <f>Games[[#This Row],[DaysOff]]-Games[[#This Row],[OppDaysOff]]</f>
        <v>-3</v>
      </c>
      <c r="L134" s="2">
        <f>Games[[#This Row],[OppDaysOff]]-Games[[#This Row],[DaysOff]]</f>
        <v>3</v>
      </c>
      <c r="M134" s="1">
        <f>MAX(-16, MIN(16, Games[[#This Row],[RestDiff]]*8))</f>
        <v>-16</v>
      </c>
      <c r="N134" s="1">
        <f>MAX(-16, MIN(16, Games[[#This Row],[OppRestDiff]]*8))</f>
        <v>16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1450.8701416029419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1498.5451313840481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0.2804583911815684</v>
      </c>
      <c r="R134" s="1">
        <v>59</v>
      </c>
      <c r="S134" s="1">
        <v>75</v>
      </c>
      <c r="T134" s="1">
        <v>0</v>
      </c>
      <c r="U134" s="1">
        <f>Games[[#This Row],[PointsFor]]-Games[[#This Row],[PointsAgainst]]</f>
        <v>-16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0.49800087669071857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74.2</v>
      </c>
      <c r="Z134" s="4">
        <f>Games[[#This Row],[K]]*Games[[#This Row],[POMult]]</f>
        <v>74.2</v>
      </c>
      <c r="AA134" s="4">
        <f>(Games[[#This Row],[Keff]]*Games[[#This Row],[MOVMult]])*(Games[[#This Row],[Result]]-Games[[#This Row],[ExpectedWin%]])</f>
        <v>-10.363404531529765</v>
      </c>
      <c r="AB134" s="4">
        <f>Games[[#This Row],[PreGmRate]]+Games[[#This Row],[RatingChange]]</f>
        <v>1440.5067370714121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38525</v>
      </c>
      <c r="B135" s="2">
        <v>2005</v>
      </c>
      <c r="C135" s="2">
        <f>COUNTIFS(Games[Team],Games[[#This Row],[Team]],Games[Season],Games[[#This Row],[Season]],Games[Date],"&lt;=" &amp; Games[[#This Row],[Date]])</f>
        <v>11</v>
      </c>
      <c r="D135" s="2" t="s">
        <v>23</v>
      </c>
      <c r="E135" s="2" t="s">
        <v>29</v>
      </c>
      <c r="F135" s="1" t="s">
        <v>77</v>
      </c>
      <c r="G135" s="1" t="s">
        <v>44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5" s="2">
        <f>Games[[#This Row],[DaysOff]]-Games[[#This Row],[OppDaysOff]]</f>
        <v>3</v>
      </c>
      <c r="L135" s="2">
        <f>Games[[#This Row],[OppDaysOff]]-Games[[#This Row],[DaysOff]]</f>
        <v>-3</v>
      </c>
      <c r="M135" s="1">
        <f>MAX(-16, MIN(16, Games[[#This Row],[RestDiff]]*8))</f>
        <v>16</v>
      </c>
      <c r="N135" s="1">
        <f>MAX(-16, MIN(16, Games[[#This Row],[OppRestDiff]]*8))</f>
        <v>-16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1498.5451313840481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1450.8701416029419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0.71954160881843165</v>
      </c>
      <c r="R135" s="1">
        <v>75</v>
      </c>
      <c r="S135" s="1">
        <v>59</v>
      </c>
      <c r="T135" s="1">
        <v>0</v>
      </c>
      <c r="U135" s="1">
        <f>Games[[#This Row],[PointsFor]]-Games[[#This Row],[PointsAgainst]]</f>
        <v>16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0.49800087669071857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10.384354810232315</v>
      </c>
      <c r="AB135" s="4">
        <f>Games[[#This Row],[PreGmRate]]+Games[[#This Row],[RatingChange]]</f>
        <v>1508.9294861942803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38525</v>
      </c>
      <c r="B136" s="2">
        <v>2005</v>
      </c>
      <c r="C136" s="2">
        <f>COUNTIFS(Games[Team],Games[[#This Row],[Team]],Games[Season],Games[[#This Row],[Season]],Games[Date],"&lt;=" &amp; Games[[#This Row],[Date]])</f>
        <v>10</v>
      </c>
      <c r="D136" s="2" t="s">
        <v>23</v>
      </c>
      <c r="E136" s="2" t="s">
        <v>29</v>
      </c>
      <c r="F136" s="1" t="s">
        <v>86</v>
      </c>
      <c r="G136" s="1" t="s">
        <v>81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6" s="2">
        <f>Games[[#This Row],[DaysOff]]-Games[[#This Row],[OppDaysOff]]</f>
        <v>-5</v>
      </c>
      <c r="L136" s="2">
        <f>Games[[#This Row],[OppDaysOff]]-Games[[#This Row],[DaysOff]]</f>
        <v>5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1623.2897180084556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1567.4393760875746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0.4142922590454659</v>
      </c>
      <c r="R136" s="1">
        <v>86</v>
      </c>
      <c r="S136" s="1">
        <v>95</v>
      </c>
      <c r="T136" s="1">
        <v>0</v>
      </c>
      <c r="U136" s="1">
        <f>Games[[#This Row],[PointsFor]]-Games[[#This Row],[PointsAgainst]]</f>
        <v>-9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0.38791710788687511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74.5</v>
      </c>
      <c r="Z136" s="4">
        <f>Games[[#This Row],[K]]*Games[[#This Row],[POMult]]</f>
        <v>74.5</v>
      </c>
      <c r="AA136" s="4">
        <f>(Games[[#This Row],[Keff]]*Games[[#This Row],[MOVMult]])*(Games[[#This Row],[Result]]-Games[[#This Row],[ExpectedWin%]])</f>
        <v>-11.972973593688373</v>
      </c>
      <c r="AB136" s="4">
        <f>Games[[#This Row],[PreGmRate]]+Games[[#This Row],[RatingChange]]</f>
        <v>1611.3167444147673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38525</v>
      </c>
      <c r="B137" s="2">
        <v>2005</v>
      </c>
      <c r="C137" s="2">
        <f>COUNTIFS(Games[Team],Games[[#This Row],[Team]],Games[Season],Games[[#This Row],[Season]],Games[Date],"&lt;=" &amp; Games[[#This Row],[Date]])</f>
        <v>11</v>
      </c>
      <c r="D137" s="2" t="s">
        <v>23</v>
      </c>
      <c r="E137" s="2" t="s">
        <v>29</v>
      </c>
      <c r="F137" s="1" t="s">
        <v>81</v>
      </c>
      <c r="G137" s="1" t="s">
        <v>86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5</v>
      </c>
      <c r="L137" s="2">
        <f>Games[[#This Row],[OppDaysOff]]-Games[[#This Row],[DaysOff]]</f>
        <v>-5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1567.4393760875746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1623.2897180084556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0.58570774095453415</v>
      </c>
      <c r="R137" s="1">
        <v>95</v>
      </c>
      <c r="S137" s="1">
        <v>86</v>
      </c>
      <c r="T137" s="1">
        <v>0</v>
      </c>
      <c r="U137" s="1">
        <f>Games[[#This Row],[PointsFor]]-Games[[#This Row],[PointsAgainst]]</f>
        <v>9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0.38791710788687511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11.948866935446045</v>
      </c>
      <c r="AB137" s="4">
        <f>Games[[#This Row],[PreGmRate]]+Games[[#This Row],[RatingChange]]</f>
        <v>1579.3882430230206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38526</v>
      </c>
      <c r="B138" s="2">
        <v>2005</v>
      </c>
      <c r="C138" s="2">
        <f>COUNTIFS(Games[Team],Games[[#This Row],[Team]],Games[Season],Games[[#This Row],[Season]],Games[Date],"&lt;=" &amp; Games[[#This Row],[Date]])</f>
        <v>13</v>
      </c>
      <c r="D138" s="2" t="s">
        <v>23</v>
      </c>
      <c r="E138" s="2" t="s">
        <v>29</v>
      </c>
      <c r="F138" s="1" t="s">
        <v>84</v>
      </c>
      <c r="G138" s="1" t="s">
        <v>64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8" s="2">
        <f>Games[[#This Row],[DaysOff]]-Games[[#This Row],[OppDaysOff]]</f>
        <v>-5</v>
      </c>
      <c r="L138" s="2">
        <f>Games[[#This Row],[OppDaysOff]]-Games[[#This Row],[DaysOff]]</f>
        <v>5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1368.1116431116768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1388.6719368437821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0.31300577577803673</v>
      </c>
      <c r="R138" s="1">
        <v>64</v>
      </c>
      <c r="S138" s="1">
        <v>49</v>
      </c>
      <c r="T138" s="1">
        <v>0</v>
      </c>
      <c r="U138" s="1">
        <f>Games[[#This Row],[PointsFor]]-Games[[#This Row],[PointsAgainst]]</f>
        <v>15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0.49437757131148924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74.05</v>
      </c>
      <c r="Z138" s="4">
        <f>Games[[#This Row],[K]]*Games[[#This Row],[POMult]]</f>
        <v>74.05</v>
      </c>
      <c r="AA138" s="4">
        <f>(Games[[#This Row],[Keff]]*Games[[#This Row],[MOVMult]])*(Games[[#This Row],[Result]]-Games[[#This Row],[ExpectedWin%]])</f>
        <v>25.149937396418533</v>
      </c>
      <c r="AB138" s="4">
        <f>Games[[#This Row],[PreGmRate]]+Games[[#This Row],[RatingChange]]</f>
        <v>1393.2615805080954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38526</v>
      </c>
      <c r="B139" s="2">
        <v>2005</v>
      </c>
      <c r="C139" s="2">
        <f>COUNTIFS(Games[Team],Games[[#This Row],[Team]],Games[Season],Games[[#This Row],[Season]],Games[Date],"&lt;=" &amp; Games[[#This Row],[Date]])</f>
        <v>10</v>
      </c>
      <c r="D139" s="2" t="s">
        <v>23</v>
      </c>
      <c r="E139" s="2" t="s">
        <v>29</v>
      </c>
      <c r="F139" s="1" t="s">
        <v>64</v>
      </c>
      <c r="G139" s="1" t="s">
        <v>84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5</v>
      </c>
      <c r="L139" s="2">
        <f>Games[[#This Row],[OppDaysOff]]-Games[[#This Row],[DaysOff]]</f>
        <v>-5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1388.6719368437821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1368.1116431116768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0.68699422422196321</v>
      </c>
      <c r="R139" s="1">
        <v>49</v>
      </c>
      <c r="S139" s="1">
        <v>64</v>
      </c>
      <c r="T139" s="1">
        <v>0</v>
      </c>
      <c r="U139" s="1">
        <f>Games[[#This Row],[PointsFor]]-Games[[#This Row],[PointsAgainst]]</f>
        <v>-15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0.49437757131148924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74.5</v>
      </c>
      <c r="Z139" s="4">
        <f>Games[[#This Row],[K]]*Games[[#This Row],[POMult]]</f>
        <v>74.5</v>
      </c>
      <c r="AA139" s="4">
        <f>(Games[[#This Row],[Keff]]*Games[[#This Row],[MOVMult]])*(Games[[#This Row],[Result]]-Games[[#This Row],[ExpectedWin%]])</f>
        <v>-25.302772937652676</v>
      </c>
      <c r="AB139" s="4">
        <f>Games[[#This Row],[PreGmRate]]+Games[[#This Row],[RatingChange]]</f>
        <v>1363.3691639061294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38527</v>
      </c>
      <c r="B140" s="2">
        <v>2005</v>
      </c>
      <c r="C140" s="2">
        <f>COUNTIFS(Games[Team],Games[[#This Row],[Team]],Games[Season],Games[[#This Row],[Season]],Games[Date],"&lt;=" &amp; Games[[#This Row],[Date]])</f>
        <v>12</v>
      </c>
      <c r="D140" s="2" t="s">
        <v>23</v>
      </c>
      <c r="E140" s="2" t="s">
        <v>29</v>
      </c>
      <c r="F140" s="1" t="s">
        <v>73</v>
      </c>
      <c r="G140" s="1" t="s">
        <v>75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40" s="2">
        <f>Games[[#This Row],[DaysOff]]-Games[[#This Row],[OppDaysOff]]</f>
        <v>-3</v>
      </c>
      <c r="L140" s="2">
        <f>Games[[#This Row],[OppDaysOff]]-Games[[#This Row],[DaysOff]]</f>
        <v>3</v>
      </c>
      <c r="M140" s="1">
        <f>MAX(-16, MIN(16, Games[[#This Row],[RestDiff]]*8))</f>
        <v>-16</v>
      </c>
      <c r="N140" s="1">
        <f>MAX(-16, MIN(16, Games[[#This Row],[OppRestDiff]]*8))</f>
        <v>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1482.1038787836519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1506.895426072138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0.30779220523886336</v>
      </c>
      <c r="R140" s="1">
        <v>69</v>
      </c>
      <c r="S140" s="1">
        <v>55</v>
      </c>
      <c r="T140" s="1">
        <v>0</v>
      </c>
      <c r="U140" s="1">
        <f>Games[[#This Row],[PointsFor]]-Games[[#This Row],[PointsAgainst]]</f>
        <v>14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0.47773821229932173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24.537503289136023</v>
      </c>
      <c r="AB140" s="4">
        <f>Games[[#This Row],[PreGmRate]]+Games[[#This Row],[RatingChange]]</f>
        <v>1506.641382072788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38527</v>
      </c>
      <c r="B141" s="2">
        <v>2005</v>
      </c>
      <c r="C141" s="2">
        <f>COUNTIFS(Games[Team],Games[[#This Row],[Team]],Games[Season],Games[[#This Row],[Season]],Games[Date],"&lt;=" &amp; Games[[#This Row],[Date]])</f>
        <v>10</v>
      </c>
      <c r="D141" s="2" t="s">
        <v>23</v>
      </c>
      <c r="E141" s="2" t="s">
        <v>29</v>
      </c>
      <c r="F141" s="1" t="s">
        <v>75</v>
      </c>
      <c r="G141" s="1" t="s">
        <v>73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1" s="2">
        <f>Games[[#This Row],[DaysOff]]-Games[[#This Row],[OppDaysOff]]</f>
        <v>3</v>
      </c>
      <c r="L141" s="2">
        <f>Games[[#This Row],[OppDaysOff]]-Games[[#This Row],[DaysOff]]</f>
        <v>-3</v>
      </c>
      <c r="M141" s="1">
        <f>MAX(-16, MIN(16, Games[[#This Row],[RestDiff]]*8))</f>
        <v>16</v>
      </c>
      <c r="N141" s="1">
        <f>MAX(-16, MIN(16, Games[[#This Row],[OppRestDiff]]*8))</f>
        <v>-16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1506.895426072138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1482.1038787836519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0.69220779476113659</v>
      </c>
      <c r="R141" s="1">
        <v>55</v>
      </c>
      <c r="S141" s="1">
        <v>69</v>
      </c>
      <c r="T141" s="1">
        <v>0</v>
      </c>
      <c r="U141" s="1">
        <f>Games[[#This Row],[PointsFor]]-Games[[#This Row],[PointsAgainst]]</f>
        <v>-14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0.47773821229932173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74.5</v>
      </c>
      <c r="Z141" s="4">
        <f>Games[[#This Row],[K]]*Games[[#This Row],[POMult]]</f>
        <v>74.5</v>
      </c>
      <c r="AA141" s="4">
        <f>(Games[[#This Row],[Keff]]*Games[[#This Row],[MOVMult]])*(Games[[#This Row],[Result]]-Games[[#This Row],[ExpectedWin%]])</f>
        <v>-24.636711523458668</v>
      </c>
      <c r="AB141" s="4">
        <f>Games[[#This Row],[PreGmRate]]+Games[[#This Row],[RatingChange]]</f>
        <v>1482.2587145486793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38527</v>
      </c>
      <c r="B142" s="2">
        <v>2005</v>
      </c>
      <c r="C142" s="2">
        <f>COUNTIFS(Games[Team],Games[[#This Row],[Team]],Games[Season],Games[[#This Row],[Season]],Games[Date],"&lt;=" &amp; Games[[#This Row],[Date]])</f>
        <v>12</v>
      </c>
      <c r="D142" s="2" t="s">
        <v>23</v>
      </c>
      <c r="E142" s="2" t="s">
        <v>29</v>
      </c>
      <c r="F142" s="1" t="s">
        <v>77</v>
      </c>
      <c r="G142" s="1" t="s">
        <v>79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42" s="2">
        <f>Games[[#This Row],[DaysOff]]-Games[[#This Row],[OppDaysOff]]</f>
        <v>-4</v>
      </c>
      <c r="L142" s="2">
        <f>Games[[#This Row],[OppDaysOff]]-Games[[#This Row],[DaysOff]]</f>
        <v>4</v>
      </c>
      <c r="M142" s="1">
        <f>MAX(-16, MIN(16, Games[[#This Row],[RestDiff]]*8))</f>
        <v>-16</v>
      </c>
      <c r="N142" s="1">
        <f>MAX(-16, MIN(16, Games[[#This Row],[OppRestDiff]]*8))</f>
        <v>16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1508.9294861942803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1507.5725372329232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0.34075343784864076</v>
      </c>
      <c r="R142" s="1">
        <v>55</v>
      </c>
      <c r="S142" s="1">
        <v>57</v>
      </c>
      <c r="T142" s="1">
        <v>0</v>
      </c>
      <c r="U142" s="1">
        <f>Games[[#This Row],[PointsFor]]-Games[[#This Row],[PointsAgainst]]</f>
        <v>-2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0.26753879040653245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74.2</v>
      </c>
      <c r="Z142" s="4">
        <f>Games[[#This Row],[K]]*Games[[#This Row],[POMult]]</f>
        <v>74.2</v>
      </c>
      <c r="AA142" s="4">
        <f>(Games[[#This Row],[Keff]]*Games[[#This Row],[MOVMult]])*(Games[[#This Row],[Result]]-Games[[#This Row],[ExpectedWin%]])</f>
        <v>-6.7644253840958513</v>
      </c>
      <c r="AB142" s="4">
        <f>Games[[#This Row],[PreGmRate]]+Games[[#This Row],[RatingChange]]</f>
        <v>1502.1650608101845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38527</v>
      </c>
      <c r="B143" s="2">
        <v>2005</v>
      </c>
      <c r="C143" s="2">
        <f>COUNTIFS(Games[Team],Games[[#This Row],[Team]],Games[Season],Games[[#This Row],[Season]],Games[Date],"&lt;=" &amp; Games[[#This Row],[Date]])</f>
        <v>12</v>
      </c>
      <c r="D143" s="2" t="s">
        <v>23</v>
      </c>
      <c r="E143" s="2" t="s">
        <v>29</v>
      </c>
      <c r="F143" s="1" t="s">
        <v>79</v>
      </c>
      <c r="G143" s="1" t="s">
        <v>77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4</v>
      </c>
      <c r="L143" s="2">
        <f>Games[[#This Row],[OppDaysOff]]-Games[[#This Row],[DaysOff]]</f>
        <v>-4</v>
      </c>
      <c r="M143" s="1">
        <f>MAX(-16, MIN(16, Games[[#This Row],[RestDiff]]*8))</f>
        <v>16</v>
      </c>
      <c r="N143" s="1">
        <f>MAX(-16, MIN(16, Games[[#This Row],[OppRestDiff]]*8))</f>
        <v>-16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1507.5725372329232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1508.9294861942803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0.65924656215135924</v>
      </c>
      <c r="R143" s="1">
        <v>57</v>
      </c>
      <c r="S143" s="1">
        <v>55</v>
      </c>
      <c r="T143" s="1">
        <v>0</v>
      </c>
      <c r="U143" s="1">
        <f>Games[[#This Row],[PointsFor]]-Games[[#This Row],[PointsAgainst]]</f>
        <v>2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0.26753879040653245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74.2</v>
      </c>
      <c r="Z143" s="4">
        <f>Games[[#This Row],[K]]*Games[[#This Row],[POMult]]</f>
        <v>74.2</v>
      </c>
      <c r="AA143" s="4">
        <f>(Games[[#This Row],[Keff]]*Games[[#This Row],[MOVMult]])*(Games[[#This Row],[Result]]-Games[[#This Row],[ExpectedWin%]])</f>
        <v>6.7644253840958513</v>
      </c>
      <c r="AB143" s="4">
        <f>Games[[#This Row],[PreGmRate]]+Games[[#This Row],[RatingChange]]</f>
        <v>1514.336962617019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38527</v>
      </c>
      <c r="B144" s="2">
        <v>2005</v>
      </c>
      <c r="C144" s="2">
        <f>COUNTIFS(Games[Team],Games[[#This Row],[Team]],Games[Season],Games[[#This Row],[Season]],Games[Date],"&lt;=" &amp; Games[[#This Row],[Date]])</f>
        <v>12</v>
      </c>
      <c r="D144" s="2" t="s">
        <v>23</v>
      </c>
      <c r="E144" s="2" t="s">
        <v>29</v>
      </c>
      <c r="F144" s="1" t="s">
        <v>81</v>
      </c>
      <c r="G144" s="1" t="s">
        <v>70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4" s="2">
        <f>Games[[#This Row],[DaysOff]]-Games[[#This Row],[OppDaysOff]]</f>
        <v>-2</v>
      </c>
      <c r="L144" s="2">
        <f>Games[[#This Row],[OppDaysOff]]-Games[[#This Row],[DaysOff]]</f>
        <v>2</v>
      </c>
      <c r="M144" s="1">
        <f>MAX(-16, MIN(16, Games[[#This Row],[RestDiff]]*8))</f>
        <v>-16</v>
      </c>
      <c r="N144" s="1">
        <f>MAX(-16, MIN(16, Games[[#This Row],[OppRestDiff]]*8))</f>
        <v>16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1579.3882430230206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1544.2834734874361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0.38564151733047952</v>
      </c>
      <c r="R144" s="1">
        <v>65</v>
      </c>
      <c r="S144" s="1">
        <v>76</v>
      </c>
      <c r="T144" s="1">
        <v>0</v>
      </c>
      <c r="U144" s="1">
        <f>Games[[#This Row],[PointsFor]]-Games[[#This Row],[PointsAgainst]]</f>
        <v>-11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0.42733473088895818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74.2</v>
      </c>
      <c r="Z144" s="4">
        <f>Games[[#This Row],[K]]*Games[[#This Row],[POMult]]</f>
        <v>74.2</v>
      </c>
      <c r="AA144" s="4">
        <f>(Games[[#This Row],[Keff]]*Games[[#This Row],[MOVMult]])*(Games[[#This Row],[Result]]-Games[[#This Row],[ExpectedWin%]])</f>
        <v>-12.228012640879825</v>
      </c>
      <c r="AB144" s="4">
        <f>Games[[#This Row],[PreGmRate]]+Games[[#This Row],[RatingChange]]</f>
        <v>1567.1602303821408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38527</v>
      </c>
      <c r="B145" s="2">
        <v>2005</v>
      </c>
      <c r="C145" s="2">
        <f>COUNTIFS(Games[Team],Games[[#This Row],[Team]],Games[Season],Games[[#This Row],[Season]],Games[Date],"&lt;=" &amp; Games[[#This Row],[Date]])</f>
        <v>12</v>
      </c>
      <c r="D145" s="2" t="s">
        <v>23</v>
      </c>
      <c r="E145" s="2" t="s">
        <v>29</v>
      </c>
      <c r="F145" s="1" t="s">
        <v>70</v>
      </c>
      <c r="G145" s="1" t="s">
        <v>81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2</v>
      </c>
      <c r="L145" s="2">
        <f>Games[[#This Row],[OppDaysOff]]-Games[[#This Row],[DaysOff]]</f>
        <v>-2</v>
      </c>
      <c r="M145" s="1">
        <f>MAX(-16, MIN(16, Games[[#This Row],[RestDiff]]*8))</f>
        <v>16</v>
      </c>
      <c r="N145" s="1">
        <f>MAX(-16, MIN(16, Games[[#This Row],[OppRestDiff]]*8))</f>
        <v>-16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1544.2834734874361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1579.3882430230206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0.61435848266952042</v>
      </c>
      <c r="R145" s="1">
        <v>76</v>
      </c>
      <c r="S145" s="1">
        <v>65</v>
      </c>
      <c r="T145" s="1">
        <v>0</v>
      </c>
      <c r="U145" s="1">
        <f>Games[[#This Row],[PointsFor]]-Games[[#This Row],[PointsAgainst]]</f>
        <v>11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0.42733473088895818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74.2</v>
      </c>
      <c r="Z145" s="4">
        <f>Games[[#This Row],[K]]*Games[[#This Row],[POMult]]</f>
        <v>74.2</v>
      </c>
      <c r="AA145" s="4">
        <f>(Games[[#This Row],[Keff]]*Games[[#This Row],[MOVMult]])*(Games[[#This Row],[Result]]-Games[[#This Row],[ExpectedWin%]])</f>
        <v>12.228012640879827</v>
      </c>
      <c r="AB145" s="4">
        <f>Games[[#This Row],[PreGmRate]]+Games[[#This Row],[RatingChange]]</f>
        <v>1556.5114861283159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38527</v>
      </c>
      <c r="B146" s="2">
        <v>2005</v>
      </c>
      <c r="C146" s="2">
        <f>COUNTIFS(Games[Team],Games[[#This Row],[Team]],Games[Season],Games[[#This Row],[Season]],Games[Date],"&lt;=" &amp; Games[[#This Row],[Date]])</f>
        <v>11</v>
      </c>
      <c r="D146" s="2" t="s">
        <v>23</v>
      </c>
      <c r="E146" s="2" t="s">
        <v>29</v>
      </c>
      <c r="F146" s="1" t="s">
        <v>86</v>
      </c>
      <c r="G146" s="1" t="s">
        <v>45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46" s="2">
        <f>Games[[#This Row],[DaysOff]]-Games[[#This Row],[OppDaysOff]]</f>
        <v>-5</v>
      </c>
      <c r="L146" s="2">
        <f>Games[[#This Row],[OppDaysOff]]-Games[[#This Row],[DaysOff]]</f>
        <v>5</v>
      </c>
      <c r="M146" s="1">
        <f>MAX(-16, MIN(16, Games[[#This Row],[RestDiff]]*8))</f>
        <v>-16</v>
      </c>
      <c r="N146" s="1">
        <f>MAX(-16, MIN(16, Games[[#This Row],[OppRestDiff]]*8))</f>
        <v>16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1611.3167444147673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1604.9127238907752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0.34730985496188355</v>
      </c>
      <c r="R146" s="1">
        <v>61</v>
      </c>
      <c r="S146" s="1">
        <v>50</v>
      </c>
      <c r="T146" s="1">
        <v>0</v>
      </c>
      <c r="U146" s="1">
        <f>Games[[#This Row],[PointsFor]]-Games[[#This Row],[PointsAgainst]]</f>
        <v>11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0.43750116489160118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74.349999999999994</v>
      </c>
      <c r="Z146" s="4">
        <f>Games[[#This Row],[K]]*Games[[#This Row],[POMult]]</f>
        <v>74.349999999999994</v>
      </c>
      <c r="AA146" s="4">
        <f>(Games[[#This Row],[Keff]]*Games[[#This Row],[MOVMult]])*(Games[[#This Row],[Result]]-Games[[#This Row],[ExpectedWin%]])</f>
        <v>21.230843153359462</v>
      </c>
      <c r="AB146" s="4">
        <f>Games[[#This Row],[PreGmRate]]+Games[[#This Row],[RatingChange]]</f>
        <v>1632.5475875681268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38527</v>
      </c>
      <c r="B147" s="2">
        <v>2005</v>
      </c>
      <c r="C147" s="2">
        <f>COUNTIFS(Games[Team],Games[[#This Row],[Team]],Games[Season],Games[[#This Row],[Season]],Games[Date],"&lt;=" &amp; Games[[#This Row],[Date]])</f>
        <v>11</v>
      </c>
      <c r="D147" s="2" t="s">
        <v>23</v>
      </c>
      <c r="E147" s="2" t="s">
        <v>29</v>
      </c>
      <c r="F147" s="1" t="s">
        <v>45</v>
      </c>
      <c r="G147" s="1" t="s">
        <v>86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5</v>
      </c>
      <c r="L147" s="2">
        <f>Games[[#This Row],[OppDaysOff]]-Games[[#This Row],[DaysOff]]</f>
        <v>-5</v>
      </c>
      <c r="M147" s="1">
        <f>MAX(-16, MIN(16, Games[[#This Row],[RestDiff]]*8))</f>
        <v>16</v>
      </c>
      <c r="N147" s="1">
        <f>MAX(-16, MIN(16, Games[[#This Row],[OppRestDiff]]*8))</f>
        <v>-16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1604.9127238907752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1611.3167444147673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0.6526901450381164</v>
      </c>
      <c r="R147" s="1">
        <v>50</v>
      </c>
      <c r="S147" s="1">
        <v>61</v>
      </c>
      <c r="T147" s="1">
        <v>0</v>
      </c>
      <c r="U147" s="1">
        <f>Games[[#This Row],[PointsFor]]-Games[[#This Row],[PointsAgainst]]</f>
        <v>-11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0.43750116489160118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74.349999999999994</v>
      </c>
      <c r="Z147" s="4">
        <f>Games[[#This Row],[K]]*Games[[#This Row],[POMult]]</f>
        <v>74.349999999999994</v>
      </c>
      <c r="AA147" s="4">
        <f>(Games[[#This Row],[Keff]]*Games[[#This Row],[MOVMult]])*(Games[[#This Row],[Result]]-Games[[#This Row],[ExpectedWin%]])</f>
        <v>-21.230843153359462</v>
      </c>
      <c r="AB147" s="4">
        <f>Games[[#This Row],[PreGmRate]]+Games[[#This Row],[RatingChange]]</f>
        <v>1583.6818807374157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38528</v>
      </c>
      <c r="B148" s="2">
        <v>2005</v>
      </c>
      <c r="C148" s="2">
        <f>COUNTIFS(Games[Team],Games[[#This Row],[Team]],Games[Season],Games[[#This Row],[Season]],Games[Date],"&lt;=" &amp; Games[[#This Row],[Date]])</f>
        <v>10</v>
      </c>
      <c r="D148" s="2" t="s">
        <v>23</v>
      </c>
      <c r="E148" s="2" t="s">
        <v>29</v>
      </c>
      <c r="F148" s="1" t="s">
        <v>66</v>
      </c>
      <c r="G148" s="1" t="s">
        <v>64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2</v>
      </c>
      <c r="L148" s="2">
        <f>Games[[#This Row],[OppDaysOff]]-Games[[#This Row],[DaysOff]]</f>
        <v>-2</v>
      </c>
      <c r="M148" s="1">
        <f>MAX(-16, MIN(16, Games[[#This Row],[RestDiff]]*8))</f>
        <v>16</v>
      </c>
      <c r="N148" s="1">
        <f>MAX(-16, MIN(16, Games[[#This Row],[OppRestDiff]]*8))</f>
        <v>-16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1496.0712547877758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1363.3691639061294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0.61409503897700701</v>
      </c>
      <c r="R148" s="1">
        <v>61</v>
      </c>
      <c r="S148" s="1">
        <v>67</v>
      </c>
      <c r="T148" s="1">
        <v>0</v>
      </c>
      <c r="U148" s="1">
        <f>Games[[#This Row],[PointsFor]]-Games[[#This Row],[PointsAgainst]]</f>
        <v>-6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0.31630243262417568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74.5</v>
      </c>
      <c r="Z148" s="4">
        <f>Games[[#This Row],[K]]*Games[[#This Row],[POMult]]</f>
        <v>74.5</v>
      </c>
      <c r="AA148" s="4">
        <f>(Games[[#This Row],[Keff]]*Games[[#This Row],[MOVMult]])*(Games[[#This Row],[Result]]-Games[[#This Row],[ExpectedWin%]])</f>
        <v>-14.470861724469465</v>
      </c>
      <c r="AB148" s="4">
        <f>Games[[#This Row],[PreGmRate]]+Games[[#This Row],[RatingChange]]</f>
        <v>1481.6003930633065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38528</v>
      </c>
      <c r="B149" s="2">
        <v>2005</v>
      </c>
      <c r="C149" s="2">
        <f>COUNTIFS(Games[Team],Games[[#This Row],[Team]],Games[Season],Games[[#This Row],[Season]],Games[Date],"&lt;=" &amp; Games[[#This Row],[Date]])</f>
        <v>11</v>
      </c>
      <c r="D149" s="2" t="s">
        <v>23</v>
      </c>
      <c r="E149" s="2" t="s">
        <v>29</v>
      </c>
      <c r="F149" s="1" t="s">
        <v>64</v>
      </c>
      <c r="G149" s="1" t="s">
        <v>66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9" s="2">
        <f>Games[[#This Row],[DaysOff]]-Games[[#This Row],[OppDaysOff]]</f>
        <v>-2</v>
      </c>
      <c r="L149" s="2">
        <f>Games[[#This Row],[OppDaysOff]]-Games[[#This Row],[DaysOff]]</f>
        <v>2</v>
      </c>
      <c r="M149" s="1">
        <f>MAX(-16, MIN(16, Games[[#This Row],[RestDiff]]*8))</f>
        <v>-16</v>
      </c>
      <c r="N149" s="1">
        <f>MAX(-16, MIN(16, Games[[#This Row],[OppRestDiff]]*8))</f>
        <v>16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1363.3691639061294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1496.0712547877758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0.38590496102299299</v>
      </c>
      <c r="R149" s="1">
        <v>67</v>
      </c>
      <c r="S149" s="1">
        <v>61</v>
      </c>
      <c r="T149" s="1">
        <v>0</v>
      </c>
      <c r="U149" s="1">
        <f>Games[[#This Row],[PointsFor]]-Games[[#This Row],[PointsAgainst]]</f>
        <v>6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0.31630243262417568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74.349999999999994</v>
      </c>
      <c r="Z149" s="4">
        <f>Games[[#This Row],[K]]*Games[[#This Row],[POMult]]</f>
        <v>74.349999999999994</v>
      </c>
      <c r="AA149" s="4">
        <f>(Games[[#This Row],[Keff]]*Games[[#This Row],[MOVMult]])*(Games[[#This Row],[Result]]-Games[[#This Row],[ExpectedWin%]])</f>
        <v>14.441725761265834</v>
      </c>
      <c r="AB149" s="4">
        <f>Games[[#This Row],[PreGmRate]]+Games[[#This Row],[RatingChange]]</f>
        <v>1377.8108896673953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38528</v>
      </c>
      <c r="B150" s="2">
        <v>2005</v>
      </c>
      <c r="C150" s="2">
        <f>COUNTIFS(Games[Team],Games[[#This Row],[Team]],Games[Season],Games[[#This Row],[Season]],Games[Date],"&lt;=" &amp; Games[[#This Row],[Date]])</f>
        <v>14</v>
      </c>
      <c r="D150" s="2" t="s">
        <v>23</v>
      </c>
      <c r="E150" s="2" t="s">
        <v>29</v>
      </c>
      <c r="F150" s="1" t="s">
        <v>84</v>
      </c>
      <c r="G150" s="1" t="s">
        <v>2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50" s="2">
        <f>Games[[#This Row],[DaysOff]]-Games[[#This Row],[OppDaysOff]]</f>
        <v>-5</v>
      </c>
      <c r="L150" s="2">
        <f>Games[[#This Row],[OppDaysOff]]-Games[[#This Row],[DaysOff]]</f>
        <v>5</v>
      </c>
      <c r="M150" s="1">
        <f>MAX(-16, MIN(16, Games[[#This Row],[RestDiff]]*8))</f>
        <v>-16</v>
      </c>
      <c r="N150" s="1">
        <f>MAX(-16, MIN(16, Games[[#This Row],[OppRestDiff]]*8))</f>
        <v>16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1393.2615805080954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1471.2038392979932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0.24667568307427906</v>
      </c>
      <c r="R150" s="1">
        <v>44</v>
      </c>
      <c r="S150" s="1">
        <v>62</v>
      </c>
      <c r="T150" s="1">
        <v>0</v>
      </c>
      <c r="U150" s="1">
        <f>Games[[#This Row],[PointsFor]]-Games[[#This Row],[PointsAgainst]]</f>
        <v>-18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0.51348229079845242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73.900000000000006</v>
      </c>
      <c r="Z150" s="4">
        <f>Games[[#This Row],[K]]*Games[[#This Row],[POMult]]</f>
        <v>73.900000000000006</v>
      </c>
      <c r="AA150" s="4">
        <f>(Games[[#This Row],[Keff]]*Games[[#This Row],[MOVMult]])*(Games[[#This Row],[Result]]-Games[[#This Row],[ExpectedWin%]])</f>
        <v>-9.3604396578818587</v>
      </c>
      <c r="AB150" s="4">
        <f>Games[[#This Row],[PreGmRate]]+Games[[#This Row],[RatingChange]]</f>
        <v>1383.9011408502136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38528</v>
      </c>
      <c r="B151" s="2">
        <v>2005</v>
      </c>
      <c r="C151" s="2">
        <f>COUNTIFS(Games[Team],Games[[#This Row],[Team]],Games[Season],Games[[#This Row],[Season]],Games[Date],"&lt;=" &amp; Games[[#This Row],[Date]])</f>
        <v>11</v>
      </c>
      <c r="D151" s="2" t="s">
        <v>23</v>
      </c>
      <c r="E151" s="2" t="s">
        <v>29</v>
      </c>
      <c r="F151" s="1" t="s">
        <v>2</v>
      </c>
      <c r="G151" s="1" t="s">
        <v>84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6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5</v>
      </c>
      <c r="L151" s="2">
        <f>Games[[#This Row],[OppDaysOff]]-Games[[#This Row],[DaysOff]]</f>
        <v>-5</v>
      </c>
      <c r="M151" s="1">
        <f>MAX(-16, MIN(16, Games[[#This Row],[RestDiff]]*8))</f>
        <v>16</v>
      </c>
      <c r="N151" s="1">
        <f>MAX(-16, MIN(16, Games[[#This Row],[OppRestDiff]]*8))</f>
        <v>-16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1471.2038392979932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1393.2615805080954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0.75332431692572088</v>
      </c>
      <c r="R151" s="1">
        <v>62</v>
      </c>
      <c r="S151" s="1">
        <v>44</v>
      </c>
      <c r="T151" s="1">
        <v>0</v>
      </c>
      <c r="U151" s="1">
        <f>Games[[#This Row],[PointsFor]]-Games[[#This Row],[PointsAgainst]]</f>
        <v>18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0.51348229079845242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74.349999999999994</v>
      </c>
      <c r="Z151" s="4">
        <f>Games[[#This Row],[K]]*Games[[#This Row],[POMult]]</f>
        <v>74.349999999999994</v>
      </c>
      <c r="AA151" s="4">
        <f>(Games[[#This Row],[Keff]]*Games[[#This Row],[MOVMult]])*(Games[[#This Row],[Result]]-Games[[#This Row],[ExpectedWin%]])</f>
        <v>9.4174382755550248</v>
      </c>
      <c r="AB151" s="4">
        <f>Games[[#This Row],[PreGmRate]]+Games[[#This Row],[RatingChange]]</f>
        <v>1480.6212775735482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38528</v>
      </c>
      <c r="B152" s="2">
        <v>2005</v>
      </c>
      <c r="C152" s="2">
        <f>COUNTIFS(Games[Team],Games[[#This Row],[Team]],Games[Season],Games[[#This Row],[Season]],Games[Date],"&lt;=" &amp; Games[[#This Row],[Date]])</f>
        <v>12</v>
      </c>
      <c r="D152" s="2" t="s">
        <v>23</v>
      </c>
      <c r="E152" s="2" t="s">
        <v>29</v>
      </c>
      <c r="F152" s="1" t="s">
        <v>86</v>
      </c>
      <c r="G152" s="1" t="s">
        <v>44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-2</v>
      </c>
      <c r="L152" s="2">
        <f>Games[[#This Row],[OppDaysOff]]-Games[[#This Row],[DaysOff]]</f>
        <v>2</v>
      </c>
      <c r="M152" s="1">
        <f>MAX(-16, MIN(16, Games[[#This Row],[RestDiff]]*8))</f>
        <v>-16</v>
      </c>
      <c r="N152" s="1">
        <f>MAX(-16, MIN(16, Games[[#This Row],[OppRestDiff]]*8))</f>
        <v>16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1632.5475875681268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1440.5067370714121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0.60771712564593328</v>
      </c>
      <c r="R152" s="1">
        <v>77</v>
      </c>
      <c r="S152" s="1">
        <v>69</v>
      </c>
      <c r="T152" s="1">
        <v>0</v>
      </c>
      <c r="U152" s="1">
        <f>Games[[#This Row],[PointsFor]]-Games[[#This Row],[PointsAgainst]]</f>
        <v>8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0.3347449479211288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74.2</v>
      </c>
      <c r="Z152" s="4">
        <f>Games[[#This Row],[K]]*Games[[#This Row],[POMult]]</f>
        <v>74.2</v>
      </c>
      <c r="AA152" s="4">
        <f>(Games[[#This Row],[Keff]]*Games[[#This Row],[MOVMult]])*(Games[[#This Row],[Result]]-Games[[#This Row],[ExpectedWin%]])</f>
        <v>9.7435515076734056</v>
      </c>
      <c r="AB152" s="4">
        <f>Games[[#This Row],[PreGmRate]]+Games[[#This Row],[RatingChange]]</f>
        <v>1642.2911390758002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38528</v>
      </c>
      <c r="B153" s="2">
        <v>2005</v>
      </c>
      <c r="C153" s="2">
        <f>COUNTIFS(Games[Team],Games[[#This Row],[Team]],Games[Season],Games[[#This Row],[Season]],Games[Date],"&lt;=" &amp; Games[[#This Row],[Date]])</f>
        <v>13</v>
      </c>
      <c r="D153" s="2" t="s">
        <v>23</v>
      </c>
      <c r="E153" s="2" t="s">
        <v>29</v>
      </c>
      <c r="F153" s="1" t="s">
        <v>44</v>
      </c>
      <c r="G153" s="1" t="s">
        <v>86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3" s="2">
        <f>Games[[#This Row],[DaysOff]]-Games[[#This Row],[OppDaysOff]]</f>
        <v>2</v>
      </c>
      <c r="L153" s="2">
        <f>Games[[#This Row],[OppDaysOff]]-Games[[#This Row],[DaysOff]]</f>
        <v>-2</v>
      </c>
      <c r="M153" s="1">
        <f>MAX(-16, MIN(16, Games[[#This Row],[RestDiff]]*8))</f>
        <v>16</v>
      </c>
      <c r="N153" s="1">
        <f>MAX(-16, MIN(16, Games[[#This Row],[OppRestDiff]]*8))</f>
        <v>-16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1440.5067370714121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1632.5475875681268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0.39228287435406667</v>
      </c>
      <c r="R153" s="1">
        <v>69</v>
      </c>
      <c r="S153" s="1">
        <v>77</v>
      </c>
      <c r="T153" s="1">
        <v>0</v>
      </c>
      <c r="U153" s="1">
        <f>Games[[#This Row],[PointsFor]]-Games[[#This Row],[PointsAgainst]]</f>
        <v>-8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0.3347449479211288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-9.723854301121504</v>
      </c>
      <c r="AB153" s="4">
        <f>Games[[#This Row],[PreGmRate]]+Games[[#This Row],[RatingChange]]</f>
        <v>1430.7828827702906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38529</v>
      </c>
      <c r="B154" s="2">
        <v>2005</v>
      </c>
      <c r="C154" s="2">
        <f>COUNTIFS(Games[Team],Games[[#This Row],[Team]],Games[Season],Games[[#This Row],[Season]],Games[Date],"&lt;=" &amp; Games[[#This Row],[Date]])</f>
        <v>13</v>
      </c>
      <c r="D154" s="2" t="s">
        <v>23</v>
      </c>
      <c r="E154" s="2" t="s">
        <v>29</v>
      </c>
      <c r="F154" s="1" t="s">
        <v>70</v>
      </c>
      <c r="G154" s="1" t="s">
        <v>75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0</v>
      </c>
      <c r="L154" s="2">
        <f>Games[[#This Row],[OppDaysOff]]-Games[[#This Row],[DaysOff]]</f>
        <v>0</v>
      </c>
      <c r="M154" s="1">
        <f>MAX(-16, MIN(16, Games[[#This Row],[RestDiff]]*8))</f>
        <v>0</v>
      </c>
      <c r="N154" s="1">
        <f>MAX(-16, MIN(16, Games[[#This Row],[OppRestDiff]]*8))</f>
        <v>0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1556.5114861283159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1482.2587145486793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0.48597628973693791</v>
      </c>
      <c r="R154" s="1">
        <v>73</v>
      </c>
      <c r="S154" s="1">
        <v>79</v>
      </c>
      <c r="T154" s="1">
        <v>0</v>
      </c>
      <c r="U154" s="1">
        <f>Games[[#This Row],[PointsFor]]-Games[[#This Row],[PointsAgainst]]</f>
        <v>-6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0.33081106253873693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-11.904746942100529</v>
      </c>
      <c r="AB154" s="4">
        <f>Games[[#This Row],[PreGmRate]]+Games[[#This Row],[RatingChange]]</f>
        <v>1544.6067391862155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38529</v>
      </c>
      <c r="B155" s="2">
        <v>2005</v>
      </c>
      <c r="C155" s="2">
        <f>COUNTIFS(Games[Team],Games[[#This Row],[Team]],Games[Season],Games[[#This Row],[Season]],Games[Date],"&lt;=" &amp; Games[[#This Row],[Date]])</f>
        <v>11</v>
      </c>
      <c r="D155" s="2" t="s">
        <v>23</v>
      </c>
      <c r="E155" s="2" t="s">
        <v>29</v>
      </c>
      <c r="F155" s="1" t="s">
        <v>75</v>
      </c>
      <c r="G155" s="1" t="s">
        <v>70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0</v>
      </c>
      <c r="L155" s="2">
        <f>Games[[#This Row],[OppDaysOff]]-Games[[#This Row],[DaysOff]]</f>
        <v>0</v>
      </c>
      <c r="M155" s="1">
        <f>MAX(-16, MIN(16, Games[[#This Row],[RestDiff]]*8))</f>
        <v>0</v>
      </c>
      <c r="N155" s="1">
        <f>MAX(-16, MIN(16, Games[[#This Row],[OppRestDiff]]*8))</f>
        <v>0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1482.2587145486793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1556.5114861283159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0.51402371026306204</v>
      </c>
      <c r="R155" s="1">
        <v>79</v>
      </c>
      <c r="S155" s="1">
        <v>73</v>
      </c>
      <c r="T155" s="1">
        <v>0</v>
      </c>
      <c r="U155" s="1">
        <f>Games[[#This Row],[PointsFor]]-Games[[#This Row],[PointsAgainst]]</f>
        <v>6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0.33081106253873693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74.349999999999994</v>
      </c>
      <c r="Z155" s="4">
        <f>Games[[#This Row],[K]]*Games[[#This Row],[POMult]]</f>
        <v>74.349999999999994</v>
      </c>
      <c r="AA155" s="4">
        <f>(Games[[#This Row],[Keff]]*Games[[#This Row],[MOVMult]])*(Games[[#This Row],[Result]]-Games[[#This Row],[ExpectedWin%]])</f>
        <v>11.952976841933481</v>
      </c>
      <c r="AB155" s="4">
        <f>Games[[#This Row],[PreGmRate]]+Games[[#This Row],[RatingChange]]</f>
        <v>1494.2116913906127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38529</v>
      </c>
      <c r="B156" s="2">
        <v>2005</v>
      </c>
      <c r="C156" s="2">
        <f>COUNTIFS(Games[Team],Games[[#This Row],[Team]],Games[Season],Games[[#This Row],[Season]],Games[Date],"&lt;=" &amp; Games[[#This Row],[Date]])</f>
        <v>13</v>
      </c>
      <c r="D156" s="2" t="s">
        <v>23</v>
      </c>
      <c r="E156" s="2" t="s">
        <v>29</v>
      </c>
      <c r="F156" s="1" t="s">
        <v>81</v>
      </c>
      <c r="G156" s="1" t="s">
        <v>77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1567.1602303821408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1502.1650608101845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0.47267709620194254</v>
      </c>
      <c r="R156" s="1">
        <v>70</v>
      </c>
      <c r="S156" s="1">
        <v>73</v>
      </c>
      <c r="T156" s="1">
        <v>0</v>
      </c>
      <c r="U156" s="1">
        <f>Games[[#This Row],[PointsFor]]-Games[[#This Row],[PointsAgainst]]</f>
        <v>-3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0.2752739565292403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74.05</v>
      </c>
      <c r="Z156" s="4">
        <f>Games[[#This Row],[K]]*Games[[#This Row],[POMult]]</f>
        <v>74.05</v>
      </c>
      <c r="AA156" s="4">
        <f>(Games[[#This Row],[Keff]]*Games[[#This Row],[MOVMult]])*(Games[[#This Row],[Result]]-Games[[#This Row],[ExpectedWin%]])</f>
        <v>-9.635067172708931</v>
      </c>
      <c r="AB156" s="4">
        <f>Games[[#This Row],[PreGmRate]]+Games[[#This Row],[RatingChange]]</f>
        <v>1557.5251632094319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38529</v>
      </c>
      <c r="B157" s="2">
        <v>2005</v>
      </c>
      <c r="C157" s="2">
        <f>COUNTIFS(Games[Team],Games[[#This Row],[Team]],Games[Season],Games[[#This Row],[Season]],Games[Date],"&lt;=" &amp; Games[[#This Row],[Date]])</f>
        <v>13</v>
      </c>
      <c r="D157" s="2" t="s">
        <v>23</v>
      </c>
      <c r="E157" s="2" t="s">
        <v>29</v>
      </c>
      <c r="F157" s="1" t="s">
        <v>77</v>
      </c>
      <c r="G157" s="1" t="s">
        <v>81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1502.1650608101845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1567.1602303821408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0.52732290379805746</v>
      </c>
      <c r="R157" s="1">
        <v>73</v>
      </c>
      <c r="S157" s="1">
        <v>70</v>
      </c>
      <c r="T157" s="1">
        <v>0</v>
      </c>
      <c r="U157" s="1">
        <f>Games[[#This Row],[PointsFor]]-Games[[#This Row],[PointsAgainst]]</f>
        <v>3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0.2752739565292403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74.05</v>
      </c>
      <c r="Z157" s="4">
        <f>Games[[#This Row],[K]]*Games[[#This Row],[POMult]]</f>
        <v>74.05</v>
      </c>
      <c r="AA157" s="4">
        <f>(Games[[#This Row],[Keff]]*Games[[#This Row],[MOVMult]])*(Games[[#This Row],[Result]]-Games[[#This Row],[ExpectedWin%]])</f>
        <v>9.635067172708931</v>
      </c>
      <c r="AB157" s="4">
        <f>Games[[#This Row],[PreGmRate]]+Games[[#This Row],[RatingChange]]</f>
        <v>1511.8001279828934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38529</v>
      </c>
      <c r="B158" s="2">
        <v>2005</v>
      </c>
      <c r="C158" s="2">
        <f>COUNTIFS(Games[Team],Games[[#This Row],[Team]],Games[Season],Games[[#This Row],[Season]],Games[Date],"&lt;=" &amp; Games[[#This Row],[Date]])</f>
        <v>12</v>
      </c>
      <c r="D158" s="2" t="s">
        <v>23</v>
      </c>
      <c r="E158" s="2" t="s">
        <v>29</v>
      </c>
      <c r="F158" s="1" t="s">
        <v>45</v>
      </c>
      <c r="G158" s="1" t="s">
        <v>73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1583.6818807374157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1506.641382072788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0.48998581182059214</v>
      </c>
      <c r="R158" s="1">
        <v>62</v>
      </c>
      <c r="S158" s="1">
        <v>57</v>
      </c>
      <c r="T158" s="1">
        <v>0</v>
      </c>
      <c r="U158" s="1">
        <f>Games[[#This Row],[PointsFor]]-Games[[#This Row],[PointsAgainst]]</f>
        <v>5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0.31174200894160281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74.2</v>
      </c>
      <c r="Z158" s="4">
        <f>Games[[#This Row],[K]]*Games[[#This Row],[POMult]]</f>
        <v>74.2</v>
      </c>
      <c r="AA158" s="4">
        <f>(Games[[#This Row],[Keff]]*Games[[#This Row],[MOVMult]])*(Games[[#This Row],[Result]]-Games[[#This Row],[ExpectedWin%]])</f>
        <v>11.797269292793278</v>
      </c>
      <c r="AB158" s="4">
        <f>Games[[#This Row],[PreGmRate]]+Games[[#This Row],[RatingChange]]</f>
        <v>1595.479150030209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38529</v>
      </c>
      <c r="B159" s="2">
        <v>2005</v>
      </c>
      <c r="C159" s="2">
        <f>COUNTIFS(Games[Team],Games[[#This Row],[Team]],Games[Season],Games[[#This Row],[Season]],Games[Date],"&lt;=" &amp; Games[[#This Row],[Date]])</f>
        <v>13</v>
      </c>
      <c r="D159" s="2" t="s">
        <v>23</v>
      </c>
      <c r="E159" s="2" t="s">
        <v>29</v>
      </c>
      <c r="F159" s="1" t="s">
        <v>73</v>
      </c>
      <c r="G159" s="1" t="s">
        <v>45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1506.641382072788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1583.6818807374157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0.5100141881794078</v>
      </c>
      <c r="R159" s="1">
        <v>57</v>
      </c>
      <c r="S159" s="1">
        <v>62</v>
      </c>
      <c r="T159" s="1">
        <v>0</v>
      </c>
      <c r="U159" s="1">
        <f>Games[[#This Row],[PointsFor]]-Games[[#This Row],[PointsAgainst]]</f>
        <v>-5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0.31174200894160281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74.05</v>
      </c>
      <c r="Z159" s="4">
        <f>Games[[#This Row],[K]]*Games[[#This Row],[POMult]]</f>
        <v>74.05</v>
      </c>
      <c r="AA159" s="4">
        <f>(Games[[#This Row],[Keff]]*Games[[#This Row],[MOVMult]])*(Games[[#This Row],[Result]]-Games[[#This Row],[ExpectedWin%]])</f>
        <v>-11.773420365651512</v>
      </c>
      <c r="AB159" s="4">
        <f>Games[[#This Row],[PreGmRate]]+Games[[#This Row],[RatingChange]]</f>
        <v>1494.8679617071366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38531</v>
      </c>
      <c r="B160" s="2">
        <v>2005</v>
      </c>
      <c r="C160" s="2">
        <f>COUNTIFS(Games[Team],Games[[#This Row],[Team]],Games[Season],Games[[#This Row],[Season]],Games[Date],"&lt;=" &amp; Games[[#This Row],[Date]])</f>
        <v>14</v>
      </c>
      <c r="D160" s="2" t="s">
        <v>23</v>
      </c>
      <c r="E160" s="2" t="s">
        <v>29</v>
      </c>
      <c r="F160" s="1" t="s">
        <v>73</v>
      </c>
      <c r="G160" s="1" t="s">
        <v>64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0" s="2">
        <f>Games[[#This Row],[DaysOff]]-Games[[#This Row],[OppDaysOff]]</f>
        <v>-1</v>
      </c>
      <c r="L160" s="2">
        <f>Games[[#This Row],[OppDaysOff]]-Games[[#This Row],[DaysOff]]</f>
        <v>1</v>
      </c>
      <c r="M160" s="1">
        <f>MAX(-16, MIN(16, Games[[#This Row],[RestDiff]]*8))</f>
        <v>-8</v>
      </c>
      <c r="N160" s="1">
        <f>MAX(-16, MIN(16, Games[[#This Row],[OppRestDiff]]*8))</f>
        <v>8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1494.8679617071366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1377.8108896673953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0.52452739740436305</v>
      </c>
      <c r="R160" s="1">
        <v>66</v>
      </c>
      <c r="S160" s="1">
        <v>61</v>
      </c>
      <c r="T160" s="1">
        <v>1</v>
      </c>
      <c r="U160" s="1">
        <f>Games[[#This Row],[PointsFor]]-Games[[#This Row],[PointsAgainst]]</f>
        <v>5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0.27204322508458173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73.900000000000006</v>
      </c>
      <c r="Z160" s="4">
        <f>Games[[#This Row],[K]]*Games[[#This Row],[POMult]]</f>
        <v>73.900000000000006</v>
      </c>
      <c r="AA160" s="4">
        <f>(Games[[#This Row],[Keff]]*Games[[#This Row],[MOVMult]])*(Games[[#This Row],[Result]]-Games[[#This Row],[ExpectedWin%]])</f>
        <v>9.5588985084363323</v>
      </c>
      <c r="AB160" s="4">
        <f>Games[[#This Row],[PreGmRate]]+Games[[#This Row],[RatingChange]]</f>
        <v>1504.426860215573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38531</v>
      </c>
      <c r="B161" s="2">
        <v>2005</v>
      </c>
      <c r="C161" s="2">
        <f>COUNTIFS(Games[Team],Games[[#This Row],[Team]],Games[Season],Games[[#This Row],[Season]],Games[Date],"&lt;=" &amp; Games[[#This Row],[Date]])</f>
        <v>12</v>
      </c>
      <c r="D161" s="2" t="s">
        <v>23</v>
      </c>
      <c r="E161" s="2" t="s">
        <v>29</v>
      </c>
      <c r="F161" s="1" t="s">
        <v>64</v>
      </c>
      <c r="G161" s="1" t="s">
        <v>73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1</v>
      </c>
      <c r="L161" s="2">
        <f>Games[[#This Row],[OppDaysOff]]-Games[[#This Row],[DaysOff]]</f>
        <v>-1</v>
      </c>
      <c r="M161" s="1">
        <f>MAX(-16, MIN(16, Games[[#This Row],[RestDiff]]*8))</f>
        <v>8</v>
      </c>
      <c r="N161" s="1">
        <f>MAX(-16, MIN(16, Games[[#This Row],[OppRestDiff]]*8))</f>
        <v>-8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1377.8108896673953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1494.8679617071366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0.47547260259563695</v>
      </c>
      <c r="R161" s="1">
        <v>61</v>
      </c>
      <c r="S161" s="1">
        <v>66</v>
      </c>
      <c r="T161" s="1">
        <v>1</v>
      </c>
      <c r="U161" s="1">
        <f>Games[[#This Row],[PointsFor]]-Games[[#This Row],[PointsAgainst]]</f>
        <v>-5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0.27204322508458173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74.2</v>
      </c>
      <c r="Z161" s="4">
        <f>Games[[#This Row],[K]]*Games[[#This Row],[POMult]]</f>
        <v>74.2</v>
      </c>
      <c r="AA161" s="4">
        <f>(Games[[#This Row],[Keff]]*Games[[#This Row],[MOVMult]])*(Games[[#This Row],[Result]]-Games[[#This Row],[ExpectedWin%]])</f>
        <v>-9.5977032385111745</v>
      </c>
      <c r="AB161" s="4">
        <f>Games[[#This Row],[PreGmRate]]+Games[[#This Row],[RatingChange]]</f>
        <v>1368.213186428884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38531</v>
      </c>
      <c r="B162" s="2">
        <v>2005</v>
      </c>
      <c r="C162" s="2">
        <f>COUNTIFS(Games[Team],Games[[#This Row],[Team]],Games[Season],Games[[#This Row],[Season]],Games[Date],"&lt;=" &amp; Games[[#This Row],[Date]])</f>
        <v>13</v>
      </c>
      <c r="D162" s="2" t="s">
        <v>23</v>
      </c>
      <c r="E162" s="2" t="s">
        <v>29</v>
      </c>
      <c r="F162" s="1" t="s">
        <v>45</v>
      </c>
      <c r="G162" s="1" t="s">
        <v>86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2" s="2">
        <f>Games[[#This Row],[DaysOff]]-Games[[#This Row],[OppDaysOff]]</f>
        <v>-1</v>
      </c>
      <c r="L162" s="2">
        <f>Games[[#This Row],[OppDaysOff]]-Games[[#This Row],[DaysOff]]</f>
        <v>1</v>
      </c>
      <c r="M162" s="1">
        <f>MAX(-16, MIN(16, Games[[#This Row],[RestDiff]]*8))</f>
        <v>-8</v>
      </c>
      <c r="N162" s="1">
        <f>MAX(-16, MIN(16, Games[[#This Row],[OppRestDiff]]*8))</f>
        <v>8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1595.479150030209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1642.2911390758002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0.30045802404826044</v>
      </c>
      <c r="R162" s="1">
        <v>66</v>
      </c>
      <c r="S162" s="1">
        <v>70</v>
      </c>
      <c r="T162" s="1">
        <v>0</v>
      </c>
      <c r="U162" s="1">
        <f>Games[[#This Row],[PointsFor]]-Games[[#This Row],[PointsAgainst]]</f>
        <v>-4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0.29973988473653485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-6.6688877214078719</v>
      </c>
      <c r="AB162" s="4">
        <f>Games[[#This Row],[PreGmRate]]+Games[[#This Row],[RatingChange]]</f>
        <v>1588.8102623088012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38531</v>
      </c>
      <c r="B163" s="2">
        <v>2005</v>
      </c>
      <c r="C163" s="2">
        <f>COUNTIFS(Games[Team],Games[[#This Row],[Team]],Games[Season],Games[[#This Row],[Season]],Games[Date],"&lt;=" &amp; Games[[#This Row],[Date]])</f>
        <v>13</v>
      </c>
      <c r="D163" s="2" t="s">
        <v>23</v>
      </c>
      <c r="E163" s="2" t="s">
        <v>29</v>
      </c>
      <c r="F163" s="1" t="s">
        <v>86</v>
      </c>
      <c r="G163" s="1" t="s">
        <v>45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1</v>
      </c>
      <c r="L163" s="2">
        <f>Games[[#This Row],[OppDaysOff]]-Games[[#This Row],[DaysOff]]</f>
        <v>-1</v>
      </c>
      <c r="M163" s="1">
        <f>MAX(-16, MIN(16, Games[[#This Row],[RestDiff]]*8))</f>
        <v>8</v>
      </c>
      <c r="N163" s="1">
        <f>MAX(-16, MIN(16, Games[[#This Row],[OppRestDiff]]*8))</f>
        <v>-8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1642.2911390758002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1595.479150030209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0.6995419759517395</v>
      </c>
      <c r="R163" s="1">
        <v>70</v>
      </c>
      <c r="S163" s="1">
        <v>66</v>
      </c>
      <c r="T163" s="1">
        <v>0</v>
      </c>
      <c r="U163" s="1">
        <f>Games[[#This Row],[PointsFor]]-Games[[#This Row],[PointsAgainst]]</f>
        <v>4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0.29973988473653485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74.05</v>
      </c>
      <c r="Z163" s="4">
        <f>Games[[#This Row],[K]]*Games[[#This Row],[POMult]]</f>
        <v>74.05</v>
      </c>
      <c r="AA163" s="4">
        <f>(Games[[#This Row],[Keff]]*Games[[#This Row],[MOVMult]])*(Games[[#This Row],[Result]]-Games[[#This Row],[ExpectedWin%]])</f>
        <v>6.6688877214078728</v>
      </c>
      <c r="AB163" s="4">
        <f>Games[[#This Row],[PreGmRate]]+Games[[#This Row],[RatingChange]]</f>
        <v>1648.960026797208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38531</v>
      </c>
      <c r="B164" s="2">
        <v>2005</v>
      </c>
      <c r="C164" s="2">
        <f>COUNTIFS(Games[Team],Games[[#This Row],[Team]],Games[Season],Games[[#This Row],[Season]],Games[Date],"&lt;=" &amp; Games[[#This Row],[Date]])</f>
        <v>14</v>
      </c>
      <c r="D164" s="2" t="s">
        <v>23</v>
      </c>
      <c r="E164" s="2" t="s">
        <v>29</v>
      </c>
      <c r="F164" s="1" t="s">
        <v>81</v>
      </c>
      <c r="G164" s="1" t="s">
        <v>2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4" s="2">
        <f>Games[[#This Row],[DaysOff]]-Games[[#This Row],[OppDaysOff]]</f>
        <v>-1</v>
      </c>
      <c r="L164" s="2">
        <f>Games[[#This Row],[OppDaysOff]]-Games[[#This Row],[DaysOff]]</f>
        <v>1</v>
      </c>
      <c r="M164" s="1">
        <f>MAX(-16, MIN(16, Games[[#This Row],[RestDiff]]*8))</f>
        <v>-8</v>
      </c>
      <c r="N164" s="1">
        <f>MAX(-16, MIN(16, Games[[#This Row],[OppRestDiff]]*8))</f>
        <v>8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1557.5251632094319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1480.6212775735482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0.46681089334734699</v>
      </c>
      <c r="R164" s="1">
        <v>67</v>
      </c>
      <c r="S164" s="1">
        <v>71</v>
      </c>
      <c r="T164" s="1">
        <v>0</v>
      </c>
      <c r="U164" s="1">
        <f>Games[[#This Row],[PointsFor]]-Games[[#This Row],[PointsAgainst]]</f>
        <v>-4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0.29267612550066541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-10.096543426513394</v>
      </c>
      <c r="AB164" s="4">
        <f>Games[[#This Row],[PreGmRate]]+Games[[#This Row],[RatingChange]]</f>
        <v>1547.4286197829185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38531</v>
      </c>
      <c r="B165" s="2">
        <v>2005</v>
      </c>
      <c r="C165" s="2">
        <f>COUNTIFS(Games[Team],Games[[#This Row],[Team]],Games[Season],Games[[#This Row],[Season]],Games[Date],"&lt;=" &amp; Games[[#This Row],[Date]])</f>
        <v>12</v>
      </c>
      <c r="D165" s="2" t="s">
        <v>23</v>
      </c>
      <c r="E165" s="2" t="s">
        <v>29</v>
      </c>
      <c r="F165" s="1" t="s">
        <v>2</v>
      </c>
      <c r="G165" s="1" t="s">
        <v>81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1</v>
      </c>
      <c r="L165" s="2">
        <f>Games[[#This Row],[OppDaysOff]]-Games[[#This Row],[DaysOff]]</f>
        <v>-1</v>
      </c>
      <c r="M165" s="1">
        <f>MAX(-16, MIN(16, Games[[#This Row],[RestDiff]]*8))</f>
        <v>8</v>
      </c>
      <c r="N165" s="1">
        <f>MAX(-16, MIN(16, Games[[#This Row],[OppRestDiff]]*8))</f>
        <v>-8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1480.6212775735482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1557.5251632094319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0.53318910665265296</v>
      </c>
      <c r="R165" s="1">
        <v>71</v>
      </c>
      <c r="S165" s="1">
        <v>67</v>
      </c>
      <c r="T165" s="1">
        <v>0</v>
      </c>
      <c r="U165" s="1">
        <f>Games[[#This Row],[PointsFor]]-Games[[#This Row],[PointsAgainst]]</f>
        <v>4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0.29267612550066541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74.2</v>
      </c>
      <c r="Z165" s="4">
        <f>Games[[#This Row],[K]]*Games[[#This Row],[POMult]]</f>
        <v>74.2</v>
      </c>
      <c r="AA165" s="4">
        <f>(Games[[#This Row],[Keff]]*Games[[#This Row],[MOVMult]])*(Games[[#This Row],[Result]]-Games[[#This Row],[ExpectedWin%]])</f>
        <v>10.137530747595315</v>
      </c>
      <c r="AB165" s="4">
        <f>Games[[#This Row],[PreGmRate]]+Games[[#This Row],[RatingChange]]</f>
        <v>1490.7588083211435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38531</v>
      </c>
      <c r="B166" s="2">
        <v>2005</v>
      </c>
      <c r="C166" s="2">
        <f>COUNTIFS(Games[Team],Games[[#This Row],[Team]],Games[Season],Games[[#This Row],[Season]],Games[Date],"&lt;=" &amp; Games[[#This Row],[Date]])</f>
        <v>14</v>
      </c>
      <c r="D166" s="2" t="s">
        <v>23</v>
      </c>
      <c r="E166" s="2" t="s">
        <v>29</v>
      </c>
      <c r="F166" s="1" t="s">
        <v>70</v>
      </c>
      <c r="G166" s="1" t="s">
        <v>79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6" s="2">
        <f>Games[[#This Row],[DaysOff]]-Games[[#This Row],[OppDaysOff]]</f>
        <v>-2</v>
      </c>
      <c r="L166" s="2">
        <f>Games[[#This Row],[OppDaysOff]]-Games[[#This Row],[DaysOff]]</f>
        <v>2</v>
      </c>
      <c r="M166" s="1">
        <f>MAX(-16, MIN(16, Games[[#This Row],[RestDiff]]*8))</f>
        <v>-16</v>
      </c>
      <c r="N166" s="1">
        <f>MAX(-16, MIN(16, Games[[#This Row],[OppRestDiff]]*8))</f>
        <v>16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1544.6067391862155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1514.336962617019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0.37906873681768483</v>
      </c>
      <c r="R166" s="1">
        <v>61</v>
      </c>
      <c r="S166" s="1">
        <v>58</v>
      </c>
      <c r="T166" s="1">
        <v>0</v>
      </c>
      <c r="U166" s="1">
        <f>Games[[#This Row],[PointsFor]]-Games[[#This Row],[PointsAgainst]]</f>
        <v>3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0.28304379409329006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73.900000000000006</v>
      </c>
      <c r="Z166" s="4">
        <f>Games[[#This Row],[K]]*Games[[#This Row],[POMult]]</f>
        <v>73.900000000000006</v>
      </c>
      <c r="AA166" s="4">
        <f>(Games[[#This Row],[Keff]]*Games[[#This Row],[MOVMult]])*(Games[[#This Row],[Result]]-Games[[#This Row],[ExpectedWin%]])</f>
        <v>12.98797973050714</v>
      </c>
      <c r="AB166" s="4">
        <f>Games[[#This Row],[PreGmRate]]+Games[[#This Row],[RatingChange]]</f>
        <v>1557.5947189167225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38531</v>
      </c>
      <c r="B167" s="2">
        <v>2005</v>
      </c>
      <c r="C167" s="2">
        <f>COUNTIFS(Games[Team],Games[[#This Row],[Team]],Games[Season],Games[[#This Row],[Season]],Games[Date],"&lt;=" &amp; Games[[#This Row],[Date]])</f>
        <v>13</v>
      </c>
      <c r="D167" s="2" t="s">
        <v>23</v>
      </c>
      <c r="E167" s="2" t="s">
        <v>29</v>
      </c>
      <c r="F167" s="1" t="s">
        <v>79</v>
      </c>
      <c r="G167" s="1" t="s">
        <v>70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2</v>
      </c>
      <c r="L167" s="2">
        <f>Games[[#This Row],[OppDaysOff]]-Games[[#This Row],[DaysOff]]</f>
        <v>-2</v>
      </c>
      <c r="M167" s="1">
        <f>MAX(-16, MIN(16, Games[[#This Row],[RestDiff]]*8))</f>
        <v>16</v>
      </c>
      <c r="N167" s="1">
        <f>MAX(-16, MIN(16, Games[[#This Row],[OppRestDiff]]*8))</f>
        <v>-16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1514.336962617019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1544.6067391862155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0.62093126318231517</v>
      </c>
      <c r="R167" s="1">
        <v>58</v>
      </c>
      <c r="S167" s="1">
        <v>61</v>
      </c>
      <c r="T167" s="1">
        <v>0</v>
      </c>
      <c r="U167" s="1">
        <f>Games[[#This Row],[PointsFor]]-Games[[#This Row],[PointsAgainst]]</f>
        <v>-3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0.28304379409329006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74.05</v>
      </c>
      <c r="Z167" s="4">
        <f>Games[[#This Row],[K]]*Games[[#This Row],[POMult]]</f>
        <v>74.05</v>
      </c>
      <c r="AA167" s="4">
        <f>(Games[[#This Row],[Keff]]*Games[[#This Row],[MOVMult]])*(Games[[#This Row],[Result]]-Games[[#This Row],[ExpectedWin%]])</f>
        <v>-13.014342341597478</v>
      </c>
      <c r="AB167" s="4">
        <f>Games[[#This Row],[PreGmRate]]+Games[[#This Row],[RatingChange]]</f>
        <v>1501.3226202754215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38531</v>
      </c>
      <c r="B168" s="2">
        <v>2005</v>
      </c>
      <c r="C168" s="2">
        <f>COUNTIFS(Games[Team],Games[[#This Row],[Team]],Games[Season],Games[[#This Row],[Season]],Games[Date],"&lt;=" &amp; Games[[#This Row],[Date]])</f>
        <v>15</v>
      </c>
      <c r="D168" s="2" t="s">
        <v>23</v>
      </c>
      <c r="E168" s="2" t="s">
        <v>29</v>
      </c>
      <c r="F168" s="1" t="s">
        <v>84</v>
      </c>
      <c r="G168" s="1" t="s">
        <v>77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1</v>
      </c>
      <c r="L168" s="2">
        <f>Games[[#This Row],[OppDaysOff]]-Games[[#This Row],[DaysOff]]</f>
        <v>-1</v>
      </c>
      <c r="M168" s="1">
        <f>MAX(-16, MIN(16, Games[[#This Row],[RestDiff]]*8))</f>
        <v>8</v>
      </c>
      <c r="N168" s="1">
        <f>MAX(-16, MIN(16, Games[[#This Row],[OppRestDiff]]*8))</f>
        <v>-8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1383.9011408502136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1511.8001279828934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0.24458853852569917</v>
      </c>
      <c r="R168" s="1">
        <v>53</v>
      </c>
      <c r="S168" s="1">
        <v>63</v>
      </c>
      <c r="T168" s="1">
        <v>0</v>
      </c>
      <c r="U168" s="1">
        <f>Games[[#This Row],[PointsFor]]-Games[[#This Row],[PointsAgainst]]</f>
        <v>-10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0.38237519880569593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73.75</v>
      </c>
      <c r="Z168" s="4">
        <f>Games[[#This Row],[K]]*Games[[#This Row],[POMult]]</f>
        <v>73.75</v>
      </c>
      <c r="AA168" s="4">
        <f>(Games[[#This Row],[Keff]]*Games[[#This Row],[MOVMult]])*(Games[[#This Row],[Result]]-Games[[#This Row],[ExpectedWin%]])</f>
        <v>-6.8974385895214647</v>
      </c>
      <c r="AB168" s="4">
        <f>Games[[#This Row],[PreGmRate]]+Games[[#This Row],[RatingChange]]</f>
        <v>1377.0037022606921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38531</v>
      </c>
      <c r="B169" s="2">
        <v>2005</v>
      </c>
      <c r="C169" s="2">
        <f>COUNTIFS(Games[Team],Games[[#This Row],[Team]],Games[Season],Games[[#This Row],[Season]],Games[Date],"&lt;=" &amp; Games[[#This Row],[Date]])</f>
        <v>14</v>
      </c>
      <c r="D169" s="2" t="s">
        <v>23</v>
      </c>
      <c r="E169" s="2" t="s">
        <v>29</v>
      </c>
      <c r="F169" s="1" t="s">
        <v>77</v>
      </c>
      <c r="G169" s="1" t="s">
        <v>84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9" s="2">
        <f>Games[[#This Row],[DaysOff]]-Games[[#This Row],[OppDaysOff]]</f>
        <v>-1</v>
      </c>
      <c r="L169" s="2">
        <f>Games[[#This Row],[OppDaysOff]]-Games[[#This Row],[DaysOff]]</f>
        <v>1</v>
      </c>
      <c r="M169" s="1">
        <f>MAX(-16, MIN(16, Games[[#This Row],[RestDiff]]*8))</f>
        <v>-8</v>
      </c>
      <c r="N169" s="1">
        <f>MAX(-16, MIN(16, Games[[#This Row],[OppRestDiff]]*8))</f>
        <v>8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1511.8001279828934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1383.9011408502136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0.75541146147430094</v>
      </c>
      <c r="R169" s="1">
        <v>63</v>
      </c>
      <c r="S169" s="1">
        <v>53</v>
      </c>
      <c r="T169" s="1">
        <v>0</v>
      </c>
      <c r="U169" s="1">
        <f>Games[[#This Row],[PointsFor]]-Games[[#This Row],[PointsAgainst]]</f>
        <v>10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0.38237519880569593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6.9114672781781152</v>
      </c>
      <c r="AB169" s="4">
        <f>Games[[#This Row],[PreGmRate]]+Games[[#This Row],[RatingChange]]</f>
        <v>1518.7115952610716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38533</v>
      </c>
      <c r="B170" s="2">
        <v>2005</v>
      </c>
      <c r="C170" s="2">
        <f>COUNTIFS(Games[Team],Games[[#This Row],[Team]],Games[Season],Games[[#This Row],[Season]],Games[Date],"&lt;=" &amp; Games[[#This Row],[Date]])</f>
        <v>15</v>
      </c>
      <c r="D170" s="2" t="s">
        <v>23</v>
      </c>
      <c r="E170" s="2" t="s">
        <v>29</v>
      </c>
      <c r="F170" s="1" t="s">
        <v>77</v>
      </c>
      <c r="G170" s="1" t="s">
        <v>86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1518.7115952610716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1648.960026797208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0.22560207981439812</v>
      </c>
      <c r="R170" s="1">
        <v>56</v>
      </c>
      <c r="S170" s="1">
        <v>71</v>
      </c>
      <c r="T170" s="1">
        <v>0</v>
      </c>
      <c r="U170" s="1">
        <f>Games[[#This Row],[PointsFor]]-Games[[#This Row],[PointsAgainst]]</f>
        <v>-15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0.45361273830460758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73.75</v>
      </c>
      <c r="Z170" s="4">
        <f>Games[[#This Row],[K]]*Games[[#This Row],[POMult]]</f>
        <v>73.75</v>
      </c>
      <c r="AA170" s="4">
        <f>(Games[[#This Row],[Keff]]*Games[[#This Row],[MOVMult]])*(Games[[#This Row],[Result]]-Games[[#This Row],[ExpectedWin%]])</f>
        <v>-7.5472783178970024</v>
      </c>
      <c r="AB170" s="4">
        <f>Games[[#This Row],[PreGmRate]]+Games[[#This Row],[RatingChange]]</f>
        <v>1511.1643169431745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38533</v>
      </c>
      <c r="B171" s="2">
        <v>2005</v>
      </c>
      <c r="C171" s="2">
        <f>COUNTIFS(Games[Team],Games[[#This Row],[Team]],Games[Season],Games[[#This Row],[Season]],Games[Date],"&lt;=" &amp; Games[[#This Row],[Date]])</f>
        <v>14</v>
      </c>
      <c r="D171" s="2" t="s">
        <v>23</v>
      </c>
      <c r="E171" s="2" t="s">
        <v>29</v>
      </c>
      <c r="F171" s="1" t="s">
        <v>86</v>
      </c>
      <c r="G171" s="1" t="s">
        <v>77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1648.960026797208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1518.7115952610716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0.77439792018560194</v>
      </c>
      <c r="R171" s="1">
        <v>71</v>
      </c>
      <c r="S171" s="1">
        <v>56</v>
      </c>
      <c r="T171" s="1">
        <v>0</v>
      </c>
      <c r="U171" s="1">
        <f>Games[[#This Row],[PointsFor]]-Games[[#This Row],[PointsAgainst]]</f>
        <v>15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0.45361273830460758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7.5626287144757756</v>
      </c>
      <c r="AB171" s="4">
        <f>Games[[#This Row],[PreGmRate]]+Games[[#This Row],[RatingChange]]</f>
        <v>1656.5226555116838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38533</v>
      </c>
      <c r="B172" s="2">
        <v>2005</v>
      </c>
      <c r="C172" s="2">
        <f>COUNTIFS(Games[Team],Games[[#This Row],[Team]],Games[Season],Games[[#This Row],[Season]],Games[Date],"&lt;=" &amp; Games[[#This Row],[Date]])</f>
        <v>14</v>
      </c>
      <c r="D172" s="2" t="s">
        <v>23</v>
      </c>
      <c r="E172" s="2" t="s">
        <v>29</v>
      </c>
      <c r="F172" s="1" t="s">
        <v>45</v>
      </c>
      <c r="G172" s="1" t="s">
        <v>66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2" s="2">
        <f>Games[[#This Row],[DaysOff]]-Games[[#This Row],[OppDaysOff]]</f>
        <v>-3</v>
      </c>
      <c r="L172" s="2">
        <f>Games[[#This Row],[OppDaysOff]]-Games[[#This Row],[DaysOff]]</f>
        <v>3</v>
      </c>
      <c r="M172" s="1">
        <f>MAX(-16, MIN(16, Games[[#This Row],[RestDiff]]*8))</f>
        <v>-16</v>
      </c>
      <c r="N172" s="1">
        <f>MAX(-16, MIN(16, Games[[#This Row],[OppRestDiff]]*8))</f>
        <v>16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1588.8102623088012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1481.6003930633065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0.4873526833394109</v>
      </c>
      <c r="R172" s="1">
        <v>61</v>
      </c>
      <c r="S172" s="1">
        <v>50</v>
      </c>
      <c r="T172" s="1">
        <v>0</v>
      </c>
      <c r="U172" s="1">
        <f>Games[[#This Row],[PointsFor]]-Games[[#This Row],[PointsAgainst]]</f>
        <v>11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0.40376314219062553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15.296419955233889</v>
      </c>
      <c r="AB172" s="4">
        <f>Games[[#This Row],[PreGmRate]]+Games[[#This Row],[RatingChange]]</f>
        <v>1604.106682264035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38533</v>
      </c>
      <c r="B173" s="2">
        <v>2005</v>
      </c>
      <c r="C173" s="2">
        <f>COUNTIFS(Games[Team],Games[[#This Row],[Team]],Games[Season],Games[[#This Row],[Season]],Games[Date],"&lt;=" &amp; Games[[#This Row],[Date]])</f>
        <v>11</v>
      </c>
      <c r="D173" s="2" t="s">
        <v>23</v>
      </c>
      <c r="E173" s="2" t="s">
        <v>29</v>
      </c>
      <c r="F173" s="1" t="s">
        <v>66</v>
      </c>
      <c r="G173" s="1" t="s">
        <v>45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3</v>
      </c>
      <c r="L173" s="2">
        <f>Games[[#This Row],[OppDaysOff]]-Games[[#This Row],[DaysOff]]</f>
        <v>-3</v>
      </c>
      <c r="M173" s="1">
        <f>MAX(-16, MIN(16, Games[[#This Row],[RestDiff]]*8))</f>
        <v>16</v>
      </c>
      <c r="N173" s="1">
        <f>MAX(-16, MIN(16, Games[[#This Row],[OppRestDiff]]*8))</f>
        <v>-16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1481.6003930633065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1588.8102623088012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0.51264731666058905</v>
      </c>
      <c r="R173" s="1">
        <v>50</v>
      </c>
      <c r="S173" s="1">
        <v>61</v>
      </c>
      <c r="T173" s="1">
        <v>0</v>
      </c>
      <c r="U173" s="1">
        <f>Games[[#This Row],[PointsFor]]-Games[[#This Row],[PointsAgainst]]</f>
        <v>-11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0.40376314219062553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74.349999999999994</v>
      </c>
      <c r="Z173" s="4">
        <f>Games[[#This Row],[K]]*Games[[#This Row],[POMult]]</f>
        <v>74.349999999999994</v>
      </c>
      <c r="AA173" s="4">
        <f>(Games[[#This Row],[Keff]]*Games[[#This Row],[MOVMult]])*(Games[[#This Row],[Result]]-Games[[#This Row],[ExpectedWin%]])</f>
        <v>-15.389564596368595</v>
      </c>
      <c r="AB173" s="4">
        <f>Games[[#This Row],[PreGmRate]]+Games[[#This Row],[RatingChange]]</f>
        <v>1466.2108284669378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38533</v>
      </c>
      <c r="B174" s="2">
        <v>2005</v>
      </c>
      <c r="C174" s="2">
        <f>COUNTIFS(Games[Team],Games[[#This Row],[Team]],Games[Season],Games[[#This Row],[Season]],Games[Date],"&lt;=" &amp; Games[[#This Row],[Date]])</f>
        <v>15</v>
      </c>
      <c r="D174" s="2" t="s">
        <v>23</v>
      </c>
      <c r="E174" s="2" t="s">
        <v>29</v>
      </c>
      <c r="F174" s="1" t="s">
        <v>81</v>
      </c>
      <c r="G174" s="1" t="s">
        <v>84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0</v>
      </c>
      <c r="L174" s="2">
        <f>Games[[#This Row],[OppDaysOff]]-Games[[#This Row],[DaysOff]]</f>
        <v>0</v>
      </c>
      <c r="M174" s="1">
        <f>MAX(-16, MIN(16, Games[[#This Row],[RestDiff]]*8))</f>
        <v>0</v>
      </c>
      <c r="N174" s="1">
        <f>MAX(-16, MIN(16, Games[[#This Row],[OppRestDiff]]*8))</f>
        <v>0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1547.4286197829185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1377.0037022606921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0.62187206954057939</v>
      </c>
      <c r="R174" s="1">
        <v>69</v>
      </c>
      <c r="S174" s="1">
        <v>81</v>
      </c>
      <c r="T174" s="1">
        <v>0</v>
      </c>
      <c r="U174" s="1">
        <f>Games[[#This Row],[PointsFor]]-Games[[#This Row],[PointsAgainst]]</f>
        <v>-12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0.39940556005175781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73.75</v>
      </c>
      <c r="Z174" s="4">
        <f>Games[[#This Row],[K]]*Games[[#This Row],[POMult]]</f>
        <v>73.75</v>
      </c>
      <c r="AA174" s="4">
        <f>(Games[[#This Row],[Keff]]*Games[[#This Row],[MOVMult]])*(Games[[#This Row],[Result]]-Games[[#This Row],[ExpectedWin%]])</f>
        <v>-18.317963213385809</v>
      </c>
      <c r="AB174" s="4">
        <f>Games[[#This Row],[PreGmRate]]+Games[[#This Row],[RatingChange]]</f>
        <v>1529.1106565695327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38533</v>
      </c>
      <c r="B175" s="2">
        <v>2005</v>
      </c>
      <c r="C175" s="2">
        <f>COUNTIFS(Games[Team],Games[[#This Row],[Team]],Games[Season],Games[[#This Row],[Season]],Games[Date],"&lt;=" &amp; Games[[#This Row],[Date]])</f>
        <v>16</v>
      </c>
      <c r="D175" s="2" t="s">
        <v>23</v>
      </c>
      <c r="E175" s="2" t="s">
        <v>29</v>
      </c>
      <c r="F175" s="1" t="s">
        <v>84</v>
      </c>
      <c r="G175" s="1" t="s">
        <v>81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0</v>
      </c>
      <c r="L175" s="2">
        <f>Games[[#This Row],[OppDaysOff]]-Games[[#This Row],[DaysOff]]</f>
        <v>0</v>
      </c>
      <c r="M175" s="1">
        <f>MAX(-16, MIN(16, Games[[#This Row],[RestDiff]]*8))</f>
        <v>0</v>
      </c>
      <c r="N175" s="1">
        <f>MAX(-16, MIN(16, Games[[#This Row],[OppRestDiff]]*8))</f>
        <v>0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1377.0037022606921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1547.4286197829185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0.37812793045942056</v>
      </c>
      <c r="R175" s="1">
        <v>81</v>
      </c>
      <c r="S175" s="1">
        <v>69</v>
      </c>
      <c r="T175" s="1">
        <v>0</v>
      </c>
      <c r="U175" s="1">
        <f>Games[[#This Row],[PointsFor]]-Games[[#This Row],[PointsAgainst]]</f>
        <v>12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0.39940556005175781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73.599999999999994</v>
      </c>
      <c r="Z175" s="4">
        <f>Games[[#This Row],[K]]*Games[[#This Row],[POMult]]</f>
        <v>73.599999999999994</v>
      </c>
      <c r="AA175" s="4">
        <f>(Games[[#This Row],[Keff]]*Games[[#This Row],[MOVMult]])*(Games[[#This Row],[Result]]-Games[[#This Row],[ExpectedWin%]])</f>
        <v>18.280706339053502</v>
      </c>
      <c r="AB175" s="4">
        <f>Games[[#This Row],[PreGmRate]]+Games[[#This Row],[RatingChange]]</f>
        <v>1395.2844085997456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38533</v>
      </c>
      <c r="B176" s="2">
        <v>2005</v>
      </c>
      <c r="C176" s="2">
        <f>COUNTIFS(Games[Team],Games[[#This Row],[Team]],Games[Season],Games[[#This Row],[Season]],Games[Date],"&lt;=" &amp; Games[[#This Row],[Date]])</f>
        <v>13</v>
      </c>
      <c r="D176" s="2" t="s">
        <v>23</v>
      </c>
      <c r="E176" s="2" t="s">
        <v>29</v>
      </c>
      <c r="F176" s="1" t="s">
        <v>64</v>
      </c>
      <c r="G176" s="1" t="s">
        <v>73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1368.213186428884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1504.426860215573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0.21965948910536315</v>
      </c>
      <c r="R176" s="1">
        <v>50</v>
      </c>
      <c r="S176" s="1">
        <v>65</v>
      </c>
      <c r="T176" s="1">
        <v>0</v>
      </c>
      <c r="U176" s="1">
        <f>Games[[#This Row],[PointsFor]]-Games[[#This Row],[PointsAgainst]]</f>
        <v>-15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0.45158768054250936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74.05</v>
      </c>
      <c r="Z176" s="4">
        <f>Games[[#This Row],[K]]*Games[[#This Row],[POMult]]</f>
        <v>74.05</v>
      </c>
      <c r="AA176" s="4">
        <f>(Games[[#This Row],[Keff]]*Games[[#This Row],[MOVMult]])*(Games[[#This Row],[Result]]-Games[[#This Row],[ExpectedWin%]])</f>
        <v>-7.3454281963337342</v>
      </c>
      <c r="AB176" s="4">
        <f>Games[[#This Row],[PreGmRate]]+Games[[#This Row],[RatingChange]]</f>
        <v>1360.8677582325502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38533</v>
      </c>
      <c r="B177" s="2">
        <v>2005</v>
      </c>
      <c r="C177" s="2">
        <f>COUNTIFS(Games[Team],Games[[#This Row],[Team]],Games[Season],Games[[#This Row],[Season]],Games[Date],"&lt;=" &amp; Games[[#This Row],[Date]])</f>
        <v>15</v>
      </c>
      <c r="D177" s="2" t="s">
        <v>23</v>
      </c>
      <c r="E177" s="2" t="s">
        <v>29</v>
      </c>
      <c r="F177" s="1" t="s">
        <v>73</v>
      </c>
      <c r="G177" s="1" t="s">
        <v>64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1504.426860215573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1368.213186428884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0.78034051089463685</v>
      </c>
      <c r="R177" s="1">
        <v>65</v>
      </c>
      <c r="S177" s="1">
        <v>50</v>
      </c>
      <c r="T177" s="1">
        <v>0</v>
      </c>
      <c r="U177" s="1">
        <f>Games[[#This Row],[PointsFor]]-Games[[#This Row],[PointsAgainst]]</f>
        <v>15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0.45158768054250936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73.75</v>
      </c>
      <c r="Z177" s="4">
        <f>Games[[#This Row],[K]]*Games[[#This Row],[POMult]]</f>
        <v>73.75</v>
      </c>
      <c r="AA177" s="4">
        <f>(Games[[#This Row],[Keff]]*Games[[#This Row],[MOVMult]])*(Games[[#This Row],[Result]]-Games[[#This Row],[ExpectedWin%]])</f>
        <v>7.3156695405754615</v>
      </c>
      <c r="AB177" s="4">
        <f>Games[[#This Row],[PreGmRate]]+Games[[#This Row],[RatingChange]]</f>
        <v>1511.7425297561485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38534</v>
      </c>
      <c r="B178" s="2">
        <v>2005</v>
      </c>
      <c r="C178" s="2">
        <f>COUNTIFS(Games[Team],Games[[#This Row],[Team]],Games[Season],Games[[#This Row],[Season]],Games[Date],"&lt;=" &amp; Games[[#This Row],[Date]])</f>
        <v>15</v>
      </c>
      <c r="D178" s="2" t="s">
        <v>23</v>
      </c>
      <c r="E178" s="2" t="s">
        <v>29</v>
      </c>
      <c r="F178" s="1" t="s">
        <v>45</v>
      </c>
      <c r="G178" s="1" t="s">
        <v>75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8" s="2">
        <f>Games[[#This Row],[DaysOff]]-Games[[#This Row],[OppDaysOff]]</f>
        <v>-4</v>
      </c>
      <c r="L178" s="2">
        <f>Games[[#This Row],[OppDaysOff]]-Games[[#This Row],[DaysOff]]</f>
        <v>4</v>
      </c>
      <c r="M178" s="1">
        <f>MAX(-16, MIN(16, Games[[#This Row],[RestDiff]]*8))</f>
        <v>-16</v>
      </c>
      <c r="N178" s="1">
        <f>MAX(-16, MIN(16, Games[[#This Row],[OppRestDiff]]*8))</f>
        <v>16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1604.106682264035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1494.2116913906127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0.49121508975095424</v>
      </c>
      <c r="R178" s="1">
        <v>80</v>
      </c>
      <c r="S178" s="1">
        <v>63</v>
      </c>
      <c r="T178" s="1">
        <v>0</v>
      </c>
      <c r="U178" s="1">
        <f>Games[[#This Row],[PointsFor]]-Games[[#This Row],[PointsAgainst]]</f>
        <v>17</v>
      </c>
      <c r="V178" s="1">
        <f>IF(Games[[#This Row],[MOV]]&gt;0,1,IF(Games[[#This Row],[MOV]]=0,0.5,0))</f>
        <v>1</v>
      </c>
      <c r="W178" s="4">
        <f>((ABS(Games[[#This Row],[MOV]])+5)^0.6)/(12+0.01*(ABS(Games[[#This Row],[PreGmRate]]-Games[[#This Row],[OppPreGmRate]])))*IF(Games[[#This Row],[OT]]=1,0.9,1)</f>
        <v>0.48777229270291778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73.75</v>
      </c>
      <c r="Z178" s="4">
        <f>Games[[#This Row],[K]]*Games[[#This Row],[POMult]]</f>
        <v>73.75</v>
      </c>
      <c r="AA178" s="4">
        <f>(Games[[#This Row],[Keff]]*Games[[#This Row],[MOVMult]])*(Games[[#This Row],[Result]]-Games[[#This Row],[ExpectedWin%]])</f>
        <v>18.302624684655868</v>
      </c>
      <c r="AB178" s="4">
        <f>Games[[#This Row],[PreGmRate]]+Games[[#This Row],[RatingChange]]</f>
        <v>1622.409306948691</v>
      </c>
      <c r="AC178" s="2">
        <f>IF(Games[[#This Row],[Type]]="R",IF(Games[[#This Row],[Result]]&gt;0.5,1,0),0)</f>
        <v>1</v>
      </c>
      <c r="AD178" s="2">
        <f>IF(Games[[#This Row],[Type]]="R",IF(Games[[#This Row],[Result]]&lt;0.5,1,0),0)</f>
        <v>0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38534</v>
      </c>
      <c r="B179" s="2">
        <v>2005</v>
      </c>
      <c r="C179" s="2">
        <f>COUNTIFS(Games[Team],Games[[#This Row],[Team]],Games[Season],Games[[#This Row],[Season]],Games[Date],"&lt;=" &amp; Games[[#This Row],[Date]])</f>
        <v>12</v>
      </c>
      <c r="D179" s="2" t="s">
        <v>23</v>
      </c>
      <c r="E179" s="2" t="s">
        <v>29</v>
      </c>
      <c r="F179" s="1" t="s">
        <v>75</v>
      </c>
      <c r="G179" s="1" t="s">
        <v>45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9" s="2">
        <f>Games[[#This Row],[DaysOff]]-Games[[#This Row],[OppDaysOff]]</f>
        <v>4</v>
      </c>
      <c r="L179" s="2">
        <f>Games[[#This Row],[OppDaysOff]]-Games[[#This Row],[DaysOff]]</f>
        <v>-4</v>
      </c>
      <c r="M179" s="1">
        <f>MAX(-16, MIN(16, Games[[#This Row],[RestDiff]]*8))</f>
        <v>16</v>
      </c>
      <c r="N179" s="1">
        <f>MAX(-16, MIN(16, Games[[#This Row],[OppRestDiff]]*8))</f>
        <v>-16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1494.2116913906127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1604.106682264035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0.50878491024904571</v>
      </c>
      <c r="R179" s="1">
        <v>63</v>
      </c>
      <c r="S179" s="1">
        <v>80</v>
      </c>
      <c r="T179" s="1">
        <v>0</v>
      </c>
      <c r="U179" s="1">
        <f>Games[[#This Row],[PointsFor]]-Games[[#This Row],[PointsAgainst]]</f>
        <v>-17</v>
      </c>
      <c r="V179" s="1">
        <f>IF(Games[[#This Row],[MOV]]&gt;0,1,IF(Games[[#This Row],[MOV]]=0,0.5,0))</f>
        <v>0</v>
      </c>
      <c r="W179" s="4">
        <f>((ABS(Games[[#This Row],[MOV]])+5)^0.6)/(12+0.01*(ABS(Games[[#This Row],[PreGmRate]]-Games[[#This Row],[OppPreGmRate]])))*IF(Games[[#This Row],[OT]]=1,0.9,1)</f>
        <v>0.48777229270291778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74.2</v>
      </c>
      <c r="Z179" s="4">
        <f>Games[[#This Row],[K]]*Games[[#This Row],[POMult]]</f>
        <v>74.2</v>
      </c>
      <c r="AA179" s="4">
        <f>(Games[[#This Row],[Keff]]*Games[[#This Row],[MOVMult]])*(Games[[#This Row],[Result]]-Games[[#This Row],[ExpectedWin%]])</f>
        <v>-18.414301716630035</v>
      </c>
      <c r="AB179" s="4">
        <f>Games[[#This Row],[PreGmRate]]+Games[[#This Row],[RatingChange]]</f>
        <v>1475.7973896739827</v>
      </c>
      <c r="AC179" s="2">
        <f>IF(Games[[#This Row],[Type]]="R",IF(Games[[#This Row],[Result]]&gt;0.5,1,0),0)</f>
        <v>0</v>
      </c>
      <c r="AD179" s="2">
        <f>IF(Games[[#This Row],[Type]]="R",IF(Games[[#This Row],[Result]]&lt;0.5,1,0),0)</f>
        <v>1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38535</v>
      </c>
      <c r="B180" s="2">
        <v>2005</v>
      </c>
      <c r="C180" s="2">
        <f>COUNTIFS(Games[Team],Games[[#This Row],[Team]],Games[Season],Games[[#This Row],[Season]],Games[Date],"&lt;=" &amp; Games[[#This Row],[Date]])</f>
        <v>14</v>
      </c>
      <c r="D180" s="2" t="s">
        <v>23</v>
      </c>
      <c r="E180" s="2" t="s">
        <v>29</v>
      </c>
      <c r="F180" s="1" t="s">
        <v>64</v>
      </c>
      <c r="G180" s="1" t="s">
        <v>2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0" s="2">
        <f>Games[[#This Row],[DaysOff]]-Games[[#This Row],[OppDaysOff]]</f>
        <v>-2</v>
      </c>
      <c r="L180" s="2">
        <f>Games[[#This Row],[OppDaysOff]]-Games[[#This Row],[DaysOff]]</f>
        <v>2</v>
      </c>
      <c r="M180" s="1">
        <f>MAX(-16, MIN(16, Games[[#This Row],[RestDiff]]*8))</f>
        <v>-16</v>
      </c>
      <c r="N180" s="1">
        <f>MAX(-16, MIN(16, Games[[#This Row],[OppRestDiff]]*8))</f>
        <v>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1360.8677582325502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1490.7588083211435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0.19537388001231457</v>
      </c>
      <c r="R180" s="1">
        <v>65</v>
      </c>
      <c r="S180" s="1">
        <v>75</v>
      </c>
      <c r="T180" s="1">
        <v>0</v>
      </c>
      <c r="U180" s="1">
        <f>Games[[#This Row],[PointsFor]]-Games[[#This Row],[PointsAgainst]]</f>
        <v>-10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0.38180243348875498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73.900000000000006</v>
      </c>
      <c r="Z180" s="4">
        <f>Games[[#This Row],[K]]*Games[[#This Row],[POMult]]</f>
        <v>73.900000000000006</v>
      </c>
      <c r="AA180" s="4">
        <f>(Games[[#This Row],[Keff]]*Games[[#This Row],[MOVMult]])*(Games[[#This Row],[Result]]-Games[[#This Row],[ExpectedWin%]])</f>
        <v>-5.5125130670514046</v>
      </c>
      <c r="AB180" s="4">
        <f>Games[[#This Row],[PreGmRate]]+Games[[#This Row],[RatingChange]]</f>
        <v>1355.3552451654987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38535</v>
      </c>
      <c r="B181" s="2">
        <v>2005</v>
      </c>
      <c r="C181" s="2">
        <f>COUNTIFS(Games[Team],Games[[#This Row],[Team]],Games[Season],Games[[#This Row],[Season]],Games[Date],"&lt;=" &amp; Games[[#This Row],[Date]])</f>
        <v>13</v>
      </c>
      <c r="D181" s="2" t="s">
        <v>23</v>
      </c>
      <c r="E181" s="2" t="s">
        <v>29</v>
      </c>
      <c r="F181" s="1" t="s">
        <v>2</v>
      </c>
      <c r="G181" s="1" t="s">
        <v>64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2</v>
      </c>
      <c r="L181" s="2">
        <f>Games[[#This Row],[OppDaysOff]]-Games[[#This Row],[DaysOff]]</f>
        <v>-2</v>
      </c>
      <c r="M181" s="1">
        <f>MAX(-16, MIN(16, Games[[#This Row],[RestDiff]]*8))</f>
        <v>16</v>
      </c>
      <c r="N181" s="1">
        <f>MAX(-16, MIN(16, Games[[#This Row],[OppRestDiff]]*8))</f>
        <v>-16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1490.7588083211435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1360.8677582325502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0.80462611998768541</v>
      </c>
      <c r="R181" s="1">
        <v>75</v>
      </c>
      <c r="S181" s="1">
        <v>65</v>
      </c>
      <c r="T181" s="1">
        <v>0</v>
      </c>
      <c r="U181" s="1">
        <f>Games[[#This Row],[PointsFor]]-Games[[#This Row],[PointsAgainst]]</f>
        <v>10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0.38180243348875498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74.05</v>
      </c>
      <c r="Z181" s="4">
        <f>Games[[#This Row],[K]]*Games[[#This Row],[POMult]]</f>
        <v>74.05</v>
      </c>
      <c r="AA181" s="4">
        <f>(Games[[#This Row],[Keff]]*Games[[#This Row],[MOVMult]])*(Games[[#This Row],[Result]]-Games[[#This Row],[ExpectedWin%]])</f>
        <v>5.5237022004757304</v>
      </c>
      <c r="AB181" s="4">
        <f>Games[[#This Row],[PreGmRate]]+Games[[#This Row],[RatingChange]]</f>
        <v>1496.2825105216193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38535</v>
      </c>
      <c r="B182" s="2">
        <v>2005</v>
      </c>
      <c r="C182" s="2">
        <f>COUNTIFS(Games[Team],Games[[#This Row],[Team]],Games[Season],Games[[#This Row],[Season]],Games[Date],"&lt;=" &amp; Games[[#This Row],[Date]])</f>
        <v>14</v>
      </c>
      <c r="D182" s="2" t="s">
        <v>23</v>
      </c>
      <c r="E182" s="2" t="s">
        <v>29</v>
      </c>
      <c r="F182" s="1" t="s">
        <v>44</v>
      </c>
      <c r="G182" s="1" t="s">
        <v>70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6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2" s="2">
        <f>Games[[#This Row],[DaysOff]]-Games[[#This Row],[OppDaysOff]]</f>
        <v>3</v>
      </c>
      <c r="L182" s="2">
        <f>Games[[#This Row],[OppDaysOff]]-Games[[#This Row],[DaysOff]]</f>
        <v>-3</v>
      </c>
      <c r="M182" s="1">
        <f>MAX(-16, MIN(16, Games[[#This Row],[RestDiff]]*8))</f>
        <v>16</v>
      </c>
      <c r="N182" s="1">
        <f>MAX(-16, MIN(16, Games[[#This Row],[OppRestDiff]]*8))</f>
        <v>-16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1430.7828827702906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1557.5947189167225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0.26321524567709614</v>
      </c>
      <c r="R182" s="1">
        <v>63</v>
      </c>
      <c r="S182" s="1">
        <v>86</v>
      </c>
      <c r="T182" s="1">
        <v>0</v>
      </c>
      <c r="U182" s="1">
        <f>Games[[#This Row],[PointsFor]]-Games[[#This Row],[PointsAgainst]]</f>
        <v>-23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0.55652602950764518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73.900000000000006</v>
      </c>
      <c r="Z182" s="4">
        <f>Games[[#This Row],[K]]*Games[[#This Row],[POMult]]</f>
        <v>73.900000000000006</v>
      </c>
      <c r="AA182" s="4">
        <f>(Games[[#This Row],[Keff]]*Games[[#This Row],[MOVMult]])*(Games[[#This Row],[Result]]-Games[[#This Row],[ExpectedWin%]])</f>
        <v>-10.825325419550719</v>
      </c>
      <c r="AB182" s="4">
        <f>Games[[#This Row],[PreGmRate]]+Games[[#This Row],[RatingChange]]</f>
        <v>1419.95755735074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38535</v>
      </c>
      <c r="B183" s="2">
        <v>2005</v>
      </c>
      <c r="C183" s="2">
        <f>COUNTIFS(Games[Team],Games[[#This Row],[Team]],Games[Season],Games[[#This Row],[Season]],Games[Date],"&lt;=" &amp; Games[[#This Row],[Date]])</f>
        <v>15</v>
      </c>
      <c r="D183" s="2" t="s">
        <v>23</v>
      </c>
      <c r="E183" s="2" t="s">
        <v>29</v>
      </c>
      <c r="F183" s="1" t="s">
        <v>70</v>
      </c>
      <c r="G183" s="1" t="s">
        <v>44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83" s="2">
        <f>Games[[#This Row],[DaysOff]]-Games[[#This Row],[OppDaysOff]]</f>
        <v>-3</v>
      </c>
      <c r="L183" s="2">
        <f>Games[[#This Row],[OppDaysOff]]-Games[[#This Row],[DaysOff]]</f>
        <v>3</v>
      </c>
      <c r="M183" s="1">
        <f>MAX(-16, MIN(16, Games[[#This Row],[RestDiff]]*8))</f>
        <v>-16</v>
      </c>
      <c r="N183" s="1">
        <f>MAX(-16, MIN(16, Games[[#This Row],[OppRestDiff]]*8))</f>
        <v>16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1557.5947189167225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1430.7828827702906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0.7367847543229038</v>
      </c>
      <c r="R183" s="1">
        <v>86</v>
      </c>
      <c r="S183" s="1">
        <v>63</v>
      </c>
      <c r="T183" s="1">
        <v>0</v>
      </c>
      <c r="U183" s="1">
        <f>Games[[#This Row],[PointsFor]]-Games[[#This Row],[PointsAgainst]]</f>
        <v>23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0.55652602950764518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73.75</v>
      </c>
      <c r="Z183" s="4">
        <f>Games[[#This Row],[K]]*Games[[#This Row],[POMult]]</f>
        <v>73.75</v>
      </c>
      <c r="AA183" s="4">
        <f>(Games[[#This Row],[Keff]]*Games[[#This Row],[MOVMult]])*(Games[[#This Row],[Result]]-Games[[#This Row],[ExpectedWin%]])</f>
        <v>10.803352499213336</v>
      </c>
      <c r="AB183" s="4">
        <f>Games[[#This Row],[PreGmRate]]+Games[[#This Row],[RatingChange]]</f>
        <v>1568.3980714159359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38535</v>
      </c>
      <c r="B184" s="2">
        <v>2005</v>
      </c>
      <c r="C184" s="2">
        <f>COUNTIFS(Games[Team],Games[[#This Row],[Team]],Games[Season],Games[[#This Row],[Season]],Games[Date],"&lt;=" &amp; Games[[#This Row],[Date]])</f>
        <v>12</v>
      </c>
      <c r="D184" s="2" t="s">
        <v>23</v>
      </c>
      <c r="E184" s="2" t="s">
        <v>29</v>
      </c>
      <c r="F184" s="1" t="s">
        <v>66</v>
      </c>
      <c r="G184" s="1" t="s">
        <v>84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1466.2108284669378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1395.2844085997456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0.48119448069808768</v>
      </c>
      <c r="R184" s="1">
        <v>57</v>
      </c>
      <c r="S184" s="1">
        <v>69</v>
      </c>
      <c r="T184" s="1">
        <v>0</v>
      </c>
      <c r="U184" s="1">
        <f>Games[[#This Row],[PointsFor]]-Games[[#This Row],[PointsAgainst]]</f>
        <v>-12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0.43067428856270512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74.2</v>
      </c>
      <c r="Z184" s="4">
        <f>Games[[#This Row],[K]]*Games[[#This Row],[POMult]]</f>
        <v>74.2</v>
      </c>
      <c r="AA184" s="4">
        <f>(Games[[#This Row],[Keff]]*Games[[#This Row],[MOVMult]])*(Games[[#This Row],[Result]]-Games[[#This Row],[ExpectedWin%]])</f>
        <v>-15.377066325113235</v>
      </c>
      <c r="AB184" s="4">
        <f>Games[[#This Row],[PreGmRate]]+Games[[#This Row],[RatingChange]]</f>
        <v>1450.8337621418245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38535</v>
      </c>
      <c r="B185" s="2">
        <v>2005</v>
      </c>
      <c r="C185" s="2">
        <f>COUNTIFS(Games[Team],Games[[#This Row],[Team]],Games[Season],Games[[#This Row],[Season]],Games[Date],"&lt;=" &amp; Games[[#This Row],[Date]])</f>
        <v>17</v>
      </c>
      <c r="D185" s="2" t="s">
        <v>23</v>
      </c>
      <c r="E185" s="2" t="s">
        <v>29</v>
      </c>
      <c r="F185" s="1" t="s">
        <v>84</v>
      </c>
      <c r="G185" s="1" t="s">
        <v>66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1395.2844085997456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1466.2108284669378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0.51880551930191232</v>
      </c>
      <c r="R185" s="1">
        <v>69</v>
      </c>
      <c r="S185" s="1">
        <v>57</v>
      </c>
      <c r="T185" s="1">
        <v>0</v>
      </c>
      <c r="U185" s="1">
        <f>Games[[#This Row],[PointsFor]]-Games[[#This Row],[PointsAgainst]]</f>
        <v>12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0.43067428856270512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73.45</v>
      </c>
      <c r="Z185" s="4">
        <f>Games[[#This Row],[K]]*Games[[#This Row],[POMult]]</f>
        <v>73.45</v>
      </c>
      <c r="AA185" s="4">
        <f>(Games[[#This Row],[Keff]]*Games[[#This Row],[MOVMult]])*(Games[[#This Row],[Result]]-Games[[#This Row],[ExpectedWin%]])</f>
        <v>15.221637757137023</v>
      </c>
      <c r="AB185" s="4">
        <f>Games[[#This Row],[PreGmRate]]+Games[[#This Row],[RatingChange]]</f>
        <v>1410.5060463568825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38536</v>
      </c>
      <c r="B186" s="2">
        <v>2005</v>
      </c>
      <c r="C186" s="2">
        <f>COUNTIFS(Games[Team],Games[[#This Row],[Team]],Games[Season],Games[[#This Row],[Season]],Games[Date],"&lt;=" &amp; Games[[#This Row],[Date]])</f>
        <v>16</v>
      </c>
      <c r="D186" s="2" t="s">
        <v>23</v>
      </c>
      <c r="E186" s="2" t="s">
        <v>29</v>
      </c>
      <c r="F186" s="1" t="s">
        <v>45</v>
      </c>
      <c r="G186" s="1" t="s">
        <v>81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6" s="2">
        <f>Games[[#This Row],[DaysOff]]-Games[[#This Row],[OppDaysOff]]</f>
        <v>-1</v>
      </c>
      <c r="L186" s="2">
        <f>Games[[#This Row],[OppDaysOff]]-Games[[#This Row],[DaysOff]]</f>
        <v>1</v>
      </c>
      <c r="M186" s="1">
        <f>MAX(-16, MIN(16, Games[[#This Row],[RestDiff]]*8))</f>
        <v>-8</v>
      </c>
      <c r="N186" s="1">
        <f>MAX(-16, MIN(16, Games[[#This Row],[OppRestDiff]]*8))</f>
        <v>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1622.409306948691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1529.1106565695327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0.49035717843368987</v>
      </c>
      <c r="R186" s="1">
        <v>67</v>
      </c>
      <c r="S186" s="1">
        <v>74</v>
      </c>
      <c r="T186" s="1">
        <v>0</v>
      </c>
      <c r="U186" s="1">
        <f>Games[[#This Row],[PointsFor]]-Games[[#This Row],[PointsAgainst]]</f>
        <v>-7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0.34340761652722529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73.599999999999994</v>
      </c>
      <c r="Z186" s="4">
        <f>Games[[#This Row],[K]]*Games[[#This Row],[POMult]]</f>
        <v>73.599999999999994</v>
      </c>
      <c r="AA186" s="4">
        <f>(Games[[#This Row],[Keff]]*Games[[#This Row],[MOVMult]])*(Games[[#This Row],[Result]]-Games[[#This Row],[ExpectedWin%]])</f>
        <v>-12.393679896119556</v>
      </c>
      <c r="AB186" s="4">
        <f>Games[[#This Row],[PreGmRate]]+Games[[#This Row],[RatingChange]]</f>
        <v>1610.0156270525715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38536</v>
      </c>
      <c r="B187" s="2">
        <v>2005</v>
      </c>
      <c r="C187" s="2">
        <f>COUNTIFS(Games[Team],Games[[#This Row],[Team]],Games[Season],Games[[#This Row],[Season]],Games[Date],"&lt;=" &amp; Games[[#This Row],[Date]])</f>
        <v>16</v>
      </c>
      <c r="D187" s="2" t="s">
        <v>23</v>
      </c>
      <c r="E187" s="2" t="s">
        <v>29</v>
      </c>
      <c r="F187" s="1" t="s">
        <v>81</v>
      </c>
      <c r="G187" s="1" t="s">
        <v>45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1</v>
      </c>
      <c r="L187" s="2">
        <f>Games[[#This Row],[OppDaysOff]]-Games[[#This Row],[DaysOff]]</f>
        <v>-1</v>
      </c>
      <c r="M187" s="1">
        <f>MAX(-16, MIN(16, Games[[#This Row],[RestDiff]]*8))</f>
        <v>8</v>
      </c>
      <c r="N187" s="1">
        <f>MAX(-16, MIN(16, Games[[#This Row],[OppRestDiff]]*8))</f>
        <v>-8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1529.1106565695327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1622.409306948691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0.50964282156631013</v>
      </c>
      <c r="R187" s="1">
        <v>74</v>
      </c>
      <c r="S187" s="1">
        <v>67</v>
      </c>
      <c r="T187" s="1">
        <v>0</v>
      </c>
      <c r="U187" s="1">
        <f>Games[[#This Row],[PointsFor]]-Games[[#This Row],[PointsAgainst]]</f>
        <v>7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0.34340761652722529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73.599999999999994</v>
      </c>
      <c r="Z187" s="4">
        <f>Games[[#This Row],[K]]*Games[[#This Row],[POMult]]</f>
        <v>73.599999999999994</v>
      </c>
      <c r="AA187" s="4">
        <f>(Games[[#This Row],[Keff]]*Games[[#This Row],[MOVMult]])*(Games[[#This Row],[Result]]-Games[[#This Row],[ExpectedWin%]])</f>
        <v>12.393679896119556</v>
      </c>
      <c r="AB187" s="4">
        <f>Games[[#This Row],[PreGmRate]]+Games[[#This Row],[RatingChange]]</f>
        <v>1541.5043364656522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38538</v>
      </c>
      <c r="B188" s="2">
        <v>2005</v>
      </c>
      <c r="C188" s="2">
        <f>COUNTIFS(Games[Team],Games[[#This Row],[Team]],Games[Season],Games[[#This Row],[Season]],Games[Date],"&lt;=" &amp; Games[[#This Row],[Date]])</f>
        <v>14</v>
      </c>
      <c r="D188" s="2" t="s">
        <v>23</v>
      </c>
      <c r="E188" s="2" t="s">
        <v>29</v>
      </c>
      <c r="F188" s="1" t="s">
        <v>2</v>
      </c>
      <c r="G188" s="1" t="s">
        <v>75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8" s="2">
        <f>Games[[#This Row],[DaysOff]]-Games[[#This Row],[OppDaysOff]]</f>
        <v>-1</v>
      </c>
      <c r="L188" s="2">
        <f>Games[[#This Row],[OppDaysOff]]-Games[[#This Row],[DaysOff]]</f>
        <v>1</v>
      </c>
      <c r="M188" s="1">
        <f>MAX(-16, MIN(16, Games[[#This Row],[RestDiff]]*8))</f>
        <v>-8</v>
      </c>
      <c r="N188" s="1">
        <f>MAX(-16, MIN(16, Games[[#This Row],[OppRestDiff]]*8))</f>
        <v>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1496.2825105216193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1475.7973896739827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0.38752578892572542</v>
      </c>
      <c r="R188" s="1">
        <v>75</v>
      </c>
      <c r="S188" s="1">
        <v>66</v>
      </c>
      <c r="T188" s="1">
        <v>0</v>
      </c>
      <c r="U188" s="1">
        <f>Games[[#This Row],[PointsFor]]-Games[[#This Row],[PointsAgainst]]</f>
        <v>9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0.39915753519252317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73.900000000000006</v>
      </c>
      <c r="Z188" s="4">
        <f>Games[[#This Row],[K]]*Games[[#This Row],[POMult]]</f>
        <v>73.900000000000006</v>
      </c>
      <c r="AA188" s="4">
        <f>(Games[[#This Row],[Keff]]*Games[[#This Row],[MOVMult]])*(Games[[#This Row],[Result]]-Games[[#This Row],[ExpectedWin%]])</f>
        <v>18.066606168496918</v>
      </c>
      <c r="AB188" s="4">
        <f>Games[[#This Row],[PreGmRate]]+Games[[#This Row],[RatingChange]]</f>
        <v>1514.3491166901163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38538</v>
      </c>
      <c r="B189" s="2">
        <v>2005</v>
      </c>
      <c r="C189" s="2">
        <f>COUNTIFS(Games[Team],Games[[#This Row],[Team]],Games[Season],Games[[#This Row],[Season]],Games[Date],"&lt;=" &amp; Games[[#This Row],[Date]])</f>
        <v>13</v>
      </c>
      <c r="D189" s="2" t="s">
        <v>23</v>
      </c>
      <c r="E189" s="2" t="s">
        <v>29</v>
      </c>
      <c r="F189" s="1" t="s">
        <v>75</v>
      </c>
      <c r="G189" s="1" t="s">
        <v>2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1</v>
      </c>
      <c r="L189" s="2">
        <f>Games[[#This Row],[OppDaysOff]]-Games[[#This Row],[DaysOff]]</f>
        <v>-1</v>
      </c>
      <c r="M189" s="1">
        <f>MAX(-16, MIN(16, Games[[#This Row],[RestDiff]]*8))</f>
        <v>8</v>
      </c>
      <c r="N189" s="1">
        <f>MAX(-16, MIN(16, Games[[#This Row],[OppRestDiff]]*8))</f>
        <v>-8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1475.7973896739827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1496.2825105216193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0.61247421107427458</v>
      </c>
      <c r="R189" s="1">
        <v>66</v>
      </c>
      <c r="S189" s="1">
        <v>75</v>
      </c>
      <c r="T189" s="1">
        <v>0</v>
      </c>
      <c r="U189" s="1">
        <f>Games[[#This Row],[PointsFor]]-Games[[#This Row],[PointsAgainst]]</f>
        <v>-9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0.39915753519252317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74.05</v>
      </c>
      <c r="Z189" s="4">
        <f>Games[[#This Row],[K]]*Games[[#This Row],[POMult]]</f>
        <v>74.05</v>
      </c>
      <c r="AA189" s="4">
        <f>(Games[[#This Row],[Keff]]*Games[[#This Row],[MOVMult]])*(Games[[#This Row],[Result]]-Games[[#This Row],[ExpectedWin%]])</f>
        <v>-18.103277222966124</v>
      </c>
      <c r="AB189" s="4">
        <f>Games[[#This Row],[PreGmRate]]+Games[[#This Row],[RatingChange]]</f>
        <v>1457.6941124510165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38538</v>
      </c>
      <c r="B190" s="2">
        <v>2005</v>
      </c>
      <c r="C190" s="2">
        <f>COUNTIFS(Games[Team],Games[[#This Row],[Team]],Games[Season],Games[[#This Row],[Season]],Games[Date],"&lt;=" &amp; Games[[#This Row],[Date]])</f>
        <v>13</v>
      </c>
      <c r="D190" s="2" t="s">
        <v>23</v>
      </c>
      <c r="E190" s="2" t="s">
        <v>29</v>
      </c>
      <c r="F190" s="1" t="s">
        <v>66</v>
      </c>
      <c r="G190" s="1" t="s">
        <v>70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1450.8337621418245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1568.3980714159359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0.23861324395269773</v>
      </c>
      <c r="R190" s="1">
        <v>67</v>
      </c>
      <c r="S190" s="1">
        <v>55</v>
      </c>
      <c r="T190" s="1">
        <v>0</v>
      </c>
      <c r="U190" s="1">
        <f>Games[[#This Row],[PointsFor]]-Games[[#This Row],[PointsAgainst]]</f>
        <v>12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0.41542968934351643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74.05</v>
      </c>
      <c r="Z190" s="4">
        <f>Games[[#This Row],[K]]*Games[[#This Row],[POMult]]</f>
        <v>74.05</v>
      </c>
      <c r="AA190" s="4">
        <f>(Games[[#This Row],[Keff]]*Games[[#This Row],[MOVMult]])*(Games[[#This Row],[Result]]-Games[[#This Row],[ExpectedWin%]])</f>
        <v>23.422212234766636</v>
      </c>
      <c r="AB190" s="4">
        <f>Games[[#This Row],[PreGmRate]]+Games[[#This Row],[RatingChange]]</f>
        <v>1474.2559743765912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38538</v>
      </c>
      <c r="B191" s="2">
        <v>2005</v>
      </c>
      <c r="C191" s="2">
        <f>COUNTIFS(Games[Team],Games[[#This Row],[Team]],Games[Season],Games[[#This Row],[Season]],Games[Date],"&lt;=" &amp; Games[[#This Row],[Date]])</f>
        <v>16</v>
      </c>
      <c r="D191" s="2" t="s">
        <v>23</v>
      </c>
      <c r="E191" s="2" t="s">
        <v>29</v>
      </c>
      <c r="F191" s="1" t="s">
        <v>70</v>
      </c>
      <c r="G191" s="1" t="s">
        <v>66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1568.3980714159359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1450.8337621418245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0.76138675604730233</v>
      </c>
      <c r="R191" s="1">
        <v>55</v>
      </c>
      <c r="S191" s="1">
        <v>67</v>
      </c>
      <c r="T191" s="1">
        <v>0</v>
      </c>
      <c r="U191" s="1">
        <f>Games[[#This Row],[PointsFor]]-Games[[#This Row],[PointsAgainst]]</f>
        <v>-12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0.41542968934351643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-23.279876036175889</v>
      </c>
      <c r="AB191" s="4">
        <f>Games[[#This Row],[PreGmRate]]+Games[[#This Row],[RatingChange]]</f>
        <v>1545.11819537976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38538</v>
      </c>
      <c r="B192" s="2">
        <v>2005</v>
      </c>
      <c r="C192" s="2">
        <f>COUNTIFS(Games[Team],Games[[#This Row],[Team]],Games[Season],Games[[#This Row],[Season]],Games[Date],"&lt;=" &amp; Games[[#This Row],[Date]])</f>
        <v>15</v>
      </c>
      <c r="D192" s="2" t="s">
        <v>23</v>
      </c>
      <c r="E192" s="2" t="s">
        <v>29</v>
      </c>
      <c r="F192" s="1" t="s">
        <v>44</v>
      </c>
      <c r="G192" s="1" t="s">
        <v>84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1419.95755735074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1410.5060463568825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0.39433276148971602</v>
      </c>
      <c r="R192" s="1">
        <v>76</v>
      </c>
      <c r="S192" s="1">
        <v>69</v>
      </c>
      <c r="T192" s="1">
        <v>0</v>
      </c>
      <c r="U192" s="1">
        <f>Games[[#This Row],[PointsFor]]-Games[[#This Row],[PointsAgainst]]</f>
        <v>7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0.367214892823297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73.75</v>
      </c>
      <c r="Z192" s="4">
        <f>Games[[#This Row],[K]]*Games[[#This Row],[POMult]]</f>
        <v>73.75</v>
      </c>
      <c r="AA192" s="4">
        <f>(Games[[#This Row],[Keff]]*Games[[#This Row],[MOVMult]])*(Games[[#This Row],[Result]]-Games[[#This Row],[ExpectedWin%]])</f>
        <v>16.402739718115043</v>
      </c>
      <c r="AB192" s="4">
        <f>Games[[#This Row],[PreGmRate]]+Games[[#This Row],[RatingChange]]</f>
        <v>1436.3602970688551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38538</v>
      </c>
      <c r="B193" s="2">
        <v>2005</v>
      </c>
      <c r="C193" s="2">
        <f>COUNTIFS(Games[Team],Games[[#This Row],[Team]],Games[Season],Games[[#This Row],[Season]],Games[Date],"&lt;=" &amp; Games[[#This Row],[Date]])</f>
        <v>18</v>
      </c>
      <c r="D193" s="2" t="s">
        <v>23</v>
      </c>
      <c r="E193" s="2" t="s">
        <v>29</v>
      </c>
      <c r="F193" s="1" t="s">
        <v>84</v>
      </c>
      <c r="G193" s="1" t="s">
        <v>44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1410.5060463568825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1419.95755735074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0.60566723851028403</v>
      </c>
      <c r="R193" s="1">
        <v>69</v>
      </c>
      <c r="S193" s="1">
        <v>76</v>
      </c>
      <c r="T193" s="1">
        <v>0</v>
      </c>
      <c r="U193" s="1">
        <f>Games[[#This Row],[PointsFor]]-Games[[#This Row],[PointsAgainst]]</f>
        <v>-7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0.367214892823297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73.3</v>
      </c>
      <c r="Z193" s="4">
        <f>Games[[#This Row],[K]]*Games[[#This Row],[POMult]]</f>
        <v>73.3</v>
      </c>
      <c r="AA193" s="4">
        <f>(Games[[#This Row],[Keff]]*Games[[#This Row],[MOVMult]])*(Games[[#This Row],[Result]]-Games[[#This Row],[ExpectedWin%]])</f>
        <v>-16.302655204580784</v>
      </c>
      <c r="AB193" s="4">
        <f>Games[[#This Row],[PreGmRate]]+Games[[#This Row],[RatingChange]]</f>
        <v>1394.2033911523017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38539</v>
      </c>
      <c r="B194" s="2">
        <v>2005</v>
      </c>
      <c r="C194" s="2">
        <f>COUNTIFS(Games[Team],Games[[#This Row],[Team]],Games[Season],Games[[#This Row],[Season]],Games[Date],"&lt;=" &amp; Games[[#This Row],[Date]])</f>
        <v>17</v>
      </c>
      <c r="D194" s="2" t="s">
        <v>23</v>
      </c>
      <c r="E194" s="2" t="s">
        <v>29</v>
      </c>
      <c r="F194" s="1" t="s">
        <v>81</v>
      </c>
      <c r="G194" s="1" t="s">
        <v>44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4" s="2">
        <f>Games[[#This Row],[DaysOff]]-Games[[#This Row],[OppDaysOff]]</f>
        <v>2</v>
      </c>
      <c r="L194" s="2">
        <f>Games[[#This Row],[OppDaysOff]]-Games[[#This Row],[DaysOff]]</f>
        <v>-2</v>
      </c>
      <c r="M194" s="1">
        <f>MAX(-16, MIN(16, Games[[#This Row],[RestDiff]]*8))</f>
        <v>16</v>
      </c>
      <c r="N194" s="1">
        <f>MAX(-16, MIN(16, Games[[#This Row],[OppRestDiff]]*8))</f>
        <v>-16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1541.5043364656522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1436.3602970688551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0.5758894791693755</v>
      </c>
      <c r="R194" s="1">
        <v>61</v>
      </c>
      <c r="S194" s="1">
        <v>73</v>
      </c>
      <c r="T194" s="1">
        <v>0</v>
      </c>
      <c r="U194" s="1">
        <f>Games[[#This Row],[PointsFor]]-Games[[#This Row],[PointsAgainst]]</f>
        <v>-12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0.41938308352909615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73.45</v>
      </c>
      <c r="Z194" s="4">
        <f>Games[[#This Row],[K]]*Games[[#This Row],[POMult]]</f>
        <v>73.45</v>
      </c>
      <c r="AA194" s="4">
        <f>(Games[[#This Row],[Keff]]*Games[[#This Row],[MOVMult]])*(Games[[#This Row],[Result]]-Games[[#This Row],[ExpectedWin%]])</f>
        <v>-17.739519542355012</v>
      </c>
      <c r="AB194" s="4">
        <f>Games[[#This Row],[PreGmRate]]+Games[[#This Row],[RatingChange]]</f>
        <v>1523.7648169232971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38539</v>
      </c>
      <c r="B195" s="2">
        <v>2005</v>
      </c>
      <c r="C195" s="2">
        <f>COUNTIFS(Games[Team],Games[[#This Row],[Team]],Games[Season],Games[[#This Row],[Season]],Games[Date],"&lt;=" &amp; Games[[#This Row],[Date]])</f>
        <v>16</v>
      </c>
      <c r="D195" s="2" t="s">
        <v>23</v>
      </c>
      <c r="E195" s="2" t="s">
        <v>29</v>
      </c>
      <c r="F195" s="1" t="s">
        <v>44</v>
      </c>
      <c r="G195" s="1" t="s">
        <v>81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5" s="2">
        <f>Games[[#This Row],[DaysOff]]-Games[[#This Row],[OppDaysOff]]</f>
        <v>-2</v>
      </c>
      <c r="L195" s="2">
        <f>Games[[#This Row],[OppDaysOff]]-Games[[#This Row],[DaysOff]]</f>
        <v>2</v>
      </c>
      <c r="M195" s="1">
        <f>MAX(-16, MIN(16, Games[[#This Row],[RestDiff]]*8))</f>
        <v>-16</v>
      </c>
      <c r="N195" s="1">
        <f>MAX(-16, MIN(16, Games[[#This Row],[OppRestDiff]]*8))</f>
        <v>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1436.3602970688551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1541.5043364656522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0.42411052083062456</v>
      </c>
      <c r="R195" s="1">
        <v>73</v>
      </c>
      <c r="S195" s="1">
        <v>61</v>
      </c>
      <c r="T195" s="1">
        <v>0</v>
      </c>
      <c r="U195" s="1">
        <f>Games[[#This Row],[PointsFor]]-Games[[#This Row],[PointsAgainst]]</f>
        <v>12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0.41938308352909615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73.599999999999994</v>
      </c>
      <c r="Z195" s="4">
        <f>Games[[#This Row],[K]]*Games[[#This Row],[POMult]]</f>
        <v>73.599999999999994</v>
      </c>
      <c r="AA195" s="4">
        <f>(Games[[#This Row],[Keff]]*Games[[#This Row],[MOVMult]])*(Games[[#This Row],[Result]]-Games[[#This Row],[ExpectedWin%]])</f>
        <v>17.775747288186913</v>
      </c>
      <c r="AB195" s="4">
        <f>Games[[#This Row],[PreGmRate]]+Games[[#This Row],[RatingChange]]</f>
        <v>1454.136044357042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38540</v>
      </c>
      <c r="B196" s="2">
        <v>2005</v>
      </c>
      <c r="C196" s="2">
        <f>COUNTIFS(Games[Team],Games[[#This Row],[Team]],Games[Season],Games[[#This Row],[Season]],Games[Date],"&lt;=" &amp; Games[[#This Row],[Date]])</f>
        <v>16</v>
      </c>
      <c r="D196" s="2" t="s">
        <v>23</v>
      </c>
      <c r="E196" s="2" t="s">
        <v>29</v>
      </c>
      <c r="F196" s="1" t="s">
        <v>77</v>
      </c>
      <c r="G196" s="1" t="s">
        <v>64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6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96" s="2">
        <f>Games[[#This Row],[DaysOff]]-Games[[#This Row],[OppDaysOff]]</f>
        <v>2</v>
      </c>
      <c r="L196" s="2">
        <f>Games[[#This Row],[OppDaysOff]]-Games[[#This Row],[DaysOff]]</f>
        <v>-2</v>
      </c>
      <c r="M196" s="1">
        <f>MAX(-16, MIN(16, Games[[#This Row],[RestDiff]]*8))</f>
        <v>16</v>
      </c>
      <c r="N196" s="1">
        <f>MAX(-16, MIN(16, Games[[#This Row],[OppRestDiff]]*8))</f>
        <v>-16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1511.1643169431745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1355.3552451654987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0.64510086291901603</v>
      </c>
      <c r="R196" s="1">
        <v>58</v>
      </c>
      <c r="S196" s="1">
        <v>66</v>
      </c>
      <c r="T196" s="1">
        <v>0</v>
      </c>
      <c r="U196" s="1">
        <f>Games[[#This Row],[PointsFor]]-Games[[#This Row],[PointsAgainst]]</f>
        <v>-8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0.34369045885836741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73.599999999999994</v>
      </c>
      <c r="Z196" s="4">
        <f>Games[[#This Row],[K]]*Games[[#This Row],[POMult]]</f>
        <v>73.599999999999994</v>
      </c>
      <c r="AA196" s="4">
        <f>(Games[[#This Row],[Keff]]*Games[[#This Row],[MOVMult]])*(Games[[#This Row],[Result]]-Games[[#This Row],[ExpectedWin%]])</f>
        <v>-16.318224852771209</v>
      </c>
      <c r="AB196" s="4">
        <f>Games[[#This Row],[PreGmRate]]+Games[[#This Row],[RatingChange]]</f>
        <v>1494.8460920904033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38540</v>
      </c>
      <c r="B197" s="2">
        <v>2005</v>
      </c>
      <c r="C197" s="2">
        <f>COUNTIFS(Games[Team],Games[[#This Row],[Team]],Games[Season],Games[[#This Row],[Season]],Games[Date],"&lt;=" &amp; Games[[#This Row],[Date]])</f>
        <v>15</v>
      </c>
      <c r="D197" s="2" t="s">
        <v>23</v>
      </c>
      <c r="E197" s="2" t="s">
        <v>29</v>
      </c>
      <c r="F197" s="1" t="s">
        <v>64</v>
      </c>
      <c r="G197" s="1" t="s">
        <v>77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97" s="2">
        <f>Games[[#This Row],[DaysOff]]-Games[[#This Row],[OppDaysOff]]</f>
        <v>-2</v>
      </c>
      <c r="L197" s="2">
        <f>Games[[#This Row],[OppDaysOff]]-Games[[#This Row],[DaysOff]]</f>
        <v>2</v>
      </c>
      <c r="M197" s="1">
        <f>MAX(-16, MIN(16, Games[[#This Row],[RestDiff]]*8))</f>
        <v>-16</v>
      </c>
      <c r="N197" s="1">
        <f>MAX(-16, MIN(16, Games[[#This Row],[OppRestDiff]]*8))</f>
        <v>16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1355.3552451654987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1511.1643169431745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0.35489913708098397</v>
      </c>
      <c r="R197" s="1">
        <v>66</v>
      </c>
      <c r="S197" s="1">
        <v>58</v>
      </c>
      <c r="T197" s="1">
        <v>0</v>
      </c>
      <c r="U197" s="1">
        <f>Games[[#This Row],[PointsFor]]-Games[[#This Row],[PointsAgainst]]</f>
        <v>8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0.34369045885836741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73.75</v>
      </c>
      <c r="Z197" s="4">
        <f>Games[[#This Row],[K]]*Games[[#This Row],[POMult]]</f>
        <v>73.75</v>
      </c>
      <c r="AA197" s="4">
        <f>(Games[[#This Row],[Keff]]*Games[[#This Row],[MOVMult]])*(Games[[#This Row],[Result]]-Games[[#This Row],[ExpectedWin%]])</f>
        <v>16.351482104509198</v>
      </c>
      <c r="AB197" s="4">
        <f>Games[[#This Row],[PreGmRate]]+Games[[#This Row],[RatingChange]]</f>
        <v>1371.7067272700078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38540</v>
      </c>
      <c r="B198" s="2">
        <v>2005</v>
      </c>
      <c r="C198" s="2">
        <f>COUNTIFS(Games[Team],Games[[#This Row],[Team]],Games[Season],Games[[#This Row],[Season]],Games[Date],"&lt;=" &amp; Games[[#This Row],[Date]])</f>
        <v>15</v>
      </c>
      <c r="D198" s="2" t="s">
        <v>23</v>
      </c>
      <c r="E198" s="2" t="s">
        <v>29</v>
      </c>
      <c r="F198" s="1" t="s">
        <v>2</v>
      </c>
      <c r="G198" s="1" t="s">
        <v>79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98" s="2">
        <f>Games[[#This Row],[DaysOff]]-Games[[#This Row],[OppDaysOff]]</f>
        <v>-7</v>
      </c>
      <c r="L198" s="2">
        <f>Games[[#This Row],[OppDaysOff]]-Games[[#This Row],[DaysOff]]</f>
        <v>7</v>
      </c>
      <c r="M198" s="1">
        <f>MAX(-16, MIN(16, Games[[#This Row],[RestDiff]]*8))</f>
        <v>-16</v>
      </c>
      <c r="N198" s="1">
        <f>MAX(-16, MIN(16, Games[[#This Row],[OppRestDiff]]*8))</f>
        <v>16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1514.3491166901163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1501.3226202754215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0.35600111409315999</v>
      </c>
      <c r="R198" s="1">
        <v>65</v>
      </c>
      <c r="S198" s="1">
        <v>63</v>
      </c>
      <c r="T198" s="1">
        <v>0</v>
      </c>
      <c r="U198" s="1">
        <f>Games[[#This Row],[PointsFor]]-Games[[#This Row],[PointsAgainst]]</f>
        <v>2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0.2649650159510813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73.75</v>
      </c>
      <c r="Z198" s="4">
        <f>Games[[#This Row],[K]]*Games[[#This Row],[POMult]]</f>
        <v>73.75</v>
      </c>
      <c r="AA198" s="4">
        <f>(Games[[#This Row],[Keff]]*Games[[#This Row],[MOVMult]])*(Games[[#This Row],[Result]]-Games[[#This Row],[ExpectedWin%]])</f>
        <v>12.584491661912853</v>
      </c>
      <c r="AB198" s="4">
        <f>Games[[#This Row],[PreGmRate]]+Games[[#This Row],[RatingChange]]</f>
        <v>1526.9336083520291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38540</v>
      </c>
      <c r="B199" s="2">
        <v>2005</v>
      </c>
      <c r="C199" s="2">
        <f>COUNTIFS(Games[Team],Games[[#This Row],[Team]],Games[Season],Games[[#This Row],[Season]],Games[Date],"&lt;=" &amp; Games[[#This Row],[Date]])</f>
        <v>14</v>
      </c>
      <c r="D199" s="2" t="s">
        <v>23</v>
      </c>
      <c r="E199" s="2" t="s">
        <v>29</v>
      </c>
      <c r="F199" s="1" t="s">
        <v>79</v>
      </c>
      <c r="G199" s="1" t="s">
        <v>2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8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7</v>
      </c>
      <c r="L199" s="2">
        <f>Games[[#This Row],[OppDaysOff]]-Games[[#This Row],[DaysOff]]</f>
        <v>-7</v>
      </c>
      <c r="M199" s="1">
        <f>MAX(-16, MIN(16, Games[[#This Row],[RestDiff]]*8))</f>
        <v>16</v>
      </c>
      <c r="N199" s="1">
        <f>MAX(-16, MIN(16, Games[[#This Row],[OppRestDiff]]*8))</f>
        <v>-16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1501.3226202754215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1514.3491166901163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0.64399888590683996</v>
      </c>
      <c r="R199" s="1">
        <v>63</v>
      </c>
      <c r="S199" s="1">
        <v>65</v>
      </c>
      <c r="T199" s="1">
        <v>0</v>
      </c>
      <c r="U199" s="1">
        <f>Games[[#This Row],[PointsFor]]-Games[[#This Row],[PointsAgainst]]</f>
        <v>-2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0.2649650159510813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73.900000000000006</v>
      </c>
      <c r="Z199" s="4">
        <f>Games[[#This Row],[K]]*Games[[#This Row],[POMult]]</f>
        <v>73.900000000000006</v>
      </c>
      <c r="AA199" s="4">
        <f>(Games[[#This Row],[Keff]]*Games[[#This Row],[MOVMult]])*(Games[[#This Row],[Result]]-Games[[#This Row],[ExpectedWin%]])</f>
        <v>-12.610087238174371</v>
      </c>
      <c r="AB199" s="4">
        <f>Games[[#This Row],[PreGmRate]]+Games[[#This Row],[RatingChange]]</f>
        <v>1488.7125330372471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38540</v>
      </c>
      <c r="B200" s="2">
        <v>2005</v>
      </c>
      <c r="C200" s="2">
        <f>COUNTIFS(Games[Team],Games[[#This Row],[Team]],Games[Season],Games[[#This Row],[Season]],Games[Date],"&lt;=" &amp; Games[[#This Row],[Date]])</f>
        <v>15</v>
      </c>
      <c r="D200" s="2" t="s">
        <v>23</v>
      </c>
      <c r="E200" s="2" t="s">
        <v>29</v>
      </c>
      <c r="F200" s="1" t="s">
        <v>86</v>
      </c>
      <c r="G200" s="1" t="s">
        <v>66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5</v>
      </c>
      <c r="L200" s="2">
        <f>Games[[#This Row],[OppDaysOff]]-Games[[#This Row],[DaysOff]]</f>
        <v>-5</v>
      </c>
      <c r="M200" s="1">
        <f>MAX(-16, MIN(16, Games[[#This Row],[RestDiff]]*8))</f>
        <v>16</v>
      </c>
      <c r="N200" s="1">
        <f>MAX(-16, MIN(16, Games[[#This Row],[OppRestDiff]]*8))</f>
        <v>-16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1656.5226555116838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1474.2559743765912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0.67915152602507001</v>
      </c>
      <c r="R200" s="1">
        <v>79</v>
      </c>
      <c r="S200" s="1">
        <v>89</v>
      </c>
      <c r="T200" s="1">
        <v>0</v>
      </c>
      <c r="U200" s="1">
        <f>Games[[#This Row],[PointsFor]]-Games[[#This Row],[PointsAgainst]]</f>
        <v>-10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0.36733551211824111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73.75</v>
      </c>
      <c r="Z200" s="4">
        <f>Games[[#This Row],[K]]*Games[[#This Row],[POMult]]</f>
        <v>73.75</v>
      </c>
      <c r="AA200" s="4">
        <f>(Games[[#This Row],[Keff]]*Games[[#This Row],[MOVMult]])*(Games[[#This Row],[Result]]-Games[[#This Row],[ExpectedWin%]])</f>
        <v>-18.398889929349924</v>
      </c>
      <c r="AB200" s="4">
        <f>Games[[#This Row],[PreGmRate]]+Games[[#This Row],[RatingChange]]</f>
        <v>1638.1237655823338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38540</v>
      </c>
      <c r="B201" s="2">
        <v>2005</v>
      </c>
      <c r="C201" s="2">
        <f>COUNTIFS(Games[Team],Games[[#This Row],[Team]],Games[Season],Games[[#This Row],[Season]],Games[Date],"&lt;=" &amp; Games[[#This Row],[Date]])</f>
        <v>14</v>
      </c>
      <c r="D201" s="2" t="s">
        <v>23</v>
      </c>
      <c r="E201" s="2" t="s">
        <v>29</v>
      </c>
      <c r="F201" s="1" t="s">
        <v>66</v>
      </c>
      <c r="G201" s="1" t="s">
        <v>86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1" s="2">
        <f>Games[[#This Row],[DaysOff]]-Games[[#This Row],[OppDaysOff]]</f>
        <v>-5</v>
      </c>
      <c r="L201" s="2">
        <f>Games[[#This Row],[OppDaysOff]]-Games[[#This Row],[DaysOff]]</f>
        <v>5</v>
      </c>
      <c r="M201" s="1">
        <f>MAX(-16, MIN(16, Games[[#This Row],[RestDiff]]*8))</f>
        <v>-16</v>
      </c>
      <c r="N201" s="1">
        <f>MAX(-16, MIN(16, Games[[#This Row],[OppRestDiff]]*8))</f>
        <v>16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1474.2559743765912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1656.5226555116838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0.32084847397492999</v>
      </c>
      <c r="R201" s="1">
        <v>89</v>
      </c>
      <c r="S201" s="1">
        <v>79</v>
      </c>
      <c r="T201" s="1">
        <v>0</v>
      </c>
      <c r="U201" s="1">
        <f>Games[[#This Row],[PointsFor]]-Games[[#This Row],[PointsAgainst]]</f>
        <v>10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0.36733551211824111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73.900000000000006</v>
      </c>
      <c r="Z201" s="4">
        <f>Games[[#This Row],[K]]*Games[[#This Row],[POMult]]</f>
        <v>73.900000000000006</v>
      </c>
      <c r="AA201" s="4">
        <f>(Games[[#This Row],[Keff]]*Games[[#This Row],[MOVMult]])*(Games[[#This Row],[Result]]-Games[[#This Row],[ExpectedWin%]])</f>
        <v>18.436311400392672</v>
      </c>
      <c r="AB201" s="4">
        <f>Games[[#This Row],[PreGmRate]]+Games[[#This Row],[RatingChange]]</f>
        <v>1492.6922857769839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38540</v>
      </c>
      <c r="B202" s="2">
        <v>2005</v>
      </c>
      <c r="C202" s="2">
        <f>COUNTIFS(Games[Team],Games[[#This Row],[Team]],Games[Season],Games[[#This Row],[Season]],Games[Date],"&lt;=" &amp; Games[[#This Row],[Date]])</f>
        <v>14</v>
      </c>
      <c r="D202" s="2" t="s">
        <v>23</v>
      </c>
      <c r="E202" s="2" t="s">
        <v>29</v>
      </c>
      <c r="F202" s="1" t="s">
        <v>75</v>
      </c>
      <c r="G202" s="1" t="s">
        <v>73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2" s="2">
        <f>Games[[#This Row],[DaysOff]]-Games[[#This Row],[OppDaysOff]]</f>
        <v>-5</v>
      </c>
      <c r="L202" s="2">
        <f>Games[[#This Row],[OppDaysOff]]-Games[[#This Row],[DaysOff]]</f>
        <v>5</v>
      </c>
      <c r="M202" s="1">
        <f>MAX(-16, MIN(16, Games[[#This Row],[RestDiff]]*8))</f>
        <v>-16</v>
      </c>
      <c r="N202" s="1">
        <f>MAX(-16, MIN(16, Games[[#This Row],[OppRestDiff]]*8))</f>
        <v>16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1457.6941124510165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1511.7425297561485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0.27311459339681132</v>
      </c>
      <c r="R202" s="1">
        <v>76</v>
      </c>
      <c r="S202" s="1">
        <v>62</v>
      </c>
      <c r="T202" s="1">
        <v>0</v>
      </c>
      <c r="U202" s="1">
        <f>Games[[#This Row],[PointsFor]]-Games[[#This Row],[PointsAgainst]]</f>
        <v>14</v>
      </c>
      <c r="V202" s="1">
        <f>IF(Games[[#This Row],[MOV]]&gt;0,1,IF(Games[[#This Row],[MOV]]=0,0.5,0))</f>
        <v>1</v>
      </c>
      <c r="W202" s="4">
        <f>((ABS(Games[[#This Row],[MOV]])+5)^0.6)/(12+0.01*(ABS(Games[[#This Row],[PreGmRate]]-Games[[#This Row],[OppPreGmRate]])))*IF(Games[[#This Row],[OT]]=1,0.9,1)</f>
        <v>0.46659261011494835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73.900000000000006</v>
      </c>
      <c r="Z202" s="4">
        <f>Games[[#This Row],[K]]*Games[[#This Row],[POMult]]</f>
        <v>73.900000000000006</v>
      </c>
      <c r="AA202" s="4">
        <f>(Games[[#This Row],[Keff]]*Games[[#This Row],[MOVMult]])*(Games[[#This Row],[Result]]-Games[[#This Row],[ExpectedWin%]])</f>
        <v>25.063876639074955</v>
      </c>
      <c r="AB202" s="4">
        <f>Games[[#This Row],[PreGmRate]]+Games[[#This Row],[RatingChange]]</f>
        <v>1482.7579890900915</v>
      </c>
      <c r="AC202" s="2">
        <f>IF(Games[[#This Row],[Type]]="R",IF(Games[[#This Row],[Result]]&gt;0.5,1,0),0)</f>
        <v>1</v>
      </c>
      <c r="AD202" s="2">
        <f>IF(Games[[#This Row],[Type]]="R",IF(Games[[#This Row],[Result]]&lt;0.5,1,0),0)</f>
        <v>0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38540</v>
      </c>
      <c r="B203" s="2">
        <v>2005</v>
      </c>
      <c r="C203" s="2">
        <f>COUNTIFS(Games[Team],Games[[#This Row],[Team]],Games[Season],Games[[#This Row],[Season]],Games[Date],"&lt;=" &amp; Games[[#This Row],[Date]])</f>
        <v>16</v>
      </c>
      <c r="D203" s="2" t="s">
        <v>23</v>
      </c>
      <c r="E203" s="2" t="s">
        <v>29</v>
      </c>
      <c r="F203" s="1" t="s">
        <v>73</v>
      </c>
      <c r="G203" s="1" t="s">
        <v>75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5</v>
      </c>
      <c r="L203" s="2">
        <f>Games[[#This Row],[OppDaysOff]]-Games[[#This Row],[DaysOff]]</f>
        <v>-5</v>
      </c>
      <c r="M203" s="1">
        <f>MAX(-16, MIN(16, Games[[#This Row],[RestDiff]]*8))</f>
        <v>16</v>
      </c>
      <c r="N203" s="1">
        <f>MAX(-16, MIN(16, Games[[#This Row],[OppRestDiff]]*8))</f>
        <v>-16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1511.7425297561485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1457.6941124510165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0.72688540660318868</v>
      </c>
      <c r="R203" s="1">
        <v>62</v>
      </c>
      <c r="S203" s="1">
        <v>76</v>
      </c>
      <c r="T203" s="1">
        <v>0</v>
      </c>
      <c r="U203" s="1">
        <f>Games[[#This Row],[PointsFor]]-Games[[#This Row],[PointsAgainst]]</f>
        <v>-14</v>
      </c>
      <c r="V203" s="1">
        <f>IF(Games[[#This Row],[MOV]]&gt;0,1,IF(Games[[#This Row],[MOV]]=0,0.5,0))</f>
        <v>0</v>
      </c>
      <c r="W203" s="4">
        <f>((ABS(Games[[#This Row],[MOV]])+5)^0.6)/(12+0.01*(ABS(Games[[#This Row],[PreGmRate]]-Games[[#This Row],[OppPreGmRate]])))*IF(Games[[#This Row],[OT]]=1,0.9,1)</f>
        <v>0.46659261011494835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73.599999999999994</v>
      </c>
      <c r="Z203" s="4">
        <f>Games[[#This Row],[K]]*Games[[#This Row],[POMult]]</f>
        <v>73.599999999999994</v>
      </c>
      <c r="AA203" s="4">
        <f>(Games[[#This Row],[Keff]]*Games[[#This Row],[MOVMult]])*(Games[[#This Row],[Result]]-Games[[#This Row],[ExpectedWin%]])</f>
        <v>-24.962128831338518</v>
      </c>
      <c r="AB203" s="4">
        <f>Games[[#This Row],[PreGmRate]]+Games[[#This Row],[RatingChange]]</f>
        <v>1486.78040092481</v>
      </c>
      <c r="AC203" s="2">
        <f>IF(Games[[#This Row],[Type]]="R",IF(Games[[#This Row],[Result]]&gt;0.5,1,0),0)</f>
        <v>0</v>
      </c>
      <c r="AD203" s="2">
        <f>IF(Games[[#This Row],[Type]]="R",IF(Games[[#This Row],[Result]]&lt;0.5,1,0),0)</f>
        <v>1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38545</v>
      </c>
      <c r="B204" s="2">
        <v>2005</v>
      </c>
      <c r="C204" s="2">
        <f>COUNTIFS(Games[Team],Games[[#This Row],[Team]],Games[Season],Games[[#This Row],[Season]],Games[Date],"&lt;=" &amp; Games[[#This Row],[Date]])</f>
        <v>15</v>
      </c>
      <c r="D204" s="2" t="s">
        <v>23</v>
      </c>
      <c r="E204" s="2" t="s">
        <v>29</v>
      </c>
      <c r="F204" s="1" t="s">
        <v>66</v>
      </c>
      <c r="G204" s="1" t="s">
        <v>2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1492.6922857769839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1526.9336083520291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0.33611585051697984</v>
      </c>
      <c r="R204" s="1">
        <v>68</v>
      </c>
      <c r="S204" s="1">
        <v>65</v>
      </c>
      <c r="T204" s="1">
        <v>1</v>
      </c>
      <c r="U204" s="1">
        <f>Games[[#This Row],[PointsFor]]-Games[[#This Row],[PointsAgainst]]</f>
        <v>3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0.2539197133124258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73.75</v>
      </c>
      <c r="Z204" s="4">
        <f>Games[[#This Row],[K]]*Games[[#This Row],[POMult]]</f>
        <v>73.75</v>
      </c>
      <c r="AA204" s="4">
        <f>(Games[[#This Row],[Keff]]*Games[[#This Row],[MOVMult]])*(Games[[#This Row],[Result]]-Games[[#This Row],[ExpectedWin%]])</f>
        <v>12.432278877067667</v>
      </c>
      <c r="AB204" s="4">
        <f>Games[[#This Row],[PreGmRate]]+Games[[#This Row],[RatingChange]]</f>
        <v>1505.1245646540515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38545</v>
      </c>
      <c r="B205" s="2">
        <v>2005</v>
      </c>
      <c r="C205" s="2">
        <f>COUNTIFS(Games[Team],Games[[#This Row],[Team]],Games[Season],Games[[#This Row],[Season]],Games[Date],"&lt;=" &amp; Games[[#This Row],[Date]])</f>
        <v>16</v>
      </c>
      <c r="D205" s="2" t="s">
        <v>23</v>
      </c>
      <c r="E205" s="2" t="s">
        <v>29</v>
      </c>
      <c r="F205" s="1" t="s">
        <v>2</v>
      </c>
      <c r="G205" s="1" t="s">
        <v>66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1526.9336083520291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1492.6922857769839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0.66388414948302021</v>
      </c>
      <c r="R205" s="1">
        <v>65</v>
      </c>
      <c r="S205" s="1">
        <v>68</v>
      </c>
      <c r="T205" s="1">
        <v>1</v>
      </c>
      <c r="U205" s="1">
        <f>Games[[#This Row],[PointsFor]]-Games[[#This Row],[PointsAgainst]]</f>
        <v>-3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0.2539197133124258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73.599999999999994</v>
      </c>
      <c r="Z205" s="4">
        <f>Games[[#This Row],[K]]*Games[[#This Row],[POMult]]</f>
        <v>73.599999999999994</v>
      </c>
      <c r="AA205" s="4">
        <f>(Games[[#This Row],[Keff]]*Games[[#This Row],[MOVMult]])*(Games[[#This Row],[Result]]-Games[[#This Row],[ExpectedWin%]])</f>
        <v>-12.40699288613126</v>
      </c>
      <c r="AB205" s="4">
        <f>Games[[#This Row],[PreGmRate]]+Games[[#This Row],[RatingChange]]</f>
        <v>1514.5266154658977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38545</v>
      </c>
      <c r="B206" s="2">
        <v>2005</v>
      </c>
      <c r="C206" s="2">
        <f>COUNTIFS(Games[Team],Games[[#This Row],[Team]],Games[Season],Games[[#This Row],[Season]],Games[Date],"&lt;=" &amp; Games[[#This Row],[Date]])</f>
        <v>16</v>
      </c>
      <c r="D206" s="2" t="s">
        <v>23</v>
      </c>
      <c r="E206" s="2" t="s">
        <v>29</v>
      </c>
      <c r="F206" s="1" t="s">
        <v>64</v>
      </c>
      <c r="G206" s="1" t="s">
        <v>70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6" s="2">
        <f>Games[[#This Row],[DaysOff]]-Games[[#This Row],[OppDaysOff]]</f>
        <v>-2</v>
      </c>
      <c r="L206" s="2">
        <f>Games[[#This Row],[OppDaysOff]]-Games[[#This Row],[DaysOff]]</f>
        <v>2</v>
      </c>
      <c r="M206" s="1">
        <f>MAX(-16, MIN(16, Games[[#This Row],[RestDiff]]*8))</f>
        <v>-16</v>
      </c>
      <c r="N206" s="1">
        <f>MAX(-16, MIN(16, Games[[#This Row],[OppRestDiff]]*8))</f>
        <v>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1371.7067272700078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1545.11819537976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0.15896003910435311</v>
      </c>
      <c r="R206" s="1">
        <v>59</v>
      </c>
      <c r="S206" s="1">
        <v>71</v>
      </c>
      <c r="T206" s="1">
        <v>0</v>
      </c>
      <c r="U206" s="1">
        <f>Games[[#This Row],[PointsFor]]-Games[[#This Row],[PointsAgainst]]</f>
        <v>-12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0.39853703307515165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73.599999999999994</v>
      </c>
      <c r="Z206" s="4">
        <f>Games[[#This Row],[K]]*Games[[#This Row],[POMult]]</f>
        <v>73.599999999999994</v>
      </c>
      <c r="AA206" s="4">
        <f>(Games[[#This Row],[Keff]]*Games[[#This Row],[MOVMult]])*(Games[[#This Row],[Result]]-Games[[#This Row],[ExpectedWin%]])</f>
        <v>-4.6626676298548997</v>
      </c>
      <c r="AB206" s="4">
        <f>Games[[#This Row],[PreGmRate]]+Games[[#This Row],[RatingChange]]</f>
        <v>1367.0440596401529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38545</v>
      </c>
      <c r="B207" s="2">
        <v>2005</v>
      </c>
      <c r="C207" s="2">
        <f>COUNTIFS(Games[Team],Games[[#This Row],[Team]],Games[Season],Games[[#This Row],[Season]],Games[Date],"&lt;=" &amp; Games[[#This Row],[Date]])</f>
        <v>17</v>
      </c>
      <c r="D207" s="2" t="s">
        <v>23</v>
      </c>
      <c r="E207" s="2" t="s">
        <v>29</v>
      </c>
      <c r="F207" s="1" t="s">
        <v>70</v>
      </c>
      <c r="G207" s="1" t="s">
        <v>64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7" s="2">
        <f>Games[[#This Row],[DaysOff]]-Games[[#This Row],[OppDaysOff]]</f>
        <v>2</v>
      </c>
      <c r="L207" s="2">
        <f>Games[[#This Row],[OppDaysOff]]-Games[[#This Row],[DaysOff]]</f>
        <v>-2</v>
      </c>
      <c r="M207" s="1">
        <f>MAX(-16, MIN(16, Games[[#This Row],[RestDiff]]*8))</f>
        <v>16</v>
      </c>
      <c r="N207" s="1">
        <f>MAX(-16, MIN(16, Games[[#This Row],[OppRestDiff]]*8))</f>
        <v>-16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1545.11819537976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1371.7067272700078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0.84103996089564692</v>
      </c>
      <c r="R207" s="1">
        <v>71</v>
      </c>
      <c r="S207" s="1">
        <v>59</v>
      </c>
      <c r="T207" s="1">
        <v>0</v>
      </c>
      <c r="U207" s="1">
        <f>Games[[#This Row],[PointsFor]]-Games[[#This Row],[PointsAgainst]]</f>
        <v>12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0.39853703307515165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4.6531649105005766</v>
      </c>
      <c r="AB207" s="4">
        <f>Games[[#This Row],[PreGmRate]]+Games[[#This Row],[RatingChange]]</f>
        <v>1549.7713602902606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38546</v>
      </c>
      <c r="B208" s="2">
        <v>2005</v>
      </c>
      <c r="C208" s="2">
        <f>COUNTIFS(Games[Team],Games[[#This Row],[Team]],Games[Season],Games[[#This Row],[Season]],Games[Date],"&lt;=" &amp; Games[[#This Row],[Date]])</f>
        <v>16</v>
      </c>
      <c r="D208" s="2" t="s">
        <v>23</v>
      </c>
      <c r="E208" s="2" t="s">
        <v>29</v>
      </c>
      <c r="F208" s="1" t="s">
        <v>86</v>
      </c>
      <c r="G208" s="1" t="s">
        <v>79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1638.1237655823338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1488.7125330372471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0.59303767648640271</v>
      </c>
      <c r="R208" s="1">
        <v>53</v>
      </c>
      <c r="S208" s="1">
        <v>64</v>
      </c>
      <c r="T208" s="1">
        <v>0</v>
      </c>
      <c r="U208" s="1">
        <f>Games[[#This Row],[PointsFor]]-Games[[#This Row],[PointsAgainst]]</f>
        <v>-11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0.39113589066076093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73.599999999999994</v>
      </c>
      <c r="Z208" s="4">
        <f>Games[[#This Row],[K]]*Games[[#This Row],[POMult]]</f>
        <v>73.599999999999994</v>
      </c>
      <c r="AA208" s="4">
        <f>(Games[[#This Row],[Keff]]*Games[[#This Row],[MOVMult]])*(Games[[#This Row],[Result]]-Games[[#This Row],[ExpectedWin%]])</f>
        <v>-17.072132336389242</v>
      </c>
      <c r="AB208" s="4">
        <f>Games[[#This Row],[PreGmRate]]+Games[[#This Row],[RatingChange]]</f>
        <v>1621.0516332459447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38546</v>
      </c>
      <c r="B209" s="2">
        <v>2005</v>
      </c>
      <c r="C209" s="2">
        <f>COUNTIFS(Games[Team],Games[[#This Row],[Team]],Games[Season],Games[[#This Row],[Season]],Games[Date],"&lt;=" &amp; Games[[#This Row],[Date]])</f>
        <v>15</v>
      </c>
      <c r="D209" s="2" t="s">
        <v>23</v>
      </c>
      <c r="E209" s="2" t="s">
        <v>29</v>
      </c>
      <c r="F209" s="1" t="s">
        <v>79</v>
      </c>
      <c r="G209" s="1" t="s">
        <v>86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1488.7125330372471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1638.1237655823338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0.40696232351359735</v>
      </c>
      <c r="R209" s="1">
        <v>64</v>
      </c>
      <c r="S209" s="1">
        <v>53</v>
      </c>
      <c r="T209" s="1">
        <v>0</v>
      </c>
      <c r="U209" s="1">
        <f>Games[[#This Row],[PointsFor]]-Games[[#This Row],[PointsAgainst]]</f>
        <v>11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0.39113589066076093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73.75</v>
      </c>
      <c r="Z209" s="4">
        <f>Games[[#This Row],[K]]*Games[[#This Row],[POMult]]</f>
        <v>73.75</v>
      </c>
      <c r="AA209" s="4">
        <f>(Games[[#This Row],[Keff]]*Games[[#This Row],[MOVMult]])*(Games[[#This Row],[Result]]-Games[[#This Row],[ExpectedWin%]])</f>
        <v>17.106926084357429</v>
      </c>
      <c r="AB209" s="4">
        <f>Games[[#This Row],[PreGmRate]]+Games[[#This Row],[RatingChange]]</f>
        <v>1505.8194591216045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38546</v>
      </c>
      <c r="B210" s="2">
        <v>2005</v>
      </c>
      <c r="C210" s="2">
        <f>COUNTIFS(Games[Team],Games[[#This Row],[Team]],Games[Season],Games[[#This Row],[Season]],Games[Date],"&lt;=" &amp; Games[[#This Row],[Date]])</f>
        <v>15</v>
      </c>
      <c r="D210" s="2" t="s">
        <v>23</v>
      </c>
      <c r="E210" s="2" t="s">
        <v>29</v>
      </c>
      <c r="F210" s="1" t="s">
        <v>75</v>
      </c>
      <c r="G210" s="1" t="s">
        <v>77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1482.7579890900915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1494.8460920904033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0.3651390904835648</v>
      </c>
      <c r="R210" s="1">
        <v>61</v>
      </c>
      <c r="S210" s="1">
        <v>71</v>
      </c>
      <c r="T210" s="1">
        <v>0</v>
      </c>
      <c r="U210" s="1">
        <f>Games[[#This Row],[PointsFor]]-Games[[#This Row],[PointsAgainst]]</f>
        <v>-10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0.41890984487173882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73.75</v>
      </c>
      <c r="Z210" s="4">
        <f>Games[[#This Row],[K]]*Games[[#This Row],[POMult]]</f>
        <v>73.75</v>
      </c>
      <c r="AA210" s="4">
        <f>(Games[[#This Row],[Keff]]*Games[[#This Row],[MOVMult]])*(Games[[#This Row],[Result]]-Games[[#This Row],[ExpectedWin%]])</f>
        <v>-11.280826531641997</v>
      </c>
      <c r="AB210" s="4">
        <f>Games[[#This Row],[PreGmRate]]+Games[[#This Row],[RatingChange]]</f>
        <v>1471.4771625584494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38546</v>
      </c>
      <c r="B211" s="2">
        <v>2005</v>
      </c>
      <c r="C211" s="2">
        <f>COUNTIFS(Games[Team],Games[[#This Row],[Team]],Games[Season],Games[[#This Row],[Season]],Games[Date],"&lt;=" &amp; Games[[#This Row],[Date]])</f>
        <v>17</v>
      </c>
      <c r="D211" s="2" t="s">
        <v>23</v>
      </c>
      <c r="E211" s="2" t="s">
        <v>29</v>
      </c>
      <c r="F211" s="1" t="s">
        <v>77</v>
      </c>
      <c r="G211" s="1" t="s">
        <v>75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1494.8460920904033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1482.7579890900915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0.63486090951643526</v>
      </c>
      <c r="R211" s="1">
        <v>71</v>
      </c>
      <c r="S211" s="1">
        <v>61</v>
      </c>
      <c r="T211" s="1">
        <v>0</v>
      </c>
      <c r="U211" s="1">
        <f>Games[[#This Row],[PointsFor]]-Games[[#This Row],[PointsAgainst]]</f>
        <v>10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0.41890984487173882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73.45</v>
      </c>
      <c r="Z211" s="4">
        <f>Games[[#This Row],[K]]*Games[[#This Row],[POMult]]</f>
        <v>73.45</v>
      </c>
      <c r="AA211" s="4">
        <f>(Games[[#This Row],[Keff]]*Games[[#This Row],[MOVMult]])*(Games[[#This Row],[Result]]-Games[[#This Row],[ExpectedWin%]])</f>
        <v>11.234938423716674</v>
      </c>
      <c r="AB211" s="4">
        <f>Games[[#This Row],[PreGmRate]]+Games[[#This Row],[RatingChange]]</f>
        <v>1506.0810305141199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38546</v>
      </c>
      <c r="B212" s="2">
        <v>2005</v>
      </c>
      <c r="C212" s="2">
        <f>COUNTIFS(Games[Team],Games[[#This Row],[Team]],Games[Season],Games[[#This Row],[Season]],Games[Date],"&lt;=" &amp; Games[[#This Row],[Date]])</f>
        <v>17</v>
      </c>
      <c r="D212" s="2" t="s">
        <v>23</v>
      </c>
      <c r="E212" s="2" t="s">
        <v>29</v>
      </c>
      <c r="F212" s="1" t="s">
        <v>64</v>
      </c>
      <c r="G212" s="1" t="s">
        <v>44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12" s="2">
        <f>Games[[#This Row],[DaysOff]]-Games[[#This Row],[OppDaysOff]]</f>
        <v>-6</v>
      </c>
      <c r="L212" s="2">
        <f>Games[[#This Row],[OppDaysOff]]-Games[[#This Row],[DaysOff]]</f>
        <v>6</v>
      </c>
      <c r="M212" s="1">
        <f>MAX(-16, MIN(16, Games[[#This Row],[RestDiff]]*8))</f>
        <v>-16</v>
      </c>
      <c r="N212" s="1">
        <f>MAX(-16, MIN(16, Games[[#This Row],[OppRestDiff]]*8))</f>
        <v>16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1367.0440596401529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1454.136044357042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0.23701924979272385</v>
      </c>
      <c r="R212" s="1">
        <v>62</v>
      </c>
      <c r="S212" s="1">
        <v>82</v>
      </c>
      <c r="T212" s="1">
        <v>0</v>
      </c>
      <c r="U212" s="1">
        <f>Games[[#This Row],[PointsFor]]-Games[[#This Row],[PointsAgainst]]</f>
        <v>-20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0.53598720132061972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73.45</v>
      </c>
      <c r="Z212" s="4">
        <f>Games[[#This Row],[K]]*Games[[#This Row],[POMult]]</f>
        <v>73.45</v>
      </c>
      <c r="AA212" s="4">
        <f>(Games[[#This Row],[Keff]]*Games[[#This Row],[MOVMult]])*(Games[[#This Row],[Result]]-Games[[#This Row],[ExpectedWin%]])</f>
        <v>-9.3310354359125718</v>
      </c>
      <c r="AB212" s="4">
        <f>Games[[#This Row],[PreGmRate]]+Games[[#This Row],[RatingChange]]</f>
        <v>1357.7130242042404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38546</v>
      </c>
      <c r="B213" s="2">
        <v>2005</v>
      </c>
      <c r="C213" s="2">
        <f>COUNTIFS(Games[Team],Games[[#This Row],[Team]],Games[Season],Games[[#This Row],[Season]],Games[Date],"&lt;=" &amp; Games[[#This Row],[Date]])</f>
        <v>17</v>
      </c>
      <c r="D213" s="2" t="s">
        <v>23</v>
      </c>
      <c r="E213" s="2" t="s">
        <v>29</v>
      </c>
      <c r="F213" s="1" t="s">
        <v>44</v>
      </c>
      <c r="G213" s="1" t="s">
        <v>64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6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3" s="2">
        <f>Games[[#This Row],[DaysOff]]-Games[[#This Row],[OppDaysOff]]</f>
        <v>6</v>
      </c>
      <c r="L213" s="2">
        <f>Games[[#This Row],[OppDaysOff]]-Games[[#This Row],[DaysOff]]</f>
        <v>-6</v>
      </c>
      <c r="M213" s="1">
        <f>MAX(-16, MIN(16, Games[[#This Row],[RestDiff]]*8))</f>
        <v>16</v>
      </c>
      <c r="N213" s="1">
        <f>MAX(-16, MIN(16, Games[[#This Row],[OppRestDiff]]*8))</f>
        <v>-16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1454.136044357042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1367.0440596401529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0.76298075020727618</v>
      </c>
      <c r="R213" s="1">
        <v>82</v>
      </c>
      <c r="S213" s="1">
        <v>62</v>
      </c>
      <c r="T213" s="1">
        <v>0</v>
      </c>
      <c r="U213" s="1">
        <f>Games[[#This Row],[PointsFor]]-Games[[#This Row],[PointsAgainst]]</f>
        <v>20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0.53598720132061972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73.45</v>
      </c>
      <c r="Z213" s="4">
        <f>Games[[#This Row],[K]]*Games[[#This Row],[POMult]]</f>
        <v>73.45</v>
      </c>
      <c r="AA213" s="4">
        <f>(Games[[#This Row],[Keff]]*Games[[#This Row],[MOVMult]])*(Games[[#This Row],[Result]]-Games[[#This Row],[ExpectedWin%]])</f>
        <v>9.3310354359125718</v>
      </c>
      <c r="AB213" s="4">
        <f>Games[[#This Row],[PreGmRate]]+Games[[#This Row],[RatingChange]]</f>
        <v>1463.4670797929546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38546</v>
      </c>
      <c r="B214" s="2">
        <v>2005</v>
      </c>
      <c r="C214" s="2">
        <f>COUNTIFS(Games[Team],Games[[#This Row],[Team]],Games[Season],Games[[#This Row],[Season]],Games[Date],"&lt;=" &amp; Games[[#This Row],[Date]])</f>
        <v>17</v>
      </c>
      <c r="D214" s="2" t="s">
        <v>23</v>
      </c>
      <c r="E214" s="2" t="s">
        <v>29</v>
      </c>
      <c r="F214" s="1" t="s">
        <v>73</v>
      </c>
      <c r="G214" s="1" t="s">
        <v>81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14" s="2">
        <f>Games[[#This Row],[DaysOff]]-Games[[#This Row],[OppDaysOff]]</f>
        <v>-1</v>
      </c>
      <c r="L214" s="2">
        <f>Games[[#This Row],[OppDaysOff]]-Games[[#This Row],[DaysOff]]</f>
        <v>1</v>
      </c>
      <c r="M214" s="1">
        <f>MAX(-16, MIN(16, Games[[#This Row],[RestDiff]]*8))</f>
        <v>-8</v>
      </c>
      <c r="N214" s="1">
        <f>MAX(-16, MIN(16, Games[[#This Row],[OppRestDiff]]*8))</f>
        <v>8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1486.78040092481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1523.7648169232971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0.31248102418370721</v>
      </c>
      <c r="R214" s="1">
        <v>78</v>
      </c>
      <c r="S214" s="1">
        <v>71</v>
      </c>
      <c r="T214" s="1">
        <v>0</v>
      </c>
      <c r="U214" s="1">
        <f>Games[[#This Row],[PointsFor]]-Games[[#This Row],[PointsAgainst]]</f>
        <v>7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0.35904139230896115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73.45</v>
      </c>
      <c r="Z214" s="4">
        <f>Games[[#This Row],[K]]*Games[[#This Row],[POMult]]</f>
        <v>73.45</v>
      </c>
      <c r="AA214" s="4">
        <f>(Games[[#This Row],[Keff]]*Games[[#This Row],[MOVMult]])*(Games[[#This Row],[Result]]-Games[[#This Row],[ExpectedWin%]])</f>
        <v>18.130968729703792</v>
      </c>
      <c r="AB214" s="4">
        <f>Games[[#This Row],[PreGmRate]]+Games[[#This Row],[RatingChange]]</f>
        <v>1504.9113696545137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38546</v>
      </c>
      <c r="B215" s="2">
        <v>2005</v>
      </c>
      <c r="C215" s="2">
        <f>COUNTIFS(Games[Team],Games[[#This Row],[Team]],Games[Season],Games[[#This Row],[Season]],Games[Date],"&lt;=" &amp; Games[[#This Row],[Date]])</f>
        <v>18</v>
      </c>
      <c r="D215" s="2" t="s">
        <v>23</v>
      </c>
      <c r="E215" s="2" t="s">
        <v>29</v>
      </c>
      <c r="F215" s="1" t="s">
        <v>81</v>
      </c>
      <c r="G215" s="1" t="s">
        <v>73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6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5" s="2">
        <f>Games[[#This Row],[DaysOff]]-Games[[#This Row],[OppDaysOff]]</f>
        <v>1</v>
      </c>
      <c r="L215" s="2">
        <f>Games[[#This Row],[OppDaysOff]]-Games[[#This Row],[DaysOff]]</f>
        <v>-1</v>
      </c>
      <c r="M215" s="1">
        <f>MAX(-16, MIN(16, Games[[#This Row],[RestDiff]]*8))</f>
        <v>8</v>
      </c>
      <c r="N215" s="1">
        <f>MAX(-16, MIN(16, Games[[#This Row],[OppRestDiff]]*8))</f>
        <v>-8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1523.7648169232971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1486.78040092481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0.68751897581629284</v>
      </c>
      <c r="R215" s="1">
        <v>71</v>
      </c>
      <c r="S215" s="1">
        <v>78</v>
      </c>
      <c r="T215" s="1">
        <v>0</v>
      </c>
      <c r="U215" s="1">
        <f>Games[[#This Row],[PointsFor]]-Games[[#This Row],[PointsAgainst]]</f>
        <v>-7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0.35904139230896115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73.3</v>
      </c>
      <c r="Z215" s="4">
        <f>Games[[#This Row],[K]]*Games[[#This Row],[POMult]]</f>
        <v>73.3</v>
      </c>
      <c r="AA215" s="4">
        <f>(Games[[#This Row],[Keff]]*Games[[#This Row],[MOVMult]])*(Games[[#This Row],[Result]]-Games[[#This Row],[ExpectedWin%]])</f>
        <v>-18.093941564156406</v>
      </c>
      <c r="AB215" s="4">
        <f>Games[[#This Row],[PreGmRate]]+Games[[#This Row],[RatingChange]]</f>
        <v>1505.6708753591406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38547</v>
      </c>
      <c r="B216" s="2">
        <v>2005</v>
      </c>
      <c r="C216" s="2">
        <f>COUNTIFS(Games[Team],Games[[#This Row],[Team]],Games[Season],Games[[#This Row],[Season]],Games[Date],"&lt;=" &amp; Games[[#This Row],[Date]])</f>
        <v>19</v>
      </c>
      <c r="D216" s="2" t="s">
        <v>23</v>
      </c>
      <c r="E216" s="2" t="s">
        <v>29</v>
      </c>
      <c r="F216" s="1" t="s">
        <v>84</v>
      </c>
      <c r="G216" s="1" t="s">
        <v>45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8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10</v>
      </c>
      <c r="K216" s="2">
        <f>Games[[#This Row],[DaysOff]]-Games[[#This Row],[OppDaysOff]]</f>
        <v>-2</v>
      </c>
      <c r="L216" s="2">
        <f>Games[[#This Row],[OppDaysOff]]-Games[[#This Row],[DaysOff]]</f>
        <v>2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1394.2033911523017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1610.0156270525715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0.12897357573291948</v>
      </c>
      <c r="R216" s="1">
        <v>61</v>
      </c>
      <c r="S216" s="1">
        <v>72</v>
      </c>
      <c r="T216" s="1">
        <v>0</v>
      </c>
      <c r="U216" s="1">
        <f>Games[[#This Row],[PointsFor]]-Games[[#This Row],[PointsAgainst]]</f>
        <v>-11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0.37279178052416284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73.150000000000006</v>
      </c>
      <c r="Z216" s="4">
        <f>Games[[#This Row],[K]]*Games[[#This Row],[POMult]]</f>
        <v>73.150000000000006</v>
      </c>
      <c r="AA216" s="4">
        <f>(Games[[#This Row],[Keff]]*Games[[#This Row],[MOVMult]])*(Games[[#This Row],[Result]]-Games[[#This Row],[ExpectedWin%]])</f>
        <v>-3.5170731358178466</v>
      </c>
      <c r="AB216" s="4">
        <f>Games[[#This Row],[PreGmRate]]+Games[[#This Row],[RatingChange]]</f>
        <v>1390.6863180164839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38547</v>
      </c>
      <c r="B217" s="2">
        <v>2005</v>
      </c>
      <c r="C217" s="2">
        <f>COUNTIFS(Games[Team],Games[[#This Row],[Team]],Games[Season],Games[[#This Row],[Season]],Games[Date],"&lt;=" &amp; Games[[#This Row],[Date]])</f>
        <v>17</v>
      </c>
      <c r="D217" s="2" t="s">
        <v>23</v>
      </c>
      <c r="E217" s="2" t="s">
        <v>29</v>
      </c>
      <c r="F217" s="1" t="s">
        <v>45</v>
      </c>
      <c r="G217" s="1" t="s">
        <v>84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10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217" s="2">
        <f>Games[[#This Row],[DaysOff]]-Games[[#This Row],[OppDaysOff]]</f>
        <v>2</v>
      </c>
      <c r="L217" s="2">
        <f>Games[[#This Row],[OppDaysOff]]-Games[[#This Row],[DaysOff]]</f>
        <v>-2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1610.0156270525715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1394.2033911523017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0.87102642426708055</v>
      </c>
      <c r="R217" s="1">
        <v>72</v>
      </c>
      <c r="S217" s="1">
        <v>61</v>
      </c>
      <c r="T217" s="1">
        <v>0</v>
      </c>
      <c r="U217" s="1">
        <f>Games[[#This Row],[PointsFor]]-Games[[#This Row],[PointsAgainst]]</f>
        <v>11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0.37279178052416284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3.5314972224992589</v>
      </c>
      <c r="AB217" s="4">
        <f>Games[[#This Row],[PreGmRate]]+Games[[#This Row],[RatingChange]]</f>
        <v>1613.5471242750707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38548</v>
      </c>
      <c r="B218" s="2">
        <v>2005</v>
      </c>
      <c r="C218" s="2">
        <f>COUNTIFS(Games[Team],Games[[#This Row],[Team]],Games[Season],Games[[#This Row],[Season]],Games[Date],"&lt;=" &amp; Games[[#This Row],[Date]])</f>
        <v>17</v>
      </c>
      <c r="D218" s="2" t="s">
        <v>23</v>
      </c>
      <c r="E218" s="2" t="s">
        <v>29</v>
      </c>
      <c r="F218" s="1" t="s">
        <v>2</v>
      </c>
      <c r="G218" s="1" t="s">
        <v>86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1</v>
      </c>
      <c r="L218" s="2">
        <f>Games[[#This Row],[OppDaysOff]]-Games[[#This Row],[DaysOff]]</f>
        <v>-1</v>
      </c>
      <c r="M218" s="1">
        <f>MAX(-16, MIN(16, Games[[#This Row],[RestDiff]]*8))</f>
        <v>8</v>
      </c>
      <c r="N218" s="1">
        <f>MAX(-16, MIN(16, Games[[#This Row],[OppRestDiff]]*8))</f>
        <v>-8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1514.5266154658977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1621.0516332459447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0.26802879426423637</v>
      </c>
      <c r="R218" s="1">
        <v>66</v>
      </c>
      <c r="S218" s="1">
        <v>70</v>
      </c>
      <c r="T218" s="1">
        <v>0</v>
      </c>
      <c r="U218" s="1">
        <f>Games[[#This Row],[PointsFor]]-Games[[#This Row],[PointsAgainst]]</f>
        <v>-4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0.28604066267299805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73.45</v>
      </c>
      <c r="Z218" s="4">
        <f>Games[[#This Row],[K]]*Games[[#This Row],[POMult]]</f>
        <v>73.45</v>
      </c>
      <c r="AA218" s="4">
        <f>(Games[[#This Row],[Keff]]*Games[[#This Row],[MOVMult]])*(Games[[#This Row],[Result]]-Games[[#This Row],[ExpectedWin%]])</f>
        <v>-5.6312009869224928</v>
      </c>
      <c r="AB218" s="4">
        <f>Games[[#This Row],[PreGmRate]]+Games[[#This Row],[RatingChange]]</f>
        <v>1508.8954144789752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38548</v>
      </c>
      <c r="B219" s="2">
        <v>2005</v>
      </c>
      <c r="C219" s="2">
        <f>COUNTIFS(Games[Team],Games[[#This Row],[Team]],Games[Season],Games[[#This Row],[Season]],Games[Date],"&lt;=" &amp; Games[[#This Row],[Date]])</f>
        <v>17</v>
      </c>
      <c r="D219" s="2" t="s">
        <v>23</v>
      </c>
      <c r="E219" s="2" t="s">
        <v>29</v>
      </c>
      <c r="F219" s="1" t="s">
        <v>86</v>
      </c>
      <c r="G219" s="1" t="s">
        <v>2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-1</v>
      </c>
      <c r="L219" s="2">
        <f>Games[[#This Row],[OppDaysOff]]-Games[[#This Row],[DaysOff]]</f>
        <v>1</v>
      </c>
      <c r="M219" s="1">
        <f>MAX(-16, MIN(16, Games[[#This Row],[RestDiff]]*8))</f>
        <v>-8</v>
      </c>
      <c r="N219" s="1">
        <f>MAX(-16, MIN(16, Games[[#This Row],[OppRestDiff]]*8))</f>
        <v>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1621.0516332459447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1514.5266154658977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0.73197120573576369</v>
      </c>
      <c r="R219" s="1">
        <v>70</v>
      </c>
      <c r="S219" s="1">
        <v>66</v>
      </c>
      <c r="T219" s="1">
        <v>0</v>
      </c>
      <c r="U219" s="1">
        <f>Games[[#This Row],[PointsFor]]-Games[[#This Row],[PointsAgainst]]</f>
        <v>4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0.28604066267299805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73.45</v>
      </c>
      <c r="Z219" s="4">
        <f>Games[[#This Row],[K]]*Games[[#This Row],[POMult]]</f>
        <v>73.45</v>
      </c>
      <c r="AA219" s="4">
        <f>(Games[[#This Row],[Keff]]*Games[[#This Row],[MOVMult]])*(Games[[#This Row],[Result]]-Games[[#This Row],[ExpectedWin%]])</f>
        <v>5.6312009869224919</v>
      </c>
      <c r="AB219" s="4">
        <f>Games[[#This Row],[PreGmRate]]+Games[[#This Row],[RatingChange]]</f>
        <v>1626.6828342328672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38548</v>
      </c>
      <c r="B220" s="2">
        <v>2005</v>
      </c>
      <c r="C220" s="2">
        <f>COUNTIFS(Games[Team],Games[[#This Row],[Team]],Games[Season],Games[[#This Row],[Season]],Games[Date],"&lt;=" &amp; Games[[#This Row],[Date]])</f>
        <v>16</v>
      </c>
      <c r="D220" s="2" t="s">
        <v>23</v>
      </c>
      <c r="E220" s="2" t="s">
        <v>29</v>
      </c>
      <c r="F220" s="1" t="s">
        <v>75</v>
      </c>
      <c r="G220" s="1" t="s">
        <v>79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1471.4771625584494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1505.8194591216045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0.3359861609262067</v>
      </c>
      <c r="R220" s="1">
        <v>57</v>
      </c>
      <c r="S220" s="1">
        <v>62</v>
      </c>
      <c r="T220" s="1">
        <v>0</v>
      </c>
      <c r="U220" s="1">
        <f>Games[[#This Row],[PointsFor]]-Games[[#This Row],[PointsAgainst]]</f>
        <v>-5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0.32252574643352033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73.599999999999994</v>
      </c>
      <c r="Z220" s="4">
        <f>Games[[#This Row],[K]]*Games[[#This Row],[POMult]]</f>
        <v>73.599999999999994</v>
      </c>
      <c r="AA220" s="4">
        <f>(Games[[#This Row],[Keff]]*Games[[#This Row],[MOVMult]])*(Games[[#This Row],[Result]]-Games[[#This Row],[ExpectedWin%]])</f>
        <v>-7.9756041885226452</v>
      </c>
      <c r="AB220" s="4">
        <f>Games[[#This Row],[PreGmRate]]+Games[[#This Row],[RatingChange]]</f>
        <v>1463.5015583699269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38548</v>
      </c>
      <c r="B221" s="2">
        <v>2005</v>
      </c>
      <c r="C221" s="2">
        <f>COUNTIFS(Games[Team],Games[[#This Row],[Team]],Games[Season],Games[[#This Row],[Season]],Games[Date],"&lt;=" &amp; Games[[#This Row],[Date]])</f>
        <v>16</v>
      </c>
      <c r="D221" s="2" t="s">
        <v>23</v>
      </c>
      <c r="E221" s="2" t="s">
        <v>29</v>
      </c>
      <c r="F221" s="1" t="s">
        <v>79</v>
      </c>
      <c r="G221" s="1" t="s">
        <v>75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1505.8194591216045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1471.4771625584494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0.6640138390737933</v>
      </c>
      <c r="R221" s="1">
        <v>62</v>
      </c>
      <c r="S221" s="1">
        <v>57</v>
      </c>
      <c r="T221" s="1">
        <v>0</v>
      </c>
      <c r="U221" s="1">
        <f>Games[[#This Row],[PointsFor]]-Games[[#This Row],[PointsAgainst]]</f>
        <v>5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0.32252574643352033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73.599999999999994</v>
      </c>
      <c r="Z221" s="4">
        <f>Games[[#This Row],[K]]*Games[[#This Row],[POMult]]</f>
        <v>73.599999999999994</v>
      </c>
      <c r="AA221" s="4">
        <f>(Games[[#This Row],[Keff]]*Games[[#This Row],[MOVMult]])*(Games[[#This Row],[Result]]-Games[[#This Row],[ExpectedWin%]])</f>
        <v>7.9756041885226452</v>
      </c>
      <c r="AB221" s="4">
        <f>Games[[#This Row],[PreGmRate]]+Games[[#This Row],[RatingChange]]</f>
        <v>1513.795063310127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38548</v>
      </c>
      <c r="B222" s="2">
        <v>2005</v>
      </c>
      <c r="C222" s="2">
        <f>COUNTIFS(Games[Team],Games[[#This Row],[Team]],Games[Season],Games[[#This Row],[Season]],Games[Date],"&lt;=" &amp; Games[[#This Row],[Date]])</f>
        <v>18</v>
      </c>
      <c r="D222" s="2" t="s">
        <v>23</v>
      </c>
      <c r="E222" s="2" t="s">
        <v>29</v>
      </c>
      <c r="F222" s="1" t="s">
        <v>77</v>
      </c>
      <c r="G222" s="1" t="s">
        <v>66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2" s="2">
        <f>Games[[#This Row],[DaysOff]]-Games[[#This Row],[OppDaysOff]]</f>
        <v>-1</v>
      </c>
      <c r="L222" s="2">
        <f>Games[[#This Row],[OppDaysOff]]-Games[[#This Row],[DaysOff]]</f>
        <v>1</v>
      </c>
      <c r="M222" s="1">
        <f>MAX(-16, MIN(16, Games[[#This Row],[RestDiff]]*8))</f>
        <v>-8</v>
      </c>
      <c r="N222" s="1">
        <f>MAX(-16, MIN(16, Games[[#This Row],[OppRestDiff]]*8))</f>
        <v>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1506.0810305141199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1505.1245646540515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0.36120442587625551</v>
      </c>
      <c r="R222" s="1">
        <v>64</v>
      </c>
      <c r="S222" s="1">
        <v>60</v>
      </c>
      <c r="T222" s="1">
        <v>0</v>
      </c>
      <c r="U222" s="1">
        <f>Games[[#This Row],[PointsFor]]-Games[[#This Row],[PointsAgainst]]</f>
        <v>4</v>
      </c>
      <c r="V222" s="1">
        <f>IF(Games[[#This Row],[MOV]]&gt;0,1,IF(Games[[#This Row],[MOV]]=0,0.5,0))</f>
        <v>1</v>
      </c>
      <c r="W222" s="4">
        <f>((ABS(Games[[#This Row],[MOV]])+5)^0.6)/(12+0.01*(ABS(Games[[#This Row],[PreGmRate]]-Games[[#This Row],[OppPreGmRate]])))*IF(Games[[#This Row],[OT]]=1,0.9,1)</f>
        <v>0.31118470361622563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14.570824055990467</v>
      </c>
      <c r="AB222" s="4">
        <f>Games[[#This Row],[PreGmRate]]+Games[[#This Row],[RatingChange]]</f>
        <v>1520.6518545701103</v>
      </c>
      <c r="AC222" s="2">
        <f>IF(Games[[#This Row],[Type]]="R",IF(Games[[#This Row],[Result]]&gt;0.5,1,0),0)</f>
        <v>1</v>
      </c>
      <c r="AD222" s="2">
        <f>IF(Games[[#This Row],[Type]]="R",IF(Games[[#This Row],[Result]]&lt;0.5,1,0),0)</f>
        <v>0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38548</v>
      </c>
      <c r="B223" s="2">
        <v>2005</v>
      </c>
      <c r="C223" s="2">
        <f>COUNTIFS(Games[Team],Games[[#This Row],[Team]],Games[Season],Games[[#This Row],[Season]],Games[Date],"&lt;=" &amp; Games[[#This Row],[Date]])</f>
        <v>16</v>
      </c>
      <c r="D223" s="2" t="s">
        <v>23</v>
      </c>
      <c r="E223" s="2" t="s">
        <v>29</v>
      </c>
      <c r="F223" s="1" t="s">
        <v>66</v>
      </c>
      <c r="G223" s="1" t="s">
        <v>77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1</v>
      </c>
      <c r="L223" s="2">
        <f>Games[[#This Row],[OppDaysOff]]-Games[[#This Row],[DaysOff]]</f>
        <v>-1</v>
      </c>
      <c r="M223" s="1">
        <f>MAX(-16, MIN(16, Games[[#This Row],[RestDiff]]*8))</f>
        <v>8</v>
      </c>
      <c r="N223" s="1">
        <f>MAX(-16, MIN(16, Games[[#This Row],[OppRestDiff]]*8))</f>
        <v>-8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1505.1245646540515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1506.0810305141199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0.63879557412374444</v>
      </c>
      <c r="R223" s="1">
        <v>60</v>
      </c>
      <c r="S223" s="1">
        <v>64</v>
      </c>
      <c r="T223" s="1">
        <v>0</v>
      </c>
      <c r="U223" s="1">
        <f>Games[[#This Row],[PointsFor]]-Games[[#This Row],[PointsAgainst]]</f>
        <v>-4</v>
      </c>
      <c r="V223" s="1">
        <f>IF(Games[[#This Row],[MOV]]&gt;0,1,IF(Games[[#This Row],[MOV]]=0,0.5,0))</f>
        <v>0</v>
      </c>
      <c r="W223" s="4">
        <f>((ABS(Games[[#This Row],[MOV]])+5)^0.6)/(12+0.01*(ABS(Games[[#This Row],[PreGmRate]]-Games[[#This Row],[OppPreGmRate]])))*IF(Games[[#This Row],[OT]]=1,0.9,1)</f>
        <v>0.31118470361622563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73.599999999999994</v>
      </c>
      <c r="Z223" s="4">
        <f>Games[[#This Row],[K]]*Games[[#This Row],[POMult]]</f>
        <v>73.599999999999994</v>
      </c>
      <c r="AA223" s="4">
        <f>(Games[[#This Row],[Keff]]*Games[[#This Row],[MOVMult]])*(Games[[#This Row],[Result]]-Games[[#This Row],[ExpectedWin%]])</f>
        <v>-14.630459079411981</v>
      </c>
      <c r="AB223" s="4">
        <f>Games[[#This Row],[PreGmRate]]+Games[[#This Row],[RatingChange]]</f>
        <v>1490.4941055746394</v>
      </c>
      <c r="AC223" s="2">
        <f>IF(Games[[#This Row],[Type]]="R",IF(Games[[#This Row],[Result]]&gt;0.5,1,0),0)</f>
        <v>0</v>
      </c>
      <c r="AD223" s="2">
        <f>IF(Games[[#This Row],[Type]]="R",IF(Games[[#This Row],[Result]]&lt;0.5,1,0),0)</f>
        <v>1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38548</v>
      </c>
      <c r="B224" s="2">
        <v>2005</v>
      </c>
      <c r="C224" s="2">
        <f>COUNTIFS(Games[Team],Games[[#This Row],[Team]],Games[Season],Games[[#This Row],[Season]],Games[Date],"&lt;=" &amp; Games[[#This Row],[Date]])</f>
        <v>18</v>
      </c>
      <c r="D224" s="2" t="s">
        <v>23</v>
      </c>
      <c r="E224" s="2" t="s">
        <v>29</v>
      </c>
      <c r="F224" s="1" t="s">
        <v>73</v>
      </c>
      <c r="G224" s="1" t="s">
        <v>44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1504.9113696545137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1463.4670797929546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0.43906184972662271</v>
      </c>
      <c r="R224" s="1">
        <v>66</v>
      </c>
      <c r="S224" s="1">
        <v>77</v>
      </c>
      <c r="T224" s="1">
        <v>0</v>
      </c>
      <c r="U224" s="1">
        <f>Games[[#This Row],[PointsFor]]-Games[[#This Row],[PointsAgainst]]</f>
        <v>-11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0.42515251680606314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73.3</v>
      </c>
      <c r="Z224" s="4">
        <f>Games[[#This Row],[K]]*Games[[#This Row],[POMult]]</f>
        <v>73.3</v>
      </c>
      <c r="AA224" s="4">
        <f>(Games[[#This Row],[Keff]]*Games[[#This Row],[MOVMult]])*(Games[[#This Row],[Result]]-Games[[#This Row],[ExpectedWin%]])</f>
        <v>-13.682782757603775</v>
      </c>
      <c r="AB224" s="4">
        <f>Games[[#This Row],[PreGmRate]]+Games[[#This Row],[RatingChange]]</f>
        <v>1491.22858689691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38548</v>
      </c>
      <c r="B225" s="2">
        <v>2005</v>
      </c>
      <c r="C225" s="2">
        <f>COUNTIFS(Games[Team],Games[[#This Row],[Team]],Games[Season],Games[[#This Row],[Season]],Games[Date],"&lt;=" &amp; Games[[#This Row],[Date]])</f>
        <v>18</v>
      </c>
      <c r="D225" s="2" t="s">
        <v>23</v>
      </c>
      <c r="E225" s="2" t="s">
        <v>29</v>
      </c>
      <c r="F225" s="1" t="s">
        <v>44</v>
      </c>
      <c r="G225" s="1" t="s">
        <v>73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1463.4670797929546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1504.9113696545137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0.56093815027337735</v>
      </c>
      <c r="R225" s="1">
        <v>77</v>
      </c>
      <c r="S225" s="1">
        <v>66</v>
      </c>
      <c r="T225" s="1">
        <v>0</v>
      </c>
      <c r="U225" s="1">
        <f>Games[[#This Row],[PointsFor]]-Games[[#This Row],[PointsAgainst]]</f>
        <v>11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0.42515251680606314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73.3</v>
      </c>
      <c r="Z225" s="4">
        <f>Games[[#This Row],[K]]*Games[[#This Row],[POMult]]</f>
        <v>73.3</v>
      </c>
      <c r="AA225" s="4">
        <f>(Games[[#This Row],[Keff]]*Games[[#This Row],[MOVMult]])*(Games[[#This Row],[Result]]-Games[[#This Row],[ExpectedWin%]])</f>
        <v>13.682782757603773</v>
      </c>
      <c r="AB225" s="4">
        <f>Games[[#This Row],[PreGmRate]]+Games[[#This Row],[RatingChange]]</f>
        <v>1477.1498625505583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38548</v>
      </c>
      <c r="B226" s="2">
        <v>2005</v>
      </c>
      <c r="C226" s="2">
        <f>COUNTIFS(Games[Team],Games[[#This Row],[Team]],Games[Season],Games[[#This Row],[Season]],Games[Date],"&lt;=" &amp; Games[[#This Row],[Date]])</f>
        <v>20</v>
      </c>
      <c r="D226" s="2" t="s">
        <v>23</v>
      </c>
      <c r="E226" s="2" t="s">
        <v>29</v>
      </c>
      <c r="F226" s="1" t="s">
        <v>84</v>
      </c>
      <c r="G226" s="1" t="s">
        <v>81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-1</v>
      </c>
      <c r="L226" s="2">
        <f>Games[[#This Row],[OppDaysOff]]-Games[[#This Row],[DaysOff]]</f>
        <v>1</v>
      </c>
      <c r="M226" s="1">
        <f>MAX(-16, MIN(16, Games[[#This Row],[RestDiff]]*8))</f>
        <v>-8</v>
      </c>
      <c r="N226" s="1">
        <f>MAX(-16, MIN(16, Games[[#This Row],[OppRestDiff]]*8))</f>
        <v>8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1390.6863180164839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1505.6708753591406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0.22486262833308907</v>
      </c>
      <c r="R226" s="1">
        <v>70</v>
      </c>
      <c r="S226" s="1">
        <v>92</v>
      </c>
      <c r="T226" s="1">
        <v>0</v>
      </c>
      <c r="U226" s="1">
        <f>Games[[#This Row],[PointsFor]]-Games[[#This Row],[PointsAgainst]]</f>
        <v>-22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0.54941132315970465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</v>
      </c>
      <c r="Z226" s="4">
        <f>Games[[#This Row],[K]]*Games[[#This Row],[POMult]]</f>
        <v>73</v>
      </c>
      <c r="AA226" s="4">
        <f>(Games[[#This Row],[Keff]]*Games[[#This Row],[MOVMult]])*(Games[[#This Row],[Result]]-Games[[#This Row],[ExpectedWin%]])</f>
        <v>-9.0185714138005491</v>
      </c>
      <c r="AB226" s="4">
        <f>Games[[#This Row],[PreGmRate]]+Games[[#This Row],[RatingChange]]</f>
        <v>1381.6677466026833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38548</v>
      </c>
      <c r="B227" s="2">
        <v>2005</v>
      </c>
      <c r="C227" s="2">
        <f>COUNTIFS(Games[Team],Games[[#This Row],[Team]],Games[Season],Games[[#This Row],[Season]],Games[Date],"&lt;=" &amp; Games[[#This Row],[Date]])</f>
        <v>19</v>
      </c>
      <c r="D227" s="2" t="s">
        <v>23</v>
      </c>
      <c r="E227" s="2" t="s">
        <v>29</v>
      </c>
      <c r="F227" s="1" t="s">
        <v>81</v>
      </c>
      <c r="G227" s="1" t="s">
        <v>84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7" s="2">
        <f>Games[[#This Row],[DaysOff]]-Games[[#This Row],[OppDaysOff]]</f>
        <v>1</v>
      </c>
      <c r="L227" s="2">
        <f>Games[[#This Row],[OppDaysOff]]-Games[[#This Row],[DaysOff]]</f>
        <v>-1</v>
      </c>
      <c r="M227" s="1">
        <f>MAX(-16, MIN(16, Games[[#This Row],[RestDiff]]*8))</f>
        <v>8</v>
      </c>
      <c r="N227" s="1">
        <f>MAX(-16, MIN(16, Games[[#This Row],[OppRestDiff]]*8))</f>
        <v>-8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1505.6708753591406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1390.6863180164839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0.77513737166691099</v>
      </c>
      <c r="R227" s="1">
        <v>92</v>
      </c>
      <c r="S227" s="1">
        <v>70</v>
      </c>
      <c r="T227" s="1">
        <v>0</v>
      </c>
      <c r="U227" s="1">
        <f>Games[[#This Row],[PointsFor]]-Games[[#This Row],[PointsAgainst]]</f>
        <v>22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0.54941132315970465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73.150000000000006</v>
      </c>
      <c r="Z227" s="4">
        <f>Games[[#This Row],[K]]*Games[[#This Row],[POMult]]</f>
        <v>73.150000000000006</v>
      </c>
      <c r="AA227" s="4">
        <f>(Games[[#This Row],[Keff]]*Games[[#This Row],[MOVMult]])*(Games[[#This Row],[Result]]-Games[[#This Row],[ExpectedWin%]])</f>
        <v>9.0371027249247948</v>
      </c>
      <c r="AB227" s="4">
        <f>Games[[#This Row],[PreGmRate]]+Games[[#This Row],[RatingChange]]</f>
        <v>1514.7079780840654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38549</v>
      </c>
      <c r="B228" s="2">
        <v>2005</v>
      </c>
      <c r="C228" s="2">
        <f>COUNTIFS(Games[Team],Games[[#This Row],[Team]],Games[Season],Games[[#This Row],[Season]],Games[Date],"&lt;=" &amp; Games[[#This Row],[Date]])</f>
        <v>20</v>
      </c>
      <c r="D228" s="2" t="s">
        <v>23</v>
      </c>
      <c r="E228" s="2" t="s">
        <v>29</v>
      </c>
      <c r="F228" s="1" t="s">
        <v>81</v>
      </c>
      <c r="G228" s="1" t="s">
        <v>70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8" s="2">
        <f>Games[[#This Row],[DaysOff]]-Games[[#This Row],[OppDaysOff]]</f>
        <v>-3</v>
      </c>
      <c r="L228" s="2">
        <f>Games[[#This Row],[OppDaysOff]]-Games[[#This Row],[DaysOff]]</f>
        <v>3</v>
      </c>
      <c r="M228" s="1">
        <f>MAX(-16, MIN(16, Games[[#This Row],[RestDiff]]*8))</f>
        <v>-16</v>
      </c>
      <c r="N228" s="1">
        <f>MAX(-16, MIN(16, Games[[#This Row],[OppRestDiff]]*8))</f>
        <v>16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1514.7079780840654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1549.7713602902606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0.29533946972937469</v>
      </c>
      <c r="R228" s="1">
        <v>78</v>
      </c>
      <c r="S228" s="1">
        <v>70</v>
      </c>
      <c r="T228" s="1">
        <v>0</v>
      </c>
      <c r="U228" s="1">
        <f>Games[[#This Row],[PointsFor]]-Games[[#This Row],[PointsAgainst]]</f>
        <v>8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0.37729127809718427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</v>
      </c>
      <c r="Z228" s="4">
        <f>Games[[#This Row],[K]]*Games[[#This Row],[POMult]]</f>
        <v>73</v>
      </c>
      <c r="AA228" s="4">
        <f>(Games[[#This Row],[Keff]]*Games[[#This Row],[MOVMult]])*(Games[[#This Row],[Result]]-Games[[#This Row],[ExpectedWin%]])</f>
        <v>19.407945862602396</v>
      </c>
      <c r="AB228" s="4">
        <f>Games[[#This Row],[PreGmRate]]+Games[[#This Row],[RatingChange]]</f>
        <v>1534.1159239466679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38549</v>
      </c>
      <c r="B229" s="2">
        <v>2005</v>
      </c>
      <c r="C229" s="2">
        <f>COUNTIFS(Games[Team],Games[[#This Row],[Team]],Games[Season],Games[[#This Row],[Season]],Games[Date],"&lt;=" &amp; Games[[#This Row],[Date]])</f>
        <v>18</v>
      </c>
      <c r="D229" s="2" t="s">
        <v>23</v>
      </c>
      <c r="E229" s="2" t="s">
        <v>29</v>
      </c>
      <c r="F229" s="1" t="s">
        <v>70</v>
      </c>
      <c r="G229" s="1" t="s">
        <v>81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9" s="2">
        <f>Games[[#This Row],[DaysOff]]-Games[[#This Row],[OppDaysOff]]</f>
        <v>3</v>
      </c>
      <c r="L229" s="2">
        <f>Games[[#This Row],[OppDaysOff]]-Games[[#This Row],[DaysOff]]</f>
        <v>-3</v>
      </c>
      <c r="M229" s="1">
        <f>MAX(-16, MIN(16, Games[[#This Row],[RestDiff]]*8))</f>
        <v>16</v>
      </c>
      <c r="N229" s="1">
        <f>MAX(-16, MIN(16, Games[[#This Row],[OppRestDiff]]*8))</f>
        <v>-16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1549.7713602902606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1514.7079780840654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0.70466053027062525</v>
      </c>
      <c r="R229" s="1">
        <v>70</v>
      </c>
      <c r="S229" s="1">
        <v>78</v>
      </c>
      <c r="T229" s="1">
        <v>0</v>
      </c>
      <c r="U229" s="1">
        <f>Games[[#This Row],[PointsFor]]-Games[[#This Row],[PointsAgainst]]</f>
        <v>-8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0.37729127809718427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73.3</v>
      </c>
      <c r="Z229" s="4">
        <f>Games[[#This Row],[K]]*Games[[#This Row],[POMult]]</f>
        <v>73.3</v>
      </c>
      <c r="AA229" s="4">
        <f>(Games[[#This Row],[Keff]]*Games[[#This Row],[MOVMult]])*(Games[[#This Row],[Result]]-Games[[#This Row],[ExpectedWin%]])</f>
        <v>-19.48770454422953</v>
      </c>
      <c r="AB229" s="4">
        <f>Games[[#This Row],[PreGmRate]]+Games[[#This Row],[RatingChange]]</f>
        <v>1530.2836557460312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38549</v>
      </c>
      <c r="B230" s="2">
        <v>2005</v>
      </c>
      <c r="C230" s="2">
        <f>COUNTIFS(Games[Team],Games[[#This Row],[Team]],Games[Season],Games[[#This Row],[Season]],Games[Date],"&lt;=" &amp; Games[[#This Row],[Date]])</f>
        <v>19</v>
      </c>
      <c r="D230" s="2" t="s">
        <v>23</v>
      </c>
      <c r="E230" s="2" t="s">
        <v>29</v>
      </c>
      <c r="F230" s="1" t="s">
        <v>73</v>
      </c>
      <c r="G230" s="1" t="s">
        <v>45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1491.22858689691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1613.5471242750707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0.21758965382886525</v>
      </c>
      <c r="R230" s="1">
        <v>59</v>
      </c>
      <c r="S230" s="1">
        <v>73</v>
      </c>
      <c r="T230" s="1">
        <v>0</v>
      </c>
      <c r="U230" s="1">
        <f>Games[[#This Row],[PointsFor]]-Games[[#This Row],[PointsAgainst]]</f>
        <v>-14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0.44250285215020341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73.150000000000006</v>
      </c>
      <c r="Z230" s="4">
        <f>Games[[#This Row],[K]]*Games[[#This Row],[POMult]]</f>
        <v>73.150000000000006</v>
      </c>
      <c r="AA230" s="4">
        <f>(Games[[#This Row],[Keff]]*Games[[#This Row],[MOVMult]])*(Games[[#This Row],[Result]]-Games[[#This Row],[ExpectedWin%]])</f>
        <v>-7.043177702850973</v>
      </c>
      <c r="AB230" s="4">
        <f>Games[[#This Row],[PreGmRate]]+Games[[#This Row],[RatingChange]]</f>
        <v>1484.185409194059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38549</v>
      </c>
      <c r="B231" s="2">
        <v>2005</v>
      </c>
      <c r="C231" s="2">
        <f>COUNTIFS(Games[Team],Games[[#This Row],[Team]],Games[Season],Games[[#This Row],[Season]],Games[Date],"&lt;=" &amp; Games[[#This Row],[Date]])</f>
        <v>18</v>
      </c>
      <c r="D231" s="2" t="s">
        <v>23</v>
      </c>
      <c r="E231" s="2" t="s">
        <v>29</v>
      </c>
      <c r="F231" s="1" t="s">
        <v>45</v>
      </c>
      <c r="G231" s="1" t="s">
        <v>73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1613.5471242750707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1491.22858689691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0.78241034617113481</v>
      </c>
      <c r="R231" s="1">
        <v>73</v>
      </c>
      <c r="S231" s="1">
        <v>59</v>
      </c>
      <c r="T231" s="1">
        <v>0</v>
      </c>
      <c r="U231" s="1">
        <f>Games[[#This Row],[PointsFor]]-Games[[#This Row],[PointsAgainst]]</f>
        <v>14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0.44250285215020341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73.3</v>
      </c>
      <c r="Z231" s="4">
        <f>Games[[#This Row],[K]]*Games[[#This Row],[POMult]]</f>
        <v>73.3</v>
      </c>
      <c r="AA231" s="4">
        <f>(Games[[#This Row],[Keff]]*Games[[#This Row],[MOVMult]])*(Games[[#This Row],[Result]]-Games[[#This Row],[ExpectedWin%]])</f>
        <v>7.0576203092136183</v>
      </c>
      <c r="AB231" s="4">
        <f>Games[[#This Row],[PreGmRate]]+Games[[#This Row],[RatingChange]]</f>
        <v>1620.6047445842844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38550</v>
      </c>
      <c r="B232" s="2">
        <v>2005</v>
      </c>
      <c r="C232" s="2">
        <f>COUNTIFS(Games[Team],Games[[#This Row],[Team]],Games[Season],Games[[#This Row],[Season]],Games[Date],"&lt;=" &amp; Games[[#This Row],[Date]])</f>
        <v>18</v>
      </c>
      <c r="D232" s="2" t="s">
        <v>23</v>
      </c>
      <c r="E232" s="2" t="s">
        <v>29</v>
      </c>
      <c r="F232" s="1" t="s">
        <v>2</v>
      </c>
      <c r="G232" s="1" t="s">
        <v>64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2" s="2">
        <f>Games[[#This Row],[DaysOff]]-Games[[#This Row],[OppDaysOff]]</f>
        <v>-2</v>
      </c>
      <c r="L232" s="2">
        <f>Games[[#This Row],[OppDaysOff]]-Games[[#This Row],[DaysOff]]</f>
        <v>2</v>
      </c>
      <c r="M232" s="1">
        <f>MAX(-16, MIN(16, Games[[#This Row],[RestDiff]]*8))</f>
        <v>-16</v>
      </c>
      <c r="N232" s="1">
        <f>MAX(-16, MIN(16, Games[[#This Row],[OppRestDiff]]*8))</f>
        <v>16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1508.8954144789752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1357.7130242042404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0.55045917446116954</v>
      </c>
      <c r="R232" s="1">
        <v>67</v>
      </c>
      <c r="S232" s="1">
        <v>55</v>
      </c>
      <c r="T232" s="1">
        <v>0</v>
      </c>
      <c r="U232" s="1">
        <f>Games[[#This Row],[PointsFor]]-Games[[#This Row],[PointsAgainst]]</f>
        <v>12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0.40509359478889856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73.3</v>
      </c>
      <c r="Z232" s="4">
        <f>Games[[#This Row],[K]]*Games[[#This Row],[POMult]]</f>
        <v>73.3</v>
      </c>
      <c r="AA232" s="4">
        <f>(Games[[#This Row],[Keff]]*Games[[#This Row],[MOVMult]])*(Games[[#This Row],[Result]]-Games[[#This Row],[ExpectedWin%]])</f>
        <v>13.348377791304824</v>
      </c>
      <c r="AB232" s="4">
        <f>Games[[#This Row],[PreGmRate]]+Games[[#This Row],[RatingChange]]</f>
        <v>1522.24379227028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38550</v>
      </c>
      <c r="B233" s="2">
        <v>2005</v>
      </c>
      <c r="C233" s="2">
        <f>COUNTIFS(Games[Team],Games[[#This Row],[Team]],Games[Season],Games[[#This Row],[Season]],Games[Date],"&lt;=" &amp; Games[[#This Row],[Date]])</f>
        <v>18</v>
      </c>
      <c r="D233" s="2" t="s">
        <v>23</v>
      </c>
      <c r="E233" s="2" t="s">
        <v>29</v>
      </c>
      <c r="F233" s="1" t="s">
        <v>64</v>
      </c>
      <c r="G233" s="1" t="s">
        <v>2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2</v>
      </c>
      <c r="L233" s="2">
        <f>Games[[#This Row],[OppDaysOff]]-Games[[#This Row],[DaysOff]]</f>
        <v>-2</v>
      </c>
      <c r="M233" s="1">
        <f>MAX(-16, MIN(16, Games[[#This Row],[RestDiff]]*8))</f>
        <v>16</v>
      </c>
      <c r="N233" s="1">
        <f>MAX(-16, MIN(16, Games[[#This Row],[OppRestDiff]]*8))</f>
        <v>-16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1357.7130242042404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1508.8954144789752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0.44954082553883057</v>
      </c>
      <c r="R233" s="1">
        <v>55</v>
      </c>
      <c r="S233" s="1">
        <v>67</v>
      </c>
      <c r="T233" s="1">
        <v>0</v>
      </c>
      <c r="U233" s="1">
        <f>Games[[#This Row],[PointsFor]]-Games[[#This Row],[PointsAgainst]]</f>
        <v>-12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0.40509359478889856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73.3</v>
      </c>
      <c r="Z233" s="4">
        <f>Games[[#This Row],[K]]*Games[[#This Row],[POMult]]</f>
        <v>73.3</v>
      </c>
      <c r="AA233" s="4">
        <f>(Games[[#This Row],[Keff]]*Games[[#This Row],[MOVMult]])*(Games[[#This Row],[Result]]-Games[[#This Row],[ExpectedWin%]])</f>
        <v>-13.348377791304827</v>
      </c>
      <c r="AB233" s="4">
        <f>Games[[#This Row],[PreGmRate]]+Games[[#This Row],[RatingChange]]</f>
        <v>1344.3646464129356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38550</v>
      </c>
      <c r="B234" s="2">
        <v>2005</v>
      </c>
      <c r="C234" s="2">
        <f>COUNTIFS(Games[Team],Games[[#This Row],[Team]],Games[Season],Games[[#This Row],[Season]],Games[Date],"&lt;=" &amp; Games[[#This Row],[Date]])</f>
        <v>17</v>
      </c>
      <c r="D234" s="2" t="s">
        <v>23</v>
      </c>
      <c r="E234" s="2" t="s">
        <v>29</v>
      </c>
      <c r="F234" s="1" t="s">
        <v>79</v>
      </c>
      <c r="G234" s="1" t="s">
        <v>75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1513.795063310127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1463.5015583699269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0.45164406675077723</v>
      </c>
      <c r="R234" s="1">
        <v>59</v>
      </c>
      <c r="S234" s="1">
        <v>58</v>
      </c>
      <c r="T234" s="1">
        <v>0</v>
      </c>
      <c r="U234" s="1">
        <f>Games[[#This Row],[PointsFor]]-Games[[#This Row],[PointsAgainst]]</f>
        <v>1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0.23435745606977831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73.45</v>
      </c>
      <c r="Z234" s="4">
        <f>Games[[#This Row],[K]]*Games[[#This Row],[POMult]]</f>
        <v>73.45</v>
      </c>
      <c r="AA234" s="4">
        <f>(Games[[#This Row],[Keff]]*Games[[#This Row],[MOVMult]])*(Games[[#This Row],[Result]]-Games[[#This Row],[ExpectedWin%]])</f>
        <v>9.4391550978968368</v>
      </c>
      <c r="AB234" s="4">
        <f>Games[[#This Row],[PreGmRate]]+Games[[#This Row],[RatingChange]]</f>
        <v>1523.2342184080239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38550</v>
      </c>
      <c r="B235" s="2">
        <v>2005</v>
      </c>
      <c r="C235" s="2">
        <f>COUNTIFS(Games[Team],Games[[#This Row],[Team]],Games[Season],Games[[#This Row],[Season]],Games[Date],"&lt;=" &amp; Games[[#This Row],[Date]])</f>
        <v>17</v>
      </c>
      <c r="D235" s="2" t="s">
        <v>23</v>
      </c>
      <c r="E235" s="2" t="s">
        <v>29</v>
      </c>
      <c r="F235" s="1" t="s">
        <v>75</v>
      </c>
      <c r="G235" s="1" t="s">
        <v>79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1463.5015583699269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1513.795063310127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0.54835593324922272</v>
      </c>
      <c r="R235" s="1">
        <v>58</v>
      </c>
      <c r="S235" s="1">
        <v>59</v>
      </c>
      <c r="T235" s="1">
        <v>0</v>
      </c>
      <c r="U235" s="1">
        <f>Games[[#This Row],[PointsFor]]-Games[[#This Row],[PointsAgainst]]</f>
        <v>-1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0.23435745606977831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73.45</v>
      </c>
      <c r="Z235" s="4">
        <f>Games[[#This Row],[K]]*Games[[#This Row],[POMult]]</f>
        <v>73.45</v>
      </c>
      <c r="AA235" s="4">
        <f>(Games[[#This Row],[Keff]]*Games[[#This Row],[MOVMult]])*(Games[[#This Row],[Result]]-Games[[#This Row],[ExpectedWin%]])</f>
        <v>-9.4391550978968368</v>
      </c>
      <c r="AB235" s="4">
        <f>Games[[#This Row],[PreGmRate]]+Games[[#This Row],[RatingChange]]</f>
        <v>1454.06240327203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38550</v>
      </c>
      <c r="B236" s="2">
        <v>2005</v>
      </c>
      <c r="C236" s="2">
        <f>COUNTIFS(Games[Team],Games[[#This Row],[Team]],Games[Season],Games[[#This Row],[Season]],Games[Date],"&lt;=" &amp; Games[[#This Row],[Date]])</f>
        <v>18</v>
      </c>
      <c r="D236" s="2" t="s">
        <v>23</v>
      </c>
      <c r="E236" s="2" t="s">
        <v>29</v>
      </c>
      <c r="F236" s="1" t="s">
        <v>86</v>
      </c>
      <c r="G236" s="1" t="s">
        <v>77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1626.6828342328672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1520.6518545701103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0.53166270261337767</v>
      </c>
      <c r="R236" s="1">
        <v>72</v>
      </c>
      <c r="S236" s="1">
        <v>53</v>
      </c>
      <c r="T236" s="1">
        <v>0</v>
      </c>
      <c r="U236" s="1">
        <f>Games[[#This Row],[PointsFor]]-Games[[#This Row],[PointsAgainst]]</f>
        <v>19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0.51543424141557981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73.3</v>
      </c>
      <c r="Z236" s="4">
        <f>Games[[#This Row],[K]]*Games[[#This Row],[POMult]]</f>
        <v>73.3</v>
      </c>
      <c r="AA236" s="4">
        <f>(Games[[#This Row],[Keff]]*Games[[#This Row],[MOVMult]])*(Games[[#This Row],[Result]]-Games[[#This Row],[ExpectedWin%]])</f>
        <v>17.694405935053574</v>
      </c>
      <c r="AB236" s="4">
        <f>Games[[#This Row],[PreGmRate]]+Games[[#This Row],[RatingChange]]</f>
        <v>1644.3772401679207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38550</v>
      </c>
      <c r="B237" s="2">
        <v>2005</v>
      </c>
      <c r="C237" s="2">
        <f>COUNTIFS(Games[Team],Games[[#This Row],[Team]],Games[Season],Games[[#This Row],[Season]],Games[Date],"&lt;=" &amp; Games[[#This Row],[Date]])</f>
        <v>19</v>
      </c>
      <c r="D237" s="2" t="s">
        <v>23</v>
      </c>
      <c r="E237" s="2" t="s">
        <v>29</v>
      </c>
      <c r="F237" s="1" t="s">
        <v>77</v>
      </c>
      <c r="G237" s="1" t="s">
        <v>86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1520.6518545701103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1626.6828342328672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0.46833729738662233</v>
      </c>
      <c r="R237" s="1">
        <v>53</v>
      </c>
      <c r="S237" s="1">
        <v>72</v>
      </c>
      <c r="T237" s="1">
        <v>0</v>
      </c>
      <c r="U237" s="1">
        <f>Games[[#This Row],[PointsFor]]-Games[[#This Row],[PointsAgainst]]</f>
        <v>-19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0.51543424141557981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73.150000000000006</v>
      </c>
      <c r="Z237" s="4">
        <f>Games[[#This Row],[K]]*Games[[#This Row],[POMult]]</f>
        <v>73.150000000000006</v>
      </c>
      <c r="AA237" s="4">
        <f>(Games[[#This Row],[Keff]]*Games[[#This Row],[MOVMult]])*(Games[[#This Row],[Result]]-Games[[#This Row],[ExpectedWin%]])</f>
        <v>-17.658196373112808</v>
      </c>
      <c r="AB237" s="4">
        <f>Games[[#This Row],[PreGmRate]]+Games[[#This Row],[RatingChange]]</f>
        <v>1502.9936581969976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38552</v>
      </c>
      <c r="B238" s="2">
        <v>2005</v>
      </c>
      <c r="C238" s="2">
        <f>COUNTIFS(Games[Team],Games[[#This Row],[Team]],Games[Season],Games[[#This Row],[Season]],Games[Date],"&lt;=" &amp; Games[[#This Row],[Date]])</f>
        <v>19</v>
      </c>
      <c r="D238" s="2" t="s">
        <v>23</v>
      </c>
      <c r="E238" s="2" t="s">
        <v>29</v>
      </c>
      <c r="F238" s="1" t="s">
        <v>86</v>
      </c>
      <c r="G238" s="1" t="s">
        <v>64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1644.3772401679207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1344.3646464129356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0.77616717035675176</v>
      </c>
      <c r="R238" s="1">
        <v>64</v>
      </c>
      <c r="S238" s="1">
        <v>55</v>
      </c>
      <c r="T238" s="1">
        <v>0</v>
      </c>
      <c r="U238" s="1">
        <f>Games[[#This Row],[PointsFor]]-Games[[#This Row],[PointsAgainst]]</f>
        <v>9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0.32477449496418426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73.150000000000006</v>
      </c>
      <c r="Z238" s="4">
        <f>Games[[#This Row],[K]]*Games[[#This Row],[POMult]]</f>
        <v>73.150000000000006</v>
      </c>
      <c r="AA238" s="4">
        <f>(Games[[#This Row],[Keff]]*Games[[#This Row],[MOVMult]])*(Games[[#This Row],[Result]]-Games[[#This Row],[ExpectedWin%]])</f>
        <v>5.3176534560072568</v>
      </c>
      <c r="AB238" s="4">
        <f>Games[[#This Row],[PreGmRate]]+Games[[#This Row],[RatingChange]]</f>
        <v>1649.694893623928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38552</v>
      </c>
      <c r="B239" s="2">
        <v>2005</v>
      </c>
      <c r="C239" s="2">
        <f>COUNTIFS(Games[Team],Games[[#This Row],[Team]],Games[Season],Games[[#This Row],[Season]],Games[Date],"&lt;=" &amp; Games[[#This Row],[Date]])</f>
        <v>19</v>
      </c>
      <c r="D239" s="2" t="s">
        <v>23</v>
      </c>
      <c r="E239" s="2" t="s">
        <v>29</v>
      </c>
      <c r="F239" s="1" t="s">
        <v>64</v>
      </c>
      <c r="G239" s="1" t="s">
        <v>86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1344.3646464129356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1644.3772401679207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0.22383282964324824</v>
      </c>
      <c r="R239" s="1">
        <v>55</v>
      </c>
      <c r="S239" s="1">
        <v>64</v>
      </c>
      <c r="T239" s="1">
        <v>0</v>
      </c>
      <c r="U239" s="1">
        <f>Games[[#This Row],[PointsFor]]-Games[[#This Row],[PointsAgainst]]</f>
        <v>-9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0.32477449496418426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73.150000000000006</v>
      </c>
      <c r="Z239" s="4">
        <f>Games[[#This Row],[K]]*Games[[#This Row],[POMult]]</f>
        <v>73.150000000000006</v>
      </c>
      <c r="AA239" s="4">
        <f>(Games[[#This Row],[Keff]]*Games[[#This Row],[MOVMult]])*(Games[[#This Row],[Result]]-Games[[#This Row],[ExpectedWin%]])</f>
        <v>-5.3176534560072568</v>
      </c>
      <c r="AB239" s="4">
        <f>Games[[#This Row],[PreGmRate]]+Games[[#This Row],[RatingChange]]</f>
        <v>1339.0469929569283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38552</v>
      </c>
      <c r="B240" s="2">
        <v>2005</v>
      </c>
      <c r="C240" s="2">
        <f>COUNTIFS(Games[Team],Games[[#This Row],[Team]],Games[Season],Games[[#This Row],[Season]],Games[Date],"&lt;=" &amp; Games[[#This Row],[Date]])</f>
        <v>19</v>
      </c>
      <c r="D240" s="2" t="s">
        <v>23</v>
      </c>
      <c r="E240" s="2" t="s">
        <v>29</v>
      </c>
      <c r="F240" s="1" t="s">
        <v>45</v>
      </c>
      <c r="G240" s="1" t="s">
        <v>2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1</v>
      </c>
      <c r="L240" s="2">
        <f>Games[[#This Row],[OppDaysOff]]-Games[[#This Row],[DaysOff]]</f>
        <v>-1</v>
      </c>
      <c r="M240" s="1">
        <f>MAX(-16, MIN(16, Games[[#This Row],[RestDiff]]*8))</f>
        <v>8</v>
      </c>
      <c r="N240" s="1">
        <f>MAX(-16, MIN(16, Games[[#This Row],[OppRestDiff]]*8))</f>
        <v>-8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1620.6047445842844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1522.24379227028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0.54358204408030519</v>
      </c>
      <c r="R240" s="1">
        <v>54</v>
      </c>
      <c r="S240" s="1">
        <v>58</v>
      </c>
      <c r="T240" s="1">
        <v>0</v>
      </c>
      <c r="U240" s="1">
        <f>Games[[#This Row],[PointsFor]]-Games[[#This Row],[PointsAgainst]]</f>
        <v>-4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0.2878392801467064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73.150000000000006</v>
      </c>
      <c r="Z240" s="4">
        <f>Games[[#This Row],[K]]*Games[[#This Row],[POMult]]</f>
        <v>73.150000000000006</v>
      </c>
      <c r="AA240" s="4">
        <f>(Games[[#This Row],[Keff]]*Games[[#This Row],[MOVMult]])*(Games[[#This Row],[Result]]-Games[[#This Row],[ExpectedWin%]])</f>
        <v>-11.445360931259083</v>
      </c>
      <c r="AB240" s="4">
        <f>Games[[#This Row],[PreGmRate]]+Games[[#This Row],[RatingChange]]</f>
        <v>1609.1593836530253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38552</v>
      </c>
      <c r="B241" s="2">
        <v>2005</v>
      </c>
      <c r="C241" s="2">
        <f>COUNTIFS(Games[Team],Games[[#This Row],[Team]],Games[Season],Games[[#This Row],[Season]],Games[Date],"&lt;=" &amp; Games[[#This Row],[Date]])</f>
        <v>19</v>
      </c>
      <c r="D241" s="2" t="s">
        <v>23</v>
      </c>
      <c r="E241" s="2" t="s">
        <v>29</v>
      </c>
      <c r="F241" s="1" t="s">
        <v>2</v>
      </c>
      <c r="G241" s="1" t="s">
        <v>45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1" s="2">
        <f>Games[[#This Row],[DaysOff]]-Games[[#This Row],[OppDaysOff]]</f>
        <v>-1</v>
      </c>
      <c r="L241" s="2">
        <f>Games[[#This Row],[OppDaysOff]]-Games[[#This Row],[DaysOff]]</f>
        <v>1</v>
      </c>
      <c r="M241" s="1">
        <f>MAX(-16, MIN(16, Games[[#This Row],[RestDiff]]*8))</f>
        <v>-8</v>
      </c>
      <c r="N241" s="1">
        <f>MAX(-16, MIN(16, Games[[#This Row],[OppRestDiff]]*8))</f>
        <v>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1522.24379227028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1620.6047445842844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0.45641795591969475</v>
      </c>
      <c r="R241" s="1">
        <v>58</v>
      </c>
      <c r="S241" s="1">
        <v>54</v>
      </c>
      <c r="T241" s="1">
        <v>0</v>
      </c>
      <c r="U241" s="1">
        <f>Games[[#This Row],[PointsFor]]-Games[[#This Row],[PointsAgainst]]</f>
        <v>4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0.2878392801467064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73.150000000000006</v>
      </c>
      <c r="Z241" s="4">
        <f>Games[[#This Row],[K]]*Games[[#This Row],[POMult]]</f>
        <v>73.150000000000006</v>
      </c>
      <c r="AA241" s="4">
        <f>(Games[[#This Row],[Keff]]*Games[[#This Row],[MOVMult]])*(Games[[#This Row],[Result]]-Games[[#This Row],[ExpectedWin%]])</f>
        <v>11.445360931259083</v>
      </c>
      <c r="AB241" s="4">
        <f>Games[[#This Row],[PreGmRate]]+Games[[#This Row],[RatingChange]]</f>
        <v>1533.6891532015391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38552</v>
      </c>
      <c r="B242" s="2">
        <v>2005</v>
      </c>
      <c r="C242" s="2">
        <f>COUNTIFS(Games[Team],Games[[#This Row],[Team]],Games[Season],Games[[#This Row],[Season]],Games[Date],"&lt;=" &amp; Games[[#This Row],[Date]])</f>
        <v>20</v>
      </c>
      <c r="D242" s="2" t="s">
        <v>23</v>
      </c>
      <c r="E242" s="2" t="s">
        <v>29</v>
      </c>
      <c r="F242" s="1" t="s">
        <v>73</v>
      </c>
      <c r="G242" s="1" t="s">
        <v>70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1484.185409194059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1530.2836557460312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0.32105978834576748</v>
      </c>
      <c r="R242" s="1">
        <v>74</v>
      </c>
      <c r="S242" s="1">
        <v>68</v>
      </c>
      <c r="T242" s="1">
        <v>0</v>
      </c>
      <c r="U242" s="1">
        <f>Games[[#This Row],[PointsFor]]-Games[[#This Row],[PointsAgainst]]</f>
        <v>6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0.33828545580222719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16.766318724219623</v>
      </c>
      <c r="AB242" s="4">
        <f>Games[[#This Row],[PreGmRate]]+Games[[#This Row],[RatingChange]]</f>
        <v>1500.9517279182787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38552</v>
      </c>
      <c r="B243" s="2">
        <v>2005</v>
      </c>
      <c r="C243" s="2">
        <f>COUNTIFS(Games[Team],Games[[#This Row],[Team]],Games[Season],Games[[#This Row],[Season]],Games[Date],"&lt;=" &amp; Games[[#This Row],[Date]])</f>
        <v>19</v>
      </c>
      <c r="D243" s="2" t="s">
        <v>23</v>
      </c>
      <c r="E243" s="2" t="s">
        <v>29</v>
      </c>
      <c r="F243" s="1" t="s">
        <v>70</v>
      </c>
      <c r="G243" s="1" t="s">
        <v>73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1530.2836557460312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1484.185409194059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0.67894021165423246</v>
      </c>
      <c r="R243" s="1">
        <v>68</v>
      </c>
      <c r="S243" s="1">
        <v>74</v>
      </c>
      <c r="T243" s="1">
        <v>0</v>
      </c>
      <c r="U243" s="1">
        <f>Games[[#This Row],[PointsFor]]-Games[[#This Row],[PointsAgainst]]</f>
        <v>-6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0.33828545580222719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73.150000000000006</v>
      </c>
      <c r="Z243" s="4">
        <f>Games[[#This Row],[K]]*Games[[#This Row],[POMult]]</f>
        <v>73.150000000000006</v>
      </c>
      <c r="AA243" s="4">
        <f>(Games[[#This Row],[Keff]]*Games[[#This Row],[MOVMult]])*(Games[[#This Row],[Result]]-Games[[#This Row],[ExpectedWin%]])</f>
        <v>-16.800770064063908</v>
      </c>
      <c r="AB243" s="4">
        <f>Games[[#This Row],[PreGmRate]]+Games[[#This Row],[RatingChange]]</f>
        <v>1513.4828856819672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38552</v>
      </c>
      <c r="B244" s="2">
        <v>2005</v>
      </c>
      <c r="C244" s="2">
        <f>COUNTIFS(Games[Team],Games[[#This Row],[Team]],Games[Season],Games[[#This Row],[Season]],Games[Date],"&lt;=" &amp; Games[[#This Row],[Date]])</f>
        <v>18</v>
      </c>
      <c r="D244" s="2" t="s">
        <v>23</v>
      </c>
      <c r="E244" s="2" t="s">
        <v>29</v>
      </c>
      <c r="F244" s="1" t="s">
        <v>79</v>
      </c>
      <c r="G244" s="1" t="s">
        <v>77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1523.2342184080239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1502.9936581969976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0.40925915343285102</v>
      </c>
      <c r="R244" s="1">
        <v>45</v>
      </c>
      <c r="S244" s="1">
        <v>66</v>
      </c>
      <c r="T244" s="1">
        <v>0</v>
      </c>
      <c r="U244" s="1">
        <f>Games[[#This Row],[PointsFor]]-Games[[#This Row],[PointsAgainst]]</f>
        <v>-21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0.5788133670976644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73.3</v>
      </c>
      <c r="Z244" s="4">
        <f>Games[[#This Row],[K]]*Games[[#This Row],[POMult]]</f>
        <v>73.3</v>
      </c>
      <c r="AA244" s="4">
        <f>(Games[[#This Row],[Keff]]*Games[[#This Row],[MOVMult]])*(Games[[#This Row],[Result]]-Games[[#This Row],[ExpectedWin%]])</f>
        <v>-17.363646209406795</v>
      </c>
      <c r="AB244" s="4">
        <f>Games[[#This Row],[PreGmRate]]+Games[[#This Row],[RatingChange]]</f>
        <v>1505.8705721986171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38552</v>
      </c>
      <c r="B245" s="2">
        <v>2005</v>
      </c>
      <c r="C245" s="2">
        <f>COUNTIFS(Games[Team],Games[[#This Row],[Team]],Games[Season],Games[[#This Row],[Season]],Games[Date],"&lt;=" &amp; Games[[#This Row],[Date]])</f>
        <v>20</v>
      </c>
      <c r="D245" s="2" t="s">
        <v>23</v>
      </c>
      <c r="E245" s="2" t="s">
        <v>29</v>
      </c>
      <c r="F245" s="1" t="s">
        <v>77</v>
      </c>
      <c r="G245" s="1" t="s">
        <v>79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1502.9936581969976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1523.2342184080239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0.59074084656714898</v>
      </c>
      <c r="R245" s="1">
        <v>66</v>
      </c>
      <c r="S245" s="1">
        <v>45</v>
      </c>
      <c r="T245" s="1">
        <v>0</v>
      </c>
      <c r="U245" s="1">
        <f>Games[[#This Row],[PointsFor]]-Games[[#This Row],[PointsAgainst]]</f>
        <v>21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0.5788133670976644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</v>
      </c>
      <c r="Z245" s="4">
        <f>Games[[#This Row],[K]]*Games[[#This Row],[POMult]]</f>
        <v>73</v>
      </c>
      <c r="AA245" s="4">
        <f>(Games[[#This Row],[Keff]]*Games[[#This Row],[MOVMult]])*(Games[[#This Row],[Result]]-Games[[#This Row],[ExpectedWin%]])</f>
        <v>17.292580808822596</v>
      </c>
      <c r="AB245" s="4">
        <f>Games[[#This Row],[PreGmRate]]+Games[[#This Row],[RatingChange]]</f>
        <v>1520.2862390058201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38552</v>
      </c>
      <c r="B246" s="2">
        <v>2005</v>
      </c>
      <c r="C246" s="2">
        <f>COUNTIFS(Games[Team],Games[[#This Row],[Team]],Games[Season],Games[[#This Row],[Season]],Games[Date],"&lt;=" &amp; Games[[#This Row],[Date]])</f>
        <v>17</v>
      </c>
      <c r="D246" s="2" t="s">
        <v>23</v>
      </c>
      <c r="E246" s="2" t="s">
        <v>29</v>
      </c>
      <c r="F246" s="1" t="s">
        <v>66</v>
      </c>
      <c r="G246" s="1" t="s">
        <v>81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6" s="2">
        <f>Games[[#This Row],[DaysOff]]-Games[[#This Row],[OppDaysOff]]</f>
        <v>1</v>
      </c>
      <c r="L246" s="2">
        <f>Games[[#This Row],[OppDaysOff]]-Games[[#This Row],[DaysOff]]</f>
        <v>-1</v>
      </c>
      <c r="M246" s="1">
        <f>MAX(-16, MIN(16, Games[[#This Row],[RestDiff]]*8))</f>
        <v>8</v>
      </c>
      <c r="N246" s="1">
        <f>MAX(-16, MIN(16, Games[[#This Row],[OppRestDiff]]*8))</f>
        <v>-8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1490.4941055746394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1534.1159239466679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0.34467105040585932</v>
      </c>
      <c r="R246" s="1">
        <v>78</v>
      </c>
      <c r="S246" s="1">
        <v>87</v>
      </c>
      <c r="T246" s="1">
        <v>0</v>
      </c>
      <c r="U246" s="1">
        <f>Games[[#This Row],[PointsFor]]-Games[[#This Row],[PointsAgainst]]</f>
        <v>-9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0.39173149375460392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73.45</v>
      </c>
      <c r="Z246" s="4">
        <f>Games[[#This Row],[K]]*Games[[#This Row],[POMult]]</f>
        <v>73.45</v>
      </c>
      <c r="AA246" s="4">
        <f>(Games[[#This Row],[Keff]]*Games[[#This Row],[MOVMult]])*(Games[[#This Row],[Result]]-Games[[#This Row],[ExpectedWin%]])</f>
        <v>-9.917109223793517</v>
      </c>
      <c r="AB246" s="4">
        <f>Games[[#This Row],[PreGmRate]]+Games[[#This Row],[RatingChange]]</f>
        <v>1480.576996350846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38552</v>
      </c>
      <c r="B247" s="2">
        <v>2005</v>
      </c>
      <c r="C247" s="2">
        <f>COUNTIFS(Games[Team],Games[[#This Row],[Team]],Games[Season],Games[[#This Row],[Season]],Games[Date],"&lt;=" &amp; Games[[#This Row],[Date]])</f>
        <v>21</v>
      </c>
      <c r="D247" s="2" t="s">
        <v>23</v>
      </c>
      <c r="E247" s="2" t="s">
        <v>29</v>
      </c>
      <c r="F247" s="1" t="s">
        <v>81</v>
      </c>
      <c r="G247" s="1" t="s">
        <v>66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7" s="2">
        <f>Games[[#This Row],[DaysOff]]-Games[[#This Row],[OppDaysOff]]</f>
        <v>-1</v>
      </c>
      <c r="L247" s="2">
        <f>Games[[#This Row],[OppDaysOff]]-Games[[#This Row],[DaysOff]]</f>
        <v>1</v>
      </c>
      <c r="M247" s="1">
        <f>MAX(-16, MIN(16, Games[[#This Row],[RestDiff]]*8))</f>
        <v>-8</v>
      </c>
      <c r="N247" s="1">
        <f>MAX(-16, MIN(16, Games[[#This Row],[OppRestDiff]]*8))</f>
        <v>8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1534.1159239466679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1490.4941055746394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0.65532894959414068</v>
      </c>
      <c r="R247" s="1">
        <v>87</v>
      </c>
      <c r="S247" s="1">
        <v>78</v>
      </c>
      <c r="T247" s="1">
        <v>0</v>
      </c>
      <c r="U247" s="1">
        <f>Games[[#This Row],[PointsFor]]-Games[[#This Row],[PointsAgainst]]</f>
        <v>9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0.39173149375460392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72.849999999999994</v>
      </c>
      <c r="Z247" s="4">
        <f>Games[[#This Row],[K]]*Games[[#This Row],[POMult]]</f>
        <v>72.849999999999994</v>
      </c>
      <c r="AA247" s="4">
        <f>(Games[[#This Row],[Keff]]*Games[[#This Row],[MOVMult]])*(Games[[#This Row],[Result]]-Games[[#This Row],[ExpectedWin%]])</f>
        <v>9.8360981205358442</v>
      </c>
      <c r="AB247" s="4">
        <f>Games[[#This Row],[PreGmRate]]+Games[[#This Row],[RatingChange]]</f>
        <v>1543.9520220672036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38553</v>
      </c>
      <c r="B248" s="2">
        <v>2005</v>
      </c>
      <c r="C248" s="2">
        <f>COUNTIFS(Games[Team],Games[[#This Row],[Team]],Games[Season],Games[[#This Row],[Season]],Games[Date],"&lt;=" &amp; Games[[#This Row],[Date]])</f>
        <v>20</v>
      </c>
      <c r="D248" s="2" t="s">
        <v>23</v>
      </c>
      <c r="E248" s="2" t="s">
        <v>29</v>
      </c>
      <c r="F248" s="1" t="s">
        <v>86</v>
      </c>
      <c r="G248" s="1" t="s">
        <v>75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8" s="2">
        <f>Games[[#This Row],[DaysOff]]-Games[[#This Row],[OppDaysOff]]</f>
        <v>-2</v>
      </c>
      <c r="L248" s="2">
        <f>Games[[#This Row],[OppDaysOff]]-Games[[#This Row],[DaysOff]]</f>
        <v>2</v>
      </c>
      <c r="M248" s="1">
        <f>MAX(-16, MIN(16, Games[[#This Row],[RestDiff]]*8))</f>
        <v>-16</v>
      </c>
      <c r="N248" s="1">
        <f>MAX(-16, MIN(16, Games[[#This Row],[OppRestDiff]]*8))</f>
        <v>16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1649.694893623928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1454.06240327203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0.61263489029135576</v>
      </c>
      <c r="R248" s="1">
        <v>57</v>
      </c>
      <c r="S248" s="1">
        <v>66</v>
      </c>
      <c r="T248" s="1">
        <v>0</v>
      </c>
      <c r="U248" s="1">
        <f>Games[[#This Row],[PointsFor]]-Games[[#This Row],[PointsAgainst]]</f>
        <v>-9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0.34906455384530083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</v>
      </c>
      <c r="Z248" s="4">
        <f>Games[[#This Row],[K]]*Games[[#This Row],[POMult]]</f>
        <v>73</v>
      </c>
      <c r="AA248" s="4">
        <f>(Games[[#This Row],[Keff]]*Games[[#This Row],[MOVMult]])*(Games[[#This Row],[Result]]-Games[[#This Row],[ExpectedWin%]])</f>
        <v>-15.610986099422036</v>
      </c>
      <c r="AB248" s="4">
        <f>Games[[#This Row],[PreGmRate]]+Games[[#This Row],[RatingChange]]</f>
        <v>1634.083907524506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38553</v>
      </c>
      <c r="B249" s="2">
        <v>2005</v>
      </c>
      <c r="C249" s="2">
        <f>COUNTIFS(Games[Team],Games[[#This Row],[Team]],Games[Season],Games[[#This Row],[Season]],Games[Date],"&lt;=" &amp; Games[[#This Row],[Date]])</f>
        <v>18</v>
      </c>
      <c r="D249" s="2" t="s">
        <v>23</v>
      </c>
      <c r="E249" s="2" t="s">
        <v>29</v>
      </c>
      <c r="F249" s="1" t="s">
        <v>75</v>
      </c>
      <c r="G249" s="1" t="s">
        <v>86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9" s="2">
        <f>Games[[#This Row],[DaysOff]]-Games[[#This Row],[OppDaysOff]]</f>
        <v>2</v>
      </c>
      <c r="L249" s="2">
        <f>Games[[#This Row],[OppDaysOff]]-Games[[#This Row],[DaysOff]]</f>
        <v>-2</v>
      </c>
      <c r="M249" s="1">
        <f>MAX(-16, MIN(16, Games[[#This Row],[RestDiff]]*8))</f>
        <v>16</v>
      </c>
      <c r="N249" s="1">
        <f>MAX(-16, MIN(16, Games[[#This Row],[OppRestDiff]]*8))</f>
        <v>-16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1454.06240327203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1649.694893623928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0.38736510970864418</v>
      </c>
      <c r="R249" s="1">
        <v>66</v>
      </c>
      <c r="S249" s="1">
        <v>57</v>
      </c>
      <c r="T249" s="1">
        <v>0</v>
      </c>
      <c r="U249" s="1">
        <f>Games[[#This Row],[PointsFor]]-Games[[#This Row],[PointsAgainst]]</f>
        <v>9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0.34906455384530083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73.3</v>
      </c>
      <c r="Z249" s="4">
        <f>Games[[#This Row],[K]]*Games[[#This Row],[POMult]]</f>
        <v>73.3</v>
      </c>
      <c r="AA249" s="4">
        <f>(Games[[#This Row],[Keff]]*Games[[#This Row],[MOVMult]])*(Games[[#This Row],[Result]]-Games[[#This Row],[ExpectedWin%]])</f>
        <v>15.675140836816922</v>
      </c>
      <c r="AB249" s="4">
        <f>Games[[#This Row],[PreGmRate]]+Games[[#This Row],[RatingChange]]</f>
        <v>1469.737544108847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38554</v>
      </c>
      <c r="B250" s="2">
        <v>2005</v>
      </c>
      <c r="C250" s="2">
        <f>COUNTIFS(Games[Team],Games[[#This Row],[Team]],Games[Season],Games[[#This Row],[Season]],Games[Date],"&lt;=" &amp; Games[[#This Row],[Date]])</f>
        <v>21</v>
      </c>
      <c r="D250" s="2" t="s">
        <v>23</v>
      </c>
      <c r="E250" s="2" t="s">
        <v>29</v>
      </c>
      <c r="F250" s="1" t="s">
        <v>73</v>
      </c>
      <c r="G250" s="1" t="s">
        <v>2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1500.9517279182787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1533.6891532015391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0.33805035193056865</v>
      </c>
      <c r="R250" s="1">
        <v>70</v>
      </c>
      <c r="S250" s="1">
        <v>65</v>
      </c>
      <c r="T250" s="1">
        <v>0</v>
      </c>
      <c r="U250" s="1">
        <f>Games[[#This Row],[PointsFor]]-Games[[#This Row],[PointsAgainst]]</f>
        <v>5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0.32294563496522349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15.57341764457596</v>
      </c>
      <c r="AB250" s="4">
        <f>Games[[#This Row],[PreGmRate]]+Games[[#This Row],[RatingChange]]</f>
        <v>1516.5251455628547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38554</v>
      </c>
      <c r="B251" s="2">
        <v>2005</v>
      </c>
      <c r="C251" s="2">
        <f>COUNTIFS(Games[Team],Games[[#This Row],[Team]],Games[Season],Games[[#This Row],[Season]],Games[Date],"&lt;=" &amp; Games[[#This Row],[Date]])</f>
        <v>20</v>
      </c>
      <c r="D251" s="2" t="s">
        <v>23</v>
      </c>
      <c r="E251" s="2" t="s">
        <v>29</v>
      </c>
      <c r="F251" s="1" t="s">
        <v>2</v>
      </c>
      <c r="G251" s="1" t="s">
        <v>73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1533.6891532015391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1500.9517279182787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0.66194964806943135</v>
      </c>
      <c r="R251" s="1">
        <v>65</v>
      </c>
      <c r="S251" s="1">
        <v>70</v>
      </c>
      <c r="T251" s="1">
        <v>0</v>
      </c>
      <c r="U251" s="1">
        <f>Games[[#This Row],[PointsFor]]-Games[[#This Row],[PointsAgainst]]</f>
        <v>-5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0.32294563496522349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</v>
      </c>
      <c r="Z251" s="4">
        <f>Games[[#This Row],[K]]*Games[[#This Row],[POMult]]</f>
        <v>73</v>
      </c>
      <c r="AA251" s="4">
        <f>(Games[[#This Row],[Keff]]*Games[[#This Row],[MOVMult]])*(Games[[#This Row],[Result]]-Games[[#This Row],[ExpectedWin%]])</f>
        <v>-15.605483706987579</v>
      </c>
      <c r="AB251" s="4">
        <f>Games[[#This Row],[PreGmRate]]+Games[[#This Row],[RatingChange]]</f>
        <v>1518.0836694945515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38554</v>
      </c>
      <c r="B252" s="2">
        <v>2005</v>
      </c>
      <c r="C252" s="2">
        <f>COUNTIFS(Games[Team],Games[[#This Row],[Team]],Games[Season],Games[[#This Row],[Season]],Games[Date],"&lt;=" &amp; Games[[#This Row],[Date]])</f>
        <v>21</v>
      </c>
      <c r="D252" s="2" t="s">
        <v>23</v>
      </c>
      <c r="E252" s="2" t="s">
        <v>29</v>
      </c>
      <c r="F252" s="1" t="s">
        <v>84</v>
      </c>
      <c r="G252" s="1" t="s">
        <v>79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4</v>
      </c>
      <c r="L252" s="2">
        <f>Games[[#This Row],[OppDaysOff]]-Games[[#This Row],[DaysOff]]</f>
        <v>-4</v>
      </c>
      <c r="M252" s="1">
        <f>MAX(-16, MIN(16, Games[[#This Row],[RestDiff]]*8))</f>
        <v>16</v>
      </c>
      <c r="N252" s="1">
        <f>MAX(-16, MIN(16, Games[[#This Row],[OppRestDiff]]*8))</f>
        <v>-16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1381.6677466026833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1505.8705721986171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0.26613820114676806</v>
      </c>
      <c r="R252" s="1">
        <v>53</v>
      </c>
      <c r="S252" s="1">
        <v>66</v>
      </c>
      <c r="T252" s="1">
        <v>0</v>
      </c>
      <c r="U252" s="1">
        <f>Games[[#This Row],[PointsFor]]-Games[[#This Row],[PointsAgainst]]</f>
        <v>-13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0.42776868907678045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72.849999999999994</v>
      </c>
      <c r="Z252" s="4">
        <f>Games[[#This Row],[K]]*Games[[#This Row],[POMult]]</f>
        <v>72.849999999999994</v>
      </c>
      <c r="AA252" s="4">
        <f>(Games[[#This Row],[Keff]]*Games[[#This Row],[MOVMult]])*(Games[[#This Row],[Result]]-Games[[#This Row],[ExpectedWin%]])</f>
        <v>-8.2936511890871287</v>
      </c>
      <c r="AB252" s="4">
        <f>Games[[#This Row],[PreGmRate]]+Games[[#This Row],[RatingChange]]</f>
        <v>1373.3740954135963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38554</v>
      </c>
      <c r="B253" s="2">
        <v>2005</v>
      </c>
      <c r="C253" s="2">
        <f>COUNTIFS(Games[Team],Games[[#This Row],[Team]],Games[Season],Games[[#This Row],[Season]],Games[Date],"&lt;=" &amp; Games[[#This Row],[Date]])</f>
        <v>19</v>
      </c>
      <c r="D253" s="2" t="s">
        <v>23</v>
      </c>
      <c r="E253" s="2" t="s">
        <v>29</v>
      </c>
      <c r="F253" s="1" t="s">
        <v>79</v>
      </c>
      <c r="G253" s="1" t="s">
        <v>84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3" s="2">
        <f>Games[[#This Row],[DaysOff]]-Games[[#This Row],[OppDaysOff]]</f>
        <v>-4</v>
      </c>
      <c r="L253" s="2">
        <f>Games[[#This Row],[OppDaysOff]]-Games[[#This Row],[DaysOff]]</f>
        <v>4</v>
      </c>
      <c r="M253" s="1">
        <f>MAX(-16, MIN(16, Games[[#This Row],[RestDiff]]*8))</f>
        <v>-16</v>
      </c>
      <c r="N253" s="1">
        <f>MAX(-16, MIN(16, Games[[#This Row],[OppRestDiff]]*8))</f>
        <v>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1505.8705721986171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1381.6677466026833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0.73386179885323188</v>
      </c>
      <c r="R253" s="1">
        <v>66</v>
      </c>
      <c r="S253" s="1">
        <v>53</v>
      </c>
      <c r="T253" s="1">
        <v>0</v>
      </c>
      <c r="U253" s="1">
        <f>Games[[#This Row],[PointsFor]]-Games[[#This Row],[PointsAgainst]]</f>
        <v>13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0.42776868907678045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73.150000000000006</v>
      </c>
      <c r="Z253" s="4">
        <f>Games[[#This Row],[K]]*Games[[#This Row],[POMult]]</f>
        <v>73.150000000000006</v>
      </c>
      <c r="AA253" s="4">
        <f>(Games[[#This Row],[Keff]]*Games[[#This Row],[MOVMult]])*(Games[[#This Row],[Result]]-Games[[#This Row],[ExpectedWin%]])</f>
        <v>8.3278048659124746</v>
      </c>
      <c r="AB253" s="4">
        <f>Games[[#This Row],[PreGmRate]]+Games[[#This Row],[RatingChange]]</f>
        <v>1514.1983770645295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38554</v>
      </c>
      <c r="B254" s="2">
        <v>2005</v>
      </c>
      <c r="C254" s="2">
        <f>COUNTIFS(Games[Team],Games[[#This Row],[Team]],Games[Season],Games[[#This Row],[Season]],Games[Date],"&lt;=" &amp; Games[[#This Row],[Date]])</f>
        <v>18</v>
      </c>
      <c r="D254" s="2" t="s">
        <v>23</v>
      </c>
      <c r="E254" s="2" t="s">
        <v>29</v>
      </c>
      <c r="F254" s="1" t="s">
        <v>66</v>
      </c>
      <c r="G254" s="1" t="s">
        <v>44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4" s="2">
        <f>Games[[#This Row],[DaysOff]]-Games[[#This Row],[OppDaysOff]]</f>
        <v>-4</v>
      </c>
      <c r="L254" s="2">
        <f>Games[[#This Row],[OppDaysOff]]-Games[[#This Row],[DaysOff]]</f>
        <v>4</v>
      </c>
      <c r="M254" s="1">
        <f>MAX(-16, MIN(16, Games[[#This Row],[RestDiff]]*8))</f>
        <v>-16</v>
      </c>
      <c r="N254" s="1">
        <f>MAX(-16, MIN(16, Games[[#This Row],[OppRestDiff]]*8))</f>
        <v>16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1480.576996350846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1477.1498625505583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0.34343552415657203</v>
      </c>
      <c r="R254" s="1">
        <v>80</v>
      </c>
      <c r="S254" s="1">
        <v>70</v>
      </c>
      <c r="T254" s="1">
        <v>0</v>
      </c>
      <c r="U254" s="1">
        <f>Games[[#This Row],[PointsFor]]-Games[[#This Row],[PointsAgainst]]</f>
        <v>10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0.42192470564902873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73.3</v>
      </c>
      <c r="Z254" s="4">
        <f>Games[[#This Row],[K]]*Games[[#This Row],[POMult]]</f>
        <v>73.3</v>
      </c>
      <c r="AA254" s="4">
        <f>(Games[[#This Row],[Keff]]*Games[[#This Row],[MOVMult]])*(Games[[#This Row],[Result]]-Games[[#This Row],[ExpectedWin%]])</f>
        <v>20.305622676281796</v>
      </c>
      <c r="AB254" s="4">
        <f>Games[[#This Row],[PreGmRate]]+Games[[#This Row],[RatingChange]]</f>
        <v>1500.8826190271277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38554</v>
      </c>
      <c r="B255" s="2">
        <v>2005</v>
      </c>
      <c r="C255" s="2">
        <f>COUNTIFS(Games[Team],Games[[#This Row],[Team]],Games[Season],Games[[#This Row],[Season]],Games[Date],"&lt;=" &amp; Games[[#This Row],[Date]])</f>
        <v>19</v>
      </c>
      <c r="D255" s="2" t="s">
        <v>23</v>
      </c>
      <c r="E255" s="2" t="s">
        <v>29</v>
      </c>
      <c r="F255" s="1" t="s">
        <v>44</v>
      </c>
      <c r="G255" s="1" t="s">
        <v>66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4</v>
      </c>
      <c r="L255" s="2">
        <f>Games[[#This Row],[OppDaysOff]]-Games[[#This Row],[DaysOff]]</f>
        <v>-4</v>
      </c>
      <c r="M255" s="1">
        <f>MAX(-16, MIN(16, Games[[#This Row],[RestDiff]]*8))</f>
        <v>16</v>
      </c>
      <c r="N255" s="1">
        <f>MAX(-16, MIN(16, Games[[#This Row],[OppRestDiff]]*8))</f>
        <v>-16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1477.1498625505583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1480.576996350846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0.65656447584342803</v>
      </c>
      <c r="R255" s="1">
        <v>70</v>
      </c>
      <c r="S255" s="1">
        <v>80</v>
      </c>
      <c r="T255" s="1">
        <v>0</v>
      </c>
      <c r="U255" s="1">
        <f>Games[[#This Row],[PointsFor]]-Games[[#This Row],[PointsAgainst]]</f>
        <v>-10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0.42192470564902873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73.150000000000006</v>
      </c>
      <c r="Z255" s="4">
        <f>Games[[#This Row],[K]]*Games[[#This Row],[POMult]]</f>
        <v>73.150000000000006</v>
      </c>
      <c r="AA255" s="4">
        <f>(Games[[#This Row],[Keff]]*Games[[#This Row],[MOVMult]])*(Games[[#This Row],[Result]]-Games[[#This Row],[ExpectedWin%]])</f>
        <v>-20.264069560300324</v>
      </c>
      <c r="AB255" s="4">
        <f>Games[[#This Row],[PreGmRate]]+Games[[#This Row],[RatingChange]]</f>
        <v>1456.8857929902579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38555</v>
      </c>
      <c r="B256" s="2">
        <v>2005</v>
      </c>
      <c r="C256" s="2">
        <f>COUNTIFS(Games[Team],Games[[#This Row],[Team]],Games[Season],Games[[#This Row],[Season]],Games[Date],"&lt;=" &amp; Games[[#This Row],[Date]])</f>
        <v>20</v>
      </c>
      <c r="D256" s="2" t="s">
        <v>23</v>
      </c>
      <c r="E256" s="2" t="s">
        <v>29</v>
      </c>
      <c r="F256" s="1" t="s">
        <v>64</v>
      </c>
      <c r="G256" s="1" t="s">
        <v>86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1</v>
      </c>
      <c r="L256" s="2">
        <f>Games[[#This Row],[OppDaysOff]]-Games[[#This Row],[DaysOff]]</f>
        <v>-1</v>
      </c>
      <c r="M256" s="1">
        <f>MAX(-16, MIN(16, Games[[#This Row],[RestDiff]]*8))</f>
        <v>8</v>
      </c>
      <c r="N256" s="1">
        <f>MAX(-16, MIN(16, Games[[#This Row],[OppRestDiff]]*8))</f>
        <v>-8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1339.0469929569283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1634.083907524506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0.11009133746780579</v>
      </c>
      <c r="R256" s="1">
        <v>63</v>
      </c>
      <c r="S256" s="1">
        <v>73</v>
      </c>
      <c r="T256" s="1">
        <v>0</v>
      </c>
      <c r="U256" s="1">
        <f>Games[[#This Row],[PointsFor]]-Games[[#This Row],[PointsAgainst]]</f>
        <v>-10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0.33962749297438133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</v>
      </c>
      <c r="Z256" s="4">
        <f>Games[[#This Row],[K]]*Games[[#This Row],[POMult]]</f>
        <v>73</v>
      </c>
      <c r="AA256" s="4">
        <f>(Games[[#This Row],[Keff]]*Games[[#This Row],[MOVMult]])*(Games[[#This Row],[Result]]-Games[[#This Row],[ExpectedWin%]])</f>
        <v>-2.7294732807942843</v>
      </c>
      <c r="AB256" s="4">
        <f>Games[[#This Row],[PreGmRate]]+Games[[#This Row],[RatingChange]]</f>
        <v>1336.317519676134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38555</v>
      </c>
      <c r="B257" s="2">
        <v>2005</v>
      </c>
      <c r="C257" s="2">
        <f>COUNTIFS(Games[Team],Games[[#This Row],[Team]],Games[Season],Games[[#This Row],[Season]],Games[Date],"&lt;=" &amp; Games[[#This Row],[Date]])</f>
        <v>21</v>
      </c>
      <c r="D257" s="2" t="s">
        <v>23</v>
      </c>
      <c r="E257" s="2" t="s">
        <v>29</v>
      </c>
      <c r="F257" s="1" t="s">
        <v>86</v>
      </c>
      <c r="G257" s="1" t="s">
        <v>64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7" s="2">
        <f>Games[[#This Row],[DaysOff]]-Games[[#This Row],[OppDaysOff]]</f>
        <v>-1</v>
      </c>
      <c r="L257" s="2">
        <f>Games[[#This Row],[OppDaysOff]]-Games[[#This Row],[DaysOff]]</f>
        <v>1</v>
      </c>
      <c r="M257" s="1">
        <f>MAX(-16, MIN(16, Games[[#This Row],[RestDiff]]*8))</f>
        <v>-8</v>
      </c>
      <c r="N257" s="1">
        <f>MAX(-16, MIN(16, Games[[#This Row],[OppRestDiff]]*8))</f>
        <v>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1634.083907524506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1339.0469929569283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0.88990866253219414</v>
      </c>
      <c r="R257" s="1">
        <v>73</v>
      </c>
      <c r="S257" s="1">
        <v>63</v>
      </c>
      <c r="T257" s="1">
        <v>0</v>
      </c>
      <c r="U257" s="1">
        <f>Games[[#This Row],[PointsFor]]-Games[[#This Row],[PointsAgainst]]</f>
        <v>10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0.33962749297438133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72.849999999999994</v>
      </c>
      <c r="Z257" s="4">
        <f>Games[[#This Row],[K]]*Games[[#This Row],[POMult]]</f>
        <v>72.849999999999994</v>
      </c>
      <c r="AA257" s="4">
        <f>(Games[[#This Row],[Keff]]*Games[[#This Row],[MOVMult]])*(Games[[#This Row],[Result]]-Games[[#This Row],[ExpectedWin%]])</f>
        <v>2.7238647740529274</v>
      </c>
      <c r="AB257" s="4">
        <f>Games[[#This Row],[PreGmRate]]+Games[[#This Row],[RatingChange]]</f>
        <v>1636.807772298559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38555</v>
      </c>
      <c r="B258" s="2">
        <v>2005</v>
      </c>
      <c r="C258" s="2">
        <f>COUNTIFS(Games[Team],Games[[#This Row],[Team]],Games[Season],Games[[#This Row],[Season]],Games[Date],"&lt;=" &amp; Games[[#This Row],[Date]])</f>
        <v>19</v>
      </c>
      <c r="D258" s="2" t="s">
        <v>23</v>
      </c>
      <c r="E258" s="2" t="s">
        <v>29</v>
      </c>
      <c r="F258" s="1" t="s">
        <v>66</v>
      </c>
      <c r="G258" s="1" t="s">
        <v>45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8" s="2">
        <f>Games[[#This Row],[DaysOff]]-Games[[#This Row],[OppDaysOff]]</f>
        <v>-2</v>
      </c>
      <c r="L258" s="2">
        <f>Games[[#This Row],[OppDaysOff]]-Games[[#This Row],[DaysOff]]</f>
        <v>2</v>
      </c>
      <c r="M258" s="1">
        <f>MAX(-16, MIN(16, Games[[#This Row],[RestDiff]]*8))</f>
        <v>-16</v>
      </c>
      <c r="N258" s="1">
        <f>MAX(-16, MIN(16, Games[[#This Row],[OppRestDiff]]*8))</f>
        <v>16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1500.8826190271277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1609.1593836530253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0.21567669040931295</v>
      </c>
      <c r="R258" s="1">
        <v>73</v>
      </c>
      <c r="S258" s="1">
        <v>63</v>
      </c>
      <c r="T258" s="1">
        <v>0</v>
      </c>
      <c r="U258" s="1">
        <f>Games[[#This Row],[PointsFor]]-Games[[#This Row],[PointsAgainst]]</f>
        <v>10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0.3881102630022889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73.150000000000006</v>
      </c>
      <c r="Z258" s="4">
        <f>Games[[#This Row],[K]]*Games[[#This Row],[POMult]]</f>
        <v>73.150000000000006</v>
      </c>
      <c r="AA258" s="4">
        <f>(Games[[#This Row],[Keff]]*Games[[#This Row],[MOVMult]])*(Games[[#This Row],[Result]]-Games[[#This Row],[ExpectedWin%]])</f>
        <v>22.267147184271522</v>
      </c>
      <c r="AB258" s="4">
        <f>Games[[#This Row],[PreGmRate]]+Games[[#This Row],[RatingChange]]</f>
        <v>1523.1497662113993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38555</v>
      </c>
      <c r="B259" s="2">
        <v>2005</v>
      </c>
      <c r="C259" s="2">
        <f>COUNTIFS(Games[Team],Games[[#This Row],[Team]],Games[Season],Games[[#This Row],[Season]],Games[Date],"&lt;=" &amp; Games[[#This Row],[Date]])</f>
        <v>20</v>
      </c>
      <c r="D259" s="2" t="s">
        <v>23</v>
      </c>
      <c r="E259" s="2" t="s">
        <v>29</v>
      </c>
      <c r="F259" s="1" t="s">
        <v>45</v>
      </c>
      <c r="G259" s="1" t="s">
        <v>66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9" s="2">
        <f>Games[[#This Row],[DaysOff]]-Games[[#This Row],[OppDaysOff]]</f>
        <v>2</v>
      </c>
      <c r="L259" s="2">
        <f>Games[[#This Row],[OppDaysOff]]-Games[[#This Row],[DaysOff]]</f>
        <v>-2</v>
      </c>
      <c r="M259" s="1">
        <f>MAX(-16, MIN(16, Games[[#This Row],[RestDiff]]*8))</f>
        <v>16</v>
      </c>
      <c r="N259" s="1">
        <f>MAX(-16, MIN(16, Games[[#This Row],[OppRestDiff]]*8))</f>
        <v>-16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1609.1593836530253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1500.8826190271277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0.78432330959068697</v>
      </c>
      <c r="R259" s="1">
        <v>63</v>
      </c>
      <c r="S259" s="1">
        <v>73</v>
      </c>
      <c r="T259" s="1">
        <v>0</v>
      </c>
      <c r="U259" s="1">
        <f>Games[[#This Row],[PointsFor]]-Games[[#This Row],[PointsAgainst]]</f>
        <v>-10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0.3881102630022889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73</v>
      </c>
      <c r="Z259" s="4">
        <f>Games[[#This Row],[K]]*Games[[#This Row],[POMult]]</f>
        <v>73</v>
      </c>
      <c r="AA259" s="4">
        <f>(Games[[#This Row],[Keff]]*Games[[#This Row],[MOVMult]])*(Games[[#This Row],[Result]]-Games[[#This Row],[ExpectedWin%]])</f>
        <v>-22.221486595376906</v>
      </c>
      <c r="AB259" s="4">
        <f>Games[[#This Row],[PreGmRate]]+Games[[#This Row],[RatingChange]]</f>
        <v>1586.9378970576483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38556</v>
      </c>
      <c r="B260" s="2">
        <v>2005</v>
      </c>
      <c r="C260" s="2">
        <f>COUNTIFS(Games[Team],Games[[#This Row],[Team]],Games[Season],Games[[#This Row],[Season]],Games[Date],"&lt;=" &amp; Games[[#This Row],[Date]])</f>
        <v>20</v>
      </c>
      <c r="D260" s="2" t="s">
        <v>23</v>
      </c>
      <c r="E260" s="2" t="s">
        <v>29</v>
      </c>
      <c r="F260" s="1" t="s">
        <v>79</v>
      </c>
      <c r="G260" s="1" t="s">
        <v>64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0" s="2">
        <f>Games[[#This Row],[DaysOff]]-Games[[#This Row],[OppDaysOff]]</f>
        <v>1</v>
      </c>
      <c r="L260" s="2">
        <f>Games[[#This Row],[OppDaysOff]]-Games[[#This Row],[DaysOff]]</f>
        <v>-1</v>
      </c>
      <c r="M260" s="1">
        <f>MAX(-16, MIN(16, Games[[#This Row],[RestDiff]]*8))</f>
        <v>8</v>
      </c>
      <c r="N260" s="1">
        <f>MAX(-16, MIN(16, Games[[#This Row],[OppRestDiff]]*8))</f>
        <v>-8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1514.1983770645295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1336.317519676134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0.65306179133402165</v>
      </c>
      <c r="R260" s="1">
        <v>63</v>
      </c>
      <c r="S260" s="1">
        <v>46</v>
      </c>
      <c r="T260" s="1">
        <v>0</v>
      </c>
      <c r="U260" s="1">
        <f>Games[[#This Row],[PointsFor]]-Games[[#This Row],[PointsAgainst]]</f>
        <v>17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0.46370517412471446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</v>
      </c>
      <c r="Z260" s="4">
        <f>Games[[#This Row],[K]]*Games[[#This Row],[POMult]]</f>
        <v>73</v>
      </c>
      <c r="AA260" s="4">
        <f>(Games[[#This Row],[Keff]]*Games[[#This Row],[MOVMult]])*(Games[[#This Row],[Result]]-Games[[#This Row],[ExpectedWin%]])</f>
        <v>11.744024099578102</v>
      </c>
      <c r="AB260" s="4">
        <f>Games[[#This Row],[PreGmRate]]+Games[[#This Row],[RatingChange]]</f>
        <v>1525.9424011641077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38556</v>
      </c>
      <c r="B261" s="2">
        <v>2005</v>
      </c>
      <c r="C261" s="2">
        <f>COUNTIFS(Games[Team],Games[[#This Row],[Team]],Games[Season],Games[[#This Row],[Season]],Games[Date],"&lt;=" &amp; Games[[#This Row],[Date]])</f>
        <v>21</v>
      </c>
      <c r="D261" s="2" t="s">
        <v>23</v>
      </c>
      <c r="E261" s="2" t="s">
        <v>29</v>
      </c>
      <c r="F261" s="1" t="s">
        <v>64</v>
      </c>
      <c r="G261" s="1" t="s">
        <v>79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-1</v>
      </c>
      <c r="L261" s="2">
        <f>Games[[#This Row],[OppDaysOff]]-Games[[#This Row],[DaysOff]]</f>
        <v>1</v>
      </c>
      <c r="M261" s="1">
        <f>MAX(-16, MIN(16, Games[[#This Row],[RestDiff]]*8))</f>
        <v>-8</v>
      </c>
      <c r="N261" s="1">
        <f>MAX(-16, MIN(16, Games[[#This Row],[OppRestDiff]]*8))</f>
        <v>8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1336.317519676134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1514.1983770645295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0.34693820866597835</v>
      </c>
      <c r="R261" s="1">
        <v>46</v>
      </c>
      <c r="S261" s="1">
        <v>63</v>
      </c>
      <c r="T261" s="1">
        <v>0</v>
      </c>
      <c r="U261" s="1">
        <f>Games[[#This Row],[PointsFor]]-Games[[#This Row],[PointsAgainst]]</f>
        <v>-17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0.46370517412471446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72.849999999999994</v>
      </c>
      <c r="Z261" s="4">
        <f>Games[[#This Row],[K]]*Games[[#This Row],[POMult]]</f>
        <v>72.849999999999994</v>
      </c>
      <c r="AA261" s="4">
        <f>(Games[[#This Row],[Keff]]*Games[[#This Row],[MOVMult]])*(Games[[#This Row],[Result]]-Games[[#This Row],[ExpectedWin%]])</f>
        <v>-11.719892543209104</v>
      </c>
      <c r="AB261" s="4">
        <f>Games[[#This Row],[PreGmRate]]+Games[[#This Row],[RatingChange]]</f>
        <v>1324.5976271329248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38556</v>
      </c>
      <c r="B262" s="2">
        <v>2005</v>
      </c>
      <c r="C262" s="2">
        <f>COUNTIFS(Games[Team],Games[[#This Row],[Team]],Games[Season],Games[[#This Row],[Season]],Games[Date],"&lt;=" &amp; Games[[#This Row],[Date]])</f>
        <v>20</v>
      </c>
      <c r="D262" s="2" t="s">
        <v>23</v>
      </c>
      <c r="E262" s="2" t="s">
        <v>29</v>
      </c>
      <c r="F262" s="1" t="s">
        <v>70</v>
      </c>
      <c r="G262" s="1" t="s">
        <v>2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2</v>
      </c>
      <c r="L262" s="2">
        <f>Games[[#This Row],[OppDaysOff]]-Games[[#This Row],[DaysOff]]</f>
        <v>-2</v>
      </c>
      <c r="M262" s="1">
        <f>MAX(-16, MIN(16, Games[[#This Row],[RestDiff]]*8))</f>
        <v>16</v>
      </c>
      <c r="N262" s="1">
        <f>MAX(-16, MIN(16, Games[[#This Row],[OppRestDiff]]*8))</f>
        <v>-16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1513.4828856819672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1518.0836694945515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0.41925795408043903</v>
      </c>
      <c r="R262" s="1">
        <v>69</v>
      </c>
      <c r="S262" s="1">
        <v>59</v>
      </c>
      <c r="T262" s="1">
        <v>0</v>
      </c>
      <c r="U262" s="1">
        <f>Games[[#This Row],[PointsFor]]-Games[[#This Row],[PointsAgainst]]</f>
        <v>10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0.42151362179234564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</v>
      </c>
      <c r="Z262" s="4">
        <f>Games[[#This Row],[K]]*Games[[#This Row],[POMult]]</f>
        <v>73</v>
      </c>
      <c r="AA262" s="4">
        <f>(Games[[#This Row],[Keff]]*Games[[#This Row],[MOVMult]])*(Games[[#This Row],[Result]]-Games[[#This Row],[ExpectedWin%]])</f>
        <v>17.869719866493512</v>
      </c>
      <c r="AB262" s="4">
        <f>Games[[#This Row],[PreGmRate]]+Games[[#This Row],[RatingChange]]</f>
        <v>1531.3526055484608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38556</v>
      </c>
      <c r="B263" s="2">
        <v>2005</v>
      </c>
      <c r="C263" s="2">
        <f>COUNTIFS(Games[Team],Games[[#This Row],[Team]],Games[Season],Games[[#This Row],[Season]],Games[Date],"&lt;=" &amp; Games[[#This Row],[Date]])</f>
        <v>21</v>
      </c>
      <c r="D263" s="2" t="s">
        <v>23</v>
      </c>
      <c r="E263" s="2" t="s">
        <v>29</v>
      </c>
      <c r="F263" s="1" t="s">
        <v>2</v>
      </c>
      <c r="G263" s="1" t="s">
        <v>70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3" s="2">
        <f>Games[[#This Row],[DaysOff]]-Games[[#This Row],[OppDaysOff]]</f>
        <v>-2</v>
      </c>
      <c r="L263" s="2">
        <f>Games[[#This Row],[OppDaysOff]]-Games[[#This Row],[DaysOff]]</f>
        <v>2</v>
      </c>
      <c r="M263" s="1">
        <f>MAX(-16, MIN(16, Games[[#This Row],[RestDiff]]*8))</f>
        <v>-16</v>
      </c>
      <c r="N263" s="1">
        <f>MAX(-16, MIN(16, Games[[#This Row],[OppRestDiff]]*8))</f>
        <v>16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1518.0836694945515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1513.4828856819672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0.58074204591956091</v>
      </c>
      <c r="R263" s="1">
        <v>59</v>
      </c>
      <c r="S263" s="1">
        <v>69</v>
      </c>
      <c r="T263" s="1">
        <v>0</v>
      </c>
      <c r="U263" s="1">
        <f>Games[[#This Row],[PointsFor]]-Games[[#This Row],[PointsAgainst]]</f>
        <v>-10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0.42151362179234564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72.849999999999994</v>
      </c>
      <c r="Z263" s="4">
        <f>Games[[#This Row],[K]]*Games[[#This Row],[POMult]]</f>
        <v>72.849999999999994</v>
      </c>
      <c r="AA263" s="4">
        <f>(Games[[#This Row],[Keff]]*Games[[#This Row],[MOVMult]])*(Games[[#This Row],[Result]]-Games[[#This Row],[ExpectedWin%]])</f>
        <v>-17.833001264028109</v>
      </c>
      <c r="AB263" s="4">
        <f>Games[[#This Row],[PreGmRate]]+Games[[#This Row],[RatingChange]]</f>
        <v>1500.2506682305234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38556</v>
      </c>
      <c r="B264" s="2">
        <v>2005</v>
      </c>
      <c r="C264" s="2">
        <f>COUNTIFS(Games[Team],Games[[#This Row],[Team]],Games[Season],Games[[#This Row],[Season]],Games[Date],"&lt;=" &amp; Games[[#This Row],[Date]])</f>
        <v>20</v>
      </c>
      <c r="D264" s="2" t="s">
        <v>23</v>
      </c>
      <c r="E264" s="2" t="s">
        <v>29</v>
      </c>
      <c r="F264" s="1" t="s">
        <v>44</v>
      </c>
      <c r="G264" s="1" t="s">
        <v>84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1456.8857929902579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1373.3740954135963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0.49929727678715968</v>
      </c>
      <c r="R264" s="1">
        <v>66</v>
      </c>
      <c r="S264" s="1">
        <v>49</v>
      </c>
      <c r="T264" s="1">
        <v>0</v>
      </c>
      <c r="U264" s="1">
        <f>Games[[#This Row],[PointsFor]]-Games[[#This Row],[PointsAgainst]]</f>
        <v>17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0.49779872213454035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73</v>
      </c>
      <c r="Z264" s="4">
        <f>Games[[#This Row],[K]]*Games[[#This Row],[POMult]]</f>
        <v>73</v>
      </c>
      <c r="AA264" s="4">
        <f>(Games[[#This Row],[Keff]]*Games[[#This Row],[MOVMult]])*(Games[[#This Row],[Result]]-Games[[#This Row],[ExpectedWin%]])</f>
        <v>18.195189832278452</v>
      </c>
      <c r="AB264" s="4">
        <f>Games[[#This Row],[PreGmRate]]+Games[[#This Row],[RatingChange]]</f>
        <v>1475.0809828225363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38556</v>
      </c>
      <c r="B265" s="2">
        <v>2005</v>
      </c>
      <c r="C265" s="2">
        <f>COUNTIFS(Games[Team],Games[[#This Row],[Team]],Games[Season],Games[[#This Row],[Season]],Games[Date],"&lt;=" &amp; Games[[#This Row],[Date]])</f>
        <v>22</v>
      </c>
      <c r="D265" s="2" t="s">
        <v>23</v>
      </c>
      <c r="E265" s="2" t="s">
        <v>29</v>
      </c>
      <c r="F265" s="1" t="s">
        <v>84</v>
      </c>
      <c r="G265" s="1" t="s">
        <v>44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1373.3740954135963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1456.8857929902579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0.50070272321284026</v>
      </c>
      <c r="R265" s="1">
        <v>49</v>
      </c>
      <c r="S265" s="1">
        <v>66</v>
      </c>
      <c r="T265" s="1">
        <v>0</v>
      </c>
      <c r="U265" s="1">
        <f>Games[[#This Row],[PointsFor]]-Games[[#This Row],[PointsAgainst]]</f>
        <v>-17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0.49779872213454035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72.7</v>
      </c>
      <c r="Z265" s="4">
        <f>Games[[#This Row],[K]]*Games[[#This Row],[POMult]]</f>
        <v>72.7</v>
      </c>
      <c r="AA265" s="4">
        <f>(Games[[#This Row],[Keff]]*Games[[#This Row],[MOVMult]])*(Games[[#This Row],[Result]]-Games[[#This Row],[ExpectedWin%]])</f>
        <v>-18.120415079543061</v>
      </c>
      <c r="AB265" s="4">
        <f>Games[[#This Row],[PreGmRate]]+Games[[#This Row],[RatingChange]]</f>
        <v>1355.2536803340531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38556</v>
      </c>
      <c r="B266" s="2">
        <v>2005</v>
      </c>
      <c r="C266" s="2">
        <f>COUNTIFS(Games[Team],Games[[#This Row],[Team]],Games[Season],Games[[#This Row],[Season]],Games[Date],"&lt;=" &amp; Games[[#This Row],[Date]])</f>
        <v>19</v>
      </c>
      <c r="D266" s="2" t="s">
        <v>23</v>
      </c>
      <c r="E266" s="2" t="s">
        <v>29</v>
      </c>
      <c r="F266" s="1" t="s">
        <v>75</v>
      </c>
      <c r="G266" s="1" t="s">
        <v>81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6" s="2">
        <f>Games[[#This Row],[DaysOff]]-Games[[#This Row],[OppDaysOff]]</f>
        <v>-1</v>
      </c>
      <c r="L266" s="2">
        <f>Games[[#This Row],[OppDaysOff]]-Games[[#This Row],[DaysOff]]</f>
        <v>1</v>
      </c>
      <c r="M266" s="1">
        <f>MAX(-16, MIN(16, Games[[#This Row],[RestDiff]]*8))</f>
        <v>-8</v>
      </c>
      <c r="N266" s="1">
        <f>MAX(-16, MIN(16, Games[[#This Row],[OppRestDiff]]*8))</f>
        <v>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1469.737544108847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1543.9520220672036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0.26837964990154933</v>
      </c>
      <c r="R266" s="1">
        <v>71</v>
      </c>
      <c r="S266" s="1">
        <v>74</v>
      </c>
      <c r="T266" s="1">
        <v>0</v>
      </c>
      <c r="U266" s="1">
        <f>Games[[#This Row],[PointsFor]]-Games[[#This Row],[PointsAgainst]]</f>
        <v>-3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0.27328227024730922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73.150000000000006</v>
      </c>
      <c r="Z266" s="4">
        <f>Games[[#This Row],[K]]*Games[[#This Row],[POMult]]</f>
        <v>73.150000000000006</v>
      </c>
      <c r="AA266" s="4">
        <f>(Games[[#This Row],[Keff]]*Games[[#This Row],[MOVMult]])*(Games[[#This Row],[Result]]-Games[[#This Row],[ExpectedWin%]])</f>
        <v>-5.3650697109709524</v>
      </c>
      <c r="AB266" s="4">
        <f>Games[[#This Row],[PreGmRate]]+Games[[#This Row],[RatingChange]]</f>
        <v>1464.372474397876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38556</v>
      </c>
      <c r="B267" s="2">
        <v>2005</v>
      </c>
      <c r="C267" s="2">
        <f>COUNTIFS(Games[Team],Games[[#This Row],[Team]],Games[Season],Games[[#This Row],[Season]],Games[Date],"&lt;=" &amp; Games[[#This Row],[Date]])</f>
        <v>22</v>
      </c>
      <c r="D267" s="2" t="s">
        <v>23</v>
      </c>
      <c r="E267" s="2" t="s">
        <v>29</v>
      </c>
      <c r="F267" s="1" t="s">
        <v>81</v>
      </c>
      <c r="G267" s="1" t="s">
        <v>75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7" s="2">
        <f>Games[[#This Row],[DaysOff]]-Games[[#This Row],[OppDaysOff]]</f>
        <v>1</v>
      </c>
      <c r="L267" s="2">
        <f>Games[[#This Row],[OppDaysOff]]-Games[[#This Row],[DaysOff]]</f>
        <v>-1</v>
      </c>
      <c r="M267" s="1">
        <f>MAX(-16, MIN(16, Games[[#This Row],[RestDiff]]*8))</f>
        <v>8</v>
      </c>
      <c r="N267" s="1">
        <f>MAX(-16, MIN(16, Games[[#This Row],[OppRestDiff]]*8))</f>
        <v>-8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1543.9520220672036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1469.737544108847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0.73162035009845072</v>
      </c>
      <c r="R267" s="1">
        <v>74</v>
      </c>
      <c r="S267" s="1">
        <v>71</v>
      </c>
      <c r="T267" s="1">
        <v>0</v>
      </c>
      <c r="U267" s="1">
        <f>Games[[#This Row],[PointsFor]]-Games[[#This Row],[PointsAgainst]]</f>
        <v>3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0.27328227024730922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5.3320651809649782</v>
      </c>
      <c r="AB267" s="4">
        <f>Games[[#This Row],[PreGmRate]]+Games[[#This Row],[RatingChange]]</f>
        <v>1549.2840872481686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38557</v>
      </c>
      <c r="B268" s="2">
        <v>2005</v>
      </c>
      <c r="C268" s="2">
        <f>COUNTIFS(Games[Team],Games[[#This Row],[Team]],Games[Season],Games[[#This Row],[Season]],Games[Date],"&lt;=" &amp; Games[[#This Row],[Date]])</f>
        <v>20</v>
      </c>
      <c r="D268" s="2" t="s">
        <v>23</v>
      </c>
      <c r="E268" s="2" t="s">
        <v>29</v>
      </c>
      <c r="F268" s="1" t="s">
        <v>66</v>
      </c>
      <c r="G268" s="1" t="s">
        <v>77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8" s="2">
        <f>Games[[#This Row],[DaysOff]]-Games[[#This Row],[OppDaysOff]]</f>
        <v>-3</v>
      </c>
      <c r="L268" s="2">
        <f>Games[[#This Row],[OppDaysOff]]-Games[[#This Row],[DaysOff]]</f>
        <v>3</v>
      </c>
      <c r="M268" s="1">
        <f>MAX(-16, MIN(16, Games[[#This Row],[RestDiff]]*8))</f>
        <v>-16</v>
      </c>
      <c r="N268" s="1">
        <f>MAX(-16, MIN(16, Games[[#This Row],[OppRestDiff]]*8))</f>
        <v>16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1523.1497662113993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1520.2862390058201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0.34270432878548768</v>
      </c>
      <c r="R268" s="1">
        <v>59</v>
      </c>
      <c r="S268" s="1">
        <v>47</v>
      </c>
      <c r="T268" s="1">
        <v>0</v>
      </c>
      <c r="U268" s="1">
        <f>Games[[#This Row],[PointsFor]]-Games[[#This Row],[PointsAgainst]]</f>
        <v>12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0.45504358500538472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73</v>
      </c>
      <c r="Z268" s="4">
        <f>Games[[#This Row],[K]]*Games[[#This Row],[POMult]]</f>
        <v>73</v>
      </c>
      <c r="AA268" s="4">
        <f>(Games[[#This Row],[Keff]]*Games[[#This Row],[MOVMult]])*(Games[[#This Row],[Result]]-Games[[#This Row],[ExpectedWin%]])</f>
        <v>21.834167040571984</v>
      </c>
      <c r="AB268" s="4">
        <f>Games[[#This Row],[PreGmRate]]+Games[[#This Row],[RatingChange]]</f>
        <v>1544.9839332519714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38557</v>
      </c>
      <c r="B269" s="2">
        <v>2005</v>
      </c>
      <c r="C269" s="2">
        <f>COUNTIFS(Games[Team],Games[[#This Row],[Team]],Games[Season],Games[[#This Row],[Season]],Games[Date],"&lt;=" &amp; Games[[#This Row],[Date]])</f>
        <v>21</v>
      </c>
      <c r="D269" s="2" t="s">
        <v>23</v>
      </c>
      <c r="E269" s="2" t="s">
        <v>29</v>
      </c>
      <c r="F269" s="1" t="s">
        <v>77</v>
      </c>
      <c r="G269" s="1" t="s">
        <v>66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3</v>
      </c>
      <c r="L269" s="2">
        <f>Games[[#This Row],[OppDaysOff]]-Games[[#This Row],[DaysOff]]</f>
        <v>-3</v>
      </c>
      <c r="M269" s="1">
        <f>MAX(-16, MIN(16, Games[[#This Row],[RestDiff]]*8))</f>
        <v>16</v>
      </c>
      <c r="N269" s="1">
        <f>MAX(-16, MIN(16, Games[[#This Row],[OppRestDiff]]*8))</f>
        <v>-16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1520.2862390058201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1523.1497662113993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0.65729567121451238</v>
      </c>
      <c r="R269" s="1">
        <v>47</v>
      </c>
      <c r="S269" s="1">
        <v>59</v>
      </c>
      <c r="T269" s="1">
        <v>0</v>
      </c>
      <c r="U269" s="1">
        <f>Games[[#This Row],[PointsFor]]-Games[[#This Row],[PointsAgainst]]</f>
        <v>-12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0.45504358500538472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72.849999999999994</v>
      </c>
      <c r="Z269" s="4">
        <f>Games[[#This Row],[K]]*Games[[#This Row],[POMult]]</f>
        <v>72.849999999999994</v>
      </c>
      <c r="AA269" s="4">
        <f>(Games[[#This Row],[Keff]]*Games[[#This Row],[MOVMult]])*(Games[[#This Row],[Result]]-Games[[#This Row],[ExpectedWin%]])</f>
        <v>-21.789302313776286</v>
      </c>
      <c r="AB269" s="4">
        <f>Games[[#This Row],[PreGmRate]]+Games[[#This Row],[RatingChange]]</f>
        <v>1498.4969366920438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38557</v>
      </c>
      <c r="B270" s="2">
        <v>2005</v>
      </c>
      <c r="C270" s="2">
        <f>COUNTIFS(Games[Team],Games[[#This Row],[Team]],Games[Season],Games[[#This Row],[Season]],Games[Date],"&lt;=" &amp; Games[[#This Row],[Date]])</f>
        <v>20</v>
      </c>
      <c r="D270" s="2" t="s">
        <v>23</v>
      </c>
      <c r="E270" s="2" t="s">
        <v>29</v>
      </c>
      <c r="F270" s="1" t="s">
        <v>75</v>
      </c>
      <c r="G270" s="1" t="s">
        <v>45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-1</v>
      </c>
      <c r="L270" s="2">
        <f>Games[[#This Row],[OppDaysOff]]-Games[[#This Row],[DaysOff]]</f>
        <v>1</v>
      </c>
      <c r="M270" s="1">
        <f>MAX(-16, MIN(16, Games[[#This Row],[RestDiff]]*8))</f>
        <v>-8</v>
      </c>
      <c r="N270" s="1">
        <f>MAX(-16, MIN(16, Games[[#This Row],[OppRestDiff]]*8))</f>
        <v>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1464.372474397876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1586.9378970576483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0.21734780199908046</v>
      </c>
      <c r="R270" s="1">
        <v>51</v>
      </c>
      <c r="S270" s="1">
        <v>91</v>
      </c>
      <c r="T270" s="1">
        <v>0</v>
      </c>
      <c r="U270" s="1">
        <f>Games[[#This Row],[PointsFor]]-Games[[#This Row],[PointsAgainst]]</f>
        <v>-40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0.7421818747822857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73</v>
      </c>
      <c r="Z270" s="4">
        <f>Games[[#This Row],[K]]*Games[[#This Row],[POMult]]</f>
        <v>73</v>
      </c>
      <c r="AA270" s="4">
        <f>(Games[[#This Row],[Keff]]*Games[[#This Row],[MOVMult]])*(Games[[#This Row],[Result]]-Games[[#This Row],[ExpectedWin%]])</f>
        <v>-11.77574673922652</v>
      </c>
      <c r="AB270" s="4">
        <f>Games[[#This Row],[PreGmRate]]+Games[[#This Row],[RatingChange]]</f>
        <v>1452.5967276586493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38557</v>
      </c>
      <c r="B271" s="2">
        <v>2005</v>
      </c>
      <c r="C271" s="2">
        <f>COUNTIFS(Games[Team],Games[[#This Row],[Team]],Games[Season],Games[[#This Row],[Season]],Games[Date],"&lt;=" &amp; Games[[#This Row],[Date]])</f>
        <v>21</v>
      </c>
      <c r="D271" s="2" t="s">
        <v>23</v>
      </c>
      <c r="E271" s="2" t="s">
        <v>29</v>
      </c>
      <c r="F271" s="1" t="s">
        <v>45</v>
      </c>
      <c r="G271" s="1" t="s">
        <v>75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1" s="2">
        <f>Games[[#This Row],[DaysOff]]-Games[[#This Row],[OppDaysOff]]</f>
        <v>1</v>
      </c>
      <c r="L271" s="2">
        <f>Games[[#This Row],[OppDaysOff]]-Games[[#This Row],[DaysOff]]</f>
        <v>-1</v>
      </c>
      <c r="M271" s="1">
        <f>MAX(-16, MIN(16, Games[[#This Row],[RestDiff]]*8))</f>
        <v>8</v>
      </c>
      <c r="N271" s="1">
        <f>MAX(-16, MIN(16, Games[[#This Row],[OppRestDiff]]*8))</f>
        <v>-8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1586.9378970576483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1464.372474397876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0.78265219800091945</v>
      </c>
      <c r="R271" s="1">
        <v>91</v>
      </c>
      <c r="S271" s="1">
        <v>51</v>
      </c>
      <c r="T271" s="1">
        <v>0</v>
      </c>
      <c r="U271" s="1">
        <f>Games[[#This Row],[PointsFor]]-Games[[#This Row],[PointsAgainst]]</f>
        <v>40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0.7421818747822857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72.849999999999994</v>
      </c>
      <c r="Z271" s="4">
        <f>Games[[#This Row],[K]]*Games[[#This Row],[POMult]]</f>
        <v>72.849999999999994</v>
      </c>
      <c r="AA271" s="4">
        <f>(Games[[#This Row],[Keff]]*Games[[#This Row],[MOVMult]])*(Games[[#This Row],[Result]]-Games[[#This Row],[ExpectedWin%]])</f>
        <v>11.751549999351399</v>
      </c>
      <c r="AB271" s="4">
        <f>Games[[#This Row],[PreGmRate]]+Games[[#This Row],[RatingChange]]</f>
        <v>1598.6894470569998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38559</v>
      </c>
      <c r="B272" s="2">
        <v>2005</v>
      </c>
      <c r="C272" s="2">
        <f>COUNTIFS(Games[Team],Games[[#This Row],[Team]],Games[Season],Games[[#This Row],[Season]],Games[Date],"&lt;=" &amp; Games[[#This Row],[Date]])</f>
        <v>21</v>
      </c>
      <c r="D272" s="2" t="s">
        <v>23</v>
      </c>
      <c r="E272" s="2" t="s">
        <v>29</v>
      </c>
      <c r="F272" s="1" t="s">
        <v>79</v>
      </c>
      <c r="G272" s="1" t="s">
        <v>86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2" s="2">
        <f>Games[[#This Row],[DaysOff]]-Games[[#This Row],[OppDaysOff]]</f>
        <v>-1</v>
      </c>
      <c r="L272" s="2">
        <f>Games[[#This Row],[OppDaysOff]]-Games[[#This Row],[DaysOff]]</f>
        <v>1</v>
      </c>
      <c r="M272" s="1">
        <f>MAX(-16, MIN(16, Games[[#This Row],[RestDiff]]*8))</f>
        <v>-8</v>
      </c>
      <c r="N272" s="1">
        <f>MAX(-16, MIN(16, Games[[#This Row],[OppRestDiff]]*8))</f>
        <v>8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1525.9424011641077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1636.807772298559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0.22902255080804731</v>
      </c>
      <c r="R272" s="1">
        <v>55</v>
      </c>
      <c r="S272" s="1">
        <v>68</v>
      </c>
      <c r="T272" s="1">
        <v>0</v>
      </c>
      <c r="U272" s="1">
        <f>Games[[#This Row],[PointsFor]]-Games[[#This Row],[PointsAgainst]]</f>
        <v>-13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0.43212103946778357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72.849999999999994</v>
      </c>
      <c r="Z272" s="4">
        <f>Games[[#This Row],[K]]*Games[[#This Row],[POMult]]</f>
        <v>72.849999999999994</v>
      </c>
      <c r="AA272" s="4">
        <f>(Games[[#This Row],[Keff]]*Games[[#This Row],[MOVMult]])*(Games[[#This Row],[Result]]-Games[[#This Row],[ExpectedWin%]])</f>
        <v>-7.2096339589142664</v>
      </c>
      <c r="AB272" s="4">
        <f>Games[[#This Row],[PreGmRate]]+Games[[#This Row],[RatingChange]]</f>
        <v>1518.7327672051933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38559</v>
      </c>
      <c r="B273" s="2">
        <v>2005</v>
      </c>
      <c r="C273" s="2">
        <f>COUNTIFS(Games[Team],Games[[#This Row],[Team]],Games[Season],Games[[#This Row],[Season]],Games[Date],"&lt;=" &amp; Games[[#This Row],[Date]])</f>
        <v>22</v>
      </c>
      <c r="D273" s="2" t="s">
        <v>23</v>
      </c>
      <c r="E273" s="2" t="s">
        <v>29</v>
      </c>
      <c r="F273" s="1" t="s">
        <v>86</v>
      </c>
      <c r="G273" s="1" t="s">
        <v>79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3" s="2">
        <f>Games[[#This Row],[DaysOff]]-Games[[#This Row],[OppDaysOff]]</f>
        <v>1</v>
      </c>
      <c r="L273" s="2">
        <f>Games[[#This Row],[OppDaysOff]]-Games[[#This Row],[DaysOff]]</f>
        <v>-1</v>
      </c>
      <c r="M273" s="1">
        <f>MAX(-16, MIN(16, Games[[#This Row],[RestDiff]]*8))</f>
        <v>8</v>
      </c>
      <c r="N273" s="1">
        <f>MAX(-16, MIN(16, Games[[#This Row],[OppRestDiff]]*8))</f>
        <v>-8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1636.807772298559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1525.9424011641077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0.77097744919195266</v>
      </c>
      <c r="R273" s="1">
        <v>68</v>
      </c>
      <c r="S273" s="1">
        <v>55</v>
      </c>
      <c r="T273" s="1">
        <v>0</v>
      </c>
      <c r="U273" s="1">
        <f>Games[[#This Row],[PointsFor]]-Games[[#This Row],[PointsAgainst]]</f>
        <v>13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0.43212103946778357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72.7</v>
      </c>
      <c r="Z273" s="4">
        <f>Games[[#This Row],[K]]*Games[[#This Row],[POMult]]</f>
        <v>72.7</v>
      </c>
      <c r="AA273" s="4">
        <f>(Games[[#This Row],[Keff]]*Games[[#This Row],[MOVMult]])*(Games[[#This Row],[Result]]-Games[[#This Row],[ExpectedWin%]])</f>
        <v>7.1947891395067574</v>
      </c>
      <c r="AB273" s="4">
        <f>Games[[#This Row],[PreGmRate]]+Games[[#This Row],[RatingChange]]</f>
        <v>1644.0025614380659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38559</v>
      </c>
      <c r="B274" s="2">
        <v>2005</v>
      </c>
      <c r="C274" s="2">
        <f>COUNTIFS(Games[Team],Games[[#This Row],[Team]],Games[Season],Games[[#This Row],[Season]],Games[Date],"&lt;=" &amp; Games[[#This Row],[Date]])</f>
        <v>21</v>
      </c>
      <c r="D274" s="2" t="s">
        <v>23</v>
      </c>
      <c r="E274" s="2" t="s">
        <v>29</v>
      </c>
      <c r="F274" s="1" t="s">
        <v>70</v>
      </c>
      <c r="G274" s="1" t="s">
        <v>44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1531.3526055484608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1475.0809828225363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0.46018016468759942</v>
      </c>
      <c r="R274" s="1">
        <v>60</v>
      </c>
      <c r="S274" s="1">
        <v>77</v>
      </c>
      <c r="T274" s="1">
        <v>0</v>
      </c>
      <c r="U274" s="1">
        <f>Games[[#This Row],[PointsFor]]-Games[[#This Row],[PointsAgainst]]</f>
        <v>-17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0.50859262546423811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72.849999999999994</v>
      </c>
      <c r="Z274" s="4">
        <f>Games[[#This Row],[K]]*Games[[#This Row],[POMult]]</f>
        <v>72.849999999999994</v>
      </c>
      <c r="AA274" s="4">
        <f>(Games[[#This Row],[Keff]]*Games[[#This Row],[MOVMult]])*(Games[[#This Row],[Result]]-Games[[#This Row],[ExpectedWin%]])</f>
        <v>-17.050122748865554</v>
      </c>
      <c r="AB274" s="4">
        <f>Games[[#This Row],[PreGmRate]]+Games[[#This Row],[RatingChange]]</f>
        <v>1514.3024827995953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38559</v>
      </c>
      <c r="B275" s="2">
        <v>2005</v>
      </c>
      <c r="C275" s="2">
        <f>COUNTIFS(Games[Team],Games[[#This Row],[Team]],Games[Season],Games[[#This Row],[Season]],Games[Date],"&lt;=" &amp; Games[[#This Row],[Date]])</f>
        <v>21</v>
      </c>
      <c r="D275" s="2" t="s">
        <v>23</v>
      </c>
      <c r="E275" s="2" t="s">
        <v>29</v>
      </c>
      <c r="F275" s="1" t="s">
        <v>44</v>
      </c>
      <c r="G275" s="1" t="s">
        <v>70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1475.0809828225363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1531.3526055484608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0.53981983531240063</v>
      </c>
      <c r="R275" s="1">
        <v>77</v>
      </c>
      <c r="S275" s="1">
        <v>60</v>
      </c>
      <c r="T275" s="1">
        <v>0</v>
      </c>
      <c r="U275" s="1">
        <f>Games[[#This Row],[PointsFor]]-Games[[#This Row],[PointsAgainst]]</f>
        <v>17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0.50859262546423811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72.849999999999994</v>
      </c>
      <c r="Z275" s="4">
        <f>Games[[#This Row],[K]]*Games[[#This Row],[POMult]]</f>
        <v>72.849999999999994</v>
      </c>
      <c r="AA275" s="4">
        <f>(Games[[#This Row],[Keff]]*Games[[#This Row],[MOVMult]])*(Games[[#This Row],[Result]]-Games[[#This Row],[ExpectedWin%]])</f>
        <v>17.050122748865554</v>
      </c>
      <c r="AB275" s="4">
        <f>Games[[#This Row],[PreGmRate]]+Games[[#This Row],[RatingChange]]</f>
        <v>1492.1311055714018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38559</v>
      </c>
      <c r="B276" s="2">
        <v>2005</v>
      </c>
      <c r="C276" s="2">
        <f>COUNTIFS(Games[Team],Games[[#This Row],[Team]],Games[Season],Games[[#This Row],[Season]],Games[Date],"&lt;=" &amp; Games[[#This Row],[Date]])</f>
        <v>22</v>
      </c>
      <c r="D276" s="2" t="s">
        <v>23</v>
      </c>
      <c r="E276" s="2" t="s">
        <v>29</v>
      </c>
      <c r="F276" s="1" t="s">
        <v>64</v>
      </c>
      <c r="G276" s="1" t="s">
        <v>45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1</v>
      </c>
      <c r="L276" s="2">
        <f>Games[[#This Row],[OppDaysOff]]-Games[[#This Row],[DaysOff]]</f>
        <v>-1</v>
      </c>
      <c r="M276" s="1">
        <f>MAX(-16, MIN(16, Games[[#This Row],[RestDiff]]*8))</f>
        <v>8</v>
      </c>
      <c r="N276" s="1">
        <f>MAX(-16, MIN(16, Games[[#This Row],[OppRestDiff]]*8))</f>
        <v>-8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1324.5976271329248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1598.6894470569998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0.12247066936120551</v>
      </c>
      <c r="R276" s="1">
        <v>54</v>
      </c>
      <c r="S276" s="1">
        <v>64</v>
      </c>
      <c r="T276" s="1">
        <v>0</v>
      </c>
      <c r="U276" s="1">
        <f>Games[[#This Row],[PointsFor]]-Games[[#This Row],[PointsAgainst]]</f>
        <v>-10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0.34445319642632122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72.7</v>
      </c>
      <c r="Z276" s="4">
        <f>Games[[#This Row],[K]]*Games[[#This Row],[POMult]]</f>
        <v>72.7</v>
      </c>
      <c r="AA276" s="4">
        <f>(Games[[#This Row],[Keff]]*Games[[#This Row],[MOVMult]])*(Games[[#This Row],[Result]]-Games[[#This Row],[ExpectedWin%]])</f>
        <v>-3.0668795636265189</v>
      </c>
      <c r="AB276" s="4">
        <f>Games[[#This Row],[PreGmRate]]+Games[[#This Row],[RatingChange]]</f>
        <v>1321.5307475692982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38559</v>
      </c>
      <c r="B277" s="2">
        <v>2005</v>
      </c>
      <c r="C277" s="2">
        <f>COUNTIFS(Games[Team],Games[[#This Row],[Team]],Games[Season],Games[[#This Row],[Season]],Games[Date],"&lt;=" &amp; Games[[#This Row],[Date]])</f>
        <v>22</v>
      </c>
      <c r="D277" s="2" t="s">
        <v>23</v>
      </c>
      <c r="E277" s="2" t="s">
        <v>29</v>
      </c>
      <c r="F277" s="1" t="s">
        <v>45</v>
      </c>
      <c r="G277" s="1" t="s">
        <v>64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-1</v>
      </c>
      <c r="L277" s="2">
        <f>Games[[#This Row],[OppDaysOff]]-Games[[#This Row],[DaysOff]]</f>
        <v>1</v>
      </c>
      <c r="M277" s="1">
        <f>MAX(-16, MIN(16, Games[[#This Row],[RestDiff]]*8))</f>
        <v>-8</v>
      </c>
      <c r="N277" s="1">
        <f>MAX(-16, MIN(16, Games[[#This Row],[OppRestDiff]]*8))</f>
        <v>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1598.6894470569998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1324.5976271329248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0.87752933063879435</v>
      </c>
      <c r="R277" s="1">
        <v>64</v>
      </c>
      <c r="S277" s="1">
        <v>54</v>
      </c>
      <c r="T277" s="1">
        <v>0</v>
      </c>
      <c r="U277" s="1">
        <f>Games[[#This Row],[PointsFor]]-Games[[#This Row],[PointsAgainst]]</f>
        <v>10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0.34445319642632122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72.7</v>
      </c>
      <c r="Z277" s="4">
        <f>Games[[#This Row],[K]]*Games[[#This Row],[POMult]]</f>
        <v>72.7</v>
      </c>
      <c r="AA277" s="4">
        <f>(Games[[#This Row],[Keff]]*Games[[#This Row],[MOVMult]])*(Games[[#This Row],[Result]]-Games[[#This Row],[ExpectedWin%]])</f>
        <v>3.0668795636265225</v>
      </c>
      <c r="AB277" s="4">
        <f>Games[[#This Row],[PreGmRate]]+Games[[#This Row],[RatingChange]]</f>
        <v>1601.7563266206264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38559</v>
      </c>
      <c r="B278" s="2">
        <v>2005</v>
      </c>
      <c r="C278" s="2">
        <f>COUNTIFS(Games[Team],Games[[#This Row],[Team]],Games[Season],Games[[#This Row],[Season]],Games[Date],"&lt;=" &amp; Games[[#This Row],[Date]])</f>
        <v>22</v>
      </c>
      <c r="D278" s="2" t="s">
        <v>23</v>
      </c>
      <c r="E278" s="2" t="s">
        <v>29</v>
      </c>
      <c r="F278" s="1" t="s">
        <v>77</v>
      </c>
      <c r="G278" s="1" t="s">
        <v>84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8" s="2">
        <f>Games[[#This Row],[DaysOff]]-Games[[#This Row],[OppDaysOff]]</f>
        <v>-1</v>
      </c>
      <c r="L278" s="2">
        <f>Games[[#This Row],[OppDaysOff]]-Games[[#This Row],[DaysOff]]</f>
        <v>1</v>
      </c>
      <c r="M278" s="1">
        <f>MAX(-16, MIN(16, Games[[#This Row],[RestDiff]]*8))</f>
        <v>-8</v>
      </c>
      <c r="N278" s="1">
        <f>MAX(-16, MIN(16, Games[[#This Row],[OppRestDiff]]*8))</f>
        <v>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1498.4969366920438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1355.2536803340531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0.56191267525807176</v>
      </c>
      <c r="R278" s="1">
        <v>71</v>
      </c>
      <c r="S278" s="1">
        <v>78</v>
      </c>
      <c r="T278" s="1">
        <v>0</v>
      </c>
      <c r="U278" s="1">
        <f>Games[[#This Row],[PointsFor]]-Games[[#This Row],[PointsAgainst]]</f>
        <v>-7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0.33063899995952656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72.7</v>
      </c>
      <c r="Z278" s="4">
        <f>Games[[#This Row],[K]]*Games[[#This Row],[POMult]]</f>
        <v>72.7</v>
      </c>
      <c r="AA278" s="4">
        <f>(Games[[#This Row],[Keff]]*Games[[#This Row],[MOVMult]])*(Games[[#This Row],[Result]]-Games[[#This Row],[ExpectedWin%]])</f>
        <v>-13.506950812365934</v>
      </c>
      <c r="AB278" s="4">
        <f>Games[[#This Row],[PreGmRate]]+Games[[#This Row],[RatingChange]]</f>
        <v>1484.989985879678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38559</v>
      </c>
      <c r="B279" s="2">
        <v>2005</v>
      </c>
      <c r="C279" s="2">
        <f>COUNTIFS(Games[Team],Games[[#This Row],[Team]],Games[Season],Games[[#This Row],[Season]],Games[Date],"&lt;=" &amp; Games[[#This Row],[Date]])</f>
        <v>23</v>
      </c>
      <c r="D279" s="2" t="s">
        <v>23</v>
      </c>
      <c r="E279" s="2" t="s">
        <v>29</v>
      </c>
      <c r="F279" s="1" t="s">
        <v>84</v>
      </c>
      <c r="G279" s="1" t="s">
        <v>77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1</v>
      </c>
      <c r="L279" s="2">
        <f>Games[[#This Row],[OppDaysOff]]-Games[[#This Row],[DaysOff]]</f>
        <v>-1</v>
      </c>
      <c r="M279" s="1">
        <f>MAX(-16, MIN(16, Games[[#This Row],[RestDiff]]*8))</f>
        <v>8</v>
      </c>
      <c r="N279" s="1">
        <f>MAX(-16, MIN(16, Games[[#This Row],[OppRestDiff]]*8))</f>
        <v>-8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1355.2536803340531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1498.4969366920438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0.4380873247419283</v>
      </c>
      <c r="R279" s="1">
        <v>78</v>
      </c>
      <c r="S279" s="1">
        <v>71</v>
      </c>
      <c r="T279" s="1">
        <v>0</v>
      </c>
      <c r="U279" s="1">
        <f>Games[[#This Row],[PointsFor]]-Games[[#This Row],[PointsAgainst]]</f>
        <v>7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0.33063899995952656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72.55</v>
      </c>
      <c r="Z279" s="4">
        <f>Games[[#This Row],[K]]*Games[[#This Row],[POMult]]</f>
        <v>72.55</v>
      </c>
      <c r="AA279" s="4">
        <f>(Games[[#This Row],[Keff]]*Games[[#This Row],[MOVMult]])*(Games[[#This Row],[Result]]-Games[[#This Row],[ExpectedWin%]])</f>
        <v>13.479082275614145</v>
      </c>
      <c r="AB279" s="4">
        <f>Games[[#This Row],[PreGmRate]]+Games[[#This Row],[RatingChange]]</f>
        <v>1368.7327626096674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38559</v>
      </c>
      <c r="B280" s="2">
        <v>2005</v>
      </c>
      <c r="C280" s="2">
        <f>COUNTIFS(Games[Team],Games[[#This Row],[Team]],Games[Season],Games[[#This Row],[Season]],Games[Date],"&lt;=" &amp; Games[[#This Row],[Date]])</f>
        <v>22</v>
      </c>
      <c r="D280" s="2" t="s">
        <v>23</v>
      </c>
      <c r="E280" s="2" t="s">
        <v>29</v>
      </c>
      <c r="F280" s="1" t="s">
        <v>2</v>
      </c>
      <c r="G280" s="1" t="s">
        <v>73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0" s="2">
        <f>Games[[#This Row],[DaysOff]]-Games[[#This Row],[OppDaysOff]]</f>
        <v>-2</v>
      </c>
      <c r="L280" s="2">
        <f>Games[[#This Row],[OppDaysOff]]-Games[[#This Row],[DaysOff]]</f>
        <v>2</v>
      </c>
      <c r="M280" s="1">
        <f>MAX(-16, MIN(16, Games[[#This Row],[RestDiff]]*8))</f>
        <v>-16</v>
      </c>
      <c r="N280" s="1">
        <f>MAX(-16, MIN(16, Games[[#This Row],[OppRestDiff]]*8))</f>
        <v>16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1500.2506682305234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1516.5251455628547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0.31833520575618374</v>
      </c>
      <c r="R280" s="1">
        <v>83</v>
      </c>
      <c r="S280" s="1">
        <v>65</v>
      </c>
      <c r="T280" s="1">
        <v>0</v>
      </c>
      <c r="U280" s="1">
        <f>Games[[#This Row],[PointsFor]]-Games[[#This Row],[PointsAgainst]]</f>
        <v>18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0.53951696823470141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72.7</v>
      </c>
      <c r="Z280" s="4">
        <f>Games[[#This Row],[K]]*Games[[#This Row],[POMult]]</f>
        <v>72.7</v>
      </c>
      <c r="AA280" s="4">
        <f>(Games[[#This Row],[Keff]]*Games[[#This Row],[MOVMult]])*(Games[[#This Row],[Result]]-Games[[#This Row],[ExpectedWin%]])</f>
        <v>26.736858872478315</v>
      </c>
      <c r="AB280" s="4">
        <f>Games[[#This Row],[PreGmRate]]+Games[[#This Row],[RatingChange]]</f>
        <v>1526.9875271030016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38559</v>
      </c>
      <c r="B281" s="2">
        <v>2005</v>
      </c>
      <c r="C281" s="2">
        <f>COUNTIFS(Games[Team],Games[[#This Row],[Team]],Games[Season],Games[[#This Row],[Season]],Games[Date],"&lt;=" &amp; Games[[#This Row],[Date]])</f>
        <v>22</v>
      </c>
      <c r="D281" s="2" t="s">
        <v>23</v>
      </c>
      <c r="E281" s="2" t="s">
        <v>29</v>
      </c>
      <c r="F281" s="1" t="s">
        <v>73</v>
      </c>
      <c r="G281" s="1" t="s">
        <v>2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1" s="2">
        <f>Games[[#This Row],[DaysOff]]-Games[[#This Row],[OppDaysOff]]</f>
        <v>2</v>
      </c>
      <c r="L281" s="2">
        <f>Games[[#This Row],[OppDaysOff]]-Games[[#This Row],[DaysOff]]</f>
        <v>-2</v>
      </c>
      <c r="M281" s="1">
        <f>MAX(-16, MIN(16, Games[[#This Row],[RestDiff]]*8))</f>
        <v>16</v>
      </c>
      <c r="N281" s="1">
        <f>MAX(-16, MIN(16, Games[[#This Row],[OppRestDiff]]*8))</f>
        <v>-16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1516.5251455628547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1500.2506682305234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0.68166479424381632</v>
      </c>
      <c r="R281" s="1">
        <v>65</v>
      </c>
      <c r="S281" s="1">
        <v>83</v>
      </c>
      <c r="T281" s="1">
        <v>0</v>
      </c>
      <c r="U281" s="1">
        <f>Games[[#This Row],[PointsFor]]-Games[[#This Row],[PointsAgainst]]</f>
        <v>-18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0.53951696823470141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72.7</v>
      </c>
      <c r="Z281" s="4">
        <f>Games[[#This Row],[K]]*Games[[#This Row],[POMult]]</f>
        <v>72.7</v>
      </c>
      <c r="AA281" s="4">
        <f>(Games[[#This Row],[Keff]]*Games[[#This Row],[MOVMult]])*(Games[[#This Row],[Result]]-Games[[#This Row],[ExpectedWin%]])</f>
        <v>-26.736858872478315</v>
      </c>
      <c r="AB281" s="4">
        <f>Games[[#This Row],[PreGmRate]]+Games[[#This Row],[RatingChange]]</f>
        <v>1489.7882866903765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38560</v>
      </c>
      <c r="B282" s="2">
        <v>2005</v>
      </c>
      <c r="C282" s="2">
        <f>COUNTIFS(Games[Team],Games[[#This Row],[Team]],Games[Season],Games[[#This Row],[Season]],Games[Date],"&lt;=" &amp; Games[[#This Row],[Date]])</f>
        <v>23</v>
      </c>
      <c r="D282" s="2" t="s">
        <v>23</v>
      </c>
      <c r="E282" s="2" t="s">
        <v>29</v>
      </c>
      <c r="F282" s="1" t="s">
        <v>2</v>
      </c>
      <c r="G282" s="1" t="s">
        <v>66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2" s="2">
        <f>Games[[#This Row],[DaysOff]]-Games[[#This Row],[OppDaysOff]]</f>
        <v>-2</v>
      </c>
      <c r="L282" s="2">
        <f>Games[[#This Row],[OppDaysOff]]-Games[[#This Row],[DaysOff]]</f>
        <v>2</v>
      </c>
      <c r="M282" s="1">
        <f>MAX(-16, MIN(16, Games[[#This Row],[RestDiff]]*8))</f>
        <v>-16</v>
      </c>
      <c r="N282" s="1">
        <f>MAX(-16, MIN(16, Games[[#This Row],[OppRestDiff]]*8))</f>
        <v>16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1526.9875271030016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1544.9839332519714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0.31618815877994777</v>
      </c>
      <c r="R282" s="1">
        <v>71</v>
      </c>
      <c r="S282" s="1">
        <v>69</v>
      </c>
      <c r="T282" s="1">
        <v>0</v>
      </c>
      <c r="U282" s="1">
        <f>Games[[#This Row],[PointsFor]]-Games[[#This Row],[PointsAgainst]]</f>
        <v>2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0.26388385330941044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72.55</v>
      </c>
      <c r="Z282" s="4">
        <f>Games[[#This Row],[K]]*Games[[#This Row],[POMult]]</f>
        <v>72.55</v>
      </c>
      <c r="AA282" s="4">
        <f>(Games[[#This Row],[Keff]]*Games[[#This Row],[MOVMult]])*(Games[[#This Row],[Result]]-Games[[#This Row],[ExpectedWin%]])</f>
        <v>13.091422856161872</v>
      </c>
      <c r="AB282" s="4">
        <f>Games[[#This Row],[PreGmRate]]+Games[[#This Row],[RatingChange]]</f>
        <v>1540.0789499591635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38560</v>
      </c>
      <c r="B283" s="2">
        <v>2005</v>
      </c>
      <c r="C283" s="2">
        <f>COUNTIFS(Games[Team],Games[[#This Row],[Team]],Games[Season],Games[[#This Row],[Season]],Games[Date],"&lt;=" &amp; Games[[#This Row],[Date]])</f>
        <v>21</v>
      </c>
      <c r="D283" s="2" t="s">
        <v>23</v>
      </c>
      <c r="E283" s="2" t="s">
        <v>29</v>
      </c>
      <c r="F283" s="1" t="s">
        <v>66</v>
      </c>
      <c r="G283" s="1" t="s">
        <v>2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3" s="2">
        <f>Games[[#This Row],[DaysOff]]-Games[[#This Row],[OppDaysOff]]</f>
        <v>2</v>
      </c>
      <c r="L283" s="2">
        <f>Games[[#This Row],[OppDaysOff]]-Games[[#This Row],[DaysOff]]</f>
        <v>-2</v>
      </c>
      <c r="M283" s="1">
        <f>MAX(-16, MIN(16, Games[[#This Row],[RestDiff]]*8))</f>
        <v>16</v>
      </c>
      <c r="N283" s="1">
        <f>MAX(-16, MIN(16, Games[[#This Row],[OppRestDiff]]*8))</f>
        <v>-16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1544.9839332519714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1526.9875271030016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0.68381184122005223</v>
      </c>
      <c r="R283" s="1">
        <v>69</v>
      </c>
      <c r="S283" s="1">
        <v>71</v>
      </c>
      <c r="T283" s="1">
        <v>0</v>
      </c>
      <c r="U283" s="1">
        <f>Games[[#This Row],[PointsFor]]-Games[[#This Row],[PointsAgainst]]</f>
        <v>-2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0.26388385330941044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72.849999999999994</v>
      </c>
      <c r="Z283" s="4">
        <f>Games[[#This Row],[K]]*Games[[#This Row],[POMult]]</f>
        <v>72.849999999999994</v>
      </c>
      <c r="AA283" s="4">
        <f>(Games[[#This Row],[Keff]]*Games[[#This Row],[MOVMult]])*(Games[[#This Row],[Result]]-Games[[#This Row],[ExpectedWin%]])</f>
        <v>-13.145556927241795</v>
      </c>
      <c r="AB283" s="4">
        <f>Games[[#This Row],[PreGmRate]]+Games[[#This Row],[RatingChange]]</f>
        <v>1531.8383763247296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38561</v>
      </c>
      <c r="B284" s="2">
        <v>2005</v>
      </c>
      <c r="C284" s="2">
        <f>COUNTIFS(Games[Team],Games[[#This Row],[Team]],Games[Season],Games[[#This Row],[Season]],Games[Date],"&lt;=" &amp; Games[[#This Row],[Date]])</f>
        <v>22</v>
      </c>
      <c r="D284" s="2" t="s">
        <v>23</v>
      </c>
      <c r="E284" s="2" t="s">
        <v>29</v>
      </c>
      <c r="F284" s="1" t="s">
        <v>66</v>
      </c>
      <c r="G284" s="1" t="s">
        <v>86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-1</v>
      </c>
      <c r="L284" s="2">
        <f>Games[[#This Row],[OppDaysOff]]-Games[[#This Row],[DaysOff]]</f>
        <v>1</v>
      </c>
      <c r="M284" s="1">
        <f>MAX(-16, MIN(16, Games[[#This Row],[RestDiff]]*8))</f>
        <v>-8</v>
      </c>
      <c r="N284" s="1">
        <f>MAX(-16, MIN(16, Games[[#This Row],[OppRestDiff]]*8))</f>
        <v>8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1531.8383763247296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1644.0025614380659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0.22770507826745626</v>
      </c>
      <c r="R284" s="1">
        <v>70</v>
      </c>
      <c r="S284" s="1">
        <v>73</v>
      </c>
      <c r="T284" s="1">
        <v>0</v>
      </c>
      <c r="U284" s="1">
        <f>Games[[#This Row],[PointsFor]]-Games[[#This Row],[PointsAgainst]]</f>
        <v>-3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0.2653785473411413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72.7</v>
      </c>
      <c r="Z284" s="4">
        <f>Games[[#This Row],[K]]*Games[[#This Row],[POMult]]</f>
        <v>72.7</v>
      </c>
      <c r="AA284" s="4">
        <f>(Games[[#This Row],[Keff]]*Games[[#This Row],[MOVMult]])*(Games[[#This Row],[Result]]-Games[[#This Row],[ExpectedWin%]])</f>
        <v>-4.3931187183078997</v>
      </c>
      <c r="AB284" s="4">
        <f>Games[[#This Row],[PreGmRate]]+Games[[#This Row],[RatingChange]]</f>
        <v>1527.4452576064216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38561</v>
      </c>
      <c r="B285" s="2">
        <v>2005</v>
      </c>
      <c r="C285" s="2">
        <f>COUNTIFS(Games[Team],Games[[#This Row],[Team]],Games[Season],Games[[#This Row],[Season]],Games[Date],"&lt;=" &amp; Games[[#This Row],[Date]])</f>
        <v>23</v>
      </c>
      <c r="D285" s="2" t="s">
        <v>23</v>
      </c>
      <c r="E285" s="2" t="s">
        <v>29</v>
      </c>
      <c r="F285" s="1" t="s">
        <v>86</v>
      </c>
      <c r="G285" s="1" t="s">
        <v>66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5" s="2">
        <f>Games[[#This Row],[DaysOff]]-Games[[#This Row],[OppDaysOff]]</f>
        <v>1</v>
      </c>
      <c r="L285" s="2">
        <f>Games[[#This Row],[OppDaysOff]]-Games[[#This Row],[DaysOff]]</f>
        <v>-1</v>
      </c>
      <c r="M285" s="1">
        <f>MAX(-16, MIN(16, Games[[#This Row],[RestDiff]]*8))</f>
        <v>8</v>
      </c>
      <c r="N285" s="1">
        <f>MAX(-16, MIN(16, Games[[#This Row],[OppRestDiff]]*8))</f>
        <v>-8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1644.0025614380659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1531.8383763247296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0.77229492173254366</v>
      </c>
      <c r="R285" s="1">
        <v>73</v>
      </c>
      <c r="S285" s="1">
        <v>70</v>
      </c>
      <c r="T285" s="1">
        <v>0</v>
      </c>
      <c r="U285" s="1">
        <f>Games[[#This Row],[PointsFor]]-Games[[#This Row],[PointsAgainst]]</f>
        <v>3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0.2653785473411413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72.55</v>
      </c>
      <c r="Z285" s="4">
        <f>Games[[#This Row],[K]]*Games[[#This Row],[POMult]]</f>
        <v>72.55</v>
      </c>
      <c r="AA285" s="4">
        <f>(Games[[#This Row],[Keff]]*Games[[#This Row],[MOVMult]])*(Games[[#This Row],[Result]]-Games[[#This Row],[ExpectedWin%]])</f>
        <v>4.3840545118739778</v>
      </c>
      <c r="AB285" s="4">
        <f>Games[[#This Row],[PreGmRate]]+Games[[#This Row],[RatingChange]]</f>
        <v>1648.3866159499398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38561</v>
      </c>
      <c r="B286" s="2">
        <v>2005</v>
      </c>
      <c r="C286" s="2">
        <f>COUNTIFS(Games[Team],Games[[#This Row],[Team]],Games[Season],Games[[#This Row],[Season]],Games[Date],"&lt;=" &amp; Games[[#This Row],[Date]])</f>
        <v>24</v>
      </c>
      <c r="D286" s="2" t="s">
        <v>23</v>
      </c>
      <c r="E286" s="2" t="s">
        <v>29</v>
      </c>
      <c r="F286" s="1" t="s">
        <v>84</v>
      </c>
      <c r="G286" s="1" t="s">
        <v>73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0</v>
      </c>
      <c r="L286" s="2">
        <f>Games[[#This Row],[OppDaysOff]]-Games[[#This Row],[DaysOff]]</f>
        <v>0</v>
      </c>
      <c r="M286" s="1">
        <f>MAX(-16, MIN(16, Games[[#This Row],[RestDiff]]*8))</f>
        <v>0</v>
      </c>
      <c r="N286" s="1">
        <f>MAX(-16, MIN(16, Games[[#This Row],[OppRestDiff]]*8))</f>
        <v>0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1368.7327626096674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1489.7882866903765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0.2349812746534031</v>
      </c>
      <c r="R286" s="1">
        <v>58</v>
      </c>
      <c r="S286" s="1">
        <v>73</v>
      </c>
      <c r="T286" s="1">
        <v>0</v>
      </c>
      <c r="U286" s="1">
        <f>Games[[#This Row],[PointsFor]]-Games[[#This Row],[PointsAgainst]]</f>
        <v>-15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0.45676932018010374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72.400000000000006</v>
      </c>
      <c r="Z286" s="4">
        <f>Games[[#This Row],[K]]*Games[[#This Row],[POMult]]</f>
        <v>72.400000000000006</v>
      </c>
      <c r="AA286" s="4">
        <f>(Games[[#This Row],[Keff]]*Games[[#This Row],[MOVMult]])*(Games[[#This Row],[Result]]-Games[[#This Row],[ExpectedWin%]])</f>
        <v>-7.7708539644826162</v>
      </c>
      <c r="AB286" s="4">
        <f>Games[[#This Row],[PreGmRate]]+Games[[#This Row],[RatingChange]]</f>
        <v>1360.9619086451848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38561</v>
      </c>
      <c r="B287" s="2">
        <v>2005</v>
      </c>
      <c r="C287" s="2">
        <f>COUNTIFS(Games[Team],Games[[#This Row],[Team]],Games[Season],Games[[#This Row],[Season]],Games[Date],"&lt;=" &amp; Games[[#This Row],[Date]])</f>
        <v>23</v>
      </c>
      <c r="D287" s="2" t="s">
        <v>23</v>
      </c>
      <c r="E287" s="2" t="s">
        <v>29</v>
      </c>
      <c r="F287" s="1" t="s">
        <v>73</v>
      </c>
      <c r="G287" s="1" t="s">
        <v>84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0</v>
      </c>
      <c r="L287" s="2">
        <f>Games[[#This Row],[OppDaysOff]]-Games[[#This Row],[DaysOff]]</f>
        <v>0</v>
      </c>
      <c r="M287" s="1">
        <f>MAX(-16, MIN(16, Games[[#This Row],[RestDiff]]*8))</f>
        <v>0</v>
      </c>
      <c r="N287" s="1">
        <f>MAX(-16, MIN(16, Games[[#This Row],[OppRestDiff]]*8))</f>
        <v>0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1489.7882866903765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1368.7327626096674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0.76501872534659687</v>
      </c>
      <c r="R287" s="1">
        <v>73</v>
      </c>
      <c r="S287" s="1">
        <v>58</v>
      </c>
      <c r="T287" s="1">
        <v>0</v>
      </c>
      <c r="U287" s="1">
        <f>Games[[#This Row],[PointsFor]]-Games[[#This Row],[PointsAgainst]]</f>
        <v>15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0.45676932018010374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72.55</v>
      </c>
      <c r="Z287" s="4">
        <f>Games[[#This Row],[K]]*Games[[#This Row],[POMult]]</f>
        <v>72.55</v>
      </c>
      <c r="AA287" s="4">
        <f>(Games[[#This Row],[Keff]]*Games[[#This Row],[MOVMult]])*(Games[[#This Row],[Result]]-Games[[#This Row],[ExpectedWin%]])</f>
        <v>7.7869538000443894</v>
      </c>
      <c r="AB287" s="4">
        <f>Games[[#This Row],[PreGmRate]]+Games[[#This Row],[RatingChange]]</f>
        <v>1497.5752404904208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38562</v>
      </c>
      <c r="B288" s="2">
        <v>2005</v>
      </c>
      <c r="C288" s="2">
        <f>COUNTIFS(Games[Team],Games[[#This Row],[Team]],Games[Season],Games[[#This Row],[Season]],Games[Date],"&lt;=" &amp; Games[[#This Row],[Date]])</f>
        <v>24</v>
      </c>
      <c r="D288" s="2" t="s">
        <v>23</v>
      </c>
      <c r="E288" s="2" t="s">
        <v>29</v>
      </c>
      <c r="F288" s="1" t="s">
        <v>73</v>
      </c>
      <c r="G288" s="1" t="s">
        <v>79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-2</v>
      </c>
      <c r="L288" s="2">
        <f>Games[[#This Row],[OppDaysOff]]-Games[[#This Row],[DaysOff]]</f>
        <v>2</v>
      </c>
      <c r="M288" s="1">
        <f>MAX(-16, MIN(16, Games[[#This Row],[RestDiff]]*8))</f>
        <v>-16</v>
      </c>
      <c r="N288" s="1">
        <f>MAX(-16, MIN(16, Games[[#This Row],[OppRestDiff]]*8))</f>
        <v>16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1497.5752404904208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1518.7327672051933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0.31226697833602013</v>
      </c>
      <c r="R288" s="1">
        <v>58</v>
      </c>
      <c r="S288" s="1">
        <v>62</v>
      </c>
      <c r="T288" s="1">
        <v>0</v>
      </c>
      <c r="U288" s="1">
        <f>Games[[#This Row],[PointsFor]]-Games[[#This Row],[PointsAgainst]]</f>
        <v>-4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0.30603691473781935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72.400000000000006</v>
      </c>
      <c r="Z288" s="4">
        <f>Games[[#This Row],[K]]*Games[[#This Row],[POMult]]</f>
        <v>72.400000000000006</v>
      </c>
      <c r="AA288" s="4">
        <f>(Games[[#This Row],[Keff]]*Games[[#This Row],[MOVMult]])*(Games[[#This Row],[Result]]-Games[[#This Row],[ExpectedWin%]])</f>
        <v>-6.918922118010693</v>
      </c>
      <c r="AB288" s="4">
        <f>Games[[#This Row],[PreGmRate]]+Games[[#This Row],[RatingChange]]</f>
        <v>1490.6563183724102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38562</v>
      </c>
      <c r="B289" s="2">
        <v>2005</v>
      </c>
      <c r="C289" s="2">
        <f>COUNTIFS(Games[Team],Games[[#This Row],[Team]],Games[Season],Games[[#This Row],[Season]],Games[Date],"&lt;=" &amp; Games[[#This Row],[Date]])</f>
        <v>22</v>
      </c>
      <c r="D289" s="2" t="s">
        <v>23</v>
      </c>
      <c r="E289" s="2" t="s">
        <v>29</v>
      </c>
      <c r="F289" s="1" t="s">
        <v>79</v>
      </c>
      <c r="G289" s="1" t="s">
        <v>73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9" s="2">
        <f>Games[[#This Row],[DaysOff]]-Games[[#This Row],[OppDaysOff]]</f>
        <v>2</v>
      </c>
      <c r="L289" s="2">
        <f>Games[[#This Row],[OppDaysOff]]-Games[[#This Row],[DaysOff]]</f>
        <v>-2</v>
      </c>
      <c r="M289" s="1">
        <f>MAX(-16, MIN(16, Games[[#This Row],[RestDiff]]*8))</f>
        <v>16</v>
      </c>
      <c r="N289" s="1">
        <f>MAX(-16, MIN(16, Games[[#This Row],[OppRestDiff]]*8))</f>
        <v>-16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1518.7327672051933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1497.5752404904208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0.68773302166397987</v>
      </c>
      <c r="R289" s="1">
        <v>62</v>
      </c>
      <c r="S289" s="1">
        <v>58</v>
      </c>
      <c r="T289" s="1">
        <v>0</v>
      </c>
      <c r="U289" s="1">
        <f>Games[[#This Row],[PointsFor]]-Games[[#This Row],[PointsAgainst]]</f>
        <v>4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0.30603691473781935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72.7</v>
      </c>
      <c r="Z289" s="4">
        <f>Games[[#This Row],[K]]*Games[[#This Row],[POMult]]</f>
        <v>72.7</v>
      </c>
      <c r="AA289" s="4">
        <f>(Games[[#This Row],[Keff]]*Games[[#This Row],[MOVMult]])*(Games[[#This Row],[Result]]-Games[[#This Row],[ExpectedWin%]])</f>
        <v>6.9475916847980299</v>
      </c>
      <c r="AB289" s="4">
        <f>Games[[#This Row],[PreGmRate]]+Games[[#This Row],[RatingChange]]</f>
        <v>1525.6803588899913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38562</v>
      </c>
      <c r="B290" s="2">
        <v>2005</v>
      </c>
      <c r="C290" s="2">
        <f>COUNTIFS(Games[Team],Games[[#This Row],[Team]],Games[Season],Games[[#This Row],[Season]],Games[Date],"&lt;=" &amp; Games[[#This Row],[Date]])</f>
        <v>22</v>
      </c>
      <c r="D290" s="2" t="s">
        <v>23</v>
      </c>
      <c r="E290" s="2" t="s">
        <v>29</v>
      </c>
      <c r="F290" s="1" t="s">
        <v>44</v>
      </c>
      <c r="G290" s="1" t="s">
        <v>77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1492.1311055714018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1484.989985879678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0.39116084397287587</v>
      </c>
      <c r="R290" s="1">
        <v>69</v>
      </c>
      <c r="S290" s="1">
        <v>65</v>
      </c>
      <c r="T290" s="1">
        <v>0</v>
      </c>
      <c r="U290" s="1">
        <f>Games[[#This Row],[PointsFor]]-Games[[#This Row],[PointsAgainst]]</f>
        <v>4</v>
      </c>
      <c r="V290" s="1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0.30959038325203814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72.7</v>
      </c>
      <c r="Z290" s="4">
        <f>Games[[#This Row],[K]]*Games[[#This Row],[POMult]]</f>
        <v>72.7</v>
      </c>
      <c r="AA290" s="4">
        <f>(Games[[#This Row],[Keff]]*Games[[#This Row],[MOVMult]])*(Games[[#This Row],[Result]]-Games[[#This Row],[ExpectedWin%]])</f>
        <v>13.703277354393807</v>
      </c>
      <c r="AB290" s="4">
        <f>Games[[#This Row],[PreGmRate]]+Games[[#This Row],[RatingChange]]</f>
        <v>1505.8343829257956</v>
      </c>
      <c r="AC290" s="2">
        <f>IF(Games[[#This Row],[Type]]="R",IF(Games[[#This Row],[Result]]&gt;0.5,1,0),0)</f>
        <v>1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38562</v>
      </c>
      <c r="B291" s="2">
        <v>2005</v>
      </c>
      <c r="C291" s="2">
        <f>COUNTIFS(Games[Team],Games[[#This Row],[Team]],Games[Season],Games[[#This Row],[Season]],Games[Date],"&lt;=" &amp; Games[[#This Row],[Date]])</f>
        <v>23</v>
      </c>
      <c r="D291" s="2" t="s">
        <v>23</v>
      </c>
      <c r="E291" s="2" t="s">
        <v>29</v>
      </c>
      <c r="F291" s="1" t="s">
        <v>77</v>
      </c>
      <c r="G291" s="1" t="s">
        <v>44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1484.989985879678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1492.1311055714018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0.60883915602712413</v>
      </c>
      <c r="R291" s="1">
        <v>65</v>
      </c>
      <c r="S291" s="1">
        <v>69</v>
      </c>
      <c r="T291" s="1">
        <v>0</v>
      </c>
      <c r="U291" s="1">
        <f>Games[[#This Row],[PointsFor]]-Games[[#This Row],[PointsAgainst]]</f>
        <v>-4</v>
      </c>
      <c r="V291" s="1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0.30959038325203814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72.55</v>
      </c>
      <c r="Z291" s="4">
        <f>Games[[#This Row],[K]]*Games[[#This Row],[POMult]]</f>
        <v>72.55</v>
      </c>
      <c r="AA291" s="4">
        <f>(Games[[#This Row],[Keff]]*Games[[#This Row],[MOVMult]])*(Games[[#This Row],[Result]]-Games[[#This Row],[ExpectedWin%]])</f>
        <v>-13.675003742245813</v>
      </c>
      <c r="AB291" s="4">
        <f>Games[[#This Row],[PreGmRate]]+Games[[#This Row],[RatingChange]]</f>
        <v>1471.3149821374323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1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38562</v>
      </c>
      <c r="B292" s="2">
        <v>2005</v>
      </c>
      <c r="C292" s="2">
        <f>COUNTIFS(Games[Team],Games[[#This Row],[Team]],Games[Season],Games[[#This Row],[Season]],Games[Date],"&lt;=" &amp; Games[[#This Row],[Date]])</f>
        <v>22</v>
      </c>
      <c r="D292" s="2" t="s">
        <v>23</v>
      </c>
      <c r="E292" s="2" t="s">
        <v>29</v>
      </c>
      <c r="F292" s="1" t="s">
        <v>70</v>
      </c>
      <c r="G292" s="1" t="s">
        <v>45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1514.3024827995953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1601.7563266206264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0.271511437022883</v>
      </c>
      <c r="R292" s="1">
        <v>59</v>
      </c>
      <c r="S292" s="1">
        <v>79</v>
      </c>
      <c r="T292" s="1">
        <v>0</v>
      </c>
      <c r="U292" s="1">
        <f>Games[[#This Row],[PointsFor]]-Games[[#This Row],[PointsAgainst]]</f>
        <v>-20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0.5358365537075559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72.7</v>
      </c>
      <c r="Z292" s="4">
        <f>Games[[#This Row],[K]]*Games[[#This Row],[POMult]]</f>
        <v>72.7</v>
      </c>
      <c r="AA292" s="4">
        <f>(Games[[#This Row],[Keff]]*Games[[#This Row],[MOVMult]])*(Games[[#This Row],[Result]]-Games[[#This Row],[ExpectedWin%]])</f>
        <v>-10.576814221764565</v>
      </c>
      <c r="AB292" s="4">
        <f>Games[[#This Row],[PreGmRate]]+Games[[#This Row],[RatingChange]]</f>
        <v>1503.7256685778307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38562</v>
      </c>
      <c r="B293" s="2">
        <v>2005</v>
      </c>
      <c r="C293" s="2">
        <f>COUNTIFS(Games[Team],Games[[#This Row],[Team]],Games[Season],Games[[#This Row],[Season]],Games[Date],"&lt;=" &amp; Games[[#This Row],[Date]])</f>
        <v>23</v>
      </c>
      <c r="D293" s="2" t="s">
        <v>23</v>
      </c>
      <c r="E293" s="2" t="s">
        <v>29</v>
      </c>
      <c r="F293" s="1" t="s">
        <v>45</v>
      </c>
      <c r="G293" s="1" t="s">
        <v>70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1601.7563266206264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1514.3024827995953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0.72848856297711706</v>
      </c>
      <c r="R293" s="1">
        <v>79</v>
      </c>
      <c r="S293" s="1">
        <v>59</v>
      </c>
      <c r="T293" s="1">
        <v>0</v>
      </c>
      <c r="U293" s="1">
        <f>Games[[#This Row],[PointsFor]]-Games[[#This Row],[PointsAgainst]]</f>
        <v>20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0.5358365537075559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72.55</v>
      </c>
      <c r="Z293" s="4">
        <f>Games[[#This Row],[K]]*Games[[#This Row],[POMult]]</f>
        <v>72.55</v>
      </c>
      <c r="AA293" s="4">
        <f>(Games[[#This Row],[Keff]]*Games[[#This Row],[MOVMult]])*(Games[[#This Row],[Result]]-Games[[#This Row],[ExpectedWin%]])</f>
        <v>10.554991358858585</v>
      </c>
      <c r="AB293" s="4">
        <f>Games[[#This Row],[PreGmRate]]+Games[[#This Row],[RatingChange]]</f>
        <v>1612.311317979485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38562</v>
      </c>
      <c r="B294" s="2">
        <v>2005</v>
      </c>
      <c r="C294" s="2">
        <f>COUNTIFS(Games[Team],Games[[#This Row],[Team]],Games[Season],Games[[#This Row],[Season]],Games[Date],"&lt;=" &amp; Games[[#This Row],[Date]])</f>
        <v>23</v>
      </c>
      <c r="D294" s="2" t="s">
        <v>23</v>
      </c>
      <c r="E294" s="2" t="s">
        <v>29</v>
      </c>
      <c r="F294" s="1" t="s">
        <v>64</v>
      </c>
      <c r="G294" s="1" t="s">
        <v>81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4" s="2">
        <f>Games[[#This Row],[DaysOff]]-Games[[#This Row],[OppDaysOff]]</f>
        <v>-3</v>
      </c>
      <c r="L294" s="2">
        <f>Games[[#This Row],[OppDaysOff]]-Games[[#This Row],[DaysOff]]</f>
        <v>3</v>
      </c>
      <c r="M294" s="1">
        <f>MAX(-16, MIN(16, Games[[#This Row],[RestDiff]]*8))</f>
        <v>-16</v>
      </c>
      <c r="N294" s="1">
        <f>MAX(-16, MIN(16, Games[[#This Row],[OppRestDiff]]*8))</f>
        <v>16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1321.5307475692982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1549.2840872481686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0.12144646579448171</v>
      </c>
      <c r="R294" s="1">
        <v>68</v>
      </c>
      <c r="S294" s="1">
        <v>79</v>
      </c>
      <c r="T294" s="1">
        <v>0</v>
      </c>
      <c r="U294" s="1">
        <f>Games[[#This Row],[PointsFor]]-Games[[#This Row],[PointsAgainst]]</f>
        <v>-11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0.36967391330204902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72.55</v>
      </c>
      <c r="Z294" s="4">
        <f>Games[[#This Row],[K]]*Games[[#This Row],[POMult]]</f>
        <v>72.55</v>
      </c>
      <c r="AA294" s="4">
        <f>(Games[[#This Row],[Keff]]*Games[[#This Row],[MOVMult]])*(Games[[#This Row],[Result]]-Games[[#This Row],[ExpectedWin%]])</f>
        <v>-3.2571750738671854</v>
      </c>
      <c r="AB294" s="4">
        <f>Games[[#This Row],[PreGmRate]]+Games[[#This Row],[RatingChange]]</f>
        <v>1318.2735724954312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38562</v>
      </c>
      <c r="B295" s="2">
        <v>2005</v>
      </c>
      <c r="C295" s="2">
        <f>COUNTIFS(Games[Team],Games[[#This Row],[Team]],Games[Season],Games[[#This Row],[Season]],Games[Date],"&lt;=" &amp; Games[[#This Row],[Date]])</f>
        <v>23</v>
      </c>
      <c r="D295" s="2" t="s">
        <v>23</v>
      </c>
      <c r="E295" s="2" t="s">
        <v>29</v>
      </c>
      <c r="F295" s="1" t="s">
        <v>81</v>
      </c>
      <c r="G295" s="1" t="s">
        <v>64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5" s="2">
        <f>Games[[#This Row],[DaysOff]]-Games[[#This Row],[OppDaysOff]]</f>
        <v>3</v>
      </c>
      <c r="L295" s="2">
        <f>Games[[#This Row],[OppDaysOff]]-Games[[#This Row],[DaysOff]]</f>
        <v>-3</v>
      </c>
      <c r="M295" s="1">
        <f>MAX(-16, MIN(16, Games[[#This Row],[RestDiff]]*8))</f>
        <v>16</v>
      </c>
      <c r="N295" s="1">
        <f>MAX(-16, MIN(16, Games[[#This Row],[OppRestDiff]]*8))</f>
        <v>-16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1549.2840872481686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1321.5307475692982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0.87855353420551818</v>
      </c>
      <c r="R295" s="1">
        <v>79</v>
      </c>
      <c r="S295" s="1">
        <v>68</v>
      </c>
      <c r="T295" s="1">
        <v>0</v>
      </c>
      <c r="U295" s="1">
        <f>Games[[#This Row],[PointsFor]]-Games[[#This Row],[PointsAgainst]]</f>
        <v>11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0.36967391330204902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72.55</v>
      </c>
      <c r="Z295" s="4">
        <f>Games[[#This Row],[K]]*Games[[#This Row],[POMult]]</f>
        <v>72.55</v>
      </c>
      <c r="AA295" s="4">
        <f>(Games[[#This Row],[Keff]]*Games[[#This Row],[MOVMult]])*(Games[[#This Row],[Result]]-Games[[#This Row],[ExpectedWin%]])</f>
        <v>3.2571750738671881</v>
      </c>
      <c r="AB295" s="4">
        <f>Games[[#This Row],[PreGmRate]]+Games[[#This Row],[RatingChange]]</f>
        <v>1552.5412623220359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38563</v>
      </c>
      <c r="B296" s="2">
        <v>2005</v>
      </c>
      <c r="C296" s="2">
        <f>COUNTIFS(Games[Team],Games[[#This Row],[Team]],Games[Season],Games[[#This Row],[Season]],Games[Date],"&lt;=" &amp; Games[[#This Row],[Date]])</f>
        <v>21</v>
      </c>
      <c r="D296" s="2" t="s">
        <v>23</v>
      </c>
      <c r="E296" s="2" t="s">
        <v>29</v>
      </c>
      <c r="F296" s="1" t="s">
        <v>75</v>
      </c>
      <c r="G296" s="1" t="s">
        <v>86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4</v>
      </c>
      <c r="L296" s="2">
        <f>Games[[#This Row],[OppDaysOff]]-Games[[#This Row],[DaysOff]]</f>
        <v>-4</v>
      </c>
      <c r="M296" s="1">
        <f>MAX(-16, MIN(16, Games[[#This Row],[RestDiff]]*8))</f>
        <v>16</v>
      </c>
      <c r="N296" s="1">
        <f>MAX(-16, MIN(16, Games[[#This Row],[OppRestDiff]]*8))</f>
        <v>-16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1452.5967276586493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1648.3866159499398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0.1936612786331959</v>
      </c>
      <c r="R296" s="1">
        <v>75</v>
      </c>
      <c r="S296" s="1">
        <v>66</v>
      </c>
      <c r="T296" s="1">
        <v>0</v>
      </c>
      <c r="U296" s="1">
        <f>Games[[#This Row],[PointsFor]]-Games[[#This Row],[PointsAgainst]]</f>
        <v>9</v>
      </c>
      <c r="V296" s="1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0.34902519115758462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72.849999999999994</v>
      </c>
      <c r="Z296" s="4">
        <f>Games[[#This Row],[K]]*Games[[#This Row],[POMult]]</f>
        <v>72.849999999999994</v>
      </c>
      <c r="AA296" s="4">
        <f>(Games[[#This Row],[Keff]]*Games[[#This Row],[MOVMult]])*(Games[[#This Row],[Result]]-Games[[#This Row],[ExpectedWin%]])</f>
        <v>20.502359545530791</v>
      </c>
      <c r="AB296" s="4">
        <f>Games[[#This Row],[PreGmRate]]+Games[[#This Row],[RatingChange]]</f>
        <v>1473.09908720418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38563</v>
      </c>
      <c r="B297" s="2">
        <v>2005</v>
      </c>
      <c r="C297" s="2">
        <f>COUNTIFS(Games[Team],Games[[#This Row],[Team]],Games[Season],Games[[#This Row],[Season]],Games[Date],"&lt;=" &amp; Games[[#This Row],[Date]])</f>
        <v>24</v>
      </c>
      <c r="D297" s="2" t="s">
        <v>23</v>
      </c>
      <c r="E297" s="2" t="s">
        <v>29</v>
      </c>
      <c r="F297" s="1" t="s">
        <v>86</v>
      </c>
      <c r="G297" s="1" t="s">
        <v>75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7" s="2">
        <f>Games[[#This Row],[DaysOff]]-Games[[#This Row],[OppDaysOff]]</f>
        <v>-4</v>
      </c>
      <c r="L297" s="2">
        <f>Games[[#This Row],[OppDaysOff]]-Games[[#This Row],[DaysOff]]</f>
        <v>4</v>
      </c>
      <c r="M297" s="1">
        <f>MAX(-16, MIN(16, Games[[#This Row],[RestDiff]]*8))</f>
        <v>-16</v>
      </c>
      <c r="N297" s="1">
        <f>MAX(-16, MIN(16, Games[[#This Row],[OppRestDiff]]*8))</f>
        <v>16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1648.3866159499398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1452.5967276586493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0.80633872136680418</v>
      </c>
      <c r="R297" s="1">
        <v>66</v>
      </c>
      <c r="S297" s="1">
        <v>75</v>
      </c>
      <c r="T297" s="1">
        <v>0</v>
      </c>
      <c r="U297" s="1">
        <f>Games[[#This Row],[PointsFor]]-Games[[#This Row],[PointsAgainst]]</f>
        <v>-9</v>
      </c>
      <c r="V297" s="1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0.34902519115758462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72.400000000000006</v>
      </c>
      <c r="Z297" s="4">
        <f>Games[[#This Row],[K]]*Games[[#This Row],[POMult]]</f>
        <v>72.400000000000006</v>
      </c>
      <c r="AA297" s="4">
        <f>(Games[[#This Row],[Keff]]*Games[[#This Row],[MOVMult]])*(Games[[#This Row],[Result]]-Games[[#This Row],[ExpectedWin%]])</f>
        <v>-20.375714908667533</v>
      </c>
      <c r="AB297" s="4">
        <f>Games[[#This Row],[PreGmRate]]+Games[[#This Row],[RatingChange]]</f>
        <v>1628.0109010412723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38563</v>
      </c>
      <c r="B298" s="2">
        <v>2005</v>
      </c>
      <c r="C298" s="2">
        <f>COUNTIFS(Games[Team],Games[[#This Row],[Team]],Games[Season],Games[[#This Row],[Season]],Games[Date],"&lt;=" &amp; Games[[#This Row],[Date]])</f>
        <v>25</v>
      </c>
      <c r="D298" s="2" t="s">
        <v>23</v>
      </c>
      <c r="E298" s="2" t="s">
        <v>29</v>
      </c>
      <c r="F298" s="1" t="s">
        <v>84</v>
      </c>
      <c r="G298" s="1" t="s">
        <v>2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-1</v>
      </c>
      <c r="L298" s="2">
        <f>Games[[#This Row],[OppDaysOff]]-Games[[#This Row],[DaysOff]]</f>
        <v>1</v>
      </c>
      <c r="M298" s="1">
        <f>MAX(-16, MIN(16, Games[[#This Row],[RestDiff]]*8))</f>
        <v>-8</v>
      </c>
      <c r="N298" s="1">
        <f>MAX(-16, MIN(16, Games[[#This Row],[OppRestDiff]]*8))</f>
        <v>8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1360.9619086451848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1540.0789499591635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0.16704354397513721</v>
      </c>
      <c r="R298" s="1">
        <v>68</v>
      </c>
      <c r="S298" s="1">
        <v>63</v>
      </c>
      <c r="T298" s="1">
        <v>0</v>
      </c>
      <c r="U298" s="1">
        <f>Games[[#This Row],[PointsFor]]-Games[[#This Row],[PointsAgainst]]</f>
        <v>5</v>
      </c>
      <c r="V298" s="1">
        <f>IF(Games[[#This Row],[MOV]]&gt;0,1,IF(Games[[#This Row],[MOV]]=0,0.5,0))</f>
        <v>1</v>
      </c>
      <c r="W298" s="4">
        <f>((ABS(Games[[#This Row],[MOV]])+5)^0.6)/(12+0.01*(ABS(Games[[#This Row],[PreGmRate]]-Games[[#This Row],[OppPreGmRate]])))*IF(Games[[#This Row],[OT]]=1,0.9,1)</f>
        <v>0.28866815406340962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17.372368186108542</v>
      </c>
      <c r="AB298" s="4">
        <f>Games[[#This Row],[PreGmRate]]+Games[[#This Row],[RatingChange]]</f>
        <v>1378.3342768312934</v>
      </c>
      <c r="AC298" s="2">
        <f>IF(Games[[#This Row],[Type]]="R",IF(Games[[#This Row],[Result]]&gt;0.5,1,0),0)</f>
        <v>1</v>
      </c>
      <c r="AD298" s="2">
        <f>IF(Games[[#This Row],[Type]]="R",IF(Games[[#This Row],[Result]]&lt;0.5,1,0),0)</f>
        <v>0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38563</v>
      </c>
      <c r="B299" s="2">
        <v>2005</v>
      </c>
      <c r="C299" s="2">
        <f>COUNTIFS(Games[Team],Games[[#This Row],[Team]],Games[Season],Games[[#This Row],[Season]],Games[Date],"&lt;=" &amp; Games[[#This Row],[Date]])</f>
        <v>24</v>
      </c>
      <c r="D299" s="2" t="s">
        <v>23</v>
      </c>
      <c r="E299" s="2" t="s">
        <v>29</v>
      </c>
      <c r="F299" s="1" t="s">
        <v>2</v>
      </c>
      <c r="G299" s="1" t="s">
        <v>84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1</v>
      </c>
      <c r="L299" s="2">
        <f>Games[[#This Row],[OppDaysOff]]-Games[[#This Row],[DaysOff]]</f>
        <v>-1</v>
      </c>
      <c r="M299" s="1">
        <f>MAX(-16, MIN(16, Games[[#This Row],[RestDiff]]*8))</f>
        <v>8</v>
      </c>
      <c r="N299" s="1">
        <f>MAX(-16, MIN(16, Games[[#This Row],[OppRestDiff]]*8))</f>
        <v>-8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1540.0789499591635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1360.9619086451848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0.83295645602486279</v>
      </c>
      <c r="R299" s="1">
        <v>63</v>
      </c>
      <c r="S299" s="1">
        <v>68</v>
      </c>
      <c r="T299" s="1">
        <v>0</v>
      </c>
      <c r="U299" s="1">
        <f>Games[[#This Row],[PointsFor]]-Games[[#This Row],[PointsAgainst]]</f>
        <v>-5</v>
      </c>
      <c r="V299" s="1">
        <f>IF(Games[[#This Row],[MOV]]&gt;0,1,IF(Games[[#This Row],[MOV]]=0,0.5,0))</f>
        <v>0</v>
      </c>
      <c r="W299" s="4">
        <f>((ABS(Games[[#This Row],[MOV]])+5)^0.6)/(12+0.01*(ABS(Games[[#This Row],[PreGmRate]]-Games[[#This Row],[OppPreGmRate]])))*IF(Games[[#This Row],[OT]]=1,0.9,1)</f>
        <v>0.28866815406340962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72.400000000000006</v>
      </c>
      <c r="Z299" s="4">
        <f>Games[[#This Row],[K]]*Games[[#This Row],[POMult]]</f>
        <v>72.400000000000006</v>
      </c>
      <c r="AA299" s="4">
        <f>(Games[[#This Row],[Keff]]*Games[[#This Row],[MOVMult]])*(Games[[#This Row],[Result]]-Games[[#This Row],[ExpectedWin%]])</f>
        <v>-17.408435386494926</v>
      </c>
      <c r="AB299" s="4">
        <f>Games[[#This Row],[PreGmRate]]+Games[[#This Row],[RatingChange]]</f>
        <v>1522.6705145726687</v>
      </c>
      <c r="AC299" s="2">
        <f>IF(Games[[#This Row],[Type]]="R",IF(Games[[#This Row],[Result]]&gt;0.5,1,0),0)</f>
        <v>0</v>
      </c>
      <c r="AD299" s="2">
        <f>IF(Games[[#This Row],[Type]]="R",IF(Games[[#This Row],[Result]]&lt;0.5,1,0),0)</f>
        <v>1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38564</v>
      </c>
      <c r="B300" s="2">
        <v>2005</v>
      </c>
      <c r="C300" s="2">
        <f>COUNTIFS(Games[Team],Games[[#This Row],[Team]],Games[Season],Games[[#This Row],[Season]],Games[Date],"&lt;=" &amp; Games[[#This Row],[Date]])</f>
        <v>23</v>
      </c>
      <c r="D300" s="2" t="s">
        <v>23</v>
      </c>
      <c r="E300" s="2" t="s">
        <v>29</v>
      </c>
      <c r="F300" s="1" t="s">
        <v>44</v>
      </c>
      <c r="G300" s="1" t="s">
        <v>75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0" s="2">
        <f>Games[[#This Row],[DaysOff]]-Games[[#This Row],[OppDaysOff]]</f>
        <v>1</v>
      </c>
      <c r="L300" s="2">
        <f>Games[[#This Row],[OppDaysOff]]-Games[[#This Row],[DaysOff]]</f>
        <v>-1</v>
      </c>
      <c r="M300" s="1">
        <f>MAX(-16, MIN(16, Games[[#This Row],[RestDiff]]*8))</f>
        <v>8</v>
      </c>
      <c r="N300" s="1">
        <f>MAX(-16, MIN(16, Games[[#This Row],[OppRestDiff]]*8))</f>
        <v>-8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1505.8343829257956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1473.09908720418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0.44942357542186534</v>
      </c>
      <c r="R300" s="1">
        <v>63</v>
      </c>
      <c r="S300" s="1">
        <v>66</v>
      </c>
      <c r="T300" s="1">
        <v>0</v>
      </c>
      <c r="U300" s="1">
        <f>Games[[#This Row],[PointsFor]]-Games[[#This Row],[PointsAgainst]]</f>
        <v>-3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0.28247769535519734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72.55</v>
      </c>
      <c r="Z300" s="4">
        <f>Games[[#This Row],[K]]*Games[[#This Row],[POMult]]</f>
        <v>72.55</v>
      </c>
      <c r="AA300" s="4">
        <f>(Games[[#This Row],[Keff]]*Games[[#This Row],[MOVMult]])*(Games[[#This Row],[Result]]-Games[[#This Row],[ExpectedWin%]])</f>
        <v>-9.2103774539921126</v>
      </c>
      <c r="AB300" s="4">
        <f>Games[[#This Row],[PreGmRate]]+Games[[#This Row],[RatingChange]]</f>
        <v>1496.6240054718035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38564</v>
      </c>
      <c r="B301" s="2">
        <v>2005</v>
      </c>
      <c r="C301" s="2">
        <f>COUNTIFS(Games[Team],Games[[#This Row],[Team]],Games[Season],Games[[#This Row],[Season]],Games[Date],"&lt;=" &amp; Games[[#This Row],[Date]])</f>
        <v>22</v>
      </c>
      <c r="D301" s="2" t="s">
        <v>23</v>
      </c>
      <c r="E301" s="2" t="s">
        <v>29</v>
      </c>
      <c r="F301" s="1" t="s">
        <v>75</v>
      </c>
      <c r="G301" s="1" t="s">
        <v>44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-1</v>
      </c>
      <c r="L301" s="2">
        <f>Games[[#This Row],[OppDaysOff]]-Games[[#This Row],[DaysOff]]</f>
        <v>1</v>
      </c>
      <c r="M301" s="1">
        <f>MAX(-16, MIN(16, Games[[#This Row],[RestDiff]]*8))</f>
        <v>-8</v>
      </c>
      <c r="N301" s="1">
        <f>MAX(-16, MIN(16, Games[[#This Row],[OppRestDiff]]*8))</f>
        <v>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1473.09908720418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1505.8343829257956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0.55057642457813472</v>
      </c>
      <c r="R301" s="1">
        <v>66</v>
      </c>
      <c r="S301" s="1">
        <v>63</v>
      </c>
      <c r="T301" s="1">
        <v>0</v>
      </c>
      <c r="U301" s="1">
        <f>Games[[#This Row],[PointsFor]]-Games[[#This Row],[PointsAgainst]]</f>
        <v>3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0.28247769535519734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72.7</v>
      </c>
      <c r="Z301" s="4">
        <f>Games[[#This Row],[K]]*Games[[#This Row],[POMult]]</f>
        <v>72.7</v>
      </c>
      <c r="AA301" s="4">
        <f>(Games[[#This Row],[Keff]]*Games[[#This Row],[MOVMult]])*(Games[[#This Row],[Result]]-Games[[#This Row],[ExpectedWin%]])</f>
        <v>9.2294202743656317</v>
      </c>
      <c r="AB301" s="4">
        <f>Games[[#This Row],[PreGmRate]]+Games[[#This Row],[RatingChange]]</f>
        <v>1482.3285074785456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38564</v>
      </c>
      <c r="B302" s="2">
        <v>2005</v>
      </c>
      <c r="C302" s="2">
        <f>COUNTIFS(Games[Team],Games[[#This Row],[Team]],Games[Season],Games[[#This Row],[Season]],Games[Date],"&lt;=" &amp; Games[[#This Row],[Date]])</f>
        <v>23</v>
      </c>
      <c r="D302" s="2" t="s">
        <v>23</v>
      </c>
      <c r="E302" s="2" t="s">
        <v>29</v>
      </c>
      <c r="F302" s="1" t="s">
        <v>79</v>
      </c>
      <c r="G302" s="1" t="s">
        <v>66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2" s="2">
        <f>Games[[#This Row],[DaysOff]]-Games[[#This Row],[OppDaysOff]]</f>
        <v>-1</v>
      </c>
      <c r="L302" s="2">
        <f>Games[[#This Row],[OppDaysOff]]-Games[[#This Row],[DaysOff]]</f>
        <v>1</v>
      </c>
      <c r="M302" s="1">
        <f>MAX(-16, MIN(16, Games[[#This Row],[RestDiff]]*8))</f>
        <v>-8</v>
      </c>
      <c r="N302" s="1">
        <f>MAX(-16, MIN(16, Games[[#This Row],[OppRestDiff]]*8))</f>
        <v>8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1525.6803588899913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1527.4452576064216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0.35759776535633059</v>
      </c>
      <c r="R302" s="1">
        <v>53</v>
      </c>
      <c r="S302" s="1">
        <v>67</v>
      </c>
      <c r="T302" s="1">
        <v>0</v>
      </c>
      <c r="U302" s="1">
        <f>Games[[#This Row],[PointsFor]]-Games[[#This Row],[PointsAgainst]]</f>
        <v>-14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0.4868920076346725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72.55</v>
      </c>
      <c r="Z302" s="4">
        <f>Games[[#This Row],[K]]*Games[[#This Row],[POMult]]</f>
        <v>72.55</v>
      </c>
      <c r="AA302" s="4">
        <f>(Games[[#This Row],[Keff]]*Games[[#This Row],[MOVMult]])*(Games[[#This Row],[Result]]-Games[[#This Row],[ExpectedWin%]])</f>
        <v>-12.631788882446184</v>
      </c>
      <c r="AB302" s="4">
        <f>Games[[#This Row],[PreGmRate]]+Games[[#This Row],[RatingChange]]</f>
        <v>1513.0485700075451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38564</v>
      </c>
      <c r="B303" s="2">
        <v>2005</v>
      </c>
      <c r="C303" s="2">
        <f>COUNTIFS(Games[Team],Games[[#This Row],[Team]],Games[Season],Games[[#This Row],[Season]],Games[Date],"&lt;=" &amp; Games[[#This Row],[Date]])</f>
        <v>23</v>
      </c>
      <c r="D303" s="2" t="s">
        <v>23</v>
      </c>
      <c r="E303" s="2" t="s">
        <v>29</v>
      </c>
      <c r="F303" s="1" t="s">
        <v>66</v>
      </c>
      <c r="G303" s="1" t="s">
        <v>79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1</v>
      </c>
      <c r="L303" s="2">
        <f>Games[[#This Row],[OppDaysOff]]-Games[[#This Row],[DaysOff]]</f>
        <v>-1</v>
      </c>
      <c r="M303" s="1">
        <f>MAX(-16, MIN(16, Games[[#This Row],[RestDiff]]*8))</f>
        <v>8</v>
      </c>
      <c r="N303" s="1">
        <f>MAX(-16, MIN(16, Games[[#This Row],[OppRestDiff]]*8))</f>
        <v>-8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1527.4452576064216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1525.6803588899913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0.64240223464366941</v>
      </c>
      <c r="R303" s="1">
        <v>67</v>
      </c>
      <c r="S303" s="1">
        <v>53</v>
      </c>
      <c r="T303" s="1">
        <v>0</v>
      </c>
      <c r="U303" s="1">
        <f>Games[[#This Row],[PointsFor]]-Games[[#This Row],[PointsAgainst]]</f>
        <v>14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0.4868920076346725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72.55</v>
      </c>
      <c r="Z303" s="4">
        <f>Games[[#This Row],[K]]*Games[[#This Row],[POMult]]</f>
        <v>72.55</v>
      </c>
      <c r="AA303" s="4">
        <f>(Games[[#This Row],[Keff]]*Games[[#This Row],[MOVMult]])*(Games[[#This Row],[Result]]-Games[[#This Row],[ExpectedWin%]])</f>
        <v>12.631788882446184</v>
      </c>
      <c r="AB303" s="4">
        <f>Games[[#This Row],[PreGmRate]]+Games[[#This Row],[RatingChange]]</f>
        <v>1540.0770464888678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38564</v>
      </c>
      <c r="B304" s="2">
        <v>2005</v>
      </c>
      <c r="C304" s="2">
        <f>COUNTIFS(Games[Team],Games[[#This Row],[Team]],Games[Season],Games[[#This Row],[Season]],Games[Date],"&lt;=" &amp; Games[[#This Row],[Date]])</f>
        <v>24</v>
      </c>
      <c r="D304" s="2" t="s">
        <v>23</v>
      </c>
      <c r="E304" s="2" t="s">
        <v>29</v>
      </c>
      <c r="F304" s="1" t="s">
        <v>77</v>
      </c>
      <c r="G304" s="1" t="s">
        <v>45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0</v>
      </c>
      <c r="L304" s="2">
        <f>Games[[#This Row],[OppDaysOff]]-Games[[#This Row],[DaysOff]]</f>
        <v>0</v>
      </c>
      <c r="M304" s="1">
        <f>MAX(-16, MIN(16, Games[[#This Row],[RestDiff]]*8))</f>
        <v>0</v>
      </c>
      <c r="N304" s="1">
        <f>MAX(-16, MIN(16, Games[[#This Row],[OppRestDiff]]*8))</f>
        <v>0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1471.3149821374323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1612.311317979485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0.21497682260341258</v>
      </c>
      <c r="R304" s="1">
        <v>54</v>
      </c>
      <c r="S304" s="1">
        <v>67</v>
      </c>
      <c r="T304" s="1">
        <v>0</v>
      </c>
      <c r="U304" s="1">
        <f>Games[[#This Row],[PointsFor]]-Games[[#This Row],[PointsAgainst]]</f>
        <v>-13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0.42241167379569916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72.400000000000006</v>
      </c>
      <c r="Z304" s="4">
        <f>Games[[#This Row],[K]]*Games[[#This Row],[POMult]]</f>
        <v>72.400000000000006</v>
      </c>
      <c r="AA304" s="4">
        <f>(Games[[#This Row],[Keff]]*Games[[#This Row],[MOVMult]])*(Games[[#This Row],[Result]]-Games[[#This Row],[ExpectedWin%]])</f>
        <v>-6.5745512891348552</v>
      </c>
      <c r="AB304" s="4">
        <f>Games[[#This Row],[PreGmRate]]+Games[[#This Row],[RatingChange]]</f>
        <v>1464.7404308482974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38564</v>
      </c>
      <c r="B305" s="2">
        <v>2005</v>
      </c>
      <c r="C305" s="2">
        <f>COUNTIFS(Games[Team],Games[[#This Row],[Team]],Games[Season],Games[[#This Row],[Season]],Games[Date],"&lt;=" &amp; Games[[#This Row],[Date]])</f>
        <v>24</v>
      </c>
      <c r="D305" s="2" t="s">
        <v>23</v>
      </c>
      <c r="E305" s="2" t="s">
        <v>29</v>
      </c>
      <c r="F305" s="1" t="s">
        <v>45</v>
      </c>
      <c r="G305" s="1" t="s">
        <v>77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0</v>
      </c>
      <c r="L305" s="2">
        <f>Games[[#This Row],[OppDaysOff]]-Games[[#This Row],[DaysOff]]</f>
        <v>0</v>
      </c>
      <c r="M305" s="1">
        <f>MAX(-16, MIN(16, Games[[#This Row],[RestDiff]]*8))</f>
        <v>0</v>
      </c>
      <c r="N305" s="1">
        <f>MAX(-16, MIN(16, Games[[#This Row],[OppRestDiff]]*8))</f>
        <v>0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1612.311317979485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1471.3149821374323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0.78502317739658745</v>
      </c>
      <c r="R305" s="1">
        <v>67</v>
      </c>
      <c r="S305" s="1">
        <v>54</v>
      </c>
      <c r="T305" s="1">
        <v>0</v>
      </c>
      <c r="U305" s="1">
        <f>Games[[#This Row],[PointsFor]]-Games[[#This Row],[PointsAgainst]]</f>
        <v>13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0.42241167379569916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72.400000000000006</v>
      </c>
      <c r="Z305" s="4">
        <f>Games[[#This Row],[K]]*Games[[#This Row],[POMult]]</f>
        <v>72.400000000000006</v>
      </c>
      <c r="AA305" s="4">
        <f>(Games[[#This Row],[Keff]]*Games[[#This Row],[MOVMult]])*(Games[[#This Row],[Result]]-Games[[#This Row],[ExpectedWin%]])</f>
        <v>6.5745512891348543</v>
      </c>
      <c r="AB305" s="4">
        <f>Games[[#This Row],[PreGmRate]]+Games[[#This Row],[RatingChange]]</f>
        <v>1618.8858692686199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38564</v>
      </c>
      <c r="B306" s="2">
        <v>2005</v>
      </c>
      <c r="C306" s="2">
        <f>COUNTIFS(Games[Team],Games[[#This Row],[Team]],Games[Season],Games[[#This Row],[Season]],Games[Date],"&lt;=" &amp; Games[[#This Row],[Date]])</f>
        <v>23</v>
      </c>
      <c r="D306" s="2" t="s">
        <v>23</v>
      </c>
      <c r="E306" s="2" t="s">
        <v>29</v>
      </c>
      <c r="F306" s="1" t="s">
        <v>70</v>
      </c>
      <c r="G306" s="1" t="s">
        <v>81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1503.7256685778307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1552.5412623220359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0.31765965823678033</v>
      </c>
      <c r="R306" s="1">
        <v>72</v>
      </c>
      <c r="S306" s="1">
        <v>77</v>
      </c>
      <c r="T306" s="1">
        <v>0</v>
      </c>
      <c r="U306" s="1">
        <f>Games[[#This Row],[PointsFor]]-Games[[#This Row],[PointsAgainst]]</f>
        <v>-5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0.31878779585053896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72.55</v>
      </c>
      <c r="Z306" s="4">
        <f>Games[[#This Row],[K]]*Games[[#This Row],[POMult]]</f>
        <v>72.55</v>
      </c>
      <c r="AA306" s="4">
        <f>(Games[[#This Row],[Keff]]*Games[[#This Row],[MOVMult]])*(Games[[#This Row],[Result]]-Games[[#This Row],[ExpectedWin%]])</f>
        <v>-7.3468499164095533</v>
      </c>
      <c r="AB306" s="4">
        <f>Games[[#This Row],[PreGmRate]]+Games[[#This Row],[RatingChange]]</f>
        <v>1496.3788186614211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38564</v>
      </c>
      <c r="B307" s="2">
        <v>2005</v>
      </c>
      <c r="C307" s="2">
        <f>COUNTIFS(Games[Team],Games[[#This Row],[Team]],Games[Season],Games[[#This Row],[Season]],Games[Date],"&lt;=" &amp; Games[[#This Row],[Date]])</f>
        <v>24</v>
      </c>
      <c r="D307" s="2" t="s">
        <v>23</v>
      </c>
      <c r="E307" s="2" t="s">
        <v>29</v>
      </c>
      <c r="F307" s="1" t="s">
        <v>81</v>
      </c>
      <c r="G307" s="1" t="s">
        <v>70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1552.5412623220359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1503.7256685778307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0.68234034176321967</v>
      </c>
      <c r="R307" s="1">
        <v>77</v>
      </c>
      <c r="S307" s="1">
        <v>72</v>
      </c>
      <c r="T307" s="1">
        <v>0</v>
      </c>
      <c r="U307" s="1">
        <f>Games[[#This Row],[PointsFor]]-Games[[#This Row],[PointsAgainst]]</f>
        <v>5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0.31878779585053896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72.400000000000006</v>
      </c>
      <c r="Z307" s="4">
        <f>Games[[#This Row],[K]]*Games[[#This Row],[POMult]]</f>
        <v>72.400000000000006</v>
      </c>
      <c r="AA307" s="4">
        <f>(Games[[#This Row],[Keff]]*Games[[#This Row],[MOVMult]])*(Games[[#This Row],[Result]]-Games[[#This Row],[ExpectedWin%]])</f>
        <v>7.3316600130675633</v>
      </c>
      <c r="AB307" s="4">
        <f>Games[[#This Row],[PreGmRate]]+Games[[#This Row],[RatingChange]]</f>
        <v>1559.8729223351036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38566</v>
      </c>
      <c r="B308" s="2">
        <v>2005</v>
      </c>
      <c r="C308" s="2">
        <f>COUNTIFS(Games[Team],Games[[#This Row],[Team]],Games[Season],Games[[#This Row],[Season]],Games[Date],"&lt;=" &amp; Games[[#This Row],[Date]])</f>
        <v>23</v>
      </c>
      <c r="D308" s="2" t="s">
        <v>23</v>
      </c>
      <c r="E308" s="2" t="s">
        <v>29</v>
      </c>
      <c r="F308" s="1" t="s">
        <v>75</v>
      </c>
      <c r="G308" s="1" t="s">
        <v>2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8" s="2">
        <f>Games[[#This Row],[DaysOff]]-Games[[#This Row],[OppDaysOff]]</f>
        <v>-1</v>
      </c>
      <c r="L308" s="2">
        <f>Games[[#This Row],[OppDaysOff]]-Games[[#This Row],[DaysOff]]</f>
        <v>1</v>
      </c>
      <c r="M308" s="1">
        <f>MAX(-16, MIN(16, Games[[#This Row],[RestDiff]]*8))</f>
        <v>-8</v>
      </c>
      <c r="N308" s="1">
        <f>MAX(-16, MIN(16, Games[[#This Row],[OppRestDiff]]*8))</f>
        <v>8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1482.3285074785456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1522.6705145726687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0.30834381780754555</v>
      </c>
      <c r="R308" s="1">
        <v>61</v>
      </c>
      <c r="S308" s="1">
        <v>62</v>
      </c>
      <c r="T308" s="1">
        <v>0</v>
      </c>
      <c r="U308" s="1">
        <f>Games[[#This Row],[PointsFor]]-Games[[#This Row],[PointsAgainst]]</f>
        <v>-1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0.2362377501386331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72.55</v>
      </c>
      <c r="Z308" s="4">
        <f>Games[[#This Row],[K]]*Games[[#This Row],[POMult]]</f>
        <v>72.55</v>
      </c>
      <c r="AA308" s="4">
        <f>(Games[[#This Row],[Keff]]*Games[[#This Row],[MOVMult]])*(Games[[#This Row],[Result]]-Games[[#This Row],[ExpectedWin%]])</f>
        <v>-5.2847197321202088</v>
      </c>
      <c r="AB308" s="4">
        <f>Games[[#This Row],[PreGmRate]]+Games[[#This Row],[RatingChange]]</f>
        <v>1477.0437877464253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38566</v>
      </c>
      <c r="B309" s="2">
        <v>2005</v>
      </c>
      <c r="C309" s="2">
        <f>COUNTIFS(Games[Team],Games[[#This Row],[Team]],Games[Season],Games[[#This Row],[Season]],Games[Date],"&lt;=" &amp; Games[[#This Row],[Date]])</f>
        <v>25</v>
      </c>
      <c r="D309" s="2" t="s">
        <v>23</v>
      </c>
      <c r="E309" s="2" t="s">
        <v>29</v>
      </c>
      <c r="F309" s="1" t="s">
        <v>2</v>
      </c>
      <c r="G309" s="1" t="s">
        <v>75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1</v>
      </c>
      <c r="L309" s="2">
        <f>Games[[#This Row],[OppDaysOff]]-Games[[#This Row],[DaysOff]]</f>
        <v>-1</v>
      </c>
      <c r="M309" s="1">
        <f>MAX(-16, MIN(16, Games[[#This Row],[RestDiff]]*8))</f>
        <v>8</v>
      </c>
      <c r="N309" s="1">
        <f>MAX(-16, MIN(16, Games[[#This Row],[OppRestDiff]]*8))</f>
        <v>-8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1522.6705145726687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1482.3285074785456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0.69165618219245439</v>
      </c>
      <c r="R309" s="1">
        <v>62</v>
      </c>
      <c r="S309" s="1">
        <v>61</v>
      </c>
      <c r="T309" s="1">
        <v>0</v>
      </c>
      <c r="U309" s="1">
        <f>Games[[#This Row],[PointsFor]]-Games[[#This Row],[PointsAgainst]]</f>
        <v>1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0.2362377501386331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72.25</v>
      </c>
      <c r="Z309" s="4">
        <f>Games[[#This Row],[K]]*Games[[#This Row],[POMult]]</f>
        <v>72.25</v>
      </c>
      <c r="AA309" s="4">
        <f>(Games[[#This Row],[Keff]]*Games[[#This Row],[MOVMult]])*(Games[[#This Row],[Result]]-Games[[#This Row],[ExpectedWin%]])</f>
        <v>5.2628669971838065</v>
      </c>
      <c r="AB309" s="4">
        <f>Games[[#This Row],[PreGmRate]]+Games[[#This Row],[RatingChange]]</f>
        <v>1527.9333815698526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38566</v>
      </c>
      <c r="B310" s="2">
        <v>2005</v>
      </c>
      <c r="C310" s="2">
        <f>COUNTIFS(Games[Team],Games[[#This Row],[Team]],Games[Season],Games[[#This Row],[Season]],Games[Date],"&lt;=" &amp; Games[[#This Row],[Date]])</f>
        <v>25</v>
      </c>
      <c r="D310" s="2" t="s">
        <v>23</v>
      </c>
      <c r="E310" s="2" t="s">
        <v>29</v>
      </c>
      <c r="F310" s="1" t="s">
        <v>86</v>
      </c>
      <c r="G310" s="1" t="s">
        <v>66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1</v>
      </c>
      <c r="L310" s="2">
        <f>Games[[#This Row],[OppDaysOff]]-Games[[#This Row],[DaysOff]]</f>
        <v>-1</v>
      </c>
      <c r="M310" s="1">
        <f>MAX(-16, MIN(16, Games[[#This Row],[RestDiff]]*8))</f>
        <v>8</v>
      </c>
      <c r="N310" s="1">
        <f>MAX(-16, MIN(16, Games[[#This Row],[OppRestDiff]]*8))</f>
        <v>-8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1628.0109010412723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1540.0770464888678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0.52865568664120299</v>
      </c>
      <c r="R310" s="1">
        <v>72</v>
      </c>
      <c r="S310" s="1">
        <v>65</v>
      </c>
      <c r="T310" s="1">
        <v>0</v>
      </c>
      <c r="U310" s="1">
        <f>Games[[#This Row],[PointsFor]]-Games[[#This Row],[PointsAgainst]]</f>
        <v>7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0.34483805625167918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72.25</v>
      </c>
      <c r="Z310" s="4">
        <f>Games[[#This Row],[K]]*Games[[#This Row],[POMult]]</f>
        <v>72.25</v>
      </c>
      <c r="AA310" s="4">
        <f>(Games[[#This Row],[Keff]]*Games[[#This Row],[MOVMult]])*(Games[[#This Row],[Result]]-Games[[#This Row],[ExpectedWin%]])</f>
        <v>11.743331256973939</v>
      </c>
      <c r="AB310" s="4">
        <f>Games[[#This Row],[PreGmRate]]+Games[[#This Row],[RatingChange]]</f>
        <v>1639.7542322982463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38566</v>
      </c>
      <c r="B311" s="2">
        <v>2005</v>
      </c>
      <c r="C311" s="2">
        <f>COUNTIFS(Games[Team],Games[[#This Row],[Team]],Games[Season],Games[[#This Row],[Season]],Games[Date],"&lt;=" &amp; Games[[#This Row],[Date]])</f>
        <v>24</v>
      </c>
      <c r="D311" s="2" t="s">
        <v>23</v>
      </c>
      <c r="E311" s="2" t="s">
        <v>29</v>
      </c>
      <c r="F311" s="1" t="s">
        <v>66</v>
      </c>
      <c r="G311" s="1" t="s">
        <v>86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1" s="2">
        <f>Games[[#This Row],[DaysOff]]-Games[[#This Row],[OppDaysOff]]</f>
        <v>-1</v>
      </c>
      <c r="L311" s="2">
        <f>Games[[#This Row],[OppDaysOff]]-Games[[#This Row],[DaysOff]]</f>
        <v>1</v>
      </c>
      <c r="M311" s="1">
        <f>MAX(-16, MIN(16, Games[[#This Row],[RestDiff]]*8))</f>
        <v>-8</v>
      </c>
      <c r="N311" s="1">
        <f>MAX(-16, MIN(16, Games[[#This Row],[OppRestDiff]]*8))</f>
        <v>8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1540.0770464888678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1628.0109010412723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0.47134431335879701</v>
      </c>
      <c r="R311" s="1">
        <v>65</v>
      </c>
      <c r="S311" s="1">
        <v>72</v>
      </c>
      <c r="T311" s="1">
        <v>0</v>
      </c>
      <c r="U311" s="1">
        <f>Games[[#This Row],[PointsFor]]-Games[[#This Row],[PointsAgainst]]</f>
        <v>-7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0.34483805625167918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72.400000000000006</v>
      </c>
      <c r="Z311" s="4">
        <f>Games[[#This Row],[K]]*Games[[#This Row],[POMult]]</f>
        <v>72.400000000000006</v>
      </c>
      <c r="AA311" s="4">
        <f>(Games[[#This Row],[Keff]]*Games[[#This Row],[MOVMult]])*(Games[[#This Row],[Result]]-Games[[#This Row],[ExpectedWin%]])</f>
        <v>-11.767711875500529</v>
      </c>
      <c r="AB311" s="4">
        <f>Games[[#This Row],[PreGmRate]]+Games[[#This Row],[RatingChange]]</f>
        <v>1528.3093346133674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38566</v>
      </c>
      <c r="B312" s="2">
        <v>2005</v>
      </c>
      <c r="C312" s="2">
        <f>COUNTIFS(Games[Team],Games[[#This Row],[Team]],Games[Season],Games[[#This Row],[Season]],Games[Date],"&lt;=" &amp; Games[[#This Row],[Date]])</f>
        <v>25</v>
      </c>
      <c r="D312" s="2" t="s">
        <v>23</v>
      </c>
      <c r="E312" s="2" t="s">
        <v>29</v>
      </c>
      <c r="F312" s="1" t="s">
        <v>45</v>
      </c>
      <c r="G312" s="1" t="s">
        <v>84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-1</v>
      </c>
      <c r="L312" s="2">
        <f>Games[[#This Row],[OppDaysOff]]-Games[[#This Row],[DaysOff]]</f>
        <v>1</v>
      </c>
      <c r="M312" s="1">
        <f>MAX(-16, MIN(16, Games[[#This Row],[RestDiff]]*8))</f>
        <v>-8</v>
      </c>
      <c r="N312" s="1">
        <f>MAX(-16, MIN(16, Games[[#This Row],[OppRestDiff]]*8))</f>
        <v>8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1618.8858692686199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1378.3342768312934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0.69191342405899059</v>
      </c>
      <c r="R312" s="1">
        <v>67</v>
      </c>
      <c r="S312" s="1">
        <v>57</v>
      </c>
      <c r="T312" s="1">
        <v>0</v>
      </c>
      <c r="U312" s="1">
        <f>Games[[#This Row],[PointsFor]]-Games[[#This Row],[PointsAgainst]]</f>
        <v>10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0.35247306786121335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72.25</v>
      </c>
      <c r="Z312" s="4">
        <f>Games[[#This Row],[K]]*Games[[#This Row],[POMult]]</f>
        <v>72.25</v>
      </c>
      <c r="AA312" s="4">
        <f>(Games[[#This Row],[Keff]]*Games[[#This Row],[MOVMult]])*(Games[[#This Row],[Result]]-Games[[#This Row],[ExpectedWin%]])</f>
        <v>7.8457879375396633</v>
      </c>
      <c r="AB312" s="4">
        <f>Games[[#This Row],[PreGmRate]]+Games[[#This Row],[RatingChange]]</f>
        <v>1626.7316572061595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38566</v>
      </c>
      <c r="B313" s="2">
        <v>2005</v>
      </c>
      <c r="C313" s="2">
        <f>COUNTIFS(Games[Team],Games[[#This Row],[Team]],Games[Season],Games[[#This Row],[Season]],Games[Date],"&lt;=" &amp; Games[[#This Row],[Date]])</f>
        <v>26</v>
      </c>
      <c r="D313" s="2" t="s">
        <v>23</v>
      </c>
      <c r="E313" s="2" t="s">
        <v>29</v>
      </c>
      <c r="F313" s="1" t="s">
        <v>84</v>
      </c>
      <c r="G313" s="1" t="s">
        <v>45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1</v>
      </c>
      <c r="L313" s="2">
        <f>Games[[#This Row],[OppDaysOff]]-Games[[#This Row],[DaysOff]]</f>
        <v>-1</v>
      </c>
      <c r="M313" s="1">
        <f>MAX(-16, MIN(16, Games[[#This Row],[RestDiff]]*8))</f>
        <v>8</v>
      </c>
      <c r="N313" s="1">
        <f>MAX(-16, MIN(16, Games[[#This Row],[OppRestDiff]]*8))</f>
        <v>-8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1378.3342768312934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1618.8858692686199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0.30808657594100941</v>
      </c>
      <c r="R313" s="1">
        <v>57</v>
      </c>
      <c r="S313" s="1">
        <v>67</v>
      </c>
      <c r="T313" s="1">
        <v>0</v>
      </c>
      <c r="U313" s="1">
        <f>Games[[#This Row],[PointsFor]]-Games[[#This Row],[PointsAgainst]]</f>
        <v>-10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0.35247306786121335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72.099999999999994</v>
      </c>
      <c r="Z313" s="4">
        <f>Games[[#This Row],[K]]*Games[[#This Row],[POMult]]</f>
        <v>72.099999999999994</v>
      </c>
      <c r="AA313" s="4">
        <f>(Games[[#This Row],[Keff]]*Games[[#This Row],[MOVMult]])*(Games[[#This Row],[Result]]-Games[[#This Row],[ExpectedWin%]])</f>
        <v>-7.8294991044513447</v>
      </c>
      <c r="AB313" s="4">
        <f>Games[[#This Row],[PreGmRate]]+Games[[#This Row],[RatingChange]]</f>
        <v>1370.5047777268421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38566</v>
      </c>
      <c r="B314" s="2">
        <v>2005</v>
      </c>
      <c r="C314" s="2">
        <f>COUNTIFS(Games[Team],Games[[#This Row],[Team]],Games[Season],Games[[#This Row],[Season]],Games[Date],"&lt;=" &amp; Games[[#This Row],[Date]])</f>
        <v>24</v>
      </c>
      <c r="D314" s="2" t="s">
        <v>23</v>
      </c>
      <c r="E314" s="2" t="s">
        <v>29</v>
      </c>
      <c r="F314" s="1" t="s">
        <v>64</v>
      </c>
      <c r="G314" s="1" t="s">
        <v>73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1318.2735724954312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1490.6563183724102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0.18605390136612265</v>
      </c>
      <c r="R314" s="1">
        <v>63</v>
      </c>
      <c r="S314" s="1">
        <v>65</v>
      </c>
      <c r="T314" s="1">
        <v>0</v>
      </c>
      <c r="U314" s="1">
        <f>Games[[#This Row],[PointsFor]]-Games[[#This Row],[PointsAgainst]]</f>
        <v>-2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0.23419821178691438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72.400000000000006</v>
      </c>
      <c r="Z314" s="4">
        <f>Games[[#This Row],[K]]*Games[[#This Row],[POMult]]</f>
        <v>72.400000000000006</v>
      </c>
      <c r="AA314" s="4">
        <f>(Games[[#This Row],[Keff]]*Games[[#This Row],[MOVMult]])*(Games[[#This Row],[Result]]-Games[[#This Row],[ExpectedWin%]])</f>
        <v>-3.1547207481049613</v>
      </c>
      <c r="AB314" s="4">
        <f>Games[[#This Row],[PreGmRate]]+Games[[#This Row],[RatingChange]]</f>
        <v>1315.1188517473263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38566</v>
      </c>
      <c r="B315" s="2">
        <v>2005</v>
      </c>
      <c r="C315" s="2">
        <f>COUNTIFS(Games[Team],Games[[#This Row],[Team]],Games[Season],Games[[#This Row],[Season]],Games[Date],"&lt;=" &amp; Games[[#This Row],[Date]])</f>
        <v>25</v>
      </c>
      <c r="D315" s="2" t="s">
        <v>23</v>
      </c>
      <c r="E315" s="2" t="s">
        <v>29</v>
      </c>
      <c r="F315" s="1" t="s">
        <v>73</v>
      </c>
      <c r="G315" s="1" t="s">
        <v>64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1490.6563183724102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1318.2735724954312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0.81394609863387746</v>
      </c>
      <c r="R315" s="1">
        <v>65</v>
      </c>
      <c r="S315" s="1">
        <v>63</v>
      </c>
      <c r="T315" s="1">
        <v>0</v>
      </c>
      <c r="U315" s="1">
        <f>Games[[#This Row],[PointsFor]]-Games[[#This Row],[PointsAgainst]]</f>
        <v>2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0.23419821178691438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72.25</v>
      </c>
      <c r="Z315" s="4">
        <f>Games[[#This Row],[K]]*Games[[#This Row],[POMult]]</f>
        <v>72.25</v>
      </c>
      <c r="AA315" s="4">
        <f>(Games[[#This Row],[Keff]]*Games[[#This Row],[MOVMult]])*(Games[[#This Row],[Result]]-Games[[#This Row],[ExpectedWin%]])</f>
        <v>3.1481847244555698</v>
      </c>
      <c r="AB315" s="4">
        <f>Games[[#This Row],[PreGmRate]]+Games[[#This Row],[RatingChange]]</f>
        <v>1493.8045030968658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38567</v>
      </c>
      <c r="B316" s="2">
        <v>2005</v>
      </c>
      <c r="C316" s="2">
        <f>COUNTIFS(Games[Team],Games[[#This Row],[Team]],Games[Season],Games[[#This Row],[Season]],Games[Date],"&lt;=" &amp; Games[[#This Row],[Date]])</f>
        <v>25</v>
      </c>
      <c r="D316" s="2" t="s">
        <v>23</v>
      </c>
      <c r="E316" s="2" t="s">
        <v>29</v>
      </c>
      <c r="F316" s="1" t="s">
        <v>77</v>
      </c>
      <c r="G316" s="1" t="s">
        <v>44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1464.7404308482974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1496.6240054718035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0.33915110252426972</v>
      </c>
      <c r="R316" s="1">
        <v>64</v>
      </c>
      <c r="S316" s="1">
        <v>70</v>
      </c>
      <c r="T316" s="1">
        <v>0</v>
      </c>
      <c r="U316" s="1">
        <f>Games[[#This Row],[PointsFor]]-Games[[#This Row],[PointsAgainst]]</f>
        <v>-6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0.34218892271375728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72.25</v>
      </c>
      <c r="Z316" s="4">
        <f>Games[[#This Row],[K]]*Games[[#This Row],[POMult]]</f>
        <v>72.25</v>
      </c>
      <c r="AA316" s="4">
        <f>(Games[[#This Row],[Keff]]*Games[[#This Row],[MOVMult]])*(Games[[#This Row],[Result]]-Games[[#This Row],[ExpectedWin%]])</f>
        <v>-8.3848834671198187</v>
      </c>
      <c r="AB316" s="4">
        <f>Games[[#This Row],[PreGmRate]]+Games[[#This Row],[RatingChange]]</f>
        <v>1456.3555473811775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38567</v>
      </c>
      <c r="B317" s="2">
        <v>2005</v>
      </c>
      <c r="C317" s="2">
        <f>COUNTIFS(Games[Team],Games[[#This Row],[Team]],Games[Season],Games[[#This Row],[Season]],Games[Date],"&lt;=" &amp; Games[[#This Row],[Date]])</f>
        <v>24</v>
      </c>
      <c r="D317" s="2" t="s">
        <v>23</v>
      </c>
      <c r="E317" s="2" t="s">
        <v>29</v>
      </c>
      <c r="F317" s="1" t="s">
        <v>44</v>
      </c>
      <c r="G317" s="1" t="s">
        <v>77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1496.6240054718035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1464.7404308482974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0.66084889747573028</v>
      </c>
      <c r="R317" s="1">
        <v>70</v>
      </c>
      <c r="S317" s="1">
        <v>64</v>
      </c>
      <c r="T317" s="1">
        <v>0</v>
      </c>
      <c r="U317" s="1">
        <f>Games[[#This Row],[PointsFor]]-Games[[#This Row],[PointsAgainst]]</f>
        <v>6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0.34218892271375728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72.400000000000006</v>
      </c>
      <c r="Z317" s="4">
        <f>Games[[#This Row],[K]]*Games[[#This Row],[POMult]]</f>
        <v>72.400000000000006</v>
      </c>
      <c r="AA317" s="4">
        <f>(Games[[#This Row],[Keff]]*Games[[#This Row],[MOVMult]])*(Games[[#This Row],[Result]]-Games[[#This Row],[ExpectedWin%]])</f>
        <v>8.4022915296813157</v>
      </c>
      <c r="AB317" s="4">
        <f>Games[[#This Row],[PreGmRate]]+Games[[#This Row],[RatingChange]]</f>
        <v>1505.0262970014849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38568</v>
      </c>
      <c r="B318" s="2">
        <v>2005</v>
      </c>
      <c r="C318" s="2">
        <f>COUNTIFS(Games[Team],Games[[#This Row],[Team]],Games[Season],Games[[#This Row],[Season]],Games[Date],"&lt;=" &amp; Games[[#This Row],[Date]])</f>
        <v>26</v>
      </c>
      <c r="D318" s="2" t="s">
        <v>23</v>
      </c>
      <c r="E318" s="2" t="s">
        <v>29</v>
      </c>
      <c r="F318" s="1" t="s">
        <v>45</v>
      </c>
      <c r="G318" s="1" t="s">
        <v>64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1626.7316572061595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1315.1188517473263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0.78755408879396649</v>
      </c>
      <c r="R318" s="1">
        <v>76</v>
      </c>
      <c r="S318" s="1">
        <v>58</v>
      </c>
      <c r="T318" s="1">
        <v>0</v>
      </c>
      <c r="U318" s="1">
        <f>Games[[#This Row],[PointsFor]]-Games[[#This Row],[PointsAgainst]]</f>
        <v>18</v>
      </c>
      <c r="V318" s="1">
        <f>IF(Games[[#This Row],[MOV]]&gt;0,1,IF(Games[[#This Row],[MOV]]=0,0.5,0))</f>
        <v>1</v>
      </c>
      <c r="W318" s="4">
        <f>((ABS(Games[[#This Row],[MOV]])+5)^0.6)/(12+0.01*(ABS(Games[[#This Row],[PreGmRate]]-Games[[#This Row],[OppPreGmRate]])))*IF(Games[[#This Row],[OT]]=1,0.9,1)</f>
        <v>0.43410635063547443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72.099999999999994</v>
      </c>
      <c r="Z318" s="4">
        <f>Games[[#This Row],[K]]*Games[[#This Row],[POMult]]</f>
        <v>72.099999999999994</v>
      </c>
      <c r="AA318" s="4">
        <f>(Games[[#This Row],[Keff]]*Games[[#This Row],[MOVMult]])*(Games[[#This Row],[Result]]-Games[[#This Row],[ExpectedWin%]])</f>
        <v>6.6493589958398127</v>
      </c>
      <c r="AB318" s="4">
        <f>Games[[#This Row],[PreGmRate]]+Games[[#This Row],[RatingChange]]</f>
        <v>1633.3810162019993</v>
      </c>
      <c r="AC318" s="2">
        <f>IF(Games[[#This Row],[Type]]="R",IF(Games[[#This Row],[Result]]&gt;0.5,1,0),0)</f>
        <v>1</v>
      </c>
      <c r="AD318" s="2">
        <f>IF(Games[[#This Row],[Type]]="R",IF(Games[[#This Row],[Result]]&lt;0.5,1,0),0)</f>
        <v>0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38568</v>
      </c>
      <c r="B319" s="2">
        <v>2005</v>
      </c>
      <c r="C319" s="2">
        <f>COUNTIFS(Games[Team],Games[[#This Row],[Team]],Games[Season],Games[[#This Row],[Season]],Games[Date],"&lt;=" &amp; Games[[#This Row],[Date]])</f>
        <v>25</v>
      </c>
      <c r="D319" s="2" t="s">
        <v>23</v>
      </c>
      <c r="E319" s="2" t="s">
        <v>29</v>
      </c>
      <c r="F319" s="1" t="s">
        <v>64</v>
      </c>
      <c r="G319" s="1" t="s">
        <v>45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1315.1188517473263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1626.7316572061595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0.21244591120603357</v>
      </c>
      <c r="R319" s="1">
        <v>58</v>
      </c>
      <c r="S319" s="1">
        <v>76</v>
      </c>
      <c r="T319" s="1">
        <v>0</v>
      </c>
      <c r="U319" s="1">
        <f>Games[[#This Row],[PointsFor]]-Games[[#This Row],[PointsAgainst]]</f>
        <v>-18</v>
      </c>
      <c r="V319" s="1">
        <f>IF(Games[[#This Row],[MOV]]&gt;0,1,IF(Games[[#This Row],[MOV]]=0,0.5,0))</f>
        <v>0</v>
      </c>
      <c r="W319" s="4">
        <f>((ABS(Games[[#This Row],[MOV]])+5)^0.6)/(12+0.01*(ABS(Games[[#This Row],[PreGmRate]]-Games[[#This Row],[OppPreGmRate]])))*IF(Games[[#This Row],[OT]]=1,0.9,1)</f>
        <v>0.43410635063547443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72.25</v>
      </c>
      <c r="Z319" s="4">
        <f>Games[[#This Row],[K]]*Games[[#This Row],[POMult]]</f>
        <v>72.25</v>
      </c>
      <c r="AA319" s="4">
        <f>(Games[[#This Row],[Keff]]*Games[[#This Row],[MOVMult]])*(Games[[#This Row],[Result]]-Games[[#This Row],[ExpectedWin%]])</f>
        <v>-6.6631926137229769</v>
      </c>
      <c r="AB319" s="4">
        <f>Games[[#This Row],[PreGmRate]]+Games[[#This Row],[RatingChange]]</f>
        <v>1308.4556591336034</v>
      </c>
      <c r="AC319" s="2">
        <f>IF(Games[[#This Row],[Type]]="R",IF(Games[[#This Row],[Result]]&gt;0.5,1,0),0)</f>
        <v>0</v>
      </c>
      <c r="AD319" s="2">
        <f>IF(Games[[#This Row],[Type]]="R",IF(Games[[#This Row],[Result]]&lt;0.5,1,0),0)</f>
        <v>1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38568</v>
      </c>
      <c r="B320" s="2">
        <v>2005</v>
      </c>
      <c r="C320" s="2">
        <f>COUNTIFS(Games[Team],Games[[#This Row],[Team]],Games[Season],Games[[#This Row],[Season]],Games[Date],"&lt;=" &amp; Games[[#This Row],[Date]])</f>
        <v>25</v>
      </c>
      <c r="D320" s="2" t="s">
        <v>23</v>
      </c>
      <c r="E320" s="2" t="s">
        <v>29</v>
      </c>
      <c r="F320" s="1" t="s">
        <v>81</v>
      </c>
      <c r="G320" s="1" t="s">
        <v>79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1559.8729223351036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1513.0485700075451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0.44670318617070753</v>
      </c>
      <c r="R320" s="1">
        <v>68</v>
      </c>
      <c r="S320" s="1">
        <v>78</v>
      </c>
      <c r="T320" s="1">
        <v>0</v>
      </c>
      <c r="U320" s="1">
        <f>Games[[#This Row],[PointsFor]]-Games[[#This Row],[PointsAgainst]]</f>
        <v>-10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0.40723910970367871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72.25</v>
      </c>
      <c r="Z320" s="4">
        <f>Games[[#This Row],[K]]*Games[[#This Row],[POMult]]</f>
        <v>72.25</v>
      </c>
      <c r="AA320" s="4">
        <f>(Games[[#This Row],[Keff]]*Games[[#This Row],[MOVMult]])*(Games[[#This Row],[Result]]-Games[[#This Row],[ExpectedWin%]])</f>
        <v>-13.14335931629229</v>
      </c>
      <c r="AB320" s="4">
        <f>Games[[#This Row],[PreGmRate]]+Games[[#This Row],[RatingChange]]</f>
        <v>1546.7295630188112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38568</v>
      </c>
      <c r="B321" s="2">
        <v>2005</v>
      </c>
      <c r="C321" s="2">
        <f>COUNTIFS(Games[Team],Games[[#This Row],[Team]],Games[Season],Games[[#This Row],[Season]],Games[Date],"&lt;=" &amp; Games[[#This Row],[Date]])</f>
        <v>24</v>
      </c>
      <c r="D321" s="2" t="s">
        <v>23</v>
      </c>
      <c r="E321" s="2" t="s">
        <v>29</v>
      </c>
      <c r="F321" s="1" t="s">
        <v>79</v>
      </c>
      <c r="G321" s="1" t="s">
        <v>81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1513.0485700075451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1559.8729223351036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0.55329681382929241</v>
      </c>
      <c r="R321" s="1">
        <v>78</v>
      </c>
      <c r="S321" s="1">
        <v>68</v>
      </c>
      <c r="T321" s="1">
        <v>0</v>
      </c>
      <c r="U321" s="1">
        <f>Games[[#This Row],[PointsFor]]-Games[[#This Row],[PointsAgainst]]</f>
        <v>10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0.40723910970367871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72.400000000000006</v>
      </c>
      <c r="Z321" s="4">
        <f>Games[[#This Row],[K]]*Games[[#This Row],[POMult]]</f>
        <v>72.400000000000006</v>
      </c>
      <c r="AA321" s="4">
        <f>(Games[[#This Row],[Keff]]*Games[[#This Row],[MOVMult]])*(Games[[#This Row],[Result]]-Games[[#This Row],[ExpectedWin%]])</f>
        <v>13.170646567467987</v>
      </c>
      <c r="AB321" s="4">
        <f>Games[[#This Row],[PreGmRate]]+Games[[#This Row],[RatingChange]]</f>
        <v>1526.219216575013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38569</v>
      </c>
      <c r="B322" s="2">
        <v>2005</v>
      </c>
      <c r="C322" s="2">
        <f>COUNTIFS(Games[Team],Games[[#This Row],[Team]],Games[Season],Games[[#This Row],[Season]],Games[Date],"&lt;=" &amp; Games[[#This Row],[Date]])</f>
        <v>26</v>
      </c>
      <c r="D322" s="2" t="s">
        <v>23</v>
      </c>
      <c r="E322" s="2" t="s">
        <v>29</v>
      </c>
      <c r="F322" s="1" t="s">
        <v>2</v>
      </c>
      <c r="G322" s="1" t="s">
        <v>44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1</v>
      </c>
      <c r="L322" s="2">
        <f>Games[[#This Row],[OppDaysOff]]-Games[[#This Row],[DaysOff]]</f>
        <v>-1</v>
      </c>
      <c r="M322" s="1">
        <f>MAX(-16, MIN(16, Games[[#This Row],[RestDiff]]*8))</f>
        <v>8</v>
      </c>
      <c r="N322" s="1">
        <f>MAX(-16, MIN(16, Games[[#This Row],[OppRestDiff]]*8))</f>
        <v>-8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1527.9333815698526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1505.0262970014849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0.43546801654544171</v>
      </c>
      <c r="R322" s="1">
        <v>75</v>
      </c>
      <c r="S322" s="1">
        <v>80</v>
      </c>
      <c r="T322" s="1">
        <v>0</v>
      </c>
      <c r="U322" s="1">
        <f>Games[[#This Row],[PointsFor]]-Games[[#This Row],[PointsAgainst]]</f>
        <v>-5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0.32554163401057695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72.099999999999994</v>
      </c>
      <c r="Z322" s="4">
        <f>Games[[#This Row],[K]]*Games[[#This Row],[POMult]]</f>
        <v>72.099999999999994</v>
      </c>
      <c r="AA322" s="4">
        <f>(Games[[#This Row],[Keff]]*Games[[#This Row],[MOVMult]])*(Games[[#This Row],[Result]]-Games[[#This Row],[ExpectedWin%]])</f>
        <v>-10.221110112886013</v>
      </c>
      <c r="AB322" s="4">
        <f>Games[[#This Row],[PreGmRate]]+Games[[#This Row],[RatingChange]]</f>
        <v>1517.7122714569666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38569</v>
      </c>
      <c r="B323" s="2">
        <v>2005</v>
      </c>
      <c r="C323" s="2">
        <f>COUNTIFS(Games[Team],Games[[#This Row],[Team]],Games[Season],Games[[#This Row],[Season]],Games[Date],"&lt;=" &amp; Games[[#This Row],[Date]])</f>
        <v>25</v>
      </c>
      <c r="D323" s="2" t="s">
        <v>23</v>
      </c>
      <c r="E323" s="2" t="s">
        <v>29</v>
      </c>
      <c r="F323" s="1" t="s">
        <v>44</v>
      </c>
      <c r="G323" s="1" t="s">
        <v>2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3" s="2">
        <f>Games[[#This Row],[DaysOff]]-Games[[#This Row],[OppDaysOff]]</f>
        <v>-1</v>
      </c>
      <c r="L323" s="2">
        <f>Games[[#This Row],[OppDaysOff]]-Games[[#This Row],[DaysOff]]</f>
        <v>1</v>
      </c>
      <c r="M323" s="1">
        <f>MAX(-16, MIN(16, Games[[#This Row],[RestDiff]]*8))</f>
        <v>-8</v>
      </c>
      <c r="N323" s="1">
        <f>MAX(-16, MIN(16, Games[[#This Row],[OppRestDiff]]*8))</f>
        <v>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1505.0262970014849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1527.9333815698526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0.56453198345455824</v>
      </c>
      <c r="R323" s="1">
        <v>80</v>
      </c>
      <c r="S323" s="1">
        <v>75</v>
      </c>
      <c r="T323" s="1">
        <v>0</v>
      </c>
      <c r="U323" s="1">
        <f>Games[[#This Row],[PointsFor]]-Games[[#This Row],[PointsAgainst]]</f>
        <v>5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0.32554163401057695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72.25</v>
      </c>
      <c r="Z323" s="4">
        <f>Games[[#This Row],[K]]*Games[[#This Row],[POMult]]</f>
        <v>72.25</v>
      </c>
      <c r="AA323" s="4">
        <f>(Games[[#This Row],[Keff]]*Games[[#This Row],[MOVMult]])*(Games[[#This Row],[Result]]-Games[[#This Row],[ExpectedWin%]])</f>
        <v>10.242374558335847</v>
      </c>
      <c r="AB323" s="4">
        <f>Games[[#This Row],[PreGmRate]]+Games[[#This Row],[RatingChange]]</f>
        <v>1515.2686715598206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38569</v>
      </c>
      <c r="B324" s="2">
        <v>2005</v>
      </c>
      <c r="C324" s="2">
        <f>COUNTIFS(Games[Team],Games[[#This Row],[Team]],Games[Season],Games[[#This Row],[Season]],Games[Date],"&lt;=" &amp; Games[[#This Row],[Date]])</f>
        <v>24</v>
      </c>
      <c r="D324" s="2" t="s">
        <v>23</v>
      </c>
      <c r="E324" s="2" t="s">
        <v>29</v>
      </c>
      <c r="F324" s="1" t="s">
        <v>70</v>
      </c>
      <c r="G324" s="1" t="s">
        <v>84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4" s="2">
        <f>Games[[#This Row],[DaysOff]]-Games[[#This Row],[OppDaysOff]]</f>
        <v>2</v>
      </c>
      <c r="L324" s="2">
        <f>Games[[#This Row],[OppDaysOff]]-Games[[#This Row],[DaysOff]]</f>
        <v>-2</v>
      </c>
      <c r="M324" s="1">
        <f>MAX(-16, MIN(16, Games[[#This Row],[RestDiff]]*8))</f>
        <v>16</v>
      </c>
      <c r="N324" s="1">
        <f>MAX(-16, MIN(16, Games[[#This Row],[OppRestDiff]]*8))</f>
        <v>-16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1496.3788186614211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1370.5047777268421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0.60473959990164494</v>
      </c>
      <c r="R324" s="1">
        <v>66</v>
      </c>
      <c r="S324" s="1">
        <v>63</v>
      </c>
      <c r="T324" s="1">
        <v>0</v>
      </c>
      <c r="U324" s="1">
        <f>Games[[#This Row],[PointsFor]]-Games[[#This Row],[PointsAgainst]]</f>
        <v>3</v>
      </c>
      <c r="V324" s="1">
        <f>IF(Games[[#This Row],[MOV]]&gt;0,1,IF(Games[[#This Row],[MOV]]=0,0.5,0))</f>
        <v>1</v>
      </c>
      <c r="W324" s="4">
        <f>((ABS(Games[[#This Row],[MOV]])+5)^0.6)/(12+0.01*(ABS(Games[[#This Row],[PreGmRate]]-Games[[#This Row],[OppPreGmRate]])))*IF(Games[[#This Row],[OT]]=1,0.9,1)</f>
        <v>0.26263446946513641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72.400000000000006</v>
      </c>
      <c r="Z324" s="4">
        <f>Games[[#This Row],[K]]*Games[[#This Row],[POMult]]</f>
        <v>72.400000000000006</v>
      </c>
      <c r="AA324" s="4">
        <f>(Games[[#This Row],[Keff]]*Games[[#This Row],[MOVMult]])*(Games[[#This Row],[Result]]-Games[[#This Row],[ExpectedWin%]])</f>
        <v>7.5157719967816137</v>
      </c>
      <c r="AB324" s="4">
        <f>Games[[#This Row],[PreGmRate]]+Games[[#This Row],[RatingChange]]</f>
        <v>1503.8945906582028</v>
      </c>
      <c r="AC324" s="2">
        <f>IF(Games[[#This Row],[Type]]="R",IF(Games[[#This Row],[Result]]&gt;0.5,1,0),0)</f>
        <v>1</v>
      </c>
      <c r="AD324" s="2">
        <f>IF(Games[[#This Row],[Type]]="R",IF(Games[[#This Row],[Result]]&lt;0.5,1,0),0)</f>
        <v>0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38569</v>
      </c>
      <c r="B325" s="2">
        <v>2005</v>
      </c>
      <c r="C325" s="2">
        <f>COUNTIFS(Games[Team],Games[[#This Row],[Team]],Games[Season],Games[[#This Row],[Season]],Games[Date],"&lt;=" &amp; Games[[#This Row],[Date]])</f>
        <v>27</v>
      </c>
      <c r="D325" s="2" t="s">
        <v>23</v>
      </c>
      <c r="E325" s="2" t="s">
        <v>29</v>
      </c>
      <c r="F325" s="1" t="s">
        <v>84</v>
      </c>
      <c r="G325" s="1" t="s">
        <v>70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5" s="2">
        <f>Games[[#This Row],[DaysOff]]-Games[[#This Row],[OppDaysOff]]</f>
        <v>-2</v>
      </c>
      <c r="L325" s="2">
        <f>Games[[#This Row],[OppDaysOff]]-Games[[#This Row],[DaysOff]]</f>
        <v>2</v>
      </c>
      <c r="M325" s="1">
        <f>MAX(-16, MIN(16, Games[[#This Row],[RestDiff]]*8))</f>
        <v>-16</v>
      </c>
      <c r="N325" s="1">
        <f>MAX(-16, MIN(16, Games[[#This Row],[OppRestDiff]]*8))</f>
        <v>16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1370.5047777268421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1496.3788186614211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0.395260400098355</v>
      </c>
      <c r="R325" s="1">
        <v>63</v>
      </c>
      <c r="S325" s="1">
        <v>66</v>
      </c>
      <c r="T325" s="1">
        <v>0</v>
      </c>
      <c r="U325" s="1">
        <f>Games[[#This Row],[PointsFor]]-Games[[#This Row],[PointsAgainst]]</f>
        <v>-3</v>
      </c>
      <c r="V325" s="1">
        <f>IF(Games[[#This Row],[MOV]]&gt;0,1,IF(Games[[#This Row],[MOV]]=0,0.5,0))</f>
        <v>0</v>
      </c>
      <c r="W325" s="4">
        <f>((ABS(Games[[#This Row],[MOV]])+5)^0.6)/(12+0.01*(ABS(Games[[#This Row],[PreGmRate]]-Games[[#This Row],[OppPreGmRate]])))*IF(Games[[#This Row],[OT]]=1,0.9,1)</f>
        <v>0.26263446946513641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71.95</v>
      </c>
      <c r="Z325" s="4">
        <f>Games[[#This Row],[K]]*Games[[#This Row],[POMult]]</f>
        <v>71.95</v>
      </c>
      <c r="AA325" s="4">
        <f>(Games[[#This Row],[Keff]]*Games[[#This Row],[MOVMult]])*(Games[[#This Row],[Result]]-Games[[#This Row],[ExpectedWin%]])</f>
        <v>-7.4690579443154297</v>
      </c>
      <c r="AB325" s="4">
        <f>Games[[#This Row],[PreGmRate]]+Games[[#This Row],[RatingChange]]</f>
        <v>1363.0357197825267</v>
      </c>
      <c r="AC325" s="2">
        <f>IF(Games[[#This Row],[Type]]="R",IF(Games[[#This Row],[Result]]&gt;0.5,1,0),0)</f>
        <v>0</v>
      </c>
      <c r="AD325" s="2">
        <f>IF(Games[[#This Row],[Type]]="R",IF(Games[[#This Row],[Result]]&lt;0.5,1,0),0)</f>
        <v>1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38570</v>
      </c>
      <c r="B326" s="2">
        <v>2005</v>
      </c>
      <c r="C326" s="2">
        <f>COUNTIFS(Games[Team],Games[[#This Row],[Team]],Games[Season],Games[[#This Row],[Season]],Games[Date],"&lt;=" &amp; Games[[#This Row],[Date]])</f>
        <v>24</v>
      </c>
      <c r="D326" s="2" t="s">
        <v>23</v>
      </c>
      <c r="E326" s="2" t="s">
        <v>29</v>
      </c>
      <c r="F326" s="1" t="s">
        <v>75</v>
      </c>
      <c r="G326" s="1" t="s">
        <v>64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2</v>
      </c>
      <c r="L326" s="2">
        <f>Games[[#This Row],[OppDaysOff]]-Games[[#This Row],[DaysOff]]</f>
        <v>-2</v>
      </c>
      <c r="M326" s="1">
        <f>MAX(-16, MIN(16, Games[[#This Row],[RestDiff]]*8))</f>
        <v>16</v>
      </c>
      <c r="N326" s="1">
        <f>MAX(-16, MIN(16, Games[[#This Row],[OppRestDiff]]*8))</f>
        <v>-16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1477.0437877464253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1308.4556591336034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0.66175730674971378</v>
      </c>
      <c r="R326" s="1">
        <v>73</v>
      </c>
      <c r="S326" s="1">
        <v>82</v>
      </c>
      <c r="T326" s="1">
        <v>1</v>
      </c>
      <c r="U326" s="1">
        <f>Games[[#This Row],[PointsFor]]-Games[[#This Row],[PointsAgainst]]</f>
        <v>-9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0.32036610588126835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72.400000000000006</v>
      </c>
      <c r="Z326" s="4">
        <f>Games[[#This Row],[K]]*Games[[#This Row],[POMult]]</f>
        <v>72.400000000000006</v>
      </c>
      <c r="AA326" s="4">
        <f>(Games[[#This Row],[Keff]]*Games[[#This Row],[MOVMult]])*(Games[[#This Row],[Result]]-Games[[#This Row],[ExpectedWin%]])</f>
        <v>-15.349133865496242</v>
      </c>
      <c r="AB326" s="4">
        <f>Games[[#This Row],[PreGmRate]]+Games[[#This Row],[RatingChange]]</f>
        <v>1461.6946538809291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38570</v>
      </c>
      <c r="B327" s="2">
        <v>2005</v>
      </c>
      <c r="C327" s="2">
        <f>COUNTIFS(Games[Team],Games[[#This Row],[Team]],Games[Season],Games[[#This Row],[Season]],Games[Date],"&lt;=" &amp; Games[[#This Row],[Date]])</f>
        <v>26</v>
      </c>
      <c r="D327" s="2" t="s">
        <v>23</v>
      </c>
      <c r="E327" s="2" t="s">
        <v>29</v>
      </c>
      <c r="F327" s="1" t="s">
        <v>64</v>
      </c>
      <c r="G327" s="1" t="s">
        <v>75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7" s="2">
        <f>Games[[#This Row],[DaysOff]]-Games[[#This Row],[OppDaysOff]]</f>
        <v>-2</v>
      </c>
      <c r="L327" s="2">
        <f>Games[[#This Row],[OppDaysOff]]-Games[[#This Row],[DaysOff]]</f>
        <v>2</v>
      </c>
      <c r="M327" s="1">
        <f>MAX(-16, MIN(16, Games[[#This Row],[RestDiff]]*8))</f>
        <v>-16</v>
      </c>
      <c r="N327" s="1">
        <f>MAX(-16, MIN(16, Games[[#This Row],[OppRestDiff]]*8))</f>
        <v>16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1308.4556591336034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1477.0437877464253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0.33824269325028616</v>
      </c>
      <c r="R327" s="1">
        <v>82</v>
      </c>
      <c r="S327" s="1">
        <v>73</v>
      </c>
      <c r="T327" s="1">
        <v>1</v>
      </c>
      <c r="U327" s="1">
        <f>Games[[#This Row],[PointsFor]]-Games[[#This Row],[PointsAgainst]]</f>
        <v>9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0.32036610588126835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72.099999999999994</v>
      </c>
      <c r="Z327" s="4">
        <f>Games[[#This Row],[K]]*Games[[#This Row],[POMult]]</f>
        <v>72.099999999999994</v>
      </c>
      <c r="AA327" s="4">
        <f>(Games[[#This Row],[Keff]]*Games[[#This Row],[MOVMult]])*(Games[[#This Row],[Result]]-Games[[#This Row],[ExpectedWin%]])</f>
        <v>15.285532482075675</v>
      </c>
      <c r="AB327" s="4">
        <f>Games[[#This Row],[PreGmRate]]+Games[[#This Row],[RatingChange]]</f>
        <v>1323.7411916156791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38570</v>
      </c>
      <c r="B328" s="2">
        <v>2005</v>
      </c>
      <c r="C328" s="2">
        <f>COUNTIFS(Games[Team],Games[[#This Row],[Team]],Games[Season],Games[[#This Row],[Season]],Games[Date],"&lt;=" &amp; Games[[#This Row],[Date]])</f>
        <v>26</v>
      </c>
      <c r="D328" s="2" t="s">
        <v>23</v>
      </c>
      <c r="E328" s="2" t="s">
        <v>29</v>
      </c>
      <c r="F328" s="1" t="s">
        <v>86</v>
      </c>
      <c r="G328" s="1" t="s">
        <v>79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2</v>
      </c>
      <c r="L328" s="2">
        <f>Games[[#This Row],[OppDaysOff]]-Games[[#This Row],[DaysOff]]</f>
        <v>-2</v>
      </c>
      <c r="M328" s="1">
        <f>MAX(-16, MIN(16, Games[[#This Row],[RestDiff]]*8))</f>
        <v>16</v>
      </c>
      <c r="N328" s="1">
        <f>MAX(-16, MIN(16, Games[[#This Row],[OppRestDiff]]*8))</f>
        <v>-16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1639.7542322982463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1526.219216575013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0.5876415177607317</v>
      </c>
      <c r="R328" s="1">
        <v>74</v>
      </c>
      <c r="S328" s="1">
        <v>65</v>
      </c>
      <c r="T328" s="1">
        <v>0</v>
      </c>
      <c r="U328" s="1">
        <f>Games[[#This Row],[PointsFor]]-Games[[#This Row],[PointsAgainst]]</f>
        <v>9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0.37088149668279496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72.099999999999994</v>
      </c>
      <c r="Z328" s="4">
        <f>Games[[#This Row],[K]]*Games[[#This Row],[POMult]]</f>
        <v>72.099999999999994</v>
      </c>
      <c r="AA328" s="4">
        <f>(Games[[#This Row],[Keff]]*Games[[#This Row],[MOVMult]])*(Games[[#This Row],[Result]]-Games[[#This Row],[ExpectedWin%]])</f>
        <v>11.026695049623953</v>
      </c>
      <c r="AB328" s="4">
        <f>Games[[#This Row],[PreGmRate]]+Games[[#This Row],[RatingChange]]</f>
        <v>1650.7809273478701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38570</v>
      </c>
      <c r="B329" s="2">
        <v>2005</v>
      </c>
      <c r="C329" s="2">
        <f>COUNTIFS(Games[Team],Games[[#This Row],[Team]],Games[Season],Games[[#This Row],[Season]],Games[Date],"&lt;=" &amp; Games[[#This Row],[Date]])</f>
        <v>25</v>
      </c>
      <c r="D329" s="2" t="s">
        <v>23</v>
      </c>
      <c r="E329" s="2" t="s">
        <v>29</v>
      </c>
      <c r="F329" s="1" t="s">
        <v>79</v>
      </c>
      <c r="G329" s="1" t="s">
        <v>86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9" s="2">
        <f>Games[[#This Row],[DaysOff]]-Games[[#This Row],[OppDaysOff]]</f>
        <v>-2</v>
      </c>
      <c r="L329" s="2">
        <f>Games[[#This Row],[OppDaysOff]]-Games[[#This Row],[DaysOff]]</f>
        <v>2</v>
      </c>
      <c r="M329" s="1">
        <f>MAX(-16, MIN(16, Games[[#This Row],[RestDiff]]*8))</f>
        <v>-16</v>
      </c>
      <c r="N329" s="1">
        <f>MAX(-16, MIN(16, Games[[#This Row],[OppRestDiff]]*8))</f>
        <v>16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1526.219216575013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1639.7542322982463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0.41235848223926819</v>
      </c>
      <c r="R329" s="1">
        <v>65</v>
      </c>
      <c r="S329" s="1">
        <v>74</v>
      </c>
      <c r="T329" s="1">
        <v>0</v>
      </c>
      <c r="U329" s="1">
        <f>Games[[#This Row],[PointsFor]]-Games[[#This Row],[PointsAgainst]]</f>
        <v>-9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0.37088149668279496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72.25</v>
      </c>
      <c r="Z329" s="4">
        <f>Games[[#This Row],[K]]*Games[[#This Row],[POMult]]</f>
        <v>72.25</v>
      </c>
      <c r="AA329" s="4">
        <f>(Games[[#This Row],[Keff]]*Games[[#This Row],[MOVMult]])*(Games[[#This Row],[Result]]-Games[[#This Row],[ExpectedWin%]])</f>
        <v>-11.049635469283363</v>
      </c>
      <c r="AB329" s="4">
        <f>Games[[#This Row],[PreGmRate]]+Games[[#This Row],[RatingChange]]</f>
        <v>1515.1695811057295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38570</v>
      </c>
      <c r="B330" s="2">
        <v>2005</v>
      </c>
      <c r="C330" s="2">
        <f>COUNTIFS(Games[Team],Games[[#This Row],[Team]],Games[Season],Games[[#This Row],[Season]],Games[Date],"&lt;=" &amp; Games[[#This Row],[Date]])</f>
        <v>26</v>
      </c>
      <c r="D330" s="2" t="s">
        <v>23</v>
      </c>
      <c r="E330" s="2" t="s">
        <v>29</v>
      </c>
      <c r="F330" s="1" t="s">
        <v>81</v>
      </c>
      <c r="G330" s="1" t="s">
        <v>66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0" s="2">
        <f>Games[[#This Row],[DaysOff]]-Games[[#This Row],[OppDaysOff]]</f>
        <v>-2</v>
      </c>
      <c r="L330" s="2">
        <f>Games[[#This Row],[OppDaysOff]]-Games[[#This Row],[DaysOff]]</f>
        <v>2</v>
      </c>
      <c r="M330" s="1">
        <f>MAX(-16, MIN(16, Games[[#This Row],[RestDiff]]*8))</f>
        <v>-16</v>
      </c>
      <c r="N330" s="1">
        <f>MAX(-16, MIN(16, Games[[#This Row],[OppRestDiff]]*8))</f>
        <v>16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1546.7295630188112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1528.3093346133674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0.36315089233027531</v>
      </c>
      <c r="R330" s="1">
        <v>67</v>
      </c>
      <c r="S330" s="1">
        <v>79</v>
      </c>
      <c r="T330" s="1">
        <v>0</v>
      </c>
      <c r="U330" s="1">
        <f>Games[[#This Row],[PointsFor]]-Games[[#This Row],[PointsAgainst]]</f>
        <v>-12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0.44923362148064233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72.099999999999994</v>
      </c>
      <c r="Z330" s="4">
        <f>Games[[#This Row],[K]]*Games[[#This Row],[POMult]]</f>
        <v>72.099999999999994</v>
      </c>
      <c r="AA330" s="4">
        <f>(Games[[#This Row],[Keff]]*Games[[#This Row],[MOVMult]])*(Games[[#This Row],[Result]]-Games[[#This Row],[ExpectedWin%]])</f>
        <v>-11.762364475443404</v>
      </c>
      <c r="AB330" s="4">
        <f>Games[[#This Row],[PreGmRate]]+Games[[#This Row],[RatingChange]]</f>
        <v>1534.9671985433679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38570</v>
      </c>
      <c r="B331" s="2">
        <v>2005</v>
      </c>
      <c r="C331" s="2">
        <f>COUNTIFS(Games[Team],Games[[#This Row],[Team]],Games[Season],Games[[#This Row],[Season]],Games[Date],"&lt;=" &amp; Games[[#This Row],[Date]])</f>
        <v>25</v>
      </c>
      <c r="D331" s="2" t="s">
        <v>23</v>
      </c>
      <c r="E331" s="2" t="s">
        <v>29</v>
      </c>
      <c r="F331" s="1" t="s">
        <v>66</v>
      </c>
      <c r="G331" s="1" t="s">
        <v>81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2</v>
      </c>
      <c r="L331" s="2">
        <f>Games[[#This Row],[OppDaysOff]]-Games[[#This Row],[DaysOff]]</f>
        <v>-2</v>
      </c>
      <c r="M331" s="1">
        <f>MAX(-16, MIN(16, Games[[#This Row],[RestDiff]]*8))</f>
        <v>16</v>
      </c>
      <c r="N331" s="1">
        <f>MAX(-16, MIN(16, Games[[#This Row],[OppRestDiff]]*8))</f>
        <v>-16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1528.3093346133674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1546.7295630188112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0.63684910766972469</v>
      </c>
      <c r="R331" s="1">
        <v>79</v>
      </c>
      <c r="S331" s="1">
        <v>67</v>
      </c>
      <c r="T331" s="1">
        <v>0</v>
      </c>
      <c r="U331" s="1">
        <f>Games[[#This Row],[PointsFor]]-Games[[#This Row],[PointsAgainst]]</f>
        <v>12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0.44923362148064233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72.25</v>
      </c>
      <c r="Z331" s="4">
        <f>Games[[#This Row],[K]]*Games[[#This Row],[POMult]]</f>
        <v>72.25</v>
      </c>
      <c r="AA331" s="4">
        <f>(Games[[#This Row],[Keff]]*Games[[#This Row],[MOVMult]])*(Games[[#This Row],[Result]]-Games[[#This Row],[ExpectedWin%]])</f>
        <v>11.786835414019226</v>
      </c>
      <c r="AB331" s="4">
        <f>Games[[#This Row],[PreGmRate]]+Games[[#This Row],[RatingChange]]</f>
        <v>1540.0961700273865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38571</v>
      </c>
      <c r="B332" s="2">
        <v>2005</v>
      </c>
      <c r="C332" s="2">
        <f>COUNTIFS(Games[Team],Games[[#This Row],[Team]],Games[Season],Games[[#This Row],[Season]],Games[Date],"&lt;=" &amp; Games[[#This Row],[Date]])</f>
        <v>26</v>
      </c>
      <c r="D332" s="2" t="s">
        <v>23</v>
      </c>
      <c r="E332" s="2" t="s">
        <v>29</v>
      </c>
      <c r="F332" s="1" t="s">
        <v>66</v>
      </c>
      <c r="G332" s="1" t="s">
        <v>75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1540.0961700273865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1461.6946538809291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0.49194383134031372</v>
      </c>
      <c r="R332" s="1">
        <v>67</v>
      </c>
      <c r="S332" s="1">
        <v>72</v>
      </c>
      <c r="T332" s="1">
        <v>0</v>
      </c>
      <c r="U332" s="1">
        <f>Games[[#This Row],[PointsFor]]-Games[[#This Row],[PointsAgainst]]</f>
        <v>-5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0.31141012078390634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72.099999999999994</v>
      </c>
      <c r="Z332" s="4">
        <f>Games[[#This Row],[K]]*Games[[#This Row],[POMult]]</f>
        <v>72.099999999999994</v>
      </c>
      <c r="AA332" s="4">
        <f>(Games[[#This Row],[Keff]]*Games[[#This Row],[MOVMult]])*(Games[[#This Row],[Result]]-Games[[#This Row],[ExpectedWin%]])</f>
        <v>-11.04545236022776</v>
      </c>
      <c r="AB332" s="4">
        <f>Games[[#This Row],[PreGmRate]]+Games[[#This Row],[RatingChange]]</f>
        <v>1529.0507176671588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38571</v>
      </c>
      <c r="B333" s="2">
        <v>2005</v>
      </c>
      <c r="C333" s="2">
        <f>COUNTIFS(Games[Team],Games[[#This Row],[Team]],Games[Season],Games[[#This Row],[Season]],Games[Date],"&lt;=" &amp; Games[[#This Row],[Date]])</f>
        <v>25</v>
      </c>
      <c r="D333" s="2" t="s">
        <v>23</v>
      </c>
      <c r="E333" s="2" t="s">
        <v>29</v>
      </c>
      <c r="F333" s="1" t="s">
        <v>75</v>
      </c>
      <c r="G333" s="1" t="s">
        <v>66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1461.6946538809291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1540.0961700273865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0.50805616865968628</v>
      </c>
      <c r="R333" s="1">
        <v>72</v>
      </c>
      <c r="S333" s="1">
        <v>67</v>
      </c>
      <c r="T333" s="1">
        <v>0</v>
      </c>
      <c r="U333" s="1">
        <f>Games[[#This Row],[PointsFor]]-Games[[#This Row],[PointsAgainst]]</f>
        <v>5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0.31141012078390634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72.25</v>
      </c>
      <c r="Z333" s="4">
        <f>Games[[#This Row],[K]]*Games[[#This Row],[POMult]]</f>
        <v>72.25</v>
      </c>
      <c r="AA333" s="4">
        <f>(Games[[#This Row],[Keff]]*Games[[#This Row],[MOVMult]])*(Games[[#This Row],[Result]]-Games[[#This Row],[ExpectedWin%]])</f>
        <v>11.068431803418248</v>
      </c>
      <c r="AB333" s="4">
        <f>Games[[#This Row],[PreGmRate]]+Games[[#This Row],[RatingChange]]</f>
        <v>1472.7630856843473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38571</v>
      </c>
      <c r="B334" s="2">
        <v>2005</v>
      </c>
      <c r="C334" s="2">
        <f>COUNTIFS(Games[Team],Games[[#This Row],[Team]],Games[Season],Games[[#This Row],[Season]],Games[Date],"&lt;=" &amp; Games[[#This Row],[Date]])</f>
        <v>25</v>
      </c>
      <c r="D334" s="2" t="s">
        <v>23</v>
      </c>
      <c r="E334" s="2" t="s">
        <v>29</v>
      </c>
      <c r="F334" s="1" t="s">
        <v>70</v>
      </c>
      <c r="G334" s="1" t="s">
        <v>77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4" s="2">
        <f>Games[[#This Row],[DaysOff]]-Games[[#This Row],[OppDaysOff]]</f>
        <v>-2</v>
      </c>
      <c r="L334" s="2">
        <f>Games[[#This Row],[OppDaysOff]]-Games[[#This Row],[DaysOff]]</f>
        <v>2</v>
      </c>
      <c r="M334" s="1">
        <f>MAX(-16, MIN(16, Games[[#This Row],[RestDiff]]*8))</f>
        <v>-16</v>
      </c>
      <c r="N334" s="1">
        <f>MAX(-16, MIN(16, Games[[#This Row],[OppRestDiff]]*8))</f>
        <v>16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1503.8945906582028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1456.3555473811775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0.4027323967829663</v>
      </c>
      <c r="R334" s="1">
        <v>72</v>
      </c>
      <c r="S334" s="1">
        <v>76</v>
      </c>
      <c r="T334" s="1">
        <v>0</v>
      </c>
      <c r="U334" s="1">
        <f>Games[[#This Row],[PointsFor]]-Games[[#This Row],[PointsAgainst]]</f>
        <v>-4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0.29956519910028023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72.25</v>
      </c>
      <c r="Z334" s="4">
        <f>Games[[#This Row],[K]]*Games[[#This Row],[POMult]]</f>
        <v>72.25</v>
      </c>
      <c r="AA334" s="4">
        <f>(Games[[#This Row],[Keff]]*Games[[#This Row],[MOVMult]])*(Games[[#This Row],[Result]]-Games[[#This Row],[ExpectedWin%]])</f>
        <v>-8.7165731177590153</v>
      </c>
      <c r="AB334" s="4">
        <f>Games[[#This Row],[PreGmRate]]+Games[[#This Row],[RatingChange]]</f>
        <v>1495.1780175404438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38571</v>
      </c>
      <c r="B335" s="2">
        <v>2005</v>
      </c>
      <c r="C335" s="2">
        <f>COUNTIFS(Games[Team],Games[[#This Row],[Team]],Games[Season],Games[[#This Row],[Season]],Games[Date],"&lt;=" &amp; Games[[#This Row],[Date]])</f>
        <v>26</v>
      </c>
      <c r="D335" s="2" t="s">
        <v>23</v>
      </c>
      <c r="E335" s="2" t="s">
        <v>29</v>
      </c>
      <c r="F335" s="1" t="s">
        <v>77</v>
      </c>
      <c r="G335" s="1" t="s">
        <v>70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2</v>
      </c>
      <c r="L335" s="2">
        <f>Games[[#This Row],[OppDaysOff]]-Games[[#This Row],[DaysOff]]</f>
        <v>-2</v>
      </c>
      <c r="M335" s="1">
        <f>MAX(-16, MIN(16, Games[[#This Row],[RestDiff]]*8))</f>
        <v>16</v>
      </c>
      <c r="N335" s="1">
        <f>MAX(-16, MIN(16, Games[[#This Row],[OppRestDiff]]*8))</f>
        <v>-16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1456.3555473811775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1503.8945906582028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0.59726760321703376</v>
      </c>
      <c r="R335" s="1">
        <v>76</v>
      </c>
      <c r="S335" s="1">
        <v>72</v>
      </c>
      <c r="T335" s="1">
        <v>0</v>
      </c>
      <c r="U335" s="1">
        <f>Games[[#This Row],[PointsFor]]-Games[[#This Row],[PointsAgainst]]</f>
        <v>4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0.29956519910028023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72.099999999999994</v>
      </c>
      <c r="Z335" s="4">
        <f>Games[[#This Row],[K]]*Games[[#This Row],[POMult]]</f>
        <v>72.099999999999994</v>
      </c>
      <c r="AA335" s="4">
        <f>(Games[[#This Row],[Keff]]*Games[[#This Row],[MOVMult]])*(Games[[#This Row],[Result]]-Games[[#This Row],[ExpectedWin%]])</f>
        <v>8.6984764261650493</v>
      </c>
      <c r="AB335" s="4">
        <f>Games[[#This Row],[PreGmRate]]+Games[[#This Row],[RatingChange]]</f>
        <v>1465.0540238073427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38571</v>
      </c>
      <c r="B336" s="2">
        <v>2005</v>
      </c>
      <c r="C336" s="2">
        <f>COUNTIFS(Games[Team],Games[[#This Row],[Team]],Games[Season],Games[[#This Row],[Season]],Games[Date],"&lt;=" &amp; Games[[#This Row],[Date]])</f>
        <v>27</v>
      </c>
      <c r="D336" s="2" t="s">
        <v>23</v>
      </c>
      <c r="E336" s="2" t="s">
        <v>29</v>
      </c>
      <c r="F336" s="1" t="s">
        <v>2</v>
      </c>
      <c r="G336" s="1" t="s">
        <v>45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6" s="2">
        <f>Games[[#This Row],[DaysOff]]-Games[[#This Row],[OppDaysOff]]</f>
        <v>-1</v>
      </c>
      <c r="L336" s="2">
        <f>Games[[#This Row],[OppDaysOff]]-Games[[#This Row],[DaysOff]]</f>
        <v>1</v>
      </c>
      <c r="M336" s="1">
        <f>MAX(-16, MIN(16, Games[[#This Row],[RestDiff]]*8))</f>
        <v>-8</v>
      </c>
      <c r="N336" s="1">
        <f>MAX(-16, MIN(16, Games[[#This Row],[OppRestDiff]]*8))</f>
        <v>8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1517.7122714569666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1633.3810162019993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0.22417689413324024</v>
      </c>
      <c r="R336" s="1">
        <v>45</v>
      </c>
      <c r="S336" s="1">
        <v>55</v>
      </c>
      <c r="T336" s="1">
        <v>0</v>
      </c>
      <c r="U336" s="1">
        <f>Games[[#This Row],[PointsFor]]-Games[[#This Row],[PointsAgainst]]</f>
        <v>-10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0.38592969638200242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71.95</v>
      </c>
      <c r="Z336" s="4">
        <f>Games[[#This Row],[K]]*Games[[#This Row],[POMult]]</f>
        <v>71.95</v>
      </c>
      <c r="AA336" s="4">
        <f>(Games[[#This Row],[Keff]]*Games[[#This Row],[MOVMult]])*(Games[[#This Row],[Result]]-Games[[#This Row],[ExpectedWin%]])</f>
        <v>-6.224863663552088</v>
      </c>
      <c r="AB336" s="4">
        <f>Games[[#This Row],[PreGmRate]]+Games[[#This Row],[RatingChange]]</f>
        <v>1511.4874077934146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38571</v>
      </c>
      <c r="B337" s="2">
        <v>2005</v>
      </c>
      <c r="C337" s="2">
        <f>COUNTIFS(Games[Team],Games[[#This Row],[Team]],Games[Season],Games[[#This Row],[Season]],Games[Date],"&lt;=" &amp; Games[[#This Row],[Date]])</f>
        <v>27</v>
      </c>
      <c r="D337" s="2" t="s">
        <v>23</v>
      </c>
      <c r="E337" s="2" t="s">
        <v>29</v>
      </c>
      <c r="F337" s="1" t="s">
        <v>45</v>
      </c>
      <c r="G337" s="1" t="s">
        <v>2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1</v>
      </c>
      <c r="L337" s="2">
        <f>Games[[#This Row],[OppDaysOff]]-Games[[#This Row],[DaysOff]]</f>
        <v>-1</v>
      </c>
      <c r="M337" s="1">
        <f>MAX(-16, MIN(16, Games[[#This Row],[RestDiff]]*8))</f>
        <v>8</v>
      </c>
      <c r="N337" s="1">
        <f>MAX(-16, MIN(16, Games[[#This Row],[OppRestDiff]]*8))</f>
        <v>-8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1633.3810162019993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1517.7122714569666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0.77582310586675984</v>
      </c>
      <c r="R337" s="1">
        <v>55</v>
      </c>
      <c r="S337" s="1">
        <v>45</v>
      </c>
      <c r="T337" s="1">
        <v>0</v>
      </c>
      <c r="U337" s="1">
        <f>Games[[#This Row],[PointsFor]]-Games[[#This Row],[PointsAgainst]]</f>
        <v>10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0.38592969638200242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71.95</v>
      </c>
      <c r="Z337" s="4">
        <f>Games[[#This Row],[K]]*Games[[#This Row],[POMult]]</f>
        <v>71.95</v>
      </c>
      <c r="AA337" s="4">
        <f>(Games[[#This Row],[Keff]]*Games[[#This Row],[MOVMult]])*(Games[[#This Row],[Result]]-Games[[#This Row],[ExpectedWin%]])</f>
        <v>6.2248636635520853</v>
      </c>
      <c r="AB337" s="4">
        <f>Games[[#This Row],[PreGmRate]]+Games[[#This Row],[RatingChange]]</f>
        <v>1639.6058798655513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38571</v>
      </c>
      <c r="B338" s="2">
        <v>2005</v>
      </c>
      <c r="C338" s="2">
        <f>COUNTIFS(Games[Team],Games[[#This Row],[Team]],Games[Season],Games[[#This Row],[Season]],Games[Date],"&lt;=" &amp; Games[[#This Row],[Date]])</f>
        <v>26</v>
      </c>
      <c r="D338" s="2" t="s">
        <v>23</v>
      </c>
      <c r="E338" s="2" t="s">
        <v>29</v>
      </c>
      <c r="F338" s="1" t="s">
        <v>79</v>
      </c>
      <c r="G338" s="1" t="s">
        <v>73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8" s="2">
        <f>Games[[#This Row],[DaysOff]]-Games[[#This Row],[OppDaysOff]]</f>
        <v>-4</v>
      </c>
      <c r="L338" s="2">
        <f>Games[[#This Row],[OppDaysOff]]-Games[[#This Row],[DaysOff]]</f>
        <v>4</v>
      </c>
      <c r="M338" s="1">
        <f>MAX(-16, MIN(16, Games[[#This Row],[RestDiff]]*8))</f>
        <v>-16</v>
      </c>
      <c r="N338" s="1">
        <f>MAX(-16, MIN(16, Games[[#This Row],[OppRestDiff]]*8))</f>
        <v>16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1515.1695811057295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1493.8045030968658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0.36708042337138863</v>
      </c>
      <c r="R338" s="1">
        <v>60</v>
      </c>
      <c r="S338" s="1">
        <v>61</v>
      </c>
      <c r="T338" s="1">
        <v>0</v>
      </c>
      <c r="U338" s="1">
        <f>Games[[#This Row],[PointsFor]]-Games[[#This Row],[PointsAgainst]]</f>
        <v>-1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0.23990828822127633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72.099999999999994</v>
      </c>
      <c r="Z338" s="4">
        <f>Games[[#This Row],[K]]*Games[[#This Row],[POMult]]</f>
        <v>72.099999999999994</v>
      </c>
      <c r="AA338" s="4">
        <f>(Games[[#This Row],[Keff]]*Games[[#This Row],[MOVMult]])*(Games[[#This Row],[Result]]-Games[[#This Row],[ExpectedWin%]])</f>
        <v>-6.3495323563621868</v>
      </c>
      <c r="AB338" s="4">
        <f>Games[[#This Row],[PreGmRate]]+Games[[#This Row],[RatingChange]]</f>
        <v>1508.8200487493673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38571</v>
      </c>
      <c r="B339" s="2">
        <v>2005</v>
      </c>
      <c r="C339" s="2">
        <f>COUNTIFS(Games[Team],Games[[#This Row],[Team]],Games[Season],Games[[#This Row],[Season]],Games[Date],"&lt;=" &amp; Games[[#This Row],[Date]])</f>
        <v>26</v>
      </c>
      <c r="D339" s="2" t="s">
        <v>23</v>
      </c>
      <c r="E339" s="2" t="s">
        <v>29</v>
      </c>
      <c r="F339" s="1" t="s">
        <v>73</v>
      </c>
      <c r="G339" s="1" t="s">
        <v>79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9" s="2">
        <f>Games[[#This Row],[DaysOff]]-Games[[#This Row],[OppDaysOff]]</f>
        <v>4</v>
      </c>
      <c r="L339" s="2">
        <f>Games[[#This Row],[OppDaysOff]]-Games[[#This Row],[DaysOff]]</f>
        <v>-4</v>
      </c>
      <c r="M339" s="1">
        <f>MAX(-16, MIN(16, Games[[#This Row],[RestDiff]]*8))</f>
        <v>16</v>
      </c>
      <c r="N339" s="1">
        <f>MAX(-16, MIN(16, Games[[#This Row],[OppRestDiff]]*8))</f>
        <v>-16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1493.8045030968658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1515.1695811057295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0.63291957662861131</v>
      </c>
      <c r="R339" s="1">
        <v>61</v>
      </c>
      <c r="S339" s="1">
        <v>60</v>
      </c>
      <c r="T339" s="1">
        <v>0</v>
      </c>
      <c r="U339" s="1">
        <f>Games[[#This Row],[PointsFor]]-Games[[#This Row],[PointsAgainst]]</f>
        <v>1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0.23990828822127633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72.099999999999994</v>
      </c>
      <c r="Z339" s="4">
        <f>Games[[#This Row],[K]]*Games[[#This Row],[POMult]]</f>
        <v>72.099999999999994</v>
      </c>
      <c r="AA339" s="4">
        <f>(Games[[#This Row],[Keff]]*Games[[#This Row],[MOVMult]])*(Games[[#This Row],[Result]]-Games[[#This Row],[ExpectedWin%]])</f>
        <v>6.3495323563621877</v>
      </c>
      <c r="AB339" s="4">
        <f>Games[[#This Row],[PreGmRate]]+Games[[#This Row],[RatingChange]]</f>
        <v>1500.1540354532281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38573</v>
      </c>
      <c r="B340" s="2">
        <v>2005</v>
      </c>
      <c r="C340" s="2">
        <f>COUNTIFS(Games[Team],Games[[#This Row],[Team]],Games[Season],Games[[#This Row],[Season]],Games[Date],"&lt;=" &amp; Games[[#This Row],[Date]])</f>
        <v>26</v>
      </c>
      <c r="D340" s="2" t="s">
        <v>23</v>
      </c>
      <c r="E340" s="2" t="s">
        <v>29</v>
      </c>
      <c r="F340" s="1" t="s">
        <v>70</v>
      </c>
      <c r="G340" s="1" t="s">
        <v>86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0" s="2">
        <f>Games[[#This Row],[DaysOff]]-Games[[#This Row],[OppDaysOff]]</f>
        <v>-1</v>
      </c>
      <c r="L340" s="2">
        <f>Games[[#This Row],[OppDaysOff]]-Games[[#This Row],[DaysOff]]</f>
        <v>1</v>
      </c>
      <c r="M340" s="1">
        <f>MAX(-16, MIN(16, Games[[#This Row],[RestDiff]]*8))</f>
        <v>-8</v>
      </c>
      <c r="N340" s="1">
        <f>MAX(-16, MIN(16, Games[[#This Row],[OppRestDiff]]*8))</f>
        <v>8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1495.1780175404438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1650.7809273478701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0.18673467889268094</v>
      </c>
      <c r="R340" s="1">
        <v>51</v>
      </c>
      <c r="S340" s="1">
        <v>64</v>
      </c>
      <c r="T340" s="1">
        <v>0</v>
      </c>
      <c r="U340" s="1">
        <f>Games[[#This Row],[PointsFor]]-Games[[#This Row],[PointsAgainst]]</f>
        <v>-13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0.41786020277679242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72.099999999999994</v>
      </c>
      <c r="Z340" s="4">
        <f>Games[[#This Row],[K]]*Games[[#This Row],[POMult]]</f>
        <v>72.099999999999994</v>
      </c>
      <c r="AA340" s="4">
        <f>(Games[[#This Row],[Keff]]*Games[[#This Row],[MOVMult]])*(Games[[#This Row],[Result]]-Games[[#This Row],[ExpectedWin%]])</f>
        <v>-5.6258902357827063</v>
      </c>
      <c r="AB340" s="4">
        <f>Games[[#This Row],[PreGmRate]]+Games[[#This Row],[RatingChange]]</f>
        <v>1489.5521273046611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38573</v>
      </c>
      <c r="B341" s="2">
        <v>2005</v>
      </c>
      <c r="C341" s="2">
        <f>COUNTIFS(Games[Team],Games[[#This Row],[Team]],Games[Season],Games[[#This Row],[Season]],Games[Date],"&lt;=" &amp; Games[[#This Row],[Date]])</f>
        <v>27</v>
      </c>
      <c r="D341" s="2" t="s">
        <v>23</v>
      </c>
      <c r="E341" s="2" t="s">
        <v>29</v>
      </c>
      <c r="F341" s="1" t="s">
        <v>86</v>
      </c>
      <c r="G341" s="1" t="s">
        <v>70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1</v>
      </c>
      <c r="L341" s="2">
        <f>Games[[#This Row],[OppDaysOff]]-Games[[#This Row],[DaysOff]]</f>
        <v>-1</v>
      </c>
      <c r="M341" s="1">
        <f>MAX(-16, MIN(16, Games[[#This Row],[RestDiff]]*8))</f>
        <v>8</v>
      </c>
      <c r="N341" s="1">
        <f>MAX(-16, MIN(16, Games[[#This Row],[OppRestDiff]]*8))</f>
        <v>-8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1650.7809273478701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1495.1780175404438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0.81326532110731897</v>
      </c>
      <c r="R341" s="1">
        <v>64</v>
      </c>
      <c r="S341" s="1">
        <v>51</v>
      </c>
      <c r="T341" s="1">
        <v>0</v>
      </c>
      <c r="U341" s="1">
        <f>Games[[#This Row],[PointsFor]]-Games[[#This Row],[PointsAgainst]]</f>
        <v>13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0.41786020277679242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71.95</v>
      </c>
      <c r="Z341" s="4">
        <f>Games[[#This Row],[K]]*Games[[#This Row],[POMult]]</f>
        <v>71.95</v>
      </c>
      <c r="AA341" s="4">
        <f>(Games[[#This Row],[Keff]]*Games[[#This Row],[MOVMult]])*(Games[[#This Row],[Result]]-Games[[#This Row],[ExpectedWin%]])</f>
        <v>5.6141858871645764</v>
      </c>
      <c r="AB341" s="4">
        <f>Games[[#This Row],[PreGmRate]]+Games[[#This Row],[RatingChange]]</f>
        <v>1656.3951132350346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38573</v>
      </c>
      <c r="B342" s="2">
        <v>2005</v>
      </c>
      <c r="C342" s="2">
        <f>COUNTIFS(Games[Team],Games[[#This Row],[Team]],Games[Season],Games[[#This Row],[Season]],Games[Date],"&lt;=" &amp; Games[[#This Row],[Date]])</f>
        <v>27</v>
      </c>
      <c r="D342" s="2" t="s">
        <v>23</v>
      </c>
      <c r="E342" s="2" t="s">
        <v>29</v>
      </c>
      <c r="F342" s="1" t="s">
        <v>64</v>
      </c>
      <c r="G342" s="1" t="s">
        <v>75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1</v>
      </c>
      <c r="L342" s="2">
        <f>Games[[#This Row],[OppDaysOff]]-Games[[#This Row],[DaysOff]]</f>
        <v>-1</v>
      </c>
      <c r="M342" s="1">
        <f>MAX(-16, MIN(16, Games[[#This Row],[RestDiff]]*8))</f>
        <v>8</v>
      </c>
      <c r="N342" s="1">
        <f>MAX(-16, MIN(16, Games[[#This Row],[OppRestDiff]]*8))</f>
        <v>-8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1323.7411916156791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1472.7630856843473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0.22282506838245814</v>
      </c>
      <c r="R342" s="1">
        <v>64</v>
      </c>
      <c r="S342" s="1">
        <v>71</v>
      </c>
      <c r="T342" s="1">
        <v>0</v>
      </c>
      <c r="U342" s="1">
        <f>Games[[#This Row],[PointsFor]]-Games[[#This Row],[PointsAgainst]]</f>
        <v>-7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0.32922268269871158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71.95</v>
      </c>
      <c r="Z342" s="4">
        <f>Games[[#This Row],[K]]*Games[[#This Row],[POMult]]</f>
        <v>71.95</v>
      </c>
      <c r="AA342" s="4">
        <f>(Games[[#This Row],[Keff]]*Games[[#This Row],[MOVMult]])*(Games[[#This Row],[Result]]-Games[[#This Row],[ExpectedWin%]])</f>
        <v>-5.2781848552092949</v>
      </c>
      <c r="AB342" s="4">
        <f>Games[[#This Row],[PreGmRate]]+Games[[#This Row],[RatingChange]]</f>
        <v>1318.4630067604699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38573</v>
      </c>
      <c r="B343" s="2">
        <v>2005</v>
      </c>
      <c r="C343" s="2">
        <f>COUNTIFS(Games[Team],Games[[#This Row],[Team]],Games[Season],Games[[#This Row],[Season]],Games[Date],"&lt;=" &amp; Games[[#This Row],[Date]])</f>
        <v>26</v>
      </c>
      <c r="D343" s="2" t="s">
        <v>23</v>
      </c>
      <c r="E343" s="2" t="s">
        <v>29</v>
      </c>
      <c r="F343" s="1" t="s">
        <v>75</v>
      </c>
      <c r="G343" s="1" t="s">
        <v>64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3" s="2">
        <f>Games[[#This Row],[DaysOff]]-Games[[#This Row],[OppDaysOff]]</f>
        <v>-1</v>
      </c>
      <c r="L343" s="2">
        <f>Games[[#This Row],[OppDaysOff]]-Games[[#This Row],[DaysOff]]</f>
        <v>1</v>
      </c>
      <c r="M343" s="1">
        <f>MAX(-16, MIN(16, Games[[#This Row],[RestDiff]]*8))</f>
        <v>-8</v>
      </c>
      <c r="N343" s="1">
        <f>MAX(-16, MIN(16, Games[[#This Row],[OppRestDiff]]*8))</f>
        <v>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1472.7630856843473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1323.7411916156791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0.77717493161754181</v>
      </c>
      <c r="R343" s="1">
        <v>71</v>
      </c>
      <c r="S343" s="1">
        <v>64</v>
      </c>
      <c r="T343" s="1">
        <v>0</v>
      </c>
      <c r="U343" s="1">
        <f>Games[[#This Row],[PointsFor]]-Games[[#This Row],[PointsAgainst]]</f>
        <v>7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0.32922268269871158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72.099999999999994</v>
      </c>
      <c r="Z343" s="4">
        <f>Games[[#This Row],[K]]*Games[[#This Row],[POMult]]</f>
        <v>72.099999999999994</v>
      </c>
      <c r="AA343" s="4">
        <f>(Games[[#This Row],[Keff]]*Games[[#This Row],[MOVMult]])*(Games[[#This Row],[Result]]-Games[[#This Row],[ExpectedWin%]])</f>
        <v>5.2891887152271053</v>
      </c>
      <c r="AB343" s="4">
        <f>Games[[#This Row],[PreGmRate]]+Games[[#This Row],[RatingChange]]</f>
        <v>1478.0522743995743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38573</v>
      </c>
      <c r="B344" s="2">
        <v>2005</v>
      </c>
      <c r="C344" s="2">
        <f>COUNTIFS(Games[Team],Games[[#This Row],[Team]],Games[Season],Games[[#This Row],[Season]],Games[Date],"&lt;=" &amp; Games[[#This Row],[Date]])</f>
        <v>28</v>
      </c>
      <c r="D344" s="2" t="s">
        <v>23</v>
      </c>
      <c r="E344" s="2" t="s">
        <v>29</v>
      </c>
      <c r="F344" s="1" t="s">
        <v>84</v>
      </c>
      <c r="G344" s="1" t="s">
        <v>77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2</v>
      </c>
      <c r="L344" s="2">
        <f>Games[[#This Row],[OppDaysOff]]-Games[[#This Row],[DaysOff]]</f>
        <v>-2</v>
      </c>
      <c r="M344" s="1">
        <f>MAX(-16, MIN(16, Games[[#This Row],[RestDiff]]*8))</f>
        <v>16</v>
      </c>
      <c r="N344" s="1">
        <f>MAX(-16, MIN(16, Games[[#This Row],[OppRestDiff]]*8))</f>
        <v>-16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1363.0357197825267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1465.0540238073427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0.29181183645689457</v>
      </c>
      <c r="R344" s="1">
        <v>72</v>
      </c>
      <c r="S344" s="1">
        <v>76</v>
      </c>
      <c r="T344" s="1">
        <v>0</v>
      </c>
      <c r="U344" s="1">
        <f>Games[[#This Row],[PointsFor]]-Games[[#This Row],[PointsAgainst]]</f>
        <v>-4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0.28703074352289004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71.8</v>
      </c>
      <c r="Z344" s="4">
        <f>Games[[#This Row],[K]]*Games[[#This Row],[POMult]]</f>
        <v>71.8</v>
      </c>
      <c r="AA344" s="4">
        <f>(Games[[#This Row],[Keff]]*Games[[#This Row],[MOVMult]])*(Games[[#This Row],[Result]]-Games[[#This Row],[ExpectedWin%]])</f>
        <v>-6.0138939301867742</v>
      </c>
      <c r="AB344" s="4">
        <f>Games[[#This Row],[PreGmRate]]+Games[[#This Row],[RatingChange]]</f>
        <v>1357.02182585234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38573</v>
      </c>
      <c r="B345" s="2">
        <v>2005</v>
      </c>
      <c r="C345" s="2">
        <f>COUNTIFS(Games[Team],Games[[#This Row],[Team]],Games[Season],Games[[#This Row],[Season]],Games[Date],"&lt;=" &amp; Games[[#This Row],[Date]])</f>
        <v>27</v>
      </c>
      <c r="D345" s="2" t="s">
        <v>23</v>
      </c>
      <c r="E345" s="2" t="s">
        <v>29</v>
      </c>
      <c r="F345" s="1" t="s">
        <v>77</v>
      </c>
      <c r="G345" s="1" t="s">
        <v>84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5" s="2">
        <f>Games[[#This Row],[DaysOff]]-Games[[#This Row],[OppDaysOff]]</f>
        <v>-2</v>
      </c>
      <c r="L345" s="2">
        <f>Games[[#This Row],[OppDaysOff]]-Games[[#This Row],[DaysOff]]</f>
        <v>2</v>
      </c>
      <c r="M345" s="1">
        <f>MAX(-16, MIN(16, Games[[#This Row],[RestDiff]]*8))</f>
        <v>-16</v>
      </c>
      <c r="N345" s="1">
        <f>MAX(-16, MIN(16, Games[[#This Row],[OppRestDiff]]*8))</f>
        <v>16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1465.0540238073427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1363.0357197825267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0.70818816354310543</v>
      </c>
      <c r="R345" s="1">
        <v>76</v>
      </c>
      <c r="S345" s="1">
        <v>72</v>
      </c>
      <c r="T345" s="1">
        <v>0</v>
      </c>
      <c r="U345" s="1">
        <f>Games[[#This Row],[PointsFor]]-Games[[#This Row],[PointsAgainst]]</f>
        <v>4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0.28703074352289004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71.95</v>
      </c>
      <c r="Z345" s="4">
        <f>Games[[#This Row],[K]]*Games[[#This Row],[POMult]]</f>
        <v>71.95</v>
      </c>
      <c r="AA345" s="4">
        <f>(Games[[#This Row],[Keff]]*Games[[#This Row],[MOVMult]])*(Games[[#This Row],[Result]]-Games[[#This Row],[ExpectedWin%]])</f>
        <v>6.0264577754448263</v>
      </c>
      <c r="AB345" s="4">
        <f>Games[[#This Row],[PreGmRate]]+Games[[#This Row],[RatingChange]]</f>
        <v>1471.0804815827876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38573</v>
      </c>
      <c r="B346" s="2">
        <v>2005</v>
      </c>
      <c r="C346" s="2">
        <f>COUNTIFS(Games[Team],Games[[#This Row],[Team]],Games[Season],Games[[#This Row],[Season]],Games[Date],"&lt;=" &amp; Games[[#This Row],[Date]])</f>
        <v>28</v>
      </c>
      <c r="D346" s="2" t="s">
        <v>23</v>
      </c>
      <c r="E346" s="2" t="s">
        <v>29</v>
      </c>
      <c r="F346" s="1" t="s">
        <v>2</v>
      </c>
      <c r="G346" s="1" t="s">
        <v>81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6" s="2">
        <f>Games[[#This Row],[DaysOff]]-Games[[#This Row],[OppDaysOff]]</f>
        <v>-1</v>
      </c>
      <c r="L346" s="2">
        <f>Games[[#This Row],[OppDaysOff]]-Games[[#This Row],[DaysOff]]</f>
        <v>1</v>
      </c>
      <c r="M346" s="1">
        <f>MAX(-16, MIN(16, Games[[#This Row],[RestDiff]]*8))</f>
        <v>-8</v>
      </c>
      <c r="N346" s="1">
        <f>MAX(-16, MIN(16, Games[[#This Row],[OppRestDiff]]*8))</f>
        <v>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1511.4874077934146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1534.9671985433679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0.32942058838005661</v>
      </c>
      <c r="R346" s="1">
        <v>68</v>
      </c>
      <c r="S346" s="1">
        <v>71</v>
      </c>
      <c r="T346" s="1">
        <v>0</v>
      </c>
      <c r="U346" s="1">
        <f>Games[[#This Row],[PointsFor]]-Games[[#This Row],[PointsAgainst]]</f>
        <v>-3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0.28461461149677181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71.8</v>
      </c>
      <c r="Z346" s="4">
        <f>Games[[#This Row],[K]]*Games[[#This Row],[POMult]]</f>
        <v>71.8</v>
      </c>
      <c r="AA346" s="4">
        <f>(Games[[#This Row],[Keff]]*Games[[#This Row],[MOVMult]])*(Games[[#This Row],[Result]]-Games[[#This Row],[ExpectedWin%]])</f>
        <v>-6.7318181376634358</v>
      </c>
      <c r="AB346" s="4">
        <f>Games[[#This Row],[PreGmRate]]+Games[[#This Row],[RatingChange]]</f>
        <v>1504.7555896557512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38573</v>
      </c>
      <c r="B347" s="2">
        <v>2005</v>
      </c>
      <c r="C347" s="2">
        <f>COUNTIFS(Games[Team],Games[[#This Row],[Team]],Games[Season],Games[[#This Row],[Season]],Games[Date],"&lt;=" &amp; Games[[#This Row],[Date]])</f>
        <v>27</v>
      </c>
      <c r="D347" s="2" t="s">
        <v>23</v>
      </c>
      <c r="E347" s="2" t="s">
        <v>29</v>
      </c>
      <c r="F347" s="1" t="s">
        <v>81</v>
      </c>
      <c r="G347" s="1" t="s">
        <v>2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1</v>
      </c>
      <c r="L347" s="2">
        <f>Games[[#This Row],[OppDaysOff]]-Games[[#This Row],[DaysOff]]</f>
        <v>-1</v>
      </c>
      <c r="M347" s="1">
        <f>MAX(-16, MIN(16, Games[[#This Row],[RestDiff]]*8))</f>
        <v>8</v>
      </c>
      <c r="N347" s="1">
        <f>MAX(-16, MIN(16, Games[[#This Row],[OppRestDiff]]*8))</f>
        <v>-8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1534.9671985433679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1511.4874077934146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0.67057941161994339</v>
      </c>
      <c r="R347" s="1">
        <v>71</v>
      </c>
      <c r="S347" s="1">
        <v>68</v>
      </c>
      <c r="T347" s="1">
        <v>0</v>
      </c>
      <c r="U347" s="1">
        <f>Games[[#This Row],[PointsFor]]-Games[[#This Row],[PointsAgainst]]</f>
        <v>3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0.28461461149677181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71.95</v>
      </c>
      <c r="Z347" s="4">
        <f>Games[[#This Row],[K]]*Games[[#This Row],[POMult]]</f>
        <v>71.95</v>
      </c>
      <c r="AA347" s="4">
        <f>(Games[[#This Row],[Keff]]*Games[[#This Row],[MOVMult]])*(Games[[#This Row],[Result]]-Games[[#This Row],[ExpectedWin%]])</f>
        <v>6.7458818245805601</v>
      </c>
      <c r="AB347" s="4">
        <f>Games[[#This Row],[PreGmRate]]+Games[[#This Row],[RatingChange]]</f>
        <v>1541.7130803679484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38574</v>
      </c>
      <c r="B348" s="2">
        <v>2005</v>
      </c>
      <c r="C348" s="2">
        <f>COUNTIFS(Games[Team],Games[[#This Row],[Team]],Games[Season],Games[[#This Row],[Season]],Games[Date],"&lt;=" &amp; Games[[#This Row],[Date]])</f>
        <v>27</v>
      </c>
      <c r="D348" s="2" t="s">
        <v>23</v>
      </c>
      <c r="E348" s="2" t="s">
        <v>29</v>
      </c>
      <c r="F348" s="1" t="s">
        <v>70</v>
      </c>
      <c r="G348" s="1" t="s">
        <v>66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8" s="2">
        <f>Games[[#This Row],[DaysOff]]-Games[[#This Row],[OppDaysOff]]</f>
        <v>-2</v>
      </c>
      <c r="L348" s="2">
        <f>Games[[#This Row],[OppDaysOff]]-Games[[#This Row],[DaysOff]]</f>
        <v>2</v>
      </c>
      <c r="M348" s="1">
        <f>MAX(-16, MIN(16, Games[[#This Row],[RestDiff]]*8))</f>
        <v>-16</v>
      </c>
      <c r="N348" s="1">
        <f>MAX(-16, MIN(16, Games[[#This Row],[OppRestDiff]]*8))</f>
        <v>16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1489.5521273046611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1529.0507176671588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0.29005399132787479</v>
      </c>
      <c r="R348" s="1">
        <v>69</v>
      </c>
      <c r="S348" s="1">
        <v>74</v>
      </c>
      <c r="T348" s="1">
        <v>0</v>
      </c>
      <c r="U348" s="1">
        <f>Games[[#This Row],[PointsFor]]-Games[[#This Row],[PointsAgainst]]</f>
        <v>-5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0.32118404462006589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71.95</v>
      </c>
      <c r="Z348" s="4">
        <f>Games[[#This Row],[K]]*Games[[#This Row],[POMult]]</f>
        <v>71.95</v>
      </c>
      <c r="AA348" s="4">
        <f>(Games[[#This Row],[Keff]]*Games[[#This Row],[MOVMult]])*(Games[[#This Row],[Result]]-Games[[#This Row],[ExpectedWin%]])</f>
        <v>-6.7029133789827409</v>
      </c>
      <c r="AB348" s="4">
        <f>Games[[#This Row],[PreGmRate]]+Games[[#This Row],[RatingChange]]</f>
        <v>1482.8492139256784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38574</v>
      </c>
      <c r="B349" s="2">
        <v>2005</v>
      </c>
      <c r="C349" s="2">
        <f>COUNTIFS(Games[Team],Games[[#This Row],[Team]],Games[Season],Games[[#This Row],[Season]],Games[Date],"&lt;=" &amp; Games[[#This Row],[Date]])</f>
        <v>27</v>
      </c>
      <c r="D349" s="2" t="s">
        <v>23</v>
      </c>
      <c r="E349" s="2" t="s">
        <v>29</v>
      </c>
      <c r="F349" s="1" t="s">
        <v>66</v>
      </c>
      <c r="G349" s="1" t="s">
        <v>70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9" s="2">
        <f>Games[[#This Row],[DaysOff]]-Games[[#This Row],[OppDaysOff]]</f>
        <v>2</v>
      </c>
      <c r="L349" s="2">
        <f>Games[[#This Row],[OppDaysOff]]-Games[[#This Row],[DaysOff]]</f>
        <v>-2</v>
      </c>
      <c r="M349" s="1">
        <f>MAX(-16, MIN(16, Games[[#This Row],[RestDiff]]*8))</f>
        <v>16</v>
      </c>
      <c r="N349" s="1">
        <f>MAX(-16, MIN(16, Games[[#This Row],[OppRestDiff]]*8))</f>
        <v>-16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1529.0507176671588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1489.5521273046611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0.70994600867212532</v>
      </c>
      <c r="R349" s="1">
        <v>74</v>
      </c>
      <c r="S349" s="1">
        <v>69</v>
      </c>
      <c r="T349" s="1">
        <v>0</v>
      </c>
      <c r="U349" s="1">
        <f>Games[[#This Row],[PointsFor]]-Games[[#This Row],[PointsAgainst]]</f>
        <v>5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0.32118404462006589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71.95</v>
      </c>
      <c r="Z349" s="4">
        <f>Games[[#This Row],[K]]*Games[[#This Row],[POMult]]</f>
        <v>71.95</v>
      </c>
      <c r="AA349" s="4">
        <f>(Games[[#This Row],[Keff]]*Games[[#This Row],[MOVMult]])*(Games[[#This Row],[Result]]-Games[[#This Row],[ExpectedWin%]])</f>
        <v>6.7029133789827391</v>
      </c>
      <c r="AB349" s="4">
        <f>Games[[#This Row],[PreGmRate]]+Games[[#This Row],[RatingChange]]</f>
        <v>1535.7536310461414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38575</v>
      </c>
      <c r="B350" s="2">
        <v>2005</v>
      </c>
      <c r="C350" s="2">
        <f>COUNTIFS(Games[Team],Games[[#This Row],[Team]],Games[Season],Games[[#This Row],[Season]],Games[Date],"&lt;=" &amp; Games[[#This Row],[Date]])</f>
        <v>28</v>
      </c>
      <c r="D350" s="2" t="s">
        <v>23</v>
      </c>
      <c r="E350" s="2" t="s">
        <v>29</v>
      </c>
      <c r="F350" s="1" t="s">
        <v>77</v>
      </c>
      <c r="G350" s="1" t="s">
        <v>75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1471.0804815827876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1478.0522743995743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0.37199312637452625</v>
      </c>
      <c r="R350" s="1">
        <v>66</v>
      </c>
      <c r="S350" s="1">
        <v>72</v>
      </c>
      <c r="T350" s="1">
        <v>1</v>
      </c>
      <c r="U350" s="1">
        <f>Games[[#This Row],[PointsFor]]-Games[[#This Row],[PointsAgainst]]</f>
        <v>-6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0.31432650227299869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71.8</v>
      </c>
      <c r="Z350" s="4">
        <f>Games[[#This Row],[K]]*Games[[#This Row],[POMult]]</f>
        <v>71.8</v>
      </c>
      <c r="AA350" s="4">
        <f>(Games[[#This Row],[Keff]]*Games[[#This Row],[MOVMult]])*(Games[[#This Row],[Result]]-Games[[#This Row],[ExpectedWin%]])</f>
        <v>-8.3953800167123926</v>
      </c>
      <c r="AB350" s="4">
        <f>Games[[#This Row],[PreGmRate]]+Games[[#This Row],[RatingChange]]</f>
        <v>1462.6851015660752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38575</v>
      </c>
      <c r="B351" s="2">
        <v>2005</v>
      </c>
      <c r="C351" s="2">
        <f>COUNTIFS(Games[Team],Games[[#This Row],[Team]],Games[Season],Games[[#This Row],[Season]],Games[Date],"&lt;=" &amp; Games[[#This Row],[Date]])</f>
        <v>27</v>
      </c>
      <c r="D351" s="2" t="s">
        <v>23</v>
      </c>
      <c r="E351" s="2" t="s">
        <v>29</v>
      </c>
      <c r="F351" s="1" t="s">
        <v>75</v>
      </c>
      <c r="G351" s="1" t="s">
        <v>77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1478.0522743995743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1471.0804815827876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0.6280068736254738</v>
      </c>
      <c r="R351" s="1">
        <v>72</v>
      </c>
      <c r="S351" s="1">
        <v>66</v>
      </c>
      <c r="T351" s="1">
        <v>1</v>
      </c>
      <c r="U351" s="1">
        <f>Games[[#This Row],[PointsFor]]-Games[[#This Row],[PointsAgainst]]</f>
        <v>6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0.31432650227299869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71.95</v>
      </c>
      <c r="Z351" s="4">
        <f>Games[[#This Row],[K]]*Games[[#This Row],[POMult]]</f>
        <v>71.95</v>
      </c>
      <c r="AA351" s="4">
        <f>(Games[[#This Row],[Keff]]*Games[[#This Row],[MOVMult]])*(Games[[#This Row],[Result]]-Games[[#This Row],[ExpectedWin%]])</f>
        <v>8.4129191114548281</v>
      </c>
      <c r="AB351" s="4">
        <f>Games[[#This Row],[PreGmRate]]+Games[[#This Row],[RatingChange]]</f>
        <v>1486.4651935110292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38575</v>
      </c>
      <c r="B352" s="2">
        <v>2005</v>
      </c>
      <c r="C352" s="2">
        <f>COUNTIFS(Games[Team],Games[[#This Row],[Team]],Games[Season],Games[[#This Row],[Season]],Games[Date],"&lt;=" &amp; Games[[#This Row],[Date]])</f>
        <v>27</v>
      </c>
      <c r="D352" s="2" t="s">
        <v>23</v>
      </c>
      <c r="E352" s="2" t="s">
        <v>29</v>
      </c>
      <c r="F352" s="1" t="s">
        <v>79</v>
      </c>
      <c r="G352" s="1" t="s">
        <v>84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2</v>
      </c>
      <c r="L352" s="2">
        <f>Games[[#This Row],[OppDaysOff]]-Games[[#This Row],[DaysOff]]</f>
        <v>-2</v>
      </c>
      <c r="M352" s="1">
        <f>MAX(-16, MIN(16, Games[[#This Row],[RestDiff]]*8))</f>
        <v>16</v>
      </c>
      <c r="N352" s="1">
        <f>MAX(-16, MIN(16, Games[[#This Row],[OppRestDiff]]*8))</f>
        <v>-16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1508.8200487493673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1357.02182585234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0.63979736268114684</v>
      </c>
      <c r="R352" s="1">
        <v>57</v>
      </c>
      <c r="S352" s="1">
        <v>50</v>
      </c>
      <c r="T352" s="1">
        <v>0</v>
      </c>
      <c r="U352" s="1">
        <f>Games[[#This Row],[PointsFor]]-Games[[#This Row],[PointsAgainst]]</f>
        <v>7</v>
      </c>
      <c r="V352" s="1">
        <f>IF(Games[[#This Row],[MOV]]&gt;0,1,IF(Games[[#This Row],[MOV]]=0,0.5,0))</f>
        <v>1</v>
      </c>
      <c r="W352" s="4">
        <f>((ABS(Games[[#This Row],[MOV]])+5)^0.6)/(12+0.01*(ABS(Games[[#This Row],[PreGmRate]]-Games[[#This Row],[OppPreGmRate]])))*IF(Games[[#This Row],[OT]]=1,0.9,1)</f>
        <v>0.32854652377984028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71.95</v>
      </c>
      <c r="Z352" s="4">
        <f>Games[[#This Row],[K]]*Games[[#This Row],[POMult]]</f>
        <v>71.95</v>
      </c>
      <c r="AA352" s="4">
        <f>(Games[[#This Row],[Keff]]*Games[[#This Row],[MOVMult]])*(Games[[#This Row],[Result]]-Games[[#This Row],[ExpectedWin%]])</f>
        <v>8.5148021867982919</v>
      </c>
      <c r="AB352" s="4">
        <f>Games[[#This Row],[PreGmRate]]+Games[[#This Row],[RatingChange]]</f>
        <v>1517.3348509361656</v>
      </c>
      <c r="AC352" s="2">
        <f>IF(Games[[#This Row],[Type]]="R",IF(Games[[#This Row],[Result]]&gt;0.5,1,0),0)</f>
        <v>1</v>
      </c>
      <c r="AD352" s="2">
        <f>IF(Games[[#This Row],[Type]]="R",IF(Games[[#This Row],[Result]]&lt;0.5,1,0),0)</f>
        <v>0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38575</v>
      </c>
      <c r="B353" s="2">
        <v>2005</v>
      </c>
      <c r="C353" s="2">
        <f>COUNTIFS(Games[Team],Games[[#This Row],[Team]],Games[Season],Games[[#This Row],[Season]],Games[Date],"&lt;=" &amp; Games[[#This Row],[Date]])</f>
        <v>29</v>
      </c>
      <c r="D353" s="2" t="s">
        <v>23</v>
      </c>
      <c r="E353" s="2" t="s">
        <v>29</v>
      </c>
      <c r="F353" s="1" t="s">
        <v>84</v>
      </c>
      <c r="G353" s="1" t="s">
        <v>79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3" s="2">
        <f>Games[[#This Row],[DaysOff]]-Games[[#This Row],[OppDaysOff]]</f>
        <v>-2</v>
      </c>
      <c r="L353" s="2">
        <f>Games[[#This Row],[OppDaysOff]]-Games[[#This Row],[DaysOff]]</f>
        <v>2</v>
      </c>
      <c r="M353" s="1">
        <f>MAX(-16, MIN(16, Games[[#This Row],[RestDiff]]*8))</f>
        <v>-16</v>
      </c>
      <c r="N353" s="1">
        <f>MAX(-16, MIN(16, Games[[#This Row],[OppRestDiff]]*8))</f>
        <v>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1357.02182585234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1508.8200487493673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0.36020263731885316</v>
      </c>
      <c r="R353" s="1">
        <v>50</v>
      </c>
      <c r="S353" s="1">
        <v>57</v>
      </c>
      <c r="T353" s="1">
        <v>0</v>
      </c>
      <c r="U353" s="1">
        <f>Games[[#This Row],[PointsFor]]-Games[[#This Row],[PointsAgainst]]</f>
        <v>-7</v>
      </c>
      <c r="V353" s="1">
        <f>IF(Games[[#This Row],[MOV]]&gt;0,1,IF(Games[[#This Row],[MOV]]=0,0.5,0))</f>
        <v>0</v>
      </c>
      <c r="W353" s="4">
        <f>((ABS(Games[[#This Row],[MOV]])+5)^0.6)/(12+0.01*(ABS(Games[[#This Row],[PreGmRate]]-Games[[#This Row],[OppPreGmRate]])))*IF(Games[[#This Row],[OT]]=1,0.9,1)</f>
        <v>0.32854652377984028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71.650000000000006</v>
      </c>
      <c r="Z353" s="4">
        <f>Games[[#This Row],[K]]*Games[[#This Row],[POMult]]</f>
        <v>71.650000000000006</v>
      </c>
      <c r="AA353" s="4">
        <f>(Games[[#This Row],[Keff]]*Games[[#This Row],[MOVMult]])*(Games[[#This Row],[Result]]-Games[[#This Row],[ExpectedWin%]])</f>
        <v>-8.4792991894940606</v>
      </c>
      <c r="AB353" s="4">
        <f>Games[[#This Row],[PreGmRate]]+Games[[#This Row],[RatingChange]]</f>
        <v>1348.5425266628461</v>
      </c>
      <c r="AC353" s="2">
        <f>IF(Games[[#This Row],[Type]]="R",IF(Games[[#This Row],[Result]]&gt;0.5,1,0),0)</f>
        <v>0</v>
      </c>
      <c r="AD353" s="2">
        <f>IF(Games[[#This Row],[Type]]="R",IF(Games[[#This Row],[Result]]&lt;0.5,1,0),0)</f>
        <v>1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38575</v>
      </c>
      <c r="B354" s="2">
        <v>2005</v>
      </c>
      <c r="C354" s="2">
        <f>COUNTIFS(Games[Team],Games[[#This Row],[Team]],Games[Season],Games[[#This Row],[Season]],Games[Date],"&lt;=" &amp; Games[[#This Row],[Date]])</f>
        <v>28</v>
      </c>
      <c r="D354" s="2" t="s">
        <v>23</v>
      </c>
      <c r="E354" s="2" t="s">
        <v>29</v>
      </c>
      <c r="F354" s="1" t="s">
        <v>86</v>
      </c>
      <c r="G354" s="1" t="s">
        <v>73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4" s="2">
        <f>Games[[#This Row],[DaysOff]]-Games[[#This Row],[OppDaysOff]]</f>
        <v>-2</v>
      </c>
      <c r="L354" s="2">
        <f>Games[[#This Row],[OppDaysOff]]-Games[[#This Row],[DaysOff]]</f>
        <v>2</v>
      </c>
      <c r="M354" s="1">
        <f>MAX(-16, MIN(16, Games[[#This Row],[RestDiff]]*8))</f>
        <v>-16</v>
      </c>
      <c r="N354" s="1">
        <f>MAX(-16, MIN(16, Games[[#This Row],[OppRestDiff]]*8))</f>
        <v>16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1656.3951132350346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1500.1540354532281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0.55765398704172164</v>
      </c>
      <c r="R354" s="1">
        <v>80</v>
      </c>
      <c r="S354" s="1">
        <v>65</v>
      </c>
      <c r="T354" s="1">
        <v>0</v>
      </c>
      <c r="U354" s="1">
        <f>Games[[#This Row],[PointsFor]]-Games[[#This Row],[PointsAgainst]]</f>
        <v>15</v>
      </c>
      <c r="V354" s="1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0.44491915452187375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71.8</v>
      </c>
      <c r="Z354" s="4">
        <f>Games[[#This Row],[K]]*Games[[#This Row],[POMult]]</f>
        <v>71.8</v>
      </c>
      <c r="AA354" s="4">
        <f>(Games[[#This Row],[Keff]]*Games[[#This Row],[MOVMult]])*(Games[[#This Row],[Result]]-Games[[#This Row],[ExpectedWin%]])</f>
        <v>14.130829771771065</v>
      </c>
      <c r="AB354" s="4">
        <f>Games[[#This Row],[PreGmRate]]+Games[[#This Row],[RatingChange]]</f>
        <v>1670.5259430068056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38575</v>
      </c>
      <c r="B355" s="2">
        <v>2005</v>
      </c>
      <c r="C355" s="2">
        <f>COUNTIFS(Games[Team],Games[[#This Row],[Team]],Games[Season],Games[[#This Row],[Season]],Games[Date],"&lt;=" &amp; Games[[#This Row],[Date]])</f>
        <v>27</v>
      </c>
      <c r="D355" s="2" t="s">
        <v>23</v>
      </c>
      <c r="E355" s="2" t="s">
        <v>29</v>
      </c>
      <c r="F355" s="1" t="s">
        <v>73</v>
      </c>
      <c r="G355" s="1" t="s">
        <v>86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2</v>
      </c>
      <c r="L355" s="2">
        <f>Games[[#This Row],[OppDaysOff]]-Games[[#This Row],[DaysOff]]</f>
        <v>-2</v>
      </c>
      <c r="M355" s="1">
        <f>MAX(-16, MIN(16, Games[[#This Row],[RestDiff]]*8))</f>
        <v>16</v>
      </c>
      <c r="N355" s="1">
        <f>MAX(-16, MIN(16, Games[[#This Row],[OppRestDiff]]*8))</f>
        <v>-16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1500.1540354532281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1656.3951132350346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0.44234601295827841</v>
      </c>
      <c r="R355" s="1">
        <v>65</v>
      </c>
      <c r="S355" s="1">
        <v>80</v>
      </c>
      <c r="T355" s="1">
        <v>0</v>
      </c>
      <c r="U355" s="1">
        <f>Games[[#This Row],[PointsFor]]-Games[[#This Row],[PointsAgainst]]</f>
        <v>-15</v>
      </c>
      <c r="V355" s="1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0.44491915452187375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71.95</v>
      </c>
      <c r="Z355" s="4">
        <f>Games[[#This Row],[K]]*Games[[#This Row],[POMult]]</f>
        <v>71.95</v>
      </c>
      <c r="AA355" s="4">
        <f>(Games[[#This Row],[Keff]]*Games[[#This Row],[MOVMult]])*(Games[[#This Row],[Result]]-Games[[#This Row],[ExpectedWin%]])</f>
        <v>-14.160351003884795</v>
      </c>
      <c r="AB355" s="4">
        <f>Games[[#This Row],[PreGmRate]]+Games[[#This Row],[RatingChange]]</f>
        <v>1485.9936844493432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38576</v>
      </c>
      <c r="B356" s="2">
        <v>2005</v>
      </c>
      <c r="C356" s="2">
        <f>COUNTIFS(Games[Team],Games[[#This Row],[Team]],Games[Season],Games[[#This Row],[Season]],Games[Date],"&lt;=" &amp; Games[[#This Row],[Date]])</f>
        <v>28</v>
      </c>
      <c r="D356" s="2" t="s">
        <v>23</v>
      </c>
      <c r="E356" s="2" t="s">
        <v>29</v>
      </c>
      <c r="F356" s="1" t="s">
        <v>66</v>
      </c>
      <c r="G356" s="1" t="s">
        <v>64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6" s="2">
        <f>Games[[#This Row],[DaysOff]]-Games[[#This Row],[OppDaysOff]]</f>
        <v>-1</v>
      </c>
      <c r="L356" s="2">
        <f>Games[[#This Row],[OppDaysOff]]-Games[[#This Row],[DaysOff]]</f>
        <v>1</v>
      </c>
      <c r="M356" s="1">
        <f>MAX(-16, MIN(16, Games[[#This Row],[RestDiff]]*8))</f>
        <v>-8</v>
      </c>
      <c r="N356" s="1">
        <f>MAX(-16, MIN(16, Games[[#This Row],[OppRestDiff]]*8))</f>
        <v>8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1535.7536310461414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1318.4630067604699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0.6626618762422849</v>
      </c>
      <c r="R356" s="1">
        <v>82</v>
      </c>
      <c r="S356" s="1">
        <v>74</v>
      </c>
      <c r="T356" s="1">
        <v>1</v>
      </c>
      <c r="U356" s="1">
        <f>Games[[#This Row],[PointsFor]]-Games[[#This Row],[PointsAgainst]]</f>
        <v>8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0.29590316242627934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71.8</v>
      </c>
      <c r="Z356" s="4">
        <f>Games[[#This Row],[K]]*Games[[#This Row],[POMult]]</f>
        <v>71.8</v>
      </c>
      <c r="AA356" s="4">
        <f>(Games[[#This Row],[Keff]]*Games[[#This Row],[MOVMult]])*(Games[[#This Row],[Result]]-Games[[#This Row],[ExpectedWin%]])</f>
        <v>7.167034185608224</v>
      </c>
      <c r="AB356" s="4">
        <f>Games[[#This Row],[PreGmRate]]+Games[[#This Row],[RatingChange]]</f>
        <v>1542.9206652317496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38576</v>
      </c>
      <c r="B357" s="2">
        <v>2005</v>
      </c>
      <c r="C357" s="2">
        <f>COUNTIFS(Games[Team],Games[[#This Row],[Team]],Games[Season],Games[[#This Row],[Season]],Games[Date],"&lt;=" &amp; Games[[#This Row],[Date]])</f>
        <v>28</v>
      </c>
      <c r="D357" s="2" t="s">
        <v>23</v>
      </c>
      <c r="E357" s="2" t="s">
        <v>29</v>
      </c>
      <c r="F357" s="1" t="s">
        <v>64</v>
      </c>
      <c r="G357" s="1" t="s">
        <v>66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1</v>
      </c>
      <c r="L357" s="2">
        <f>Games[[#This Row],[OppDaysOff]]-Games[[#This Row],[DaysOff]]</f>
        <v>-1</v>
      </c>
      <c r="M357" s="1">
        <f>MAX(-16, MIN(16, Games[[#This Row],[RestDiff]]*8))</f>
        <v>8</v>
      </c>
      <c r="N357" s="1">
        <f>MAX(-16, MIN(16, Games[[#This Row],[OppRestDiff]]*8))</f>
        <v>-8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1318.4630067604699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1535.7536310461414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0.3373381237577151</v>
      </c>
      <c r="R357" s="1">
        <v>74</v>
      </c>
      <c r="S357" s="1">
        <v>82</v>
      </c>
      <c r="T357" s="1">
        <v>1</v>
      </c>
      <c r="U357" s="1">
        <f>Games[[#This Row],[PointsFor]]-Games[[#This Row],[PointsAgainst]]</f>
        <v>-8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0.29590316242627934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71.8</v>
      </c>
      <c r="Z357" s="4">
        <f>Games[[#This Row],[K]]*Games[[#This Row],[POMult]]</f>
        <v>71.8</v>
      </c>
      <c r="AA357" s="4">
        <f>(Games[[#This Row],[Keff]]*Games[[#This Row],[MOVMult]])*(Games[[#This Row],[Result]]-Games[[#This Row],[ExpectedWin%]])</f>
        <v>-7.167034185608224</v>
      </c>
      <c r="AB357" s="4">
        <f>Games[[#This Row],[PreGmRate]]+Games[[#This Row],[RatingChange]]</f>
        <v>1311.2959725748617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38576</v>
      </c>
      <c r="B358" s="2">
        <v>2005</v>
      </c>
      <c r="C358" s="2">
        <f>COUNTIFS(Games[Team],Games[[#This Row],[Team]],Games[Season],Games[[#This Row],[Season]],Games[Date],"&lt;=" &amp; Games[[#This Row],[Date]])</f>
        <v>28</v>
      </c>
      <c r="D358" s="2" t="s">
        <v>23</v>
      </c>
      <c r="E358" s="2" t="s">
        <v>29</v>
      </c>
      <c r="F358" s="1" t="s">
        <v>81</v>
      </c>
      <c r="G358" s="1" t="s">
        <v>77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8" s="2">
        <f>Games[[#This Row],[DaysOff]]-Games[[#This Row],[OppDaysOff]]</f>
        <v>2</v>
      </c>
      <c r="L358" s="2">
        <f>Games[[#This Row],[OppDaysOff]]-Games[[#This Row],[DaysOff]]</f>
        <v>-2</v>
      </c>
      <c r="M358" s="1">
        <f>MAX(-16, MIN(16, Games[[#This Row],[RestDiff]]*8))</f>
        <v>16</v>
      </c>
      <c r="N358" s="1">
        <f>MAX(-16, MIN(16, Games[[#This Row],[OppRestDiff]]*8))</f>
        <v>-16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1541.7130803679484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1462.6851015660752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0.53881811434887006</v>
      </c>
      <c r="R358" s="1">
        <v>72</v>
      </c>
      <c r="S358" s="1">
        <v>66</v>
      </c>
      <c r="T358" s="1">
        <v>0</v>
      </c>
      <c r="U358" s="1">
        <f>Games[[#This Row],[PointsFor]]-Games[[#This Row],[PointsAgainst]]</f>
        <v>6</v>
      </c>
      <c r="V358" s="1">
        <f>IF(Games[[#This Row],[MOV]]&gt;0,1,IF(Games[[#This Row],[MOV]]=0,0.5,0))</f>
        <v>1</v>
      </c>
      <c r="W358" s="4">
        <f>((ABS(Games[[#This Row],[MOV]])+5)^0.6)/(12+0.01*(ABS(Games[[#This Row],[PreGmRate]]-Games[[#This Row],[OppPreGmRate]])))*IF(Games[[#This Row],[OT]]=1,0.9,1)</f>
        <v>0.32957599074889971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71.8</v>
      </c>
      <c r="Z358" s="4">
        <f>Games[[#This Row],[K]]*Games[[#This Row],[POMult]]</f>
        <v>71.8</v>
      </c>
      <c r="AA358" s="4">
        <f>(Games[[#This Row],[Keff]]*Games[[#This Row],[MOVMult]])*(Games[[#This Row],[Result]]-Games[[#This Row],[ExpectedWin%]])</f>
        <v>10.913203439906235</v>
      </c>
      <c r="AB358" s="4">
        <f>Games[[#This Row],[PreGmRate]]+Games[[#This Row],[RatingChange]]</f>
        <v>1552.6262838078546</v>
      </c>
      <c r="AC358" s="2">
        <f>IF(Games[[#This Row],[Type]]="R",IF(Games[[#This Row],[Result]]&gt;0.5,1,0),0)</f>
        <v>1</v>
      </c>
      <c r="AD358" s="2">
        <f>IF(Games[[#This Row],[Type]]="R",IF(Games[[#This Row],[Result]]&lt;0.5,1,0),0)</f>
        <v>0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38576</v>
      </c>
      <c r="B359" s="2">
        <v>2005</v>
      </c>
      <c r="C359" s="2">
        <f>COUNTIFS(Games[Team],Games[[#This Row],[Team]],Games[Season],Games[[#This Row],[Season]],Games[Date],"&lt;=" &amp; Games[[#This Row],[Date]])</f>
        <v>29</v>
      </c>
      <c r="D359" s="2" t="s">
        <v>23</v>
      </c>
      <c r="E359" s="2" t="s">
        <v>29</v>
      </c>
      <c r="F359" s="1" t="s">
        <v>77</v>
      </c>
      <c r="G359" s="1" t="s">
        <v>81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9" s="2">
        <f>Games[[#This Row],[DaysOff]]-Games[[#This Row],[OppDaysOff]]</f>
        <v>-2</v>
      </c>
      <c r="L359" s="2">
        <f>Games[[#This Row],[OppDaysOff]]-Games[[#This Row],[DaysOff]]</f>
        <v>2</v>
      </c>
      <c r="M359" s="1">
        <f>MAX(-16, MIN(16, Games[[#This Row],[RestDiff]]*8))</f>
        <v>-16</v>
      </c>
      <c r="N359" s="1">
        <f>MAX(-16, MIN(16, Games[[#This Row],[OppRestDiff]]*8))</f>
        <v>16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1462.6851015660752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1541.7130803679484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0.46118188565112994</v>
      </c>
      <c r="R359" s="1">
        <v>66</v>
      </c>
      <c r="S359" s="1">
        <v>72</v>
      </c>
      <c r="T359" s="1">
        <v>0</v>
      </c>
      <c r="U359" s="1">
        <f>Games[[#This Row],[PointsFor]]-Games[[#This Row],[PointsAgainst]]</f>
        <v>-6</v>
      </c>
      <c r="V359" s="1">
        <f>IF(Games[[#This Row],[MOV]]&gt;0,1,IF(Games[[#This Row],[MOV]]=0,0.5,0))</f>
        <v>0</v>
      </c>
      <c r="W359" s="4">
        <f>((ABS(Games[[#This Row],[MOV]])+5)^0.6)/(12+0.01*(ABS(Games[[#This Row],[PreGmRate]]-Games[[#This Row],[OppPreGmRate]])))*IF(Games[[#This Row],[OT]]=1,0.9,1)</f>
        <v>0.32957599074889971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71.650000000000006</v>
      </c>
      <c r="Z359" s="4">
        <f>Games[[#This Row],[K]]*Games[[#This Row],[POMult]]</f>
        <v>71.650000000000006</v>
      </c>
      <c r="AA359" s="4">
        <f>(Games[[#This Row],[Keff]]*Games[[#This Row],[MOVMult]])*(Games[[#This Row],[Result]]-Games[[#This Row],[ExpectedWin%]])</f>
        <v>-10.890404268374398</v>
      </c>
      <c r="AB359" s="4">
        <f>Games[[#This Row],[PreGmRate]]+Games[[#This Row],[RatingChange]]</f>
        <v>1451.7946972977008</v>
      </c>
      <c r="AC359" s="2">
        <f>IF(Games[[#This Row],[Type]]="R",IF(Games[[#This Row],[Result]]&gt;0.5,1,0),0)</f>
        <v>0</v>
      </c>
      <c r="AD359" s="2">
        <f>IF(Games[[#This Row],[Type]]="R",IF(Games[[#This Row],[Result]]&lt;0.5,1,0),0)</f>
        <v>1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38576</v>
      </c>
      <c r="B360" s="2">
        <v>2005</v>
      </c>
      <c r="C360" s="2">
        <f>COUNTIFS(Games[Team],Games[[#This Row],[Team]],Games[Season],Games[[#This Row],[Season]],Games[Date],"&lt;=" &amp; Games[[#This Row],[Date]])</f>
        <v>28</v>
      </c>
      <c r="D360" s="2" t="s">
        <v>23</v>
      </c>
      <c r="E360" s="2" t="s">
        <v>29</v>
      </c>
      <c r="F360" s="1" t="s">
        <v>45</v>
      </c>
      <c r="G360" s="1" t="s">
        <v>44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60" s="2">
        <f>Games[[#This Row],[DaysOff]]-Games[[#This Row],[OppDaysOff]]</f>
        <v>-2</v>
      </c>
      <c r="L360" s="2">
        <f>Games[[#This Row],[OppDaysOff]]-Games[[#This Row],[DaysOff]]</f>
        <v>2</v>
      </c>
      <c r="M360" s="1">
        <f>MAX(-16, MIN(16, Games[[#This Row],[RestDiff]]*8))</f>
        <v>-16</v>
      </c>
      <c r="N360" s="1">
        <f>MAX(-16, MIN(16, Games[[#This Row],[OppRestDiff]]*8))</f>
        <v>16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1639.6058798655513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1515.2686715598206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0.51199590478903101</v>
      </c>
      <c r="R360" s="1">
        <v>62</v>
      </c>
      <c r="S360" s="1">
        <v>76</v>
      </c>
      <c r="T360" s="1">
        <v>0</v>
      </c>
      <c r="U360" s="1">
        <f>Games[[#This Row],[PointsFor]]-Games[[#This Row],[PointsAgainst]]</f>
        <v>-14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0.44182835049201535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71.8</v>
      </c>
      <c r="Z360" s="4">
        <f>Games[[#This Row],[K]]*Games[[#This Row],[POMult]]</f>
        <v>71.8</v>
      </c>
      <c r="AA360" s="4">
        <f>(Games[[#This Row],[Keff]]*Games[[#This Row],[MOVMult]])*(Games[[#This Row],[Result]]-Games[[#This Row],[ExpectedWin%]])</f>
        <v>-16.242187175941204</v>
      </c>
      <c r="AB360" s="4">
        <f>Games[[#This Row],[PreGmRate]]+Games[[#This Row],[RatingChange]]</f>
        <v>1623.3636926896102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38576</v>
      </c>
      <c r="B361" s="2">
        <v>2005</v>
      </c>
      <c r="C361" s="2">
        <f>COUNTIFS(Games[Team],Games[[#This Row],[Team]],Games[Season],Games[[#This Row],[Season]],Games[Date],"&lt;=" &amp; Games[[#This Row],[Date]])</f>
        <v>26</v>
      </c>
      <c r="D361" s="2" t="s">
        <v>23</v>
      </c>
      <c r="E361" s="2" t="s">
        <v>29</v>
      </c>
      <c r="F361" s="1" t="s">
        <v>44</v>
      </c>
      <c r="G361" s="1" t="s">
        <v>45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6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1" s="2">
        <f>Games[[#This Row],[DaysOff]]-Games[[#This Row],[OppDaysOff]]</f>
        <v>2</v>
      </c>
      <c r="L361" s="2">
        <f>Games[[#This Row],[OppDaysOff]]-Games[[#This Row],[DaysOff]]</f>
        <v>-2</v>
      </c>
      <c r="M361" s="1">
        <f>MAX(-16, MIN(16, Games[[#This Row],[RestDiff]]*8))</f>
        <v>16</v>
      </c>
      <c r="N361" s="1">
        <f>MAX(-16, MIN(16, Games[[#This Row],[OppRestDiff]]*8))</f>
        <v>-16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1515.2686715598206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1639.6058798655513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0.48800409521096905</v>
      </c>
      <c r="R361" s="1">
        <v>76</v>
      </c>
      <c r="S361" s="1">
        <v>62</v>
      </c>
      <c r="T361" s="1">
        <v>0</v>
      </c>
      <c r="U361" s="1">
        <f>Games[[#This Row],[PointsFor]]-Games[[#This Row],[PointsAgainst]]</f>
        <v>14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0.44182835049201535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72.099999999999994</v>
      </c>
      <c r="Z361" s="4">
        <f>Games[[#This Row],[K]]*Games[[#This Row],[POMult]]</f>
        <v>72.099999999999994</v>
      </c>
      <c r="AA361" s="4">
        <f>(Games[[#This Row],[Keff]]*Games[[#This Row],[MOVMult]])*(Games[[#This Row],[Result]]-Games[[#This Row],[ExpectedWin%]])</f>
        <v>16.310051467762683</v>
      </c>
      <c r="AB361" s="4">
        <f>Games[[#This Row],[PreGmRate]]+Games[[#This Row],[RatingChange]]</f>
        <v>1531.5787230275832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38577</v>
      </c>
      <c r="B362" s="2">
        <v>2005</v>
      </c>
      <c r="C362" s="2">
        <f>COUNTIFS(Games[Team],Games[[#This Row],[Team]],Games[Season],Games[[#This Row],[Season]],Games[Date],"&lt;=" &amp; Games[[#This Row],[Date]])</f>
        <v>28</v>
      </c>
      <c r="D362" s="2" t="s">
        <v>23</v>
      </c>
      <c r="E362" s="2" t="s">
        <v>29</v>
      </c>
      <c r="F362" s="1" t="s">
        <v>79</v>
      </c>
      <c r="G362" s="1" t="s">
        <v>70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2" s="2">
        <f>Games[[#This Row],[DaysOff]]-Games[[#This Row],[OppDaysOff]]</f>
        <v>-1</v>
      </c>
      <c r="L362" s="2">
        <f>Games[[#This Row],[OppDaysOff]]-Games[[#This Row],[DaysOff]]</f>
        <v>1</v>
      </c>
      <c r="M362" s="1">
        <f>MAX(-16, MIN(16, Games[[#This Row],[RestDiff]]*8))</f>
        <v>-8</v>
      </c>
      <c r="N362" s="1">
        <f>MAX(-16, MIN(16, Games[[#This Row],[OppRestDiff]]*8))</f>
        <v>8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1517.3348509361656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1482.8492139256784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0.40681905357433573</v>
      </c>
      <c r="R362" s="1">
        <v>59</v>
      </c>
      <c r="S362" s="1">
        <v>69</v>
      </c>
      <c r="T362" s="1">
        <v>0</v>
      </c>
      <c r="U362" s="1">
        <f>Games[[#This Row],[PointsFor]]-Games[[#This Row],[PointsAgainst]]</f>
        <v>-10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0.41130947495537956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71.8</v>
      </c>
      <c r="Z362" s="4">
        <f>Games[[#This Row],[K]]*Games[[#This Row],[POMult]]</f>
        <v>71.8</v>
      </c>
      <c r="AA362" s="4">
        <f>(Games[[#This Row],[Keff]]*Games[[#This Row],[MOVMult]])*(Games[[#This Row],[Result]]-Games[[#This Row],[ExpectedWin%]])</f>
        <v>-12.01418854931482</v>
      </c>
      <c r="AB362" s="4">
        <f>Games[[#This Row],[PreGmRate]]+Games[[#This Row],[RatingChange]]</f>
        <v>1505.3206623868507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38577</v>
      </c>
      <c r="B363" s="2">
        <v>2005</v>
      </c>
      <c r="C363" s="2">
        <f>COUNTIFS(Games[Team],Games[[#This Row],[Team]],Games[Season],Games[[#This Row],[Season]],Games[Date],"&lt;=" &amp; Games[[#This Row],[Date]])</f>
        <v>28</v>
      </c>
      <c r="D363" s="2" t="s">
        <v>23</v>
      </c>
      <c r="E363" s="2" t="s">
        <v>29</v>
      </c>
      <c r="F363" s="1" t="s">
        <v>70</v>
      </c>
      <c r="G363" s="1" t="s">
        <v>79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1</v>
      </c>
      <c r="L363" s="2">
        <f>Games[[#This Row],[OppDaysOff]]-Games[[#This Row],[DaysOff]]</f>
        <v>-1</v>
      </c>
      <c r="M363" s="1">
        <f>MAX(-16, MIN(16, Games[[#This Row],[RestDiff]]*8))</f>
        <v>8</v>
      </c>
      <c r="N363" s="1">
        <f>MAX(-16, MIN(16, Games[[#This Row],[OppRestDiff]]*8))</f>
        <v>-8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1482.8492139256784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1517.3348509361656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0.59318094642566421</v>
      </c>
      <c r="R363" s="1">
        <v>69</v>
      </c>
      <c r="S363" s="1">
        <v>59</v>
      </c>
      <c r="T363" s="1">
        <v>0</v>
      </c>
      <c r="U363" s="1">
        <f>Games[[#This Row],[PointsFor]]-Games[[#This Row],[PointsAgainst]]</f>
        <v>10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0.41130947495537956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71.8</v>
      </c>
      <c r="Z363" s="4">
        <f>Games[[#This Row],[K]]*Games[[#This Row],[POMult]]</f>
        <v>71.8</v>
      </c>
      <c r="AA363" s="4">
        <f>(Games[[#This Row],[Keff]]*Games[[#This Row],[MOVMult]])*(Games[[#This Row],[Result]]-Games[[#This Row],[ExpectedWin%]])</f>
        <v>12.014188549314822</v>
      </c>
      <c r="AB363" s="4">
        <f>Games[[#This Row],[PreGmRate]]+Games[[#This Row],[RatingChange]]</f>
        <v>1494.8634024749933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38577</v>
      </c>
      <c r="B364" s="2">
        <v>2005</v>
      </c>
      <c r="C364" s="2">
        <f>COUNTIFS(Games[Team],Games[[#This Row],[Team]],Games[Season],Games[[#This Row],[Season]],Games[Date],"&lt;=" &amp; Games[[#This Row],[Date]])</f>
        <v>28</v>
      </c>
      <c r="D364" s="2" t="s">
        <v>23</v>
      </c>
      <c r="E364" s="2" t="s">
        <v>29</v>
      </c>
      <c r="F364" s="1" t="s">
        <v>75</v>
      </c>
      <c r="G364" s="1" t="s">
        <v>84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1486.4651935110292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1348.5425266628461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0.57698382647601743</v>
      </c>
      <c r="R364" s="1">
        <v>60</v>
      </c>
      <c r="S364" s="1">
        <v>59</v>
      </c>
      <c r="T364" s="1">
        <v>0</v>
      </c>
      <c r="U364" s="1">
        <f>Games[[#This Row],[PointsFor]]-Games[[#This Row],[PointsAgainst]]</f>
        <v>1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0.21900787872039335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71.8</v>
      </c>
      <c r="Z364" s="4">
        <f>Games[[#This Row],[K]]*Games[[#This Row],[POMult]]</f>
        <v>71.8</v>
      </c>
      <c r="AA364" s="4">
        <f>(Games[[#This Row],[Keff]]*Games[[#This Row],[MOVMult]])*(Games[[#This Row],[Result]]-Games[[#This Row],[ExpectedWin%]])</f>
        <v>6.6518302126435964</v>
      </c>
      <c r="AB364" s="4">
        <f>Games[[#This Row],[PreGmRate]]+Games[[#This Row],[RatingChange]]</f>
        <v>1493.1170237236727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38577</v>
      </c>
      <c r="B365" s="2">
        <v>2005</v>
      </c>
      <c r="C365" s="2">
        <f>COUNTIFS(Games[Team],Games[[#This Row],[Team]],Games[Season],Games[[#This Row],[Season]],Games[Date],"&lt;=" &amp; Games[[#This Row],[Date]])</f>
        <v>30</v>
      </c>
      <c r="D365" s="2" t="s">
        <v>23</v>
      </c>
      <c r="E365" s="2" t="s">
        <v>29</v>
      </c>
      <c r="F365" s="1" t="s">
        <v>84</v>
      </c>
      <c r="G365" s="1" t="s">
        <v>75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1348.5425266628461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1486.4651935110292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0.42301617352398257</v>
      </c>
      <c r="R365" s="1">
        <v>59</v>
      </c>
      <c r="S365" s="1">
        <v>60</v>
      </c>
      <c r="T365" s="1">
        <v>0</v>
      </c>
      <c r="U365" s="1">
        <f>Games[[#This Row],[PointsFor]]-Games[[#This Row],[PointsAgainst]]</f>
        <v>-1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0.21900787872039335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71.5</v>
      </c>
      <c r="Z365" s="4">
        <f>Games[[#This Row],[K]]*Games[[#This Row],[POMult]]</f>
        <v>71.5</v>
      </c>
      <c r="AA365" s="4">
        <f>(Games[[#This Row],[Keff]]*Games[[#This Row],[MOVMult]])*(Games[[#This Row],[Result]]-Games[[#This Row],[ExpectedWin%]])</f>
        <v>-6.6240370501952244</v>
      </c>
      <c r="AB365" s="4">
        <f>Games[[#This Row],[PreGmRate]]+Games[[#This Row],[RatingChange]]</f>
        <v>1341.9184896126508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38578</v>
      </c>
      <c r="B366" s="2">
        <v>2005</v>
      </c>
      <c r="C366" s="2">
        <f>COUNTIFS(Games[Team],Games[[#This Row],[Team]],Games[Season],Games[[#This Row],[Season]],Games[Date],"&lt;=" &amp; Games[[#This Row],[Date]])</f>
        <v>28</v>
      </c>
      <c r="D366" s="2" t="s">
        <v>23</v>
      </c>
      <c r="E366" s="2" t="s">
        <v>29</v>
      </c>
      <c r="F366" s="1" t="s">
        <v>73</v>
      </c>
      <c r="G366" s="1" t="s">
        <v>86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1485.9936844493432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1670.5259430068056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0.17569429484310692</v>
      </c>
      <c r="R366" s="1">
        <v>77</v>
      </c>
      <c r="S366" s="1">
        <v>80</v>
      </c>
      <c r="T366" s="1">
        <v>0</v>
      </c>
      <c r="U366" s="1">
        <f>Games[[#This Row],[PointsFor]]-Games[[#This Row],[PointsAgainst]]</f>
        <v>-3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0.25150748432633752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71.8</v>
      </c>
      <c r="Z366" s="4">
        <f>Games[[#This Row],[K]]*Games[[#This Row],[POMult]]</f>
        <v>71.8</v>
      </c>
      <c r="AA366" s="4">
        <f>(Games[[#This Row],[Keff]]*Games[[#This Row],[MOVMult]])*(Games[[#This Row],[Result]]-Games[[#This Row],[ExpectedWin%]])</f>
        <v>-3.1727292816452377</v>
      </c>
      <c r="AB366" s="4">
        <f>Games[[#This Row],[PreGmRate]]+Games[[#This Row],[RatingChange]]</f>
        <v>1482.820955167698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38578</v>
      </c>
      <c r="B367" s="2">
        <v>2005</v>
      </c>
      <c r="C367" s="2">
        <f>COUNTIFS(Games[Team],Games[[#This Row],[Team]],Games[Season],Games[[#This Row],[Season]],Games[Date],"&lt;=" &amp; Games[[#This Row],[Date]])</f>
        <v>29</v>
      </c>
      <c r="D367" s="2" t="s">
        <v>23</v>
      </c>
      <c r="E367" s="2" t="s">
        <v>29</v>
      </c>
      <c r="F367" s="1" t="s">
        <v>86</v>
      </c>
      <c r="G367" s="1" t="s">
        <v>73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1670.5259430068056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1485.9936844493432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0.82430570515689316</v>
      </c>
      <c r="R367" s="1">
        <v>80</v>
      </c>
      <c r="S367" s="1">
        <v>77</v>
      </c>
      <c r="T367" s="1">
        <v>0</v>
      </c>
      <c r="U367" s="1">
        <f>Games[[#This Row],[PointsFor]]-Games[[#This Row],[PointsAgainst]]</f>
        <v>3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0.25150748432633752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71.650000000000006</v>
      </c>
      <c r="Z367" s="4">
        <f>Games[[#This Row],[K]]*Games[[#This Row],[POMult]]</f>
        <v>71.650000000000006</v>
      </c>
      <c r="AA367" s="4">
        <f>(Games[[#This Row],[Keff]]*Games[[#This Row],[MOVMult]])*(Games[[#This Row],[Result]]-Games[[#This Row],[ExpectedWin%]])</f>
        <v>3.1661010171292649</v>
      </c>
      <c r="AB367" s="4">
        <f>Games[[#This Row],[PreGmRate]]+Games[[#This Row],[RatingChange]]</f>
        <v>1673.6920440239348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38578</v>
      </c>
      <c r="B368" s="2">
        <v>2005</v>
      </c>
      <c r="C368" s="2">
        <f>COUNTIFS(Games[Team],Games[[#This Row],[Team]],Games[Season],Games[[#This Row],[Season]],Games[Date],"&lt;=" &amp; Games[[#This Row],[Date]])</f>
        <v>29</v>
      </c>
      <c r="D368" s="2" t="s">
        <v>23</v>
      </c>
      <c r="E368" s="2" t="s">
        <v>29</v>
      </c>
      <c r="F368" s="1" t="s">
        <v>81</v>
      </c>
      <c r="G368" s="1" t="s">
        <v>2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8" s="2">
        <f>Games[[#This Row],[DaysOff]]-Games[[#This Row],[OppDaysOff]]</f>
        <v>-3</v>
      </c>
      <c r="L368" s="2">
        <f>Games[[#This Row],[OppDaysOff]]-Games[[#This Row],[DaysOff]]</f>
        <v>3</v>
      </c>
      <c r="M368" s="1">
        <f>MAX(-16, MIN(16, Games[[#This Row],[RestDiff]]*8))</f>
        <v>-16</v>
      </c>
      <c r="N368" s="1">
        <f>MAX(-16, MIN(16, Games[[#This Row],[OppRestDiff]]*8))</f>
        <v>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1552.6262838078546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1504.7555896557512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0.40319170360177758</v>
      </c>
      <c r="R368" s="1">
        <v>72</v>
      </c>
      <c r="S368" s="1">
        <v>75</v>
      </c>
      <c r="T368" s="1">
        <v>0</v>
      </c>
      <c r="U368" s="1">
        <f>Games[[#This Row],[PointsFor]]-Games[[#This Row],[PointsAgainst]]</f>
        <v>-3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0.27905152909697628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71.650000000000006</v>
      </c>
      <c r="Z368" s="4">
        <f>Games[[#This Row],[K]]*Games[[#This Row],[POMult]]</f>
        <v>71.650000000000006</v>
      </c>
      <c r="AA368" s="4">
        <f>(Games[[#This Row],[Keff]]*Games[[#This Row],[MOVMult]])*(Games[[#This Row],[Result]]-Games[[#This Row],[ExpectedWin%]])</f>
        <v>-8.061431879975693</v>
      </c>
      <c r="AB368" s="4">
        <f>Games[[#This Row],[PreGmRate]]+Games[[#This Row],[RatingChange]]</f>
        <v>1544.5648519278789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38578</v>
      </c>
      <c r="B369" s="2">
        <v>2005</v>
      </c>
      <c r="C369" s="2">
        <f>COUNTIFS(Games[Team],Games[[#This Row],[Team]],Games[Season],Games[[#This Row],[Season]],Games[Date],"&lt;=" &amp; Games[[#This Row],[Date]])</f>
        <v>29</v>
      </c>
      <c r="D369" s="2" t="s">
        <v>23</v>
      </c>
      <c r="E369" s="2" t="s">
        <v>29</v>
      </c>
      <c r="F369" s="1" t="s">
        <v>2</v>
      </c>
      <c r="G369" s="1" t="s">
        <v>81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3</v>
      </c>
      <c r="L369" s="2">
        <f>Games[[#This Row],[OppDaysOff]]-Games[[#This Row],[DaysOff]]</f>
        <v>-3</v>
      </c>
      <c r="M369" s="1">
        <f>MAX(-16, MIN(16, Games[[#This Row],[RestDiff]]*8))</f>
        <v>16</v>
      </c>
      <c r="N369" s="1">
        <f>MAX(-16, MIN(16, Games[[#This Row],[OppRestDiff]]*8))</f>
        <v>-16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1504.7555896557512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1552.6262838078546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0.59680829639822242</v>
      </c>
      <c r="R369" s="1">
        <v>75</v>
      </c>
      <c r="S369" s="1">
        <v>72</v>
      </c>
      <c r="T369" s="1">
        <v>0</v>
      </c>
      <c r="U369" s="1">
        <f>Games[[#This Row],[PointsFor]]-Games[[#This Row],[PointsAgainst]]</f>
        <v>3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0.27905152909697628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71.650000000000006</v>
      </c>
      <c r="Z369" s="4">
        <f>Games[[#This Row],[K]]*Games[[#This Row],[POMult]]</f>
        <v>71.650000000000006</v>
      </c>
      <c r="AA369" s="4">
        <f>(Games[[#This Row],[Keff]]*Games[[#This Row],[MOVMult]])*(Games[[#This Row],[Result]]-Games[[#This Row],[ExpectedWin%]])</f>
        <v>8.061431879975693</v>
      </c>
      <c r="AB369" s="4">
        <f>Games[[#This Row],[PreGmRate]]+Games[[#This Row],[RatingChange]]</f>
        <v>1512.817021535727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38578</v>
      </c>
      <c r="B370" s="2">
        <v>2005</v>
      </c>
      <c r="C370" s="2">
        <f>COUNTIFS(Games[Team],Games[[#This Row],[Team]],Games[Season],Games[[#This Row],[Season]],Games[Date],"&lt;=" &amp; Games[[#This Row],[Date]])</f>
        <v>29</v>
      </c>
      <c r="D370" s="2" t="s">
        <v>23</v>
      </c>
      <c r="E370" s="2" t="s">
        <v>29</v>
      </c>
      <c r="F370" s="1" t="s">
        <v>64</v>
      </c>
      <c r="G370" s="1" t="s">
        <v>66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1311.2959725748617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1542.9206652317496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0.13980845538885334</v>
      </c>
      <c r="R370" s="1">
        <v>65</v>
      </c>
      <c r="S370" s="1">
        <v>73</v>
      </c>
      <c r="T370" s="1">
        <v>0</v>
      </c>
      <c r="U370" s="1">
        <f>Games[[#This Row],[PointsFor]]-Games[[#This Row],[PointsAgainst]]</f>
        <v>-8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0.32548938586608039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71.650000000000006</v>
      </c>
      <c r="Z370" s="4">
        <f>Games[[#This Row],[K]]*Games[[#This Row],[POMult]]</f>
        <v>71.650000000000006</v>
      </c>
      <c r="AA370" s="4">
        <f>(Games[[#This Row],[Keff]]*Games[[#This Row],[MOVMult]])*(Games[[#This Row],[Result]]-Games[[#This Row],[ExpectedWin%]])</f>
        <v>-3.2605169575058373</v>
      </c>
      <c r="AB370" s="4">
        <f>Games[[#This Row],[PreGmRate]]+Games[[#This Row],[RatingChange]]</f>
        <v>1308.0354556173559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38578</v>
      </c>
      <c r="B371" s="2">
        <v>2005</v>
      </c>
      <c r="C371" s="2">
        <f>COUNTIFS(Games[Team],Games[[#This Row],[Team]],Games[Season],Games[[#This Row],[Season]],Games[Date],"&lt;=" &amp; Games[[#This Row],[Date]])</f>
        <v>29</v>
      </c>
      <c r="D371" s="2" t="s">
        <v>23</v>
      </c>
      <c r="E371" s="2" t="s">
        <v>29</v>
      </c>
      <c r="F371" s="1" t="s">
        <v>66</v>
      </c>
      <c r="G371" s="1" t="s">
        <v>64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1542.9206652317496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1311.2959725748617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0.86019154461114677</v>
      </c>
      <c r="R371" s="1">
        <v>73</v>
      </c>
      <c r="S371" s="1">
        <v>65</v>
      </c>
      <c r="T371" s="1">
        <v>0</v>
      </c>
      <c r="U371" s="1">
        <f>Games[[#This Row],[PointsFor]]-Games[[#This Row],[PointsAgainst]]</f>
        <v>8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0.32548938586608039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71.650000000000006</v>
      </c>
      <c r="Z371" s="4">
        <f>Games[[#This Row],[K]]*Games[[#This Row],[POMult]]</f>
        <v>71.650000000000006</v>
      </c>
      <c r="AA371" s="4">
        <f>(Games[[#This Row],[Keff]]*Games[[#This Row],[MOVMult]])*(Games[[#This Row],[Result]]-Games[[#This Row],[ExpectedWin%]])</f>
        <v>3.260516957505835</v>
      </c>
      <c r="AB371" s="4">
        <f>Games[[#This Row],[PreGmRate]]+Games[[#This Row],[RatingChange]]</f>
        <v>1546.1811821892554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38578</v>
      </c>
      <c r="B372" s="2">
        <v>2005</v>
      </c>
      <c r="C372" s="2">
        <f>COUNTIFS(Games[Team],Games[[#This Row],[Team]],Games[Season],Games[[#This Row],[Season]],Games[Date],"&lt;=" &amp; Games[[#This Row],[Date]])</f>
        <v>29</v>
      </c>
      <c r="D372" s="2" t="s">
        <v>23</v>
      </c>
      <c r="E372" s="2" t="s">
        <v>29</v>
      </c>
      <c r="F372" s="1" t="s">
        <v>79</v>
      </c>
      <c r="G372" s="1" t="s">
        <v>44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-1</v>
      </c>
      <c r="L372" s="2">
        <f>Games[[#This Row],[OppDaysOff]]-Games[[#This Row],[DaysOff]]</f>
        <v>1</v>
      </c>
      <c r="M372" s="1">
        <f>MAX(-16, MIN(16, Games[[#This Row],[RestDiff]]*8))</f>
        <v>-8</v>
      </c>
      <c r="N372" s="1">
        <f>MAX(-16, MIN(16, Games[[#This Row],[OppRestDiff]]*8))</f>
        <v>8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1505.3206623868507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1531.5787230275832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0.32589737719369494</v>
      </c>
      <c r="R372" s="1">
        <v>62</v>
      </c>
      <c r="S372" s="1">
        <v>56</v>
      </c>
      <c r="T372" s="1">
        <v>0</v>
      </c>
      <c r="U372" s="1">
        <f>Games[[#This Row],[PointsFor]]-Games[[#This Row],[PointsAgainst]]</f>
        <v>6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0.34375872978068955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71.650000000000006</v>
      </c>
      <c r="Z372" s="4">
        <f>Games[[#This Row],[K]]*Games[[#This Row],[POMult]]</f>
        <v>71.650000000000006</v>
      </c>
      <c r="AA372" s="4">
        <f>(Games[[#This Row],[Keff]]*Games[[#This Row],[MOVMult]])*(Games[[#This Row],[Result]]-Games[[#This Row],[ExpectedWin%]])</f>
        <v>16.603358586281121</v>
      </c>
      <c r="AB372" s="4">
        <f>Games[[#This Row],[PreGmRate]]+Games[[#This Row],[RatingChange]]</f>
        <v>1521.9240209731317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38578</v>
      </c>
      <c r="B373" s="2">
        <v>2005</v>
      </c>
      <c r="C373" s="2">
        <f>COUNTIFS(Games[Team],Games[[#This Row],[Team]],Games[Season],Games[[#This Row],[Season]],Games[Date],"&lt;=" &amp; Games[[#This Row],[Date]])</f>
        <v>27</v>
      </c>
      <c r="D373" s="2" t="s">
        <v>23</v>
      </c>
      <c r="E373" s="2" t="s">
        <v>29</v>
      </c>
      <c r="F373" s="1" t="s">
        <v>44</v>
      </c>
      <c r="G373" s="1" t="s">
        <v>79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3" s="2">
        <f>Games[[#This Row],[DaysOff]]-Games[[#This Row],[OppDaysOff]]</f>
        <v>1</v>
      </c>
      <c r="L373" s="2">
        <f>Games[[#This Row],[OppDaysOff]]-Games[[#This Row],[DaysOff]]</f>
        <v>-1</v>
      </c>
      <c r="M373" s="1">
        <f>MAX(-16, MIN(16, Games[[#This Row],[RestDiff]]*8))</f>
        <v>8</v>
      </c>
      <c r="N373" s="1">
        <f>MAX(-16, MIN(16, Games[[#This Row],[OppRestDiff]]*8))</f>
        <v>-8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1531.5787230275832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1505.3206623868507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0.67410262280630506</v>
      </c>
      <c r="R373" s="1">
        <v>56</v>
      </c>
      <c r="S373" s="1">
        <v>62</v>
      </c>
      <c r="T373" s="1">
        <v>0</v>
      </c>
      <c r="U373" s="1">
        <f>Games[[#This Row],[PointsFor]]-Games[[#This Row],[PointsAgainst]]</f>
        <v>-6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0.34375872978068955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71.95</v>
      </c>
      <c r="Z373" s="4">
        <f>Games[[#This Row],[K]]*Games[[#This Row],[POMult]]</f>
        <v>71.95</v>
      </c>
      <c r="AA373" s="4">
        <f>(Games[[#This Row],[Keff]]*Games[[#This Row],[MOVMult]])*(Games[[#This Row],[Result]]-Games[[#This Row],[ExpectedWin%]])</f>
        <v>-16.672877184688438</v>
      </c>
      <c r="AB373" s="4">
        <f>Games[[#This Row],[PreGmRate]]+Games[[#This Row],[RatingChange]]</f>
        <v>1514.9058458428949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38580</v>
      </c>
      <c r="B374" s="2">
        <v>2005</v>
      </c>
      <c r="C374" s="2">
        <f>COUNTIFS(Games[Team],Games[[#This Row],[Team]],Games[Season],Games[[#This Row],[Season]],Games[Date],"&lt;=" &amp; Games[[#This Row],[Date]])</f>
        <v>29</v>
      </c>
      <c r="D374" s="2" t="s">
        <v>23</v>
      </c>
      <c r="E374" s="2" t="s">
        <v>29</v>
      </c>
      <c r="F374" s="1" t="s">
        <v>45</v>
      </c>
      <c r="G374" s="1" t="s">
        <v>70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1</v>
      </c>
      <c r="L374" s="2">
        <f>Games[[#This Row],[OppDaysOff]]-Games[[#This Row],[DaysOff]]</f>
        <v>-1</v>
      </c>
      <c r="M374" s="1">
        <f>MAX(-16, MIN(16, Games[[#This Row],[RestDiff]]*8))</f>
        <v>8</v>
      </c>
      <c r="N374" s="1">
        <f>MAX(-16, MIN(16, Games[[#This Row],[OppRestDiff]]*8))</f>
        <v>-8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1623.3636926896102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1494.8634024749933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0.58619742947823117</v>
      </c>
      <c r="R374" s="1">
        <v>72</v>
      </c>
      <c r="S374" s="1">
        <v>63</v>
      </c>
      <c r="T374" s="1">
        <v>0</v>
      </c>
      <c r="U374" s="1">
        <f>Games[[#This Row],[PointsFor]]-Games[[#This Row],[PointsAgainst]]</f>
        <v>9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0.3667035951478721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71.650000000000006</v>
      </c>
      <c r="Z374" s="4">
        <f>Games[[#This Row],[K]]*Games[[#This Row],[POMult]]</f>
        <v>71.650000000000006</v>
      </c>
      <c r="AA374" s="4">
        <f>(Games[[#This Row],[Keff]]*Games[[#This Row],[MOVMult]])*(Games[[#This Row],[Result]]-Games[[#This Row],[ExpectedWin%]])</f>
        <v>10.872378089404856</v>
      </c>
      <c r="AB374" s="4">
        <f>Games[[#This Row],[PreGmRate]]+Games[[#This Row],[RatingChange]]</f>
        <v>1634.2360707790151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38580</v>
      </c>
      <c r="B375" s="2">
        <v>2005</v>
      </c>
      <c r="C375" s="2">
        <f>COUNTIFS(Games[Team],Games[[#This Row],[Team]],Games[Season],Games[[#This Row],[Season]],Games[Date],"&lt;=" &amp; Games[[#This Row],[Date]])</f>
        <v>29</v>
      </c>
      <c r="D375" s="2" t="s">
        <v>23</v>
      </c>
      <c r="E375" s="2" t="s">
        <v>29</v>
      </c>
      <c r="F375" s="1" t="s">
        <v>70</v>
      </c>
      <c r="G375" s="1" t="s">
        <v>45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5" s="2">
        <f>Games[[#This Row],[DaysOff]]-Games[[#This Row],[OppDaysOff]]</f>
        <v>-1</v>
      </c>
      <c r="L375" s="2">
        <f>Games[[#This Row],[OppDaysOff]]-Games[[#This Row],[DaysOff]]</f>
        <v>1</v>
      </c>
      <c r="M375" s="1">
        <f>MAX(-16, MIN(16, Games[[#This Row],[RestDiff]]*8))</f>
        <v>-8</v>
      </c>
      <c r="N375" s="1">
        <f>MAX(-16, MIN(16, Games[[#This Row],[OppRestDiff]]*8))</f>
        <v>8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1494.8634024749933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1623.3636926896102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0.41380257052176883</v>
      </c>
      <c r="R375" s="1">
        <v>63</v>
      </c>
      <c r="S375" s="1">
        <v>72</v>
      </c>
      <c r="T375" s="1">
        <v>0</v>
      </c>
      <c r="U375" s="1">
        <f>Games[[#This Row],[PointsFor]]-Games[[#This Row],[PointsAgainst]]</f>
        <v>-9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0.3667035951478721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71.650000000000006</v>
      </c>
      <c r="Z375" s="4">
        <f>Games[[#This Row],[K]]*Games[[#This Row],[POMult]]</f>
        <v>71.650000000000006</v>
      </c>
      <c r="AA375" s="4">
        <f>(Games[[#This Row],[Keff]]*Games[[#This Row],[MOVMult]])*(Games[[#This Row],[Result]]-Games[[#This Row],[ExpectedWin%]])</f>
        <v>-10.872378089404856</v>
      </c>
      <c r="AB375" s="4">
        <f>Games[[#This Row],[PreGmRate]]+Games[[#This Row],[RatingChange]]</f>
        <v>1483.9910243855884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38580</v>
      </c>
      <c r="B376" s="2">
        <v>2005</v>
      </c>
      <c r="C376" s="2">
        <f>COUNTIFS(Games[Team],Games[[#This Row],[Team]],Games[Season],Games[[#This Row],[Season]],Games[Date],"&lt;=" &amp; Games[[#This Row],[Date]])</f>
        <v>30</v>
      </c>
      <c r="D376" s="2" t="s">
        <v>23</v>
      </c>
      <c r="E376" s="2" t="s">
        <v>29</v>
      </c>
      <c r="F376" s="1" t="s">
        <v>2</v>
      </c>
      <c r="G376" s="1" t="s">
        <v>77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6" s="2">
        <f>Games[[#This Row],[DaysOff]]-Games[[#This Row],[OppDaysOff]]</f>
        <v>-2</v>
      </c>
      <c r="L376" s="2">
        <f>Games[[#This Row],[OppDaysOff]]-Games[[#This Row],[DaysOff]]</f>
        <v>2</v>
      </c>
      <c r="M376" s="1">
        <f>MAX(-16, MIN(16, Games[[#This Row],[RestDiff]]*8))</f>
        <v>-16</v>
      </c>
      <c r="N376" s="1">
        <f>MAX(-16, MIN(16, Games[[#This Row],[OppRestDiff]]*8))</f>
        <v>16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1512.817021535727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1451.7946972977008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0.42153458329549992</v>
      </c>
      <c r="R376" s="1">
        <v>62</v>
      </c>
      <c r="S376" s="1">
        <v>73</v>
      </c>
      <c r="T376" s="1">
        <v>0</v>
      </c>
      <c r="U376" s="1">
        <f>Games[[#This Row],[PointsFor]]-Games[[#This Row],[PointsAgainst]]</f>
        <v>-11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0.41855180052270941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71.5</v>
      </c>
      <c r="Z376" s="4">
        <f>Games[[#This Row],[K]]*Games[[#This Row],[POMult]]</f>
        <v>71.5</v>
      </c>
      <c r="AA376" s="4">
        <f>(Games[[#This Row],[Keff]]*Games[[#This Row],[MOVMult]])*(Games[[#This Row],[Result]]-Games[[#This Row],[ExpectedWin%]])</f>
        <v>-12.615035205695889</v>
      </c>
      <c r="AB376" s="4">
        <f>Games[[#This Row],[PreGmRate]]+Games[[#This Row],[RatingChange]]</f>
        <v>1500.2019863300311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38580</v>
      </c>
      <c r="B377" s="2">
        <v>2005</v>
      </c>
      <c r="C377" s="2">
        <f>COUNTIFS(Games[Team],Games[[#This Row],[Team]],Games[Season],Games[[#This Row],[Season]],Games[Date],"&lt;=" &amp; Games[[#This Row],[Date]])</f>
        <v>30</v>
      </c>
      <c r="D377" s="2" t="s">
        <v>23</v>
      </c>
      <c r="E377" s="2" t="s">
        <v>29</v>
      </c>
      <c r="F377" s="1" t="s">
        <v>77</v>
      </c>
      <c r="G377" s="1" t="s">
        <v>2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2</v>
      </c>
      <c r="L377" s="2">
        <f>Games[[#This Row],[OppDaysOff]]-Games[[#This Row],[DaysOff]]</f>
        <v>-2</v>
      </c>
      <c r="M377" s="1">
        <f>MAX(-16, MIN(16, Games[[#This Row],[RestDiff]]*8))</f>
        <v>16</v>
      </c>
      <c r="N377" s="1">
        <f>MAX(-16, MIN(16, Games[[#This Row],[OppRestDiff]]*8))</f>
        <v>-16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1451.7946972977008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1512.817021535727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0.57846541670450013</v>
      </c>
      <c r="R377" s="1">
        <v>73</v>
      </c>
      <c r="S377" s="1">
        <v>62</v>
      </c>
      <c r="T377" s="1">
        <v>0</v>
      </c>
      <c r="U377" s="1">
        <f>Games[[#This Row],[PointsFor]]-Games[[#This Row],[PointsAgainst]]</f>
        <v>11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0.41855180052270941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71.5</v>
      </c>
      <c r="Z377" s="4">
        <f>Games[[#This Row],[K]]*Games[[#This Row],[POMult]]</f>
        <v>71.5</v>
      </c>
      <c r="AA377" s="4">
        <f>(Games[[#This Row],[Keff]]*Games[[#This Row],[MOVMult]])*(Games[[#This Row],[Result]]-Games[[#This Row],[ExpectedWin%]])</f>
        <v>12.615035205695888</v>
      </c>
      <c r="AB377" s="4">
        <f>Games[[#This Row],[PreGmRate]]+Games[[#This Row],[RatingChange]]</f>
        <v>1464.4097325033968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38580</v>
      </c>
      <c r="B378" s="2">
        <v>2005</v>
      </c>
      <c r="C378" s="2">
        <f>COUNTIFS(Games[Team],Games[[#This Row],[Team]],Games[Season],Games[[#This Row],[Season]],Games[Date],"&lt;=" &amp; Games[[#This Row],[Date]])</f>
        <v>29</v>
      </c>
      <c r="D378" s="2" t="s">
        <v>23</v>
      </c>
      <c r="E378" s="2" t="s">
        <v>29</v>
      </c>
      <c r="F378" s="1" t="s">
        <v>73</v>
      </c>
      <c r="G378" s="1" t="s">
        <v>66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1482.820955167698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1546.1811821892554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0.29979512311009682</v>
      </c>
      <c r="R378" s="1">
        <v>66</v>
      </c>
      <c r="S378" s="1">
        <v>72</v>
      </c>
      <c r="T378" s="1">
        <v>0</v>
      </c>
      <c r="U378" s="1">
        <f>Games[[#This Row],[PointsFor]]-Games[[#This Row],[PointsAgainst]]</f>
        <v>-6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0.33366327694436521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71.650000000000006</v>
      </c>
      <c r="Z378" s="4">
        <f>Games[[#This Row],[K]]*Games[[#This Row],[POMult]]</f>
        <v>71.650000000000006</v>
      </c>
      <c r="AA378" s="4">
        <f>(Games[[#This Row],[Keff]]*Games[[#This Row],[MOVMult]])*(Games[[#This Row],[Result]]-Games[[#This Row],[ExpectedWin%]])</f>
        <v>-7.1671941514814108</v>
      </c>
      <c r="AB378" s="4">
        <f>Games[[#This Row],[PreGmRate]]+Games[[#This Row],[RatingChange]]</f>
        <v>1475.6537610162165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38580</v>
      </c>
      <c r="B379" s="2">
        <v>2005</v>
      </c>
      <c r="C379" s="2">
        <f>COUNTIFS(Games[Team],Games[[#This Row],[Team]],Games[Season],Games[[#This Row],[Season]],Games[Date],"&lt;=" &amp; Games[[#This Row],[Date]])</f>
        <v>30</v>
      </c>
      <c r="D379" s="2" t="s">
        <v>23</v>
      </c>
      <c r="E379" s="2" t="s">
        <v>29</v>
      </c>
      <c r="F379" s="1" t="s">
        <v>66</v>
      </c>
      <c r="G379" s="1" t="s">
        <v>73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1546.1811821892554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1482.820955167698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0.70020487688990307</v>
      </c>
      <c r="R379" s="1">
        <v>72</v>
      </c>
      <c r="S379" s="1">
        <v>66</v>
      </c>
      <c r="T379" s="1">
        <v>0</v>
      </c>
      <c r="U379" s="1">
        <f>Games[[#This Row],[PointsFor]]-Games[[#This Row],[PointsAgainst]]</f>
        <v>6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0.33366327694436521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71.5</v>
      </c>
      <c r="Z379" s="4">
        <f>Games[[#This Row],[K]]*Games[[#This Row],[POMult]]</f>
        <v>71.5</v>
      </c>
      <c r="AA379" s="4">
        <f>(Games[[#This Row],[Keff]]*Games[[#This Row],[MOVMult]])*(Games[[#This Row],[Result]]-Games[[#This Row],[ExpectedWin%]])</f>
        <v>7.1521895580030854</v>
      </c>
      <c r="AB379" s="4">
        <f>Games[[#This Row],[PreGmRate]]+Games[[#This Row],[RatingChange]]</f>
        <v>1553.3333717472585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38580</v>
      </c>
      <c r="B380" s="2">
        <v>2005</v>
      </c>
      <c r="C380" s="2">
        <f>COUNTIFS(Games[Team],Games[[#This Row],[Team]],Games[Season],Games[[#This Row],[Season]],Games[Date],"&lt;=" &amp; Games[[#This Row],[Date]])</f>
        <v>29</v>
      </c>
      <c r="D380" s="2" t="s">
        <v>23</v>
      </c>
      <c r="E380" s="2" t="s">
        <v>29</v>
      </c>
      <c r="F380" s="1" t="s">
        <v>75</v>
      </c>
      <c r="G380" s="1" t="s">
        <v>44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1</v>
      </c>
      <c r="L380" s="2">
        <f>Games[[#This Row],[OppDaysOff]]-Games[[#This Row],[DaysOff]]</f>
        <v>-1</v>
      </c>
      <c r="M380" s="1">
        <f>MAX(-16, MIN(16, Games[[#This Row],[RestDiff]]*8))</f>
        <v>8</v>
      </c>
      <c r="N380" s="1">
        <f>MAX(-16, MIN(16, Games[[#This Row],[OppRestDiff]]*8))</f>
        <v>-8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1493.1170237236727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1514.9058458428949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0.37358535729393394</v>
      </c>
      <c r="R380" s="1">
        <v>51</v>
      </c>
      <c r="S380" s="1">
        <v>58</v>
      </c>
      <c r="T380" s="1">
        <v>0</v>
      </c>
      <c r="U380" s="1">
        <f>Games[[#This Row],[PointsFor]]-Games[[#This Row],[PointsAgainst]]</f>
        <v>-7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0.36350685072910738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71.650000000000006</v>
      </c>
      <c r="Z380" s="4">
        <f>Games[[#This Row],[K]]*Games[[#This Row],[POMult]]</f>
        <v>71.650000000000006</v>
      </c>
      <c r="AA380" s="4">
        <f>(Games[[#This Row],[Keff]]*Games[[#This Row],[MOVMult]])*(Games[[#This Row],[Result]]-Games[[#This Row],[ExpectedWin%]])</f>
        <v>-9.7301299501587444</v>
      </c>
      <c r="AB380" s="4">
        <f>Games[[#This Row],[PreGmRate]]+Games[[#This Row],[RatingChange]]</f>
        <v>1483.386893773514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38580</v>
      </c>
      <c r="B381" s="2">
        <v>2005</v>
      </c>
      <c r="C381" s="2">
        <f>COUNTIFS(Games[Team],Games[[#This Row],[Team]],Games[Season],Games[[#This Row],[Season]],Games[Date],"&lt;=" &amp; Games[[#This Row],[Date]])</f>
        <v>28</v>
      </c>
      <c r="D381" s="2" t="s">
        <v>23</v>
      </c>
      <c r="E381" s="2" t="s">
        <v>29</v>
      </c>
      <c r="F381" s="1" t="s">
        <v>44</v>
      </c>
      <c r="G381" s="1" t="s">
        <v>75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1" s="2">
        <f>Games[[#This Row],[DaysOff]]-Games[[#This Row],[OppDaysOff]]</f>
        <v>-1</v>
      </c>
      <c r="L381" s="2">
        <f>Games[[#This Row],[OppDaysOff]]-Games[[#This Row],[DaysOff]]</f>
        <v>1</v>
      </c>
      <c r="M381" s="1">
        <f>MAX(-16, MIN(16, Games[[#This Row],[RestDiff]]*8))</f>
        <v>-8</v>
      </c>
      <c r="N381" s="1">
        <f>MAX(-16, MIN(16, Games[[#This Row],[OppRestDiff]]*8))</f>
        <v>8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1514.9058458428949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1493.1170237236727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0.62641464270606606</v>
      </c>
      <c r="R381" s="1">
        <v>58</v>
      </c>
      <c r="S381" s="1">
        <v>51</v>
      </c>
      <c r="T381" s="1">
        <v>0</v>
      </c>
      <c r="U381" s="1">
        <f>Games[[#This Row],[PointsFor]]-Games[[#This Row],[PointsAgainst]]</f>
        <v>7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0.36350685072910738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71.8</v>
      </c>
      <c r="Z381" s="4">
        <f>Games[[#This Row],[K]]*Games[[#This Row],[POMult]]</f>
        <v>71.8</v>
      </c>
      <c r="AA381" s="4">
        <f>(Games[[#This Row],[Keff]]*Games[[#This Row],[MOVMult]])*(Games[[#This Row],[Result]]-Games[[#This Row],[ExpectedWin%]])</f>
        <v>9.7505000756650073</v>
      </c>
      <c r="AB381" s="4">
        <f>Games[[#This Row],[PreGmRate]]+Games[[#This Row],[RatingChange]]</f>
        <v>1524.65634591856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38582</v>
      </c>
      <c r="B382" s="2">
        <v>2005</v>
      </c>
      <c r="C382" s="2">
        <f>COUNTIFS(Games[Team],Games[[#This Row],[Team]],Games[Season],Games[[#This Row],[Season]],Games[Date],"&lt;=" &amp; Games[[#This Row],[Date]])</f>
        <v>30</v>
      </c>
      <c r="D382" s="2" t="s">
        <v>23</v>
      </c>
      <c r="E382" s="2" t="s">
        <v>29</v>
      </c>
      <c r="F382" s="1" t="s">
        <v>64</v>
      </c>
      <c r="G382" s="1" t="s">
        <v>86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1308.0354556173559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1673.6920440239348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6.9886677495216834E-2</v>
      </c>
      <c r="R382" s="1">
        <v>70</v>
      </c>
      <c r="S382" s="1">
        <v>84</v>
      </c>
      <c r="T382" s="1">
        <v>0</v>
      </c>
      <c r="U382" s="1">
        <f>Games[[#This Row],[PointsFor]]-Games[[#This Row],[PointsAgainst]]</f>
        <v>-14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0.37372801198788269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71.5</v>
      </c>
      <c r="Z382" s="4">
        <f>Games[[#This Row],[K]]*Games[[#This Row],[POMult]]</f>
        <v>71.5</v>
      </c>
      <c r="AA382" s="4">
        <f>(Games[[#This Row],[Keff]]*Games[[#This Row],[MOVMult]])*(Games[[#This Row],[Result]]-Games[[#This Row],[ExpectedWin%]])</f>
        <v>-1.8674805466978868</v>
      </c>
      <c r="AB382" s="4">
        <f>Games[[#This Row],[PreGmRate]]+Games[[#This Row],[RatingChange]]</f>
        <v>1306.167975070658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38582</v>
      </c>
      <c r="B383" s="2">
        <v>2005</v>
      </c>
      <c r="C383" s="2">
        <f>COUNTIFS(Games[Team],Games[[#This Row],[Team]],Games[Season],Games[[#This Row],[Season]],Games[Date],"&lt;=" &amp; Games[[#This Row],[Date]])</f>
        <v>30</v>
      </c>
      <c r="D383" s="2" t="s">
        <v>23</v>
      </c>
      <c r="E383" s="2" t="s">
        <v>29</v>
      </c>
      <c r="F383" s="1" t="s">
        <v>86</v>
      </c>
      <c r="G383" s="1" t="s">
        <v>64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1673.6920440239348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1308.0354556173559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0.93011332250478318</v>
      </c>
      <c r="R383" s="1">
        <v>84</v>
      </c>
      <c r="S383" s="1">
        <v>70</v>
      </c>
      <c r="T383" s="1">
        <v>0</v>
      </c>
      <c r="U383" s="1">
        <f>Games[[#This Row],[PointsFor]]-Games[[#This Row],[PointsAgainst]]</f>
        <v>14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0.37372801198788269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71.5</v>
      </c>
      <c r="Z383" s="4">
        <f>Games[[#This Row],[K]]*Games[[#This Row],[POMult]]</f>
        <v>71.5</v>
      </c>
      <c r="AA383" s="4">
        <f>(Games[[#This Row],[Keff]]*Games[[#This Row],[MOVMult]])*(Games[[#This Row],[Result]]-Games[[#This Row],[ExpectedWin%]])</f>
        <v>1.8674805466978863</v>
      </c>
      <c r="AB383" s="4">
        <f>Games[[#This Row],[PreGmRate]]+Games[[#This Row],[RatingChange]]</f>
        <v>1675.5595245706327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38582</v>
      </c>
      <c r="B384" s="2">
        <v>2005</v>
      </c>
      <c r="C384" s="2">
        <f>COUNTIFS(Games[Team],Games[[#This Row],[Team]],Games[Season],Games[[#This Row],[Season]],Games[Date],"&lt;=" &amp; Games[[#This Row],[Date]])</f>
        <v>29</v>
      </c>
      <c r="D384" s="2" t="s">
        <v>23</v>
      </c>
      <c r="E384" s="2" t="s">
        <v>29</v>
      </c>
      <c r="F384" s="1" t="s">
        <v>44</v>
      </c>
      <c r="G384" s="1" t="s">
        <v>2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1524.65634591856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1500.2019863300311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0.41513621955574481</v>
      </c>
      <c r="R384" s="1">
        <v>66</v>
      </c>
      <c r="S384" s="1">
        <v>77</v>
      </c>
      <c r="T384" s="1">
        <v>0</v>
      </c>
      <c r="U384" s="1">
        <f>Games[[#This Row],[PointsFor]]-Games[[#This Row],[PointsAgainst]]</f>
        <v>-11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0.4310517253468909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71.650000000000006</v>
      </c>
      <c r="Z384" s="4">
        <f>Games[[#This Row],[K]]*Games[[#This Row],[POMult]]</f>
        <v>71.650000000000006</v>
      </c>
      <c r="AA384" s="4">
        <f>(Games[[#This Row],[Keff]]*Games[[#This Row],[MOVMult]])*(Games[[#This Row],[Result]]-Games[[#This Row],[ExpectedWin%]])</f>
        <v>-12.821422411638524</v>
      </c>
      <c r="AB384" s="4">
        <f>Games[[#This Row],[PreGmRate]]+Games[[#This Row],[RatingChange]]</f>
        <v>1511.8349235069215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38582</v>
      </c>
      <c r="B385" s="2">
        <v>2005</v>
      </c>
      <c r="C385" s="2">
        <f>COUNTIFS(Games[Team],Games[[#This Row],[Team]],Games[Season],Games[[#This Row],[Season]],Games[Date],"&lt;=" &amp; Games[[#This Row],[Date]])</f>
        <v>31</v>
      </c>
      <c r="D385" s="2" t="s">
        <v>23</v>
      </c>
      <c r="E385" s="2" t="s">
        <v>29</v>
      </c>
      <c r="F385" s="1" t="s">
        <v>2</v>
      </c>
      <c r="G385" s="1" t="s">
        <v>44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1500.2019863300311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1524.65634591856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0.58486378044425513</v>
      </c>
      <c r="R385" s="1">
        <v>77</v>
      </c>
      <c r="S385" s="1">
        <v>66</v>
      </c>
      <c r="T385" s="1">
        <v>0</v>
      </c>
      <c r="U385" s="1">
        <f>Games[[#This Row],[PointsFor]]-Games[[#This Row],[PointsAgainst]]</f>
        <v>11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0.4310517253468909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71.349999999999994</v>
      </c>
      <c r="Z385" s="4">
        <f>Games[[#This Row],[K]]*Games[[#This Row],[POMult]]</f>
        <v>71.349999999999994</v>
      </c>
      <c r="AA385" s="4">
        <f>(Games[[#This Row],[Keff]]*Games[[#This Row],[MOVMult]])*(Games[[#This Row],[Result]]-Games[[#This Row],[ExpectedWin%]])</f>
        <v>12.767738856530476</v>
      </c>
      <c r="AB385" s="4">
        <f>Games[[#This Row],[PreGmRate]]+Games[[#This Row],[RatingChange]]</f>
        <v>1512.9697251865616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38582</v>
      </c>
      <c r="B386" s="2">
        <v>2005</v>
      </c>
      <c r="C386" s="2">
        <f>COUNTIFS(Games[Team],Games[[#This Row],[Team]],Games[Season],Games[[#This Row],[Season]],Games[Date],"&lt;=" &amp; Games[[#This Row],[Date]])</f>
        <v>30</v>
      </c>
      <c r="D386" s="2" t="s">
        <v>23</v>
      </c>
      <c r="E386" s="2" t="s">
        <v>29</v>
      </c>
      <c r="F386" s="1" t="s">
        <v>73</v>
      </c>
      <c r="G386" s="1" t="s">
        <v>79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6" s="2">
        <f>Games[[#This Row],[DaysOff]]-Games[[#This Row],[OppDaysOff]]</f>
        <v>-2</v>
      </c>
      <c r="L386" s="2">
        <f>Games[[#This Row],[OppDaysOff]]-Games[[#This Row],[DaysOff]]</f>
        <v>2</v>
      </c>
      <c r="M386" s="1">
        <f>MAX(-16, MIN(16, Games[[#This Row],[RestDiff]]*8))</f>
        <v>-16</v>
      </c>
      <c r="N386" s="1">
        <f>MAX(-16, MIN(16, Games[[#This Row],[OppRestDiff]]*8))</f>
        <v>16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1475.6537610162165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1521.9240209731317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0.28209310659653664</v>
      </c>
      <c r="R386" s="1">
        <v>57</v>
      </c>
      <c r="S386" s="1">
        <v>67</v>
      </c>
      <c r="T386" s="1">
        <v>0</v>
      </c>
      <c r="U386" s="1">
        <f>Games[[#This Row],[PointsFor]]-Games[[#This Row],[PointsAgainst]]</f>
        <v>-10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0.40742016841218243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71.5</v>
      </c>
      <c r="Z386" s="4">
        <f>Games[[#This Row],[K]]*Games[[#This Row],[POMult]]</f>
        <v>71.5</v>
      </c>
      <c r="AA386" s="4">
        <f>(Games[[#This Row],[Keff]]*Games[[#This Row],[MOVMult]])*(Games[[#This Row],[Result]]-Games[[#This Row],[ExpectedWin%]])</f>
        <v>-8.2175251013195822</v>
      </c>
      <c r="AB386" s="4">
        <f>Games[[#This Row],[PreGmRate]]+Games[[#This Row],[RatingChange]]</f>
        <v>1467.436235914897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38582</v>
      </c>
      <c r="B387" s="2">
        <v>2005</v>
      </c>
      <c r="C387" s="2">
        <f>COUNTIFS(Games[Team],Games[[#This Row],[Team]],Games[Season],Games[[#This Row],[Season]],Games[Date],"&lt;=" &amp; Games[[#This Row],[Date]])</f>
        <v>30</v>
      </c>
      <c r="D387" s="2" t="s">
        <v>23</v>
      </c>
      <c r="E387" s="2" t="s">
        <v>29</v>
      </c>
      <c r="F387" s="1" t="s">
        <v>79</v>
      </c>
      <c r="G387" s="1" t="s">
        <v>73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2</v>
      </c>
      <c r="L387" s="2">
        <f>Games[[#This Row],[OppDaysOff]]-Games[[#This Row],[DaysOff]]</f>
        <v>-2</v>
      </c>
      <c r="M387" s="1">
        <f>MAX(-16, MIN(16, Games[[#This Row],[RestDiff]]*8))</f>
        <v>16</v>
      </c>
      <c r="N387" s="1">
        <f>MAX(-16, MIN(16, Games[[#This Row],[OppRestDiff]]*8))</f>
        <v>-16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1521.9240209731317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1475.6537610162165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0.71790689340346336</v>
      </c>
      <c r="R387" s="1">
        <v>67</v>
      </c>
      <c r="S387" s="1">
        <v>57</v>
      </c>
      <c r="T387" s="1">
        <v>0</v>
      </c>
      <c r="U387" s="1">
        <f>Games[[#This Row],[PointsFor]]-Games[[#This Row],[PointsAgainst]]</f>
        <v>10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0.40742016841218243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71.5</v>
      </c>
      <c r="Z387" s="4">
        <f>Games[[#This Row],[K]]*Games[[#This Row],[POMult]]</f>
        <v>71.5</v>
      </c>
      <c r="AA387" s="4">
        <f>(Games[[#This Row],[Keff]]*Games[[#This Row],[MOVMult]])*(Games[[#This Row],[Result]]-Games[[#This Row],[ExpectedWin%]])</f>
        <v>8.2175251013195822</v>
      </c>
      <c r="AB387" s="4">
        <f>Games[[#This Row],[PreGmRate]]+Games[[#This Row],[RatingChange]]</f>
        <v>1530.1415460744513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38582</v>
      </c>
      <c r="B388" s="2">
        <v>2005</v>
      </c>
      <c r="C388" s="2">
        <f>COUNTIFS(Games[Team],Games[[#This Row],[Team]],Games[Season],Games[[#This Row],[Season]],Games[Date],"&lt;=" &amp; Games[[#This Row],[Date]])</f>
        <v>31</v>
      </c>
      <c r="D388" s="2" t="s">
        <v>23</v>
      </c>
      <c r="E388" s="2" t="s">
        <v>29</v>
      </c>
      <c r="F388" s="1" t="s">
        <v>84</v>
      </c>
      <c r="G388" s="1" t="s">
        <v>45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3</v>
      </c>
      <c r="L388" s="2">
        <f>Games[[#This Row],[OppDaysOff]]-Games[[#This Row],[DaysOff]]</f>
        <v>-3</v>
      </c>
      <c r="M388" s="1">
        <f>MAX(-16, MIN(16, Games[[#This Row],[RestDiff]]*8))</f>
        <v>16</v>
      </c>
      <c r="N388" s="1">
        <f>MAX(-16, MIN(16, Games[[#This Row],[OppRestDiff]]*8))</f>
        <v>-16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1341.9184896126508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1634.2360707790151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0.1211003353644985</v>
      </c>
      <c r="R388" s="1">
        <v>57</v>
      </c>
      <c r="S388" s="1">
        <v>64</v>
      </c>
      <c r="T388" s="1">
        <v>0</v>
      </c>
      <c r="U388" s="1">
        <f>Games[[#This Row],[PointsFor]]-Games[[#This Row],[PointsAgainst]]</f>
        <v>-7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0.29760998100515734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71.349999999999994</v>
      </c>
      <c r="Z388" s="4">
        <f>Games[[#This Row],[K]]*Games[[#This Row],[POMult]]</f>
        <v>71.349999999999994</v>
      </c>
      <c r="AA388" s="4">
        <f>(Games[[#This Row],[Keff]]*Games[[#This Row],[MOVMult]])*(Games[[#This Row],[Result]]-Games[[#This Row],[ExpectedWin%]])</f>
        <v>-2.5715016980134484</v>
      </c>
      <c r="AB388" s="4">
        <f>Games[[#This Row],[PreGmRate]]+Games[[#This Row],[RatingChange]]</f>
        <v>1339.3469879146373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38582</v>
      </c>
      <c r="B389" s="2">
        <v>2005</v>
      </c>
      <c r="C389" s="2">
        <f>COUNTIFS(Games[Team],Games[[#This Row],[Team]],Games[Season],Games[[#This Row],[Season]],Games[Date],"&lt;=" &amp; Games[[#This Row],[Date]])</f>
        <v>30</v>
      </c>
      <c r="D389" s="2" t="s">
        <v>23</v>
      </c>
      <c r="E389" s="2" t="s">
        <v>29</v>
      </c>
      <c r="F389" s="1" t="s">
        <v>45</v>
      </c>
      <c r="G389" s="1" t="s">
        <v>84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9" s="2">
        <f>Games[[#This Row],[DaysOff]]-Games[[#This Row],[OppDaysOff]]</f>
        <v>-3</v>
      </c>
      <c r="L389" s="2">
        <f>Games[[#This Row],[OppDaysOff]]-Games[[#This Row],[DaysOff]]</f>
        <v>3</v>
      </c>
      <c r="M389" s="1">
        <f>MAX(-16, MIN(16, Games[[#This Row],[RestDiff]]*8))</f>
        <v>-16</v>
      </c>
      <c r="N389" s="1">
        <f>MAX(-16, MIN(16, Games[[#This Row],[OppRestDiff]]*8))</f>
        <v>16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1634.2360707790151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1341.9184896126508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0.87889966463550162</v>
      </c>
      <c r="R389" s="1">
        <v>64</v>
      </c>
      <c r="S389" s="1">
        <v>57</v>
      </c>
      <c r="T389" s="1">
        <v>0</v>
      </c>
      <c r="U389" s="1">
        <f>Games[[#This Row],[PointsFor]]-Games[[#This Row],[PointsAgainst]]</f>
        <v>7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0.29760998100515734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71.5</v>
      </c>
      <c r="Z389" s="4">
        <f>Games[[#This Row],[K]]*Games[[#This Row],[POMult]]</f>
        <v>71.5</v>
      </c>
      <c r="AA389" s="4">
        <f>(Games[[#This Row],[Keff]]*Games[[#This Row],[MOVMult]])*(Games[[#This Row],[Result]]-Games[[#This Row],[ExpectedWin%]])</f>
        <v>2.5769077982895783</v>
      </c>
      <c r="AB389" s="4">
        <f>Games[[#This Row],[PreGmRate]]+Games[[#This Row],[RatingChange]]</f>
        <v>1636.8129785773046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38582</v>
      </c>
      <c r="B390" s="2">
        <v>2005</v>
      </c>
      <c r="C390" s="2">
        <f>COUNTIFS(Games[Team],Games[[#This Row],[Team]],Games[Season],Games[[#This Row],[Season]],Games[Date],"&lt;=" &amp; Games[[#This Row],[Date]])</f>
        <v>31</v>
      </c>
      <c r="D390" s="2" t="s">
        <v>23</v>
      </c>
      <c r="E390" s="2" t="s">
        <v>29</v>
      </c>
      <c r="F390" s="1" t="s">
        <v>77</v>
      </c>
      <c r="G390" s="1" t="s">
        <v>81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0" s="2">
        <f>Games[[#This Row],[DaysOff]]-Games[[#This Row],[OppDaysOff]]</f>
        <v>-2</v>
      </c>
      <c r="L390" s="2">
        <f>Games[[#This Row],[OppDaysOff]]-Games[[#This Row],[DaysOff]]</f>
        <v>2</v>
      </c>
      <c r="M390" s="1">
        <f>MAX(-16, MIN(16, Games[[#This Row],[RestDiff]]*8))</f>
        <v>-16</v>
      </c>
      <c r="N390" s="1">
        <f>MAX(-16, MIN(16, Games[[#This Row],[OppRestDiff]]*8))</f>
        <v>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1464.4097325033968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1544.5648519278789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0.24431622067601283</v>
      </c>
      <c r="R390" s="1">
        <v>60</v>
      </c>
      <c r="S390" s="1">
        <v>76</v>
      </c>
      <c r="T390" s="1">
        <v>0</v>
      </c>
      <c r="U390" s="1">
        <f>Games[[#This Row],[PointsFor]]-Games[[#This Row],[PointsAgainst]]</f>
        <v>-16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0.48536558523892859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71.349999999999994</v>
      </c>
      <c r="Z390" s="4">
        <f>Games[[#This Row],[K]]*Games[[#This Row],[POMult]]</f>
        <v>71.349999999999994</v>
      </c>
      <c r="AA390" s="4">
        <f>(Games[[#This Row],[Keff]]*Games[[#This Row],[MOVMult]])*(Games[[#This Row],[Result]]-Games[[#This Row],[ExpectedWin%]])</f>
        <v>-8.4608746055572315</v>
      </c>
      <c r="AB390" s="4">
        <f>Games[[#This Row],[PreGmRate]]+Games[[#This Row],[RatingChange]]</f>
        <v>1455.9488578978396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38582</v>
      </c>
      <c r="B391" s="2">
        <v>2005</v>
      </c>
      <c r="C391" s="2">
        <f>COUNTIFS(Games[Team],Games[[#This Row],[Team]],Games[Season],Games[[#This Row],[Season]],Games[Date],"&lt;=" &amp; Games[[#This Row],[Date]])</f>
        <v>30</v>
      </c>
      <c r="D391" s="2" t="s">
        <v>23</v>
      </c>
      <c r="E391" s="2" t="s">
        <v>29</v>
      </c>
      <c r="F391" s="1" t="s">
        <v>81</v>
      </c>
      <c r="G391" s="1" t="s">
        <v>77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1" s="2">
        <f>Games[[#This Row],[DaysOff]]-Games[[#This Row],[OppDaysOff]]</f>
        <v>2</v>
      </c>
      <c r="L391" s="2">
        <f>Games[[#This Row],[OppDaysOff]]-Games[[#This Row],[DaysOff]]</f>
        <v>-2</v>
      </c>
      <c r="M391" s="1">
        <f>MAX(-16, MIN(16, Games[[#This Row],[RestDiff]]*8))</f>
        <v>16</v>
      </c>
      <c r="N391" s="1">
        <f>MAX(-16, MIN(16, Games[[#This Row],[OppRestDiff]]*8))</f>
        <v>-16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1544.5648519278789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1464.4097325033968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0.75568377932398711</v>
      </c>
      <c r="R391" s="1">
        <v>76</v>
      </c>
      <c r="S391" s="1">
        <v>60</v>
      </c>
      <c r="T391" s="1">
        <v>0</v>
      </c>
      <c r="U391" s="1">
        <f>Games[[#This Row],[PointsFor]]-Games[[#This Row],[PointsAgainst]]</f>
        <v>16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0.48536558523892859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71.5</v>
      </c>
      <c r="Z391" s="4">
        <f>Games[[#This Row],[K]]*Games[[#This Row],[POMult]]</f>
        <v>71.5</v>
      </c>
      <c r="AA391" s="4">
        <f>(Games[[#This Row],[Keff]]*Games[[#This Row],[MOVMult]])*(Games[[#This Row],[Result]]-Games[[#This Row],[ExpectedWin%]])</f>
        <v>8.4786620083719999</v>
      </c>
      <c r="AB391" s="4">
        <f>Games[[#This Row],[PreGmRate]]+Games[[#This Row],[RatingChange]]</f>
        <v>1553.043513936251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38583</v>
      </c>
      <c r="B392" s="2">
        <v>2005</v>
      </c>
      <c r="C392" s="2">
        <f>COUNTIFS(Games[Team],Games[[#This Row],[Team]],Games[Season],Games[[#This Row],[Season]],Games[Date],"&lt;=" &amp; Games[[#This Row],[Date]])</f>
        <v>30</v>
      </c>
      <c r="D392" s="2" t="s">
        <v>23</v>
      </c>
      <c r="E392" s="2" t="s">
        <v>29</v>
      </c>
      <c r="F392" s="1" t="s">
        <v>75</v>
      </c>
      <c r="G392" s="1" t="s">
        <v>70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2" s="2">
        <f>Games[[#This Row],[DaysOff]]-Games[[#This Row],[OppDaysOff]]</f>
        <v>0</v>
      </c>
      <c r="L392" s="2">
        <f>Games[[#This Row],[OppDaysOff]]-Games[[#This Row],[DaysOff]]</f>
        <v>0</v>
      </c>
      <c r="M392" s="1">
        <f>MAX(-16, MIN(16, Games[[#This Row],[RestDiff]]*8))</f>
        <v>0</v>
      </c>
      <c r="N392" s="1">
        <f>MAX(-16, MIN(16, Games[[#This Row],[OppRestDiff]]*8))</f>
        <v>0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1483.386893773514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1483.9910243855884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0.38059570659768249</v>
      </c>
      <c r="R392" s="1">
        <v>67</v>
      </c>
      <c r="S392" s="1">
        <v>74</v>
      </c>
      <c r="T392" s="1">
        <v>0</v>
      </c>
      <c r="U392" s="1">
        <f>Games[[#This Row],[PointsFor]]-Games[[#This Row],[PointsAgainst]]</f>
        <v>-7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0.36992093868456444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71.5</v>
      </c>
      <c r="Z392" s="4">
        <f>Games[[#This Row],[K]]*Games[[#This Row],[POMult]]</f>
        <v>71.5</v>
      </c>
      <c r="AA392" s="4">
        <f>(Games[[#This Row],[Keff]]*Games[[#This Row],[MOVMult]])*(Games[[#This Row],[Result]]-Games[[#This Row],[ExpectedWin%]])</f>
        <v>-10.066507954640979</v>
      </c>
      <c r="AB392" s="4">
        <f>Games[[#This Row],[PreGmRate]]+Games[[#This Row],[RatingChange]]</f>
        <v>1473.3203858188731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38583</v>
      </c>
      <c r="B393" s="2">
        <v>2005</v>
      </c>
      <c r="C393" s="2">
        <f>COUNTIFS(Games[Team],Games[[#This Row],[Team]],Games[Season],Games[[#This Row],[Season]],Games[Date],"&lt;=" &amp; Games[[#This Row],[Date]])</f>
        <v>30</v>
      </c>
      <c r="D393" s="2" t="s">
        <v>23</v>
      </c>
      <c r="E393" s="2" t="s">
        <v>29</v>
      </c>
      <c r="F393" s="1" t="s">
        <v>70</v>
      </c>
      <c r="G393" s="1" t="s">
        <v>75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3" s="2">
        <f>Games[[#This Row],[DaysOff]]-Games[[#This Row],[OppDaysOff]]</f>
        <v>0</v>
      </c>
      <c r="L393" s="2">
        <f>Games[[#This Row],[OppDaysOff]]-Games[[#This Row],[DaysOff]]</f>
        <v>0</v>
      </c>
      <c r="M393" s="1">
        <f>MAX(-16, MIN(16, Games[[#This Row],[RestDiff]]*8))</f>
        <v>0</v>
      </c>
      <c r="N393" s="1">
        <f>MAX(-16, MIN(16, Games[[#This Row],[OppRestDiff]]*8))</f>
        <v>0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1483.9910243855884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1483.386893773514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0.61940429340231751</v>
      </c>
      <c r="R393" s="1">
        <v>74</v>
      </c>
      <c r="S393" s="1">
        <v>67</v>
      </c>
      <c r="T393" s="1">
        <v>0</v>
      </c>
      <c r="U393" s="1">
        <f>Games[[#This Row],[PointsFor]]-Games[[#This Row],[PointsAgainst]]</f>
        <v>7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0.36992093868456444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71.5</v>
      </c>
      <c r="Z393" s="4">
        <f>Games[[#This Row],[K]]*Games[[#This Row],[POMult]]</f>
        <v>71.5</v>
      </c>
      <c r="AA393" s="4">
        <f>(Games[[#This Row],[Keff]]*Games[[#This Row],[MOVMult]])*(Games[[#This Row],[Result]]-Games[[#This Row],[ExpectedWin%]])</f>
        <v>10.066507954640979</v>
      </c>
      <c r="AB393" s="4">
        <f>Games[[#This Row],[PreGmRate]]+Games[[#This Row],[RatingChange]]</f>
        <v>1494.0575323402293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38583</v>
      </c>
      <c r="B394" s="2">
        <v>2005</v>
      </c>
      <c r="C394" s="2">
        <f>COUNTIFS(Games[Team],Games[[#This Row],[Team]],Games[Season],Games[[#This Row],[Season]],Games[Date],"&lt;=" &amp; Games[[#This Row],[Date]])</f>
        <v>32</v>
      </c>
      <c r="D394" s="2" t="s">
        <v>23</v>
      </c>
      <c r="E394" s="2" t="s">
        <v>29</v>
      </c>
      <c r="F394" s="1" t="s">
        <v>84</v>
      </c>
      <c r="G394" s="1" t="s">
        <v>44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1339.3469879146373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1511.8349235069215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0.18596222005004137</v>
      </c>
      <c r="R394" s="1">
        <v>57</v>
      </c>
      <c r="S394" s="1">
        <v>91</v>
      </c>
      <c r="T394" s="1">
        <v>0</v>
      </c>
      <c r="U394" s="1">
        <f>Games[[#This Row],[PointsFor]]-Games[[#This Row],[PointsAgainst]]</f>
        <v>-34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0.65634204912287042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71.2</v>
      </c>
      <c r="Z394" s="4">
        <f>Games[[#This Row],[K]]*Games[[#This Row],[POMult]]</f>
        <v>71.2</v>
      </c>
      <c r="AA394" s="4">
        <f>(Games[[#This Row],[Keff]]*Games[[#This Row],[MOVMult]])*(Games[[#This Row],[Result]]-Games[[#This Row],[ExpectedWin%]])</f>
        <v>-8.6903035091762586</v>
      </c>
      <c r="AB394" s="4">
        <f>Games[[#This Row],[PreGmRate]]+Games[[#This Row],[RatingChange]]</f>
        <v>1330.6566844054612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38583</v>
      </c>
      <c r="B395" s="2">
        <v>2005</v>
      </c>
      <c r="C395" s="2">
        <f>COUNTIFS(Games[Team],Games[[#This Row],[Team]],Games[Season],Games[[#This Row],[Season]],Games[Date],"&lt;=" &amp; Games[[#This Row],[Date]])</f>
        <v>30</v>
      </c>
      <c r="D395" s="2" t="s">
        <v>23</v>
      </c>
      <c r="E395" s="2" t="s">
        <v>29</v>
      </c>
      <c r="F395" s="1" t="s">
        <v>44</v>
      </c>
      <c r="G395" s="1" t="s">
        <v>84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1511.8349235069215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1339.3469879146373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0.81403777994995863</v>
      </c>
      <c r="R395" s="1">
        <v>91</v>
      </c>
      <c r="S395" s="1">
        <v>57</v>
      </c>
      <c r="T395" s="1">
        <v>0</v>
      </c>
      <c r="U395" s="1">
        <f>Games[[#This Row],[PointsFor]]-Games[[#This Row],[PointsAgainst]]</f>
        <v>34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0.65634204912287042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71.5</v>
      </c>
      <c r="Z395" s="4">
        <f>Games[[#This Row],[K]]*Games[[#This Row],[POMult]]</f>
        <v>71.5</v>
      </c>
      <c r="AA395" s="4">
        <f>(Games[[#This Row],[Keff]]*Games[[#This Row],[MOVMult]])*(Games[[#This Row],[Result]]-Games[[#This Row],[ExpectedWin%]])</f>
        <v>8.726919956546384</v>
      </c>
      <c r="AB395" s="4">
        <f>Games[[#This Row],[PreGmRate]]+Games[[#This Row],[RatingChange]]</f>
        <v>1520.561843463468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38584</v>
      </c>
      <c r="B396" s="2">
        <v>2005</v>
      </c>
      <c r="C396" s="2">
        <f>COUNTIFS(Games[Team],Games[[#This Row],[Team]],Games[Season],Games[[#This Row],[Season]],Games[Date],"&lt;=" &amp; Games[[#This Row],[Date]])</f>
        <v>31</v>
      </c>
      <c r="D396" s="2" t="s">
        <v>23</v>
      </c>
      <c r="E396" s="2" t="s">
        <v>29</v>
      </c>
      <c r="F396" s="1" t="s">
        <v>66</v>
      </c>
      <c r="G396" s="1" t="s">
        <v>86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2</v>
      </c>
      <c r="L396" s="2">
        <f>Games[[#This Row],[OppDaysOff]]-Games[[#This Row],[DaysOff]]</f>
        <v>-2</v>
      </c>
      <c r="M396" s="1">
        <f>MAX(-16, MIN(16, Games[[#This Row],[RestDiff]]*8))</f>
        <v>16</v>
      </c>
      <c r="N396" s="1">
        <f>MAX(-16, MIN(16, Games[[#This Row],[OppRestDiff]]*8))</f>
        <v>-16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1553.3333717472585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1675.5595245706327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0.26836645408820159</v>
      </c>
      <c r="R396" s="1">
        <v>64</v>
      </c>
      <c r="S396" s="1">
        <v>58</v>
      </c>
      <c r="T396" s="1">
        <v>0</v>
      </c>
      <c r="U396" s="1">
        <f>Games[[#This Row],[PointsFor]]-Games[[#This Row],[PointsAgainst]]</f>
        <v>6</v>
      </c>
      <c r="V396" s="1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0.31880848250435406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71.349999999999994</v>
      </c>
      <c r="Z396" s="4">
        <f>Games[[#This Row],[K]]*Games[[#This Row],[POMult]]</f>
        <v>71.349999999999994</v>
      </c>
      <c r="AA396" s="4">
        <f>(Games[[#This Row],[Keff]]*Games[[#This Row],[MOVMult]])*(Games[[#This Row],[Result]]-Games[[#This Row],[ExpectedWin%]])</f>
        <v>16.642457460203321</v>
      </c>
      <c r="AB396" s="4">
        <f>Games[[#This Row],[PreGmRate]]+Games[[#This Row],[RatingChange]]</f>
        <v>1569.9758292074619</v>
      </c>
      <c r="AC396" s="2">
        <f>IF(Games[[#This Row],[Type]]="R",IF(Games[[#This Row],[Result]]&gt;0.5,1,0),0)</f>
        <v>1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38584</v>
      </c>
      <c r="B397" s="2">
        <v>2005</v>
      </c>
      <c r="C397" s="2">
        <f>COUNTIFS(Games[Team],Games[[#This Row],[Team]],Games[Season],Games[[#This Row],[Season]],Games[Date],"&lt;=" &amp; Games[[#This Row],[Date]])</f>
        <v>31</v>
      </c>
      <c r="D397" s="2" t="s">
        <v>23</v>
      </c>
      <c r="E397" s="2" t="s">
        <v>29</v>
      </c>
      <c r="F397" s="1" t="s">
        <v>86</v>
      </c>
      <c r="G397" s="1" t="s">
        <v>66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7" s="2">
        <f>Games[[#This Row],[DaysOff]]-Games[[#This Row],[OppDaysOff]]</f>
        <v>-2</v>
      </c>
      <c r="L397" s="2">
        <f>Games[[#This Row],[OppDaysOff]]-Games[[#This Row],[DaysOff]]</f>
        <v>2</v>
      </c>
      <c r="M397" s="1">
        <f>MAX(-16, MIN(16, Games[[#This Row],[RestDiff]]*8))</f>
        <v>-16</v>
      </c>
      <c r="N397" s="1">
        <f>MAX(-16, MIN(16, Games[[#This Row],[OppRestDiff]]*8))</f>
        <v>16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1675.5595245706327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1553.3333717472585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0.73163354591179852</v>
      </c>
      <c r="R397" s="1">
        <v>58</v>
      </c>
      <c r="S397" s="1">
        <v>64</v>
      </c>
      <c r="T397" s="1">
        <v>0</v>
      </c>
      <c r="U397" s="1">
        <f>Games[[#This Row],[PointsFor]]-Games[[#This Row],[PointsAgainst]]</f>
        <v>-6</v>
      </c>
      <c r="V397" s="1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0.31880848250435406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71.349999999999994</v>
      </c>
      <c r="Z397" s="4">
        <f>Games[[#This Row],[K]]*Games[[#This Row],[POMult]]</f>
        <v>71.349999999999994</v>
      </c>
      <c r="AA397" s="4">
        <f>(Games[[#This Row],[Keff]]*Games[[#This Row],[MOVMult]])*(Games[[#This Row],[Result]]-Games[[#This Row],[ExpectedWin%]])</f>
        <v>-16.642457460203325</v>
      </c>
      <c r="AB397" s="4">
        <f>Games[[#This Row],[PreGmRate]]+Games[[#This Row],[RatingChange]]</f>
        <v>1658.9170671104293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1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38584</v>
      </c>
      <c r="B398" s="2">
        <v>2005</v>
      </c>
      <c r="C398" s="2">
        <f>COUNTIFS(Games[Team],Games[[#This Row],[Team]],Games[Season],Games[[#This Row],[Season]],Games[Date],"&lt;=" &amp; Games[[#This Row],[Date]])</f>
        <v>31</v>
      </c>
      <c r="D398" s="2" t="s">
        <v>23</v>
      </c>
      <c r="E398" s="2" t="s">
        <v>29</v>
      </c>
      <c r="F398" s="1" t="s">
        <v>64</v>
      </c>
      <c r="G398" s="1" t="s">
        <v>79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1306.167975070658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1530.1415460744513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0.1451897031853355</v>
      </c>
      <c r="R398" s="1">
        <v>53</v>
      </c>
      <c r="S398" s="1">
        <v>62</v>
      </c>
      <c r="T398" s="1">
        <v>0</v>
      </c>
      <c r="U398" s="1">
        <f>Games[[#This Row],[PointsFor]]-Games[[#This Row],[PointsAgainst]]</f>
        <v>-9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0.34211718707200195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71.349999999999994</v>
      </c>
      <c r="Z398" s="4">
        <f>Games[[#This Row],[K]]*Games[[#This Row],[POMult]]</f>
        <v>71.349999999999994</v>
      </c>
      <c r="AA398" s="4">
        <f>(Games[[#This Row],[Keff]]*Games[[#This Row],[MOVMult]])*(Games[[#This Row],[Result]]-Games[[#This Row],[ExpectedWin%]])</f>
        <v>-3.544089554532551</v>
      </c>
      <c r="AB398" s="4">
        <f>Games[[#This Row],[PreGmRate]]+Games[[#This Row],[RatingChange]]</f>
        <v>1302.6238855161255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38584</v>
      </c>
      <c r="B399" s="2">
        <v>2005</v>
      </c>
      <c r="C399" s="2">
        <f>COUNTIFS(Games[Team],Games[[#This Row],[Team]],Games[Season],Games[[#This Row],[Season]],Games[Date],"&lt;=" &amp; Games[[#This Row],[Date]])</f>
        <v>31</v>
      </c>
      <c r="D399" s="2" t="s">
        <v>23</v>
      </c>
      <c r="E399" s="2" t="s">
        <v>29</v>
      </c>
      <c r="F399" s="1" t="s">
        <v>79</v>
      </c>
      <c r="G399" s="1" t="s">
        <v>64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1530.1415460744513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1306.167975070658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0.85481029681466447</v>
      </c>
      <c r="R399" s="1">
        <v>62</v>
      </c>
      <c r="S399" s="1">
        <v>53</v>
      </c>
      <c r="T399" s="1">
        <v>0</v>
      </c>
      <c r="U399" s="1">
        <f>Games[[#This Row],[PointsFor]]-Games[[#This Row],[PointsAgainst]]</f>
        <v>9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0.34211718707200195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71.349999999999994</v>
      </c>
      <c r="Z399" s="4">
        <f>Games[[#This Row],[K]]*Games[[#This Row],[POMult]]</f>
        <v>71.349999999999994</v>
      </c>
      <c r="AA399" s="4">
        <f>(Games[[#This Row],[Keff]]*Games[[#This Row],[MOVMult]])*(Games[[#This Row],[Result]]-Games[[#This Row],[ExpectedWin%]])</f>
        <v>3.5440895545325515</v>
      </c>
      <c r="AB399" s="4">
        <f>Games[[#This Row],[PreGmRate]]+Games[[#This Row],[RatingChange]]</f>
        <v>1533.6856356289838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38584</v>
      </c>
      <c r="B400" s="2">
        <v>2005</v>
      </c>
      <c r="C400" s="2">
        <f>COUNTIFS(Games[Team],Games[[#This Row],[Team]],Games[Season],Games[[#This Row],[Season]],Games[Date],"&lt;=" &amp; Games[[#This Row],[Date]])</f>
        <v>31</v>
      </c>
      <c r="D400" s="2" t="s">
        <v>23</v>
      </c>
      <c r="E400" s="2" t="s">
        <v>29</v>
      </c>
      <c r="F400" s="1" t="s">
        <v>81</v>
      </c>
      <c r="G400" s="1" t="s">
        <v>45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1553.043513936251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1636.8129785773046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0.27572669575667358</v>
      </c>
      <c r="R400" s="1">
        <v>65</v>
      </c>
      <c r="S400" s="1">
        <v>75</v>
      </c>
      <c r="T400" s="1">
        <v>0</v>
      </c>
      <c r="U400" s="1">
        <f>Games[[#This Row],[PointsFor]]-Games[[#This Row],[PointsAgainst]]</f>
        <v>-10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0.39551933052147409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71.349999999999994</v>
      </c>
      <c r="Z400" s="4">
        <f>Games[[#This Row],[K]]*Games[[#This Row],[POMult]]</f>
        <v>71.349999999999994</v>
      </c>
      <c r="AA400" s="4">
        <f>(Games[[#This Row],[Keff]]*Games[[#This Row],[MOVMult]])*(Games[[#This Row],[Result]]-Games[[#This Row],[ExpectedWin%]])</f>
        <v>-7.7810912393324188</v>
      </c>
      <c r="AB400" s="4">
        <f>Games[[#This Row],[PreGmRate]]+Games[[#This Row],[RatingChange]]</f>
        <v>1545.2624226969185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38584</v>
      </c>
      <c r="B401" s="2">
        <v>2005</v>
      </c>
      <c r="C401" s="2">
        <f>COUNTIFS(Games[Team],Games[[#This Row],[Team]],Games[Season],Games[[#This Row],[Season]],Games[Date],"&lt;=" &amp; Games[[#This Row],[Date]])</f>
        <v>31</v>
      </c>
      <c r="D401" s="2" t="s">
        <v>23</v>
      </c>
      <c r="E401" s="2" t="s">
        <v>29</v>
      </c>
      <c r="F401" s="1" t="s">
        <v>45</v>
      </c>
      <c r="G401" s="1" t="s">
        <v>81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1636.8129785773046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1553.043513936251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0.72427330424332648</v>
      </c>
      <c r="R401" s="1">
        <v>75</v>
      </c>
      <c r="S401" s="1">
        <v>65</v>
      </c>
      <c r="T401" s="1">
        <v>0</v>
      </c>
      <c r="U401" s="1">
        <f>Games[[#This Row],[PointsFor]]-Games[[#This Row],[PointsAgainst]]</f>
        <v>10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0.39551933052147409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71.349999999999994</v>
      </c>
      <c r="Z401" s="4">
        <f>Games[[#This Row],[K]]*Games[[#This Row],[POMult]]</f>
        <v>71.349999999999994</v>
      </c>
      <c r="AA401" s="4">
        <f>(Games[[#This Row],[Keff]]*Games[[#This Row],[MOVMult]])*(Games[[#This Row],[Result]]-Games[[#This Row],[ExpectedWin%]])</f>
        <v>7.781091239332417</v>
      </c>
      <c r="AB401" s="4">
        <f>Games[[#This Row],[PreGmRate]]+Games[[#This Row],[RatingChange]]</f>
        <v>1644.5940698166371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38585</v>
      </c>
      <c r="B402" s="2">
        <v>2005</v>
      </c>
      <c r="C402" s="2">
        <f>COUNTIFS(Games[Team],Games[[#This Row],[Team]],Games[Season],Games[[#This Row],[Season]],Games[Date],"&lt;=" &amp; Games[[#This Row],[Date]])</f>
        <v>31</v>
      </c>
      <c r="D402" s="2" t="s">
        <v>23</v>
      </c>
      <c r="E402" s="2" t="s">
        <v>29</v>
      </c>
      <c r="F402" s="1" t="s">
        <v>73</v>
      </c>
      <c r="G402" s="1" t="s">
        <v>75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1</v>
      </c>
      <c r="L402" s="2">
        <f>Games[[#This Row],[OppDaysOff]]-Games[[#This Row],[DaysOff]]</f>
        <v>-1</v>
      </c>
      <c r="M402" s="1">
        <f>MAX(-16, MIN(16, Games[[#This Row],[RestDiff]]*8))</f>
        <v>8</v>
      </c>
      <c r="N402" s="1">
        <f>MAX(-16, MIN(16, Games[[#This Row],[OppRestDiff]]*8))</f>
        <v>-8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1467.436235914897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1473.3203858188731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0.39524649059427536</v>
      </c>
      <c r="R402" s="1">
        <v>52</v>
      </c>
      <c r="S402" s="1">
        <v>66</v>
      </c>
      <c r="T402" s="1">
        <v>0</v>
      </c>
      <c r="U402" s="1">
        <f>Games[[#This Row],[PointsFor]]-Games[[#This Row],[PointsAgainst]]</f>
        <v>-14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0.48522880434867233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71.349999999999994</v>
      </c>
      <c r="Z402" s="4">
        <f>Games[[#This Row],[K]]*Games[[#This Row],[POMult]]</f>
        <v>71.349999999999994</v>
      </c>
      <c r="AA402" s="4">
        <f>(Games[[#This Row],[Keff]]*Games[[#This Row],[MOVMult]])*(Games[[#This Row],[Result]]-Games[[#This Row],[ExpectedWin%]])</f>
        <v>-13.683858469557821</v>
      </c>
      <c r="AB402" s="4">
        <f>Games[[#This Row],[PreGmRate]]+Games[[#This Row],[RatingChange]]</f>
        <v>1453.7523774453391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38585</v>
      </c>
      <c r="B403" s="2">
        <v>2005</v>
      </c>
      <c r="C403" s="2">
        <f>COUNTIFS(Games[Team],Games[[#This Row],[Team]],Games[Season],Games[[#This Row],[Season]],Games[Date],"&lt;=" &amp; Games[[#This Row],[Date]])</f>
        <v>31</v>
      </c>
      <c r="D403" s="2" t="s">
        <v>23</v>
      </c>
      <c r="E403" s="2" t="s">
        <v>29</v>
      </c>
      <c r="F403" s="1" t="s">
        <v>75</v>
      </c>
      <c r="G403" s="1" t="s">
        <v>73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3" s="2">
        <f>Games[[#This Row],[DaysOff]]-Games[[#This Row],[OppDaysOff]]</f>
        <v>-1</v>
      </c>
      <c r="L403" s="2">
        <f>Games[[#This Row],[OppDaysOff]]-Games[[#This Row],[DaysOff]]</f>
        <v>1</v>
      </c>
      <c r="M403" s="1">
        <f>MAX(-16, MIN(16, Games[[#This Row],[RestDiff]]*8))</f>
        <v>-8</v>
      </c>
      <c r="N403" s="1">
        <f>MAX(-16, MIN(16, Games[[#This Row],[OppRestDiff]]*8))</f>
        <v>8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1473.3203858188731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1467.436235914897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0.60475350940572459</v>
      </c>
      <c r="R403" s="1">
        <v>66</v>
      </c>
      <c r="S403" s="1">
        <v>52</v>
      </c>
      <c r="T403" s="1">
        <v>0</v>
      </c>
      <c r="U403" s="1">
        <f>Games[[#This Row],[PointsFor]]-Games[[#This Row],[PointsAgainst]]</f>
        <v>14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0.48522880434867233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71.349999999999994</v>
      </c>
      <c r="Z403" s="4">
        <f>Games[[#This Row],[K]]*Games[[#This Row],[POMult]]</f>
        <v>71.349999999999994</v>
      </c>
      <c r="AA403" s="4">
        <f>(Games[[#This Row],[Keff]]*Games[[#This Row],[MOVMult]])*(Games[[#This Row],[Result]]-Games[[#This Row],[ExpectedWin%]])</f>
        <v>13.683858469557823</v>
      </c>
      <c r="AB403" s="4">
        <f>Games[[#This Row],[PreGmRate]]+Games[[#This Row],[RatingChange]]</f>
        <v>1487.004244288431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38585</v>
      </c>
      <c r="B404" s="2">
        <v>2005</v>
      </c>
      <c r="C404" s="2">
        <f>COUNTIFS(Games[Team],Games[[#This Row],[Team]],Games[Season],Games[[#This Row],[Season]],Games[Date],"&lt;=" &amp; Games[[#This Row],[Date]])</f>
        <v>32</v>
      </c>
      <c r="D404" s="2" t="s">
        <v>23</v>
      </c>
      <c r="E404" s="2" t="s">
        <v>29</v>
      </c>
      <c r="F404" s="1" t="s">
        <v>2</v>
      </c>
      <c r="G404" s="1" t="s">
        <v>70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1</v>
      </c>
      <c r="L404" s="2">
        <f>Games[[#This Row],[OppDaysOff]]-Games[[#This Row],[DaysOff]]</f>
        <v>-1</v>
      </c>
      <c r="M404" s="1">
        <f>MAX(-16, MIN(16, Games[[#This Row],[RestDiff]]*8))</f>
        <v>8</v>
      </c>
      <c r="N404" s="1">
        <f>MAX(-16, MIN(16, Games[[#This Row],[OppRestDiff]]*8))</f>
        <v>-8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1512.9697251865616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1494.0575323402293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0.42982329663975771</v>
      </c>
      <c r="R404" s="1">
        <v>50</v>
      </c>
      <c r="S404" s="1">
        <v>55</v>
      </c>
      <c r="T404" s="1">
        <v>0</v>
      </c>
      <c r="U404" s="1">
        <f>Games[[#This Row],[PointsFor]]-Games[[#This Row],[PointsAgainst]]</f>
        <v>-5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0.32660857188068709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71.2</v>
      </c>
      <c r="Z404" s="4">
        <f>Games[[#This Row],[K]]*Games[[#This Row],[POMult]]</f>
        <v>71.2</v>
      </c>
      <c r="AA404" s="4">
        <f>(Games[[#This Row],[Keff]]*Games[[#This Row],[MOVMult]])*(Games[[#This Row],[Result]]-Games[[#This Row],[ExpectedWin%]])</f>
        <v>-9.9953388830510868</v>
      </c>
      <c r="AB404" s="4">
        <f>Games[[#This Row],[PreGmRate]]+Games[[#This Row],[RatingChange]]</f>
        <v>1502.9743863035105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38585</v>
      </c>
      <c r="B405" s="2">
        <v>2005</v>
      </c>
      <c r="C405" s="2">
        <f>COUNTIFS(Games[Team],Games[[#This Row],[Team]],Games[Season],Games[[#This Row],[Season]],Games[Date],"&lt;=" &amp; Games[[#This Row],[Date]])</f>
        <v>31</v>
      </c>
      <c r="D405" s="2" t="s">
        <v>23</v>
      </c>
      <c r="E405" s="2" t="s">
        <v>29</v>
      </c>
      <c r="F405" s="1" t="s">
        <v>70</v>
      </c>
      <c r="G405" s="1" t="s">
        <v>2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5" s="2">
        <f>Games[[#This Row],[DaysOff]]-Games[[#This Row],[OppDaysOff]]</f>
        <v>-1</v>
      </c>
      <c r="L405" s="2">
        <f>Games[[#This Row],[OppDaysOff]]-Games[[#This Row],[DaysOff]]</f>
        <v>1</v>
      </c>
      <c r="M405" s="1">
        <f>MAX(-16, MIN(16, Games[[#This Row],[RestDiff]]*8))</f>
        <v>-8</v>
      </c>
      <c r="N405" s="1">
        <f>MAX(-16, MIN(16, Games[[#This Row],[OppRestDiff]]*8))</f>
        <v>8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1494.0575323402293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1512.9697251865616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0.57017670336024229</v>
      </c>
      <c r="R405" s="1">
        <v>55</v>
      </c>
      <c r="S405" s="1">
        <v>50</v>
      </c>
      <c r="T405" s="1">
        <v>0</v>
      </c>
      <c r="U405" s="1">
        <f>Games[[#This Row],[PointsFor]]-Games[[#This Row],[PointsAgainst]]</f>
        <v>5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0.32660857188068709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71.349999999999994</v>
      </c>
      <c r="Z405" s="4">
        <f>Games[[#This Row],[K]]*Games[[#This Row],[POMult]]</f>
        <v>71.349999999999994</v>
      </c>
      <c r="AA405" s="4">
        <f>(Games[[#This Row],[Keff]]*Games[[#This Row],[MOVMult]])*(Games[[#This Row],[Result]]-Games[[#This Row],[ExpectedWin%]])</f>
        <v>10.01639647901257</v>
      </c>
      <c r="AB405" s="4">
        <f>Games[[#This Row],[PreGmRate]]+Games[[#This Row],[RatingChange]]</f>
        <v>1504.0739288192419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38585</v>
      </c>
      <c r="B406" s="2">
        <v>2005</v>
      </c>
      <c r="C406" s="2">
        <f>COUNTIFS(Games[Team],Games[[#This Row],[Team]],Games[Season],Games[[#This Row],[Season]],Games[Date],"&lt;=" &amp; Games[[#This Row],[Date]])</f>
        <v>32</v>
      </c>
      <c r="D406" s="2" t="s">
        <v>23</v>
      </c>
      <c r="E406" s="2" t="s">
        <v>29</v>
      </c>
      <c r="F406" s="1" t="s">
        <v>77</v>
      </c>
      <c r="G406" s="1" t="s">
        <v>44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1</v>
      </c>
      <c r="L406" s="2">
        <f>Games[[#This Row],[OppDaysOff]]-Games[[#This Row],[DaysOff]]</f>
        <v>-1</v>
      </c>
      <c r="M406" s="1">
        <f>MAX(-16, MIN(16, Games[[#This Row],[RestDiff]]*8))</f>
        <v>8</v>
      </c>
      <c r="N406" s="1">
        <f>MAX(-16, MIN(16, Games[[#This Row],[OppRestDiff]]*8))</f>
        <v>-8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1455.9488578978396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1520.561843463468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0.31791251123191228</v>
      </c>
      <c r="R406" s="1">
        <v>69</v>
      </c>
      <c r="S406" s="1">
        <v>83</v>
      </c>
      <c r="T406" s="1">
        <v>0</v>
      </c>
      <c r="U406" s="1">
        <f>Games[[#This Row],[PointsFor]]-Games[[#This Row],[PointsAgainst]]</f>
        <v>-14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0.46269469863082913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71.2</v>
      </c>
      <c r="Z406" s="4">
        <f>Games[[#This Row],[K]]*Games[[#This Row],[POMult]]</f>
        <v>71.2</v>
      </c>
      <c r="AA406" s="4">
        <f>(Games[[#This Row],[Keff]]*Games[[#This Row],[MOVMult]])*(Games[[#This Row],[Result]]-Games[[#This Row],[ExpectedWin%]])</f>
        <v>-10.473266070569885</v>
      </c>
      <c r="AB406" s="4">
        <f>Games[[#This Row],[PreGmRate]]+Games[[#This Row],[RatingChange]]</f>
        <v>1445.4755918272697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38585</v>
      </c>
      <c r="B407" s="2">
        <v>2005</v>
      </c>
      <c r="C407" s="2">
        <f>COUNTIFS(Games[Team],Games[[#This Row],[Team]],Games[Season],Games[[#This Row],[Season]],Games[Date],"&lt;=" &amp; Games[[#This Row],[Date]])</f>
        <v>31</v>
      </c>
      <c r="D407" s="2" t="s">
        <v>23</v>
      </c>
      <c r="E407" s="2" t="s">
        <v>29</v>
      </c>
      <c r="F407" s="1" t="s">
        <v>44</v>
      </c>
      <c r="G407" s="1" t="s">
        <v>77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7" s="2">
        <f>Games[[#This Row],[DaysOff]]-Games[[#This Row],[OppDaysOff]]</f>
        <v>-1</v>
      </c>
      <c r="L407" s="2">
        <f>Games[[#This Row],[OppDaysOff]]-Games[[#This Row],[DaysOff]]</f>
        <v>1</v>
      </c>
      <c r="M407" s="1">
        <f>MAX(-16, MIN(16, Games[[#This Row],[RestDiff]]*8))</f>
        <v>-8</v>
      </c>
      <c r="N407" s="1">
        <f>MAX(-16, MIN(16, Games[[#This Row],[OppRestDiff]]*8))</f>
        <v>8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1520.561843463468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1455.9488578978396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0.68208748876808778</v>
      </c>
      <c r="R407" s="1">
        <v>83</v>
      </c>
      <c r="S407" s="1">
        <v>69</v>
      </c>
      <c r="T407" s="1">
        <v>0</v>
      </c>
      <c r="U407" s="1">
        <f>Games[[#This Row],[PointsFor]]-Games[[#This Row],[PointsAgainst]]</f>
        <v>14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0.46269469863082913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71.349999999999994</v>
      </c>
      <c r="Z407" s="4">
        <f>Games[[#This Row],[K]]*Games[[#This Row],[POMult]]</f>
        <v>71.349999999999994</v>
      </c>
      <c r="AA407" s="4">
        <f>(Games[[#This Row],[Keff]]*Games[[#This Row],[MOVMult]])*(Games[[#This Row],[Result]]-Games[[#This Row],[ExpectedWin%]])</f>
        <v>10.495330535606195</v>
      </c>
      <c r="AB407" s="4">
        <f>Games[[#This Row],[PreGmRate]]+Games[[#This Row],[RatingChange]]</f>
        <v>1531.0571739990742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38587</v>
      </c>
      <c r="B408" s="2">
        <v>2005</v>
      </c>
      <c r="C408" s="2">
        <f>COUNTIFS(Games[Team],Games[[#This Row],[Team]],Games[Season],Games[[#This Row],[Season]],Games[Date],"&lt;=" &amp; Games[[#This Row],[Date]])</f>
        <v>32</v>
      </c>
      <c r="D408" s="2" t="s">
        <v>23</v>
      </c>
      <c r="E408" s="2" t="s">
        <v>29</v>
      </c>
      <c r="F408" s="1" t="s">
        <v>75</v>
      </c>
      <c r="G408" s="1" t="s">
        <v>64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8" s="2">
        <f>Games[[#This Row],[DaysOff]]-Games[[#This Row],[OppDaysOff]]</f>
        <v>-1</v>
      </c>
      <c r="L408" s="2">
        <f>Games[[#This Row],[OppDaysOff]]-Games[[#This Row],[DaysOff]]</f>
        <v>1</v>
      </c>
      <c r="M408" s="1">
        <f>MAX(-16, MIN(16, Games[[#This Row],[RestDiff]]*8))</f>
        <v>-8</v>
      </c>
      <c r="N408" s="1">
        <f>MAX(-16, MIN(16, Games[[#This Row],[OppRestDiff]]*8))</f>
        <v>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1487.004244288431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1302.6238855161255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0.61910057859264944</v>
      </c>
      <c r="R408" s="1">
        <v>49</v>
      </c>
      <c r="S408" s="1">
        <v>56</v>
      </c>
      <c r="T408" s="1">
        <v>0</v>
      </c>
      <c r="U408" s="1">
        <f>Games[[#This Row],[PointsFor]]-Games[[#This Row],[PointsAgainst]]</f>
        <v>-7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0.32081400474248678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71.2</v>
      </c>
      <c r="Z408" s="4">
        <f>Games[[#This Row],[K]]*Games[[#This Row],[POMult]]</f>
        <v>71.2</v>
      </c>
      <c r="AA408" s="4">
        <f>(Games[[#This Row],[Keff]]*Games[[#This Row],[MOVMult]])*(Games[[#This Row],[Result]]-Games[[#This Row],[ExpectedWin%]])</f>
        <v>-14.141468880116937</v>
      </c>
      <c r="AB408" s="4">
        <f>Games[[#This Row],[PreGmRate]]+Games[[#This Row],[RatingChange]]</f>
        <v>1472.8627754083141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38587</v>
      </c>
      <c r="B409" s="2">
        <v>2005</v>
      </c>
      <c r="C409" s="2">
        <f>COUNTIFS(Games[Team],Games[[#This Row],[Team]],Games[Season],Games[[#This Row],[Season]],Games[Date],"&lt;=" &amp; Games[[#This Row],[Date]])</f>
        <v>32</v>
      </c>
      <c r="D409" s="2" t="s">
        <v>23</v>
      </c>
      <c r="E409" s="2" t="s">
        <v>29</v>
      </c>
      <c r="F409" s="1" t="s">
        <v>64</v>
      </c>
      <c r="G409" s="1" t="s">
        <v>75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1</v>
      </c>
      <c r="L409" s="2">
        <f>Games[[#This Row],[OppDaysOff]]-Games[[#This Row],[DaysOff]]</f>
        <v>-1</v>
      </c>
      <c r="M409" s="1">
        <f>MAX(-16, MIN(16, Games[[#This Row],[RestDiff]]*8))</f>
        <v>8</v>
      </c>
      <c r="N409" s="1">
        <f>MAX(-16, MIN(16, Games[[#This Row],[OppRestDiff]]*8))</f>
        <v>-8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1302.6238855161255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1487.004244288431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0.38089942140735045</v>
      </c>
      <c r="R409" s="1">
        <v>56</v>
      </c>
      <c r="S409" s="1">
        <v>49</v>
      </c>
      <c r="T409" s="1">
        <v>0</v>
      </c>
      <c r="U409" s="1">
        <f>Games[[#This Row],[PointsFor]]-Games[[#This Row],[PointsAgainst]]</f>
        <v>7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0.32081400474248678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71.2</v>
      </c>
      <c r="Z409" s="4">
        <f>Games[[#This Row],[K]]*Games[[#This Row],[POMult]]</f>
        <v>71.2</v>
      </c>
      <c r="AA409" s="4">
        <f>(Games[[#This Row],[Keff]]*Games[[#This Row],[MOVMult]])*(Games[[#This Row],[Result]]-Games[[#This Row],[ExpectedWin%]])</f>
        <v>14.141468880116939</v>
      </c>
      <c r="AB409" s="4">
        <f>Games[[#This Row],[PreGmRate]]+Games[[#This Row],[RatingChange]]</f>
        <v>1316.7653543962424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38587</v>
      </c>
      <c r="B410" s="2">
        <v>2005</v>
      </c>
      <c r="C410" s="2">
        <f>COUNTIFS(Games[Team],Games[[#This Row],[Team]],Games[Season],Games[[#This Row],[Season]],Games[Date],"&lt;=" &amp; Games[[#This Row],[Date]])</f>
        <v>32</v>
      </c>
      <c r="D410" s="2" t="s">
        <v>23</v>
      </c>
      <c r="E410" s="2" t="s">
        <v>29</v>
      </c>
      <c r="F410" s="1" t="s">
        <v>79</v>
      </c>
      <c r="G410" s="1" t="s">
        <v>86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1533.6856356289838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1658.9170671104293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0.230687560392041</v>
      </c>
      <c r="R410" s="1">
        <v>69</v>
      </c>
      <c r="S410" s="1">
        <v>63</v>
      </c>
      <c r="T410" s="1">
        <v>0</v>
      </c>
      <c r="U410" s="1">
        <f>Games[[#This Row],[PointsFor]]-Games[[#This Row],[PointsAgainst]]</f>
        <v>6</v>
      </c>
      <c r="V410" s="1">
        <f>IF(Games[[#This Row],[MOV]]&gt;0,1,IF(Games[[#This Row],[MOV]]=0,0.5,0))</f>
        <v>1</v>
      </c>
      <c r="W410" s="4">
        <f>((ABS(Games[[#This Row],[MOV]])+5)^0.6)/(12+0.01*(ABS(Games[[#This Row],[PreGmRate]]-Games[[#This Row],[OppPreGmRate]])))*IF(Games[[#This Row],[OT]]=1,0.9,1)</f>
        <v>0.31808550815759301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71.2</v>
      </c>
      <c r="Z410" s="4">
        <f>Games[[#This Row],[K]]*Games[[#This Row],[POMult]]</f>
        <v>71.2</v>
      </c>
      <c r="AA410" s="4">
        <f>(Games[[#This Row],[Keff]]*Games[[#This Row],[MOVMult]])*(Games[[#This Row],[Result]]-Games[[#This Row],[ExpectedWin%]])</f>
        <v>17.423148245867452</v>
      </c>
      <c r="AB410" s="4">
        <f>Games[[#This Row],[PreGmRate]]+Games[[#This Row],[RatingChange]]</f>
        <v>1551.1087838748513</v>
      </c>
      <c r="AC410" s="2">
        <f>IF(Games[[#This Row],[Type]]="R",IF(Games[[#This Row],[Result]]&gt;0.5,1,0),0)</f>
        <v>1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38587</v>
      </c>
      <c r="B411" s="2">
        <v>2005</v>
      </c>
      <c r="C411" s="2">
        <f>COUNTIFS(Games[Team],Games[[#This Row],[Team]],Games[Season],Games[[#This Row],[Season]],Games[Date],"&lt;=" &amp; Games[[#This Row],[Date]])</f>
        <v>32</v>
      </c>
      <c r="D411" s="2" t="s">
        <v>23</v>
      </c>
      <c r="E411" s="2" t="s">
        <v>29</v>
      </c>
      <c r="F411" s="1" t="s">
        <v>86</v>
      </c>
      <c r="G411" s="1" t="s">
        <v>79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1658.9170671104293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1533.6856356289838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0.76931243960795914</v>
      </c>
      <c r="R411" s="1">
        <v>63</v>
      </c>
      <c r="S411" s="1">
        <v>69</v>
      </c>
      <c r="T411" s="1">
        <v>0</v>
      </c>
      <c r="U411" s="1">
        <f>Games[[#This Row],[PointsFor]]-Games[[#This Row],[PointsAgainst]]</f>
        <v>-6</v>
      </c>
      <c r="V411" s="1">
        <f>IF(Games[[#This Row],[MOV]]&gt;0,1,IF(Games[[#This Row],[MOV]]=0,0.5,0))</f>
        <v>0</v>
      </c>
      <c r="W411" s="4">
        <f>((ABS(Games[[#This Row],[MOV]])+5)^0.6)/(12+0.01*(ABS(Games[[#This Row],[PreGmRate]]-Games[[#This Row],[OppPreGmRate]])))*IF(Games[[#This Row],[OT]]=1,0.9,1)</f>
        <v>0.31808550815759301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71.2</v>
      </c>
      <c r="Z411" s="4">
        <f>Games[[#This Row],[K]]*Games[[#This Row],[POMult]]</f>
        <v>71.2</v>
      </c>
      <c r="AA411" s="4">
        <f>(Games[[#This Row],[Keff]]*Games[[#This Row],[MOVMult]])*(Games[[#This Row],[Result]]-Games[[#This Row],[ExpectedWin%]])</f>
        <v>-17.423148245867456</v>
      </c>
      <c r="AB411" s="4">
        <f>Games[[#This Row],[PreGmRate]]+Games[[#This Row],[RatingChange]]</f>
        <v>1641.4939188645619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1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38587</v>
      </c>
      <c r="B412" s="2">
        <v>2005</v>
      </c>
      <c r="C412" s="2">
        <f>COUNTIFS(Games[Team],Games[[#This Row],[Team]],Games[Season],Games[[#This Row],[Season]],Games[Date],"&lt;=" &amp; Games[[#This Row],[Date]])</f>
        <v>33</v>
      </c>
      <c r="D412" s="2" t="s">
        <v>23</v>
      </c>
      <c r="E412" s="2" t="s">
        <v>29</v>
      </c>
      <c r="F412" s="1" t="s">
        <v>77</v>
      </c>
      <c r="G412" s="1" t="s">
        <v>70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1445.4755918272697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1504.0739288192419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0.30558070918454971</v>
      </c>
      <c r="R412" s="1">
        <v>63</v>
      </c>
      <c r="S412" s="1">
        <v>74</v>
      </c>
      <c r="T412" s="1">
        <v>0</v>
      </c>
      <c r="U412" s="1">
        <f>Games[[#This Row],[PointsFor]]-Games[[#This Row],[PointsAgainst]]</f>
        <v>-11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0.41935790696386738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71.05</v>
      </c>
      <c r="Z412" s="4">
        <f>Games[[#This Row],[K]]*Games[[#This Row],[POMult]]</f>
        <v>71.05</v>
      </c>
      <c r="AA412" s="4">
        <f>(Games[[#This Row],[Keff]]*Games[[#This Row],[MOVMult]])*(Games[[#This Row],[Result]]-Games[[#This Row],[ExpectedWin%]])</f>
        <v>-9.1048931337944659</v>
      </c>
      <c r="AB412" s="4">
        <f>Games[[#This Row],[PreGmRate]]+Games[[#This Row],[RatingChange]]</f>
        <v>1436.3706986934751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1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38587</v>
      </c>
      <c r="B413" s="2">
        <v>2005</v>
      </c>
      <c r="C413" s="2">
        <f>COUNTIFS(Games[Team],Games[[#This Row],[Team]],Games[Season],Games[[#This Row],[Season]],Games[Date],"&lt;=" &amp; Games[[#This Row],[Date]])</f>
        <v>32</v>
      </c>
      <c r="D413" s="2" t="s">
        <v>23</v>
      </c>
      <c r="E413" s="2" t="s">
        <v>29</v>
      </c>
      <c r="F413" s="1" t="s">
        <v>70</v>
      </c>
      <c r="G413" s="1" t="s">
        <v>77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1504.0739288192419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1445.4755918272697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0.69441929081545029</v>
      </c>
      <c r="R413" s="1">
        <v>74</v>
      </c>
      <c r="S413" s="1">
        <v>63</v>
      </c>
      <c r="T413" s="1">
        <v>0</v>
      </c>
      <c r="U413" s="1">
        <f>Games[[#This Row],[PointsFor]]-Games[[#This Row],[PointsAgainst]]</f>
        <v>11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0.41935790696386738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71.2</v>
      </c>
      <c r="Z413" s="4">
        <f>Games[[#This Row],[K]]*Games[[#This Row],[POMult]]</f>
        <v>71.2</v>
      </c>
      <c r="AA413" s="4">
        <f>(Games[[#This Row],[Keff]]*Games[[#This Row],[MOVMult]])*(Games[[#This Row],[Result]]-Games[[#This Row],[ExpectedWin%]])</f>
        <v>9.1241152867862922</v>
      </c>
      <c r="AB413" s="4">
        <f>Games[[#This Row],[PreGmRate]]+Games[[#This Row],[RatingChange]]</f>
        <v>1513.1980441060282</v>
      </c>
      <c r="AC413" s="2">
        <f>IF(Games[[#This Row],[Type]]="R",IF(Games[[#This Row],[Result]]&gt;0.5,1,0),0)</f>
        <v>1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38587</v>
      </c>
      <c r="B414" s="2">
        <v>2005</v>
      </c>
      <c r="C414" s="2">
        <f>COUNTIFS(Games[Team],Games[[#This Row],[Team]],Games[Season],Games[[#This Row],[Season]],Games[Date],"&lt;=" &amp; Games[[#This Row],[Date]])</f>
        <v>32</v>
      </c>
      <c r="D414" s="2" t="s">
        <v>23</v>
      </c>
      <c r="E414" s="2" t="s">
        <v>29</v>
      </c>
      <c r="F414" s="1" t="s">
        <v>44</v>
      </c>
      <c r="G414" s="1" t="s">
        <v>45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4" s="2">
        <f>Games[[#This Row],[DaysOff]]-Games[[#This Row],[OppDaysOff]]</f>
        <v>-1</v>
      </c>
      <c r="L414" s="2">
        <f>Games[[#This Row],[OppDaysOff]]-Games[[#This Row],[DaysOff]]</f>
        <v>1</v>
      </c>
      <c r="M414" s="1">
        <f>MAX(-16, MIN(16, Games[[#This Row],[RestDiff]]*8))</f>
        <v>-8</v>
      </c>
      <c r="N414" s="1">
        <f>MAX(-16, MIN(16, Games[[#This Row],[OppRestDiff]]*8))</f>
        <v>8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1531.0571739990742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1644.5940698166371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0.22631846641977305</v>
      </c>
      <c r="R414" s="1">
        <v>70</v>
      </c>
      <c r="S414" s="1">
        <v>76</v>
      </c>
      <c r="T414" s="1">
        <v>0</v>
      </c>
      <c r="U414" s="1">
        <f>Games[[#This Row],[PointsFor]]-Games[[#This Row],[PointsAgainst]]</f>
        <v>-6</v>
      </c>
      <c r="V414" s="1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0.3209174516919982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71.2</v>
      </c>
      <c r="Z414" s="4">
        <f>Games[[#This Row],[K]]*Games[[#This Row],[POMult]]</f>
        <v>71.2</v>
      </c>
      <c r="AA414" s="4">
        <f>(Games[[#This Row],[Keff]]*Games[[#This Row],[MOVMult]])*(Games[[#This Row],[Result]]-Games[[#This Row],[ExpectedWin%]])</f>
        <v>-5.1712236406163541</v>
      </c>
      <c r="AB414" s="4">
        <f>Games[[#This Row],[PreGmRate]]+Games[[#This Row],[RatingChange]]</f>
        <v>1525.8859503584579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1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38587</v>
      </c>
      <c r="B415" s="2">
        <v>2005</v>
      </c>
      <c r="C415" s="2">
        <f>COUNTIFS(Games[Team],Games[[#This Row],[Team]],Games[Season],Games[[#This Row],[Season]],Games[Date],"&lt;=" &amp; Games[[#This Row],[Date]])</f>
        <v>32</v>
      </c>
      <c r="D415" s="2" t="s">
        <v>23</v>
      </c>
      <c r="E415" s="2" t="s">
        <v>29</v>
      </c>
      <c r="F415" s="1" t="s">
        <v>45</v>
      </c>
      <c r="G415" s="1" t="s">
        <v>44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5" s="2">
        <f>Games[[#This Row],[DaysOff]]-Games[[#This Row],[OppDaysOff]]</f>
        <v>1</v>
      </c>
      <c r="L415" s="2">
        <f>Games[[#This Row],[OppDaysOff]]-Games[[#This Row],[DaysOff]]</f>
        <v>-1</v>
      </c>
      <c r="M415" s="1">
        <f>MAX(-16, MIN(16, Games[[#This Row],[RestDiff]]*8))</f>
        <v>8</v>
      </c>
      <c r="N415" s="1">
        <f>MAX(-16, MIN(16, Games[[#This Row],[OppRestDiff]]*8))</f>
        <v>-8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1644.5940698166371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1531.0571739990742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0.77368153358022695</v>
      </c>
      <c r="R415" s="1">
        <v>76</v>
      </c>
      <c r="S415" s="1">
        <v>70</v>
      </c>
      <c r="T415" s="1">
        <v>0</v>
      </c>
      <c r="U415" s="1">
        <f>Games[[#This Row],[PointsFor]]-Games[[#This Row],[PointsAgainst]]</f>
        <v>6</v>
      </c>
      <c r="V415" s="1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0.3209174516919982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71.2</v>
      </c>
      <c r="Z415" s="4">
        <f>Games[[#This Row],[K]]*Games[[#This Row],[POMult]]</f>
        <v>71.2</v>
      </c>
      <c r="AA415" s="4">
        <f>(Games[[#This Row],[Keff]]*Games[[#This Row],[MOVMult]])*(Games[[#This Row],[Result]]-Games[[#This Row],[ExpectedWin%]])</f>
        <v>5.1712236406163541</v>
      </c>
      <c r="AB415" s="4">
        <f>Games[[#This Row],[PreGmRate]]+Games[[#This Row],[RatingChange]]</f>
        <v>1649.7652934572534</v>
      </c>
      <c r="AC415" s="2">
        <f>IF(Games[[#This Row],[Type]]="R",IF(Games[[#This Row],[Result]]&gt;0.5,1,0),0)</f>
        <v>1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38587</v>
      </c>
      <c r="B416" s="2">
        <v>2005</v>
      </c>
      <c r="C416" s="2">
        <f>COUNTIFS(Games[Team],Games[[#This Row],[Team]],Games[Season],Games[[#This Row],[Season]],Games[Date],"&lt;=" &amp; Games[[#This Row],[Date]])</f>
        <v>32</v>
      </c>
      <c r="D416" s="2" t="s">
        <v>23</v>
      </c>
      <c r="E416" s="2" t="s">
        <v>29</v>
      </c>
      <c r="F416" s="1" t="s">
        <v>81</v>
      </c>
      <c r="G416" s="1" t="s">
        <v>84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6" s="2">
        <f>Games[[#This Row],[DaysOff]]-Games[[#This Row],[OppDaysOff]]</f>
        <v>-1</v>
      </c>
      <c r="L416" s="2">
        <f>Games[[#This Row],[OppDaysOff]]-Games[[#This Row],[DaysOff]]</f>
        <v>1</v>
      </c>
      <c r="M416" s="1">
        <f>MAX(-16, MIN(16, Games[[#This Row],[RestDiff]]*8))</f>
        <v>-8</v>
      </c>
      <c r="N416" s="1">
        <f>MAX(-16, MIN(16, Games[[#This Row],[OppRestDiff]]*8))</f>
        <v>8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1545.2624226969185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1330.6566844054612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0.65919831008725316</v>
      </c>
      <c r="R416" s="1">
        <v>78</v>
      </c>
      <c r="S416" s="1">
        <v>51</v>
      </c>
      <c r="T416" s="1">
        <v>0</v>
      </c>
      <c r="U416" s="1">
        <f>Games[[#This Row],[PointsFor]]-Games[[#This Row],[PointsAgainst]]</f>
        <v>27</v>
      </c>
      <c r="V416" s="1">
        <f>IF(Games[[#This Row],[MOV]]&gt;0,1,IF(Games[[#This Row],[MOV]]=0,0.5,0))</f>
        <v>1</v>
      </c>
      <c r="W416" s="4">
        <f>((ABS(Games[[#This Row],[MOV]])+5)^0.6)/(12+0.01*(ABS(Games[[#This Row],[PreGmRate]]-Games[[#This Row],[OppPreGmRate]])))*IF(Games[[#This Row],[OT]]=1,0.9,1)</f>
        <v>0.56552859807159384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71.2</v>
      </c>
      <c r="Z416" s="4">
        <f>Games[[#This Row],[K]]*Games[[#This Row],[POMult]]</f>
        <v>71.2</v>
      </c>
      <c r="AA416" s="4">
        <f>(Games[[#This Row],[Keff]]*Games[[#This Row],[MOVMult]])*(Games[[#This Row],[Result]]-Games[[#This Row],[ExpectedWin%]])</f>
        <v>13.722596856475148</v>
      </c>
      <c r="AB416" s="4">
        <f>Games[[#This Row],[PreGmRate]]+Games[[#This Row],[RatingChange]]</f>
        <v>1558.9850195533936</v>
      </c>
      <c r="AC416" s="2">
        <f>IF(Games[[#This Row],[Type]]="R",IF(Games[[#This Row],[Result]]&gt;0.5,1,0),0)</f>
        <v>1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38587</v>
      </c>
      <c r="B417" s="2">
        <v>2005</v>
      </c>
      <c r="C417" s="2">
        <f>COUNTIFS(Games[Team],Games[[#This Row],[Team]],Games[Season],Games[[#This Row],[Season]],Games[Date],"&lt;=" &amp; Games[[#This Row],[Date]])</f>
        <v>33</v>
      </c>
      <c r="D417" s="2" t="s">
        <v>23</v>
      </c>
      <c r="E417" s="2" t="s">
        <v>29</v>
      </c>
      <c r="F417" s="1" t="s">
        <v>84</v>
      </c>
      <c r="G417" s="1" t="s">
        <v>81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7" s="2">
        <f>Games[[#This Row],[DaysOff]]-Games[[#This Row],[OppDaysOff]]</f>
        <v>1</v>
      </c>
      <c r="L417" s="2">
        <f>Games[[#This Row],[OppDaysOff]]-Games[[#This Row],[DaysOff]]</f>
        <v>-1</v>
      </c>
      <c r="M417" s="1">
        <f>MAX(-16, MIN(16, Games[[#This Row],[RestDiff]]*8))</f>
        <v>8</v>
      </c>
      <c r="N417" s="1">
        <f>MAX(-16, MIN(16, Games[[#This Row],[OppRestDiff]]*8))</f>
        <v>-8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1330.6566844054612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1545.2624226969185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0.34080168991274679</v>
      </c>
      <c r="R417" s="1">
        <v>51</v>
      </c>
      <c r="S417" s="1">
        <v>78</v>
      </c>
      <c r="T417" s="1">
        <v>0</v>
      </c>
      <c r="U417" s="1">
        <f>Games[[#This Row],[PointsFor]]-Games[[#This Row],[PointsAgainst]]</f>
        <v>-27</v>
      </c>
      <c r="V417" s="1">
        <f>IF(Games[[#This Row],[MOV]]&gt;0,1,IF(Games[[#This Row],[MOV]]=0,0.5,0))</f>
        <v>0</v>
      </c>
      <c r="W417" s="4">
        <f>((ABS(Games[[#This Row],[MOV]])+5)^0.6)/(12+0.01*(ABS(Games[[#This Row],[PreGmRate]]-Games[[#This Row],[OppPreGmRate]])))*IF(Games[[#This Row],[OT]]=1,0.9,1)</f>
        <v>0.56552859807159384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71.05</v>
      </c>
      <c r="Z417" s="4">
        <f>Games[[#This Row],[K]]*Games[[#This Row],[POMult]]</f>
        <v>71.05</v>
      </c>
      <c r="AA417" s="4">
        <f>(Games[[#This Row],[Keff]]*Games[[#This Row],[MOVMult]])*(Games[[#This Row],[Result]]-Games[[#This Row],[ExpectedWin%]])</f>
        <v>-13.693686891187625</v>
      </c>
      <c r="AB417" s="4">
        <f>Games[[#This Row],[PreGmRate]]+Games[[#This Row],[RatingChange]]</f>
        <v>1316.9629975142736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1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38587</v>
      </c>
      <c r="B418" s="2">
        <v>2005</v>
      </c>
      <c r="C418" s="2">
        <f>COUNTIFS(Games[Team],Games[[#This Row],[Team]],Games[Season],Games[[#This Row],[Season]],Games[Date],"&lt;=" &amp; Games[[#This Row],[Date]])</f>
        <v>32</v>
      </c>
      <c r="D418" s="2" t="s">
        <v>23</v>
      </c>
      <c r="E418" s="2" t="s">
        <v>29</v>
      </c>
      <c r="F418" s="1" t="s">
        <v>66</v>
      </c>
      <c r="G418" s="1" t="s">
        <v>73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1</v>
      </c>
      <c r="L418" s="2">
        <f>Games[[#This Row],[OppDaysOff]]-Games[[#This Row],[DaysOff]]</f>
        <v>-1</v>
      </c>
      <c r="M418" s="1">
        <f>MAX(-16, MIN(16, Games[[#This Row],[RestDiff]]*8))</f>
        <v>8</v>
      </c>
      <c r="N418" s="1">
        <f>MAX(-16, MIN(16, Games[[#This Row],[OppRestDiff]]*8))</f>
        <v>-8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1569.9758292074619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1453.7523774453391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0.56895687637594061</v>
      </c>
      <c r="R418" s="1">
        <v>69</v>
      </c>
      <c r="S418" s="1">
        <v>82</v>
      </c>
      <c r="T418" s="1">
        <v>1</v>
      </c>
      <c r="U418" s="1">
        <f>Games[[#This Row],[PointsFor]]-Games[[#This Row],[PointsAgainst]]</f>
        <v>-13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0.38732576555806802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71.2</v>
      </c>
      <c r="Z418" s="4">
        <f>Games[[#This Row],[K]]*Games[[#This Row],[POMult]]</f>
        <v>71.2</v>
      </c>
      <c r="AA418" s="4">
        <f>(Games[[#This Row],[Keff]]*Games[[#This Row],[MOVMult]])*(Games[[#This Row],[Result]]-Games[[#This Row],[ExpectedWin%]])</f>
        <v>-15.690462029082886</v>
      </c>
      <c r="AB418" s="4">
        <f>Games[[#This Row],[PreGmRate]]+Games[[#This Row],[RatingChange]]</f>
        <v>1554.2853671783789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38587</v>
      </c>
      <c r="B419" s="2">
        <v>2005</v>
      </c>
      <c r="C419" s="2">
        <f>COUNTIFS(Games[Team],Games[[#This Row],[Team]],Games[Season],Games[[#This Row],[Season]],Games[Date],"&lt;=" &amp; Games[[#This Row],[Date]])</f>
        <v>32</v>
      </c>
      <c r="D419" s="2" t="s">
        <v>23</v>
      </c>
      <c r="E419" s="2" t="s">
        <v>29</v>
      </c>
      <c r="F419" s="1" t="s">
        <v>73</v>
      </c>
      <c r="G419" s="1" t="s">
        <v>66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9" s="2">
        <f>Games[[#This Row],[DaysOff]]-Games[[#This Row],[OppDaysOff]]</f>
        <v>-1</v>
      </c>
      <c r="L419" s="2">
        <f>Games[[#This Row],[OppDaysOff]]-Games[[#This Row],[DaysOff]]</f>
        <v>1</v>
      </c>
      <c r="M419" s="1">
        <f>MAX(-16, MIN(16, Games[[#This Row],[RestDiff]]*8))</f>
        <v>-8</v>
      </c>
      <c r="N419" s="1">
        <f>MAX(-16, MIN(16, Games[[#This Row],[OppRestDiff]]*8))</f>
        <v>8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1453.7523774453391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1569.9758292074619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0.4310431236240595</v>
      </c>
      <c r="R419" s="1">
        <v>82</v>
      </c>
      <c r="S419" s="1">
        <v>69</v>
      </c>
      <c r="T419" s="1">
        <v>1</v>
      </c>
      <c r="U419" s="1">
        <f>Games[[#This Row],[PointsFor]]-Games[[#This Row],[PointsAgainst]]</f>
        <v>13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0.38732576555806802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71.2</v>
      </c>
      <c r="Z419" s="4">
        <f>Games[[#This Row],[K]]*Games[[#This Row],[POMult]]</f>
        <v>71.2</v>
      </c>
      <c r="AA419" s="4">
        <f>(Games[[#This Row],[Keff]]*Games[[#This Row],[MOVMult]])*(Games[[#This Row],[Result]]-Games[[#This Row],[ExpectedWin%]])</f>
        <v>15.690462029082884</v>
      </c>
      <c r="AB419" s="4">
        <f>Games[[#This Row],[PreGmRate]]+Games[[#This Row],[RatingChange]]</f>
        <v>1469.442839474422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38589</v>
      </c>
      <c r="B420" s="2">
        <v>2005</v>
      </c>
      <c r="C420" s="2">
        <f>COUNTIFS(Games[Team],Games[[#This Row],[Team]],Games[Season],Games[[#This Row],[Season]],Games[Date],"&lt;=" &amp; Games[[#This Row],[Date]])</f>
        <v>33</v>
      </c>
      <c r="D420" s="2" t="s">
        <v>23</v>
      </c>
      <c r="E420" s="2" t="s">
        <v>29</v>
      </c>
      <c r="F420" s="1" t="s">
        <v>79</v>
      </c>
      <c r="G420" s="1" t="s">
        <v>75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1551.1087838748513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1472.8627754083141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0.49172009752619295</v>
      </c>
      <c r="R420" s="1">
        <v>40</v>
      </c>
      <c r="S420" s="1">
        <v>55</v>
      </c>
      <c r="T420" s="1">
        <v>0</v>
      </c>
      <c r="U420" s="1">
        <f>Games[[#This Row],[PointsFor]]-Games[[#This Row],[PointsAgainst]]</f>
        <v>-15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0.47206690234723536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71.05</v>
      </c>
      <c r="Z420" s="4">
        <f>Games[[#This Row],[K]]*Games[[#This Row],[POMult]]</f>
        <v>71.05</v>
      </c>
      <c r="AA420" s="4">
        <f>(Games[[#This Row],[Keff]]*Games[[#This Row],[MOVMult]])*(Games[[#This Row],[Result]]-Games[[#This Row],[ExpectedWin%]])</f>
        <v>-16.492465850699048</v>
      </c>
      <c r="AB420" s="4">
        <f>Games[[#This Row],[PreGmRate]]+Games[[#This Row],[RatingChange]]</f>
        <v>1534.6163180241522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38589</v>
      </c>
      <c r="B421" s="2">
        <v>2005</v>
      </c>
      <c r="C421" s="2">
        <f>COUNTIFS(Games[Team],Games[[#This Row],[Team]],Games[Season],Games[[#This Row],[Season]],Games[Date],"&lt;=" &amp; Games[[#This Row],[Date]])</f>
        <v>33</v>
      </c>
      <c r="D421" s="2" t="s">
        <v>23</v>
      </c>
      <c r="E421" s="2" t="s">
        <v>29</v>
      </c>
      <c r="F421" s="1" t="s">
        <v>75</v>
      </c>
      <c r="G421" s="1" t="s">
        <v>79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1472.8627754083141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1551.1087838748513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0.50827990247380694</v>
      </c>
      <c r="R421" s="1">
        <v>55</v>
      </c>
      <c r="S421" s="1">
        <v>40</v>
      </c>
      <c r="T421" s="1">
        <v>0</v>
      </c>
      <c r="U421" s="1">
        <f>Games[[#This Row],[PointsFor]]-Games[[#This Row],[PointsAgainst]]</f>
        <v>15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0.47206690234723536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71.05</v>
      </c>
      <c r="Z421" s="4">
        <f>Games[[#This Row],[K]]*Games[[#This Row],[POMult]]</f>
        <v>71.05</v>
      </c>
      <c r="AA421" s="4">
        <f>(Games[[#This Row],[Keff]]*Games[[#This Row],[MOVMult]])*(Games[[#This Row],[Result]]-Games[[#This Row],[ExpectedWin%]])</f>
        <v>16.492465850699052</v>
      </c>
      <c r="AB421" s="4">
        <f>Games[[#This Row],[PreGmRate]]+Games[[#This Row],[RatingChange]]</f>
        <v>1489.3552412590132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38589</v>
      </c>
      <c r="B422" s="2">
        <v>2005</v>
      </c>
      <c r="C422" s="2">
        <f>COUNTIFS(Games[Team],Games[[#This Row],[Team]],Games[Season],Games[[#This Row],[Season]],Games[Date],"&lt;=" &amp; Games[[#This Row],[Date]])</f>
        <v>33</v>
      </c>
      <c r="D422" s="2" t="s">
        <v>23</v>
      </c>
      <c r="E422" s="2" t="s">
        <v>29</v>
      </c>
      <c r="F422" s="1" t="s">
        <v>64</v>
      </c>
      <c r="G422" s="1" t="s">
        <v>66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1316.7653543962424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1554.2853671783789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0.13577688640869176</v>
      </c>
      <c r="R422" s="1">
        <v>78</v>
      </c>
      <c r="S422" s="1">
        <v>66</v>
      </c>
      <c r="T422" s="1">
        <v>0</v>
      </c>
      <c r="U422" s="1">
        <f>Games[[#This Row],[PointsFor]]-Games[[#This Row],[PointsAgainst]]</f>
        <v>12</v>
      </c>
      <c r="V422" s="1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0.38076362542773401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71.05</v>
      </c>
      <c r="Z422" s="4">
        <f>Games[[#This Row],[K]]*Games[[#This Row],[POMult]]</f>
        <v>71.05</v>
      </c>
      <c r="AA422" s="4">
        <f>(Games[[#This Row],[Keff]]*Games[[#This Row],[MOVMult]])*(Games[[#This Row],[Result]]-Games[[#This Row],[ExpectedWin%]])</f>
        <v>23.380048775867905</v>
      </c>
      <c r="AB422" s="4">
        <f>Games[[#This Row],[PreGmRate]]+Games[[#This Row],[RatingChange]]</f>
        <v>1340.1454031721103</v>
      </c>
      <c r="AC422" s="2">
        <f>IF(Games[[#This Row],[Type]]="R",IF(Games[[#This Row],[Result]]&gt;0.5,1,0),0)</f>
        <v>1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38589</v>
      </c>
      <c r="B423" s="2">
        <v>2005</v>
      </c>
      <c r="C423" s="2">
        <f>COUNTIFS(Games[Team],Games[[#This Row],[Team]],Games[Season],Games[[#This Row],[Season]],Games[Date],"&lt;=" &amp; Games[[#This Row],[Date]])</f>
        <v>33</v>
      </c>
      <c r="D423" s="2" t="s">
        <v>23</v>
      </c>
      <c r="E423" s="2" t="s">
        <v>29</v>
      </c>
      <c r="F423" s="1" t="s">
        <v>66</v>
      </c>
      <c r="G423" s="1" t="s">
        <v>64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1554.2853671783789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1316.7653543962424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0.86422311359130832</v>
      </c>
      <c r="R423" s="1">
        <v>66</v>
      </c>
      <c r="S423" s="1">
        <v>78</v>
      </c>
      <c r="T423" s="1">
        <v>0</v>
      </c>
      <c r="U423" s="1">
        <f>Games[[#This Row],[PointsFor]]-Games[[#This Row],[PointsAgainst]]</f>
        <v>-12</v>
      </c>
      <c r="V423" s="1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0.38076362542773401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71.05</v>
      </c>
      <c r="Z423" s="4">
        <f>Games[[#This Row],[K]]*Games[[#This Row],[POMult]]</f>
        <v>71.05</v>
      </c>
      <c r="AA423" s="4">
        <f>(Games[[#This Row],[Keff]]*Games[[#This Row],[MOVMult]])*(Games[[#This Row],[Result]]-Games[[#This Row],[ExpectedWin%]])</f>
        <v>-23.380048775867909</v>
      </c>
      <c r="AB423" s="4">
        <f>Games[[#This Row],[PreGmRate]]+Games[[#This Row],[RatingChange]]</f>
        <v>1530.9053184025111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1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38589</v>
      </c>
      <c r="B424" s="2">
        <v>2005</v>
      </c>
      <c r="C424" s="2">
        <f>COUNTIFS(Games[Team],Games[[#This Row],[Team]],Games[Season],Games[[#This Row],[Season]],Games[Date],"&lt;=" &amp; Games[[#This Row],[Date]])</f>
        <v>33</v>
      </c>
      <c r="D424" s="2" t="s">
        <v>23</v>
      </c>
      <c r="E424" s="2" t="s">
        <v>29</v>
      </c>
      <c r="F424" s="1" t="s">
        <v>2</v>
      </c>
      <c r="G424" s="1" t="s">
        <v>44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2</v>
      </c>
      <c r="L424" s="2">
        <f>Games[[#This Row],[OppDaysOff]]-Games[[#This Row],[DaysOff]]</f>
        <v>-2</v>
      </c>
      <c r="M424" s="1">
        <f>MAX(-16, MIN(16, Games[[#This Row],[RestDiff]]*8))</f>
        <v>16</v>
      </c>
      <c r="N424" s="1">
        <f>MAX(-16, MIN(16, Games[[#This Row],[OppRestDiff]]*8))</f>
        <v>-16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1502.9743863035105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1525.8859503584579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0.39383370123466255</v>
      </c>
      <c r="R424" s="1">
        <v>80</v>
      </c>
      <c r="S424" s="1">
        <v>72</v>
      </c>
      <c r="T424" s="1">
        <v>0</v>
      </c>
      <c r="U424" s="1">
        <f>Games[[#This Row],[PointsFor]]-Games[[#This Row],[PointsAgainst]]</f>
        <v>8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0.38104034314509877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71.05</v>
      </c>
      <c r="Z424" s="4">
        <f>Games[[#This Row],[K]]*Games[[#This Row],[POMult]]</f>
        <v>71.05</v>
      </c>
      <c r="AA424" s="4">
        <f>(Games[[#This Row],[Keff]]*Games[[#This Row],[MOVMult]])*(Games[[#This Row],[Result]]-Games[[#This Row],[ExpectedWin%]])</f>
        <v>16.410689519126468</v>
      </c>
      <c r="AB424" s="4">
        <f>Games[[#This Row],[PreGmRate]]+Games[[#This Row],[RatingChange]]</f>
        <v>1519.385075822637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38589</v>
      </c>
      <c r="B425" s="2">
        <v>2005</v>
      </c>
      <c r="C425" s="2">
        <f>COUNTIFS(Games[Team],Games[[#This Row],[Team]],Games[Season],Games[[#This Row],[Season]],Games[Date],"&lt;=" &amp; Games[[#This Row],[Date]])</f>
        <v>33</v>
      </c>
      <c r="D425" s="2" t="s">
        <v>23</v>
      </c>
      <c r="E425" s="2" t="s">
        <v>29</v>
      </c>
      <c r="F425" s="1" t="s">
        <v>44</v>
      </c>
      <c r="G425" s="1" t="s">
        <v>2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5" s="2">
        <f>Games[[#This Row],[DaysOff]]-Games[[#This Row],[OppDaysOff]]</f>
        <v>-2</v>
      </c>
      <c r="L425" s="2">
        <f>Games[[#This Row],[OppDaysOff]]-Games[[#This Row],[DaysOff]]</f>
        <v>2</v>
      </c>
      <c r="M425" s="1">
        <f>MAX(-16, MIN(16, Games[[#This Row],[RestDiff]]*8))</f>
        <v>-16</v>
      </c>
      <c r="N425" s="1">
        <f>MAX(-16, MIN(16, Games[[#This Row],[OppRestDiff]]*8))</f>
        <v>16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1525.8859503584579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1502.9743863035105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0.60616629876533745</v>
      </c>
      <c r="R425" s="1">
        <v>72</v>
      </c>
      <c r="S425" s="1">
        <v>80</v>
      </c>
      <c r="T425" s="1">
        <v>0</v>
      </c>
      <c r="U425" s="1">
        <f>Games[[#This Row],[PointsFor]]-Games[[#This Row],[PointsAgainst]]</f>
        <v>-8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0.38104034314509877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71.05</v>
      </c>
      <c r="Z425" s="4">
        <f>Games[[#This Row],[K]]*Games[[#This Row],[POMult]]</f>
        <v>71.05</v>
      </c>
      <c r="AA425" s="4">
        <f>(Games[[#This Row],[Keff]]*Games[[#This Row],[MOVMult]])*(Games[[#This Row],[Result]]-Games[[#This Row],[ExpectedWin%]])</f>
        <v>-16.410689519126468</v>
      </c>
      <c r="AB425" s="4">
        <f>Games[[#This Row],[PreGmRate]]+Games[[#This Row],[RatingChange]]</f>
        <v>1509.4752608393314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38589</v>
      </c>
      <c r="B426" s="2">
        <v>2005</v>
      </c>
      <c r="C426" s="2">
        <f>COUNTIFS(Games[Team],Games[[#This Row],[Team]],Games[Season],Games[[#This Row],[Season]],Games[Date],"&lt;=" &amp; Games[[#This Row],[Date]])</f>
        <v>33</v>
      </c>
      <c r="D426" s="2" t="s">
        <v>23</v>
      </c>
      <c r="E426" s="2" t="s">
        <v>29</v>
      </c>
      <c r="F426" s="1" t="s">
        <v>45</v>
      </c>
      <c r="G426" s="1" t="s">
        <v>81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1649.7652934572534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1558.9850195533936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0.50975635999548807</v>
      </c>
      <c r="R426" s="1">
        <v>63</v>
      </c>
      <c r="S426" s="1">
        <v>76</v>
      </c>
      <c r="T426" s="1">
        <v>0</v>
      </c>
      <c r="U426" s="1">
        <f>Games[[#This Row],[PointsFor]]-Games[[#This Row],[PointsAgainst]]</f>
        <v>-13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0.43884502903329287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71.05</v>
      </c>
      <c r="Z426" s="4">
        <f>Games[[#This Row],[K]]*Games[[#This Row],[POMult]]</f>
        <v>71.05</v>
      </c>
      <c r="AA426" s="4">
        <f>(Games[[#This Row],[Keff]]*Games[[#This Row],[MOVMult]])*(Games[[#This Row],[Result]]-Games[[#This Row],[ExpectedWin%]])</f>
        <v>-15.894172368981026</v>
      </c>
      <c r="AB426" s="4">
        <f>Games[[#This Row],[PreGmRate]]+Games[[#This Row],[RatingChange]]</f>
        <v>1633.8711210882723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1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38589</v>
      </c>
      <c r="B427" s="2">
        <v>2005</v>
      </c>
      <c r="C427" s="2">
        <f>COUNTIFS(Games[Team],Games[[#This Row],[Team]],Games[Season],Games[[#This Row],[Season]],Games[Date],"&lt;=" &amp; Games[[#This Row],[Date]])</f>
        <v>33</v>
      </c>
      <c r="D427" s="2" t="s">
        <v>23</v>
      </c>
      <c r="E427" s="2" t="s">
        <v>29</v>
      </c>
      <c r="F427" s="1" t="s">
        <v>81</v>
      </c>
      <c r="G427" s="1" t="s">
        <v>45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1558.9850195533936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1649.7652934572534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0.49024364000451204</v>
      </c>
      <c r="R427" s="1">
        <v>76</v>
      </c>
      <c r="S427" s="1">
        <v>63</v>
      </c>
      <c r="T427" s="1">
        <v>0</v>
      </c>
      <c r="U427" s="1">
        <f>Games[[#This Row],[PointsFor]]-Games[[#This Row],[PointsAgainst]]</f>
        <v>13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0.43884502903329287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71.05</v>
      </c>
      <c r="Z427" s="4">
        <f>Games[[#This Row],[K]]*Games[[#This Row],[POMult]]</f>
        <v>71.05</v>
      </c>
      <c r="AA427" s="4">
        <f>(Games[[#This Row],[Keff]]*Games[[#This Row],[MOVMult]])*(Games[[#This Row],[Result]]-Games[[#This Row],[ExpectedWin%]])</f>
        <v>15.894172368981023</v>
      </c>
      <c r="AB427" s="4">
        <f>Games[[#This Row],[PreGmRate]]+Games[[#This Row],[RatingChange]]</f>
        <v>1574.8791919223747</v>
      </c>
      <c r="AC427" s="2">
        <f>IF(Games[[#This Row],[Type]]="R",IF(Games[[#This Row],[Result]]&gt;0.5,1,0),0)</f>
        <v>1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38590</v>
      </c>
      <c r="B428" s="2">
        <v>2005</v>
      </c>
      <c r="C428" s="2">
        <f>COUNTIFS(Games[Team],Games[[#This Row],[Team]],Games[Season],Games[[#This Row],[Season]],Games[Date],"&lt;=" &amp; Games[[#This Row],[Date]])</f>
        <v>33</v>
      </c>
      <c r="D428" s="2" t="s">
        <v>23</v>
      </c>
      <c r="E428" s="2" t="s">
        <v>29</v>
      </c>
      <c r="F428" s="1" t="s">
        <v>73</v>
      </c>
      <c r="G428" s="1" t="s">
        <v>86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1469.442839474422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1641.4939188645619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0.18634320372484064</v>
      </c>
      <c r="R428" s="1">
        <v>47</v>
      </c>
      <c r="S428" s="1">
        <v>81</v>
      </c>
      <c r="T428" s="1">
        <v>0</v>
      </c>
      <c r="U428" s="1">
        <f>Games[[#This Row],[PointsFor]]-Games[[#This Row],[PointsAgainst]]</f>
        <v>-34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0.6565510261057208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71.05</v>
      </c>
      <c r="Z428" s="4">
        <f>Games[[#This Row],[K]]*Games[[#This Row],[POMult]]</f>
        <v>71.05</v>
      </c>
      <c r="AA428" s="4">
        <f>(Games[[#This Row],[Keff]]*Games[[#This Row],[MOVMult]])*(Games[[#This Row],[Result]]-Games[[#This Row],[ExpectedWin%]])</f>
        <v>-8.6925285256300437</v>
      </c>
      <c r="AB428" s="4">
        <f>Games[[#This Row],[PreGmRate]]+Games[[#This Row],[RatingChange]]</f>
        <v>1460.750310948792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1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38590</v>
      </c>
      <c r="B429" s="2">
        <v>2005</v>
      </c>
      <c r="C429" s="2">
        <f>COUNTIFS(Games[Team],Games[[#This Row],[Team]],Games[Season],Games[[#This Row],[Season]],Games[Date],"&lt;=" &amp; Games[[#This Row],[Date]])</f>
        <v>33</v>
      </c>
      <c r="D429" s="2" t="s">
        <v>23</v>
      </c>
      <c r="E429" s="2" t="s">
        <v>29</v>
      </c>
      <c r="F429" s="1" t="s">
        <v>86</v>
      </c>
      <c r="G429" s="1" t="s">
        <v>73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1641.4939188645619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1469.442839474422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0.81365679627515941</v>
      </c>
      <c r="R429" s="1">
        <v>81</v>
      </c>
      <c r="S429" s="1">
        <v>47</v>
      </c>
      <c r="T429" s="1">
        <v>0</v>
      </c>
      <c r="U429" s="1">
        <f>Games[[#This Row],[PointsFor]]-Games[[#This Row],[PointsAgainst]]</f>
        <v>34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0.6565510261057208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71.05</v>
      </c>
      <c r="Z429" s="4">
        <f>Games[[#This Row],[K]]*Games[[#This Row],[POMult]]</f>
        <v>71.05</v>
      </c>
      <c r="AA429" s="4">
        <f>(Games[[#This Row],[Keff]]*Games[[#This Row],[MOVMult]])*(Games[[#This Row],[Result]]-Games[[#This Row],[ExpectedWin%]])</f>
        <v>8.692528525630042</v>
      </c>
      <c r="AB429" s="4">
        <f>Games[[#This Row],[PreGmRate]]+Games[[#This Row],[RatingChange]]</f>
        <v>1650.1864473901919</v>
      </c>
      <c r="AC429" s="2">
        <f>IF(Games[[#This Row],[Type]]="R",IF(Games[[#This Row],[Result]]&gt;0.5,1,0),0)</f>
        <v>1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38590</v>
      </c>
      <c r="B430" s="2">
        <v>2005</v>
      </c>
      <c r="C430" s="2">
        <f>COUNTIFS(Games[Team],Games[[#This Row],[Team]],Games[Season],Games[[#This Row],[Season]],Games[Date],"&lt;=" &amp; Games[[#This Row],[Date]])</f>
        <v>33</v>
      </c>
      <c r="D430" s="2" t="s">
        <v>23</v>
      </c>
      <c r="E430" s="2" t="s">
        <v>29</v>
      </c>
      <c r="F430" s="1" t="s">
        <v>70</v>
      </c>
      <c r="G430" s="1" t="s">
        <v>84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1513.1980441060282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1316.9629975142736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0.65612584894880188</v>
      </c>
      <c r="R430" s="1">
        <v>70</v>
      </c>
      <c r="S430" s="1">
        <v>67</v>
      </c>
      <c r="T430" s="1">
        <v>0</v>
      </c>
      <c r="U430" s="1">
        <f>Games[[#This Row],[PointsFor]]-Games[[#This Row],[PointsAgainst]]</f>
        <v>3</v>
      </c>
      <c r="V430" s="1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0.24939943039566592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71.05</v>
      </c>
      <c r="Z430" s="4">
        <f>Games[[#This Row],[K]]*Games[[#This Row],[POMult]]</f>
        <v>71.05</v>
      </c>
      <c r="AA430" s="4">
        <f>(Games[[#This Row],[Keff]]*Games[[#This Row],[MOVMult]])*(Games[[#This Row],[Result]]-Games[[#This Row],[ExpectedWin%]])</f>
        <v>6.0933913362672998</v>
      </c>
      <c r="AB430" s="4">
        <f>Games[[#This Row],[PreGmRate]]+Games[[#This Row],[RatingChange]]</f>
        <v>1519.2914354422956</v>
      </c>
      <c r="AC430" s="2">
        <f>IF(Games[[#This Row],[Type]]="R",IF(Games[[#This Row],[Result]]&gt;0.5,1,0),0)</f>
        <v>1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38590</v>
      </c>
      <c r="B431" s="2">
        <v>2005</v>
      </c>
      <c r="C431" s="2">
        <f>COUNTIFS(Games[Team],Games[[#This Row],[Team]],Games[Season],Games[[#This Row],[Season]],Games[Date],"&lt;=" &amp; Games[[#This Row],[Date]])</f>
        <v>34</v>
      </c>
      <c r="D431" s="2" t="s">
        <v>23</v>
      </c>
      <c r="E431" s="2" t="s">
        <v>29</v>
      </c>
      <c r="F431" s="1" t="s">
        <v>84</v>
      </c>
      <c r="G431" s="1" t="s">
        <v>70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1316.9629975142736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1513.1980441060282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0.34387415105119812</v>
      </c>
      <c r="R431" s="1">
        <v>67</v>
      </c>
      <c r="S431" s="1">
        <v>70</v>
      </c>
      <c r="T431" s="1">
        <v>0</v>
      </c>
      <c r="U431" s="1">
        <f>Games[[#This Row],[PointsFor]]-Games[[#This Row],[PointsAgainst]]</f>
        <v>-3</v>
      </c>
      <c r="V431" s="1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0.24939943039566592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70.900000000000006</v>
      </c>
      <c r="Z431" s="4">
        <f>Games[[#This Row],[K]]*Games[[#This Row],[POMult]]</f>
        <v>70.900000000000006</v>
      </c>
      <c r="AA431" s="4">
        <f>(Games[[#This Row],[Keff]]*Games[[#This Row],[MOVMult]])*(Games[[#This Row],[Result]]-Games[[#This Row],[ExpectedWin%]])</f>
        <v>-6.0805270336573063</v>
      </c>
      <c r="AB431" s="4">
        <f>Games[[#This Row],[PreGmRate]]+Games[[#This Row],[RatingChange]]</f>
        <v>1310.8824704806163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1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38591</v>
      </c>
      <c r="B432" s="2">
        <v>2005</v>
      </c>
      <c r="C432" s="2">
        <f>COUNTIFS(Games[Team],Games[[#This Row],[Team]],Games[Season],Games[[#This Row],[Season]],Games[Date],"&lt;=" &amp; Games[[#This Row],[Date]])</f>
        <v>34</v>
      </c>
      <c r="D432" s="2" t="s">
        <v>23</v>
      </c>
      <c r="E432" s="2" t="s">
        <v>29</v>
      </c>
      <c r="F432" s="1" t="s">
        <v>86</v>
      </c>
      <c r="G432" s="1" t="s">
        <v>64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2" s="2">
        <f>Games[[#This Row],[DaysOff]]-Games[[#This Row],[OppDaysOff]]</f>
        <v>-1</v>
      </c>
      <c r="L432" s="2">
        <f>Games[[#This Row],[OppDaysOff]]-Games[[#This Row],[DaysOff]]</f>
        <v>1</v>
      </c>
      <c r="M432" s="1">
        <f>MAX(-16, MIN(16, Games[[#This Row],[RestDiff]]*8))</f>
        <v>-8</v>
      </c>
      <c r="N432" s="1">
        <f>MAX(-16, MIN(16, Games[[#This Row],[OppRestDiff]]*8))</f>
        <v>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1650.1864473901919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1340.1454031721103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0.77013850498527014</v>
      </c>
      <c r="R432" s="1">
        <v>78</v>
      </c>
      <c r="S432" s="1">
        <v>69</v>
      </c>
      <c r="T432" s="1">
        <v>0</v>
      </c>
      <c r="U432" s="1">
        <f>Games[[#This Row],[PointsFor]]-Games[[#This Row],[PointsAgainst]]</f>
        <v>9</v>
      </c>
      <c r="V432" s="1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0.32261760992659111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70.900000000000006</v>
      </c>
      <c r="Z432" s="4">
        <f>Games[[#This Row],[K]]*Games[[#This Row],[POMult]]</f>
        <v>70.900000000000006</v>
      </c>
      <c r="AA432" s="4">
        <f>(Games[[#This Row],[Keff]]*Games[[#This Row],[MOVMult]])*(Games[[#This Row],[Result]]-Games[[#This Row],[ExpectedWin%]])</f>
        <v>5.2577572590285877</v>
      </c>
      <c r="AB432" s="4">
        <f>Games[[#This Row],[PreGmRate]]+Games[[#This Row],[RatingChange]]</f>
        <v>1655.4442046492204</v>
      </c>
      <c r="AC432" s="2">
        <f>IF(Games[[#This Row],[Type]]="R",IF(Games[[#This Row],[Result]]&gt;0.5,1,0),0)</f>
        <v>1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38591</v>
      </c>
      <c r="B433" s="2">
        <v>2005</v>
      </c>
      <c r="C433" s="2">
        <f>COUNTIFS(Games[Team],Games[[#This Row],[Team]],Games[Season],Games[[#This Row],[Season]],Games[Date],"&lt;=" &amp; Games[[#This Row],[Date]])</f>
        <v>34</v>
      </c>
      <c r="D433" s="2" t="s">
        <v>23</v>
      </c>
      <c r="E433" s="2" t="s">
        <v>29</v>
      </c>
      <c r="F433" s="1" t="s">
        <v>64</v>
      </c>
      <c r="G433" s="1" t="s">
        <v>86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3" s="2">
        <f>Games[[#This Row],[DaysOff]]-Games[[#This Row],[OppDaysOff]]</f>
        <v>1</v>
      </c>
      <c r="L433" s="2">
        <f>Games[[#This Row],[OppDaysOff]]-Games[[#This Row],[DaysOff]]</f>
        <v>-1</v>
      </c>
      <c r="M433" s="1">
        <f>MAX(-16, MIN(16, Games[[#This Row],[RestDiff]]*8))</f>
        <v>8</v>
      </c>
      <c r="N433" s="1">
        <f>MAX(-16, MIN(16, Games[[#This Row],[OppRestDiff]]*8))</f>
        <v>-8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1340.1454031721103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1650.1864473901919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0.22986149501472983</v>
      </c>
      <c r="R433" s="1">
        <v>69</v>
      </c>
      <c r="S433" s="1">
        <v>78</v>
      </c>
      <c r="T433" s="1">
        <v>0</v>
      </c>
      <c r="U433" s="1">
        <f>Games[[#This Row],[PointsFor]]-Games[[#This Row],[PointsAgainst]]</f>
        <v>-9</v>
      </c>
      <c r="V433" s="1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0.32261760992659111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70.900000000000006</v>
      </c>
      <c r="Z433" s="4">
        <f>Games[[#This Row],[K]]*Games[[#This Row],[POMult]]</f>
        <v>70.900000000000006</v>
      </c>
      <c r="AA433" s="4">
        <f>(Games[[#This Row],[Keff]]*Games[[#This Row],[MOVMult]])*(Games[[#This Row],[Result]]-Games[[#This Row],[ExpectedWin%]])</f>
        <v>-5.2577572590285868</v>
      </c>
      <c r="AB433" s="4">
        <f>Games[[#This Row],[PreGmRate]]+Games[[#This Row],[RatingChange]]</f>
        <v>1334.8876459130818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1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38591</v>
      </c>
      <c r="B434" s="2">
        <v>2005</v>
      </c>
      <c r="C434" s="2">
        <f>COUNTIFS(Games[Team],Games[[#This Row],[Team]],Games[Season],Games[[#This Row],[Season]],Games[Date],"&lt;=" &amp; Games[[#This Row],[Date]])</f>
        <v>34</v>
      </c>
      <c r="D434" s="2" t="s">
        <v>23</v>
      </c>
      <c r="E434" s="2" t="s">
        <v>29</v>
      </c>
      <c r="F434" s="1" t="s">
        <v>70</v>
      </c>
      <c r="G434" s="1" t="s">
        <v>2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-1</v>
      </c>
      <c r="L434" s="2">
        <f>Games[[#This Row],[OppDaysOff]]-Games[[#This Row],[DaysOff]]</f>
        <v>1</v>
      </c>
      <c r="M434" s="1">
        <f>MAX(-16, MIN(16, Games[[#This Row],[RestDiff]]*8))</f>
        <v>-8</v>
      </c>
      <c r="N434" s="1">
        <f>MAX(-16, MIN(16, Games[[#This Row],[OppRestDiff]]*8))</f>
        <v>8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1519.2914354422956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1519.385075822637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0.3598108251804234</v>
      </c>
      <c r="R434" s="1">
        <v>51</v>
      </c>
      <c r="S434" s="1">
        <v>77</v>
      </c>
      <c r="T434" s="1">
        <v>0</v>
      </c>
      <c r="U434" s="1">
        <f>Games[[#This Row],[PointsFor]]-Games[[#This Row],[PointsAgainst]]</f>
        <v>-26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0.65403634367352059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70.900000000000006</v>
      </c>
      <c r="Z434" s="4">
        <f>Games[[#This Row],[K]]*Games[[#This Row],[POMult]]</f>
        <v>70.900000000000006</v>
      </c>
      <c r="AA434" s="4">
        <f>(Games[[#This Row],[Keff]]*Games[[#This Row],[MOVMult]])*(Games[[#This Row],[Result]]-Games[[#This Row],[ExpectedWin%]])</f>
        <v>-16.684851376924591</v>
      </c>
      <c r="AB434" s="4">
        <f>Games[[#This Row],[PreGmRate]]+Games[[#This Row],[RatingChange]]</f>
        <v>1502.606584065371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1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38591</v>
      </c>
      <c r="B435" s="2">
        <v>2005</v>
      </c>
      <c r="C435" s="2">
        <f>COUNTIFS(Games[Team],Games[[#This Row],[Team]],Games[Season],Games[[#This Row],[Season]],Games[Date],"&lt;=" &amp; Games[[#This Row],[Date]])</f>
        <v>34</v>
      </c>
      <c r="D435" s="2" t="s">
        <v>23</v>
      </c>
      <c r="E435" s="2" t="s">
        <v>29</v>
      </c>
      <c r="F435" s="1" t="s">
        <v>2</v>
      </c>
      <c r="G435" s="1" t="s">
        <v>70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5" s="2">
        <f>Games[[#This Row],[DaysOff]]-Games[[#This Row],[OppDaysOff]]</f>
        <v>1</v>
      </c>
      <c r="L435" s="2">
        <f>Games[[#This Row],[OppDaysOff]]-Games[[#This Row],[DaysOff]]</f>
        <v>-1</v>
      </c>
      <c r="M435" s="1">
        <f>MAX(-16, MIN(16, Games[[#This Row],[RestDiff]]*8))</f>
        <v>8</v>
      </c>
      <c r="N435" s="1">
        <f>MAX(-16, MIN(16, Games[[#This Row],[OppRestDiff]]*8))</f>
        <v>-8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1519.385075822637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1519.2914354422956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0.6401891748195766</v>
      </c>
      <c r="R435" s="1">
        <v>77</v>
      </c>
      <c r="S435" s="1">
        <v>51</v>
      </c>
      <c r="T435" s="1">
        <v>0</v>
      </c>
      <c r="U435" s="1">
        <f>Games[[#This Row],[PointsFor]]-Games[[#This Row],[PointsAgainst]]</f>
        <v>26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0.65403634367352059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70.900000000000006</v>
      </c>
      <c r="Z435" s="4">
        <f>Games[[#This Row],[K]]*Games[[#This Row],[POMult]]</f>
        <v>70.900000000000006</v>
      </c>
      <c r="AA435" s="4">
        <f>(Games[[#This Row],[Keff]]*Games[[#This Row],[MOVMult]])*(Games[[#This Row],[Result]]-Games[[#This Row],[ExpectedWin%]])</f>
        <v>16.684851376924591</v>
      </c>
      <c r="AB435" s="4">
        <f>Games[[#This Row],[PreGmRate]]+Games[[#This Row],[RatingChange]]</f>
        <v>1536.0699271995616</v>
      </c>
      <c r="AC435" s="2">
        <f>IF(Games[[#This Row],[Type]]="R",IF(Games[[#This Row],[Result]]&gt;0.5,1,0),0)</f>
        <v>1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38591</v>
      </c>
      <c r="B436" s="2">
        <v>2005</v>
      </c>
      <c r="C436" s="2">
        <f>COUNTIFS(Games[Team],Games[[#This Row],[Team]],Games[Season],Games[[#This Row],[Season]],Games[Date],"&lt;=" &amp; Games[[#This Row],[Date]])</f>
        <v>34</v>
      </c>
      <c r="D436" s="2" t="s">
        <v>23</v>
      </c>
      <c r="E436" s="2" t="s">
        <v>29</v>
      </c>
      <c r="F436" s="1" t="s">
        <v>66</v>
      </c>
      <c r="G436" s="1" t="s">
        <v>79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1530.9053184025111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1534.6163180241522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0.37638864626126622</v>
      </c>
      <c r="R436" s="1">
        <v>50</v>
      </c>
      <c r="S436" s="1">
        <v>75</v>
      </c>
      <c r="T436" s="1">
        <v>0</v>
      </c>
      <c r="U436" s="1">
        <f>Games[[#This Row],[PointsFor]]-Games[[#This Row],[PointsAgainst]]</f>
        <v>-25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0.63936745141858653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70.900000000000006</v>
      </c>
      <c r="Z436" s="4">
        <f>Games[[#This Row],[K]]*Games[[#This Row],[POMult]]</f>
        <v>70.900000000000006</v>
      </c>
      <c r="AA436" s="4">
        <f>(Games[[#This Row],[Keff]]*Games[[#This Row],[MOVMult]])*(Games[[#This Row],[Result]]-Games[[#This Row],[ExpectedWin%]])</f>
        <v>-17.062131049759699</v>
      </c>
      <c r="AB436" s="4">
        <f>Games[[#This Row],[PreGmRate]]+Games[[#This Row],[RatingChange]]</f>
        <v>1513.8431873527513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1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38591</v>
      </c>
      <c r="B437" s="2">
        <v>2005</v>
      </c>
      <c r="C437" s="2">
        <f>COUNTIFS(Games[Team],Games[[#This Row],[Team]],Games[Season],Games[[#This Row],[Season]],Games[Date],"&lt;=" &amp; Games[[#This Row],[Date]])</f>
        <v>34</v>
      </c>
      <c r="D437" s="2" t="s">
        <v>23</v>
      </c>
      <c r="E437" s="2" t="s">
        <v>29</v>
      </c>
      <c r="F437" s="1" t="s">
        <v>79</v>
      </c>
      <c r="G437" s="1" t="s">
        <v>66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1534.6163180241522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1530.9053184025111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0.62361135373873378</v>
      </c>
      <c r="R437" s="1">
        <v>75</v>
      </c>
      <c r="S437" s="1">
        <v>50</v>
      </c>
      <c r="T437" s="1">
        <v>0</v>
      </c>
      <c r="U437" s="1">
        <f>Games[[#This Row],[PointsFor]]-Games[[#This Row],[PointsAgainst]]</f>
        <v>25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0.63936745141858653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70.900000000000006</v>
      </c>
      <c r="Z437" s="4">
        <f>Games[[#This Row],[K]]*Games[[#This Row],[POMult]]</f>
        <v>70.900000000000006</v>
      </c>
      <c r="AA437" s="4">
        <f>(Games[[#This Row],[Keff]]*Games[[#This Row],[MOVMult]])*(Games[[#This Row],[Result]]-Games[[#This Row],[ExpectedWin%]])</f>
        <v>17.062131049759699</v>
      </c>
      <c r="AB437" s="4">
        <f>Games[[#This Row],[PreGmRate]]+Games[[#This Row],[RatingChange]]</f>
        <v>1551.6784490739119</v>
      </c>
      <c r="AC437" s="2">
        <f>IF(Games[[#This Row],[Type]]="R",IF(Games[[#This Row],[Result]]&gt;0.5,1,0),0)</f>
        <v>1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38591</v>
      </c>
      <c r="B438" s="2">
        <v>2005</v>
      </c>
      <c r="C438" s="2">
        <f>COUNTIFS(Games[Team],Games[[#This Row],[Team]],Games[Season],Games[[#This Row],[Season]],Games[Date],"&lt;=" &amp; Games[[#This Row],[Date]])</f>
        <v>34</v>
      </c>
      <c r="D438" s="2" t="s">
        <v>23</v>
      </c>
      <c r="E438" s="2" t="s">
        <v>29</v>
      </c>
      <c r="F438" s="1" t="s">
        <v>45</v>
      </c>
      <c r="G438" s="1" t="s">
        <v>77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8" s="2">
        <f>Games[[#This Row],[DaysOff]]-Games[[#This Row],[OppDaysOff]]</f>
        <v>-2</v>
      </c>
      <c r="L438" s="2">
        <f>Games[[#This Row],[OppDaysOff]]-Games[[#This Row],[DaysOff]]</f>
        <v>2</v>
      </c>
      <c r="M438" s="1">
        <f>MAX(-16, MIN(16, Games[[#This Row],[RestDiff]]*8))</f>
        <v>-16</v>
      </c>
      <c r="N438" s="1">
        <f>MAX(-16, MIN(16, Games[[#This Row],[OppRestDiff]]*8))</f>
        <v>16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1633.8711210882723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1436.3706986934751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0.61518353413733406</v>
      </c>
      <c r="R438" s="1">
        <v>61</v>
      </c>
      <c r="S438" s="1">
        <v>52</v>
      </c>
      <c r="T438" s="1">
        <v>0</v>
      </c>
      <c r="U438" s="1">
        <f>Games[[#This Row],[PointsFor]]-Games[[#This Row],[PointsAgainst]]</f>
        <v>9</v>
      </c>
      <c r="V438" s="1">
        <f>IF(Games[[#This Row],[MOV]]&gt;0,1,IF(Games[[#This Row],[MOV]]=0,0.5,0))</f>
        <v>1</v>
      </c>
      <c r="W438" s="4">
        <f>((ABS(Games[[#This Row],[MOV]])+5)^0.6)/(12+0.01*(ABS(Games[[#This Row],[PreGmRate]]-Games[[#This Row],[OppPreGmRate]])))*IF(Games[[#This Row],[OT]]=1,0.9,1)</f>
        <v>0.34859798592537805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70.900000000000006</v>
      </c>
      <c r="Z438" s="4">
        <f>Games[[#This Row],[K]]*Games[[#This Row],[POMult]]</f>
        <v>70.900000000000006</v>
      </c>
      <c r="AA438" s="4">
        <f>(Games[[#This Row],[Keff]]*Games[[#This Row],[MOVMult]])*(Games[[#This Row],[Result]]-Games[[#This Row],[ExpectedWin%]])</f>
        <v>9.5109687670008967</v>
      </c>
      <c r="AB438" s="4">
        <f>Games[[#This Row],[PreGmRate]]+Games[[#This Row],[RatingChange]]</f>
        <v>1643.3820898552731</v>
      </c>
      <c r="AC438" s="2">
        <f>IF(Games[[#This Row],[Type]]="R",IF(Games[[#This Row],[Result]]&gt;0.5,1,0),0)</f>
        <v>1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38591</v>
      </c>
      <c r="B439" s="2">
        <v>2005</v>
      </c>
      <c r="C439" s="2">
        <f>COUNTIFS(Games[Team],Games[[#This Row],[Team]],Games[Season],Games[[#This Row],[Season]],Games[Date],"&lt;=" &amp; Games[[#This Row],[Date]])</f>
        <v>34</v>
      </c>
      <c r="D439" s="2" t="s">
        <v>23</v>
      </c>
      <c r="E439" s="2" t="s">
        <v>29</v>
      </c>
      <c r="F439" s="1" t="s">
        <v>77</v>
      </c>
      <c r="G439" s="1" t="s">
        <v>45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2</v>
      </c>
      <c r="L439" s="2">
        <f>Games[[#This Row],[OppDaysOff]]-Games[[#This Row],[DaysOff]]</f>
        <v>-2</v>
      </c>
      <c r="M439" s="1">
        <f>MAX(-16, MIN(16, Games[[#This Row],[RestDiff]]*8))</f>
        <v>16</v>
      </c>
      <c r="N439" s="1">
        <f>MAX(-16, MIN(16, Games[[#This Row],[OppRestDiff]]*8))</f>
        <v>-16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1436.3706986934751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1633.8711210882723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0.38481646586266605</v>
      </c>
      <c r="R439" s="1">
        <v>52</v>
      </c>
      <c r="S439" s="1">
        <v>61</v>
      </c>
      <c r="T439" s="1">
        <v>0</v>
      </c>
      <c r="U439" s="1">
        <f>Games[[#This Row],[PointsFor]]-Games[[#This Row],[PointsAgainst]]</f>
        <v>-9</v>
      </c>
      <c r="V439" s="1">
        <f>IF(Games[[#This Row],[MOV]]&gt;0,1,IF(Games[[#This Row],[MOV]]=0,0.5,0))</f>
        <v>0</v>
      </c>
      <c r="W439" s="4">
        <f>((ABS(Games[[#This Row],[MOV]])+5)^0.6)/(12+0.01*(ABS(Games[[#This Row],[PreGmRate]]-Games[[#This Row],[OppPreGmRate]])))*IF(Games[[#This Row],[OT]]=1,0.9,1)</f>
        <v>0.34859798592537805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70.900000000000006</v>
      </c>
      <c r="Z439" s="4">
        <f>Games[[#This Row],[K]]*Games[[#This Row],[POMult]]</f>
        <v>70.900000000000006</v>
      </c>
      <c r="AA439" s="4">
        <f>(Games[[#This Row],[Keff]]*Games[[#This Row],[MOVMult]])*(Games[[#This Row],[Result]]-Games[[#This Row],[ExpectedWin%]])</f>
        <v>-9.5109687670009002</v>
      </c>
      <c r="AB439" s="4">
        <f>Games[[#This Row],[PreGmRate]]+Games[[#This Row],[RatingChange]]</f>
        <v>1426.8597299264743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1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38591</v>
      </c>
      <c r="B440" s="2">
        <v>2005</v>
      </c>
      <c r="C440" s="2">
        <f>COUNTIFS(Games[Team],Games[[#This Row],[Team]],Games[Season],Games[[#This Row],[Season]],Games[Date],"&lt;=" &amp; Games[[#This Row],[Date]])</f>
        <v>34</v>
      </c>
      <c r="D440" s="2" t="s">
        <v>23</v>
      </c>
      <c r="E440" s="2" t="s">
        <v>29</v>
      </c>
      <c r="F440" s="1" t="s">
        <v>44</v>
      </c>
      <c r="G440" s="1" t="s">
        <v>81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">
        <f>MAX(-16, MIN(16, Games[[#This Row],[RestDiff]]*8))</f>
        <v>0</v>
      </c>
      <c r="N440" s="1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1509.4752608393314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1574.8791919223747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0.29733137271383436</v>
      </c>
      <c r="R440" s="1">
        <v>74</v>
      </c>
      <c r="S440" s="1">
        <v>85</v>
      </c>
      <c r="T440" s="1">
        <v>0</v>
      </c>
      <c r="U440" s="1">
        <f>Games[[#This Row],[PointsFor]]-Games[[#This Row],[PointsAgainst]]</f>
        <v>-11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0.41710251670975734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70.900000000000006</v>
      </c>
      <c r="Z440" s="4">
        <f>Games[[#This Row],[K]]*Games[[#This Row],[POMult]]</f>
        <v>70.900000000000006</v>
      </c>
      <c r="AA440" s="4">
        <f>(Games[[#This Row],[Keff]]*Games[[#This Row],[MOVMult]])*(Games[[#This Row],[Result]]-Games[[#This Row],[ExpectedWin%]])</f>
        <v>-8.7928523673696404</v>
      </c>
      <c r="AB440" s="4">
        <f>Games[[#This Row],[PreGmRate]]+Games[[#This Row],[RatingChange]]</f>
        <v>1500.6824084719617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38591</v>
      </c>
      <c r="B441" s="2">
        <v>2005</v>
      </c>
      <c r="C441" s="2">
        <f>COUNTIFS(Games[Team],Games[[#This Row],[Team]],Games[Season],Games[[#This Row],[Season]],Games[Date],"&lt;=" &amp; Games[[#This Row],[Date]])</f>
        <v>34</v>
      </c>
      <c r="D441" s="2" t="s">
        <v>23</v>
      </c>
      <c r="E441" s="2" t="s">
        <v>29</v>
      </c>
      <c r="F441" s="1" t="s">
        <v>81</v>
      </c>
      <c r="G441" s="1" t="s">
        <v>44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">
        <f>MAX(-16, MIN(16, Games[[#This Row],[RestDiff]]*8))</f>
        <v>0</v>
      </c>
      <c r="N441" s="1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1574.8791919223747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1509.4752608393314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0.70266862728616564</v>
      </c>
      <c r="R441" s="1">
        <v>85</v>
      </c>
      <c r="S441" s="1">
        <v>74</v>
      </c>
      <c r="T441" s="1">
        <v>0</v>
      </c>
      <c r="U441" s="1">
        <f>Games[[#This Row],[PointsFor]]-Games[[#This Row],[PointsAgainst]]</f>
        <v>11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0.41710251670975734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70.900000000000006</v>
      </c>
      <c r="Z441" s="4">
        <f>Games[[#This Row],[K]]*Games[[#This Row],[POMult]]</f>
        <v>70.900000000000006</v>
      </c>
      <c r="AA441" s="4">
        <f>(Games[[#This Row],[Keff]]*Games[[#This Row],[MOVMult]])*(Games[[#This Row],[Result]]-Games[[#This Row],[ExpectedWin%]])</f>
        <v>8.7928523673696404</v>
      </c>
      <c r="AB441" s="4">
        <f>Games[[#This Row],[PreGmRate]]+Games[[#This Row],[RatingChange]]</f>
        <v>1583.6720442897445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38591</v>
      </c>
      <c r="B442" s="2">
        <v>2005</v>
      </c>
      <c r="C442" s="2">
        <f>COUNTIFS(Games[Team],Games[[#This Row],[Team]],Games[Season],Games[[#This Row],[Season]],Games[Date],"&lt;=" &amp; Games[[#This Row],[Date]])</f>
        <v>34</v>
      </c>
      <c r="D442" s="2" t="s">
        <v>23</v>
      </c>
      <c r="E442" s="2" t="s">
        <v>29</v>
      </c>
      <c r="F442" s="1" t="s">
        <v>75</v>
      </c>
      <c r="G442" s="1" t="s">
        <v>73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2" s="2">
        <f>Games[[#This Row],[DaysOff]]-Games[[#This Row],[OppDaysOff]]</f>
        <v>1</v>
      </c>
      <c r="L442" s="2">
        <f>Games[[#This Row],[OppDaysOff]]-Games[[#This Row],[DaysOff]]</f>
        <v>-1</v>
      </c>
      <c r="M442" s="1">
        <f>MAX(-16, MIN(16, Games[[#This Row],[RestDiff]]*8))</f>
        <v>8</v>
      </c>
      <c r="N442" s="1">
        <f>MAX(-16, MIN(16, Games[[#This Row],[OppRestDiff]]*8))</f>
        <v>-8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1489.3552412590132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1460.750310948792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0.44354766365081205</v>
      </c>
      <c r="R442" s="1">
        <v>67</v>
      </c>
      <c r="S442" s="1">
        <v>76</v>
      </c>
      <c r="T442" s="1">
        <v>0</v>
      </c>
      <c r="U442" s="1">
        <f>Games[[#This Row],[PointsFor]]-Games[[#This Row],[PointsAgainst]]</f>
        <v>-9</v>
      </c>
      <c r="V442" s="1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0.39651951620744569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70.900000000000006</v>
      </c>
      <c r="Z442" s="4">
        <f>Games[[#This Row],[K]]*Games[[#This Row],[POMult]]</f>
        <v>70.900000000000006</v>
      </c>
      <c r="AA442" s="4">
        <f>(Games[[#This Row],[Keff]]*Games[[#This Row],[MOVMult]])*(Games[[#This Row],[Result]]-Games[[#This Row],[ExpectedWin%]])</f>
        <v>-12.469559124908587</v>
      </c>
      <c r="AB442" s="4">
        <f>Games[[#This Row],[PreGmRate]]+Games[[#This Row],[RatingChange]]</f>
        <v>1476.8856821341046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38591</v>
      </c>
      <c r="B443" s="2">
        <v>2005</v>
      </c>
      <c r="C443" s="2">
        <f>COUNTIFS(Games[Team],Games[[#This Row],[Team]],Games[Season],Games[[#This Row],[Season]],Games[Date],"&lt;=" &amp; Games[[#This Row],[Date]])</f>
        <v>34</v>
      </c>
      <c r="D443" s="2" t="s">
        <v>23</v>
      </c>
      <c r="E443" s="2" t="s">
        <v>29</v>
      </c>
      <c r="F443" s="1" t="s">
        <v>73</v>
      </c>
      <c r="G443" s="1" t="s">
        <v>75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-1</v>
      </c>
      <c r="L443" s="2">
        <f>Games[[#This Row],[OppDaysOff]]-Games[[#This Row],[DaysOff]]</f>
        <v>1</v>
      </c>
      <c r="M443" s="1">
        <f>MAX(-16, MIN(16, Games[[#This Row],[RestDiff]]*8))</f>
        <v>-8</v>
      </c>
      <c r="N443" s="1">
        <f>MAX(-16, MIN(16, Games[[#This Row],[OppRestDiff]]*8))</f>
        <v>8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1460.750310948792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1489.3552412590132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0.556452336349188</v>
      </c>
      <c r="R443" s="1">
        <v>76</v>
      </c>
      <c r="S443" s="1">
        <v>67</v>
      </c>
      <c r="T443" s="1">
        <v>0</v>
      </c>
      <c r="U443" s="1">
        <f>Games[[#This Row],[PointsFor]]-Games[[#This Row],[PointsAgainst]]</f>
        <v>9</v>
      </c>
      <c r="V443" s="1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0.39651951620744569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70.900000000000006</v>
      </c>
      <c r="Z443" s="4">
        <f>Games[[#This Row],[K]]*Games[[#This Row],[POMult]]</f>
        <v>70.900000000000006</v>
      </c>
      <c r="AA443" s="4">
        <f>(Games[[#This Row],[Keff]]*Games[[#This Row],[MOVMult]])*(Games[[#This Row],[Result]]-Games[[#This Row],[ExpectedWin%]])</f>
        <v>12.469559124908585</v>
      </c>
      <c r="AB443" s="4">
        <f>Games[[#This Row],[PreGmRate]]+Games[[#This Row],[RatingChange]]</f>
        <v>1473.2198700737006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38594</v>
      </c>
      <c r="B444" s="2">
        <v>2005</v>
      </c>
      <c r="C444" s="2">
        <f>COUNTIFS(Games[Team],Games[[#This Row],[Team]],Games[Season],Games[[#This Row],[Season]],Games[Date],"&lt;=" &amp; Games[[#This Row],[Date]])</f>
        <v>35</v>
      </c>
      <c r="D444" s="2" t="s">
        <v>46</v>
      </c>
      <c r="E444" s="2">
        <v>1</v>
      </c>
      <c r="F444" s="1" t="s">
        <v>81</v>
      </c>
      <c r="G444" s="1" t="s">
        <v>2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">
        <f>MAX(-16, MIN(16, Games[[#This Row],[RestDiff]]*8))</f>
        <v>0</v>
      </c>
      <c r="N444" s="1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1583.6720442897445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1536.0699271995616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0.44781002426433392</v>
      </c>
      <c r="R444" s="1">
        <v>75</v>
      </c>
      <c r="S444" s="1">
        <v>67</v>
      </c>
      <c r="T444" s="1">
        <v>0</v>
      </c>
      <c r="U444" s="1">
        <f>Games[[#This Row],[PointsFor]]-Games[[#This Row],[PointsAgainst]]</f>
        <v>8</v>
      </c>
      <c r="V444" s="1">
        <f>IF(Games[[#This Row],[MOV]]&gt;0,1,IF(Games[[#This Row],[MOV]]=0,0.5,0))</f>
        <v>1</v>
      </c>
      <c r="W444" s="4">
        <f>((ABS(Games[[#This Row],[MOV]])+5)^0.6)/(12+0.01*(ABS(Games[[#This Row],[PreGmRate]]-Games[[#This Row],[OppPreGmRate]])))*IF(Games[[#This Row],[OT]]=1,0.9,1)</f>
        <v>0.37349939986509606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4" s="9">
        <f>MAX(kmin, kmax - 0.15 * MIN(Games[[#This Row],[GamesPlayed]], 82))</f>
        <v>70.75</v>
      </c>
      <c r="Z444" s="4">
        <f>Games[[#This Row],[K]]*Games[[#This Row],[POMult]]</f>
        <v>77.825000000000003</v>
      </c>
      <c r="AA444" s="4">
        <f>(Games[[#This Row],[Keff]]*Games[[#This Row],[MOVMult]])*(Games[[#This Row],[Result]]-Games[[#This Row],[ExpectedWin%]])</f>
        <v>16.050832255509832</v>
      </c>
      <c r="AB444" s="4">
        <f>Games[[#This Row],[PreGmRate]]+Games[[#This Row],[RatingChange]]</f>
        <v>1599.7228765452544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1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38594</v>
      </c>
      <c r="B445" s="2">
        <v>2005</v>
      </c>
      <c r="C445" s="2">
        <f>COUNTIFS(Games[Team],Games[[#This Row],[Team]],Games[Season],Games[[#This Row],[Season]],Games[Date],"&lt;=" &amp; Games[[#This Row],[Date]])</f>
        <v>35</v>
      </c>
      <c r="D445" s="2" t="s">
        <v>46</v>
      </c>
      <c r="E445" s="2">
        <v>1</v>
      </c>
      <c r="F445" s="1" t="s">
        <v>2</v>
      </c>
      <c r="G445" s="1" t="s">
        <v>81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">
        <f>MAX(-16, MIN(16, Games[[#This Row],[RestDiff]]*8))</f>
        <v>0</v>
      </c>
      <c r="N445" s="1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1536.0699271995616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1583.6720442897445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0.55218997573566608</v>
      </c>
      <c r="R445" s="1">
        <v>67</v>
      </c>
      <c r="S445" s="1">
        <v>75</v>
      </c>
      <c r="T445" s="1">
        <v>0</v>
      </c>
      <c r="U445" s="1">
        <f>Games[[#This Row],[PointsFor]]-Games[[#This Row],[PointsAgainst]]</f>
        <v>-8</v>
      </c>
      <c r="V445" s="1">
        <f>IF(Games[[#This Row],[MOV]]&gt;0,1,IF(Games[[#This Row],[MOV]]=0,0.5,0))</f>
        <v>0</v>
      </c>
      <c r="W445" s="4">
        <f>((ABS(Games[[#This Row],[MOV]])+5)^0.6)/(12+0.01*(ABS(Games[[#This Row],[PreGmRate]]-Games[[#This Row],[OppPreGmRate]])))*IF(Games[[#This Row],[OT]]=1,0.9,1)</f>
        <v>0.37349939986509606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5" s="9">
        <f>MAX(kmin, kmax - 0.15 * MIN(Games[[#This Row],[GamesPlayed]], 82))</f>
        <v>70.75</v>
      </c>
      <c r="Z445" s="4">
        <f>Games[[#This Row],[K]]*Games[[#This Row],[POMult]]</f>
        <v>77.825000000000003</v>
      </c>
      <c r="AA445" s="4">
        <f>(Games[[#This Row],[Keff]]*Games[[#This Row],[MOVMult]])*(Games[[#This Row],[Result]]-Games[[#This Row],[ExpectedWin%]])</f>
        <v>-16.050832255509832</v>
      </c>
      <c r="AB445" s="4">
        <f>Games[[#This Row],[PreGmRate]]+Games[[#This Row],[RatingChange]]</f>
        <v>1520.0190949440516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1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38594</v>
      </c>
      <c r="B446" s="2">
        <v>2005</v>
      </c>
      <c r="C446" s="2">
        <f>COUNTIFS(Games[Team],Games[[#This Row],[Team]],Games[Season],Games[[#This Row],[Season]],Games[Date],"&lt;=" &amp; Games[[#This Row],[Date]])</f>
        <v>35</v>
      </c>
      <c r="D446" s="2" t="s">
        <v>46</v>
      </c>
      <c r="E446" s="2">
        <v>1</v>
      </c>
      <c r="F446" s="1" t="s">
        <v>79</v>
      </c>
      <c r="G446" s="1" t="s">
        <v>66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6" s="2">
        <f>Games[[#This Row],[DaysOff]]-Games[[#This Row],[OppDaysOff]]</f>
        <v>0</v>
      </c>
      <c r="L446" s="2">
        <f>Games[[#This Row],[OppDaysOff]]-Games[[#This Row],[DaysOff]]</f>
        <v>0</v>
      </c>
      <c r="M446" s="1">
        <f>MAX(-16, MIN(16, Games[[#This Row],[RestDiff]]*8))</f>
        <v>0</v>
      </c>
      <c r="N446" s="1">
        <f>MAX(-16, MIN(16, Games[[#This Row],[OppRestDiff]]*8))</f>
        <v>0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1551.6784490739119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1513.8431873527513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0.43395184178441892</v>
      </c>
      <c r="R446" s="1">
        <v>63</v>
      </c>
      <c r="S446" s="1">
        <v>51</v>
      </c>
      <c r="T446" s="1">
        <v>0</v>
      </c>
      <c r="U446" s="1">
        <f>Games[[#This Row],[PointsFor]]-Games[[#This Row],[PointsAgainst]]</f>
        <v>12</v>
      </c>
      <c r="V446" s="1">
        <f>IF(Games[[#This Row],[MOV]]&gt;0,1,IF(Games[[#This Row],[MOV]]=0,0.5,0))</f>
        <v>1</v>
      </c>
      <c r="W446" s="4">
        <f>((ABS(Games[[#This Row],[MOV]])+5)^0.6)/(12+0.01*(ABS(Games[[#This Row],[PreGmRate]]-Games[[#This Row],[OppPreGmRate]])))*IF(Games[[#This Row],[OT]]=1,0.9,1)</f>
        <v>0.44218754192764964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6" s="9">
        <f>MAX(kmin, kmax - 0.15 * MIN(Games[[#This Row],[GamesPlayed]], 82))</f>
        <v>70.75</v>
      </c>
      <c r="Z446" s="4">
        <f>Games[[#This Row],[K]]*Games[[#This Row],[POMult]]</f>
        <v>77.825000000000003</v>
      </c>
      <c r="AA446" s="4">
        <f>(Games[[#This Row],[Keff]]*Games[[#This Row],[MOVMult]])*(Games[[#This Row],[Result]]-Games[[#This Row],[ExpectedWin%]])</f>
        <v>19.479554205487194</v>
      </c>
      <c r="AB446" s="4">
        <f>Games[[#This Row],[PreGmRate]]+Games[[#This Row],[RatingChange]]</f>
        <v>1571.1580032793991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1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38594</v>
      </c>
      <c r="B447" s="2">
        <v>2005</v>
      </c>
      <c r="C447" s="2">
        <f>COUNTIFS(Games[Team],Games[[#This Row],[Team]],Games[Season],Games[[#This Row],[Season]],Games[Date],"&lt;=" &amp; Games[[#This Row],[Date]])</f>
        <v>35</v>
      </c>
      <c r="D447" s="2" t="s">
        <v>46</v>
      </c>
      <c r="E447" s="2">
        <v>1</v>
      </c>
      <c r="F447" s="1" t="s">
        <v>66</v>
      </c>
      <c r="G447" s="1" t="s">
        <v>79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7" s="2">
        <f>Games[[#This Row],[DaysOff]]-Games[[#This Row],[OppDaysOff]]</f>
        <v>0</v>
      </c>
      <c r="L447" s="2">
        <f>Games[[#This Row],[OppDaysOff]]-Games[[#This Row],[DaysOff]]</f>
        <v>0</v>
      </c>
      <c r="M447" s="1">
        <f>MAX(-16, MIN(16, Games[[#This Row],[RestDiff]]*8))</f>
        <v>0</v>
      </c>
      <c r="N447" s="1">
        <f>MAX(-16, MIN(16, Games[[#This Row],[OppRestDiff]]*8))</f>
        <v>0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1513.8431873527513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1551.6784490739119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0.56604815821558108</v>
      </c>
      <c r="R447" s="1">
        <v>51</v>
      </c>
      <c r="S447" s="1">
        <v>63</v>
      </c>
      <c r="T447" s="1">
        <v>0</v>
      </c>
      <c r="U447" s="1">
        <f>Games[[#This Row],[PointsFor]]-Games[[#This Row],[PointsAgainst]]</f>
        <v>-12</v>
      </c>
      <c r="V447" s="1">
        <f>IF(Games[[#This Row],[MOV]]&gt;0,1,IF(Games[[#This Row],[MOV]]=0,0.5,0))</f>
        <v>0</v>
      </c>
      <c r="W447" s="4">
        <f>((ABS(Games[[#This Row],[MOV]])+5)^0.6)/(12+0.01*(ABS(Games[[#This Row],[PreGmRate]]-Games[[#This Row],[OppPreGmRate]])))*IF(Games[[#This Row],[OT]]=1,0.9,1)</f>
        <v>0.44218754192764964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7" s="9">
        <f>MAX(kmin, kmax - 0.15 * MIN(Games[[#This Row],[GamesPlayed]], 82))</f>
        <v>70.75</v>
      </c>
      <c r="Z447" s="4">
        <f>Games[[#This Row],[K]]*Games[[#This Row],[POMult]]</f>
        <v>77.825000000000003</v>
      </c>
      <c r="AA447" s="4">
        <f>(Games[[#This Row],[Keff]]*Games[[#This Row],[MOVMult]])*(Games[[#This Row],[Result]]-Games[[#This Row],[ExpectedWin%]])</f>
        <v>-19.479554205487194</v>
      </c>
      <c r="AB447" s="4">
        <f>Games[[#This Row],[PreGmRate]]+Games[[#This Row],[RatingChange]]</f>
        <v>1494.3636331472642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1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38595</v>
      </c>
      <c r="B448" s="2">
        <v>2005</v>
      </c>
      <c r="C448" s="2">
        <f>COUNTIFS(Games[Team],Games[[#This Row],[Team]],Games[Season],Games[[#This Row],[Season]],Games[Date],"&lt;=" &amp; Games[[#This Row],[Date]])</f>
        <v>35</v>
      </c>
      <c r="D448" s="2" t="s">
        <v>46</v>
      </c>
      <c r="E448" s="2">
        <v>1</v>
      </c>
      <c r="F448" s="1" t="s">
        <v>86</v>
      </c>
      <c r="G448" s="1" t="s">
        <v>75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8" s="2">
        <f>Games[[#This Row],[DaysOff]]-Games[[#This Row],[OppDaysOff]]</f>
        <v>0</v>
      </c>
      <c r="L448" s="2">
        <f>Games[[#This Row],[OppDaysOff]]-Games[[#This Row],[DaysOff]]</f>
        <v>0</v>
      </c>
      <c r="M448" s="1">
        <f>MAX(-16, MIN(16, Games[[#This Row],[RestDiff]]*8))</f>
        <v>0</v>
      </c>
      <c r="N448" s="1">
        <f>MAX(-16, MIN(16, Games[[#This Row],[OppRestDiff]]*8))</f>
        <v>0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1655.4442046492204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1476.8856821341046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0.63281739302571638</v>
      </c>
      <c r="R448" s="1">
        <v>73</v>
      </c>
      <c r="S448" s="1">
        <v>62</v>
      </c>
      <c r="T448" s="1">
        <v>0</v>
      </c>
      <c r="U448" s="1">
        <f>Games[[#This Row],[PointsFor]]-Games[[#This Row],[PointsAgainst]]</f>
        <v>11</v>
      </c>
      <c r="V448" s="1">
        <f>IF(Games[[#This Row],[MOV]]&gt;0,1,IF(Games[[#This Row],[MOV]]=0,0.5,0))</f>
        <v>1</v>
      </c>
      <c r="W448" s="4">
        <f>((ABS(Games[[#This Row],[MOV]])+5)^0.6)/(12+0.01*(ABS(Games[[#This Row],[PreGmRate]]-Games[[#This Row],[OppPreGmRate]])))*IF(Games[[#This Row],[OT]]=1,0.9,1)</f>
        <v>0.38286598333613392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8" s="9">
        <f>MAX(kmin, kmax - 0.15 * MIN(Games[[#This Row],[GamesPlayed]], 82))</f>
        <v>70.75</v>
      </c>
      <c r="Z448" s="4">
        <f>Games[[#This Row],[K]]*Games[[#This Row],[POMult]]</f>
        <v>77.825000000000003</v>
      </c>
      <c r="AA448" s="4">
        <f>(Games[[#This Row],[Keff]]*Games[[#This Row],[MOVMult]])*(Games[[#This Row],[Result]]-Games[[#This Row],[ExpectedWin%]])</f>
        <v>10.940773128154927</v>
      </c>
      <c r="AB448" s="4">
        <f>Games[[#This Row],[PreGmRate]]+Games[[#This Row],[RatingChange]]</f>
        <v>1666.3849777773753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1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38595</v>
      </c>
      <c r="B449" s="2">
        <v>2005</v>
      </c>
      <c r="C449" s="2">
        <f>COUNTIFS(Games[Team],Games[[#This Row],[Team]],Games[Season],Games[[#This Row],[Season]],Games[Date],"&lt;=" &amp; Games[[#This Row],[Date]])</f>
        <v>35</v>
      </c>
      <c r="D449" s="2" t="s">
        <v>46</v>
      </c>
      <c r="E449" s="2">
        <v>1</v>
      </c>
      <c r="F449" s="1" t="s">
        <v>75</v>
      </c>
      <c r="G449" s="1" t="s">
        <v>86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9" s="2">
        <f>Games[[#This Row],[DaysOff]]-Games[[#This Row],[OppDaysOff]]</f>
        <v>0</v>
      </c>
      <c r="L449" s="2">
        <f>Games[[#This Row],[OppDaysOff]]-Games[[#This Row],[DaysOff]]</f>
        <v>0</v>
      </c>
      <c r="M449" s="1">
        <f>MAX(-16, MIN(16, Games[[#This Row],[RestDiff]]*8))</f>
        <v>0</v>
      </c>
      <c r="N449" s="1">
        <f>MAX(-16, MIN(16, Games[[#This Row],[OppRestDiff]]*8))</f>
        <v>0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1476.8856821341046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1655.4442046492204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0.36718260697428362</v>
      </c>
      <c r="R449" s="1">
        <v>62</v>
      </c>
      <c r="S449" s="1">
        <v>73</v>
      </c>
      <c r="T449" s="1">
        <v>0</v>
      </c>
      <c r="U449" s="1">
        <f>Games[[#This Row],[PointsFor]]-Games[[#This Row],[PointsAgainst]]</f>
        <v>-11</v>
      </c>
      <c r="V449" s="1">
        <f>IF(Games[[#This Row],[MOV]]&gt;0,1,IF(Games[[#This Row],[MOV]]=0,0.5,0))</f>
        <v>0</v>
      </c>
      <c r="W449" s="4">
        <f>((ABS(Games[[#This Row],[MOV]])+5)^0.6)/(12+0.01*(ABS(Games[[#This Row],[PreGmRate]]-Games[[#This Row],[OppPreGmRate]])))*IF(Games[[#This Row],[OT]]=1,0.9,1)</f>
        <v>0.38286598333613392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9" s="9">
        <f>MAX(kmin, kmax - 0.15 * MIN(Games[[#This Row],[GamesPlayed]], 82))</f>
        <v>70.75</v>
      </c>
      <c r="Z449" s="4">
        <f>Games[[#This Row],[K]]*Games[[#This Row],[POMult]]</f>
        <v>77.825000000000003</v>
      </c>
      <c r="AA449" s="4">
        <f>(Games[[#This Row],[Keff]]*Games[[#This Row],[MOVMult]])*(Games[[#This Row],[Result]]-Games[[#This Row],[ExpectedWin%]])</f>
        <v>-10.940773128154927</v>
      </c>
      <c r="AB449" s="4">
        <f>Games[[#This Row],[PreGmRate]]+Games[[#This Row],[RatingChange]]</f>
        <v>1465.9449090059497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1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38595</v>
      </c>
      <c r="B450" s="2">
        <v>2005</v>
      </c>
      <c r="C450" s="2">
        <f>COUNTIFS(Games[Team],Games[[#This Row],[Team]],Games[Season],Games[[#This Row],[Season]],Games[Date],"&lt;=" &amp; Games[[#This Row],[Date]])</f>
        <v>35</v>
      </c>
      <c r="D450" s="2" t="s">
        <v>46</v>
      </c>
      <c r="E450" s="2">
        <v>1</v>
      </c>
      <c r="F450" s="1" t="s">
        <v>45</v>
      </c>
      <c r="G450" s="1" t="s">
        <v>70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">
        <f>MAX(-16, MIN(16, Games[[#This Row],[RestDiff]]*8))</f>
        <v>0</v>
      </c>
      <c r="N450" s="1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1643.3820898552731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1502.606584065371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0.58098691418821158</v>
      </c>
      <c r="R450" s="1">
        <v>75</v>
      </c>
      <c r="S450" s="1">
        <v>72</v>
      </c>
      <c r="T450" s="1">
        <v>0</v>
      </c>
      <c r="U450" s="1">
        <f>Games[[#This Row],[PointsFor]]-Games[[#This Row],[PointsAgainst]]</f>
        <v>3</v>
      </c>
      <c r="V450" s="1">
        <f>IF(Games[[#This Row],[MOV]]&gt;0,1,IF(Games[[#This Row],[MOV]]=0,0.5,0))</f>
        <v>1</v>
      </c>
      <c r="W450" s="4">
        <f>((ABS(Games[[#This Row],[MOV]])+5)^0.6)/(12+0.01*(ABS(Games[[#This Row],[PreGmRate]]-Games[[#This Row],[OppPreGmRate]])))*IF(Games[[#This Row],[OT]]=1,0.9,1)</f>
        <v>0.25971553314833257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0" s="9">
        <f>MAX(kmin, kmax - 0.15 * MIN(Games[[#This Row],[GamesPlayed]], 82))</f>
        <v>70.75</v>
      </c>
      <c r="Z450" s="4">
        <f>Games[[#This Row],[K]]*Games[[#This Row],[POMult]]</f>
        <v>77.825000000000003</v>
      </c>
      <c r="AA450" s="4">
        <f>(Games[[#This Row],[Keff]]*Games[[#This Row],[MOVMult]])*(Games[[#This Row],[Result]]-Games[[#This Row],[ExpectedWin%]])</f>
        <v>8.4692439080423547</v>
      </c>
      <c r="AB450" s="4">
        <f>Games[[#This Row],[PreGmRate]]+Games[[#This Row],[RatingChange]]</f>
        <v>1651.8513337633153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0</v>
      </c>
      <c r="AE450" s="2">
        <f>IF(AND(Games[[#This Row],[Type]]="P",Games[[#This Row],[Round]]=1),IF(Games[[#This Row],[Result]]&gt;0.5,1,0),0)</f>
        <v>1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38595</v>
      </c>
      <c r="B451" s="2">
        <v>2005</v>
      </c>
      <c r="C451" s="2">
        <f>COUNTIFS(Games[Team],Games[[#This Row],[Team]],Games[Season],Games[[#This Row],[Season]],Games[Date],"&lt;=" &amp; Games[[#This Row],[Date]])</f>
        <v>35</v>
      </c>
      <c r="D451" s="2" t="s">
        <v>46</v>
      </c>
      <c r="E451" s="2">
        <v>1</v>
      </c>
      <c r="F451" s="1" t="s">
        <v>70</v>
      </c>
      <c r="G451" s="1" t="s">
        <v>45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">
        <f>MAX(-16, MIN(16, Games[[#This Row],[RestDiff]]*8))</f>
        <v>0</v>
      </c>
      <c r="N451" s="1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1502.606584065371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1643.3820898552731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0.41901308581178837</v>
      </c>
      <c r="R451" s="1">
        <v>72</v>
      </c>
      <c r="S451" s="1">
        <v>75</v>
      </c>
      <c r="T451" s="1">
        <v>0</v>
      </c>
      <c r="U451" s="1">
        <f>Games[[#This Row],[PointsFor]]-Games[[#This Row],[PointsAgainst]]</f>
        <v>-3</v>
      </c>
      <c r="V451" s="1">
        <f>IF(Games[[#This Row],[MOV]]&gt;0,1,IF(Games[[#This Row],[MOV]]=0,0.5,0))</f>
        <v>0</v>
      </c>
      <c r="W451" s="4">
        <f>((ABS(Games[[#This Row],[MOV]])+5)^0.6)/(12+0.01*(ABS(Games[[#This Row],[PreGmRate]]-Games[[#This Row],[OppPreGmRate]])))*IF(Games[[#This Row],[OT]]=1,0.9,1)</f>
        <v>0.25971553314833257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1" s="9">
        <f>MAX(kmin, kmax - 0.15 * MIN(Games[[#This Row],[GamesPlayed]], 82))</f>
        <v>70.75</v>
      </c>
      <c r="Z451" s="4">
        <f>Games[[#This Row],[K]]*Games[[#This Row],[POMult]]</f>
        <v>77.825000000000003</v>
      </c>
      <c r="AA451" s="4">
        <f>(Games[[#This Row],[Keff]]*Games[[#This Row],[MOVMult]])*(Games[[#This Row],[Result]]-Games[[#This Row],[ExpectedWin%]])</f>
        <v>-8.4692439080423547</v>
      </c>
      <c r="AB451" s="4">
        <f>Games[[#This Row],[PreGmRate]]+Games[[#This Row],[RatingChange]]</f>
        <v>1494.1373401573287</v>
      </c>
      <c r="AC451" s="2">
        <f>IF(Games[[#This Row],[Type]]="R",IF(Games[[#This Row],[Result]]&gt;0.5,1,0),0)</f>
        <v>0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1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38596</v>
      </c>
      <c r="B452" s="2">
        <v>2005</v>
      </c>
      <c r="C452" s="2">
        <f>COUNTIFS(Games[Team],Games[[#This Row],[Team]],Games[Season],Games[[#This Row],[Season]],Games[Date],"&lt;=" &amp; Games[[#This Row],[Date]])</f>
        <v>36</v>
      </c>
      <c r="D452" s="2" t="s">
        <v>46</v>
      </c>
      <c r="E452" s="2">
        <v>1</v>
      </c>
      <c r="F452" s="1" t="s">
        <v>66</v>
      </c>
      <c r="G452" s="1" t="s">
        <v>79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">
        <f>MAX(-16, MIN(16, Games[[#This Row],[RestDiff]]*8))</f>
        <v>0</v>
      </c>
      <c r="N452" s="1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1494.3636331472642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1571.1580032793991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0.28381684904862803</v>
      </c>
      <c r="R452" s="1">
        <v>50</v>
      </c>
      <c r="S452" s="1">
        <v>58</v>
      </c>
      <c r="T452" s="1">
        <v>0</v>
      </c>
      <c r="U452" s="1">
        <f>Games[[#This Row],[PointsFor]]-Games[[#This Row],[PointsAgainst]]</f>
        <v>-8</v>
      </c>
      <c r="V452" s="1">
        <f>IF(Games[[#This Row],[MOV]]&gt;0,1,IF(Games[[#This Row],[MOV]]=0,0.5,0))</f>
        <v>0</v>
      </c>
      <c r="W452" s="4">
        <f>((ABS(Games[[#This Row],[MOV]])+5)^0.6)/(12+0.01*(ABS(Games[[#This Row],[PreGmRate]]-Games[[#This Row],[OppPreGmRate]])))*IF(Games[[#This Row],[OT]]=1,0.9,1)</f>
        <v>0.36495981882766498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2" s="9">
        <f>MAX(kmin, kmax - 0.15 * MIN(Games[[#This Row],[GamesPlayed]], 82))</f>
        <v>70.599999999999994</v>
      </c>
      <c r="Z452" s="4">
        <f>Games[[#This Row],[K]]*Games[[#This Row],[POMult]]</f>
        <v>77.66</v>
      </c>
      <c r="AA452" s="4">
        <f>(Games[[#This Row],[Keff]]*Games[[#This Row],[MOVMult]])*(Games[[#This Row],[Result]]-Games[[#This Row],[ExpectedWin%]])</f>
        <v>-8.0441583795289606</v>
      </c>
      <c r="AB452" s="4">
        <f>Games[[#This Row],[PreGmRate]]+Games[[#This Row],[RatingChange]]</f>
        <v>1486.3194747677353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0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1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38596</v>
      </c>
      <c r="B453" s="2">
        <v>2005</v>
      </c>
      <c r="C453" s="2">
        <f>COUNTIFS(Games[Team],Games[[#This Row],[Team]],Games[Season],Games[[#This Row],[Season]],Games[Date],"&lt;=" &amp; Games[[#This Row],[Date]])</f>
        <v>36</v>
      </c>
      <c r="D453" s="2" t="s">
        <v>46</v>
      </c>
      <c r="E453" s="2">
        <v>1</v>
      </c>
      <c r="F453" s="1" t="s">
        <v>79</v>
      </c>
      <c r="G453" s="1" t="s">
        <v>66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">
        <f>MAX(-16, MIN(16, Games[[#This Row],[RestDiff]]*8))</f>
        <v>0</v>
      </c>
      <c r="N453" s="1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1571.1580032793991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1494.3636331472642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0.71618315095137186</v>
      </c>
      <c r="R453" s="1">
        <v>58</v>
      </c>
      <c r="S453" s="1">
        <v>50</v>
      </c>
      <c r="T453" s="1">
        <v>0</v>
      </c>
      <c r="U453" s="1">
        <f>Games[[#This Row],[PointsFor]]-Games[[#This Row],[PointsAgainst]]</f>
        <v>8</v>
      </c>
      <c r="V453" s="1">
        <f>IF(Games[[#This Row],[MOV]]&gt;0,1,IF(Games[[#This Row],[MOV]]=0,0.5,0))</f>
        <v>1</v>
      </c>
      <c r="W453" s="4">
        <f>((ABS(Games[[#This Row],[MOV]])+5)^0.6)/(12+0.01*(ABS(Games[[#This Row],[PreGmRate]]-Games[[#This Row],[OppPreGmRate]])))*IF(Games[[#This Row],[OT]]=1,0.9,1)</f>
        <v>0.36495981882766498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3" s="9">
        <f>MAX(kmin, kmax - 0.15 * MIN(Games[[#This Row],[GamesPlayed]], 82))</f>
        <v>70.599999999999994</v>
      </c>
      <c r="Z453" s="4">
        <f>Games[[#This Row],[K]]*Games[[#This Row],[POMult]]</f>
        <v>77.66</v>
      </c>
      <c r="AA453" s="4">
        <f>(Games[[#This Row],[Keff]]*Games[[#This Row],[MOVMult]])*(Games[[#This Row],[Result]]-Games[[#This Row],[ExpectedWin%]])</f>
        <v>8.0441583795289642</v>
      </c>
      <c r="AB453" s="4">
        <f>Games[[#This Row],[PreGmRate]]+Games[[#This Row],[RatingChange]]</f>
        <v>1579.2021616589279</v>
      </c>
      <c r="AC453" s="2">
        <f>IF(Games[[#This Row],[Type]]="R",IF(Games[[#This Row],[Result]]&gt;0.5,1,0),0)</f>
        <v>0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1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38596</v>
      </c>
      <c r="B454" s="2">
        <v>2005</v>
      </c>
      <c r="C454" s="2">
        <f>COUNTIFS(Games[Team],Games[[#This Row],[Team]],Games[Season],Games[[#This Row],[Season]],Games[Date],"&lt;=" &amp; Games[[#This Row],[Date]])</f>
        <v>36</v>
      </c>
      <c r="D454" s="2" t="s">
        <v>46</v>
      </c>
      <c r="E454" s="2">
        <v>1</v>
      </c>
      <c r="F454" s="1" t="s">
        <v>2</v>
      </c>
      <c r="G454" s="1" t="s">
        <v>81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">
        <f>MAX(-16, MIN(16, Games[[#This Row],[RestDiff]]*8))</f>
        <v>0</v>
      </c>
      <c r="N454" s="1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1520.0190949440516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1599.7228765452544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0.28042494601482837</v>
      </c>
      <c r="R454" s="1">
        <v>67</v>
      </c>
      <c r="S454" s="1">
        <v>64</v>
      </c>
      <c r="T454" s="1">
        <v>0</v>
      </c>
      <c r="U454" s="1">
        <f>Games[[#This Row],[PointsFor]]-Games[[#This Row],[PointsAgainst]]</f>
        <v>3</v>
      </c>
      <c r="V454" s="1">
        <f>IF(Games[[#This Row],[MOV]]&gt;0,1,IF(Games[[#This Row],[MOV]]=0,0.5,0))</f>
        <v>1</v>
      </c>
      <c r="W454" s="4">
        <f>((ABS(Games[[#This Row],[MOV]])+5)^0.6)/(12+0.01*(ABS(Games[[#This Row],[PreGmRate]]-Games[[#This Row],[OppPreGmRate]])))*IF(Games[[#This Row],[OT]]=1,0.9,1)</f>
        <v>0.27211002290135172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4" s="9">
        <f>MAX(kmin, kmax - 0.15 * MIN(Games[[#This Row],[GamesPlayed]], 82))</f>
        <v>70.599999999999994</v>
      </c>
      <c r="Z454" s="4">
        <f>Games[[#This Row],[K]]*Games[[#This Row],[POMult]]</f>
        <v>77.66</v>
      </c>
      <c r="AA454" s="4">
        <f>(Games[[#This Row],[Keff]]*Games[[#This Row],[MOVMult]])*(Games[[#This Row],[Result]]-Games[[#This Row],[ExpectedWin%]])</f>
        <v>15.206106365990912</v>
      </c>
      <c r="AB454" s="4">
        <f>Games[[#This Row],[PreGmRate]]+Games[[#This Row],[RatingChange]]</f>
        <v>1535.2252013100426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0</v>
      </c>
      <c r="AE454" s="2">
        <f>IF(AND(Games[[#This Row],[Type]]="P",Games[[#This Row],[Round]]=1),IF(Games[[#This Row],[Result]]&gt;0.5,1,0),0)</f>
        <v>1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38596</v>
      </c>
      <c r="B455" s="2">
        <v>2005</v>
      </c>
      <c r="C455" s="2">
        <f>COUNTIFS(Games[Team],Games[[#This Row],[Team]],Games[Season],Games[[#This Row],[Season]],Games[Date],"&lt;=" &amp; Games[[#This Row],[Date]])</f>
        <v>36</v>
      </c>
      <c r="D455" s="2" t="s">
        <v>46</v>
      </c>
      <c r="E455" s="2">
        <v>1</v>
      </c>
      <c r="F455" s="1" t="s">
        <v>81</v>
      </c>
      <c r="G455" s="1" t="s">
        <v>2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">
        <f>MAX(-16, MIN(16, Games[[#This Row],[RestDiff]]*8))</f>
        <v>0</v>
      </c>
      <c r="N455" s="1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1599.7228765452544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1520.0190949440516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0.71957505398517163</v>
      </c>
      <c r="R455" s="1">
        <v>64</v>
      </c>
      <c r="S455" s="1">
        <v>67</v>
      </c>
      <c r="T455" s="1">
        <v>0</v>
      </c>
      <c r="U455" s="1">
        <f>Games[[#This Row],[PointsFor]]-Games[[#This Row],[PointsAgainst]]</f>
        <v>-3</v>
      </c>
      <c r="V455" s="1">
        <f>IF(Games[[#This Row],[MOV]]&gt;0,1,IF(Games[[#This Row],[MOV]]=0,0.5,0))</f>
        <v>0</v>
      </c>
      <c r="W455" s="4">
        <f>((ABS(Games[[#This Row],[MOV]])+5)^0.6)/(12+0.01*(ABS(Games[[#This Row],[PreGmRate]]-Games[[#This Row],[OppPreGmRate]])))*IF(Games[[#This Row],[OT]]=1,0.9,1)</f>
        <v>0.27211002290135172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5" s="9">
        <f>MAX(kmin, kmax - 0.15 * MIN(Games[[#This Row],[GamesPlayed]], 82))</f>
        <v>70.599999999999994</v>
      </c>
      <c r="Z455" s="4">
        <f>Games[[#This Row],[K]]*Games[[#This Row],[POMult]]</f>
        <v>77.66</v>
      </c>
      <c r="AA455" s="4">
        <f>(Games[[#This Row],[Keff]]*Games[[#This Row],[MOVMult]])*(Games[[#This Row],[Result]]-Games[[#This Row],[ExpectedWin%]])</f>
        <v>-15.206106365990912</v>
      </c>
      <c r="AB455" s="4">
        <f>Games[[#This Row],[PreGmRate]]+Games[[#This Row],[RatingChange]]</f>
        <v>1584.5167701792634</v>
      </c>
      <c r="AC455" s="2">
        <f>IF(Games[[#This Row],[Type]]="R",IF(Games[[#This Row],[Result]]&gt;0.5,1,0),0)</f>
        <v>0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1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38597</v>
      </c>
      <c r="B456" s="2">
        <v>2005</v>
      </c>
      <c r="C456" s="2">
        <f>COUNTIFS(Games[Team],Games[[#This Row],[Team]],Games[Season],Games[[#This Row],[Season]],Games[Date],"&lt;=" &amp; Games[[#This Row],[Date]])</f>
        <v>36</v>
      </c>
      <c r="D456" s="2" t="s">
        <v>46</v>
      </c>
      <c r="E456" s="2">
        <v>1</v>
      </c>
      <c r="F456" s="1" t="s">
        <v>75</v>
      </c>
      <c r="G456" s="1" t="s">
        <v>86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6" s="2">
        <f>Games[[#This Row],[DaysOff]]-Games[[#This Row],[OppDaysOff]]</f>
        <v>0</v>
      </c>
      <c r="L456" s="2">
        <f>Games[[#This Row],[OppDaysOff]]-Games[[#This Row],[DaysOff]]</f>
        <v>0</v>
      </c>
      <c r="M456" s="1">
        <f>MAX(-16, MIN(16, Games[[#This Row],[RestDiff]]*8))</f>
        <v>0</v>
      </c>
      <c r="N456" s="1">
        <f>MAX(-16, MIN(16, Games[[#This Row],[OppRestDiff]]*8))</f>
        <v>0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1465.9449090059497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1666.3849777773753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0.1628234281455706</v>
      </c>
      <c r="R456" s="1">
        <v>67</v>
      </c>
      <c r="S456" s="1">
        <v>75</v>
      </c>
      <c r="T456" s="1">
        <v>0</v>
      </c>
      <c r="U456" s="1">
        <f>Games[[#This Row],[PointsFor]]-Games[[#This Row],[PointsAgainst]]</f>
        <v>-8</v>
      </c>
      <c r="V456" s="1">
        <f>IF(Games[[#This Row],[MOV]]&gt;0,1,IF(Games[[#This Row],[MOV]]=0,0.5,0))</f>
        <v>0</v>
      </c>
      <c r="W456" s="4">
        <f>((ABS(Games[[#This Row],[MOV]])+5)^0.6)/(12+0.01*(ABS(Games[[#This Row],[PreGmRate]]-Games[[#This Row],[OppPreGmRate]])))*IF(Games[[#This Row],[OT]]=1,0.9,1)</f>
        <v>0.33273729622175058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6" s="9">
        <f>MAX(kmin, kmax - 0.15 * MIN(Games[[#This Row],[GamesPlayed]], 82))</f>
        <v>70.599999999999994</v>
      </c>
      <c r="Z456" s="4">
        <f>Games[[#This Row],[K]]*Games[[#This Row],[POMult]]</f>
        <v>77.66</v>
      </c>
      <c r="AA456" s="4">
        <f>(Games[[#This Row],[Keff]]*Games[[#This Row],[MOVMult]])*(Games[[#This Row],[Result]]-Games[[#This Row],[ExpectedWin%]])</f>
        <v>-4.2074189996691418</v>
      </c>
      <c r="AB456" s="4">
        <f>Games[[#This Row],[PreGmRate]]+Games[[#This Row],[RatingChange]]</f>
        <v>1461.7374900062805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0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1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38597</v>
      </c>
      <c r="B457" s="2">
        <v>2005</v>
      </c>
      <c r="C457" s="2">
        <f>COUNTIFS(Games[Team],Games[[#This Row],[Team]],Games[Season],Games[[#This Row],[Season]],Games[Date],"&lt;=" &amp; Games[[#This Row],[Date]])</f>
        <v>36</v>
      </c>
      <c r="D457" s="2" t="s">
        <v>46</v>
      </c>
      <c r="E457" s="2">
        <v>1</v>
      </c>
      <c r="F457" s="1" t="s">
        <v>86</v>
      </c>
      <c r="G457" s="1" t="s">
        <v>75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7" s="2">
        <f>Games[[#This Row],[DaysOff]]-Games[[#This Row],[OppDaysOff]]</f>
        <v>0</v>
      </c>
      <c r="L457" s="2">
        <f>Games[[#This Row],[OppDaysOff]]-Games[[#This Row],[DaysOff]]</f>
        <v>0</v>
      </c>
      <c r="M457" s="1">
        <f>MAX(-16, MIN(16, Games[[#This Row],[RestDiff]]*8))</f>
        <v>0</v>
      </c>
      <c r="N457" s="1">
        <f>MAX(-16, MIN(16, Games[[#This Row],[OppRestDiff]]*8))</f>
        <v>0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1666.3849777773753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1465.9449090059497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0.8371765718544294</v>
      </c>
      <c r="R457" s="1">
        <v>75</v>
      </c>
      <c r="S457" s="1">
        <v>67</v>
      </c>
      <c r="T457" s="1">
        <v>0</v>
      </c>
      <c r="U457" s="1">
        <f>Games[[#This Row],[PointsFor]]-Games[[#This Row],[PointsAgainst]]</f>
        <v>8</v>
      </c>
      <c r="V457" s="1">
        <f>IF(Games[[#This Row],[MOV]]&gt;0,1,IF(Games[[#This Row],[MOV]]=0,0.5,0))</f>
        <v>1</v>
      </c>
      <c r="W457" s="4">
        <f>((ABS(Games[[#This Row],[MOV]])+5)^0.6)/(12+0.01*(ABS(Games[[#This Row],[PreGmRate]]-Games[[#This Row],[OppPreGmRate]])))*IF(Games[[#This Row],[OT]]=1,0.9,1)</f>
        <v>0.33273729622175058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7" s="9">
        <f>MAX(kmin, kmax - 0.15 * MIN(Games[[#This Row],[GamesPlayed]], 82))</f>
        <v>70.599999999999994</v>
      </c>
      <c r="Z457" s="4">
        <f>Games[[#This Row],[K]]*Games[[#This Row],[POMult]]</f>
        <v>77.66</v>
      </c>
      <c r="AA457" s="4">
        <f>(Games[[#This Row],[Keff]]*Games[[#This Row],[MOVMult]])*(Games[[#This Row],[Result]]-Games[[#This Row],[ExpectedWin%]])</f>
        <v>4.2074189996691418</v>
      </c>
      <c r="AB457" s="4">
        <f>Games[[#This Row],[PreGmRate]]+Games[[#This Row],[RatingChange]]</f>
        <v>1670.5923967770445</v>
      </c>
      <c r="AC457" s="2">
        <f>IF(Games[[#This Row],[Type]]="R",IF(Games[[#This Row],[Result]]&gt;0.5,1,0),0)</f>
        <v>0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1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38597</v>
      </c>
      <c r="B458" s="2">
        <v>2005</v>
      </c>
      <c r="C458" s="2">
        <f>COUNTIFS(Games[Team],Games[[#This Row],[Team]],Games[Season],Games[[#This Row],[Season]],Games[Date],"&lt;=" &amp; Games[[#This Row],[Date]])</f>
        <v>36</v>
      </c>
      <c r="D458" s="2" t="s">
        <v>46</v>
      </c>
      <c r="E458" s="2">
        <v>1</v>
      </c>
      <c r="F458" s="1" t="s">
        <v>70</v>
      </c>
      <c r="G458" s="1" t="s">
        <v>45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8" s="2">
        <f>Games[[#This Row],[DaysOff]]-Games[[#This Row],[OppDaysOff]]</f>
        <v>0</v>
      </c>
      <c r="L458" s="2">
        <f>Games[[#This Row],[OppDaysOff]]-Games[[#This Row],[DaysOff]]</f>
        <v>0</v>
      </c>
      <c r="M458" s="1">
        <f>MAX(-16, MIN(16, Games[[#This Row],[RestDiff]]*8))</f>
        <v>0</v>
      </c>
      <c r="N458" s="1">
        <f>MAX(-16, MIN(16, Games[[#This Row],[OppRestDiff]]*8))</f>
        <v>0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1494.1373401573287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1651.8513337633153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0.19918154213689851</v>
      </c>
      <c r="R458" s="1">
        <v>63</v>
      </c>
      <c r="S458" s="1">
        <v>81</v>
      </c>
      <c r="T458" s="1">
        <v>0</v>
      </c>
      <c r="U458" s="1">
        <f>Games[[#This Row],[PointsFor]]-Games[[#This Row],[PointsAgainst]]</f>
        <v>-18</v>
      </c>
      <c r="V458" s="1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0.48331292278189275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8" s="9">
        <f>MAX(kmin, kmax - 0.15 * MIN(Games[[#This Row],[GamesPlayed]], 82))</f>
        <v>70.599999999999994</v>
      </c>
      <c r="Z458" s="4">
        <f>Games[[#This Row],[K]]*Games[[#This Row],[POMult]]</f>
        <v>77.66</v>
      </c>
      <c r="AA458" s="4">
        <f>(Games[[#This Row],[Keff]]*Games[[#This Row],[MOVMult]])*(Games[[#This Row],[Result]]-Games[[#This Row],[ExpectedWin%]])</f>
        <v>-7.4760962524422601</v>
      </c>
      <c r="AB458" s="4">
        <f>Games[[#This Row],[PreGmRate]]+Games[[#This Row],[RatingChange]]</f>
        <v>1486.6612439048865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0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1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38597</v>
      </c>
      <c r="B459" s="2">
        <v>2005</v>
      </c>
      <c r="C459" s="2">
        <f>COUNTIFS(Games[Team],Games[[#This Row],[Team]],Games[Season],Games[[#This Row],[Season]],Games[Date],"&lt;=" &amp; Games[[#This Row],[Date]])</f>
        <v>36</v>
      </c>
      <c r="D459" s="2" t="s">
        <v>46</v>
      </c>
      <c r="E459" s="2">
        <v>1</v>
      </c>
      <c r="F459" s="1" t="s">
        <v>45</v>
      </c>
      <c r="G459" s="1" t="s">
        <v>70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9" s="2">
        <f>Games[[#This Row],[DaysOff]]-Games[[#This Row],[OppDaysOff]]</f>
        <v>0</v>
      </c>
      <c r="L459" s="2">
        <f>Games[[#This Row],[OppDaysOff]]-Games[[#This Row],[DaysOff]]</f>
        <v>0</v>
      </c>
      <c r="M459" s="1">
        <f>MAX(-16, MIN(16, Games[[#This Row],[RestDiff]]*8))</f>
        <v>0</v>
      </c>
      <c r="N459" s="1">
        <f>MAX(-16, MIN(16, Games[[#This Row],[OppRestDiff]]*8))</f>
        <v>0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1651.8513337633153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1494.1373401573287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0.80081845786310146</v>
      </c>
      <c r="R459" s="1">
        <v>81</v>
      </c>
      <c r="S459" s="1">
        <v>63</v>
      </c>
      <c r="T459" s="1">
        <v>0</v>
      </c>
      <c r="U459" s="1">
        <f>Games[[#This Row],[PointsFor]]-Games[[#This Row],[PointsAgainst]]</f>
        <v>18</v>
      </c>
      <c r="V459" s="1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0.48331292278189275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9" s="9">
        <f>MAX(kmin, kmax - 0.15 * MIN(Games[[#This Row],[GamesPlayed]], 82))</f>
        <v>70.599999999999994</v>
      </c>
      <c r="Z459" s="4">
        <f>Games[[#This Row],[K]]*Games[[#This Row],[POMult]]</f>
        <v>77.66</v>
      </c>
      <c r="AA459" s="4">
        <f>(Games[[#This Row],[Keff]]*Games[[#This Row],[MOVMult]])*(Games[[#This Row],[Result]]-Games[[#This Row],[ExpectedWin%]])</f>
        <v>7.4760962524422609</v>
      </c>
      <c r="AB459" s="4">
        <f>Games[[#This Row],[PreGmRate]]+Games[[#This Row],[RatingChange]]</f>
        <v>1659.3274300157575</v>
      </c>
      <c r="AC459" s="2">
        <f>IF(Games[[#This Row],[Type]]="R",IF(Games[[#This Row],[Result]]&gt;0.5,1,0),0)</f>
        <v>0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1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38598</v>
      </c>
      <c r="B460" s="2">
        <v>2005</v>
      </c>
      <c r="C460" s="2">
        <f>COUNTIFS(Games[Team],Games[[#This Row],[Team]],Games[Season],Games[[#This Row],[Season]],Games[Date],"&lt;=" &amp; Games[[#This Row],[Date]])</f>
        <v>37</v>
      </c>
      <c r="D460" s="2" t="s">
        <v>46</v>
      </c>
      <c r="E460" s="2">
        <v>1</v>
      </c>
      <c r="F460" s="1" t="s">
        <v>2</v>
      </c>
      <c r="G460" s="1" t="s">
        <v>81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0" s="2">
        <f>Games[[#This Row],[DaysOff]]-Games[[#This Row],[OppDaysOff]]</f>
        <v>0</v>
      </c>
      <c r="L460" s="2">
        <f>Games[[#This Row],[OppDaysOff]]-Games[[#This Row],[DaysOff]]</f>
        <v>0</v>
      </c>
      <c r="M460" s="1">
        <f>MAX(-16, MIN(16, Games[[#This Row],[RestDiff]]*8))</f>
        <v>0</v>
      </c>
      <c r="N460" s="1">
        <f>MAX(-16, MIN(16, Games[[#This Row],[OppRestDiff]]*8))</f>
        <v>0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1535.2252013100426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1584.5167701792634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0.31706606919354047</v>
      </c>
      <c r="R460" s="1">
        <v>75</v>
      </c>
      <c r="S460" s="1">
        <v>58</v>
      </c>
      <c r="T460" s="1">
        <v>0</v>
      </c>
      <c r="U460" s="1">
        <f>Games[[#This Row],[PointsFor]]-Games[[#This Row],[PointsAgainst]]</f>
        <v>17</v>
      </c>
      <c r="V460" s="1">
        <f>IF(Games[[#This Row],[MOV]]&gt;0,1,IF(Games[[#This Row],[MOV]]=0,0.5,0))</f>
        <v>1</v>
      </c>
      <c r="W460" s="4">
        <f>((ABS(Games[[#This Row],[MOV]])+5)^0.6)/(12+0.01*(ABS(Games[[#This Row],[PreGmRate]]-Games[[#This Row],[OppPreGmRate]])))*IF(Games[[#This Row],[OT]]=1,0.9,1)</f>
        <v>0.51143423906775898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0" s="9">
        <f>MAX(kmin, kmax - 0.15 * MIN(Games[[#This Row],[GamesPlayed]], 82))</f>
        <v>70.45</v>
      </c>
      <c r="Z460" s="4">
        <f>Games[[#This Row],[K]]*Games[[#This Row],[POMult]]</f>
        <v>77.495000000000005</v>
      </c>
      <c r="AA460" s="4">
        <f>(Games[[#This Row],[Keff]]*Games[[#This Row],[MOVMult]])*(Games[[#This Row],[Result]]-Games[[#This Row],[ExpectedWin%]])</f>
        <v>27.067127751779349</v>
      </c>
      <c r="AB460" s="4">
        <f>Games[[#This Row],[PreGmRate]]+Games[[#This Row],[RatingChange]]</f>
        <v>1562.2923290618219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0</v>
      </c>
      <c r="AE460" s="2">
        <f>IF(AND(Games[[#This Row],[Type]]="P",Games[[#This Row],[Round]]=1),IF(Games[[#This Row],[Result]]&gt;0.5,1,0),0)</f>
        <v>1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38598</v>
      </c>
      <c r="B461" s="2">
        <v>2005</v>
      </c>
      <c r="C461" s="2">
        <f>COUNTIFS(Games[Team],Games[[#This Row],[Team]],Games[Season],Games[[#This Row],[Season]],Games[Date],"&lt;=" &amp; Games[[#This Row],[Date]])</f>
        <v>37</v>
      </c>
      <c r="D461" s="2" t="s">
        <v>46</v>
      </c>
      <c r="E461" s="2">
        <v>1</v>
      </c>
      <c r="F461" s="1" t="s">
        <v>81</v>
      </c>
      <c r="G461" s="1" t="s">
        <v>2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1" s="2">
        <f>Games[[#This Row],[DaysOff]]-Games[[#This Row],[OppDaysOff]]</f>
        <v>0</v>
      </c>
      <c r="L461" s="2">
        <f>Games[[#This Row],[OppDaysOff]]-Games[[#This Row],[DaysOff]]</f>
        <v>0</v>
      </c>
      <c r="M461" s="1">
        <f>MAX(-16, MIN(16, Games[[#This Row],[RestDiff]]*8))</f>
        <v>0</v>
      </c>
      <c r="N461" s="1">
        <f>MAX(-16, MIN(16, Games[[#This Row],[OppRestDiff]]*8))</f>
        <v>0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1584.5167701792634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1535.2252013100426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0.68293393080645959</v>
      </c>
      <c r="R461" s="1">
        <v>58</v>
      </c>
      <c r="S461" s="1">
        <v>75</v>
      </c>
      <c r="T461" s="1">
        <v>0</v>
      </c>
      <c r="U461" s="1">
        <f>Games[[#This Row],[PointsFor]]-Games[[#This Row],[PointsAgainst]]</f>
        <v>-17</v>
      </c>
      <c r="V461" s="1">
        <f>IF(Games[[#This Row],[MOV]]&gt;0,1,IF(Games[[#This Row],[MOV]]=0,0.5,0))</f>
        <v>0</v>
      </c>
      <c r="W461" s="4">
        <f>((ABS(Games[[#This Row],[MOV]])+5)^0.6)/(12+0.01*(ABS(Games[[#This Row],[PreGmRate]]-Games[[#This Row],[OppPreGmRate]])))*IF(Games[[#This Row],[OT]]=1,0.9,1)</f>
        <v>0.51143423906775898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1" s="9">
        <f>MAX(kmin, kmax - 0.15 * MIN(Games[[#This Row],[GamesPlayed]], 82))</f>
        <v>70.45</v>
      </c>
      <c r="Z461" s="4">
        <f>Games[[#This Row],[K]]*Games[[#This Row],[POMult]]</f>
        <v>77.495000000000005</v>
      </c>
      <c r="AA461" s="4">
        <f>(Games[[#This Row],[Keff]]*Games[[#This Row],[MOVMult]])*(Games[[#This Row],[Result]]-Games[[#This Row],[ExpectedWin%]])</f>
        <v>-27.067127751779353</v>
      </c>
      <c r="AB461" s="4">
        <f>Games[[#This Row],[PreGmRate]]+Games[[#This Row],[RatingChange]]</f>
        <v>1557.4496424274842</v>
      </c>
      <c r="AC461" s="2">
        <f>IF(Games[[#This Row],[Type]]="R",IF(Games[[#This Row],[Result]]&gt;0.5,1,0),0)</f>
        <v>0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1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38603</v>
      </c>
      <c r="B462" s="2">
        <v>2005</v>
      </c>
      <c r="C462" s="2">
        <f>COUNTIFS(Games[Team],Games[[#This Row],[Team]],Games[Season],Games[[#This Row],[Season]],Games[Date],"&lt;=" &amp; Games[[#This Row],[Date]])</f>
        <v>37</v>
      </c>
      <c r="D462" s="2" t="s">
        <v>46</v>
      </c>
      <c r="E462" s="2">
        <v>2</v>
      </c>
      <c r="F462" s="1" t="s">
        <v>45</v>
      </c>
      <c r="G462" s="1" t="s">
        <v>2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5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62" s="2">
        <f>Games[[#This Row],[DaysOff]]-Games[[#This Row],[OppDaysOff]]</f>
        <v>1</v>
      </c>
      <c r="L462" s="2">
        <f>Games[[#This Row],[OppDaysOff]]-Games[[#This Row],[DaysOff]]</f>
        <v>-1</v>
      </c>
      <c r="M462" s="1">
        <f>MAX(-16, MIN(16, Games[[#This Row],[RestDiff]]*8))</f>
        <v>8</v>
      </c>
      <c r="N462" s="1">
        <f>MAX(-16, MIN(16, Games[[#This Row],[OppRestDiff]]*8))</f>
        <v>-8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1659.3274300157575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1562.2923290618219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0.54168786631940491</v>
      </c>
      <c r="R462" s="1">
        <v>73</v>
      </c>
      <c r="S462" s="1">
        <v>69</v>
      </c>
      <c r="T462" s="1">
        <v>1</v>
      </c>
      <c r="U462" s="1">
        <f>Games[[#This Row],[PointsFor]]-Games[[#This Row],[PointsAgainst]]</f>
        <v>4</v>
      </c>
      <c r="V462" s="1">
        <f>IF(Games[[#This Row],[MOV]]&gt;0,1,IF(Games[[#This Row],[MOV]]=0,0.5,0))</f>
        <v>1</v>
      </c>
      <c r="W462" s="4">
        <f>((ABS(Games[[#This Row],[MOV]])+5)^0.6)/(12+0.01*(ABS(Games[[#This Row],[PreGmRate]]-Games[[#This Row],[OppPreGmRate]])))*IF(Games[[#This Row],[OT]]=1,0.9,1)</f>
        <v>0.25932016292297327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2" s="9">
        <f>MAX(kmin, kmax - 0.15 * MIN(Games[[#This Row],[GamesPlayed]], 82))</f>
        <v>70.45</v>
      </c>
      <c r="Z462" s="4">
        <f>Games[[#This Row],[K]]*Games[[#This Row],[POMult]]</f>
        <v>84.54</v>
      </c>
      <c r="AA462" s="4">
        <f>(Games[[#This Row],[Keff]]*Games[[#This Row],[MOVMult]])*(Games[[#This Row],[Result]]-Games[[#This Row],[ExpectedWin%]])</f>
        <v>10.047543254427545</v>
      </c>
      <c r="AB462" s="4">
        <f>Games[[#This Row],[PreGmRate]]+Games[[#This Row],[RatingChange]]</f>
        <v>1669.3749732701851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0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1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38603</v>
      </c>
      <c r="B463" s="2">
        <v>2005</v>
      </c>
      <c r="C463" s="2">
        <f>COUNTIFS(Games[Team],Games[[#This Row],[Team]],Games[Season],Games[[#This Row],[Season]],Games[Date],"&lt;=" &amp; Games[[#This Row],[Date]])</f>
        <v>38</v>
      </c>
      <c r="D463" s="2" t="s">
        <v>46</v>
      </c>
      <c r="E463" s="2">
        <v>2</v>
      </c>
      <c r="F463" s="1" t="s">
        <v>2</v>
      </c>
      <c r="G463" s="1" t="s">
        <v>45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63" s="2">
        <f>Games[[#This Row],[DaysOff]]-Games[[#This Row],[OppDaysOff]]</f>
        <v>-1</v>
      </c>
      <c r="L463" s="2">
        <f>Games[[#This Row],[OppDaysOff]]-Games[[#This Row],[DaysOff]]</f>
        <v>1</v>
      </c>
      <c r="M463" s="1">
        <f>MAX(-16, MIN(16, Games[[#This Row],[RestDiff]]*8))</f>
        <v>-8</v>
      </c>
      <c r="N463" s="1">
        <f>MAX(-16, MIN(16, Games[[#This Row],[OppRestDiff]]*8))</f>
        <v>8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1562.2923290618219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1659.3274300157575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0.45831213368059515</v>
      </c>
      <c r="R463" s="1">
        <v>69</v>
      </c>
      <c r="S463" s="1">
        <v>73</v>
      </c>
      <c r="T463" s="1">
        <v>1</v>
      </c>
      <c r="U463" s="1">
        <f>Games[[#This Row],[PointsFor]]-Games[[#This Row],[PointsAgainst]]</f>
        <v>-4</v>
      </c>
      <c r="V463" s="1">
        <f>IF(Games[[#This Row],[MOV]]&gt;0,1,IF(Games[[#This Row],[MOV]]=0,0.5,0))</f>
        <v>0</v>
      </c>
      <c r="W463" s="4">
        <f>((ABS(Games[[#This Row],[MOV]])+5)^0.6)/(12+0.01*(ABS(Games[[#This Row],[PreGmRate]]-Games[[#This Row],[OppPreGmRate]])))*IF(Games[[#This Row],[OT]]=1,0.9,1)</f>
        <v>0.25932016292297327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3" s="9">
        <f>MAX(kmin, kmax - 0.15 * MIN(Games[[#This Row],[GamesPlayed]], 82))</f>
        <v>70.3</v>
      </c>
      <c r="Z463" s="4">
        <f>Games[[#This Row],[K]]*Games[[#This Row],[POMult]]</f>
        <v>84.36</v>
      </c>
      <c r="AA463" s="4">
        <f>(Games[[#This Row],[Keff]]*Games[[#This Row],[MOVMult]])*(Games[[#This Row],[Result]]-Games[[#This Row],[ExpectedWin%]])</f>
        <v>-10.026150330535931</v>
      </c>
      <c r="AB463" s="4">
        <f>Games[[#This Row],[PreGmRate]]+Games[[#This Row],[RatingChange]]</f>
        <v>1552.2661787312859</v>
      </c>
      <c r="AC463" s="2">
        <f>IF(Games[[#This Row],[Type]]="R",IF(Games[[#This Row],[Result]]&gt;0.5,1,0),0)</f>
        <v>0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1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38603</v>
      </c>
      <c r="B464" s="2">
        <v>2005</v>
      </c>
      <c r="C464" s="2">
        <f>COUNTIFS(Games[Team],Games[[#This Row],[Team]],Games[Season],Games[[#This Row],[Season]],Games[Date],"&lt;=" &amp; Games[[#This Row],[Date]])</f>
        <v>37</v>
      </c>
      <c r="D464" s="2" t="s">
        <v>46</v>
      </c>
      <c r="E464" s="2">
        <v>2</v>
      </c>
      <c r="F464" s="1" t="s">
        <v>86</v>
      </c>
      <c r="G464" s="1" t="s">
        <v>79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5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64" s="2">
        <f>Games[[#This Row],[DaysOff]]-Games[[#This Row],[OppDaysOff]]</f>
        <v>-1</v>
      </c>
      <c r="L464" s="2">
        <f>Games[[#This Row],[OppDaysOff]]-Games[[#This Row],[DaysOff]]</f>
        <v>1</v>
      </c>
      <c r="M464" s="1">
        <f>MAX(-16, MIN(16, Games[[#This Row],[RestDiff]]*8))</f>
        <v>-8</v>
      </c>
      <c r="N464" s="1">
        <f>MAX(-16, MIN(16, Games[[#This Row],[OppRestDiff]]*8))</f>
        <v>8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1670.5923967770445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1579.2021616589279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0.48761208800243422</v>
      </c>
      <c r="R464" s="1">
        <v>73</v>
      </c>
      <c r="S464" s="1">
        <v>68</v>
      </c>
      <c r="T464" s="1">
        <v>0</v>
      </c>
      <c r="U464" s="1">
        <f>Games[[#This Row],[PointsFor]]-Games[[#This Row],[PointsAgainst]]</f>
        <v>5</v>
      </c>
      <c r="V464" s="1">
        <f>IF(Games[[#This Row],[MOV]]&gt;0,1,IF(Games[[#This Row],[MOV]]=0,0.5,0))</f>
        <v>1</v>
      </c>
      <c r="W464" s="4">
        <f>((ABS(Games[[#This Row],[MOV]])+5)^0.6)/(12+0.01*(ABS(Games[[#This Row],[PreGmRate]]-Games[[#This Row],[OppPreGmRate]])))*IF(Games[[#This Row],[OT]]=1,0.9,1)</f>
        <v>0.30827797804827334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4" s="9">
        <f>MAX(kmin, kmax - 0.15 * MIN(Games[[#This Row],[GamesPlayed]], 82))</f>
        <v>70.45</v>
      </c>
      <c r="Z464" s="4">
        <f>Games[[#This Row],[K]]*Games[[#This Row],[POMult]]</f>
        <v>84.54</v>
      </c>
      <c r="AA464" s="4">
        <f>(Games[[#This Row],[Keff]]*Games[[#This Row],[MOVMult]])*(Games[[#This Row],[Result]]-Games[[#This Row],[ExpectedWin%]])</f>
        <v>13.353761668029815</v>
      </c>
      <c r="AB464" s="4">
        <f>Games[[#This Row],[PreGmRate]]+Games[[#This Row],[RatingChange]]</f>
        <v>1683.9461584450744</v>
      </c>
      <c r="AC464" s="2">
        <f>IF(Games[[#This Row],[Type]]="R",IF(Games[[#This Row],[Result]]&gt;0.5,1,0),0)</f>
        <v>0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1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38603</v>
      </c>
      <c r="B465" s="2">
        <v>2005</v>
      </c>
      <c r="C465" s="2">
        <f>COUNTIFS(Games[Team],Games[[#This Row],[Team]],Games[Season],Games[[#This Row],[Season]],Games[Date],"&lt;=" &amp; Games[[#This Row],[Date]])</f>
        <v>37</v>
      </c>
      <c r="D465" s="2" t="s">
        <v>46</v>
      </c>
      <c r="E465" s="2">
        <v>2</v>
      </c>
      <c r="F465" s="1" t="s">
        <v>79</v>
      </c>
      <c r="G465" s="1" t="s">
        <v>86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6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65" s="2">
        <f>Games[[#This Row],[DaysOff]]-Games[[#This Row],[OppDaysOff]]</f>
        <v>1</v>
      </c>
      <c r="L465" s="2">
        <f>Games[[#This Row],[OppDaysOff]]-Games[[#This Row],[DaysOff]]</f>
        <v>-1</v>
      </c>
      <c r="M465" s="1">
        <f>MAX(-16, MIN(16, Games[[#This Row],[RestDiff]]*8))</f>
        <v>8</v>
      </c>
      <c r="N465" s="1">
        <f>MAX(-16, MIN(16, Games[[#This Row],[OppRestDiff]]*8))</f>
        <v>-8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1579.2021616589279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1670.5923967770445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0.51238791199756584</v>
      </c>
      <c r="R465" s="1">
        <v>68</v>
      </c>
      <c r="S465" s="1">
        <v>73</v>
      </c>
      <c r="T465" s="1">
        <v>0</v>
      </c>
      <c r="U465" s="1">
        <f>Games[[#This Row],[PointsFor]]-Games[[#This Row],[PointsAgainst]]</f>
        <v>-5</v>
      </c>
      <c r="V465" s="1">
        <f>IF(Games[[#This Row],[MOV]]&gt;0,1,IF(Games[[#This Row],[MOV]]=0,0.5,0))</f>
        <v>0</v>
      </c>
      <c r="W465" s="4">
        <f>((ABS(Games[[#This Row],[MOV]])+5)^0.6)/(12+0.01*(ABS(Games[[#This Row],[PreGmRate]]-Games[[#This Row],[OppPreGmRate]])))*IF(Games[[#This Row],[OT]]=1,0.9,1)</f>
        <v>0.30827797804827334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5" s="9">
        <f>MAX(kmin, kmax - 0.15 * MIN(Games[[#This Row],[GamesPlayed]], 82))</f>
        <v>70.45</v>
      </c>
      <c r="Z465" s="4">
        <f>Games[[#This Row],[K]]*Games[[#This Row],[POMult]]</f>
        <v>84.54</v>
      </c>
      <c r="AA465" s="4">
        <f>(Games[[#This Row],[Keff]]*Games[[#This Row],[MOVMult]])*(Games[[#This Row],[Result]]-Games[[#This Row],[ExpectedWin%]])</f>
        <v>-13.353761668029815</v>
      </c>
      <c r="AB465" s="4">
        <f>Games[[#This Row],[PreGmRate]]+Games[[#This Row],[RatingChange]]</f>
        <v>1565.8483999908981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0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1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38605</v>
      </c>
      <c r="B466" s="2">
        <v>2005</v>
      </c>
      <c r="C466" s="2">
        <f>COUNTIFS(Games[Team],Games[[#This Row],[Team]],Games[Season],Games[[#This Row],[Season]],Games[Date],"&lt;=" &amp; Games[[#This Row],[Date]])</f>
        <v>38</v>
      </c>
      <c r="D466" s="2" t="s">
        <v>46</v>
      </c>
      <c r="E466" s="2">
        <v>2</v>
      </c>
      <c r="F466" s="1" t="s">
        <v>79</v>
      </c>
      <c r="G466" s="1" t="s">
        <v>86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6" s="2">
        <f>Games[[#This Row],[DaysOff]]-Games[[#This Row],[OppDaysOff]]</f>
        <v>0</v>
      </c>
      <c r="L466" s="2">
        <f>Games[[#This Row],[OppDaysOff]]-Games[[#This Row],[DaysOff]]</f>
        <v>0</v>
      </c>
      <c r="M466" s="1">
        <f>MAX(-16, MIN(16, Games[[#This Row],[RestDiff]]*8))</f>
        <v>0</v>
      </c>
      <c r="N466" s="1">
        <f>MAX(-16, MIN(16, Games[[#This Row],[OppRestDiff]]*8))</f>
        <v>0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1565.8483999908981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1683.9461584450744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0.23805580178222321</v>
      </c>
      <c r="R466" s="1">
        <v>67</v>
      </c>
      <c r="S466" s="1">
        <v>77</v>
      </c>
      <c r="T466" s="1">
        <v>1</v>
      </c>
      <c r="U466" s="1">
        <f>Games[[#This Row],[PointsFor]]-Games[[#This Row],[PointsAgainst]]</f>
        <v>-10</v>
      </c>
      <c r="V466" s="1">
        <f>IF(Games[[#This Row],[MOV]]&gt;0,1,IF(Games[[#This Row],[MOV]]=0,0.5,0))</f>
        <v>0</v>
      </c>
      <c r="W466" s="4">
        <f>((ABS(Games[[#This Row],[MOV]])+5)^0.6)/(12+0.01*(ABS(Games[[#This Row],[PreGmRate]]-Games[[#This Row],[OppPreGmRate]])))*IF(Games[[#This Row],[OT]]=1,0.9,1)</f>
        <v>0.34669664852081877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6" s="9">
        <f>MAX(kmin, kmax - 0.15 * MIN(Games[[#This Row],[GamesPlayed]], 82))</f>
        <v>70.3</v>
      </c>
      <c r="Z466" s="4">
        <f>Games[[#This Row],[K]]*Games[[#This Row],[POMult]]</f>
        <v>84.36</v>
      </c>
      <c r="AA466" s="4">
        <f>(Games[[#This Row],[Keff]]*Games[[#This Row],[MOVMult]])*(Games[[#This Row],[Result]]-Games[[#This Row],[ExpectedWin%]])</f>
        <v>-6.9624964191719645</v>
      </c>
      <c r="AB466" s="4">
        <f>Games[[#This Row],[PreGmRate]]+Games[[#This Row],[RatingChange]]</f>
        <v>1558.8859035717262</v>
      </c>
      <c r="AC466" s="2">
        <f>IF(Games[[#This Row],[Type]]="R",IF(Games[[#This Row],[Result]]&gt;0.5,1,0),0)</f>
        <v>0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1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38605</v>
      </c>
      <c r="B467" s="2">
        <v>2005</v>
      </c>
      <c r="C467" s="2">
        <f>COUNTIFS(Games[Team],Games[[#This Row],[Team]],Games[Season],Games[[#This Row],[Season]],Games[Date],"&lt;=" &amp; Games[[#This Row],[Date]])</f>
        <v>38</v>
      </c>
      <c r="D467" s="2" t="s">
        <v>46</v>
      </c>
      <c r="E467" s="2">
        <v>2</v>
      </c>
      <c r="F467" s="1" t="s">
        <v>86</v>
      </c>
      <c r="G467" s="1" t="s">
        <v>79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0</v>
      </c>
      <c r="L467" s="2">
        <f>Games[[#This Row],[OppDaysOff]]-Games[[#This Row],[DaysOff]]</f>
        <v>0</v>
      </c>
      <c r="M467" s="1">
        <f>MAX(-16, MIN(16, Games[[#This Row],[RestDiff]]*8))</f>
        <v>0</v>
      </c>
      <c r="N467" s="1">
        <f>MAX(-16, MIN(16, Games[[#This Row],[OppRestDiff]]*8))</f>
        <v>0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1683.9461584450744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1565.8483999908981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0.76194419821777681</v>
      </c>
      <c r="R467" s="1">
        <v>77</v>
      </c>
      <c r="S467" s="1">
        <v>67</v>
      </c>
      <c r="T467" s="1">
        <v>1</v>
      </c>
      <c r="U467" s="1">
        <f>Games[[#This Row],[PointsFor]]-Games[[#This Row],[PointsAgainst]]</f>
        <v>10</v>
      </c>
      <c r="V467" s="1">
        <f>IF(Games[[#This Row],[MOV]]&gt;0,1,IF(Games[[#This Row],[MOV]]=0,0.5,0))</f>
        <v>1</v>
      </c>
      <c r="W467" s="4">
        <f>((ABS(Games[[#This Row],[MOV]])+5)^0.6)/(12+0.01*(ABS(Games[[#This Row],[PreGmRate]]-Games[[#This Row],[OppPreGmRate]])))*IF(Games[[#This Row],[OT]]=1,0.9,1)</f>
        <v>0.34669664852081877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7" s="9">
        <f>MAX(kmin, kmax - 0.15 * MIN(Games[[#This Row],[GamesPlayed]], 82))</f>
        <v>70.3</v>
      </c>
      <c r="Z467" s="4">
        <f>Games[[#This Row],[K]]*Games[[#This Row],[POMult]]</f>
        <v>84.36</v>
      </c>
      <c r="AA467" s="4">
        <f>(Games[[#This Row],[Keff]]*Games[[#This Row],[MOVMult]])*(Games[[#This Row],[Result]]-Games[[#This Row],[ExpectedWin%]])</f>
        <v>6.9624964191719636</v>
      </c>
      <c r="AB467" s="4">
        <f>Games[[#This Row],[PreGmRate]]+Games[[#This Row],[RatingChange]]</f>
        <v>1690.9086548642463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0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1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38605</v>
      </c>
      <c r="B468" s="2">
        <v>2005</v>
      </c>
      <c r="C468" s="2">
        <f>COUNTIFS(Games[Team],Games[[#This Row],[Team]],Games[Season],Games[[#This Row],[Season]],Games[Date],"&lt;=" &amp; Games[[#This Row],[Date]])</f>
        <v>39</v>
      </c>
      <c r="D468" s="2" t="s">
        <v>46</v>
      </c>
      <c r="E468" s="2">
        <v>2</v>
      </c>
      <c r="F468" s="1" t="s">
        <v>2</v>
      </c>
      <c r="G468" s="1" t="s">
        <v>45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8" s="2">
        <f>Games[[#This Row],[DaysOff]]-Games[[#This Row],[OppDaysOff]]</f>
        <v>0</v>
      </c>
      <c r="L468" s="2">
        <f>Games[[#This Row],[OppDaysOff]]-Games[[#This Row],[DaysOff]]</f>
        <v>0</v>
      </c>
      <c r="M468" s="1">
        <f>MAX(-16, MIN(16, Games[[#This Row],[RestDiff]]*8))</f>
        <v>0</v>
      </c>
      <c r="N468" s="1">
        <f>MAX(-16, MIN(16, Games[[#This Row],[OppRestDiff]]*8))</f>
        <v>0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1552.2661787312859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1669.3749732701851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0.23908995531981111</v>
      </c>
      <c r="R468" s="1">
        <v>65</v>
      </c>
      <c r="S468" s="1">
        <v>74</v>
      </c>
      <c r="T468" s="1">
        <v>0</v>
      </c>
      <c r="U468" s="1">
        <f>Games[[#This Row],[PointsFor]]-Games[[#This Row],[PointsAgainst]]</f>
        <v>-9</v>
      </c>
      <c r="V468" s="1">
        <f>IF(Games[[#This Row],[MOV]]&gt;0,1,IF(Games[[#This Row],[MOV]]=0,0.5,0))</f>
        <v>0</v>
      </c>
      <c r="W468" s="4">
        <f>((ABS(Games[[#This Row],[MOV]])+5)^0.6)/(12+0.01*(ABS(Games[[#This Row],[PreGmRate]]-Games[[#This Row],[OppPreGmRate]])))*IF(Games[[#This Row],[OT]]=1,0.9,1)</f>
        <v>0.36987516490408157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8" s="9">
        <f>MAX(kmin, kmax - 0.15 * MIN(Games[[#This Row],[GamesPlayed]], 82))</f>
        <v>70.150000000000006</v>
      </c>
      <c r="Z468" s="4">
        <f>Games[[#This Row],[K]]*Games[[#This Row],[POMult]]</f>
        <v>84.18</v>
      </c>
      <c r="AA468" s="4">
        <f>(Games[[#This Row],[Keff]]*Games[[#This Row],[MOVMult]])*(Games[[#This Row],[Result]]-Games[[#This Row],[ExpectedWin%]])</f>
        <v>-7.4443266972664182</v>
      </c>
      <c r="AB468" s="4">
        <f>Games[[#This Row],[PreGmRate]]+Games[[#This Row],[RatingChange]]</f>
        <v>1544.8218520340195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0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1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38605</v>
      </c>
      <c r="B469" s="2">
        <v>2005</v>
      </c>
      <c r="C469" s="2">
        <f>COUNTIFS(Games[Team],Games[[#This Row],[Team]],Games[Season],Games[[#This Row],[Season]],Games[Date],"&lt;=" &amp; Games[[#This Row],[Date]])</f>
        <v>38</v>
      </c>
      <c r="D469" s="2" t="s">
        <v>46</v>
      </c>
      <c r="E469" s="2">
        <v>2</v>
      </c>
      <c r="F469" s="1" t="s">
        <v>45</v>
      </c>
      <c r="G469" s="1" t="s">
        <v>2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9" s="2">
        <f>Games[[#This Row],[DaysOff]]-Games[[#This Row],[OppDaysOff]]</f>
        <v>0</v>
      </c>
      <c r="L469" s="2">
        <f>Games[[#This Row],[OppDaysOff]]-Games[[#This Row],[DaysOff]]</f>
        <v>0</v>
      </c>
      <c r="M469" s="1">
        <f>MAX(-16, MIN(16, Games[[#This Row],[RestDiff]]*8))</f>
        <v>0</v>
      </c>
      <c r="N469" s="1">
        <f>MAX(-16, MIN(16, Games[[#This Row],[OppRestDiff]]*8))</f>
        <v>0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1669.3749732701851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1552.2661787312859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0.76091004468018886</v>
      </c>
      <c r="R469" s="1">
        <v>74</v>
      </c>
      <c r="S469" s="1">
        <v>65</v>
      </c>
      <c r="T469" s="1">
        <v>0</v>
      </c>
      <c r="U469" s="1">
        <f>Games[[#This Row],[PointsFor]]-Games[[#This Row],[PointsAgainst]]</f>
        <v>9</v>
      </c>
      <c r="V469" s="1">
        <f>IF(Games[[#This Row],[MOV]]&gt;0,1,IF(Games[[#This Row],[MOV]]=0,0.5,0))</f>
        <v>1</v>
      </c>
      <c r="W469" s="4">
        <f>((ABS(Games[[#This Row],[MOV]])+5)^0.6)/(12+0.01*(ABS(Games[[#This Row],[PreGmRate]]-Games[[#This Row],[OppPreGmRate]])))*IF(Games[[#This Row],[OT]]=1,0.9,1)</f>
        <v>0.36987516490408157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9" s="9">
        <f>MAX(kmin, kmax - 0.15 * MIN(Games[[#This Row],[GamesPlayed]], 82))</f>
        <v>70.3</v>
      </c>
      <c r="Z469" s="4">
        <f>Games[[#This Row],[K]]*Games[[#This Row],[POMult]]</f>
        <v>84.36</v>
      </c>
      <c r="AA469" s="4">
        <f>(Games[[#This Row],[Keff]]*Games[[#This Row],[MOVMult]])*(Games[[#This Row],[Result]]-Games[[#This Row],[ExpectedWin%]])</f>
        <v>7.460244715863567</v>
      </c>
      <c r="AB469" s="4">
        <f>Games[[#This Row],[PreGmRate]]+Games[[#This Row],[RatingChange]]</f>
        <v>1676.8352179860487</v>
      </c>
      <c r="AC469" s="2">
        <f>IF(Games[[#This Row],[Type]]="R",IF(Games[[#This Row],[Result]]&gt;0.5,1,0),0)</f>
        <v>0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1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38609</v>
      </c>
      <c r="B470" s="2">
        <v>2005</v>
      </c>
      <c r="C470" s="2">
        <f>COUNTIFS(Games[Team],Games[[#This Row],[Team]],Games[Season],Games[[#This Row],[Season]],Games[Date],"&lt;=" &amp; Games[[#This Row],[Date]])</f>
        <v>39</v>
      </c>
      <c r="D470" s="2" t="s">
        <v>46</v>
      </c>
      <c r="E470" s="2">
        <v>3</v>
      </c>
      <c r="F470" s="1" t="s">
        <v>45</v>
      </c>
      <c r="G470" s="1" t="s">
        <v>86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0" s="2">
        <f>Games[[#This Row],[DaysOff]]-Games[[#This Row],[OppDaysOff]]</f>
        <v>0</v>
      </c>
      <c r="L470" s="2">
        <f>Games[[#This Row],[OppDaysOff]]-Games[[#This Row],[DaysOff]]</f>
        <v>0</v>
      </c>
      <c r="M470" s="1">
        <f>MAX(-16, MIN(16, Games[[#This Row],[RestDiff]]*8))</f>
        <v>0</v>
      </c>
      <c r="N470" s="1">
        <f>MAX(-16, MIN(16, Games[[#This Row],[OppRestDiff]]*8))</f>
        <v>0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1676.8352179860487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1690.9086548642463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0.36249392648574952</v>
      </c>
      <c r="R470" s="1">
        <v>69</v>
      </c>
      <c r="S470" s="1">
        <v>65</v>
      </c>
      <c r="T470" s="1">
        <v>0</v>
      </c>
      <c r="U470" s="1">
        <f>Games[[#This Row],[PointsFor]]-Games[[#This Row],[PointsAgainst]]</f>
        <v>4</v>
      </c>
      <c r="V470" s="1">
        <f>IF(Games[[#This Row],[MOV]]&gt;0,1,IF(Games[[#This Row],[MOV]]=0,0.5,0))</f>
        <v>1</v>
      </c>
      <c r="W470" s="4">
        <f>((ABS(Games[[#This Row],[MOV]])+5)^0.6)/(12+0.01*(ABS(Games[[#This Row],[PreGmRate]]-Games[[#This Row],[OppPreGmRate]])))*IF(Games[[#This Row],[OT]]=1,0.9,1)</f>
        <v>0.30782263290894218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0" s="9">
        <f>MAX(kmin, kmax - 0.15 * MIN(Games[[#This Row],[GamesPlayed]], 82))</f>
        <v>70.150000000000006</v>
      </c>
      <c r="Z470" s="4">
        <f>Games[[#This Row],[K]]*Games[[#This Row],[POMult]]</f>
        <v>94.702500000000015</v>
      </c>
      <c r="AA470" s="4">
        <f>(Games[[#This Row],[Keff]]*Games[[#This Row],[MOVMult]])*(Games[[#This Row],[Result]]-Games[[#This Row],[ExpectedWin%]])</f>
        <v>18.584304771818566</v>
      </c>
      <c r="AB470" s="4">
        <f>Games[[#This Row],[PreGmRate]]+Games[[#This Row],[RatingChange]]</f>
        <v>1695.4195227578673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0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1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38609</v>
      </c>
      <c r="B471" s="2">
        <v>2005</v>
      </c>
      <c r="C471" s="2">
        <f>COUNTIFS(Games[Team],Games[[#This Row],[Team]],Games[Season],Games[[#This Row],[Season]],Games[Date],"&lt;=" &amp; Games[[#This Row],[Date]])</f>
        <v>39</v>
      </c>
      <c r="D471" s="2" t="s">
        <v>46</v>
      </c>
      <c r="E471" s="2">
        <v>3</v>
      </c>
      <c r="F471" s="1" t="s">
        <v>86</v>
      </c>
      <c r="G471" s="1" t="s">
        <v>45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1" s="2">
        <f>Games[[#This Row],[DaysOff]]-Games[[#This Row],[OppDaysOff]]</f>
        <v>0</v>
      </c>
      <c r="L471" s="2">
        <f>Games[[#This Row],[OppDaysOff]]-Games[[#This Row],[DaysOff]]</f>
        <v>0</v>
      </c>
      <c r="M471" s="1">
        <f>MAX(-16, MIN(16, Games[[#This Row],[RestDiff]]*8))</f>
        <v>0</v>
      </c>
      <c r="N471" s="1">
        <f>MAX(-16, MIN(16, Games[[#This Row],[OppRestDiff]]*8))</f>
        <v>0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1690.9086548642463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1676.8352179860487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0.63750607351425048</v>
      </c>
      <c r="R471" s="1">
        <v>65</v>
      </c>
      <c r="S471" s="1">
        <v>69</v>
      </c>
      <c r="T471" s="1">
        <v>0</v>
      </c>
      <c r="U471" s="1">
        <f>Games[[#This Row],[PointsFor]]-Games[[#This Row],[PointsAgainst]]</f>
        <v>-4</v>
      </c>
      <c r="V471" s="1">
        <f>IF(Games[[#This Row],[MOV]]&gt;0,1,IF(Games[[#This Row],[MOV]]=0,0.5,0))</f>
        <v>0</v>
      </c>
      <c r="W471" s="4">
        <f>((ABS(Games[[#This Row],[MOV]])+5)^0.6)/(12+0.01*(ABS(Games[[#This Row],[PreGmRate]]-Games[[#This Row],[OppPreGmRate]])))*IF(Games[[#This Row],[OT]]=1,0.9,1)</f>
        <v>0.30782263290894218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1" s="9">
        <f>MAX(kmin, kmax - 0.15 * MIN(Games[[#This Row],[GamesPlayed]], 82))</f>
        <v>70.150000000000006</v>
      </c>
      <c r="Z471" s="4">
        <f>Games[[#This Row],[K]]*Games[[#This Row],[POMult]]</f>
        <v>94.702500000000015</v>
      </c>
      <c r="AA471" s="4">
        <f>(Games[[#This Row],[Keff]]*Games[[#This Row],[MOVMult]])*(Games[[#This Row],[Result]]-Games[[#This Row],[ExpectedWin%]])</f>
        <v>-18.584304771818566</v>
      </c>
      <c r="AB471" s="4">
        <f>Games[[#This Row],[PreGmRate]]+Games[[#This Row],[RatingChange]]</f>
        <v>1672.3243500924277</v>
      </c>
      <c r="AC471" s="2">
        <f>IF(Games[[#This Row],[Type]]="R",IF(Games[[#This Row],[Result]]&gt;0.5,1,0),0)</f>
        <v>0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1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38610</v>
      </c>
      <c r="B472" s="2">
        <v>2005</v>
      </c>
      <c r="C472" s="2">
        <f>COUNTIFS(Games[Team],Games[[#This Row],[Team]],Games[Season],Games[[#This Row],[Season]],Games[Date],"&lt;=" &amp; Games[[#This Row],[Date]])</f>
        <v>40</v>
      </c>
      <c r="D472" s="2" t="s">
        <v>46</v>
      </c>
      <c r="E472" s="2">
        <v>3</v>
      </c>
      <c r="F472" s="1" t="s">
        <v>45</v>
      </c>
      <c r="G472" s="1" t="s">
        <v>86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2" s="2">
        <f>Games[[#This Row],[DaysOff]]-Games[[#This Row],[OppDaysOff]]</f>
        <v>0</v>
      </c>
      <c r="L472" s="2">
        <f>Games[[#This Row],[OppDaysOff]]-Games[[#This Row],[DaysOff]]</f>
        <v>0</v>
      </c>
      <c r="M472" s="1">
        <f>MAX(-16, MIN(16, Games[[#This Row],[RestDiff]]*8))</f>
        <v>0</v>
      </c>
      <c r="N472" s="1">
        <f>MAX(-16, MIN(16, Games[[#This Row],[OppRestDiff]]*8))</f>
        <v>0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1695.4195227578673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1672.3243500924277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0.41323781068137022</v>
      </c>
      <c r="R472" s="1">
        <v>70</v>
      </c>
      <c r="S472" s="1">
        <v>77</v>
      </c>
      <c r="T472" s="1">
        <v>1</v>
      </c>
      <c r="U472" s="1">
        <f>Games[[#This Row],[PointsFor]]-Games[[#This Row],[PointsAgainst]]</f>
        <v>-7</v>
      </c>
      <c r="V472" s="1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0.3268067401615542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2" s="9">
        <f>MAX(kmin, kmax - 0.15 * MIN(Games[[#This Row],[GamesPlayed]], 82))</f>
        <v>70</v>
      </c>
      <c r="Z472" s="4">
        <f>Games[[#This Row],[K]]*Games[[#This Row],[POMult]]</f>
        <v>94.5</v>
      </c>
      <c r="AA472" s="4">
        <f>(Games[[#This Row],[Keff]]*Games[[#This Row],[MOVMult]])*(Games[[#This Row],[Result]]-Games[[#This Row],[ExpectedWin%]])</f>
        <v>-12.76212122201609</v>
      </c>
      <c r="AB472" s="4">
        <f>Games[[#This Row],[PreGmRate]]+Games[[#This Row],[RatingChange]]</f>
        <v>1682.6574015358512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0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1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38610</v>
      </c>
      <c r="B473" s="2">
        <v>2005</v>
      </c>
      <c r="C473" s="2">
        <f>COUNTIFS(Games[Team],Games[[#This Row],[Team]],Games[Season],Games[[#This Row],[Season]],Games[Date],"&lt;=" &amp; Games[[#This Row],[Date]])</f>
        <v>40</v>
      </c>
      <c r="D473" s="2" t="s">
        <v>46</v>
      </c>
      <c r="E473" s="2">
        <v>3</v>
      </c>
      <c r="F473" s="1" t="s">
        <v>86</v>
      </c>
      <c r="G473" s="1" t="s">
        <v>45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3" s="2">
        <f>Games[[#This Row],[DaysOff]]-Games[[#This Row],[OppDaysOff]]</f>
        <v>0</v>
      </c>
      <c r="L473" s="2">
        <f>Games[[#This Row],[OppDaysOff]]-Games[[#This Row],[DaysOff]]</f>
        <v>0</v>
      </c>
      <c r="M473" s="1">
        <f>MAX(-16, MIN(16, Games[[#This Row],[RestDiff]]*8))</f>
        <v>0</v>
      </c>
      <c r="N473" s="1">
        <f>MAX(-16, MIN(16, Games[[#This Row],[OppRestDiff]]*8))</f>
        <v>0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1672.3243500924277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1695.4195227578673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0.58676218931862978</v>
      </c>
      <c r="R473" s="1">
        <v>77</v>
      </c>
      <c r="S473" s="1">
        <v>70</v>
      </c>
      <c r="T473" s="1">
        <v>1</v>
      </c>
      <c r="U473" s="1">
        <f>Games[[#This Row],[PointsFor]]-Games[[#This Row],[PointsAgainst]]</f>
        <v>7</v>
      </c>
      <c r="V473" s="1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0.3268067401615542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3" s="9">
        <f>MAX(kmin, kmax - 0.15 * MIN(Games[[#This Row],[GamesPlayed]], 82))</f>
        <v>70</v>
      </c>
      <c r="Z473" s="4">
        <f>Games[[#This Row],[K]]*Games[[#This Row],[POMult]]</f>
        <v>94.5</v>
      </c>
      <c r="AA473" s="4">
        <f>(Games[[#This Row],[Keff]]*Games[[#This Row],[MOVMult]])*(Games[[#This Row],[Result]]-Games[[#This Row],[ExpectedWin%]])</f>
        <v>12.76212122201609</v>
      </c>
      <c r="AB473" s="4">
        <f>Games[[#This Row],[PreGmRate]]+Games[[#This Row],[RatingChange]]</f>
        <v>1685.0864713144438</v>
      </c>
      <c r="AC473" s="2">
        <f>IF(Games[[#This Row],[Type]]="R",IF(Games[[#This Row],[Result]]&gt;0.5,1,0),0)</f>
        <v>0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1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38613</v>
      </c>
      <c r="B474" s="2">
        <v>2005</v>
      </c>
      <c r="C474" s="2">
        <f>COUNTIFS(Games[Team],Games[[#This Row],[Team]],Games[Season],Games[[#This Row],[Season]],Games[Date],"&lt;=" &amp; Games[[#This Row],[Date]])</f>
        <v>41</v>
      </c>
      <c r="D474" s="2" t="s">
        <v>46</v>
      </c>
      <c r="E474" s="2">
        <v>3</v>
      </c>
      <c r="F474" s="1" t="s">
        <v>86</v>
      </c>
      <c r="G474" s="1" t="s">
        <v>45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">
        <f>MAX(-16, MIN(16, Games[[#This Row],[RestDiff]]*8))</f>
        <v>0</v>
      </c>
      <c r="N474" s="1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1685.0864713144438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1682.6574015358512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0.3847203862893257</v>
      </c>
      <c r="R474" s="1">
        <v>55</v>
      </c>
      <c r="S474" s="1">
        <v>66</v>
      </c>
      <c r="T474" s="1">
        <v>0</v>
      </c>
      <c r="U474" s="1">
        <f>Games[[#This Row],[PointsFor]]-Games[[#This Row],[PointsAgainst]]</f>
        <v>-11</v>
      </c>
      <c r="V474" s="1">
        <f>IF(Games[[#This Row],[MOV]]&gt;0,1,IF(Games[[#This Row],[MOV]]=0,0.5,0))</f>
        <v>0</v>
      </c>
      <c r="W474" s="4">
        <f>((ABS(Games[[#This Row],[MOV]])+5)^0.6)/(12+0.01*(ABS(Games[[#This Row],[PreGmRate]]-Games[[#This Row],[OppPreGmRate]])))*IF(Games[[#This Row],[OT]]=1,0.9,1)</f>
        <v>0.43894744195293273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4" s="9">
        <f>MAX(kmin, kmax - 0.15 * MIN(Games[[#This Row],[GamesPlayed]], 82))</f>
        <v>69.849999999999994</v>
      </c>
      <c r="Z474" s="4">
        <f>Games[[#This Row],[K]]*Games[[#This Row],[POMult]]</f>
        <v>94.297499999999999</v>
      </c>
      <c r="AA474" s="4">
        <f>(Games[[#This Row],[Keff]]*Games[[#This Row],[MOVMult]])*(Games[[#This Row],[Result]]-Games[[#This Row],[ExpectedWin%]])</f>
        <v>-15.924210195066383</v>
      </c>
      <c r="AB474" s="4">
        <f>Games[[#This Row],[PreGmRate]]+Games[[#This Row],[RatingChange]]</f>
        <v>1669.1622611193775</v>
      </c>
      <c r="AC474" s="2">
        <f>IF(Games[[#This Row],[Type]]="R",IF(Games[[#This Row],[Result]]&gt;0.5,1,0),0)</f>
        <v>0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1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38613</v>
      </c>
      <c r="B475" s="2">
        <v>2005</v>
      </c>
      <c r="C475" s="2">
        <f>COUNTIFS(Games[Team],Games[[#This Row],[Team]],Games[Season],Games[[#This Row],[Season]],Games[Date],"&lt;=" &amp; Games[[#This Row],[Date]])</f>
        <v>41</v>
      </c>
      <c r="D475" s="2" t="s">
        <v>46</v>
      </c>
      <c r="E475" s="2">
        <v>3</v>
      </c>
      <c r="F475" s="1" t="s">
        <v>45</v>
      </c>
      <c r="G475" s="1" t="s">
        <v>86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">
        <f>MAX(-16, MIN(16, Games[[#This Row],[RestDiff]]*8))</f>
        <v>0</v>
      </c>
      <c r="N475" s="1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1682.6574015358512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1685.0864713144438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0.6152796137106743</v>
      </c>
      <c r="R475" s="1">
        <v>66</v>
      </c>
      <c r="S475" s="1">
        <v>55</v>
      </c>
      <c r="T475" s="1">
        <v>0</v>
      </c>
      <c r="U475" s="1">
        <f>Games[[#This Row],[PointsFor]]-Games[[#This Row],[PointsAgainst]]</f>
        <v>11</v>
      </c>
      <c r="V475" s="1">
        <f>IF(Games[[#This Row],[MOV]]&gt;0,1,IF(Games[[#This Row],[MOV]]=0,0.5,0))</f>
        <v>1</v>
      </c>
      <c r="W475" s="4">
        <f>((ABS(Games[[#This Row],[MOV]])+5)^0.6)/(12+0.01*(ABS(Games[[#This Row],[PreGmRate]]-Games[[#This Row],[OppPreGmRate]])))*IF(Games[[#This Row],[OT]]=1,0.9,1)</f>
        <v>0.43894744195293273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5" s="9">
        <f>MAX(kmin, kmax - 0.15 * MIN(Games[[#This Row],[GamesPlayed]], 82))</f>
        <v>69.849999999999994</v>
      </c>
      <c r="Z475" s="4">
        <f>Games[[#This Row],[K]]*Games[[#This Row],[POMult]]</f>
        <v>94.297499999999999</v>
      </c>
      <c r="AA475" s="4">
        <f>(Games[[#This Row],[Keff]]*Games[[#This Row],[MOVMult]])*(Games[[#This Row],[Result]]-Games[[#This Row],[ExpectedWin%]])</f>
        <v>15.924210195066383</v>
      </c>
      <c r="AB475" s="4">
        <f>Games[[#This Row],[PreGmRate]]+Games[[#This Row],[RatingChange]]</f>
        <v>1698.5816117309175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0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1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38615</v>
      </c>
      <c r="B476" s="2">
        <v>2005</v>
      </c>
      <c r="C476" s="2">
        <f>COUNTIFS(Games[Team],Games[[#This Row],[Team]],Games[Season],Games[[#This Row],[Season]],Games[Date],"&lt;=" &amp; Games[[#This Row],[Date]])</f>
        <v>42</v>
      </c>
      <c r="D476" s="2" t="s">
        <v>46</v>
      </c>
      <c r="E476" s="2">
        <v>3</v>
      </c>
      <c r="F476" s="1" t="s">
        <v>86</v>
      </c>
      <c r="G476" s="1" t="s">
        <v>45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6" s="2">
        <f>Games[[#This Row],[DaysOff]]-Games[[#This Row],[OppDaysOff]]</f>
        <v>0</v>
      </c>
      <c r="L476" s="2">
        <f>Games[[#This Row],[OppDaysOff]]-Games[[#This Row],[DaysOff]]</f>
        <v>0</v>
      </c>
      <c r="M476" s="1">
        <f>MAX(-16, MIN(16, Games[[#This Row],[RestDiff]]*8))</f>
        <v>0</v>
      </c>
      <c r="N476" s="1">
        <f>MAX(-16, MIN(16, Games[[#This Row],[OppRestDiff]]*8))</f>
        <v>0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1669.1622611193775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1698.5816117309175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0.34233761804392643</v>
      </c>
      <c r="R476" s="1">
        <v>59</v>
      </c>
      <c r="S476" s="1">
        <v>62</v>
      </c>
      <c r="T476" s="1">
        <v>0</v>
      </c>
      <c r="U476" s="1">
        <f>Games[[#This Row],[PointsFor]]-Games[[#This Row],[PointsAgainst]]</f>
        <v>-3</v>
      </c>
      <c r="V476" s="1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0.28323958391027221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6" s="9">
        <f>MAX(kmin, kmax - 0.15 * MIN(Games[[#This Row],[GamesPlayed]], 82))</f>
        <v>69.7</v>
      </c>
      <c r="Z476" s="4">
        <f>Games[[#This Row],[K]]*Games[[#This Row],[POMult]]</f>
        <v>94.095000000000013</v>
      </c>
      <c r="AA476" s="4">
        <f>(Games[[#This Row],[Keff]]*Games[[#This Row],[MOVMult]])*(Games[[#This Row],[Result]]-Games[[#This Row],[ExpectedWin%]])</f>
        <v>-9.1237866008366719</v>
      </c>
      <c r="AB476" s="4">
        <f>Games[[#This Row],[PreGmRate]]+Games[[#This Row],[RatingChange]]</f>
        <v>1660.0384745185409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0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1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38615</v>
      </c>
      <c r="B477" s="2">
        <v>2005</v>
      </c>
      <c r="C477" s="2">
        <f>COUNTIFS(Games[Team],Games[[#This Row],[Team]],Games[Season],Games[[#This Row],[Season]],Games[Date],"&lt;=" &amp; Games[[#This Row],[Date]])</f>
        <v>42</v>
      </c>
      <c r="D477" s="2" t="s">
        <v>46</v>
      </c>
      <c r="E477" s="2">
        <v>3</v>
      </c>
      <c r="F477" s="1" t="s">
        <v>45</v>
      </c>
      <c r="G477" s="1" t="s">
        <v>86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7" s="2">
        <f>Games[[#This Row],[DaysOff]]-Games[[#This Row],[OppDaysOff]]</f>
        <v>0</v>
      </c>
      <c r="L477" s="2">
        <f>Games[[#This Row],[OppDaysOff]]-Games[[#This Row],[DaysOff]]</f>
        <v>0</v>
      </c>
      <c r="M477" s="1">
        <f>MAX(-16, MIN(16, Games[[#This Row],[RestDiff]]*8))</f>
        <v>0</v>
      </c>
      <c r="N477" s="1">
        <f>MAX(-16, MIN(16, Games[[#This Row],[OppRestDiff]]*8))</f>
        <v>0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1698.5816117309175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1669.1622611193775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0.65766238195607363</v>
      </c>
      <c r="R477" s="1">
        <v>62</v>
      </c>
      <c r="S477" s="1">
        <v>59</v>
      </c>
      <c r="T477" s="1">
        <v>0</v>
      </c>
      <c r="U477" s="1">
        <f>Games[[#This Row],[PointsFor]]-Games[[#This Row],[PointsAgainst]]</f>
        <v>3</v>
      </c>
      <c r="V477" s="1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0.28323958391027221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7" s="9">
        <f>MAX(kmin, kmax - 0.15 * MIN(Games[[#This Row],[GamesPlayed]], 82))</f>
        <v>69.7</v>
      </c>
      <c r="Z477" s="4">
        <f>Games[[#This Row],[K]]*Games[[#This Row],[POMult]]</f>
        <v>94.095000000000013</v>
      </c>
      <c r="AA477" s="4">
        <f>(Games[[#This Row],[Keff]]*Games[[#This Row],[MOVMult]])*(Games[[#This Row],[Result]]-Games[[#This Row],[ExpectedWin%]])</f>
        <v>9.1237866008366701</v>
      </c>
      <c r="AB477" s="4">
        <f>Games[[#This Row],[PreGmRate]]+Games[[#This Row],[RatingChange]]</f>
        <v>1707.7053983317542</v>
      </c>
      <c r="AC477" s="2">
        <f>IF(Games[[#This Row],[Type]]="R",IF(Games[[#This Row],[Result]]&gt;0.5,1,0),0)</f>
        <v>0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1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2026-07-27T10:07:42Z</dcterms:modified>
</cp:coreProperties>
</file>
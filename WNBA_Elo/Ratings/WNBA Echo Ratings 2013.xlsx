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18F09684-34B0-4DF2-83D2-E75E2EF26E7B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2" i="2" l="1"/>
  <c r="C443" i="2"/>
  <c r="I442" i="2" a="1"/>
  <c r="I443" i="2" a="1"/>
  <c r="J442" i="2" a="1"/>
  <c r="J443" i="2" a="1"/>
  <c r="U442" i="2"/>
  <c r="U443" i="2"/>
  <c r="V442" i="2"/>
  <c r="V443" i="2"/>
  <c r="X442" i="2" a="1"/>
  <c r="Z442" i="2" s="1"/>
  <c r="X443" i="2" a="1"/>
  <c r="Z443" i="2" s="1"/>
  <c r="Y442" i="2"/>
  <c r="Y443" i="2"/>
  <c r="AC442" i="2"/>
  <c r="AC443" i="2"/>
  <c r="AD442" i="2"/>
  <c r="AD443" i="2"/>
  <c r="AE442" i="2"/>
  <c r="AE443" i="2"/>
  <c r="AF442" i="2"/>
  <c r="AF443" i="2"/>
  <c r="AG442" i="2"/>
  <c r="AG443" i="2"/>
  <c r="AH442" i="2"/>
  <c r="AH443" i="2"/>
  <c r="AI442" i="2"/>
  <c r="AI443" i="2"/>
  <c r="AJ442" i="2"/>
  <c r="AJ443" i="2"/>
  <c r="AK442" i="2"/>
  <c r="AK443" i="2"/>
  <c r="AL442" i="2"/>
  <c r="AL443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L439" i="2" s="1"/>
  <c r="N439" i="2" s="1"/>
  <c r="J440" i="2" a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8" i="3"/>
  <c r="D28" i="3"/>
  <c r="C28" i="3"/>
  <c r="B28" i="3"/>
  <c r="E34" i="3"/>
  <c r="D34" i="3"/>
  <c r="C34" i="3"/>
  <c r="B34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0" i="3"/>
  <c r="D30" i="3"/>
  <c r="C30" i="3"/>
  <c r="B30" i="3"/>
  <c r="E27" i="3"/>
  <c r="D27" i="3"/>
  <c r="C27" i="3"/>
  <c r="B27" i="3"/>
  <c r="E35" i="3"/>
  <c r="D35" i="3"/>
  <c r="C35" i="3"/>
  <c r="B35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42" i="2" l="1"/>
  <c r="M442" i="2" s="1"/>
  <c r="L442" i="2"/>
  <c r="N442" i="2" s="1"/>
  <c r="K443" i="2"/>
  <c r="M443" i="2" s="1"/>
  <c r="L443" i="2"/>
  <c r="N443" i="2" s="1"/>
  <c r="L440" i="2"/>
  <c r="N440" i="2" s="1"/>
  <c r="K440" i="2"/>
  <c r="M440" i="2" s="1"/>
  <c r="F26" i="3"/>
  <c r="L416" i="2"/>
  <c r="N416" i="2" s="1"/>
  <c r="K416" i="2"/>
  <c r="M416" i="2" s="1"/>
  <c r="F28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35" i="3"/>
  <c r="AE386" i="2"/>
  <c r="AD386" i="2"/>
  <c r="AE387" i="2"/>
  <c r="AD387" i="2"/>
  <c r="AE388" i="2"/>
  <c r="AD388" i="2"/>
  <c r="AE389" i="2"/>
  <c r="AD389" i="2"/>
  <c r="F34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2" i="3"/>
  <c r="B32" i="3"/>
  <c r="C33" i="3"/>
  <c r="B33" i="3"/>
  <c r="C29" i="3"/>
  <c r="B29" i="3"/>
  <c r="C31" i="3"/>
  <c r="B31" i="3"/>
  <c r="Q16" i="2" l="1"/>
  <c r="Q17" i="2"/>
  <c r="W16" i="2"/>
  <c r="W17" i="2"/>
  <c r="AA16" i="2" l="1"/>
  <c r="AB16" i="2" s="1"/>
  <c r="AA17" i="2"/>
  <c r="AB17" i="2" s="1"/>
  <c r="E32" i="3"/>
  <c r="D32" i="3"/>
  <c r="E33" i="3"/>
  <c r="D33" i="3"/>
  <c r="E29" i="3"/>
  <c r="D29" i="3"/>
  <c r="E31" i="3"/>
  <c r="D31" i="3"/>
  <c r="O19" i="2" l="1" a="1"/>
  <c r="O18" i="2" a="1"/>
  <c r="P19" i="2" a="1"/>
  <c r="P18" i="2" a="1"/>
  <c r="F29" i="3"/>
  <c r="F32" i="3"/>
  <c r="F33" i="3"/>
  <c r="F31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7" i="2" a="1"/>
  <c r="P25" i="2" a="1"/>
  <c r="O24" i="2" a="1"/>
  <c r="O26" i="2" a="1"/>
  <c r="O27" i="2" a="1"/>
  <c r="P26" i="2" a="1"/>
  <c r="P24" i="2" a="1"/>
  <c r="O25" i="2" a="1"/>
  <c r="AZ6" i="3"/>
  <c r="W27" i="2" l="1"/>
  <c r="W25" i="2"/>
  <c r="W24" i="2"/>
  <c r="Q26" i="2"/>
  <c r="Q25" i="2"/>
  <c r="W26" i="2"/>
  <c r="Q24" i="2"/>
  <c r="Q27" i="2"/>
  <c r="P29" i="2" a="1"/>
  <c r="O28" i="2" a="1"/>
  <c r="O29" i="2" a="1"/>
  <c r="P28" i="2" a="1"/>
  <c r="AA24" i="2" l="1"/>
  <c r="AB24" i="2" s="1"/>
  <c r="AA25" i="2"/>
  <c r="AB25" i="2" s="1"/>
  <c r="AA27" i="2"/>
  <c r="AB27" i="2" s="1"/>
  <c r="AA26" i="2"/>
  <c r="AB26" i="2" s="1"/>
  <c r="W28" i="2"/>
  <c r="W29" i="2"/>
  <c r="Q29" i="2"/>
  <c r="Q28" i="2"/>
  <c r="AA29" i="2" l="1"/>
  <c r="AB29" i="2" s="1"/>
  <c r="O30" i="2" a="1"/>
  <c r="P31" i="2" a="1"/>
  <c r="P30" i="2" a="1"/>
  <c r="O31" i="2" a="1"/>
  <c r="AA28" i="2"/>
  <c r="AB28" i="2" s="1"/>
  <c r="Q30" i="2" l="1"/>
  <c r="W30" i="2"/>
  <c r="Q31" i="2"/>
  <c r="W31" i="2"/>
  <c r="AA30" i="2" l="1"/>
  <c r="AB30" i="2" s="1"/>
  <c r="AA31" i="2"/>
  <c r="AB31" i="2" s="1"/>
  <c r="O33" i="2" l="1" a="1"/>
  <c r="P33" i="2" a="1"/>
  <c r="P32" i="2" a="1"/>
  <c r="O32" i="2" a="1"/>
  <c r="Q32" i="2" l="1"/>
  <c r="Q33" i="2"/>
  <c r="W33" i="2"/>
  <c r="W32" i="2"/>
  <c r="AA32" i="2" l="1"/>
  <c r="AB32" i="2" s="1"/>
  <c r="AA33" i="2"/>
  <c r="AB33" i="2" s="1"/>
  <c r="O34" i="2" a="1"/>
  <c r="O35" i="2" a="1"/>
  <c r="P34" i="2" a="1"/>
  <c r="P35" i="2" a="1"/>
  <c r="Q34" i="2" l="1"/>
  <c r="W34" i="2"/>
  <c r="W35" i="2"/>
  <c r="Q35" i="2"/>
  <c r="AA35" i="2" s="1"/>
  <c r="AB35" i="2" s="1"/>
  <c r="P36" i="2" a="1"/>
  <c r="O36" i="2" a="1"/>
  <c r="O37" i="2" a="1"/>
  <c r="P37" i="2" a="1"/>
  <c r="AA34" i="2" l="1"/>
  <c r="AB34" i="2" s="1"/>
  <c r="Q37" i="2"/>
  <c r="Q36" i="2"/>
  <c r="W36" i="2"/>
  <c r="W37" i="2"/>
  <c r="AA36" i="2" l="1"/>
  <c r="AB36" i="2" s="1"/>
  <c r="AA37" i="2"/>
  <c r="AB37" i="2" s="1"/>
  <c r="P39" i="2" a="1"/>
  <c r="P38" i="2" a="1"/>
  <c r="O38" i="2" a="1"/>
  <c r="O39" i="2" a="1"/>
  <c r="Q38" i="2" l="1"/>
  <c r="Q39" i="2"/>
  <c r="W38" i="2"/>
  <c r="W39" i="2"/>
  <c r="AA38" i="2" l="1"/>
  <c r="AB38" i="2" s="1"/>
  <c r="AA39" i="2"/>
  <c r="AB39" i="2" s="1"/>
  <c r="O41" i="2" l="1" a="1"/>
  <c r="P41" i="2" a="1"/>
  <c r="P40" i="2" a="1"/>
  <c r="O40" i="2" a="1"/>
  <c r="Q41" i="2" l="1"/>
  <c r="Q40" i="2"/>
  <c r="W41" i="2"/>
  <c r="W40" i="2"/>
  <c r="AA41" i="2" l="1"/>
  <c r="AB41" i="2" s="1"/>
  <c r="AA40" i="2"/>
  <c r="AB40" i="2" s="1"/>
  <c r="P44" i="2" a="1"/>
  <c r="O45" i="2" a="1"/>
  <c r="O44" i="2" a="1"/>
  <c r="P45" i="2" a="1"/>
  <c r="O43" i="2" l="1" a="1"/>
  <c r="O42" i="2" a="1"/>
  <c r="P43" i="2" a="1"/>
  <c r="Q43" i="2" s="1"/>
  <c r="P42" i="2" a="1"/>
  <c r="Q44" i="2"/>
  <c r="W45" i="2"/>
  <c r="Q45" i="2"/>
  <c r="W44" i="2"/>
  <c r="O47" i="2" a="1"/>
  <c r="O46" i="2" a="1"/>
  <c r="P47" i="2" a="1"/>
  <c r="P46" i="2" a="1"/>
  <c r="Q42" i="2" l="1"/>
  <c r="W43" i="2"/>
  <c r="AA43" i="2" s="1"/>
  <c r="AB43" i="2" s="1"/>
  <c r="W42" i="2"/>
  <c r="AA44" i="2"/>
  <c r="AB44" i="2" s="1"/>
  <c r="AA45" i="2"/>
  <c r="AB45" i="2" s="1"/>
  <c r="W47" i="2"/>
  <c r="Q46" i="2"/>
  <c r="W46" i="2"/>
  <c r="Q47" i="2"/>
  <c r="AA42" i="2" l="1"/>
  <c r="AB42" i="2" s="1"/>
  <c r="AA46" i="2"/>
  <c r="AB46" i="2" s="1"/>
  <c r="AA47" i="2"/>
  <c r="AB47" i="2" s="1"/>
  <c r="P50" i="2" l="1" a="1"/>
  <c r="P51" i="2" a="1"/>
  <c r="O50" i="2" a="1"/>
  <c r="O51" i="2" a="1"/>
  <c r="W51" i="2" s="1"/>
  <c r="P48" i="2" a="1"/>
  <c r="P49" i="2" a="1"/>
  <c r="O48" i="2" a="1"/>
  <c r="W48" i="2" s="1"/>
  <c r="O49" i="2" a="1"/>
  <c r="W49" i="2" l="1"/>
  <c r="Q51" i="2"/>
  <c r="AA51" i="2" s="1"/>
  <c r="AB51" i="2" s="1"/>
  <c r="W50" i="2"/>
  <c r="P53" i="2" a="1"/>
  <c r="O53" i="2" a="1"/>
  <c r="P52" i="2" a="1"/>
  <c r="Q52" i="2" s="1"/>
  <c r="O52" i="2" a="1"/>
  <c r="Q50" i="2"/>
  <c r="Q48" i="2"/>
  <c r="AA48" i="2" s="1"/>
  <c r="AB48" i="2" s="1"/>
  <c r="Q49" i="2"/>
  <c r="AA50" i="2" l="1"/>
  <c r="AB50" i="2" s="1"/>
  <c r="AA49" i="2"/>
  <c r="AB49" i="2" s="1"/>
  <c r="W53" i="2"/>
  <c r="Q53" i="2"/>
  <c r="W52" i="2"/>
  <c r="AA52" i="2" s="1"/>
  <c r="AB52" i="2" s="1"/>
  <c r="AA53" i="2" l="1"/>
  <c r="AB53" i="2" s="1"/>
  <c r="O54" i="2" a="1"/>
  <c r="W54" i="2" s="1"/>
  <c r="O55" i="2" a="1"/>
  <c r="P54" i="2" a="1"/>
  <c r="P55" i="2" a="1"/>
  <c r="W55" i="2" l="1"/>
  <c r="Q54" i="2"/>
  <c r="AA54" i="2" s="1"/>
  <c r="AB54" i="2" s="1"/>
  <c r="Q55" i="2"/>
  <c r="AA55" i="2" s="1"/>
  <c r="AB55" i="2" s="1"/>
  <c r="P60" i="2" l="1" a="1"/>
  <c r="O60" i="2" a="1"/>
  <c r="W60" i="2" s="1"/>
  <c r="P61" i="2" a="1"/>
  <c r="O61" i="2" a="1"/>
  <c r="P57" i="2" a="1"/>
  <c r="P56" i="2" a="1"/>
  <c r="O57" i="2" a="1"/>
  <c r="O56" i="2" a="1"/>
  <c r="P58" i="2" a="1"/>
  <c r="P59" i="2" a="1"/>
  <c r="O59" i="2" a="1"/>
  <c r="O58" i="2" a="1"/>
  <c r="P62" i="2" a="1"/>
  <c r="O62" i="2" a="1"/>
  <c r="P63" i="2" a="1"/>
  <c r="O63" i="2" a="1"/>
  <c r="W61" i="2" l="1"/>
  <c r="W56" i="2"/>
  <c r="W57" i="2"/>
  <c r="Q58" i="2"/>
  <c r="Q59" i="2"/>
  <c r="Q60" i="2"/>
  <c r="AA60" i="2" s="1"/>
  <c r="AB60" i="2" s="1"/>
  <c r="Q61" i="2"/>
  <c r="AA61" i="2" s="1"/>
  <c r="AB61" i="2" s="1"/>
  <c r="Q57" i="2"/>
  <c r="Q56" i="2"/>
  <c r="W59" i="2"/>
  <c r="W58" i="2"/>
  <c r="W63" i="2"/>
  <c r="W62" i="2"/>
  <c r="Q62" i="2"/>
  <c r="Q63" i="2"/>
  <c r="AA56" i="2" l="1"/>
  <c r="AB56" i="2" s="1"/>
  <c r="AA59" i="2"/>
  <c r="AB59" i="2" s="1"/>
  <c r="AA57" i="2"/>
  <c r="AB57" i="2" s="1"/>
  <c r="AA58" i="2"/>
  <c r="AB58" i="2" s="1"/>
  <c r="AA63" i="2"/>
  <c r="AB63" i="2" s="1"/>
  <c r="AA62" i="2"/>
  <c r="AB62" i="2" s="1"/>
  <c r="O65" i="2" l="1" a="1"/>
  <c r="O64" i="2" a="1"/>
  <c r="W64" i="2" s="1"/>
  <c r="P65" i="2" a="1"/>
  <c r="P64" i="2" a="1"/>
  <c r="W65" i="2" l="1"/>
  <c r="Q65" i="2"/>
  <c r="AA65" i="2" s="1"/>
  <c r="AB65" i="2" s="1"/>
  <c r="Q64" i="2"/>
  <c r="AA64" i="2" s="1"/>
  <c r="AB64" i="2" s="1"/>
  <c r="P66" i="2" l="1" a="1"/>
  <c r="P67" i="2" a="1"/>
  <c r="Q67" i="2" s="1"/>
  <c r="O67" i="2" a="1"/>
  <c r="O66" i="2" a="1"/>
  <c r="W66" i="2" s="1"/>
  <c r="O68" i="2" a="1"/>
  <c r="O69" i="2" a="1"/>
  <c r="P69" i="2" a="1"/>
  <c r="P68" i="2" a="1"/>
  <c r="W68" i="2" l="1"/>
  <c r="W69" i="2"/>
  <c r="Q68" i="2"/>
  <c r="Q66" i="2"/>
  <c r="AA66" i="2" s="1"/>
  <c r="AB66" i="2" s="1"/>
  <c r="W67" i="2"/>
  <c r="AA67" i="2" s="1"/>
  <c r="AB67" i="2" s="1"/>
  <c r="Q69" i="2"/>
  <c r="O71" i="2" a="1"/>
  <c r="O70" i="2" a="1"/>
  <c r="P70" i="2" a="1"/>
  <c r="P71" i="2" a="1"/>
  <c r="AA68" i="2" l="1"/>
  <c r="AB68" i="2" s="1"/>
  <c r="AA69" i="2"/>
  <c r="AB69" i="2" s="1"/>
  <c r="Q70" i="2"/>
  <c r="Q71" i="2"/>
  <c r="W71" i="2"/>
  <c r="W70" i="2"/>
  <c r="AA70" i="2" l="1"/>
  <c r="AB70" i="2" s="1"/>
  <c r="AA71" i="2"/>
  <c r="AB71" i="2" s="1"/>
  <c r="P73" i="2" a="1"/>
  <c r="O72" i="2" a="1"/>
  <c r="O73" i="2" a="1"/>
  <c r="P72" i="2" a="1"/>
  <c r="Q73" i="2" l="1"/>
  <c r="W72" i="2"/>
  <c r="W73" i="2"/>
  <c r="Q72" i="2"/>
  <c r="AA72" i="2" l="1"/>
  <c r="AB72" i="2" s="1"/>
  <c r="AA73" i="2"/>
  <c r="AB73" i="2" s="1"/>
  <c r="P74" i="2" l="1" a="1"/>
  <c r="O74" i="2" a="1"/>
  <c r="P75" i="2" a="1"/>
  <c r="O75" i="2" a="1"/>
  <c r="W74" i="2" l="1"/>
  <c r="Q75" i="2"/>
  <c r="Q74" i="2"/>
  <c r="W75" i="2"/>
  <c r="AA75" i="2" s="1"/>
  <c r="AB75" i="2" s="1"/>
  <c r="AA74" i="2" l="1"/>
  <c r="AB74" i="2" s="1"/>
  <c r="P76" i="2" a="1"/>
  <c r="P77" i="2" a="1"/>
  <c r="O77" i="2" a="1"/>
  <c r="W77" i="2" s="1"/>
  <c r="O76" i="2" a="1"/>
  <c r="W76" i="2" s="1"/>
  <c r="Q77" i="2" l="1"/>
  <c r="AA77" i="2" s="1"/>
  <c r="AB77" i="2" s="1"/>
  <c r="Q76" i="2"/>
  <c r="AA76" i="2" s="1"/>
  <c r="AB76" i="2" s="1"/>
  <c r="O78" i="2" l="1" a="1"/>
  <c r="P78" i="2" a="1"/>
  <c r="O79" i="2" a="1"/>
  <c r="P79" i="2" a="1"/>
  <c r="Q78" i="2" l="1"/>
  <c r="W79" i="2"/>
  <c r="W78" i="2"/>
  <c r="AA78" i="2" s="1"/>
  <c r="AB78" i="2" s="1"/>
  <c r="Q79" i="2"/>
  <c r="AA79" i="2" s="1"/>
  <c r="AB79" i="2" s="1"/>
  <c r="O80" i="2" l="1" a="1"/>
  <c r="P81" i="2" a="1"/>
  <c r="O81" i="2" a="1"/>
  <c r="P80" i="2" a="1"/>
  <c r="Q80" i="2" s="1"/>
  <c r="P83" i="2" a="1"/>
  <c r="O82" i="2" a="1"/>
  <c r="O85" i="2" a="1"/>
  <c r="P82" i="2" a="1"/>
  <c r="P84" i="2" a="1"/>
  <c r="P85" i="2" a="1"/>
  <c r="O84" i="2" a="1"/>
  <c r="O83" i="2" a="1"/>
  <c r="W83" i="2" s="1"/>
  <c r="W81" i="2" l="1"/>
  <c r="W82" i="2"/>
  <c r="Q84" i="2"/>
  <c r="Q85" i="2"/>
  <c r="Q83" i="2"/>
  <c r="AA83" i="2" s="1"/>
  <c r="AB83" i="2" s="1"/>
  <c r="W85" i="2"/>
  <c r="Q82" i="2"/>
  <c r="W84" i="2"/>
  <c r="W80" i="2"/>
  <c r="AA80" i="2" s="1"/>
  <c r="AB80" i="2" s="1"/>
  <c r="Q81" i="2"/>
  <c r="AA82" i="2" l="1"/>
  <c r="AB82" i="2" s="1"/>
  <c r="AA85" i="2"/>
  <c r="AB85" i="2" s="1"/>
  <c r="AA84" i="2"/>
  <c r="AB84" i="2" s="1"/>
  <c r="AA81" i="2"/>
  <c r="AB81" i="2" s="1"/>
  <c r="P87" i="2" a="1"/>
  <c r="O87" i="2" a="1"/>
  <c r="O88" i="2" a="1"/>
  <c r="O89" i="2" a="1"/>
  <c r="W89" i="2" s="1"/>
  <c r="P86" i="2" a="1"/>
  <c r="P89" i="2" a="1"/>
  <c r="P88" i="2" a="1"/>
  <c r="Q88" i="2" s="1"/>
  <c r="O86" i="2" a="1"/>
  <c r="W87" i="2" l="1"/>
  <c r="Q86" i="2"/>
  <c r="Q87" i="2"/>
  <c r="AA87" i="2" s="1"/>
  <c r="AB87" i="2" s="1"/>
  <c r="W88" i="2"/>
  <c r="AA88" i="2" s="1"/>
  <c r="AB88" i="2" s="1"/>
  <c r="Q89" i="2"/>
  <c r="AA89" i="2" s="1"/>
  <c r="AB89" i="2" s="1"/>
  <c r="W86" i="2"/>
  <c r="AA86" i="2" l="1"/>
  <c r="AB86" i="2" s="1"/>
  <c r="P90" i="2" a="1"/>
  <c r="O92" i="2" a="1"/>
  <c r="O91" i="2" a="1"/>
  <c r="P91" i="2" a="1"/>
  <c r="O90" i="2" a="1"/>
  <c r="O93" i="2" a="1"/>
  <c r="P93" i="2" a="1"/>
  <c r="P92" i="2" a="1"/>
  <c r="O96" i="2" a="1"/>
  <c r="P97" i="2" a="1"/>
  <c r="O95" i="2" a="1"/>
  <c r="P94" i="2" a="1"/>
  <c r="P96" i="2" a="1"/>
  <c r="O97" i="2" a="1"/>
  <c r="O94" i="2" a="1"/>
  <c r="P95" i="2" a="1"/>
  <c r="W91" i="2" l="1"/>
  <c r="W90" i="2"/>
  <c r="W93" i="2"/>
  <c r="Q92" i="2"/>
  <c r="Q90" i="2"/>
  <c r="W92" i="2"/>
  <c r="AA92" i="2" s="1"/>
  <c r="AB92" i="2" s="1"/>
  <c r="Q91" i="2"/>
  <c r="Q93" i="2"/>
  <c r="W95" i="2"/>
  <c r="Q94" i="2"/>
  <c r="W96" i="2"/>
  <c r="W97" i="2"/>
  <c r="W94" i="2"/>
  <c r="Q97" i="2"/>
  <c r="Q96" i="2"/>
  <c r="Q95" i="2"/>
  <c r="AA90" i="2" l="1"/>
  <c r="AB90" i="2" s="1"/>
  <c r="AA91" i="2"/>
  <c r="AB91" i="2" s="1"/>
  <c r="AA93" i="2"/>
  <c r="AB93" i="2" s="1"/>
  <c r="AA97" i="2"/>
  <c r="AB97" i="2" s="1"/>
  <c r="AA95" i="2"/>
  <c r="AB95" i="2" s="1"/>
  <c r="AA94" i="2"/>
  <c r="AB94" i="2" s="1"/>
  <c r="AA96" i="2"/>
  <c r="AB96" i="2" s="1"/>
  <c r="P100" i="2" l="1" a="1"/>
  <c r="O101" i="2" a="1"/>
  <c r="W101" i="2" s="1"/>
  <c r="O100" i="2" a="1"/>
  <c r="P101" i="2" a="1"/>
  <c r="O99" i="2" a="1"/>
  <c r="O98" i="2" a="1"/>
  <c r="P99" i="2" a="1"/>
  <c r="P98" i="2" a="1"/>
  <c r="Q99" i="2" l="1"/>
  <c r="W100" i="2"/>
  <c r="Q98" i="2"/>
  <c r="Q101" i="2"/>
  <c r="AA101" i="2" s="1"/>
  <c r="AB101" i="2" s="1"/>
  <c r="W99" i="2"/>
  <c r="AA99" i="2" s="1"/>
  <c r="AB99" i="2" s="1"/>
  <c r="W98" i="2"/>
  <c r="Q100" i="2"/>
  <c r="AA100" i="2" s="1"/>
  <c r="AB100" i="2" s="1"/>
  <c r="AA98" i="2" l="1"/>
  <c r="AB98" i="2" s="1"/>
  <c r="O102" i="2" a="1"/>
  <c r="O103" i="2" a="1"/>
  <c r="P103" i="2" a="1"/>
  <c r="P102" i="2" a="1"/>
  <c r="Q103" i="2" l="1"/>
  <c r="Q102" i="2"/>
  <c r="W102" i="2"/>
  <c r="AA102" i="2" s="1"/>
  <c r="AB102" i="2" s="1"/>
  <c r="W103" i="2"/>
  <c r="AA103" i="2" l="1"/>
  <c r="AB103" i="2" s="1"/>
  <c r="O104" i="2" a="1"/>
  <c r="P105" i="2" a="1"/>
  <c r="P104" i="2" a="1"/>
  <c r="O105" i="2" a="1"/>
  <c r="W104" i="2" l="1"/>
  <c r="Q105" i="2"/>
  <c r="W105" i="2"/>
  <c r="Q104" i="2"/>
  <c r="AA104" i="2" l="1"/>
  <c r="AB104" i="2" s="1"/>
  <c r="AA105" i="2"/>
  <c r="AB105" i="2" s="1"/>
  <c r="O110" i="2" a="1"/>
  <c r="P110" i="2" a="1"/>
  <c r="Q110" i="2" s="1"/>
  <c r="P111" i="2" a="1"/>
  <c r="P106" i="2" a="1"/>
  <c r="O107" i="2" a="1"/>
  <c r="O111" i="2" a="1"/>
  <c r="P109" i="2" a="1"/>
  <c r="O109" i="2" a="1"/>
  <c r="P108" i="2" a="1"/>
  <c r="O108" i="2" a="1"/>
  <c r="O112" i="2" a="1"/>
  <c r="P113" i="2" a="1"/>
  <c r="O113" i="2" a="1"/>
  <c r="P112" i="2" a="1"/>
  <c r="Q108" i="2" l="1"/>
  <c r="W113" i="2"/>
  <c r="P107" i="2" a="1"/>
  <c r="O106" i="2" a="1"/>
  <c r="Q111" i="2"/>
  <c r="W109" i="2"/>
  <c r="W112" i="2"/>
  <c r="W110" i="2"/>
  <c r="AA110" i="2" s="1"/>
  <c r="AB110" i="2" s="1"/>
  <c r="W111" i="2"/>
  <c r="Q109" i="2"/>
  <c r="W108" i="2"/>
  <c r="Q113" i="2"/>
  <c r="Q112" i="2"/>
  <c r="AA108" i="2" l="1"/>
  <c r="AB108" i="2" s="1"/>
  <c r="AA113" i="2"/>
  <c r="AB113" i="2" s="1"/>
  <c r="AA112" i="2"/>
  <c r="AB112" i="2" s="1"/>
  <c r="Q107" i="2"/>
  <c r="W107" i="2"/>
  <c r="Q106" i="2"/>
  <c r="W106" i="2"/>
  <c r="AA106" i="2" s="1"/>
  <c r="AB106" i="2" s="1"/>
  <c r="AA111" i="2"/>
  <c r="AB111" i="2" s="1"/>
  <c r="AA109" i="2"/>
  <c r="AB109" i="2" s="1"/>
  <c r="P115" i="2" a="1"/>
  <c r="O115" i="2" a="1"/>
  <c r="O114" i="2" a="1"/>
  <c r="P114" i="2" a="1"/>
  <c r="O117" i="2" a="1"/>
  <c r="P117" i="2" a="1"/>
  <c r="O116" i="2" a="1"/>
  <c r="P116" i="2" a="1"/>
  <c r="AA107" i="2" l="1"/>
  <c r="AB107" i="2" s="1"/>
  <c r="W114" i="2"/>
  <c r="W115" i="2"/>
  <c r="Q115" i="2"/>
  <c r="Q114" i="2"/>
  <c r="W116" i="2"/>
  <c r="W117" i="2"/>
  <c r="Q117" i="2"/>
  <c r="Q116" i="2"/>
  <c r="AA115" i="2" l="1"/>
  <c r="AB115" i="2" s="1"/>
  <c r="AA114" i="2"/>
  <c r="AB114" i="2" s="1"/>
  <c r="AA116" i="2"/>
  <c r="AB116" i="2" s="1"/>
  <c r="AA117" i="2"/>
  <c r="AB117" i="2" s="1"/>
  <c r="P123" i="2" a="1"/>
  <c r="O122" i="2" a="1"/>
  <c r="O123" i="2" a="1"/>
  <c r="P121" i="2" a="1"/>
  <c r="P120" i="2" a="1"/>
  <c r="O120" i="2" a="1"/>
  <c r="O121" i="2" a="1"/>
  <c r="P122" i="2" a="1"/>
  <c r="O119" i="2" l="1" a="1"/>
  <c r="O118" i="2" a="1"/>
  <c r="P118" i="2" a="1"/>
  <c r="P119" i="2" a="1"/>
  <c r="W120" i="2"/>
  <c r="W122" i="2"/>
  <c r="W123" i="2"/>
  <c r="W121" i="2"/>
  <c r="Q121" i="2"/>
  <c r="Q120" i="2"/>
  <c r="Q122" i="2"/>
  <c r="Q123" i="2"/>
  <c r="AA121" i="2" l="1"/>
  <c r="AB121" i="2" s="1"/>
  <c r="W119" i="2"/>
  <c r="Q118" i="2"/>
  <c r="W118" i="2"/>
  <c r="Q119" i="2"/>
  <c r="AA120" i="2"/>
  <c r="AB120" i="2" s="1"/>
  <c r="AA123" i="2"/>
  <c r="AB123" i="2" s="1"/>
  <c r="AA122" i="2"/>
  <c r="AB122" i="2" s="1"/>
  <c r="P127" i="2" a="1"/>
  <c r="O127" i="2" a="1"/>
  <c r="P125" i="2" a="1"/>
  <c r="P126" i="2" a="1"/>
  <c r="O124" i="2" a="1"/>
  <c r="O125" i="2" a="1"/>
  <c r="O126" i="2" a="1"/>
  <c r="P124" i="2" a="1"/>
  <c r="AA118" i="2" l="1"/>
  <c r="AB118" i="2" s="1"/>
  <c r="AA119" i="2"/>
  <c r="AB119" i="2" s="1"/>
  <c r="Q126" i="2"/>
  <c r="W127" i="2"/>
  <c r="Q125" i="2"/>
  <c r="W124" i="2"/>
  <c r="Q127" i="2"/>
  <c r="AA127" i="2" s="1"/>
  <c r="AB127" i="2" s="1"/>
  <c r="W125" i="2"/>
  <c r="W126" i="2"/>
  <c r="Q124" i="2"/>
  <c r="AA126" i="2" l="1"/>
  <c r="AB126" i="2" s="1"/>
  <c r="AA124" i="2"/>
  <c r="AB124" i="2" s="1"/>
  <c r="AA125" i="2"/>
  <c r="AB125" i="2" s="1"/>
  <c r="O129" i="2" a="1"/>
  <c r="O128" i="2" a="1"/>
  <c r="P129" i="2" a="1"/>
  <c r="P128" i="2" a="1"/>
  <c r="Q129" i="2" l="1"/>
  <c r="Q128" i="2"/>
  <c r="W128" i="2"/>
  <c r="W129" i="2"/>
  <c r="AA128" i="2" l="1"/>
  <c r="AB128" i="2" s="1"/>
  <c r="AA129" i="2"/>
  <c r="AB129" i="2" s="1"/>
  <c r="P131" i="2" a="1"/>
  <c r="P130" i="2" a="1"/>
  <c r="O130" i="2" a="1"/>
  <c r="O131" i="2" a="1"/>
  <c r="W130" i="2" l="1"/>
  <c r="W131" i="2"/>
  <c r="Q131" i="2"/>
  <c r="Q130" i="2"/>
  <c r="AA131" i="2" l="1"/>
  <c r="AB131" i="2" s="1"/>
  <c r="AA130" i="2"/>
  <c r="AB130" i="2" s="1"/>
  <c r="P132" i="2" l="1" a="1"/>
  <c r="O133" i="2" a="1"/>
  <c r="W133" i="2" s="1"/>
  <c r="O132" i="2" a="1"/>
  <c r="P133" i="2" a="1"/>
  <c r="W132" i="2" l="1"/>
  <c r="Q133" i="2"/>
  <c r="AA133" i="2" s="1"/>
  <c r="AB133" i="2" s="1"/>
  <c r="Q132" i="2"/>
  <c r="AA132" i="2" l="1"/>
  <c r="AB132" i="2" s="1"/>
  <c r="P136" i="2" a="1"/>
  <c r="O137" i="2" a="1"/>
  <c r="P138" i="2" a="1"/>
  <c r="Q138" i="2" s="1"/>
  <c r="O136" i="2" a="1"/>
  <c r="W136" i="2" s="1"/>
  <c r="P137" i="2" a="1"/>
  <c r="P139" i="2" a="1"/>
  <c r="P135" i="2" a="1"/>
  <c r="O134" i="2" a="1"/>
  <c r="O135" i="2" a="1"/>
  <c r="P134" i="2" a="1"/>
  <c r="O138" i="2" a="1"/>
  <c r="O139" i="2" a="1"/>
  <c r="W138" i="2" l="1"/>
  <c r="AA138" i="2" s="1"/>
  <c r="AB138" i="2" s="1"/>
  <c r="W135" i="2"/>
  <c r="W137" i="2"/>
  <c r="Q134" i="2"/>
  <c r="W139" i="2"/>
  <c r="Q136" i="2"/>
  <c r="AA136" i="2" s="1"/>
  <c r="AB136" i="2" s="1"/>
  <c r="Q137" i="2"/>
  <c r="Q139" i="2"/>
  <c r="Q135" i="2"/>
  <c r="AA135" i="2" s="1"/>
  <c r="AB135" i="2" s="1"/>
  <c r="W134" i="2"/>
  <c r="AA137" i="2" l="1"/>
  <c r="AB137" i="2" s="1"/>
  <c r="AA139" i="2"/>
  <c r="AB139" i="2" s="1"/>
  <c r="AA134" i="2"/>
  <c r="AB134" i="2" s="1"/>
  <c r="O140" i="2" a="1"/>
  <c r="P141" i="2" a="1"/>
  <c r="P140" i="2" a="1"/>
  <c r="Q140" i="2" s="1"/>
  <c r="O141" i="2" a="1"/>
  <c r="O143" i="2" a="1"/>
  <c r="P143" i="2" a="1"/>
  <c r="O142" i="2" a="1"/>
  <c r="P142" i="2" a="1"/>
  <c r="W143" i="2" l="1"/>
  <c r="Q141" i="2"/>
  <c r="W142" i="2"/>
  <c r="W140" i="2"/>
  <c r="AA140" i="2" s="1"/>
  <c r="AB140" i="2" s="1"/>
  <c r="W141" i="2"/>
  <c r="Q143" i="2"/>
  <c r="Q142" i="2"/>
  <c r="P145" i="2" a="1"/>
  <c r="O144" i="2" a="1"/>
  <c r="P147" i="2" a="1"/>
  <c r="O146" i="2" a="1"/>
  <c r="AA141" i="2" l="1"/>
  <c r="AB141" i="2" s="1"/>
  <c r="AA143" i="2"/>
  <c r="AB143" i="2" s="1"/>
  <c r="AA142" i="2"/>
  <c r="AB142" i="2" s="1"/>
  <c r="P144" i="2" l="1" a="1"/>
  <c r="O145" i="2" a="1"/>
  <c r="O147" i="2" a="1"/>
  <c r="P146" i="2" a="1"/>
  <c r="O148" i="2" a="1"/>
  <c r="O149" i="2" a="1"/>
  <c r="P149" i="2" a="1"/>
  <c r="P148" i="2" a="1"/>
  <c r="O151" i="2" a="1"/>
  <c r="P150" i="2" a="1"/>
  <c r="W144" i="2" l="1"/>
  <c r="AA144" i="2" s="1"/>
  <c r="AB144" i="2" s="1"/>
  <c r="Q144" i="2"/>
  <c r="Q145" i="2"/>
  <c r="AA145" i="2" s="1"/>
  <c r="AB145" i="2" s="1"/>
  <c r="W145" i="2"/>
  <c r="W147" i="2"/>
  <c r="AA147" i="2" s="1"/>
  <c r="AB147" i="2" s="1"/>
  <c r="Q147" i="2"/>
  <c r="W146" i="2"/>
  <c r="AA146" i="2" s="1"/>
  <c r="AB146" i="2" s="1"/>
  <c r="Q146" i="2"/>
  <c r="W148" i="2"/>
  <c r="W149" i="2"/>
  <c r="Q149" i="2"/>
  <c r="AA149" i="2" s="1"/>
  <c r="AB149" i="2" s="1"/>
  <c r="O150" i="2" s="1" a="1"/>
  <c r="Q148" i="2"/>
  <c r="AA148" i="2" s="1"/>
  <c r="AB148" i="2" s="1"/>
  <c r="P151" i="2" a="1"/>
  <c r="Q151" i="2" l="1"/>
  <c r="W151" i="2"/>
  <c r="Q150" i="2"/>
  <c r="W150" i="2"/>
  <c r="AA151" i="2" l="1"/>
  <c r="AB151" i="2" s="1"/>
  <c r="AA150" i="2"/>
  <c r="AB150" i="2" s="1"/>
  <c r="P153" i="2" l="1" a="1"/>
  <c r="O152" i="2" a="1"/>
  <c r="P152" i="2" a="1"/>
  <c r="O153" i="2" a="1"/>
  <c r="Q153" i="2" l="1"/>
  <c r="W152" i="2"/>
  <c r="Q152" i="2"/>
  <c r="W153" i="2"/>
  <c r="AA153" i="2" s="1"/>
  <c r="AB153" i="2" s="1"/>
  <c r="AA152" i="2" l="1"/>
  <c r="AB152" i="2" s="1"/>
  <c r="O155" i="2" a="1"/>
  <c r="P154" i="2" a="1"/>
  <c r="P155" i="2" a="1"/>
  <c r="O154" i="2" a="1"/>
  <c r="Q155" i="2" l="1"/>
  <c r="W154" i="2"/>
  <c r="Q154" i="2"/>
  <c r="W155" i="2"/>
  <c r="AA154" i="2" l="1"/>
  <c r="AB154" i="2" s="1"/>
  <c r="AA155" i="2"/>
  <c r="AB155" i="2" s="1"/>
  <c r="P156" i="2" l="1" a="1"/>
  <c r="O156" i="2" a="1"/>
  <c r="P158" i="2" a="1"/>
  <c r="O157" i="2" a="1"/>
  <c r="P159" i="2" a="1"/>
  <c r="O158" i="2" a="1"/>
  <c r="W158" i="2" s="1"/>
  <c r="O159" i="2" a="1"/>
  <c r="P157" i="2" a="1"/>
  <c r="W156" i="2" l="1"/>
  <c r="W159" i="2"/>
  <c r="Q157" i="2"/>
  <c r="Q156" i="2"/>
  <c r="AA156" i="2" s="1"/>
  <c r="AB156" i="2" s="1"/>
  <c r="Q158" i="2"/>
  <c r="AA158" i="2" s="1"/>
  <c r="AB158" i="2" s="1"/>
  <c r="W157" i="2"/>
  <c r="Q159" i="2"/>
  <c r="O162" i="2" a="1"/>
  <c r="P163" i="2" a="1"/>
  <c r="O163" i="2" a="1"/>
  <c r="P162" i="2" a="1"/>
  <c r="AA159" i="2" l="1"/>
  <c r="AB159" i="2" s="1"/>
  <c r="AA157" i="2"/>
  <c r="AB157" i="2" s="1"/>
  <c r="O160" i="2" a="1"/>
  <c r="P161" i="2" a="1"/>
  <c r="O161" i="2" a="1"/>
  <c r="P160" i="2" a="1"/>
  <c r="W163" i="2"/>
  <c r="Q162" i="2"/>
  <c r="W162" i="2"/>
  <c r="Q163" i="2"/>
  <c r="W160" i="2" l="1"/>
  <c r="W161" i="2"/>
  <c r="Q161" i="2"/>
  <c r="AA161" i="2" s="1"/>
  <c r="AB161" i="2" s="1"/>
  <c r="Q160" i="2"/>
  <c r="AA163" i="2"/>
  <c r="AB163" i="2" s="1"/>
  <c r="AA162" i="2"/>
  <c r="AB162" i="2" s="1"/>
  <c r="AA160" i="2" l="1"/>
  <c r="AB160" i="2" s="1"/>
  <c r="O169" i="2" a="1"/>
  <c r="P169" i="2" a="1"/>
  <c r="P168" i="2" a="1"/>
  <c r="O168" i="2" a="1"/>
  <c r="W168" i="2" s="1"/>
  <c r="O167" i="2" a="1"/>
  <c r="O164" i="2" a="1"/>
  <c r="P167" i="2" a="1"/>
  <c r="O165" i="2" a="1"/>
  <c r="O166" i="2" a="1"/>
  <c r="P164" i="2" a="1"/>
  <c r="P165" i="2" a="1"/>
  <c r="P166" i="2" a="1"/>
  <c r="W164" i="2" l="1"/>
  <c r="Q165" i="2"/>
  <c r="Q167" i="2"/>
  <c r="Q169" i="2"/>
  <c r="Q166" i="2"/>
  <c r="W169" i="2"/>
  <c r="Q168" i="2"/>
  <c r="AA168" i="2" s="1"/>
  <c r="AB168" i="2" s="1"/>
  <c r="W167" i="2"/>
  <c r="W165" i="2"/>
  <c r="AA165" i="2" s="1"/>
  <c r="AB165" i="2" s="1"/>
  <c r="Q164" i="2"/>
  <c r="AA164" i="2" s="1"/>
  <c r="AB164" i="2" s="1"/>
  <c r="W166" i="2"/>
  <c r="AA166" i="2" s="1"/>
  <c r="AB166" i="2" s="1"/>
  <c r="AA169" i="2" l="1"/>
  <c r="AB169" i="2" s="1"/>
  <c r="AA167" i="2"/>
  <c r="AB167" i="2" s="1"/>
  <c r="O170" i="2" a="1"/>
  <c r="P171" i="2" a="1"/>
  <c r="P170" i="2" a="1"/>
  <c r="O171" i="2" a="1"/>
  <c r="W171" i="2" s="1"/>
  <c r="Q171" i="2" l="1"/>
  <c r="AA171" i="2" s="1"/>
  <c r="AB171" i="2" s="1"/>
  <c r="Q170" i="2"/>
  <c r="W170" i="2"/>
  <c r="AA170" i="2" l="1"/>
  <c r="AB170" i="2" s="1"/>
  <c r="O172" i="2" a="1"/>
  <c r="O174" i="2" a="1"/>
  <c r="P172" i="2" a="1"/>
  <c r="O175" i="2" a="1"/>
  <c r="P174" i="2" a="1"/>
  <c r="P173" i="2" a="1"/>
  <c r="P175" i="2" a="1"/>
  <c r="O173" i="2" a="1"/>
  <c r="W172" i="2" l="1"/>
  <c r="W174" i="2"/>
  <c r="W175" i="2"/>
  <c r="W173" i="2"/>
  <c r="Q172" i="2"/>
  <c r="Q174" i="2"/>
  <c r="Q173" i="2"/>
  <c r="Q175" i="2"/>
  <c r="AA172" i="2" l="1"/>
  <c r="AB172" i="2" s="1"/>
  <c r="AA174" i="2"/>
  <c r="AB174" i="2" s="1"/>
  <c r="AA173" i="2"/>
  <c r="AB173" i="2" s="1"/>
  <c r="AA175" i="2"/>
  <c r="AB175" i="2" s="1"/>
  <c r="P177" i="2" a="1"/>
  <c r="O178" i="2" a="1"/>
  <c r="O176" i="2" a="1"/>
  <c r="P179" i="2" a="1"/>
  <c r="P178" i="2" a="1"/>
  <c r="O179" i="2" a="1"/>
  <c r="O177" i="2" a="1"/>
  <c r="P176" i="2" a="1"/>
  <c r="W178" i="2" l="1"/>
  <c r="W176" i="2"/>
  <c r="W177" i="2"/>
  <c r="Q179" i="2"/>
  <c r="Q177" i="2"/>
  <c r="Q178" i="2"/>
  <c r="W179" i="2"/>
  <c r="AA179" i="2" s="1"/>
  <c r="AB179" i="2" s="1"/>
  <c r="Q176" i="2"/>
  <c r="AA178" i="2" l="1"/>
  <c r="AB178" i="2" s="1"/>
  <c r="AA177" i="2"/>
  <c r="AB177" i="2" s="1"/>
  <c r="AA176" i="2"/>
  <c r="AB176" i="2" s="1"/>
  <c r="P183" i="2" a="1"/>
  <c r="P184" i="2" a="1"/>
  <c r="P182" i="2" a="1"/>
  <c r="Q182" i="2" s="1"/>
  <c r="O185" i="2" a="1"/>
  <c r="O182" i="2" a="1"/>
  <c r="P185" i="2" a="1"/>
  <c r="Q185" i="2" s="1"/>
  <c r="O181" i="2" a="1"/>
  <c r="P180" i="2" a="1"/>
  <c r="P181" i="2" a="1"/>
  <c r="O180" i="2" a="1"/>
  <c r="O183" i="2" a="1"/>
  <c r="W183" i="2" s="1"/>
  <c r="O184" i="2" a="1"/>
  <c r="Q181" i="2" l="1"/>
  <c r="Q184" i="2"/>
  <c r="W180" i="2"/>
  <c r="W185" i="2"/>
  <c r="AA185" i="2" s="1"/>
  <c r="AB185" i="2" s="1"/>
  <c r="W182" i="2"/>
  <c r="AA182" i="2" s="1"/>
  <c r="AB182" i="2" s="1"/>
  <c r="W181" i="2"/>
  <c r="Q180" i="2"/>
  <c r="W184" i="2"/>
  <c r="Q183" i="2"/>
  <c r="AA183" i="2" s="1"/>
  <c r="AB183" i="2" s="1"/>
  <c r="O190" i="2" a="1"/>
  <c r="O191" i="2" a="1"/>
  <c r="P191" i="2" a="1"/>
  <c r="P190" i="2" a="1"/>
  <c r="AA181" i="2" l="1"/>
  <c r="AB181" i="2" s="1"/>
  <c r="AA180" i="2"/>
  <c r="AB180" i="2" s="1"/>
  <c r="AA184" i="2"/>
  <c r="AB184" i="2" s="1"/>
  <c r="P186" i="2" a="1"/>
  <c r="O187" i="2" a="1"/>
  <c r="P187" i="2" a="1"/>
  <c r="O186" i="2" a="1"/>
  <c r="O189" i="2" a="1"/>
  <c r="O188" i="2" a="1"/>
  <c r="P189" i="2" a="1"/>
  <c r="P188" i="2" a="1"/>
  <c r="W190" i="2"/>
  <c r="W191" i="2"/>
  <c r="Q191" i="2"/>
  <c r="Q190" i="2"/>
  <c r="W186" i="2" l="1"/>
  <c r="Q188" i="2"/>
  <c r="W187" i="2"/>
  <c r="W189" i="2"/>
  <c r="Q186" i="2"/>
  <c r="AA186" i="2" s="1"/>
  <c r="AB186" i="2" s="1"/>
  <c r="Q187" i="2"/>
  <c r="W188" i="2"/>
  <c r="AA188" i="2" s="1"/>
  <c r="AB188" i="2" s="1"/>
  <c r="Q189" i="2"/>
  <c r="AA191" i="2"/>
  <c r="AB191" i="2" s="1"/>
  <c r="AA190" i="2"/>
  <c r="AB190" i="2" s="1"/>
  <c r="AA187" i="2" l="1"/>
  <c r="AB187" i="2" s="1"/>
  <c r="AA189" i="2"/>
  <c r="AB189" i="2" s="1"/>
  <c r="P193" i="2" a="1"/>
  <c r="P192" i="2" a="1"/>
  <c r="O192" i="2" a="1"/>
  <c r="O193" i="2" a="1"/>
  <c r="O195" i="2" a="1"/>
  <c r="P194" i="2" a="1"/>
  <c r="P195" i="2" a="1"/>
  <c r="Q195" i="2" s="1"/>
  <c r="O194" i="2" a="1"/>
  <c r="O197" i="2" a="1"/>
  <c r="O196" i="2" a="1"/>
  <c r="P196" i="2" a="1"/>
  <c r="P197" i="2" a="1"/>
  <c r="Q194" i="2" l="1"/>
  <c r="Q193" i="2"/>
  <c r="Q192" i="2"/>
  <c r="W192" i="2"/>
  <c r="W193" i="2"/>
  <c r="W195" i="2"/>
  <c r="AA195" i="2" s="1"/>
  <c r="AB195" i="2" s="1"/>
  <c r="W194" i="2"/>
  <c r="AA194" i="2" s="1"/>
  <c r="AB194" i="2" s="1"/>
  <c r="W196" i="2"/>
  <c r="Q197" i="2"/>
  <c r="W197" i="2"/>
  <c r="Q196" i="2"/>
  <c r="AA192" i="2" l="1"/>
  <c r="AB192" i="2" s="1"/>
  <c r="AA193" i="2"/>
  <c r="AB193" i="2" s="1"/>
  <c r="AA196" i="2"/>
  <c r="AB196" i="2" s="1"/>
  <c r="AA197" i="2"/>
  <c r="AB197" i="2" s="1"/>
  <c r="O198" i="2" l="1" a="1"/>
  <c r="P199" i="2" a="1"/>
  <c r="O199" i="2" a="1"/>
  <c r="P198" i="2" a="1"/>
  <c r="Q198" i="2" l="1"/>
  <c r="W199" i="2"/>
  <c r="W198" i="2"/>
  <c r="Q199" i="2"/>
  <c r="AA198" i="2" l="1"/>
  <c r="AB198" i="2" s="1"/>
  <c r="AA199" i="2"/>
  <c r="AB199" i="2" s="1"/>
  <c r="P201" i="2" l="1" a="1"/>
  <c r="O201" i="2" a="1"/>
  <c r="W201" i="2" s="1"/>
  <c r="P200" i="2" a="1"/>
  <c r="O200" i="2" a="1"/>
  <c r="W200" i="2" s="1"/>
  <c r="O202" i="2" a="1"/>
  <c r="P203" i="2" a="1"/>
  <c r="O203" i="2" a="1"/>
  <c r="P202" i="2" a="1"/>
  <c r="P204" i="2" a="1"/>
  <c r="P205" i="2" a="1"/>
  <c r="O204" i="2" a="1"/>
  <c r="O205" i="2" a="1"/>
  <c r="Q201" i="2" l="1"/>
  <c r="AA201" i="2" s="1"/>
  <c r="AB201" i="2" s="1"/>
  <c r="Q200" i="2"/>
  <c r="AA200" i="2" s="1"/>
  <c r="AB200" i="2" s="1"/>
  <c r="Q203" i="2"/>
  <c r="W202" i="2"/>
  <c r="W203" i="2"/>
  <c r="Q202" i="2"/>
  <c r="Q205" i="2"/>
  <c r="W204" i="2"/>
  <c r="Q204" i="2"/>
  <c r="W205" i="2"/>
  <c r="AA203" i="2" l="1"/>
  <c r="AB203" i="2" s="1"/>
  <c r="AA202" i="2"/>
  <c r="AB202" i="2" s="1"/>
  <c r="AA204" i="2"/>
  <c r="AB204" i="2" s="1"/>
  <c r="AA205" i="2"/>
  <c r="AB205" i="2" s="1"/>
  <c r="P208" i="2" l="1" a="1"/>
  <c r="O207" i="2" a="1"/>
  <c r="P207" i="2" a="1"/>
  <c r="P206" i="2" a="1"/>
  <c r="P209" i="2" a="1"/>
  <c r="O206" i="2" a="1"/>
  <c r="O208" i="2" a="1"/>
  <c r="O209" i="2" a="1"/>
  <c r="W207" i="2" l="1"/>
  <c r="Q209" i="2"/>
  <c r="W206" i="2"/>
  <c r="W208" i="2"/>
  <c r="Q208" i="2"/>
  <c r="Q207" i="2"/>
  <c r="Q206" i="2"/>
  <c r="W209" i="2"/>
  <c r="AA207" i="2" l="1"/>
  <c r="AB207" i="2" s="1"/>
  <c r="AA208" i="2"/>
  <c r="AB208" i="2" s="1"/>
  <c r="AA209" i="2"/>
  <c r="AB209" i="2" s="1"/>
  <c r="AA206" i="2"/>
  <c r="AB206" i="2" s="1"/>
  <c r="P211" i="2" a="1"/>
  <c r="O211" i="2" a="1"/>
  <c r="O210" i="2" a="1"/>
  <c r="P210" i="2" a="1"/>
  <c r="W211" i="2" l="1"/>
  <c r="W210" i="2"/>
  <c r="Q210" i="2"/>
  <c r="Q211" i="2"/>
  <c r="AA211" i="2" l="1"/>
  <c r="AB211" i="2" s="1"/>
  <c r="AA210" i="2"/>
  <c r="AB210" i="2" s="1"/>
  <c r="P213" i="2" l="1" a="1"/>
  <c r="O213" i="2" a="1"/>
  <c r="O212" i="2" a="1"/>
  <c r="P212" i="2" a="1"/>
  <c r="Q212" i="2" l="1"/>
  <c r="W213" i="2"/>
  <c r="Q213" i="2"/>
  <c r="W212" i="2"/>
  <c r="AA212" i="2" l="1"/>
  <c r="AB212" i="2" s="1"/>
  <c r="AA213" i="2"/>
  <c r="AB213" i="2" s="1"/>
  <c r="O214" i="2" l="1" a="1"/>
  <c r="P214" i="2" a="1"/>
  <c r="O215" i="2" a="1"/>
  <c r="W215" i="2" s="1"/>
  <c r="P215" i="2" a="1"/>
  <c r="O216" i="2" a="1"/>
  <c r="P216" i="2" a="1"/>
  <c r="P217" i="2" a="1"/>
  <c r="O217" i="2" a="1"/>
  <c r="Q216" i="2" l="1"/>
  <c r="Q214" i="2"/>
  <c r="W214" i="2"/>
  <c r="AA214" i="2" s="1"/>
  <c r="AB214" i="2" s="1"/>
  <c r="Q215" i="2"/>
  <c r="AA215" i="2" s="1"/>
  <c r="AB215" i="2" s="1"/>
  <c r="W217" i="2"/>
  <c r="W216" i="2"/>
  <c r="Q217" i="2"/>
  <c r="AA216" i="2" l="1"/>
  <c r="AB216" i="2" s="1"/>
  <c r="AA217" i="2"/>
  <c r="AB217" i="2" s="1"/>
  <c r="P220" i="2" l="1" a="1"/>
  <c r="P223" i="2" a="1"/>
  <c r="P218" i="2" a="1"/>
  <c r="O221" i="2" a="1"/>
  <c r="O223" i="2" a="1"/>
  <c r="O218" i="2" a="1"/>
  <c r="O220" i="2" a="1"/>
  <c r="P219" i="2" a="1"/>
  <c r="O222" i="2" a="1"/>
  <c r="O219" i="2" a="1"/>
  <c r="W219" i="2" s="1"/>
  <c r="P221" i="2" a="1"/>
  <c r="P222" i="2" a="1"/>
  <c r="W221" i="2" l="1"/>
  <c r="W218" i="2"/>
  <c r="Q220" i="2"/>
  <c r="Q223" i="2"/>
  <c r="Q222" i="2"/>
  <c r="W223" i="2"/>
  <c r="W220" i="2"/>
  <c r="Q219" i="2"/>
  <c r="AA219" i="2" s="1"/>
  <c r="AB219" i="2" s="1"/>
  <c r="W222" i="2"/>
  <c r="Q218" i="2"/>
  <c r="Q221" i="2"/>
  <c r="AA221" i="2" s="1"/>
  <c r="AB221" i="2" s="1"/>
  <c r="O228" i="2" a="1"/>
  <c r="O227" i="2" a="1"/>
  <c r="P226" i="2" a="1"/>
  <c r="P227" i="2" a="1"/>
  <c r="O226" i="2" a="1"/>
  <c r="O229" i="2" a="1"/>
  <c r="P229" i="2" a="1"/>
  <c r="P228" i="2" a="1"/>
  <c r="AA223" i="2" l="1"/>
  <c r="AB223" i="2" s="1"/>
  <c r="AA220" i="2"/>
  <c r="AB220" i="2" s="1"/>
  <c r="AA218" i="2"/>
  <c r="AB218" i="2" s="1"/>
  <c r="AA222" i="2"/>
  <c r="AB222" i="2" s="1"/>
  <c r="P225" i="2" a="1"/>
  <c r="O225" i="2" a="1"/>
  <c r="W225" i="2" s="1"/>
  <c r="O224" i="2" a="1"/>
  <c r="P224" i="2" a="1"/>
  <c r="Q226" i="2"/>
  <c r="W228" i="2"/>
  <c r="Q227" i="2"/>
  <c r="Q229" i="2"/>
  <c r="W227" i="2"/>
  <c r="W226" i="2"/>
  <c r="W229" i="2"/>
  <c r="Q228" i="2"/>
  <c r="W224" i="2" l="1"/>
  <c r="Q225" i="2"/>
  <c r="AA225" i="2" s="1"/>
  <c r="AB225" i="2" s="1"/>
  <c r="Q224" i="2"/>
  <c r="AA224" i="2" s="1"/>
  <c r="AB224" i="2" s="1"/>
  <c r="AA229" i="2"/>
  <c r="AB229" i="2" s="1"/>
  <c r="AA227" i="2"/>
  <c r="AB227" i="2" s="1"/>
  <c r="AA226" i="2"/>
  <c r="AB226" i="2" s="1"/>
  <c r="AA228" i="2"/>
  <c r="AB228" i="2" s="1"/>
  <c r="P230" i="2" a="1"/>
  <c r="P232" i="2" a="1"/>
  <c r="P233" i="2" a="1"/>
  <c r="O232" i="2" a="1"/>
  <c r="O231" i="2" a="1"/>
  <c r="P231" i="2" a="1"/>
  <c r="O230" i="2" a="1"/>
  <c r="O233" i="2" a="1"/>
  <c r="W232" i="2" l="1"/>
  <c r="Q233" i="2"/>
  <c r="W231" i="2"/>
  <c r="Q231" i="2"/>
  <c r="W230" i="2"/>
  <c r="Q230" i="2"/>
  <c r="W233" i="2"/>
  <c r="Q232" i="2"/>
  <c r="AA230" i="2" l="1"/>
  <c r="AB230" i="2" s="1"/>
  <c r="AA232" i="2"/>
  <c r="AB232" i="2" s="1"/>
  <c r="AA231" i="2"/>
  <c r="AB231" i="2" s="1"/>
  <c r="AA233" i="2"/>
  <c r="AB233" i="2" s="1"/>
  <c r="O234" i="2" a="1"/>
  <c r="P235" i="2" a="1"/>
  <c r="P234" i="2" a="1"/>
  <c r="O235" i="2" a="1"/>
  <c r="W234" i="2" l="1"/>
  <c r="Q235" i="2"/>
  <c r="Q234" i="2"/>
  <c r="W235" i="2"/>
  <c r="AA234" i="2" l="1"/>
  <c r="AB234" i="2" s="1"/>
  <c r="AA235" i="2"/>
  <c r="AB235" i="2" s="1"/>
  <c r="O236" i="2" l="1" a="1"/>
  <c r="O237" i="2" a="1"/>
  <c r="P236" i="2" a="1"/>
  <c r="P237" i="2" a="1"/>
  <c r="W237" i="2" l="1"/>
  <c r="Q236" i="2"/>
  <c r="W236" i="2"/>
  <c r="Q237" i="2"/>
  <c r="P240" i="2" a="1"/>
  <c r="O241" i="2" a="1"/>
  <c r="P241" i="2" a="1"/>
  <c r="O240" i="2" a="1"/>
  <c r="O239" i="2" a="1"/>
  <c r="P239" i="2" a="1"/>
  <c r="O238" i="2" a="1"/>
  <c r="P238" i="2" a="1"/>
  <c r="AA236" i="2" l="1"/>
  <c r="AB236" i="2" s="1"/>
  <c r="AA237" i="2"/>
  <c r="AB237" i="2" s="1"/>
  <c r="W241" i="2"/>
  <c r="Q239" i="2"/>
  <c r="Q238" i="2"/>
  <c r="Q240" i="2"/>
  <c r="Q241" i="2"/>
  <c r="W240" i="2"/>
  <c r="W239" i="2"/>
  <c r="W238" i="2"/>
  <c r="AA241" i="2" l="1"/>
  <c r="AB241" i="2" s="1"/>
  <c r="AA240" i="2"/>
  <c r="AB240" i="2" s="1"/>
  <c r="AA238" i="2"/>
  <c r="AB238" i="2" s="1"/>
  <c r="AA239" i="2"/>
  <c r="AB239" i="2" s="1"/>
  <c r="P242" i="2" l="1" a="1"/>
  <c r="P245" i="2" a="1"/>
  <c r="O243" i="2" a="1"/>
  <c r="O242" i="2" a="1"/>
  <c r="O245" i="2" a="1"/>
  <c r="P244" i="2" a="1"/>
  <c r="O244" i="2" a="1"/>
  <c r="P243" i="2" a="1"/>
  <c r="Q242" i="2" l="1"/>
  <c r="Q243" i="2"/>
  <c r="Q245" i="2"/>
  <c r="Q244" i="2"/>
  <c r="W243" i="2"/>
  <c r="W242" i="2"/>
  <c r="W245" i="2"/>
  <c r="W244" i="2"/>
  <c r="AA243" i="2" l="1"/>
  <c r="AB243" i="2" s="1"/>
  <c r="AA242" i="2"/>
  <c r="AB242" i="2" s="1"/>
  <c r="AA245" i="2"/>
  <c r="AB245" i="2" s="1"/>
  <c r="AA244" i="2"/>
  <c r="AB244" i="2" s="1"/>
  <c r="P249" i="2" a="1"/>
  <c r="O248" i="2" a="1"/>
  <c r="O249" i="2" a="1"/>
  <c r="P248" i="2" a="1"/>
  <c r="W249" i="2" l="1"/>
  <c r="O247" i="2" a="1"/>
  <c r="P246" i="2" a="1"/>
  <c r="O246" i="2" a="1"/>
  <c r="W246" i="2" s="1"/>
  <c r="P247" i="2" a="1"/>
  <c r="W248" i="2"/>
  <c r="Q249" i="2"/>
  <c r="Q248" i="2"/>
  <c r="Q247" i="2" l="1"/>
  <c r="AA249" i="2"/>
  <c r="AB249" i="2" s="1"/>
  <c r="W247" i="2"/>
  <c r="AA247" i="2" s="1"/>
  <c r="AB247" i="2" s="1"/>
  <c r="Q246" i="2"/>
  <c r="AA246" i="2" s="1"/>
  <c r="AB246" i="2" s="1"/>
  <c r="P250" i="2" a="1"/>
  <c r="O251" i="2" a="1"/>
  <c r="O253" i="2" a="1"/>
  <c r="P253" i="2" a="1"/>
  <c r="Q253" i="2" s="1"/>
  <c r="P251" i="2" a="1"/>
  <c r="Q251" i="2" s="1"/>
  <c r="O252" i="2" a="1"/>
  <c r="O250" i="2" a="1"/>
  <c r="P252" i="2" a="1"/>
  <c r="P254" i="2" a="1"/>
  <c r="P255" i="2" a="1"/>
  <c r="O254" i="2" a="1"/>
  <c r="W254" i="2" s="1"/>
  <c r="O255" i="2" a="1"/>
  <c r="AA248" i="2"/>
  <c r="AB248" i="2" s="1"/>
  <c r="Q255" i="2" l="1"/>
  <c r="W250" i="2"/>
  <c r="W251" i="2"/>
  <c r="AA251" i="2" s="1"/>
  <c r="AB251" i="2" s="1"/>
  <c r="Q252" i="2"/>
  <c r="Q250" i="2"/>
  <c r="W252" i="2"/>
  <c r="W253" i="2"/>
  <c r="AA253" i="2" s="1"/>
  <c r="AB253" i="2" s="1"/>
  <c r="Q254" i="2"/>
  <c r="AA254" i="2" s="1"/>
  <c r="AB254" i="2" s="1"/>
  <c r="W255" i="2"/>
  <c r="P258" i="2" a="1"/>
  <c r="O259" i="2" a="1"/>
  <c r="O258" i="2" a="1"/>
  <c r="P259" i="2" a="1"/>
  <c r="AA250" i="2" l="1"/>
  <c r="AB250" i="2" s="1"/>
  <c r="AA252" i="2"/>
  <c r="AB252" i="2" s="1"/>
  <c r="AA255" i="2"/>
  <c r="AB255" i="2" s="1"/>
  <c r="O257" i="2" a="1"/>
  <c r="P256" i="2" a="1"/>
  <c r="O256" i="2" a="1"/>
  <c r="P257" i="2" a="1"/>
  <c r="Q259" i="2"/>
  <c r="Q258" i="2"/>
  <c r="W259" i="2"/>
  <c r="W258" i="2"/>
  <c r="W257" i="2" l="1"/>
  <c r="Q256" i="2"/>
  <c r="W256" i="2"/>
  <c r="Q257" i="2"/>
  <c r="AA257" i="2" s="1"/>
  <c r="AB257" i="2" s="1"/>
  <c r="AA259" i="2"/>
  <c r="AB259" i="2" s="1"/>
  <c r="AA258" i="2"/>
  <c r="AB258" i="2" s="1"/>
  <c r="AA256" i="2" l="1"/>
  <c r="AB256" i="2" s="1"/>
  <c r="P261" i="2" a="1"/>
  <c r="O260" i="2" a="1"/>
  <c r="P260" i="2" a="1"/>
  <c r="O261" i="2" a="1"/>
  <c r="O263" i="2" a="1"/>
  <c r="P263" i="2" a="1"/>
  <c r="O262" i="2" a="1"/>
  <c r="P262" i="2" a="1"/>
  <c r="W263" i="2" l="1"/>
  <c r="W260" i="2"/>
  <c r="Q263" i="2"/>
  <c r="W262" i="2"/>
  <c r="W261" i="2"/>
  <c r="Q261" i="2"/>
  <c r="Q260" i="2"/>
  <c r="Q262" i="2"/>
  <c r="P265" i="2" a="1"/>
  <c r="P264" i="2" a="1"/>
  <c r="O265" i="2" a="1"/>
  <c r="O264" i="2" a="1"/>
  <c r="AA263" i="2" l="1"/>
  <c r="AB263" i="2" s="1"/>
  <c r="AA262" i="2"/>
  <c r="AB262" i="2" s="1"/>
  <c r="AA260" i="2"/>
  <c r="AB260" i="2" s="1"/>
  <c r="AA261" i="2"/>
  <c r="AB261" i="2" s="1"/>
  <c r="W265" i="2"/>
  <c r="W264" i="2"/>
  <c r="Q265" i="2"/>
  <c r="Q264" i="2"/>
  <c r="AA265" i="2" l="1"/>
  <c r="AB265" i="2" s="1"/>
  <c r="AA264" i="2"/>
  <c r="AB264" i="2" s="1"/>
  <c r="O269" i="2" l="1" a="1"/>
  <c r="O268" i="2" a="1"/>
  <c r="P268" i="2" a="1"/>
  <c r="P269" i="2" a="1"/>
  <c r="P267" i="2" a="1"/>
  <c r="O267" i="2" a="1"/>
  <c r="O266" i="2" a="1"/>
  <c r="P266" i="2" a="1"/>
  <c r="Q267" i="2" l="1"/>
  <c r="Q268" i="2"/>
  <c r="Q269" i="2"/>
  <c r="W266" i="2"/>
  <c r="W269" i="2"/>
  <c r="W268" i="2"/>
  <c r="W267" i="2"/>
  <c r="Q266" i="2"/>
  <c r="AA267" i="2" l="1"/>
  <c r="AB267" i="2" s="1"/>
  <c r="AA268" i="2"/>
  <c r="AB268" i="2" s="1"/>
  <c r="AA269" i="2"/>
  <c r="AB269" i="2" s="1"/>
  <c r="AA266" i="2"/>
  <c r="AB266" i="2" s="1"/>
  <c r="O271" i="2" a="1"/>
  <c r="O270" i="2" a="1"/>
  <c r="P270" i="2" a="1"/>
  <c r="P271" i="2" a="1"/>
  <c r="Q270" i="2" l="1"/>
  <c r="W271" i="2"/>
  <c r="AA271" i="2" s="1"/>
  <c r="AB271" i="2" s="1"/>
  <c r="W270" i="2"/>
  <c r="Q271" i="2"/>
  <c r="AA270" i="2" l="1"/>
  <c r="AB270" i="2" s="1"/>
  <c r="P272" i="2" a="1"/>
  <c r="O273" i="2" a="1"/>
  <c r="O272" i="2" a="1"/>
  <c r="P273" i="2" a="1"/>
  <c r="P275" i="2" a="1"/>
  <c r="P274" i="2" a="1"/>
  <c r="O275" i="2" a="1"/>
  <c r="W275" i="2" s="1"/>
  <c r="O274" i="2" a="1"/>
  <c r="W274" i="2" l="1"/>
  <c r="Q272" i="2"/>
  <c r="Q273" i="2"/>
  <c r="Q275" i="2"/>
  <c r="AA275" i="2" s="1"/>
  <c r="AB275" i="2" s="1"/>
  <c r="W272" i="2"/>
  <c r="Q274" i="2"/>
  <c r="W273" i="2"/>
  <c r="P277" i="2" a="1"/>
  <c r="P276" i="2" a="1"/>
  <c r="O276" i="2" a="1"/>
  <c r="O277" i="2" a="1"/>
  <c r="AA274" i="2" l="1"/>
  <c r="AB274" i="2" s="1"/>
  <c r="AA272" i="2"/>
  <c r="AB272" i="2" s="1"/>
  <c r="O279" i="2" s="1" a="1"/>
  <c r="W276" i="2"/>
  <c r="AA273" i="2"/>
  <c r="AB273" i="2" s="1"/>
  <c r="W277" i="2"/>
  <c r="Q277" i="2"/>
  <c r="AA277" i="2" s="1"/>
  <c r="AB277" i="2" s="1"/>
  <c r="Q276" i="2"/>
  <c r="AA276" i="2" s="1"/>
  <c r="AB276" i="2" s="1"/>
  <c r="O281" i="2" a="1"/>
  <c r="W281" i="2" s="1"/>
  <c r="P281" i="2" a="1"/>
  <c r="O280" i="2" a="1"/>
  <c r="P280" i="2" a="1"/>
  <c r="Q280" i="2" s="1"/>
  <c r="P279" i="2" a="1"/>
  <c r="P278" i="2" a="1"/>
  <c r="O278" i="2" a="1"/>
  <c r="Q281" i="2" l="1"/>
  <c r="AA281" i="2" s="1"/>
  <c r="AB281" i="2" s="1"/>
  <c r="W280" i="2"/>
  <c r="AA280" i="2" s="1"/>
  <c r="AB280" i="2" s="1"/>
  <c r="Q279" i="2"/>
  <c r="Q278" i="2"/>
  <c r="W278" i="2"/>
  <c r="W279" i="2"/>
  <c r="AA279" i="2" l="1"/>
  <c r="AB279" i="2" s="1"/>
  <c r="AA278" i="2"/>
  <c r="AB278" i="2" s="1"/>
  <c r="O283" i="2" a="1"/>
  <c r="P282" i="2" a="1"/>
  <c r="O282" i="2" a="1"/>
  <c r="O284" i="2" a="1"/>
  <c r="P285" i="2" a="1"/>
  <c r="O285" i="2" a="1"/>
  <c r="P284" i="2" a="1"/>
  <c r="P283" i="2" a="1"/>
  <c r="W284" i="2" l="1"/>
  <c r="Q285" i="2"/>
  <c r="Q284" i="2"/>
  <c r="Q283" i="2"/>
  <c r="Q282" i="2"/>
  <c r="W283" i="2"/>
  <c r="W282" i="2"/>
  <c r="W285" i="2"/>
  <c r="AA284" i="2" l="1"/>
  <c r="AB284" i="2" s="1"/>
  <c r="AA285" i="2"/>
  <c r="AB285" i="2" s="1"/>
  <c r="AA283" i="2"/>
  <c r="AB283" i="2" s="1"/>
  <c r="AA282" i="2"/>
  <c r="AB282" i="2" s="1"/>
  <c r="P287" i="2" a="1"/>
  <c r="O286" i="2" a="1"/>
  <c r="O287" i="2" a="1"/>
  <c r="P286" i="2" a="1"/>
  <c r="O288" i="2" a="1"/>
  <c r="O289" i="2" a="1"/>
  <c r="P288" i="2" a="1"/>
  <c r="P289" i="2" a="1"/>
  <c r="W287" i="2" l="1"/>
  <c r="W289" i="2"/>
  <c r="W286" i="2"/>
  <c r="Q288" i="2"/>
  <c r="Q287" i="2"/>
  <c r="Q286" i="2"/>
  <c r="W288" i="2"/>
  <c r="Q289" i="2"/>
  <c r="AA287" i="2" l="1"/>
  <c r="AB287" i="2" s="1"/>
  <c r="AA289" i="2"/>
  <c r="AB289" i="2" s="1"/>
  <c r="AA286" i="2"/>
  <c r="AB286" i="2" s="1"/>
  <c r="AA288" i="2"/>
  <c r="AB288" i="2" s="1"/>
  <c r="O293" i="2" l="1" a="1"/>
  <c r="P291" i="2" a="1"/>
  <c r="P290" i="2" a="1"/>
  <c r="P293" i="2" a="1"/>
  <c r="O292" i="2" a="1"/>
  <c r="P292" i="2" a="1"/>
  <c r="Q292" i="2" s="1"/>
  <c r="O291" i="2" a="1"/>
  <c r="O290" i="2" a="1"/>
  <c r="O295" i="2" a="1"/>
  <c r="O294" i="2" a="1"/>
  <c r="P295" i="2" a="1"/>
  <c r="P294" i="2" a="1"/>
  <c r="Q293" i="2" l="1"/>
  <c r="Q291" i="2"/>
  <c r="W290" i="2"/>
  <c r="Q295" i="2"/>
  <c r="Q294" i="2"/>
  <c r="W293" i="2"/>
  <c r="Q290" i="2"/>
  <c r="W292" i="2"/>
  <c r="AA292" i="2" s="1"/>
  <c r="AB292" i="2" s="1"/>
  <c r="W291" i="2"/>
  <c r="W295" i="2"/>
  <c r="W294" i="2"/>
  <c r="AA293" i="2" l="1"/>
  <c r="AB293" i="2" s="1"/>
  <c r="AA291" i="2"/>
  <c r="AB291" i="2" s="1"/>
  <c r="AA290" i="2"/>
  <c r="AB290" i="2" s="1"/>
  <c r="AA295" i="2"/>
  <c r="AB295" i="2" s="1"/>
  <c r="AA294" i="2"/>
  <c r="AB294" i="2" s="1"/>
  <c r="O297" i="2" l="1" a="1"/>
  <c r="P296" i="2" a="1"/>
  <c r="O296" i="2" a="1"/>
  <c r="W296" i="2" s="1"/>
  <c r="P297" i="2" a="1"/>
  <c r="Q297" i="2" l="1"/>
  <c r="Q296" i="2"/>
  <c r="AA296" i="2" s="1"/>
  <c r="AB296" i="2" s="1"/>
  <c r="W297" i="2"/>
  <c r="P298" i="2" a="1"/>
  <c r="P299" i="2" a="1"/>
  <c r="O299" i="2" a="1"/>
  <c r="O298" i="2" a="1"/>
  <c r="AA297" i="2" l="1"/>
  <c r="AB297" i="2" s="1"/>
  <c r="W299" i="2"/>
  <c r="Q298" i="2"/>
  <c r="Q299" i="2"/>
  <c r="W298" i="2"/>
  <c r="AA298" i="2" l="1"/>
  <c r="AB298" i="2" s="1"/>
  <c r="AA299" i="2"/>
  <c r="AB299" i="2" s="1"/>
  <c r="O301" i="2" l="1" a="1"/>
  <c r="P300" i="2" a="1"/>
  <c r="O300" i="2" a="1"/>
  <c r="P301" i="2" a="1"/>
  <c r="W300" i="2" l="1"/>
  <c r="W301" i="2"/>
  <c r="Q300" i="2"/>
  <c r="Q301" i="2"/>
  <c r="AA300" i="2" l="1"/>
  <c r="AB300" i="2" s="1"/>
  <c r="AA301" i="2"/>
  <c r="AB301" i="2" s="1"/>
  <c r="P303" i="2" a="1"/>
  <c r="O302" i="2" a="1"/>
  <c r="O303" i="2" a="1"/>
  <c r="P302" i="2" a="1"/>
  <c r="Q303" i="2" l="1"/>
  <c r="W302" i="2"/>
  <c r="W303" i="2"/>
  <c r="Q302" i="2"/>
  <c r="AA303" i="2" l="1"/>
  <c r="AB303" i="2" s="1"/>
  <c r="AA302" i="2"/>
  <c r="AB302" i="2" s="1"/>
  <c r="P304" i="2" l="1" a="1"/>
  <c r="O305" i="2" a="1"/>
  <c r="W305" i="2" s="1"/>
  <c r="P305" i="2" a="1"/>
  <c r="O304" i="2" a="1"/>
  <c r="W304" i="2" l="1"/>
  <c r="Q304" i="2"/>
  <c r="AA304" i="2" s="1"/>
  <c r="AB304" i="2" s="1"/>
  <c r="Q305" i="2"/>
  <c r="AA305" i="2" s="1"/>
  <c r="AB305" i="2" s="1"/>
  <c r="P306" i="2" l="1" a="1"/>
  <c r="O307" i="2" a="1"/>
  <c r="O306" i="2" a="1"/>
  <c r="P307" i="2" a="1"/>
  <c r="W306" i="2" l="1"/>
  <c r="Q307" i="2"/>
  <c r="W307" i="2"/>
  <c r="AA307" i="2" s="1"/>
  <c r="AB307" i="2" s="1"/>
  <c r="Q306" i="2"/>
  <c r="AA306" i="2" s="1"/>
  <c r="AB306" i="2" s="1"/>
  <c r="P311" i="2" l="1" a="1"/>
  <c r="P308" i="2" a="1"/>
  <c r="O311" i="2" a="1"/>
  <c r="O309" i="2" a="1"/>
  <c r="W309" i="2" s="1"/>
  <c r="P310" i="2" a="1"/>
  <c r="P309" i="2" a="1"/>
  <c r="O310" i="2" a="1"/>
  <c r="O308" i="2" a="1"/>
  <c r="O314" i="2" a="1"/>
  <c r="O315" i="2" a="1"/>
  <c r="P314" i="2" a="1"/>
  <c r="O313" i="2" a="1"/>
  <c r="P312" i="2" a="1"/>
  <c r="O312" i="2" a="1"/>
  <c r="W312" i="2" s="1"/>
  <c r="P315" i="2" a="1"/>
  <c r="P313" i="2" a="1"/>
  <c r="Q308" i="2" l="1"/>
  <c r="W314" i="2"/>
  <c r="W315" i="2"/>
  <c r="W311" i="2"/>
  <c r="Q310" i="2"/>
  <c r="W313" i="2"/>
  <c r="Q311" i="2"/>
  <c r="Q309" i="2"/>
  <c r="AA309" i="2" s="1"/>
  <c r="AB309" i="2" s="1"/>
  <c r="W310" i="2"/>
  <c r="W308" i="2"/>
  <c r="Q314" i="2"/>
  <c r="Q312" i="2"/>
  <c r="AA312" i="2" s="1"/>
  <c r="AB312" i="2" s="1"/>
  <c r="Q315" i="2"/>
  <c r="Q313" i="2"/>
  <c r="AA308" i="2" l="1"/>
  <c r="AB308" i="2" s="1"/>
  <c r="AA314" i="2"/>
  <c r="AB314" i="2" s="1"/>
  <c r="AA315" i="2"/>
  <c r="AB315" i="2" s="1"/>
  <c r="AA310" i="2"/>
  <c r="AB310" i="2" s="1"/>
  <c r="AA313" i="2"/>
  <c r="AB313" i="2" s="1"/>
  <c r="AA311" i="2"/>
  <c r="AB311" i="2" s="1"/>
  <c r="O317" i="2" a="1"/>
  <c r="O318" i="2" a="1"/>
  <c r="P318" i="2" a="1"/>
  <c r="P319" i="2" a="1"/>
  <c r="P316" i="2" a="1"/>
  <c r="O316" i="2" a="1"/>
  <c r="O319" i="2" a="1"/>
  <c r="P317" i="2" a="1"/>
  <c r="Q317" i="2" s="1"/>
  <c r="Q319" i="2" l="1"/>
  <c r="W318" i="2"/>
  <c r="W316" i="2"/>
  <c r="W317" i="2"/>
  <c r="AA317" i="2" s="1"/>
  <c r="AB317" i="2" s="1"/>
  <c r="Q318" i="2"/>
  <c r="Q316" i="2"/>
  <c r="W319" i="2"/>
  <c r="AA319" i="2" l="1"/>
  <c r="AB319" i="2" s="1"/>
  <c r="AA318" i="2"/>
  <c r="AB318" i="2" s="1"/>
  <c r="AA316" i="2"/>
  <c r="AB316" i="2" s="1"/>
  <c r="O321" i="2" a="1"/>
  <c r="P320" i="2" a="1"/>
  <c r="P321" i="2" a="1"/>
  <c r="Q321" i="2" s="1"/>
  <c r="O320" i="2" a="1"/>
  <c r="O325" i="2" a="1"/>
  <c r="O324" i="2" a="1"/>
  <c r="P325" i="2" a="1"/>
  <c r="P324" i="2" a="1"/>
  <c r="O322" i="2" a="1"/>
  <c r="P322" i="2" a="1"/>
  <c r="P323" i="2" a="1"/>
  <c r="O323" i="2" a="1"/>
  <c r="W325" i="2" l="1"/>
  <c r="Q322" i="2"/>
  <c r="W320" i="2"/>
  <c r="Q324" i="2"/>
  <c r="Q323" i="2"/>
  <c r="W321" i="2"/>
  <c r="AA321" i="2" s="1"/>
  <c r="AB321" i="2" s="1"/>
  <c r="W324" i="2"/>
  <c r="Q325" i="2"/>
  <c r="AA325" i="2" s="1"/>
  <c r="AB325" i="2" s="1"/>
  <c r="W322" i="2"/>
  <c r="AA322" i="2" s="1"/>
  <c r="AB322" i="2" s="1"/>
  <c r="W323" i="2"/>
  <c r="Q320" i="2"/>
  <c r="O326" i="2" a="1"/>
  <c r="P327" i="2" a="1"/>
  <c r="O331" i="2" a="1"/>
  <c r="O328" i="2" a="1"/>
  <c r="P330" i="2" a="1"/>
  <c r="P329" i="2" a="1"/>
  <c r="AA324" i="2" l="1"/>
  <c r="AB324" i="2" s="1"/>
  <c r="AA323" i="2"/>
  <c r="AB323" i="2" s="1"/>
  <c r="AA320" i="2"/>
  <c r="AB320" i="2" s="1"/>
  <c r="P331" i="2" l="1" a="1"/>
  <c r="O330" i="2" a="1"/>
  <c r="P326" i="2" a="1"/>
  <c r="O327" i="2" a="1"/>
  <c r="P328" i="2" a="1"/>
  <c r="O329" i="2" a="1"/>
  <c r="O332" i="2" a="1"/>
  <c r="O333" i="2" a="1"/>
  <c r="P332" i="2" a="1"/>
  <c r="P333" i="2" a="1"/>
  <c r="Q331" i="2" l="1"/>
  <c r="W331" i="2"/>
  <c r="Q330" i="2"/>
  <c r="W330" i="2"/>
  <c r="W326" i="2"/>
  <c r="Q326" i="2"/>
  <c r="Q327" i="2"/>
  <c r="W327" i="2"/>
  <c r="Q328" i="2"/>
  <c r="W328" i="2"/>
  <c r="W329" i="2"/>
  <c r="Q329" i="2"/>
  <c r="W332" i="2"/>
  <c r="W333" i="2"/>
  <c r="Q332" i="2"/>
  <c r="AA332" i="2" s="1"/>
  <c r="AB332" i="2" s="1"/>
  <c r="Q333" i="2"/>
  <c r="AA333" i="2" s="1"/>
  <c r="AB333" i="2" s="1"/>
  <c r="AA331" i="2" l="1"/>
  <c r="AB331" i="2" s="1"/>
  <c r="AA330" i="2"/>
  <c r="AB330" i="2" s="1"/>
  <c r="AA327" i="2"/>
  <c r="AB327" i="2" s="1"/>
  <c r="AA328" i="2"/>
  <c r="AB328" i="2" s="1"/>
  <c r="AA329" i="2"/>
  <c r="AB329" i="2" s="1"/>
  <c r="AA326" i="2"/>
  <c r="AB326" i="2" s="1"/>
  <c r="O335" i="2" a="1"/>
  <c r="P335" i="2" a="1"/>
  <c r="O334" i="2" a="1"/>
  <c r="P334" i="2" a="1"/>
  <c r="W334" i="2" l="1"/>
  <c r="W335" i="2"/>
  <c r="Q335" i="2"/>
  <c r="Q334" i="2"/>
  <c r="AA334" i="2" l="1"/>
  <c r="AB334" i="2" s="1"/>
  <c r="AA335" i="2"/>
  <c r="AB335" i="2" s="1"/>
  <c r="P336" i="2" a="1"/>
  <c r="O339" i="2" a="1"/>
  <c r="W339" i="2" s="1"/>
  <c r="O337" i="2" a="1"/>
  <c r="P337" i="2" a="1"/>
  <c r="Q337" i="2" s="1"/>
  <c r="O336" i="2" a="1"/>
  <c r="P338" i="2" a="1"/>
  <c r="P339" i="2" a="1"/>
  <c r="O338" i="2" a="1"/>
  <c r="W336" i="2" l="1"/>
  <c r="Q338" i="2"/>
  <c r="Q336" i="2"/>
  <c r="AA336" i="2" s="1"/>
  <c r="AB336" i="2" s="1"/>
  <c r="W337" i="2"/>
  <c r="AA337" i="2" s="1"/>
  <c r="AB337" i="2" s="1"/>
  <c r="Q339" i="2"/>
  <c r="AA339" i="2" s="1"/>
  <c r="AB339" i="2" s="1"/>
  <c r="W338" i="2"/>
  <c r="AA338" i="2" l="1"/>
  <c r="AB338" i="2" s="1"/>
  <c r="P347" i="2" a="1"/>
  <c r="O347" i="2" a="1"/>
  <c r="P346" i="2" a="1"/>
  <c r="O346" i="2" a="1"/>
  <c r="O342" i="2" a="1"/>
  <c r="P342" i="2" a="1"/>
  <c r="O340" i="2" a="1"/>
  <c r="O341" i="2" a="1"/>
  <c r="O343" i="2" a="1"/>
  <c r="P340" i="2" a="1"/>
  <c r="P341" i="2" a="1"/>
  <c r="P343" i="2" a="1"/>
  <c r="Q343" i="2" s="1"/>
  <c r="P344" i="2" a="1"/>
  <c r="P345" i="2" a="1"/>
  <c r="O345" i="2" a="1"/>
  <c r="O344" i="2" a="1"/>
  <c r="W345" i="2" l="1"/>
  <c r="W347" i="2"/>
  <c r="Q341" i="2"/>
  <c r="Q346" i="2"/>
  <c r="W342" i="2"/>
  <c r="W340" i="2"/>
  <c r="W344" i="2"/>
  <c r="Q347" i="2"/>
  <c r="AA347" i="2" s="1"/>
  <c r="AB347" i="2" s="1"/>
  <c r="W346" i="2"/>
  <c r="Q342" i="2"/>
  <c r="W341" i="2"/>
  <c r="AA341" i="2" s="1"/>
  <c r="AB341" i="2" s="1"/>
  <c r="W343" i="2"/>
  <c r="AA343" i="2" s="1"/>
  <c r="AB343" i="2" s="1"/>
  <c r="Q344" i="2"/>
  <c r="Q340" i="2"/>
  <c r="Q345" i="2"/>
  <c r="AA345" i="2" s="1"/>
  <c r="AB345" i="2" s="1"/>
  <c r="AA346" i="2" l="1"/>
  <c r="AB346" i="2" s="1"/>
  <c r="AA344" i="2"/>
  <c r="AB344" i="2" s="1"/>
  <c r="AA342" i="2"/>
  <c r="AB342" i="2" s="1"/>
  <c r="AA340" i="2"/>
  <c r="AB340" i="2" s="1"/>
  <c r="P348" i="2" a="1"/>
  <c r="Q348" i="2" s="1"/>
  <c r="O348" i="2" a="1"/>
  <c r="P349" i="2" a="1"/>
  <c r="O349" i="2" a="1"/>
  <c r="W349" i="2" l="1"/>
  <c r="W348" i="2"/>
  <c r="AA348" i="2" s="1"/>
  <c r="AB348" i="2" s="1"/>
  <c r="Q349" i="2"/>
  <c r="AA349" i="2" l="1"/>
  <c r="AB349" i="2" s="1"/>
  <c r="P350" i="2" a="1"/>
  <c r="P351" i="2" a="1"/>
  <c r="O351" i="2" a="1"/>
  <c r="O350" i="2" a="1"/>
  <c r="W350" i="2" l="1"/>
  <c r="W351" i="2"/>
  <c r="Q351" i="2"/>
  <c r="AA351" i="2" s="1"/>
  <c r="AB351" i="2" s="1"/>
  <c r="Q350" i="2"/>
  <c r="AA350" i="2" l="1"/>
  <c r="AB350" i="2" s="1"/>
  <c r="P355" i="2" a="1"/>
  <c r="P354" i="2" a="1"/>
  <c r="O352" i="2" a="1"/>
  <c r="O355" i="2" a="1"/>
  <c r="O354" i="2" a="1"/>
  <c r="P353" i="2" a="1"/>
  <c r="P352" i="2" a="1"/>
  <c r="O353" i="2" a="1"/>
  <c r="Q354" i="2" l="1"/>
  <c r="Q352" i="2"/>
  <c r="Q355" i="2"/>
  <c r="W353" i="2"/>
  <c r="W352" i="2"/>
  <c r="AA352" i="2" s="1"/>
  <c r="AB352" i="2" s="1"/>
  <c r="W354" i="2"/>
  <c r="W355" i="2"/>
  <c r="Q353" i="2"/>
  <c r="AA353" i="2" s="1"/>
  <c r="AB353" i="2" s="1"/>
  <c r="AA354" i="2" l="1"/>
  <c r="AB354" i="2" s="1"/>
  <c r="AA355" i="2"/>
  <c r="AB355" i="2" s="1"/>
  <c r="P357" i="2" a="1"/>
  <c r="O357" i="2" a="1"/>
  <c r="P356" i="2" a="1"/>
  <c r="O356" i="2" a="1"/>
  <c r="P358" i="2" a="1"/>
  <c r="P363" i="2" a="1"/>
  <c r="P361" i="2" a="1"/>
  <c r="O358" i="2" a="1"/>
  <c r="O359" i="2" a="1"/>
  <c r="W359" i="2" s="1"/>
  <c r="O360" i="2" a="1"/>
  <c r="P359" i="2" a="1"/>
  <c r="O364" i="2" a="1"/>
  <c r="P362" i="2" a="1"/>
  <c r="O362" i="2" a="1"/>
  <c r="O363" i="2" a="1"/>
  <c r="O365" i="2" a="1"/>
  <c r="W365" i="2" s="1"/>
  <c r="P364" i="2" a="1"/>
  <c r="P365" i="2" a="1"/>
  <c r="O361" i="2" a="1"/>
  <c r="P360" i="2" a="1"/>
  <c r="Q360" i="2" s="1"/>
  <c r="W357" i="2" l="1"/>
  <c r="Q356" i="2"/>
  <c r="Q363" i="2"/>
  <c r="W358" i="2"/>
  <c r="W362" i="2"/>
  <c r="Q364" i="2"/>
  <c r="W361" i="2"/>
  <c r="W356" i="2"/>
  <c r="AA356" i="2" s="1"/>
  <c r="AB356" i="2" s="1"/>
  <c r="Q358" i="2"/>
  <c r="Q361" i="2"/>
  <c r="W360" i="2"/>
  <c r="AA360" i="2" s="1"/>
  <c r="AB360" i="2" s="1"/>
  <c r="Q359" i="2"/>
  <c r="AA359" i="2" s="1"/>
  <c r="AB359" i="2" s="1"/>
  <c r="W364" i="2"/>
  <c r="Q362" i="2"/>
  <c r="W363" i="2"/>
  <c r="Q365" i="2"/>
  <c r="AA365" i="2" s="1"/>
  <c r="AB365" i="2" s="1"/>
  <c r="Q357" i="2"/>
  <c r="AA357" i="2" l="1"/>
  <c r="AB357" i="2" s="1"/>
  <c r="AA358" i="2"/>
  <c r="AB358" i="2" s="1"/>
  <c r="AA361" i="2"/>
  <c r="AB361" i="2" s="1"/>
  <c r="AA364" i="2"/>
  <c r="AB364" i="2" s="1"/>
  <c r="AA362" i="2"/>
  <c r="AB362" i="2" s="1"/>
  <c r="AA363" i="2"/>
  <c r="AB363" i="2" s="1"/>
  <c r="P367" i="2" a="1"/>
  <c r="P366" i="2" a="1"/>
  <c r="O367" i="2" a="1"/>
  <c r="O366" i="2" a="1"/>
  <c r="P368" i="2" a="1"/>
  <c r="O369" i="2" a="1"/>
  <c r="W369" i="2" s="1"/>
  <c r="P369" i="2" a="1"/>
  <c r="O368" i="2" a="1"/>
  <c r="W368" i="2" s="1"/>
  <c r="W367" i="2" l="1"/>
  <c r="W366" i="2"/>
  <c r="Q366" i="2"/>
  <c r="AA366" i="2" s="1"/>
  <c r="AB366" i="2" s="1"/>
  <c r="Q368" i="2"/>
  <c r="AA368" i="2" s="1"/>
  <c r="AB368" i="2" s="1"/>
  <c r="Q369" i="2"/>
  <c r="AA369" i="2" s="1"/>
  <c r="AB369" i="2" s="1"/>
  <c r="Q367" i="2"/>
  <c r="AA367" i="2" s="1"/>
  <c r="AB367" i="2" s="1"/>
  <c r="P371" i="2" l="1" a="1"/>
  <c r="O370" i="2" a="1"/>
  <c r="W370" i="2" s="1"/>
  <c r="P370" i="2" a="1"/>
  <c r="O371" i="2" a="1"/>
  <c r="O374" i="2" a="1"/>
  <c r="P373" i="2" a="1"/>
  <c r="P374" i="2" a="1"/>
  <c r="Q374" i="2" s="1"/>
  <c r="P375" i="2" a="1"/>
  <c r="O373" i="2" a="1"/>
  <c r="P372" i="2" a="1"/>
  <c r="O372" i="2" a="1"/>
  <c r="W372" i="2" s="1"/>
  <c r="O375" i="2" a="1"/>
  <c r="W371" i="2" l="1"/>
  <c r="Q375" i="2"/>
  <c r="W373" i="2"/>
  <c r="Q371" i="2"/>
  <c r="AA371" i="2" s="1"/>
  <c r="AB371" i="2" s="1"/>
  <c r="Q370" i="2"/>
  <c r="AA370" i="2" s="1"/>
  <c r="AB370" i="2" s="1"/>
  <c r="W374" i="2"/>
  <c r="AA374" i="2" s="1"/>
  <c r="AB374" i="2" s="1"/>
  <c r="Q373" i="2"/>
  <c r="Q372" i="2"/>
  <c r="AA372" i="2" s="1"/>
  <c r="AB372" i="2" s="1"/>
  <c r="W375" i="2"/>
  <c r="AA373" i="2" l="1"/>
  <c r="AB373" i="2" s="1"/>
  <c r="AA375" i="2"/>
  <c r="AB375" i="2" s="1"/>
  <c r="O377" i="2" a="1"/>
  <c r="P377" i="2" a="1"/>
  <c r="O376" i="2" a="1"/>
  <c r="P376" i="2" a="1"/>
  <c r="P380" i="2" a="1"/>
  <c r="O379" i="2" a="1"/>
  <c r="P379" i="2" a="1"/>
  <c r="P378" i="2" a="1"/>
  <c r="O378" i="2" a="1"/>
  <c r="O380" i="2" a="1"/>
  <c r="P381" i="2" a="1"/>
  <c r="O381" i="2" a="1"/>
  <c r="W376" i="2" l="1"/>
  <c r="Q377" i="2"/>
  <c r="W380" i="2"/>
  <c r="W377" i="2"/>
  <c r="Q376" i="2"/>
  <c r="Q378" i="2"/>
  <c r="W381" i="2"/>
  <c r="W379" i="2"/>
  <c r="Q380" i="2"/>
  <c r="Q379" i="2"/>
  <c r="W378" i="2"/>
  <c r="Q381" i="2"/>
  <c r="AA377" i="2" l="1"/>
  <c r="AB377" i="2" s="1"/>
  <c r="AA376" i="2"/>
  <c r="AB376" i="2" s="1"/>
  <c r="AA380" i="2"/>
  <c r="AB380" i="2" s="1"/>
  <c r="AA378" i="2"/>
  <c r="AB378" i="2" s="1"/>
  <c r="AA379" i="2"/>
  <c r="AB379" i="2" s="1"/>
  <c r="AA381" i="2"/>
  <c r="AB381" i="2" s="1"/>
  <c r="P384" i="2" a="1"/>
  <c r="O385" i="2" a="1"/>
  <c r="O384" i="2" a="1"/>
  <c r="P385" i="2" a="1"/>
  <c r="O382" i="2" l="1" a="1"/>
  <c r="P382" i="2" a="1"/>
  <c r="P383" i="2" a="1"/>
  <c r="O383" i="2" a="1"/>
  <c r="Q384" i="2"/>
  <c r="W385" i="2"/>
  <c r="Q385" i="2"/>
  <c r="W384" i="2"/>
  <c r="Q383" i="2" l="1"/>
  <c r="W382" i="2"/>
  <c r="Q382" i="2"/>
  <c r="W383" i="2"/>
  <c r="AA384" i="2"/>
  <c r="AB384" i="2" s="1"/>
  <c r="AA385" i="2"/>
  <c r="AB385" i="2" s="1"/>
  <c r="P389" i="2" a="1"/>
  <c r="P388" i="2" a="1"/>
  <c r="O388" i="2" a="1"/>
  <c r="O389" i="2" a="1"/>
  <c r="O386" i="2" a="1"/>
  <c r="P386" i="2" a="1"/>
  <c r="O387" i="2" a="1"/>
  <c r="P387" i="2" a="1"/>
  <c r="AA382" i="2" l="1"/>
  <c r="AB382" i="2" s="1"/>
  <c r="AA383" i="2"/>
  <c r="AB383" i="2" s="1"/>
  <c r="W387" i="2"/>
  <c r="W386" i="2"/>
  <c r="Q388" i="2"/>
  <c r="Q386" i="2"/>
  <c r="Q389" i="2"/>
  <c r="W388" i="2"/>
  <c r="W389" i="2"/>
  <c r="Q387" i="2"/>
  <c r="AA389" i="2" l="1"/>
  <c r="AB389" i="2" s="1"/>
  <c r="AA386" i="2"/>
  <c r="AB386" i="2" s="1"/>
  <c r="AA387" i="2"/>
  <c r="AB387" i="2" s="1"/>
  <c r="AA388" i="2"/>
  <c r="AB388" i="2" s="1"/>
  <c r="P392" i="2" a="1"/>
  <c r="O392" i="2" a="1"/>
  <c r="P395" i="2" a="1"/>
  <c r="P393" i="2" a="1"/>
  <c r="O393" i="2" a="1"/>
  <c r="O394" i="2" a="1"/>
  <c r="O395" i="2" a="1"/>
  <c r="P394" i="2" a="1"/>
  <c r="O396" i="2" a="1"/>
  <c r="P397" i="2" a="1"/>
  <c r="P396" i="2" a="1"/>
  <c r="O397" i="2" a="1"/>
  <c r="P391" i="2" l="1" a="1"/>
  <c r="O390" i="2" a="1"/>
  <c r="P390" i="2" a="1"/>
  <c r="O391" i="2" a="1"/>
  <c r="W391" i="2" s="1"/>
  <c r="W394" i="2"/>
  <c r="W395" i="2"/>
  <c r="W392" i="2"/>
  <c r="Q393" i="2"/>
  <c r="Q395" i="2"/>
  <c r="Q392" i="2"/>
  <c r="W393" i="2"/>
  <c r="Q394" i="2"/>
  <c r="W396" i="2"/>
  <c r="Q396" i="2"/>
  <c r="W397" i="2"/>
  <c r="Q397" i="2"/>
  <c r="W390" i="2" l="1"/>
  <c r="Q390" i="2"/>
  <c r="AA390" i="2" s="1"/>
  <c r="AB390" i="2" s="1"/>
  <c r="Q391" i="2"/>
  <c r="AA391" i="2" s="1"/>
  <c r="AB391" i="2" s="1"/>
  <c r="AA395" i="2"/>
  <c r="AB395" i="2" s="1"/>
  <c r="AA394" i="2"/>
  <c r="AB394" i="2" s="1"/>
  <c r="AA392" i="2"/>
  <c r="AB392" i="2" s="1"/>
  <c r="AA393" i="2"/>
  <c r="AB393" i="2" s="1"/>
  <c r="AA397" i="2"/>
  <c r="AB397" i="2" s="1"/>
  <c r="AA396" i="2"/>
  <c r="AB396" i="2" s="1"/>
  <c r="P399" i="2" l="1" a="1"/>
  <c r="P398" i="2" a="1"/>
  <c r="O399" i="2" a="1"/>
  <c r="O398" i="2" a="1"/>
  <c r="O400" i="2" a="1"/>
  <c r="O401" i="2" a="1"/>
  <c r="P400" i="2" a="1"/>
  <c r="P401" i="2" a="1"/>
  <c r="Q398" i="2" l="1"/>
  <c r="W399" i="2"/>
  <c r="W400" i="2"/>
  <c r="Q399" i="2"/>
  <c r="W401" i="2"/>
  <c r="Q400" i="2"/>
  <c r="W398" i="2"/>
  <c r="Q401" i="2"/>
  <c r="AA399" i="2" l="1"/>
  <c r="AB399" i="2" s="1"/>
  <c r="AA400" i="2"/>
  <c r="AB400" i="2" s="1"/>
  <c r="AA398" i="2"/>
  <c r="AB398" i="2" s="1"/>
  <c r="AA401" i="2"/>
  <c r="AB401" i="2" s="1"/>
  <c r="P405" i="2" a="1"/>
  <c r="O404" i="2" a="1"/>
  <c r="O403" i="2" a="1"/>
  <c r="P403" i="2" a="1"/>
  <c r="O402" i="2" a="1"/>
  <c r="P402" i="2" a="1"/>
  <c r="P404" i="2" a="1"/>
  <c r="O405" i="2" a="1"/>
  <c r="P406" i="2" a="1"/>
  <c r="O407" i="2" a="1"/>
  <c r="P408" i="2" a="1"/>
  <c r="O409" i="2" a="1"/>
  <c r="O408" i="2" a="1"/>
  <c r="P409" i="2" a="1"/>
  <c r="O406" i="2" a="1"/>
  <c r="P407" i="2" a="1"/>
  <c r="W409" i="2" l="1"/>
  <c r="Q403" i="2"/>
  <c r="Q406" i="2"/>
  <c r="Q408" i="2"/>
  <c r="Q405" i="2"/>
  <c r="W402" i="2"/>
  <c r="Q404" i="2"/>
  <c r="Q407" i="2"/>
  <c r="W403" i="2"/>
  <c r="Q402" i="2"/>
  <c r="W405" i="2"/>
  <c r="W407" i="2"/>
  <c r="W408" i="2"/>
  <c r="Q409" i="2"/>
  <c r="W406" i="2"/>
  <c r="W404" i="2"/>
  <c r="AA409" i="2" l="1"/>
  <c r="AB409" i="2" s="1"/>
  <c r="AA403" i="2"/>
  <c r="AB403" i="2" s="1"/>
  <c r="AA408" i="2"/>
  <c r="AB408" i="2" s="1"/>
  <c r="AA406" i="2"/>
  <c r="AB406" i="2" s="1"/>
  <c r="AA402" i="2"/>
  <c r="AB402" i="2" s="1"/>
  <c r="AA405" i="2"/>
  <c r="AB405" i="2" s="1"/>
  <c r="AA404" i="2"/>
  <c r="AB404" i="2" s="1"/>
  <c r="AA407" i="2"/>
  <c r="AB407" i="2" s="1"/>
  <c r="P410" i="2" a="1"/>
  <c r="O411" i="2" a="1"/>
  <c r="O410" i="2" a="1"/>
  <c r="P411" i="2" a="1"/>
  <c r="O413" i="2" l="1" a="1"/>
  <c r="O412" i="2" a="1"/>
  <c r="P412" i="2" a="1"/>
  <c r="P413" i="2" a="1"/>
  <c r="W411" i="2"/>
  <c r="W410" i="2"/>
  <c r="Q411" i="2"/>
  <c r="Q410" i="2"/>
  <c r="W412" i="2" l="1"/>
  <c r="W413" i="2"/>
  <c r="Q412" i="2"/>
  <c r="AA412" i="2" s="1"/>
  <c r="AB412" i="2" s="1"/>
  <c r="Q413" i="2"/>
  <c r="AA411" i="2"/>
  <c r="AB411" i="2" s="1"/>
  <c r="P414" i="2" a="1"/>
  <c r="O417" i="2" a="1"/>
  <c r="P417" i="2" a="1"/>
  <c r="O416" i="2" a="1"/>
  <c r="P415" i="2" a="1"/>
  <c r="O414" i="2" a="1"/>
  <c r="W414" i="2" s="1"/>
  <c r="P416" i="2" a="1"/>
  <c r="O415" i="2" a="1"/>
  <c r="W415" i="2" s="1"/>
  <c r="AA410" i="2"/>
  <c r="AB410" i="2" s="1"/>
  <c r="AA413" i="2" l="1"/>
  <c r="AB413" i="2" s="1"/>
  <c r="W417" i="2"/>
  <c r="Q416" i="2"/>
  <c r="W416" i="2"/>
  <c r="AA416" i="2" s="1"/>
  <c r="AB416" i="2" s="1"/>
  <c r="Q417" i="2"/>
  <c r="Q414" i="2"/>
  <c r="Q415" i="2"/>
  <c r="AA415" i="2" s="1"/>
  <c r="AB415" i="2" s="1"/>
  <c r="AA414" i="2"/>
  <c r="AB414" i="2" s="1"/>
  <c r="P418" i="2" a="1"/>
  <c r="O418" i="2" a="1"/>
  <c r="O419" i="2" a="1"/>
  <c r="P419" i="2" a="1"/>
  <c r="AA417" i="2" l="1"/>
  <c r="AB417" i="2" s="1"/>
  <c r="Q418" i="2"/>
  <c r="W419" i="2"/>
  <c r="Q419" i="2"/>
  <c r="W418" i="2"/>
  <c r="AA419" i="2" l="1"/>
  <c r="AB419" i="2" s="1"/>
  <c r="AA418" i="2"/>
  <c r="AB418" i="2" s="1"/>
  <c r="P420" i="2" l="1" a="1"/>
  <c r="O420" i="2" a="1"/>
  <c r="O421" i="2" a="1"/>
  <c r="P421" i="2" a="1"/>
  <c r="Q421" i="2" l="1"/>
  <c r="Q420" i="2"/>
  <c r="W420" i="2"/>
  <c r="W421" i="2"/>
  <c r="AA421" i="2" l="1"/>
  <c r="AB421" i="2" s="1"/>
  <c r="AA420" i="2"/>
  <c r="AB420" i="2" s="1"/>
  <c r="P425" i="2" a="1"/>
  <c r="O425" i="2" a="1"/>
  <c r="P424" i="2" a="1"/>
  <c r="O424" i="2" a="1"/>
  <c r="P423" i="2" l="1" a="1"/>
  <c r="P422" i="2" a="1"/>
  <c r="O422" i="2" a="1"/>
  <c r="O423" i="2" a="1"/>
  <c r="W424" i="2"/>
  <c r="W425" i="2"/>
  <c r="Q425" i="2"/>
  <c r="Q424" i="2"/>
  <c r="Q422" i="2" l="1"/>
  <c r="Q423" i="2"/>
  <c r="W423" i="2"/>
  <c r="W422" i="2"/>
  <c r="AA424" i="2"/>
  <c r="AB424" i="2" s="1"/>
  <c r="AA425" i="2"/>
  <c r="AB425" i="2" s="1"/>
  <c r="AA422" i="2" l="1"/>
  <c r="AB422" i="2" s="1"/>
  <c r="AA423" i="2"/>
  <c r="AB423" i="2" s="1"/>
  <c r="P426" i="2" l="1" a="1"/>
  <c r="O427" i="2" a="1"/>
  <c r="P427" i="2" a="1"/>
  <c r="O426" i="2" a="1"/>
  <c r="P429" i="2" a="1"/>
  <c r="O429" i="2" a="1"/>
  <c r="O428" i="2" a="1"/>
  <c r="P428" i="2" a="1"/>
  <c r="W426" i="2" l="1"/>
  <c r="W427" i="2"/>
  <c r="Q426" i="2"/>
  <c r="Q427" i="2"/>
  <c r="W429" i="2"/>
  <c r="W428" i="2"/>
  <c r="Q429" i="2"/>
  <c r="Q428" i="2"/>
  <c r="AA426" i="2" l="1"/>
  <c r="AB426" i="2" s="1"/>
  <c r="AA427" i="2"/>
  <c r="AB427" i="2" s="1"/>
  <c r="AA429" i="2"/>
  <c r="AB429" i="2" s="1"/>
  <c r="AA428" i="2"/>
  <c r="AB428" i="2" s="1"/>
  <c r="P430" i="2" a="1"/>
  <c r="O431" i="2" a="1"/>
  <c r="P431" i="2" a="1"/>
  <c r="O430" i="2" a="1"/>
  <c r="Q431" i="2" l="1"/>
  <c r="Q430" i="2"/>
  <c r="W431" i="2"/>
  <c r="W430" i="2"/>
  <c r="AA431" i="2" l="1"/>
  <c r="AB431" i="2" s="1"/>
  <c r="O432" i="2" a="1"/>
  <c r="P432" i="2" a="1"/>
  <c r="P433" i="2" a="1"/>
  <c r="O433" i="2" a="1"/>
  <c r="AA430" i="2"/>
  <c r="AB430" i="2" s="1"/>
  <c r="W432" i="2" l="1"/>
  <c r="Q433" i="2"/>
  <c r="Q432" i="2"/>
  <c r="W433" i="2"/>
  <c r="AA432" i="2" l="1"/>
  <c r="AB432" i="2" s="1"/>
  <c r="AA433" i="2"/>
  <c r="AB433" i="2" s="1"/>
  <c r="P434" i="2" l="1" a="1"/>
  <c r="O435" i="2" a="1"/>
  <c r="O434" i="2" a="1"/>
  <c r="P435" i="2" a="1"/>
  <c r="Q434" i="2" l="1"/>
  <c r="W435" i="2"/>
  <c r="W434" i="2"/>
  <c r="Q435" i="2"/>
  <c r="AA434" i="2" l="1"/>
  <c r="AB434" i="2" s="1"/>
  <c r="AA435" i="2"/>
  <c r="AB435" i="2" s="1"/>
  <c r="P436" i="2" a="1"/>
  <c r="O436" i="2" a="1"/>
  <c r="O437" i="2" a="1"/>
  <c r="P437" i="2" a="1"/>
  <c r="W436" i="2" l="1"/>
  <c r="W437" i="2"/>
  <c r="Q436" i="2"/>
  <c r="Q437" i="2"/>
  <c r="AA436" i="2" l="1"/>
  <c r="AB436" i="2" s="1"/>
  <c r="AA437" i="2"/>
  <c r="AB437" i="2" s="1"/>
  <c r="P439" i="2" a="1"/>
  <c r="O439" i="2" a="1"/>
  <c r="O438" i="2" a="1"/>
  <c r="P438" i="2" a="1"/>
  <c r="Q439" i="2" l="1"/>
  <c r="W438" i="2"/>
  <c r="W439" i="2"/>
  <c r="Q438" i="2"/>
  <c r="G26" i="3" a="1"/>
  <c r="AA439" i="2" l="1"/>
  <c r="AB439" i="2" s="1"/>
  <c r="AA438" i="2"/>
  <c r="AB438" i="2" s="1"/>
  <c r="P440" i="2" a="1"/>
  <c r="O440" i="2" a="1"/>
  <c r="O441" i="2" a="1"/>
  <c r="P441" i="2" a="1"/>
  <c r="W441" i="2" l="1"/>
  <c r="W440" i="2"/>
  <c r="Q440" i="2"/>
  <c r="Q441" i="2"/>
  <c r="AA441" i="2" l="1"/>
  <c r="AB441" i="2" s="1"/>
  <c r="AA440" i="2"/>
  <c r="AB440" i="2" s="1"/>
  <c r="O443" i="2" a="1"/>
  <c r="O442" i="2" a="1"/>
  <c r="P443" i="2" a="1"/>
  <c r="P442" i="2" a="1"/>
  <c r="AX5" i="3" a="1"/>
  <c r="W443" i="2" l="1"/>
  <c r="Q442" i="2"/>
  <c r="Q443" i="2"/>
  <c r="W442" i="2"/>
  <c r="AA443" i="2" l="1"/>
  <c r="AB443" i="2" s="1"/>
  <c r="AA442" i="2"/>
  <c r="AB442" i="2" s="1"/>
  <c r="AX2" i="3" l="1" a="1"/>
  <c r="AX9" i="3" l="1" a="1"/>
  <c r="AX4" i="3" l="1" a="1"/>
  <c r="G25" i="3" l="1" a="1"/>
  <c r="G30" i="3" a="1"/>
  <c r="G36" i="3" a="1"/>
  <c r="AX6" i="3" l="1" a="1"/>
  <c r="G32" i="3" a="1"/>
  <c r="G27" i="3" l="1" a="1"/>
  <c r="G28" i="3" l="1" a="1"/>
  <c r="G34" i="3" a="1"/>
  <c r="AX8" i="3" l="1" a="1"/>
  <c r="AX7" i="3" l="1" a="1"/>
  <c r="G29" i="3" a="1"/>
  <c r="AX3" i="3" l="1" a="1"/>
  <c r="G31" i="3" a="1"/>
  <c r="G35" i="3" l="1" a="1"/>
  <c r="G3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<sst xmlns="http://schemas.openxmlformats.org/spreadsheetml/2006/main" count="2300" uniqueCount="88">
  <si>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</si>
  <si>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</si>
  <si>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</si>
  <si>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</si>
  <si>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</si>
  <si>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</si>
  <si>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</si>
  <si>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</si>
  <si>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</si>
  <si>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</si>
  <si>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</si>
  <si>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</si>
  <si>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</si>
  <si>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</si>
  <si>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</si>
  <si>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</si>
  <si>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</si>
  <si>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</si>
  <si>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</si>
  <si>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</si>
  <si>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</si>
  <si>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</si>
  <si>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</si>
  <si>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</si>
  <si>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</si>
  <si>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</si>
  <si>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</si>
  <si>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</si>
  <si>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</si>
  <si>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</si>
  <si>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</si>
  <si>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</si>
  <si>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</si>
  <si>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</si>
  <si>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</si>
  <si>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</si>
  <si>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</si>
  <si>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</si>
  <si>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</si>
  <si>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</si>
  <si>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</si>
  <si>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</si>
  <si>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</si>
  <si>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</si>
  <si>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</si>
  <si>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</si>
  <si>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</si>
  <si>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</si>
  <si>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</si>
  <si>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</si>
  <si>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</si>
  <si>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</si>
  <si>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</si>
  <si>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</si>
  <si>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</si>
  <si>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</si>
  <si>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</si>
  <si>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</si>
  <si>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</si>
  <si>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</si>
  <si>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</si>
  <si>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</si>
  <si>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</si>
  <si>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</si>
  <si>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</si>
  <si>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</si>
  <si>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</si>
  <si>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</si>
  <si>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</si>
  <si>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</si>
  <si>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</si>
  <si>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</si>
  <si>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</si>
  <si>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</si>
  <si>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</si>
  <si>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</si>
  <si>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</si>
  <si>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</si>
  <si>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</si>
  <si>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</si>
  <si>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</si>
  <si>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TUL</t>
  </si>
  <si>
    <t>Tulsa Shock</t>
  </si>
  <si>
    <t>R</t>
  </si>
  <si>
    <t>RS</t>
  </si>
  <si>
    <t>A</t>
  </si>
  <si>
    <t>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</si>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</sst>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08328125003" createdVersion="8" refreshedVersion="8" minRefreshableVersion="3" recordCount="442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3-05-24T00:00:00" maxDate="2013-10-11T00:00:00"/>
    </cacheField>
    <cacheField name="Season" numFmtId="1">
      <sharedItems containsSemiMixedTypes="0" containsString="0" containsNumber="1" containsInteger="1" minValue="2013" maxValue="2013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8">
        <s v="IND"/>
        <s v="SAS"/>
        <s v="TUL"/>
        <s v="ATL"/>
        <s v="NYL"/>
        <s v="CON"/>
        <s v="SEA"/>
        <s v="LAS"/>
        <s v="CHI"/>
        <s v="PHX"/>
        <s v="WAS"/>
        <s v="MIN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8" maxValue="8"/>
    </cacheField>
    <cacheField name="OppRestDiff" numFmtId="1">
      <sharedItems containsSemiMixedTypes="0" containsString="0" containsNumber="1" containsInteger="1" minValue="-8" maxValue="8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57.0229622844545" maxValue="1742.3585596007506"/>
    </cacheField>
    <cacheField name="OppPreGmRate" numFmtId="165">
      <sharedItems containsSemiMixedTypes="0" containsString="0" containsNumber="1" minValue="1357.0229622844545" maxValue="1742.3585596007506"/>
    </cacheField>
    <cacheField name="ExpectedWin%" numFmtId="165">
      <sharedItems containsSemiMixedTypes="0" containsString="0" containsNumber="1" minValue="0.10184207936646311" maxValue="0.89815792063353694"/>
    </cacheField>
    <cacheField name="PointsFor" numFmtId="0">
      <sharedItems containsSemiMixedTypes="0" containsString="0" containsNumber="1" containsInteger="1" minValue="45" maxValue="108"/>
    </cacheField>
    <cacheField name="PointsAgainst" numFmtId="0">
      <sharedItems containsSemiMixedTypes="0" containsString="0" containsNumber="1" containsInteger="1" minValue="45" maxValue="108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6" maxValue="36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488030204453192" maxValue="0.75172160796572751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7" maxValue="75.849999999999994"/>
    </cacheField>
    <cacheField name="Keff" numFmtId="165">
      <sharedItems containsSemiMixedTypes="0" containsString="0" containsNumber="1" minValue="70.900000000000006" maxValue="94.702500000000015"/>
    </cacheField>
    <cacheField name="RatingChange" numFmtId="165">
      <sharedItems containsSemiMixedTypes="0" containsString="0" containsNumber="1" minValue="-34.191006188797402" maxValue="34.191006188797402"/>
    </cacheField>
    <cacheField name="PostGmRate" numFmtId="165">
      <sharedItems containsSemiMixedTypes="0" containsString="0" containsNumber="1" minValue="1347.5220791775096" maxValue="1752.1780771295892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d v="2013-05-24T00:00:00"/>
    <n v="2013"/>
    <x v="0"/>
    <s v="R"/>
    <s v="RS"/>
    <x v="0"/>
    <s v="SAS"/>
    <s v="A"/>
    <n v="0"/>
    <n v="0"/>
    <n v="0"/>
    <n v="0"/>
    <n v="0"/>
    <n v="0"/>
    <n v="1594.2291131818602"/>
    <n v="1525.6073573633571"/>
    <n v="0.47788336890695954"/>
    <n v="79"/>
    <n v="64"/>
    <n v="0"/>
    <n v="15"/>
    <n v="1"/>
    <n v="0.47564818346126875"/>
    <n v="1"/>
    <n v="75.849999999999994"/>
    <n v="75.849999999999994"/>
    <n v="18.836879288138331"/>
    <n v="1613.0659924699985"/>
    <n v="1"/>
    <n v="0"/>
    <n v="0"/>
    <n v="0"/>
    <n v="0"/>
    <n v="0"/>
    <n v="0"/>
    <n v="0"/>
    <n v="0"/>
    <n v="0"/>
  </r>
  <r>
    <d v="2013-05-24T00:00:00"/>
    <n v="2013"/>
    <x v="0"/>
    <s v="R"/>
    <s v="RS"/>
    <x v="1"/>
    <s v="IND"/>
    <s v="H"/>
    <n v="0"/>
    <n v="0"/>
    <n v="0"/>
    <n v="0"/>
    <n v="0"/>
    <n v="0"/>
    <n v="1525.6073573633571"/>
    <n v="1594.2291131818602"/>
    <n v="0.52211663109304052"/>
    <n v="64"/>
    <n v="79"/>
    <n v="0"/>
    <n v="-15"/>
    <n v="0"/>
    <n v="0.47564818346126875"/>
    <n v="1"/>
    <n v="75.849999999999994"/>
    <n v="75.849999999999994"/>
    <n v="-18.836879288138331"/>
    <n v="1506.7704780752188"/>
    <n v="0"/>
    <n v="1"/>
    <n v="0"/>
    <n v="0"/>
    <n v="0"/>
    <n v="0"/>
    <n v="0"/>
    <n v="0"/>
    <n v="0"/>
    <n v="0"/>
  </r>
  <r>
    <d v="2013-05-25T00:00:00"/>
    <n v="2013"/>
    <x v="0"/>
    <s v="R"/>
    <s v="RS"/>
    <x v="2"/>
    <s v="ATL"/>
    <s v="A"/>
    <n v="1"/>
    <n v="1"/>
    <n v="0"/>
    <n v="0"/>
    <n v="0"/>
    <n v="0"/>
    <n v="1429.2769882105106"/>
    <n v="1528.6827992918325"/>
    <n v="0.25811888848241676"/>
    <n v="81"/>
    <n v="98"/>
    <n v="0"/>
    <n v="-17"/>
    <n v="0"/>
    <n v="0.4917097318248102"/>
    <n v="1"/>
    <n v="75.849999999999994"/>
    <n v="75.849999999999994"/>
    <n v="-9.6268493416149585"/>
    <n v="1419.6501388688955"/>
    <n v="0"/>
    <n v="1"/>
    <n v="0"/>
    <n v="0"/>
    <n v="0"/>
    <n v="0"/>
    <n v="0"/>
    <n v="0"/>
    <n v="0"/>
    <n v="0"/>
  </r>
  <r>
    <d v="2013-05-25T00:00:00"/>
    <n v="2013"/>
    <x v="0"/>
    <s v="R"/>
    <s v="RS"/>
    <x v="3"/>
    <s v="TUL"/>
    <s v="H"/>
    <n v="1"/>
    <n v="1"/>
    <n v="0"/>
    <n v="0"/>
    <n v="0"/>
    <n v="0"/>
    <n v="1528.6827992918325"/>
    <n v="1429.2769882105106"/>
    <n v="0.74188111151758318"/>
    <n v="98"/>
    <n v="81"/>
    <n v="0"/>
    <n v="17"/>
    <n v="1"/>
    <n v="0.4917097318248102"/>
    <n v="1"/>
    <n v="75.849999999999994"/>
    <n v="75.849999999999994"/>
    <n v="9.6268493416149603"/>
    <n v="1538.3096486334475"/>
    <n v="1"/>
    <n v="0"/>
    <n v="0"/>
    <n v="0"/>
    <n v="0"/>
    <n v="0"/>
    <n v="0"/>
    <n v="0"/>
    <n v="0"/>
    <n v="0"/>
  </r>
  <r>
    <d v="2013-05-25T00:00:00"/>
    <n v="2013"/>
    <x v="0"/>
    <s v="R"/>
    <s v="RS"/>
    <x v="4"/>
    <s v="CON"/>
    <s v="A"/>
    <n v="1"/>
    <n v="1"/>
    <n v="0"/>
    <n v="0"/>
    <n v="0"/>
    <n v="0"/>
    <n v="1471.3606916931458"/>
    <n v="1553.6247054869971"/>
    <n v="0.27746068241375271"/>
    <n v="69"/>
    <n v="81"/>
    <n v="0"/>
    <n v="-12"/>
    <n v="0"/>
    <n v="0.42686632846568118"/>
    <n v="1"/>
    <n v="75.849999999999994"/>
    <n v="75.849999999999994"/>
    <n v="-8.9835695390417865"/>
    <n v="1462.377122154104"/>
    <n v="0"/>
    <n v="1"/>
    <n v="0"/>
    <n v="0"/>
    <n v="0"/>
    <n v="0"/>
    <n v="0"/>
    <n v="0"/>
    <n v="0"/>
    <n v="0"/>
  </r>
  <r>
    <d v="2013-05-25T00:00:00"/>
    <n v="2013"/>
    <x v="0"/>
    <s v="R"/>
    <s v="RS"/>
    <x v="5"/>
    <s v="NYL"/>
    <s v="H"/>
    <n v="1"/>
    <n v="1"/>
    <n v="0"/>
    <n v="0"/>
    <n v="0"/>
    <n v="0"/>
    <n v="1553.6247054869971"/>
    <n v="1471.3606916931458"/>
    <n v="0.72253931758624734"/>
    <n v="81"/>
    <n v="69"/>
    <n v="0"/>
    <n v="12"/>
    <n v="1"/>
    <n v="0.42686632846568118"/>
    <n v="1"/>
    <n v="75.849999999999994"/>
    <n v="75.849999999999994"/>
    <n v="8.9835695390417847"/>
    <n v="1562.6082750260389"/>
    <n v="1"/>
    <n v="0"/>
    <n v="0"/>
    <n v="0"/>
    <n v="0"/>
    <n v="0"/>
    <n v="0"/>
    <n v="0"/>
    <n v="0"/>
    <n v="0"/>
  </r>
  <r>
    <d v="2013-05-26T00:00:00"/>
    <n v="2013"/>
    <x v="0"/>
    <s v="R"/>
    <s v="RS"/>
    <x v="6"/>
    <s v="LAS"/>
    <s v="A"/>
    <n v="2"/>
    <n v="2"/>
    <n v="0"/>
    <n v="0"/>
    <n v="0"/>
    <n v="0"/>
    <n v="1502.3925871421297"/>
    <n v="1557.501064436444"/>
    <n v="0.30986024114978072"/>
    <n v="69"/>
    <n v="102"/>
    <n v="0"/>
    <n v="-33"/>
    <n v="0"/>
    <n v="0.7066248317448468"/>
    <n v="1"/>
    <n v="75.849999999999994"/>
    <n v="75.849999999999994"/>
    <n v="-16.607732257167957"/>
    <n v="1485.7848548849618"/>
    <n v="0"/>
    <n v="1"/>
    <n v="0"/>
    <n v="0"/>
    <n v="0"/>
    <n v="0"/>
    <n v="0"/>
    <n v="0"/>
    <n v="0"/>
    <n v="0"/>
  </r>
  <r>
    <d v="2013-05-26T00:00:00"/>
    <n v="2013"/>
    <x v="0"/>
    <s v="R"/>
    <s v="RS"/>
    <x v="7"/>
    <s v="SEA"/>
    <s v="H"/>
    <n v="2"/>
    <n v="2"/>
    <n v="0"/>
    <n v="0"/>
    <n v="0"/>
    <n v="0"/>
    <n v="1557.501064436444"/>
    <n v="1502.3925871421297"/>
    <n v="0.69013975885021928"/>
    <n v="102"/>
    <n v="69"/>
    <n v="0"/>
    <n v="33"/>
    <n v="1"/>
    <n v="0.7066248317448468"/>
    <n v="1"/>
    <n v="75.849999999999994"/>
    <n v="75.849999999999994"/>
    <n v="16.607732257167957"/>
    <n v="1574.108796693612"/>
    <n v="1"/>
    <n v="0"/>
    <n v="0"/>
    <n v="0"/>
    <n v="0"/>
    <n v="0"/>
    <n v="0"/>
    <n v="0"/>
    <n v="0"/>
    <n v="0"/>
  </r>
  <r>
    <d v="2013-05-27T00:00:00"/>
    <n v="2013"/>
    <x v="0"/>
    <s v="R"/>
    <s v="RS"/>
    <x v="8"/>
    <s v="PHX"/>
    <s v="A"/>
    <n v="3"/>
    <n v="3"/>
    <n v="0"/>
    <n v="0"/>
    <n v="0"/>
    <n v="0"/>
    <n v="1479.0442767573581"/>
    <n v="1394.5699688160289"/>
    <n v="0.50068258357295592"/>
    <n v="102"/>
    <n v="80"/>
    <n v="0"/>
    <n v="22"/>
    <n v="1"/>
    <n v="0.56246154642215518"/>
    <n v="1"/>
    <n v="75.849999999999994"/>
    <n v="75.849999999999994"/>
    <n v="21.302233284199488"/>
    <n v="1500.3465100415576"/>
    <n v="1"/>
    <n v="0"/>
    <n v="0"/>
    <n v="0"/>
    <n v="0"/>
    <n v="0"/>
    <n v="0"/>
    <n v="0"/>
    <n v="0"/>
    <n v="0"/>
  </r>
  <r>
    <d v="2013-05-27T00:00:00"/>
    <n v="2013"/>
    <x v="0"/>
    <s v="R"/>
    <s v="RS"/>
    <x v="9"/>
    <s v="CHI"/>
    <s v="H"/>
    <n v="3"/>
    <n v="3"/>
    <n v="0"/>
    <n v="0"/>
    <n v="0"/>
    <n v="0"/>
    <n v="1394.5699688160289"/>
    <n v="1479.0442767573581"/>
    <n v="0.49931741642704397"/>
    <n v="80"/>
    <n v="102"/>
    <n v="0"/>
    <n v="-22"/>
    <n v="0"/>
    <n v="0.56246154642215518"/>
    <n v="1"/>
    <n v="75.849999999999994"/>
    <n v="75.849999999999994"/>
    <n v="-21.302233284199485"/>
    <n v="1373.2677355318294"/>
    <n v="0"/>
    <n v="1"/>
    <n v="0"/>
    <n v="0"/>
    <n v="0"/>
    <n v="0"/>
    <n v="0"/>
    <n v="0"/>
    <n v="0"/>
    <n v="0"/>
  </r>
  <r>
    <d v="2013-05-27T00:00:00"/>
    <n v="2013"/>
    <x v="0"/>
    <s v="R"/>
    <s v="RS"/>
    <x v="10"/>
    <s v="TUL"/>
    <s v="A"/>
    <n v="3"/>
    <n v="1"/>
    <n v="2"/>
    <n v="-2"/>
    <n v="16"/>
    <n v="-16"/>
    <n v="1386.2386306281635"/>
    <n v="1419.6501388688955"/>
    <n v="0.37950066963301921"/>
    <n v="95"/>
    <n v="90"/>
    <n v="1"/>
    <n v="5"/>
    <n v="1"/>
    <n v="0.29049222510433781"/>
    <n v="1"/>
    <n v="75.849999999999994"/>
    <n v="75.849999999999994"/>
    <n v="13.671980033035137"/>
    <n v="1399.9106106611987"/>
    <n v="1"/>
    <n v="0"/>
    <n v="0"/>
    <n v="0"/>
    <n v="0"/>
    <n v="0"/>
    <n v="0"/>
    <n v="0"/>
    <n v="0"/>
    <n v="0"/>
  </r>
  <r>
    <d v="2013-05-27T00:00:00"/>
    <n v="2013"/>
    <x v="1"/>
    <s v="R"/>
    <s v="RS"/>
    <x v="2"/>
    <s v="WAS"/>
    <s v="H"/>
    <n v="1"/>
    <n v="3"/>
    <n v="-2"/>
    <n v="2"/>
    <n v="-16"/>
    <n v="16"/>
    <n v="1419.6501388688955"/>
    <n v="1386.2386306281635"/>
    <n v="0.62049933036698079"/>
    <n v="90"/>
    <n v="95"/>
    <n v="1"/>
    <n v="-5"/>
    <n v="0"/>
    <n v="0.29049222510433781"/>
    <n v="1"/>
    <n v="75.7"/>
    <n v="75.7"/>
    <n v="-13.644942498362029"/>
    <n v="1406.0051963705334"/>
    <n v="0"/>
    <n v="1"/>
    <n v="0"/>
    <n v="0"/>
    <n v="0"/>
    <n v="0"/>
    <n v="0"/>
    <n v="0"/>
    <n v="0"/>
    <n v="0"/>
  </r>
  <r>
    <d v="2013-05-31T00:00:00"/>
    <n v="2013"/>
    <x v="1"/>
    <s v="R"/>
    <s v="RS"/>
    <x v="5"/>
    <s v="CHI"/>
    <s v="A"/>
    <n v="5"/>
    <n v="3"/>
    <n v="2"/>
    <n v="-2"/>
    <n v="16"/>
    <n v="-16"/>
    <n v="1562.6082750260389"/>
    <n v="1500.3465100415576"/>
    <n v="0.51476357412691043"/>
    <n v="75"/>
    <n v="86"/>
    <n v="0"/>
    <n v="-11"/>
    <n v="0"/>
    <n v="0.41814081591518909"/>
    <n v="1"/>
    <n v="75.7"/>
    <n v="75.7"/>
    <n v="-16.293945129285586"/>
    <n v="1546.3143298967534"/>
    <n v="0"/>
    <n v="1"/>
    <n v="0"/>
    <n v="0"/>
    <n v="0"/>
    <n v="0"/>
    <n v="0"/>
    <n v="0"/>
    <n v="0"/>
    <n v="0"/>
  </r>
  <r>
    <d v="2013-05-31T00:00:00"/>
    <n v="2013"/>
    <x v="1"/>
    <s v="R"/>
    <s v="RS"/>
    <x v="8"/>
    <s v="CON"/>
    <s v="H"/>
    <n v="3"/>
    <n v="5"/>
    <n v="-2"/>
    <n v="2"/>
    <n v="-16"/>
    <n v="16"/>
    <n v="1500.3465100415576"/>
    <n v="1562.6082750260389"/>
    <n v="0.48523642587308952"/>
    <n v="86"/>
    <n v="75"/>
    <n v="0"/>
    <n v="11"/>
    <n v="1"/>
    <n v="0.41814081591518909"/>
    <n v="1"/>
    <n v="75.7"/>
    <n v="75.7"/>
    <n v="16.293945129285589"/>
    <n v="1516.6404551708433"/>
    <n v="1"/>
    <n v="0"/>
    <n v="0"/>
    <n v="0"/>
    <n v="0"/>
    <n v="0"/>
    <n v="0"/>
    <n v="0"/>
    <n v="0"/>
    <n v="0"/>
  </r>
  <r>
    <d v="2013-05-31T00:00:00"/>
    <n v="2013"/>
    <x v="1"/>
    <s v="R"/>
    <s v="RS"/>
    <x v="3"/>
    <s v="IND"/>
    <s v="A"/>
    <n v="5"/>
    <n v="6"/>
    <n v="-1"/>
    <n v="1"/>
    <n v="-8"/>
    <n v="8"/>
    <n v="1538.3096486334475"/>
    <n v="1613.0659924699985"/>
    <n v="0.26776762533673271"/>
    <n v="86"/>
    <n v="77"/>
    <n v="0"/>
    <n v="9"/>
    <n v="1"/>
    <n v="0.38216388169561888"/>
    <n v="1"/>
    <n v="75.7"/>
    <n v="75.7"/>
    <n v="21.183340431961781"/>
    <n v="1559.4929890654093"/>
    <n v="1"/>
    <n v="0"/>
    <n v="0"/>
    <n v="0"/>
    <n v="0"/>
    <n v="0"/>
    <n v="0"/>
    <n v="0"/>
    <n v="0"/>
    <n v="0"/>
  </r>
  <r>
    <d v="2013-05-31T00:00:00"/>
    <n v="2013"/>
    <x v="1"/>
    <s v="R"/>
    <s v="RS"/>
    <x v="0"/>
    <s v="ATL"/>
    <s v="H"/>
    <n v="6"/>
    <n v="5"/>
    <n v="1"/>
    <n v="-1"/>
    <n v="8"/>
    <n v="-8"/>
    <n v="1613.0659924699985"/>
    <n v="1538.3096486334475"/>
    <n v="0.73223237466326729"/>
    <n v="77"/>
    <n v="86"/>
    <n v="0"/>
    <n v="-9"/>
    <n v="0"/>
    <n v="0.38216388169561888"/>
    <n v="1"/>
    <n v="75.7"/>
    <n v="75.7"/>
    <n v="-21.183340431961781"/>
    <n v="1591.8826520380367"/>
    <n v="0"/>
    <n v="1"/>
    <n v="0"/>
    <n v="0"/>
    <n v="0"/>
    <n v="0"/>
    <n v="0"/>
    <n v="0"/>
    <n v="0"/>
    <n v="0"/>
  </r>
  <r>
    <d v="2013-05-31T00:00:00"/>
    <n v="2013"/>
    <x v="2"/>
    <s v="R"/>
    <s v="RS"/>
    <x v="2"/>
    <s v="NYL"/>
    <s v="A"/>
    <n v="3"/>
    <n v="5"/>
    <n v="-2"/>
    <n v="2"/>
    <n v="-16"/>
    <n v="16"/>
    <n v="1406.0051963705334"/>
    <n v="1462.377122154104"/>
    <n v="0.27046738317762581"/>
    <n v="76"/>
    <n v="78"/>
    <n v="1"/>
    <n v="-2"/>
    <n v="0"/>
    <n v="0.23024123711936112"/>
    <n v="1"/>
    <n v="75.55"/>
    <n v="75.55"/>
    <n v="-4.7047058774407517"/>
    <n v="1401.3004904930926"/>
    <n v="0"/>
    <n v="1"/>
    <n v="0"/>
    <n v="0"/>
    <n v="0"/>
    <n v="0"/>
    <n v="0"/>
    <n v="0"/>
    <n v="0"/>
    <n v="0"/>
  </r>
  <r>
    <d v="2013-05-31T00:00:00"/>
    <n v="2013"/>
    <x v="1"/>
    <s v="R"/>
    <s v="RS"/>
    <x v="4"/>
    <s v="TUL"/>
    <s v="H"/>
    <n v="5"/>
    <n v="3"/>
    <n v="2"/>
    <n v="-2"/>
    <n v="16"/>
    <n v="-16"/>
    <n v="1462.377122154104"/>
    <n v="1406.0051963705334"/>
    <n v="0.72953261682237425"/>
    <n v="78"/>
    <n v="76"/>
    <n v="1"/>
    <n v="2"/>
    <n v="1"/>
    <n v="0.23024123711936112"/>
    <n v="1"/>
    <n v="75.7"/>
    <n v="75.7"/>
    <n v="4.7140467891762396"/>
    <n v="1467.0911689432803"/>
    <n v="1"/>
    <n v="0"/>
    <n v="0"/>
    <n v="0"/>
    <n v="0"/>
    <n v="0"/>
    <n v="0"/>
    <n v="0"/>
    <n v="0"/>
    <n v="0"/>
  </r>
  <r>
    <d v="2013-06-01T00:00:00"/>
    <n v="2013"/>
    <x v="2"/>
    <s v="R"/>
    <s v="RS"/>
    <x v="5"/>
    <s v="MIN"/>
    <s v="A"/>
    <n v="0"/>
    <n v="8"/>
    <n v="-8"/>
    <n v="8"/>
    <n v="-16"/>
    <n v="16"/>
    <n v="1546.3143298967534"/>
    <n v="1581.9138190258407"/>
    <n v="0.29469761906926822"/>
    <n v="74"/>
    <n v="90"/>
    <n v="0"/>
    <n v="-16"/>
    <n v="0"/>
    <n v="0.50286783395647749"/>
    <n v="1"/>
    <n v="75.55"/>
    <n v="75.55"/>
    <n v="-11.196053177367475"/>
    <n v="1535.1182767193859"/>
    <n v="0"/>
    <n v="1"/>
    <n v="0"/>
    <n v="0"/>
    <n v="0"/>
    <n v="0"/>
    <n v="0"/>
    <n v="0"/>
    <n v="0"/>
    <n v="0"/>
  </r>
  <r>
    <d v="2013-06-01T00:00:00"/>
    <n v="2013"/>
    <x v="0"/>
    <s v="R"/>
    <s v="RS"/>
    <x v="11"/>
    <s v="CON"/>
    <s v="H"/>
    <n v="8"/>
    <n v="0"/>
    <n v="8"/>
    <n v="-8"/>
    <n v="16"/>
    <n v="-16"/>
    <n v="1581.9138190258407"/>
    <n v="1546.3143298967534"/>
    <n v="0.70530238093073183"/>
    <n v="90"/>
    <n v="74"/>
    <n v="0"/>
    <n v="16"/>
    <n v="1"/>
    <n v="0.50286783395647749"/>
    <n v="1"/>
    <n v="75.849999999999994"/>
    <n v="75.849999999999994"/>
    <n v="11.24051136337952"/>
    <n v="1593.1543303892201"/>
    <n v="1"/>
    <n v="0"/>
    <n v="0"/>
    <n v="0"/>
    <n v="0"/>
    <n v="0"/>
    <n v="0"/>
    <n v="0"/>
    <n v="0"/>
    <n v="0"/>
  </r>
  <r>
    <d v="2013-06-01T00:00:00"/>
    <n v="2013"/>
    <x v="1"/>
    <s v="R"/>
    <s v="RS"/>
    <x v="7"/>
    <s v="SAS"/>
    <s v="A"/>
    <n v="5"/>
    <n v="7"/>
    <n v="-2"/>
    <n v="2"/>
    <n v="-16"/>
    <n v="16"/>
    <n v="1574.108796693612"/>
    <n v="1506.7704780752188"/>
    <n v="0.43042456377564597"/>
    <n v="78"/>
    <n v="83"/>
    <n v="0"/>
    <n v="-5"/>
    <n v="0"/>
    <n v="0.31412856749056511"/>
    <n v="1"/>
    <n v="75.7"/>
    <n v="75.7"/>
    <n v="-10.235294928511745"/>
    <n v="1563.8735017651002"/>
    <n v="0"/>
    <n v="1"/>
    <n v="0"/>
    <n v="0"/>
    <n v="0"/>
    <n v="0"/>
    <n v="0"/>
    <n v="0"/>
    <n v="0"/>
    <n v="0"/>
  </r>
  <r>
    <d v="2013-06-01T00:00:00"/>
    <n v="2013"/>
    <x v="1"/>
    <s v="R"/>
    <s v="RS"/>
    <x v="1"/>
    <s v="LAS"/>
    <s v="H"/>
    <n v="7"/>
    <n v="5"/>
    <n v="2"/>
    <n v="-2"/>
    <n v="16"/>
    <n v="-16"/>
    <n v="1506.7704780752188"/>
    <n v="1574.108796693612"/>
    <n v="0.56957543622435403"/>
    <n v="83"/>
    <n v="78"/>
    <n v="0"/>
    <n v="5"/>
    <n v="1"/>
    <n v="0.31412856749056511"/>
    <n v="1"/>
    <n v="75.7"/>
    <n v="75.7"/>
    <n v="10.235294928511745"/>
    <n v="1517.0057730037306"/>
    <n v="1"/>
    <n v="0"/>
    <n v="0"/>
    <n v="0"/>
    <n v="0"/>
    <n v="0"/>
    <n v="0"/>
    <n v="0"/>
    <n v="0"/>
    <n v="0"/>
  </r>
  <r>
    <d v="2013-06-02T00:00:00"/>
    <n v="2013"/>
    <x v="3"/>
    <s v="R"/>
    <s v="RS"/>
    <x v="2"/>
    <s v="CHI"/>
    <s v="A"/>
    <n v="1"/>
    <n v="1"/>
    <n v="0"/>
    <n v="0"/>
    <n v="0"/>
    <n v="0"/>
    <n v="1401.3004904930926"/>
    <n v="1516.6404551708433"/>
    <n v="0.24094728048705102"/>
    <n v="71"/>
    <n v="92"/>
    <n v="0"/>
    <n v="-21"/>
    <n v="0"/>
    <n v="0.53696501763171256"/>
    <n v="1"/>
    <n v="75.400000000000006"/>
    <n v="75.400000000000006"/>
    <n v="-9.7552716579142089"/>
    <n v="1391.5452188351785"/>
    <n v="0"/>
    <n v="1"/>
    <n v="0"/>
    <n v="0"/>
    <n v="0"/>
    <n v="0"/>
    <n v="0"/>
    <n v="0"/>
    <n v="0"/>
    <n v="0"/>
  </r>
  <r>
    <d v="2013-06-02T00:00:00"/>
    <n v="2013"/>
    <x v="2"/>
    <s v="R"/>
    <s v="RS"/>
    <x v="8"/>
    <s v="TUL"/>
    <s v="H"/>
    <n v="1"/>
    <n v="1"/>
    <n v="0"/>
    <n v="0"/>
    <n v="0"/>
    <n v="0"/>
    <n v="1516.6404551708433"/>
    <n v="1401.3004904930926"/>
    <n v="0.75905271951294884"/>
    <n v="92"/>
    <n v="71"/>
    <n v="0"/>
    <n v="21"/>
    <n v="1"/>
    <n v="0.53696501763171256"/>
    <n v="1"/>
    <n v="75.55"/>
    <n v="75.55"/>
    <n v="9.7746786970214696"/>
    <n v="1526.4151338678648"/>
    <n v="1"/>
    <n v="0"/>
    <n v="0"/>
    <n v="0"/>
    <n v="0"/>
    <n v="0"/>
    <n v="0"/>
    <n v="0"/>
    <n v="0"/>
    <n v="0"/>
  </r>
  <r>
    <d v="2013-06-02T00:00:00"/>
    <n v="2013"/>
    <x v="1"/>
    <s v="R"/>
    <s v="RS"/>
    <x v="9"/>
    <s v="SEA"/>
    <s v="A"/>
    <n v="5"/>
    <n v="6"/>
    <n v="-1"/>
    <n v="1"/>
    <n v="-8"/>
    <n v="8"/>
    <n v="1373.2677355318294"/>
    <n v="1485.7848548849618"/>
    <n v="0.22734799866072472"/>
    <n v="72"/>
    <n v="75"/>
    <n v="0"/>
    <n v="-3"/>
    <n v="0"/>
    <n v="0.26530718737601555"/>
    <n v="1"/>
    <n v="75.7"/>
    <n v="75.7"/>
    <n v="-4.5660012966743979"/>
    <n v="1368.7017342351551"/>
    <n v="0"/>
    <n v="1"/>
    <n v="0"/>
    <n v="0"/>
    <n v="0"/>
    <n v="0"/>
    <n v="0"/>
    <n v="0"/>
    <n v="0"/>
    <n v="0"/>
  </r>
  <r>
    <d v="2013-06-02T00:00:00"/>
    <n v="2013"/>
    <x v="1"/>
    <s v="R"/>
    <s v="RS"/>
    <x v="6"/>
    <s v="PHX"/>
    <s v="H"/>
    <n v="6"/>
    <n v="5"/>
    <n v="1"/>
    <n v="-1"/>
    <n v="8"/>
    <n v="-8"/>
    <n v="1485.7848548849618"/>
    <n v="1373.2677355318294"/>
    <n v="0.77265200133927525"/>
    <n v="75"/>
    <n v="72"/>
    <n v="0"/>
    <n v="3"/>
    <n v="1"/>
    <n v="0.26530718737601555"/>
    <n v="1"/>
    <n v="75.7"/>
    <n v="75.7"/>
    <n v="4.5660012966743979"/>
    <n v="1490.3508561816361"/>
    <n v="1"/>
    <n v="0"/>
    <n v="0"/>
    <n v="0"/>
    <n v="0"/>
    <n v="0"/>
    <n v="0"/>
    <n v="0"/>
    <n v="0"/>
    <n v="0"/>
  </r>
  <r>
    <d v="2013-06-02T00:00:00"/>
    <n v="2013"/>
    <x v="2"/>
    <s v="R"/>
    <s v="RS"/>
    <x v="3"/>
    <s v="WAS"/>
    <s v="A"/>
    <n v="1"/>
    <n v="5"/>
    <n v="-4"/>
    <n v="4"/>
    <n v="-16"/>
    <n v="16"/>
    <n v="1559.4929890654093"/>
    <n v="1399.9106106611987"/>
    <n v="0.56239316997106881"/>
    <n v="73"/>
    <n v="63"/>
    <n v="0"/>
    <n v="10"/>
    <n v="1"/>
    <n v="0.373464416179556"/>
    <n v="1"/>
    <n v="75.55"/>
    <n v="75.55"/>
    <n v="12.34718026558169"/>
    <n v="1571.8401693309911"/>
    <n v="1"/>
    <n v="0"/>
    <n v="0"/>
    <n v="0"/>
    <n v="0"/>
    <n v="0"/>
    <n v="0"/>
    <n v="0"/>
    <n v="0"/>
    <n v="0"/>
  </r>
  <r>
    <d v="2013-06-02T00:00:00"/>
    <n v="2013"/>
    <x v="1"/>
    <s v="R"/>
    <s v="RS"/>
    <x v="10"/>
    <s v="ATL"/>
    <s v="H"/>
    <n v="5"/>
    <n v="1"/>
    <n v="4"/>
    <n v="-4"/>
    <n v="16"/>
    <n v="-16"/>
    <n v="1399.9106106611987"/>
    <n v="1559.4929890654093"/>
    <n v="0.43760683002893114"/>
    <n v="63"/>
    <n v="73"/>
    <n v="0"/>
    <n v="-10"/>
    <n v="0"/>
    <n v="0.373464416179556"/>
    <n v="1"/>
    <n v="75.7"/>
    <n v="75.7"/>
    <n v="-12.371694852475631"/>
    <n v="1387.538915808723"/>
    <n v="0"/>
    <n v="1"/>
    <n v="0"/>
    <n v="0"/>
    <n v="0"/>
    <n v="0"/>
    <n v="0"/>
    <n v="0"/>
    <n v="0"/>
    <n v="0"/>
  </r>
  <r>
    <d v="2013-06-05T00:00:00"/>
    <n v="2013"/>
    <x v="2"/>
    <s v="R"/>
    <s v="RS"/>
    <x v="0"/>
    <s v="NYL"/>
    <s v="A"/>
    <n v="4"/>
    <n v="4"/>
    <n v="0"/>
    <n v="0"/>
    <n v="0"/>
    <n v="0"/>
    <n v="1591.8826520380367"/>
    <n v="1467.0911689432803"/>
    <n v="0.55843540889919197"/>
    <n v="68"/>
    <n v="75"/>
    <n v="1"/>
    <n v="-7"/>
    <n v="0"/>
    <n v="0.30171974336095253"/>
    <n v="1"/>
    <n v="75.55"/>
    <n v="75.55"/>
    <n v="-12.729494162796161"/>
    <n v="1579.1531578752406"/>
    <n v="0"/>
    <n v="1"/>
    <n v="0"/>
    <n v="0"/>
    <n v="0"/>
    <n v="0"/>
    <n v="0"/>
    <n v="0"/>
    <n v="0"/>
    <n v="0"/>
  </r>
  <r>
    <d v="2013-06-05T00:00:00"/>
    <n v="2013"/>
    <x v="2"/>
    <s v="R"/>
    <s v="RS"/>
    <x v="4"/>
    <s v="IND"/>
    <s v="H"/>
    <n v="4"/>
    <n v="4"/>
    <n v="0"/>
    <n v="0"/>
    <n v="0"/>
    <n v="0"/>
    <n v="1467.0911689432803"/>
    <n v="1591.8826520380367"/>
    <n v="0.44156459110080809"/>
    <n v="75"/>
    <n v="68"/>
    <n v="1"/>
    <n v="7"/>
    <n v="1"/>
    <n v="0.30171974336095253"/>
    <n v="1"/>
    <n v="75.55"/>
    <n v="75.55"/>
    <n v="12.729494162796158"/>
    <n v="1479.8206631060764"/>
    <n v="1"/>
    <n v="0"/>
    <n v="0"/>
    <n v="0"/>
    <n v="0"/>
    <n v="0"/>
    <n v="0"/>
    <n v="0"/>
    <n v="0"/>
    <n v="0"/>
  </r>
  <r>
    <d v="2013-06-06T00:00:00"/>
    <n v="2013"/>
    <x v="2"/>
    <s v="R"/>
    <s v="RS"/>
    <x v="9"/>
    <s v="MIN"/>
    <s v="A"/>
    <n v="3"/>
    <n v="4"/>
    <n v="-1"/>
    <n v="1"/>
    <n v="-8"/>
    <n v="8"/>
    <n v="1368.7017342351551"/>
    <n v="1593.1543303892201"/>
    <n v="0.13380815973092483"/>
    <n v="79"/>
    <n v="99"/>
    <n v="0"/>
    <n v="-20"/>
    <n v="0"/>
    <n v="0.48430171182473891"/>
    <n v="1"/>
    <n v="75.55"/>
    <n v="75.55"/>
    <n v="-4.8959059974829664"/>
    <n v="1363.8058282376721"/>
    <n v="0"/>
    <n v="1"/>
    <n v="0"/>
    <n v="0"/>
    <n v="0"/>
    <n v="0"/>
    <n v="0"/>
    <n v="0"/>
    <n v="0"/>
    <n v="0"/>
  </r>
  <r>
    <d v="2013-06-06T00:00:00"/>
    <n v="2013"/>
    <x v="1"/>
    <s v="R"/>
    <s v="RS"/>
    <x v="11"/>
    <s v="PHX"/>
    <s v="H"/>
    <n v="4"/>
    <n v="3"/>
    <n v="1"/>
    <n v="-1"/>
    <n v="8"/>
    <n v="-8"/>
    <n v="1593.1543303892201"/>
    <n v="1368.7017342351551"/>
    <n v="0.86619184026907525"/>
    <n v="99"/>
    <n v="79"/>
    <n v="0"/>
    <n v="20"/>
    <n v="1"/>
    <n v="0.48430171182473891"/>
    <n v="1"/>
    <n v="75.7"/>
    <n v="75.7"/>
    <n v="4.9056265256050349"/>
    <n v="1598.0599569148251"/>
    <n v="1"/>
    <n v="0"/>
    <n v="0"/>
    <n v="0"/>
    <n v="0"/>
    <n v="0"/>
    <n v="0"/>
    <n v="0"/>
    <n v="0"/>
    <n v="0"/>
  </r>
  <r>
    <d v="2013-06-07T00:00:00"/>
    <n v="2013"/>
    <x v="3"/>
    <s v="R"/>
    <s v="RS"/>
    <x v="4"/>
    <s v="ATL"/>
    <s v="A"/>
    <n v="1"/>
    <n v="4"/>
    <n v="-3"/>
    <n v="3"/>
    <n v="-16"/>
    <n v="16"/>
    <n v="1479.8206631060764"/>
    <n v="1571.8401693309911"/>
    <n v="0.23192799374166553"/>
    <n v="56"/>
    <n v="75"/>
    <n v="0"/>
    <n v="-19"/>
    <n v="0"/>
    <n v="0.52102393502914635"/>
    <n v="1"/>
    <n v="75.400000000000006"/>
    <n v="75.400000000000006"/>
    <n v="-9.1113387100794139"/>
    <n v="1470.7093243959969"/>
    <n v="0"/>
    <n v="1"/>
    <n v="0"/>
    <n v="0"/>
    <n v="0"/>
    <n v="0"/>
    <n v="0"/>
    <n v="0"/>
    <n v="0"/>
    <n v="0"/>
  </r>
  <r>
    <d v="2013-06-07T00:00:00"/>
    <n v="2013"/>
    <x v="3"/>
    <s v="R"/>
    <s v="RS"/>
    <x v="3"/>
    <s v="NYL"/>
    <s v="H"/>
    <n v="4"/>
    <n v="1"/>
    <n v="3"/>
    <n v="-3"/>
    <n v="16"/>
    <n v="-16"/>
    <n v="1571.8401693309911"/>
    <n v="1479.8206631060764"/>
    <n v="0.76807200625833438"/>
    <n v="75"/>
    <n v="56"/>
    <n v="0"/>
    <n v="19"/>
    <n v="1"/>
    <n v="0.52102393502914635"/>
    <n v="1"/>
    <n v="75.400000000000006"/>
    <n v="75.400000000000006"/>
    <n v="9.1113387100794174"/>
    <n v="1580.9515080410706"/>
    <n v="1"/>
    <n v="0"/>
    <n v="0"/>
    <n v="0"/>
    <n v="0"/>
    <n v="0"/>
    <n v="0"/>
    <n v="0"/>
    <n v="0"/>
    <n v="0"/>
  </r>
  <r>
    <d v="2013-06-07T00:00:00"/>
    <n v="2013"/>
    <x v="2"/>
    <s v="R"/>
    <s v="RS"/>
    <x v="10"/>
    <s v="CON"/>
    <s v="A"/>
    <n v="4"/>
    <n v="5"/>
    <n v="-1"/>
    <n v="1"/>
    <n v="-8"/>
    <n v="8"/>
    <n v="1387.538915808723"/>
    <n v="1535.1182767193859"/>
    <n v="0.1938505939721879"/>
    <n v="66"/>
    <n v="62"/>
    <n v="0"/>
    <n v="4"/>
    <n v="1"/>
    <n v="0.2773263621610414"/>
    <n v="1"/>
    <n v="75.55"/>
    <n v="75.55"/>
    <n v="16.890447725070892"/>
    <n v="1404.429363533794"/>
    <n v="1"/>
    <n v="0"/>
    <n v="0"/>
    <n v="0"/>
    <n v="0"/>
    <n v="0"/>
    <n v="0"/>
    <n v="0"/>
    <n v="0"/>
    <n v="0"/>
  </r>
  <r>
    <d v="2013-06-07T00:00:00"/>
    <n v="2013"/>
    <x v="3"/>
    <s v="R"/>
    <s v="RS"/>
    <x v="5"/>
    <s v="WAS"/>
    <s v="H"/>
    <n v="5"/>
    <n v="4"/>
    <n v="1"/>
    <n v="-1"/>
    <n v="8"/>
    <n v="-8"/>
    <n v="1535.1182767193859"/>
    <n v="1387.538915808723"/>
    <n v="0.80614940602781204"/>
    <n v="62"/>
    <n v="66"/>
    <n v="0"/>
    <n v="-4"/>
    <n v="0"/>
    <n v="0.2773263621610414"/>
    <n v="1"/>
    <n v="75.400000000000006"/>
    <n v="75.400000000000006"/>
    <n v="-16.856912752751096"/>
    <n v="1518.2613639666349"/>
    <n v="0"/>
    <n v="1"/>
    <n v="0"/>
    <n v="0"/>
    <n v="0"/>
    <n v="0"/>
    <n v="0"/>
    <n v="0"/>
    <n v="0"/>
    <n v="0"/>
  </r>
  <r>
    <d v="2013-06-07T00:00:00"/>
    <n v="2013"/>
    <x v="3"/>
    <s v="R"/>
    <s v="RS"/>
    <x v="8"/>
    <s v="SAS"/>
    <s v="A"/>
    <n v="4"/>
    <n v="5"/>
    <n v="-1"/>
    <n v="1"/>
    <n v="-8"/>
    <n v="8"/>
    <n v="1526.4151338678648"/>
    <n v="1517.0057730037306"/>
    <n v="0.37250584246438456"/>
    <n v="69"/>
    <n v="81"/>
    <n v="0"/>
    <n v="-12"/>
    <n v="0"/>
    <n v="0.45258069716010663"/>
    <n v="1"/>
    <n v="75.400000000000006"/>
    <n v="75.400000000000006"/>
    <n v="-12.7116071224573"/>
    <n v="1513.7035267454075"/>
    <n v="0"/>
    <n v="1"/>
    <n v="0"/>
    <n v="0"/>
    <n v="0"/>
    <n v="0"/>
    <n v="0"/>
    <n v="0"/>
    <n v="0"/>
    <n v="0"/>
  </r>
  <r>
    <d v="2013-06-07T00:00:00"/>
    <n v="2013"/>
    <x v="2"/>
    <s v="R"/>
    <s v="RS"/>
    <x v="1"/>
    <s v="CHI"/>
    <s v="H"/>
    <n v="5"/>
    <n v="4"/>
    <n v="1"/>
    <n v="-1"/>
    <n v="8"/>
    <n v="-8"/>
    <n v="1517.0057730037306"/>
    <n v="1526.4151338678648"/>
    <n v="0.62749415753561544"/>
    <n v="81"/>
    <n v="69"/>
    <n v="0"/>
    <n v="12"/>
    <n v="1"/>
    <n v="0.45258069716010663"/>
    <n v="1"/>
    <n v="75.55"/>
    <n v="75.55"/>
    <n v="12.73689546553911"/>
    <n v="1529.7426684692698"/>
    <n v="1"/>
    <n v="0"/>
    <n v="0"/>
    <n v="0"/>
    <n v="0"/>
    <n v="0"/>
    <n v="0"/>
    <n v="0"/>
    <n v="0"/>
    <n v="0"/>
  </r>
  <r>
    <d v="2013-06-07T00:00:00"/>
    <n v="2013"/>
    <x v="4"/>
    <s v="R"/>
    <s v="RS"/>
    <x v="2"/>
    <s v="SEA"/>
    <s v="A"/>
    <n v="4"/>
    <n v="4"/>
    <n v="0"/>
    <n v="0"/>
    <n v="0"/>
    <n v="0"/>
    <n v="1391.5452188351785"/>
    <n v="1490.3508561816361"/>
    <n v="0.25878102788004542"/>
    <n v="67"/>
    <n v="58"/>
    <n v="0"/>
    <n v="9"/>
    <n v="1"/>
    <n v="0.37508755626592605"/>
    <n v="1"/>
    <n v="75.25"/>
    <n v="75.25"/>
    <n v="20.921156471508755"/>
    <n v="1412.4663753066873"/>
    <n v="1"/>
    <n v="0"/>
    <n v="0"/>
    <n v="0"/>
    <n v="0"/>
    <n v="0"/>
    <n v="0"/>
    <n v="0"/>
    <n v="0"/>
    <n v="0"/>
  </r>
  <r>
    <d v="2013-06-07T00:00:00"/>
    <n v="2013"/>
    <x v="2"/>
    <s v="R"/>
    <s v="RS"/>
    <x v="6"/>
    <s v="TUL"/>
    <s v="H"/>
    <n v="4"/>
    <n v="4"/>
    <n v="0"/>
    <n v="0"/>
    <n v="0"/>
    <n v="0"/>
    <n v="1490.3508561816361"/>
    <n v="1391.5452188351785"/>
    <n v="0.74121897211995458"/>
    <n v="58"/>
    <n v="67"/>
    <n v="0"/>
    <n v="-9"/>
    <n v="0"/>
    <n v="0.37508755626592605"/>
    <n v="1"/>
    <n v="75.55"/>
    <n v="75.55"/>
    <n v="-21.004563075381878"/>
    <n v="1469.3462931062543"/>
    <n v="0"/>
    <n v="1"/>
    <n v="0"/>
    <n v="0"/>
    <n v="0"/>
    <n v="0"/>
    <n v="0"/>
    <n v="0"/>
    <n v="0"/>
    <n v="0"/>
  </r>
  <r>
    <d v="2013-06-08T00:00:00"/>
    <n v="2013"/>
    <x v="3"/>
    <s v="R"/>
    <s v="RS"/>
    <x v="9"/>
    <s v="IND"/>
    <s v="A"/>
    <n v="1"/>
    <n v="2"/>
    <n v="-1"/>
    <n v="1"/>
    <n v="-8"/>
    <n v="8"/>
    <n v="1363.8058282376721"/>
    <n v="1579.1531578752406"/>
    <n v="0.14000057982222808"/>
    <n v="82"/>
    <n v="67"/>
    <n v="0"/>
    <n v="15"/>
    <n v="1"/>
    <n v="0.4263389070787556"/>
    <n v="1"/>
    <n v="75.400000000000006"/>
    <n v="75.400000000000006"/>
    <n v="27.645501451676395"/>
    <n v="1391.4513296893485"/>
    <n v="1"/>
    <n v="0"/>
    <n v="0"/>
    <n v="0"/>
    <n v="0"/>
    <n v="0"/>
    <n v="0"/>
    <n v="0"/>
    <n v="0"/>
    <n v="0"/>
  </r>
  <r>
    <d v="2013-06-08T00:00:00"/>
    <n v="2013"/>
    <x v="3"/>
    <s v="R"/>
    <s v="RS"/>
    <x v="0"/>
    <s v="PHX"/>
    <s v="H"/>
    <n v="2"/>
    <n v="1"/>
    <n v="1"/>
    <n v="-1"/>
    <n v="8"/>
    <n v="-8"/>
    <n v="1579.1531578752406"/>
    <n v="1363.8058282376721"/>
    <n v="0.85999942017777198"/>
    <n v="67"/>
    <n v="82"/>
    <n v="0"/>
    <n v="-15"/>
    <n v="0"/>
    <n v="0.4263389070787556"/>
    <n v="1"/>
    <n v="75.400000000000006"/>
    <n v="75.400000000000006"/>
    <n v="-27.645501451676399"/>
    <n v="1551.5076564235642"/>
    <n v="0"/>
    <n v="1"/>
    <n v="0"/>
    <n v="0"/>
    <n v="0"/>
    <n v="0"/>
    <n v="0"/>
    <n v="0"/>
    <n v="0"/>
    <n v="0"/>
  </r>
  <r>
    <d v="2013-06-08T00:00:00"/>
    <n v="2013"/>
    <x v="5"/>
    <s v="R"/>
    <s v="RS"/>
    <x v="2"/>
    <s v="LAS"/>
    <s v="A"/>
    <n v="0"/>
    <n v="6"/>
    <n v="-6"/>
    <n v="6"/>
    <n v="-16"/>
    <n v="16"/>
    <n v="1412.4663753066873"/>
    <n v="1563.8735017651002"/>
    <n v="0.1766342709882659"/>
    <n v="69"/>
    <n v="76"/>
    <n v="1"/>
    <n v="-7"/>
    <n v="0"/>
    <n v="0.29577744445794601"/>
    <n v="1"/>
    <n v="75.099999999999994"/>
    <n v="75.099999999999994"/>
    <n v="-3.92355693907278"/>
    <n v="1408.5428183676145"/>
    <n v="0"/>
    <n v="1"/>
    <n v="0"/>
    <n v="0"/>
    <n v="0"/>
    <n v="0"/>
    <n v="0"/>
    <n v="0"/>
    <n v="0"/>
    <n v="0"/>
  </r>
  <r>
    <d v="2013-06-08T00:00:00"/>
    <n v="2013"/>
    <x v="2"/>
    <s v="R"/>
    <s v="RS"/>
    <x v="7"/>
    <s v="TUL"/>
    <s v="H"/>
    <n v="6"/>
    <n v="0"/>
    <n v="6"/>
    <n v="-6"/>
    <n v="16"/>
    <n v="-16"/>
    <n v="1563.8735017651002"/>
    <n v="1412.4663753066873"/>
    <n v="0.82336572901173422"/>
    <n v="76"/>
    <n v="69"/>
    <n v="1"/>
    <n v="7"/>
    <n v="1"/>
    <n v="0.29577744445794601"/>
    <n v="1"/>
    <n v="75.55"/>
    <n v="75.55"/>
    <n v="3.9470669340472484"/>
    <n v="1567.8205686991473"/>
    <n v="1"/>
    <n v="0"/>
    <n v="0"/>
    <n v="0"/>
    <n v="0"/>
    <n v="0"/>
    <n v="0"/>
    <n v="0"/>
    <n v="0"/>
    <n v="0"/>
  </r>
  <r>
    <d v="2013-06-08T00:00:00"/>
    <n v="2013"/>
    <x v="2"/>
    <s v="R"/>
    <s v="RS"/>
    <x v="11"/>
    <s v="WAS"/>
    <s v="A"/>
    <n v="1"/>
    <n v="0"/>
    <n v="1"/>
    <n v="-1"/>
    <n v="8"/>
    <n v="-8"/>
    <n v="1598.0599569148251"/>
    <n v="1404.429363533794"/>
    <n v="0.67330861207487014"/>
    <n v="80"/>
    <n v="85"/>
    <n v="0"/>
    <n v="-5"/>
    <n v="0"/>
    <n v="0.28566190527409813"/>
    <n v="1"/>
    <n v="75.55"/>
    <n v="75.55"/>
    <n v="-14.531182813736974"/>
    <n v="1583.5287741010882"/>
    <n v="0"/>
    <n v="1"/>
    <n v="0"/>
    <n v="0"/>
    <n v="0"/>
    <n v="0"/>
    <n v="0"/>
    <n v="0"/>
    <n v="0"/>
    <n v="0"/>
  </r>
  <r>
    <d v="2013-06-08T00:00:00"/>
    <n v="2013"/>
    <x v="3"/>
    <s v="R"/>
    <s v="RS"/>
    <x v="10"/>
    <s v="MIN"/>
    <s v="H"/>
    <n v="0"/>
    <n v="1"/>
    <n v="-1"/>
    <n v="1"/>
    <n v="-8"/>
    <n v="8"/>
    <n v="1404.429363533794"/>
    <n v="1598.0599569148251"/>
    <n v="0.32669138792512981"/>
    <n v="85"/>
    <n v="80"/>
    <n v="0"/>
    <n v="5"/>
    <n v="1"/>
    <n v="0.28566190527409813"/>
    <n v="1"/>
    <n v="75.400000000000006"/>
    <n v="75.400000000000006"/>
    <n v="14.50233202059256"/>
    <n v="1418.9316955543866"/>
    <n v="1"/>
    <n v="0"/>
    <n v="0"/>
    <n v="0"/>
    <n v="0"/>
    <n v="0"/>
    <n v="0"/>
    <n v="0"/>
    <n v="0"/>
    <n v="0"/>
  </r>
  <r>
    <d v="2013-06-09T00:00:00"/>
    <n v="2013"/>
    <x v="3"/>
    <s v="R"/>
    <s v="RS"/>
    <x v="1"/>
    <s v="CHI"/>
    <s v="A"/>
    <n v="1"/>
    <n v="1"/>
    <n v="0"/>
    <n v="0"/>
    <n v="0"/>
    <n v="0"/>
    <n v="1529.7426684692698"/>
    <n v="1513.7035267454075"/>
    <n v="0.40342505350589869"/>
    <n v="70"/>
    <n v="72"/>
    <n v="0"/>
    <n v="-2"/>
    <n v="0"/>
    <n v="0.26430858509699962"/>
    <n v="1"/>
    <n v="75.400000000000006"/>
    <n v="75.400000000000006"/>
    <n v="-8.0398043633958398"/>
    <n v="1521.7028641058739"/>
    <n v="0"/>
    <n v="1"/>
    <n v="0"/>
    <n v="0"/>
    <n v="0"/>
    <n v="0"/>
    <n v="0"/>
    <n v="0"/>
    <n v="0"/>
    <n v="0"/>
  </r>
  <r>
    <d v="2013-06-09T00:00:00"/>
    <n v="2013"/>
    <x v="4"/>
    <s v="R"/>
    <s v="RS"/>
    <x v="8"/>
    <s v="SAS"/>
    <s v="H"/>
    <n v="1"/>
    <n v="1"/>
    <n v="0"/>
    <n v="0"/>
    <n v="0"/>
    <n v="0"/>
    <n v="1513.7035267454075"/>
    <n v="1529.7426684692698"/>
    <n v="0.59657494649410125"/>
    <n v="72"/>
    <n v="70"/>
    <n v="0"/>
    <n v="2"/>
    <n v="1"/>
    <n v="0.26430858509699962"/>
    <n v="1"/>
    <n v="75.25"/>
    <n v="75.25"/>
    <n v="8.0238100576331171"/>
    <n v="1521.7273368030408"/>
    <n v="1"/>
    <n v="0"/>
    <n v="0"/>
    <n v="0"/>
    <n v="0"/>
    <n v="0"/>
    <n v="0"/>
    <n v="0"/>
    <n v="0"/>
    <n v="0"/>
  </r>
  <r>
    <d v="2013-06-09T00:00:00"/>
    <n v="2013"/>
    <x v="4"/>
    <s v="R"/>
    <s v="RS"/>
    <x v="3"/>
    <s v="NYL"/>
    <s v="A"/>
    <n v="1"/>
    <n v="1"/>
    <n v="0"/>
    <n v="0"/>
    <n v="0"/>
    <n v="0"/>
    <n v="1580.9515080410706"/>
    <n v="1470.7093243959969"/>
    <n v="0.53769388479659719"/>
    <n v="67"/>
    <n v="76"/>
    <n v="0"/>
    <n v="-9"/>
    <n v="0"/>
    <n v="0.37181357664840514"/>
    <n v="1"/>
    <n v="75.25"/>
    <n v="75.25"/>
    <n v="-15.044121955226924"/>
    <n v="1565.9073860858437"/>
    <n v="0"/>
    <n v="1"/>
    <n v="0"/>
    <n v="0"/>
    <n v="0"/>
    <n v="0"/>
    <n v="0"/>
    <n v="0"/>
    <n v="0"/>
    <n v="0"/>
  </r>
  <r>
    <d v="2013-06-09T00:00:00"/>
    <n v="2013"/>
    <x v="4"/>
    <s v="R"/>
    <s v="RS"/>
    <x v="4"/>
    <s v="ATL"/>
    <s v="H"/>
    <n v="1"/>
    <n v="1"/>
    <n v="0"/>
    <n v="0"/>
    <n v="0"/>
    <n v="0"/>
    <n v="1470.7093243959969"/>
    <n v="1580.9515080410706"/>
    <n v="0.46230611520340281"/>
    <n v="76"/>
    <n v="67"/>
    <n v="0"/>
    <n v="9"/>
    <n v="1"/>
    <n v="0.37181357664840514"/>
    <n v="1"/>
    <n v="75.25"/>
    <n v="75.25"/>
    <n v="15.044121955226924"/>
    <n v="1485.7534463512238"/>
    <n v="1"/>
    <n v="0"/>
    <n v="0"/>
    <n v="0"/>
    <n v="0"/>
    <n v="0"/>
    <n v="0"/>
    <n v="0"/>
    <n v="0"/>
    <n v="0"/>
  </r>
  <r>
    <d v="2013-06-11T00:00:00"/>
    <n v="2013"/>
    <x v="4"/>
    <s v="R"/>
    <s v="RS"/>
    <x v="1"/>
    <s v="MIN"/>
    <s v="A"/>
    <n v="1"/>
    <n v="2"/>
    <n v="-1"/>
    <n v="1"/>
    <n v="-8"/>
    <n v="8"/>
    <n v="1521.7028641058739"/>
    <n v="1583.5287741010882"/>
    <n v="0.28261140913920124"/>
    <n v="72"/>
    <n v="87"/>
    <n v="0"/>
    <n v="-15"/>
    <n v="0"/>
    <n v="0.47820989319897922"/>
    <n v="1"/>
    <n v="75.25"/>
    <n v="75.25"/>
    <n v="-10.1698547765406"/>
    <n v="1511.5330093293333"/>
    <n v="0"/>
    <n v="1"/>
    <n v="0"/>
    <n v="0"/>
    <n v="0"/>
    <n v="0"/>
    <n v="0"/>
    <n v="0"/>
    <n v="0"/>
    <n v="0"/>
  </r>
  <r>
    <d v="2013-06-11T00:00:00"/>
    <n v="2013"/>
    <x v="3"/>
    <s v="R"/>
    <s v="RS"/>
    <x v="11"/>
    <s v="SAS"/>
    <s v="H"/>
    <n v="2"/>
    <n v="1"/>
    <n v="1"/>
    <n v="-1"/>
    <n v="8"/>
    <n v="-8"/>
    <n v="1583.5287741010882"/>
    <n v="1521.7028641058739"/>
    <n v="0.71738859086079876"/>
    <n v="87"/>
    <n v="72"/>
    <n v="0"/>
    <n v="15"/>
    <n v="1"/>
    <n v="0.47820989319897922"/>
    <n v="1"/>
    <n v="75.400000000000006"/>
    <n v="75.400000000000006"/>
    <n v="10.190126912307793"/>
    <n v="1593.7189010133959"/>
    <n v="1"/>
    <n v="0"/>
    <n v="0"/>
    <n v="0"/>
    <n v="0"/>
    <n v="0"/>
    <n v="0"/>
    <n v="0"/>
    <n v="0"/>
    <n v="0"/>
  </r>
  <r>
    <d v="2013-06-12T00:00:00"/>
    <n v="2013"/>
    <x v="4"/>
    <s v="R"/>
    <s v="RS"/>
    <x v="5"/>
    <s v="IND"/>
    <s v="A"/>
    <n v="4"/>
    <n v="3"/>
    <n v="1"/>
    <n v="-1"/>
    <n v="8"/>
    <n v="-8"/>
    <n v="1518.2613639666349"/>
    <n v="1551.5076564235642"/>
    <n v="0.35828385305748922"/>
    <n v="73"/>
    <n v="61"/>
    <n v="0"/>
    <n v="12"/>
    <n v="1"/>
    <n v="0.44383294321638117"/>
    <n v="1"/>
    <n v="75.25"/>
    <n v="75.25"/>
    <n v="21.432311157074512"/>
    <n v="1539.6936751237095"/>
    <n v="1"/>
    <n v="0"/>
    <n v="0"/>
    <n v="0"/>
    <n v="0"/>
    <n v="0"/>
    <n v="0"/>
    <n v="0"/>
    <n v="0"/>
    <n v="0"/>
  </r>
  <r>
    <d v="2013-06-12T00:00:00"/>
    <n v="2013"/>
    <x v="4"/>
    <s v="R"/>
    <s v="RS"/>
    <x v="0"/>
    <s v="CON"/>
    <s v="H"/>
    <n v="3"/>
    <n v="4"/>
    <n v="-1"/>
    <n v="1"/>
    <n v="-8"/>
    <n v="8"/>
    <n v="1551.5076564235642"/>
    <n v="1518.2613639666349"/>
    <n v="0.64171614694251078"/>
    <n v="61"/>
    <n v="73"/>
    <n v="0"/>
    <n v="-12"/>
    <n v="0"/>
    <n v="0.44383294321638117"/>
    <n v="1"/>
    <n v="75.25"/>
    <n v="75.25"/>
    <n v="-21.432311157074512"/>
    <n v="1530.0753452664896"/>
    <n v="0"/>
    <n v="1"/>
    <n v="0"/>
    <n v="0"/>
    <n v="0"/>
    <n v="0"/>
    <n v="0"/>
    <n v="0"/>
    <n v="0"/>
    <n v="0"/>
  </r>
  <r>
    <d v="2013-06-14T00:00:00"/>
    <n v="2013"/>
    <x v="3"/>
    <s v="R"/>
    <s v="RS"/>
    <x v="6"/>
    <s v="ATL"/>
    <s v="A"/>
    <n v="6"/>
    <n v="4"/>
    <n v="2"/>
    <n v="-2"/>
    <n v="16"/>
    <n v="-16"/>
    <n v="1469.3462931062543"/>
    <n v="1565.9073860858437"/>
    <n v="0.29834602574591118"/>
    <n v="59"/>
    <n v="68"/>
    <n v="0"/>
    <n v="-9"/>
    <n v="0"/>
    <n v="0.37573688985001835"/>
    <n v="1"/>
    <n v="75.400000000000006"/>
    <n v="75.400000000000006"/>
    <n v="-8.452310429091316"/>
    <n v="1460.893982677163"/>
    <n v="0"/>
    <n v="1"/>
    <n v="0"/>
    <n v="0"/>
    <n v="0"/>
    <n v="0"/>
    <n v="0"/>
    <n v="0"/>
    <n v="0"/>
    <n v="0"/>
  </r>
  <r>
    <d v="2013-06-14T00:00:00"/>
    <n v="2013"/>
    <x v="5"/>
    <s v="R"/>
    <s v="RS"/>
    <x v="3"/>
    <s v="SEA"/>
    <s v="H"/>
    <n v="4"/>
    <n v="6"/>
    <n v="-2"/>
    <n v="2"/>
    <n v="-16"/>
    <n v="16"/>
    <n v="1565.9073860858437"/>
    <n v="1469.3462931062543"/>
    <n v="0.70165397425408871"/>
    <n v="68"/>
    <n v="59"/>
    <n v="0"/>
    <n v="9"/>
    <n v="1"/>
    <n v="0.37573688985001835"/>
    <n v="1"/>
    <n v="75.099999999999994"/>
    <n v="75.099999999999994"/>
    <n v="8.4186805467474528"/>
    <n v="1574.3260666325912"/>
    <n v="1"/>
    <n v="0"/>
    <n v="0"/>
    <n v="0"/>
    <n v="0"/>
    <n v="0"/>
    <n v="0"/>
    <n v="0"/>
    <n v="0"/>
    <n v="0"/>
  </r>
  <r>
    <d v="2013-06-14T00:00:00"/>
    <n v="2013"/>
    <x v="5"/>
    <s v="R"/>
    <s v="RS"/>
    <x v="5"/>
    <s v="NYL"/>
    <s v="A"/>
    <n v="1"/>
    <n v="4"/>
    <n v="-3"/>
    <n v="3"/>
    <n v="-16"/>
    <n v="16"/>
    <n v="1539.6936751237095"/>
    <n v="1485.7534463512238"/>
    <n v="0.41162669503145349"/>
    <n v="68"/>
    <n v="78"/>
    <n v="0"/>
    <n v="-10"/>
    <n v="0"/>
    <n v="0.40492810386647837"/>
    <n v="1"/>
    <n v="75.099999999999994"/>
    <n v="75.099999999999994"/>
    <n v="-12.517609205705361"/>
    <n v="1527.176065918004"/>
    <n v="0"/>
    <n v="1"/>
    <n v="0"/>
    <n v="0"/>
    <n v="0"/>
    <n v="0"/>
    <n v="0"/>
    <n v="0"/>
    <n v="0"/>
    <n v="0"/>
  </r>
  <r>
    <d v="2013-06-14T00:00:00"/>
    <n v="2013"/>
    <x v="5"/>
    <s v="R"/>
    <s v="RS"/>
    <x v="4"/>
    <s v="CON"/>
    <s v="H"/>
    <n v="4"/>
    <n v="1"/>
    <n v="3"/>
    <n v="-3"/>
    <n v="16"/>
    <n v="-16"/>
    <n v="1485.7534463512238"/>
    <n v="1539.6936751237095"/>
    <n v="0.58837330496854645"/>
    <n v="78"/>
    <n v="68"/>
    <n v="0"/>
    <n v="10"/>
    <n v="1"/>
    <n v="0.40492810386647837"/>
    <n v="1"/>
    <n v="75.099999999999994"/>
    <n v="75.099999999999994"/>
    <n v="12.517609205705362"/>
    <n v="1498.2710555569292"/>
    <n v="1"/>
    <n v="0"/>
    <n v="0"/>
    <n v="0"/>
    <n v="0"/>
    <n v="0"/>
    <n v="0"/>
    <n v="0"/>
    <n v="0"/>
    <n v="0"/>
  </r>
  <r>
    <d v="2013-06-14T00:00:00"/>
    <n v="2013"/>
    <x v="3"/>
    <s v="R"/>
    <s v="RS"/>
    <x v="7"/>
    <s v="PHX"/>
    <s v="A"/>
    <n v="5"/>
    <n v="5"/>
    <n v="0"/>
    <n v="0"/>
    <n v="0"/>
    <n v="0"/>
    <n v="1567.8205686991473"/>
    <n v="1391.4513296893485"/>
    <n v="0.62988420435174797"/>
    <n v="81"/>
    <n v="97"/>
    <n v="0"/>
    <n v="-16"/>
    <n v="0"/>
    <n v="0.45143644679467493"/>
    <n v="1"/>
    <n v="75.400000000000006"/>
    <n v="75.400000000000006"/>
    <n v="-21.440192607690161"/>
    <n v="1546.3803760914573"/>
    <n v="0"/>
    <n v="1"/>
    <n v="0"/>
    <n v="0"/>
    <n v="0"/>
    <n v="0"/>
    <n v="0"/>
    <n v="0"/>
    <n v="0"/>
    <n v="0"/>
  </r>
  <r>
    <d v="2013-06-14T00:00:00"/>
    <n v="2013"/>
    <x v="4"/>
    <s v="R"/>
    <s v="RS"/>
    <x v="9"/>
    <s v="LAS"/>
    <s v="H"/>
    <n v="5"/>
    <n v="5"/>
    <n v="0"/>
    <n v="0"/>
    <n v="0"/>
    <n v="0"/>
    <n v="1391.4513296893485"/>
    <n v="1567.8205686991473"/>
    <n v="0.37011579564825203"/>
    <n v="97"/>
    <n v="81"/>
    <n v="0"/>
    <n v="16"/>
    <n v="1"/>
    <n v="0.45143644679467493"/>
    <n v="1"/>
    <n v="75.25"/>
    <n v="75.25"/>
    <n v="21.397539704624464"/>
    <n v="1412.848869393973"/>
    <n v="1"/>
    <n v="0"/>
    <n v="0"/>
    <n v="0"/>
    <n v="0"/>
    <n v="0"/>
    <n v="0"/>
    <n v="0"/>
    <n v="0"/>
    <n v="0"/>
  </r>
  <r>
    <d v="2013-06-14T00:00:00"/>
    <n v="2013"/>
    <x v="4"/>
    <s v="R"/>
    <s v="RS"/>
    <x v="11"/>
    <s v="TUL"/>
    <s v="A"/>
    <n v="2"/>
    <n v="5"/>
    <n v="-3"/>
    <n v="3"/>
    <n v="-16"/>
    <n v="16"/>
    <n v="1593.7189010133959"/>
    <n v="1408.5428183676145"/>
    <n v="0.59825740736416422"/>
    <n v="83"/>
    <n v="74"/>
    <n v="0"/>
    <n v="9"/>
    <n v="1"/>
    <n v="0.35169956995371388"/>
    <n v="1"/>
    <n v="75.25"/>
    <n v="75.25"/>
    <n v="10.632275453924041"/>
    <n v="1604.3511764673199"/>
    <n v="1"/>
    <n v="0"/>
    <n v="0"/>
    <n v="0"/>
    <n v="0"/>
    <n v="0"/>
    <n v="0"/>
    <n v="0"/>
    <n v="0"/>
    <n v="0"/>
  </r>
  <r>
    <d v="2013-06-14T00:00:00"/>
    <n v="2013"/>
    <x v="6"/>
    <s v="R"/>
    <s v="RS"/>
    <x v="2"/>
    <s v="MIN"/>
    <s v="H"/>
    <n v="5"/>
    <n v="2"/>
    <n v="3"/>
    <n v="-3"/>
    <n v="16"/>
    <n v="-16"/>
    <n v="1408.5428183676145"/>
    <n v="1593.7189010133959"/>
    <n v="0.40174259263583589"/>
    <n v="74"/>
    <n v="83"/>
    <n v="0"/>
    <n v="-9"/>
    <n v="0"/>
    <n v="0.35169956995371388"/>
    <n v="1"/>
    <n v="74.95"/>
    <n v="74.95"/>
    <n v="-10.589887644805412"/>
    <n v="1397.952930722809"/>
    <n v="0"/>
    <n v="1"/>
    <n v="0"/>
    <n v="0"/>
    <n v="0"/>
    <n v="0"/>
    <n v="0"/>
    <n v="0"/>
    <n v="0"/>
    <n v="0"/>
  </r>
  <r>
    <d v="2013-06-15T00:00:00"/>
    <n v="2013"/>
    <x v="5"/>
    <s v="R"/>
    <s v="RS"/>
    <x v="1"/>
    <s v="LAS"/>
    <s v="A"/>
    <n v="3"/>
    <n v="0"/>
    <n v="3"/>
    <n v="-3"/>
    <n v="16"/>
    <n v="-16"/>
    <n v="1511.5330093293333"/>
    <n v="1546.3803760914573"/>
    <n v="0.37755626607883758"/>
    <n v="48"/>
    <n v="84"/>
    <n v="0"/>
    <n v="-36"/>
    <n v="0"/>
    <n v="0.75172160796572751"/>
    <n v="1"/>
    <n v="75.099999999999994"/>
    <n v="75.099999999999994"/>
    <n v="-21.314671977917417"/>
    <n v="1490.2183373514158"/>
    <n v="0"/>
    <n v="1"/>
    <n v="0"/>
    <n v="0"/>
    <n v="0"/>
    <n v="0"/>
    <n v="0"/>
    <n v="0"/>
    <n v="0"/>
    <n v="0"/>
  </r>
  <r>
    <d v="2013-06-15T00:00:00"/>
    <n v="2013"/>
    <x v="4"/>
    <s v="R"/>
    <s v="RS"/>
    <x v="7"/>
    <s v="SAS"/>
    <s v="H"/>
    <n v="0"/>
    <n v="3"/>
    <n v="-3"/>
    <n v="3"/>
    <n v="-16"/>
    <n v="16"/>
    <n v="1546.3803760914573"/>
    <n v="1511.5330093293333"/>
    <n v="0.62244373392116248"/>
    <n v="84"/>
    <n v="48"/>
    <n v="0"/>
    <n v="36"/>
    <n v="1"/>
    <n v="0.75172160796572751"/>
    <n v="1"/>
    <n v="75.25"/>
    <n v="75.25"/>
    <n v="21.357244558432566"/>
    <n v="1567.7376206498898"/>
    <n v="1"/>
    <n v="0"/>
    <n v="0"/>
    <n v="0"/>
    <n v="0"/>
    <n v="0"/>
    <n v="0"/>
    <n v="0"/>
    <n v="0"/>
    <n v="0"/>
  </r>
  <r>
    <d v="2013-06-16T00:00:00"/>
    <n v="2013"/>
    <x v="5"/>
    <s v="R"/>
    <s v="RS"/>
    <x v="8"/>
    <s v="ATL"/>
    <s v="A"/>
    <n v="6"/>
    <n v="1"/>
    <n v="5"/>
    <n v="-5"/>
    <n v="16"/>
    <n v="-16"/>
    <n v="1521.7273368030408"/>
    <n v="1574.3260666325912"/>
    <n v="0.35385912058309016"/>
    <n v="74"/>
    <n v="88"/>
    <n v="0"/>
    <n v="-14"/>
    <n v="0"/>
    <n v="0.46713261821728341"/>
    <n v="1"/>
    <n v="75.099999999999994"/>
    <n v="75.099999999999994"/>
    <n v="-12.413965224601126"/>
    <n v="1509.3133715784397"/>
    <n v="0"/>
    <n v="1"/>
    <n v="0"/>
    <n v="0"/>
    <n v="0"/>
    <n v="0"/>
    <n v="0"/>
    <n v="0"/>
    <n v="0"/>
    <n v="0"/>
  </r>
  <r>
    <d v="2013-06-16T00:00:00"/>
    <n v="2013"/>
    <x v="6"/>
    <s v="R"/>
    <s v="RS"/>
    <x v="3"/>
    <s v="CHI"/>
    <s v="H"/>
    <n v="1"/>
    <n v="6"/>
    <n v="-5"/>
    <n v="5"/>
    <n v="-16"/>
    <n v="16"/>
    <n v="1574.3260666325912"/>
    <n v="1521.7273368030408"/>
    <n v="0.64614087941690979"/>
    <n v="88"/>
    <n v="74"/>
    <n v="0"/>
    <n v="14"/>
    <n v="1"/>
    <n v="0.46713261821728341"/>
    <n v="1"/>
    <n v="74.95"/>
    <n v="74.95"/>
    <n v="12.389170353979424"/>
    <n v="1586.7152369865705"/>
    <n v="1"/>
    <n v="0"/>
    <n v="0"/>
    <n v="0"/>
    <n v="0"/>
    <n v="0"/>
    <n v="0"/>
    <n v="0"/>
    <n v="0"/>
    <n v="0"/>
  </r>
  <r>
    <d v="2013-06-16T00:00:00"/>
    <n v="2013"/>
    <x v="4"/>
    <s v="R"/>
    <s v="RS"/>
    <x v="6"/>
    <s v="CON"/>
    <s v="A"/>
    <n v="1"/>
    <n v="1"/>
    <n v="0"/>
    <n v="0"/>
    <n v="0"/>
    <n v="0"/>
    <n v="1460.893982677163"/>
    <n v="1527.176065918004"/>
    <n v="0.29627632733675047"/>
    <n v="78"/>
    <n v="66"/>
    <n v="0"/>
    <n v="12"/>
    <n v="1"/>
    <n v="0.43225387055227282"/>
    <n v="1"/>
    <n v="75.25"/>
    <n v="75.25"/>
    <n v="22.890092918423257"/>
    <n v="1483.7840755955863"/>
    <n v="1"/>
    <n v="0"/>
    <n v="0"/>
    <n v="0"/>
    <n v="0"/>
    <n v="0"/>
    <n v="0"/>
    <n v="0"/>
    <n v="0"/>
    <n v="0"/>
  </r>
  <r>
    <d v="2013-06-16T00:00:00"/>
    <n v="2013"/>
    <x v="6"/>
    <s v="R"/>
    <s v="RS"/>
    <x v="5"/>
    <s v="SEA"/>
    <s v="H"/>
    <n v="1"/>
    <n v="1"/>
    <n v="0"/>
    <n v="0"/>
    <n v="0"/>
    <n v="0"/>
    <n v="1527.176065918004"/>
    <n v="1460.893982677163"/>
    <n v="0.70372367266324953"/>
    <n v="66"/>
    <n v="78"/>
    <n v="0"/>
    <n v="-12"/>
    <n v="0"/>
    <n v="0.43225387055227282"/>
    <n v="1"/>
    <n v="74.95"/>
    <n v="74.95"/>
    <n v="-22.798836734030875"/>
    <n v="1504.3772291839732"/>
    <n v="0"/>
    <n v="1"/>
    <n v="0"/>
    <n v="0"/>
    <n v="0"/>
    <n v="0"/>
    <n v="0"/>
    <n v="0"/>
    <n v="0"/>
    <n v="0"/>
  </r>
  <r>
    <d v="2013-06-16T00:00:00"/>
    <n v="2013"/>
    <x v="5"/>
    <s v="R"/>
    <s v="RS"/>
    <x v="9"/>
    <s v="TUL"/>
    <s v="A"/>
    <n v="1"/>
    <n v="1"/>
    <n v="0"/>
    <n v="0"/>
    <n v="0"/>
    <n v="0"/>
    <n v="1412.848869393973"/>
    <n v="1397.952930722809"/>
    <n v="0.40184224105284511"/>
    <n v="108"/>
    <n v="103"/>
    <n v="1"/>
    <n v="5"/>
    <n v="1"/>
    <n v="0.29491945943127207"/>
    <n v="1"/>
    <n v="75.099999999999994"/>
    <n v="75.099999999999994"/>
    <n v="13.248268055541036"/>
    <n v="1426.0971374495141"/>
    <n v="1"/>
    <n v="0"/>
    <n v="0"/>
    <n v="0"/>
    <n v="0"/>
    <n v="0"/>
    <n v="0"/>
    <n v="0"/>
    <n v="0"/>
    <n v="0"/>
  </r>
  <r>
    <d v="2013-06-16T00:00:00"/>
    <n v="2013"/>
    <x v="7"/>
    <s v="R"/>
    <s v="RS"/>
    <x v="2"/>
    <s v="PHX"/>
    <s v="H"/>
    <n v="1"/>
    <n v="1"/>
    <n v="0"/>
    <n v="0"/>
    <n v="0"/>
    <n v="0"/>
    <n v="1397.952930722809"/>
    <n v="1412.848869393973"/>
    <n v="0.59815775894715495"/>
    <n v="103"/>
    <n v="108"/>
    <n v="1"/>
    <n v="-5"/>
    <n v="0"/>
    <n v="0.29491945943127207"/>
    <n v="1"/>
    <n v="74.8"/>
    <n v="74.8"/>
    <n v="-13.195345546664043"/>
    <n v="1384.7575851761449"/>
    <n v="0"/>
    <n v="1"/>
    <n v="0"/>
    <n v="0"/>
    <n v="0"/>
    <n v="0"/>
    <n v="0"/>
    <n v="0"/>
    <n v="0"/>
    <n v="0"/>
  </r>
  <r>
    <d v="2013-06-16T00:00:00"/>
    <n v="2013"/>
    <x v="5"/>
    <s v="R"/>
    <s v="RS"/>
    <x v="0"/>
    <s v="WAS"/>
    <s v="A"/>
    <n v="3"/>
    <n v="7"/>
    <n v="-4"/>
    <n v="4"/>
    <n v="-16"/>
    <n v="16"/>
    <n v="1530.0753452664896"/>
    <n v="1418.9316955543866"/>
    <n v="0.49301160525377513"/>
    <n v="60"/>
    <n v="64"/>
    <n v="0"/>
    <n v="-4"/>
    <n v="0"/>
    <n v="0.28503305642117505"/>
    <n v="1"/>
    <n v="75.099999999999994"/>
    <n v="75.099999999999994"/>
    <n v="-10.553397812714161"/>
    <n v="1519.5219474537755"/>
    <n v="0"/>
    <n v="1"/>
    <n v="0"/>
    <n v="0"/>
    <n v="0"/>
    <n v="0"/>
    <n v="0"/>
    <n v="0"/>
    <n v="0"/>
    <n v="0"/>
  </r>
  <r>
    <d v="2013-06-16T00:00:00"/>
    <n v="2013"/>
    <x v="4"/>
    <s v="R"/>
    <s v="RS"/>
    <x v="10"/>
    <s v="IND"/>
    <s v="H"/>
    <n v="7"/>
    <n v="3"/>
    <n v="4"/>
    <n v="-4"/>
    <n v="16"/>
    <n v="-16"/>
    <n v="1418.9316955543866"/>
    <n v="1530.0753452664896"/>
    <n v="0.50698839474622492"/>
    <n v="64"/>
    <n v="60"/>
    <n v="0"/>
    <n v="4"/>
    <n v="1"/>
    <n v="0.28503305642117505"/>
    <n v="1"/>
    <n v="75.25"/>
    <n v="75.25"/>
    <n v="10.57447650341865"/>
    <n v="1429.5061720578053"/>
    <n v="1"/>
    <n v="0"/>
    <n v="0"/>
    <n v="0"/>
    <n v="0"/>
    <n v="0"/>
    <n v="0"/>
    <n v="0"/>
    <n v="0"/>
    <n v="0"/>
  </r>
  <r>
    <d v="2013-06-18T00:00:00"/>
    <n v="2013"/>
    <x v="5"/>
    <s v="R"/>
    <s v="RS"/>
    <x v="10"/>
    <s v="SEA"/>
    <s v="A"/>
    <n v="1"/>
    <n v="1"/>
    <n v="0"/>
    <n v="0"/>
    <n v="0"/>
    <n v="0"/>
    <n v="1429.5061720578053"/>
    <n v="1483.7840755955863"/>
    <n v="0.31088360711344137"/>
    <n v="86"/>
    <n v="96"/>
    <n v="1"/>
    <n v="-10"/>
    <n v="0"/>
    <n v="0.36433718077143951"/>
    <n v="1"/>
    <n v="75.099999999999994"/>
    <n v="75.099999999999994"/>
    <n v="-8.5063109179789063"/>
    <n v="1420.9998611398264"/>
    <n v="0"/>
    <n v="1"/>
    <n v="0"/>
    <n v="0"/>
    <n v="0"/>
    <n v="0"/>
    <n v="0"/>
    <n v="0"/>
    <n v="0"/>
    <n v="0"/>
  </r>
  <r>
    <d v="2013-06-18T00:00:00"/>
    <n v="2013"/>
    <x v="5"/>
    <s v="R"/>
    <s v="RS"/>
    <x v="6"/>
    <s v="WAS"/>
    <s v="H"/>
    <n v="1"/>
    <n v="1"/>
    <n v="0"/>
    <n v="0"/>
    <n v="0"/>
    <n v="0"/>
    <n v="1483.7840755955863"/>
    <n v="1429.5061720578053"/>
    <n v="0.68911639288655868"/>
    <n v="96"/>
    <n v="86"/>
    <n v="1"/>
    <n v="10"/>
    <n v="1"/>
    <n v="0.36433718077143951"/>
    <n v="1"/>
    <n v="75.099999999999994"/>
    <n v="75.099999999999994"/>
    <n v="8.5063109179789045"/>
    <n v="1492.2903865135652"/>
    <n v="1"/>
    <n v="0"/>
    <n v="0"/>
    <n v="0"/>
    <n v="0"/>
    <n v="0"/>
    <n v="0"/>
    <n v="0"/>
    <n v="0"/>
    <n v="0"/>
  </r>
  <r>
    <d v="2013-06-19T00:00:00"/>
    <n v="2013"/>
    <x v="5"/>
    <s v="R"/>
    <s v="RS"/>
    <x v="11"/>
    <s v="PHX"/>
    <s v="A"/>
    <n v="4"/>
    <n v="2"/>
    <n v="2"/>
    <n v="-2"/>
    <n v="16"/>
    <n v="-16"/>
    <n v="1604.3511764673199"/>
    <n v="1426.0971374495141"/>
    <n v="0.67409753693135022"/>
    <n v="80"/>
    <n v="69"/>
    <n v="0"/>
    <n v="11"/>
    <n v="1"/>
    <n v="0.38295056598222599"/>
    <n v="1"/>
    <n v="75.099999999999994"/>
    <n v="75.099999999999994"/>
    <n v="9.3728204048042834"/>
    <n v="1613.7239968721242"/>
    <n v="1"/>
    <n v="0"/>
    <n v="0"/>
    <n v="0"/>
    <n v="0"/>
    <n v="0"/>
    <n v="0"/>
    <n v="0"/>
    <n v="0"/>
    <n v="0"/>
  </r>
  <r>
    <d v="2013-06-19T00:00:00"/>
    <n v="2013"/>
    <x v="6"/>
    <s v="R"/>
    <s v="RS"/>
    <x v="9"/>
    <s v="MIN"/>
    <s v="H"/>
    <n v="2"/>
    <n v="4"/>
    <n v="-2"/>
    <n v="2"/>
    <n v="-16"/>
    <n v="16"/>
    <n v="1426.0971374495141"/>
    <n v="1604.3511764673199"/>
    <n v="0.32590246306864973"/>
    <n v="69"/>
    <n v="80"/>
    <n v="0"/>
    <n v="-11"/>
    <n v="0"/>
    <n v="0.38295056598222599"/>
    <n v="1"/>
    <n v="74.95"/>
    <n v="74.95"/>
    <n v="-9.3540997249012126"/>
    <n v="1416.7430377246128"/>
    <n v="0"/>
    <n v="1"/>
    <n v="0"/>
    <n v="0"/>
    <n v="0"/>
    <n v="0"/>
    <n v="0"/>
    <n v="0"/>
    <n v="0"/>
    <n v="0"/>
  </r>
  <r>
    <d v="2013-06-20T00:00:00"/>
    <n v="2013"/>
    <x v="6"/>
    <s v="R"/>
    <s v="RS"/>
    <x v="8"/>
    <s v="TUL"/>
    <s v="A"/>
    <n v="3"/>
    <n v="3"/>
    <n v="0"/>
    <n v="0"/>
    <n v="0"/>
    <n v="0"/>
    <n v="1509.3133715784397"/>
    <n v="1384.7575851761449"/>
    <n v="0.55810082060642863"/>
    <n v="74"/>
    <n v="83"/>
    <n v="0"/>
    <n v="-9"/>
    <n v="0"/>
    <n v="0.36779563199818982"/>
    <n v="1"/>
    <n v="74.95"/>
    <n v="74.95"/>
    <n v="-15.384764950322051"/>
    <n v="1493.9286066281177"/>
    <n v="0"/>
    <n v="1"/>
    <n v="0"/>
    <n v="0"/>
    <n v="0"/>
    <n v="0"/>
    <n v="0"/>
    <n v="0"/>
    <n v="0"/>
    <n v="0"/>
  </r>
  <r>
    <d v="2013-06-20T00:00:00"/>
    <n v="2013"/>
    <x v="8"/>
    <s v="R"/>
    <s v="RS"/>
    <x v="2"/>
    <s v="CHI"/>
    <s v="H"/>
    <n v="3"/>
    <n v="3"/>
    <n v="0"/>
    <n v="0"/>
    <n v="0"/>
    <n v="0"/>
    <n v="1384.7575851761449"/>
    <n v="1509.3133715784397"/>
    <n v="0.44189917939357143"/>
    <n v="83"/>
    <n v="74"/>
    <n v="0"/>
    <n v="9"/>
    <n v="1"/>
    <n v="0.36779563199818982"/>
    <n v="1"/>
    <n v="74.650000000000006"/>
    <n v="74.650000000000006"/>
    <n v="15.323184837111958"/>
    <n v="1400.0807700132568"/>
    <n v="1"/>
    <n v="0"/>
    <n v="0"/>
    <n v="0"/>
    <n v="0"/>
    <n v="0"/>
    <n v="0"/>
    <n v="0"/>
    <n v="0"/>
    <n v="0"/>
  </r>
  <r>
    <d v="2013-06-21T00:00:00"/>
    <n v="2013"/>
    <x v="6"/>
    <s v="R"/>
    <s v="RS"/>
    <x v="11"/>
    <s v="LAS"/>
    <s v="A"/>
    <n v="1"/>
    <n v="5"/>
    <n v="-4"/>
    <n v="4"/>
    <n v="-16"/>
    <n v="16"/>
    <n v="1613.7239968721242"/>
    <n v="1567.7376206498898"/>
    <n v="0.40058437206030895"/>
    <n v="59"/>
    <n v="87"/>
    <n v="0"/>
    <n v="-28"/>
    <n v="0"/>
    <n v="0.65402608538629459"/>
    <n v="1"/>
    <n v="74.95"/>
    <n v="74.95"/>
    <n v="-19.636347522978536"/>
    <n v="1594.0876493491457"/>
    <n v="0"/>
    <n v="1"/>
    <n v="0"/>
    <n v="0"/>
    <n v="0"/>
    <n v="0"/>
    <n v="0"/>
    <n v="0"/>
    <n v="0"/>
    <n v="0"/>
  </r>
  <r>
    <d v="2013-06-21T00:00:00"/>
    <n v="2013"/>
    <x v="5"/>
    <s v="R"/>
    <s v="RS"/>
    <x v="7"/>
    <s v="MIN"/>
    <s v="H"/>
    <n v="5"/>
    <n v="1"/>
    <n v="4"/>
    <n v="-4"/>
    <n v="16"/>
    <n v="-16"/>
    <n v="1567.7376206498898"/>
    <n v="1613.7239968721242"/>
    <n v="0.59941562793969105"/>
    <n v="87"/>
    <n v="59"/>
    <n v="0"/>
    <n v="28"/>
    <n v="1"/>
    <n v="0.65402608538629459"/>
    <n v="1"/>
    <n v="75.099999999999994"/>
    <n v="75.099999999999994"/>
    <n v="19.675646417287361"/>
    <n v="1587.4132670671772"/>
    <n v="1"/>
    <n v="0"/>
    <n v="0"/>
    <n v="0"/>
    <n v="0"/>
    <n v="0"/>
    <n v="0"/>
    <n v="0"/>
    <n v="0"/>
    <n v="0"/>
  </r>
  <r>
    <d v="2013-06-21T00:00:00"/>
    <n v="2013"/>
    <x v="6"/>
    <s v="R"/>
    <s v="RS"/>
    <x v="10"/>
    <s v="PHX"/>
    <s v="A"/>
    <n v="2"/>
    <n v="1"/>
    <n v="1"/>
    <n v="-1"/>
    <n v="8"/>
    <n v="-8"/>
    <n v="1420.9998611398264"/>
    <n v="1416.7430377246128"/>
    <n v="0.40928178741159427"/>
    <n v="82"/>
    <n v="90"/>
    <n v="0"/>
    <n v="-8"/>
    <n v="0"/>
    <n v="0.38694291196300962"/>
    <n v="1"/>
    <n v="74.95"/>
    <n v="74.95"/>
    <n v="-11.869733063253356"/>
    <n v="1409.1301280765731"/>
    <n v="0"/>
    <n v="1"/>
    <n v="0"/>
    <n v="0"/>
    <n v="0"/>
    <n v="0"/>
    <n v="0"/>
    <n v="0"/>
    <n v="0"/>
    <n v="0"/>
  </r>
  <r>
    <d v="2013-06-21T00:00:00"/>
    <n v="2013"/>
    <x v="7"/>
    <s v="R"/>
    <s v="RS"/>
    <x v="9"/>
    <s v="WAS"/>
    <s v="H"/>
    <n v="1"/>
    <n v="2"/>
    <n v="-1"/>
    <n v="1"/>
    <n v="-8"/>
    <n v="8"/>
    <n v="1416.7430377246128"/>
    <n v="1420.9998611398264"/>
    <n v="0.59071821258840573"/>
    <n v="90"/>
    <n v="82"/>
    <n v="0"/>
    <n v="8"/>
    <n v="1"/>
    <n v="0.38694291196300962"/>
    <n v="1"/>
    <n v="74.8"/>
    <n v="74.8"/>
    <n v="11.845977760258187"/>
    <n v="1428.589015484871"/>
    <n v="1"/>
    <n v="0"/>
    <n v="0"/>
    <n v="0"/>
    <n v="0"/>
    <n v="0"/>
    <n v="0"/>
    <n v="0"/>
    <n v="0"/>
    <n v="0"/>
  </r>
  <r>
    <d v="2013-06-21T00:00:00"/>
    <n v="2013"/>
    <x v="6"/>
    <s v="R"/>
    <s v="RS"/>
    <x v="6"/>
    <s v="SAS"/>
    <s v="A"/>
    <n v="2"/>
    <n v="5"/>
    <n v="-3"/>
    <n v="3"/>
    <n v="-16"/>
    <n v="16"/>
    <n v="1492.2903865135652"/>
    <n v="1490.2183373514158"/>
    <n v="0.34167876411443115"/>
    <n v="91"/>
    <n v="86"/>
    <n v="0"/>
    <n v="5"/>
    <n v="1"/>
    <n v="0.33118411731724406"/>
    <n v="1"/>
    <n v="74.95"/>
    <n v="74.95"/>
    <n v="16.341014029476053"/>
    <n v="1508.6314005430413"/>
    <n v="1"/>
    <n v="0"/>
    <n v="0"/>
    <n v="0"/>
    <n v="0"/>
    <n v="0"/>
    <n v="0"/>
    <n v="0"/>
    <n v="0"/>
    <n v="0"/>
  </r>
  <r>
    <d v="2013-06-21T00:00:00"/>
    <n v="2013"/>
    <x v="6"/>
    <s v="R"/>
    <s v="RS"/>
    <x v="1"/>
    <s v="SEA"/>
    <s v="H"/>
    <n v="5"/>
    <n v="2"/>
    <n v="3"/>
    <n v="-3"/>
    <n v="16"/>
    <n v="-16"/>
    <n v="1490.2183373514158"/>
    <n v="1492.2903865135652"/>
    <n v="0.65832123588556879"/>
    <n v="86"/>
    <n v="91"/>
    <n v="0"/>
    <n v="-5"/>
    <n v="0"/>
    <n v="0.33118411731724406"/>
    <n v="1"/>
    <n v="74.95"/>
    <n v="74.95"/>
    <n v="-16.341014029476053"/>
    <n v="1473.8773233219397"/>
    <n v="0"/>
    <n v="1"/>
    <n v="0"/>
    <n v="0"/>
    <n v="0"/>
    <n v="0"/>
    <n v="0"/>
    <n v="0"/>
    <n v="0"/>
    <n v="0"/>
  </r>
  <r>
    <d v="2013-06-22T00:00:00"/>
    <n v="2013"/>
    <x v="7"/>
    <s v="R"/>
    <s v="RS"/>
    <x v="8"/>
    <s v="IND"/>
    <s v="A"/>
    <n v="1"/>
    <n v="5"/>
    <n v="-4"/>
    <n v="4"/>
    <n v="-16"/>
    <n v="16"/>
    <n v="1493.9286066281177"/>
    <n v="1519.5219474537755"/>
    <n v="0.30680971900386128"/>
    <n v="71"/>
    <n v="61"/>
    <n v="0"/>
    <n v="10"/>
    <n v="1"/>
    <n v="0.41429373209279668"/>
    <n v="1"/>
    <n v="74.8"/>
    <n v="74.8"/>
    <n v="21.481392264612989"/>
    <n v="1515.4099988927308"/>
    <n v="1"/>
    <n v="0"/>
    <n v="0"/>
    <n v="0"/>
    <n v="0"/>
    <n v="0"/>
    <n v="0"/>
    <n v="0"/>
    <n v="0"/>
    <n v="0"/>
  </r>
  <r>
    <d v="2013-06-22T00:00:00"/>
    <n v="2013"/>
    <x v="6"/>
    <s v="R"/>
    <s v="RS"/>
    <x v="0"/>
    <s v="CHI"/>
    <s v="H"/>
    <n v="5"/>
    <n v="1"/>
    <n v="4"/>
    <n v="-4"/>
    <n v="16"/>
    <n v="-16"/>
    <n v="1519.5219474537755"/>
    <n v="1493.9286066281177"/>
    <n v="0.69319028099613866"/>
    <n v="61"/>
    <n v="71"/>
    <n v="0"/>
    <n v="-10"/>
    <n v="0"/>
    <n v="0.41429373209279668"/>
    <n v="1"/>
    <n v="74.95"/>
    <n v="74.95"/>
    <n v="-21.524469922897641"/>
    <n v="1497.9974775308779"/>
    <n v="0"/>
    <n v="1"/>
    <n v="0"/>
    <n v="0"/>
    <n v="0"/>
    <n v="0"/>
    <n v="0"/>
    <n v="0"/>
    <n v="0"/>
    <n v="0"/>
  </r>
  <r>
    <d v="2013-06-22T00:00:00"/>
    <n v="2013"/>
    <x v="7"/>
    <s v="R"/>
    <s v="RS"/>
    <x v="6"/>
    <s v="TUL"/>
    <s v="A"/>
    <n v="0"/>
    <n v="1"/>
    <n v="-1"/>
    <n v="1"/>
    <n v="-8"/>
    <n v="8"/>
    <n v="1508.6314005430413"/>
    <n v="1400.0807700132568"/>
    <n v="0.51230286270485381"/>
    <n v="70"/>
    <n v="92"/>
    <n v="0"/>
    <n v="-22"/>
    <n v="0"/>
    <n v="0.55211268767774535"/>
    <n v="1"/>
    <n v="74.8"/>
    <n v="74.8"/>
    <n v="-21.157098500386891"/>
    <n v="1487.4743020426545"/>
    <n v="0"/>
    <n v="1"/>
    <n v="0"/>
    <n v="0"/>
    <n v="0"/>
    <n v="0"/>
    <n v="0"/>
    <n v="0"/>
    <n v="0"/>
    <n v="0"/>
  </r>
  <r>
    <d v="2013-06-22T00:00:00"/>
    <n v="2013"/>
    <x v="9"/>
    <s v="R"/>
    <s v="RS"/>
    <x v="2"/>
    <s v="SEA"/>
    <s v="H"/>
    <n v="1"/>
    <n v="0"/>
    <n v="1"/>
    <n v="-1"/>
    <n v="8"/>
    <n v="-8"/>
    <n v="1400.0807700132568"/>
    <n v="1508.6314005430413"/>
    <n v="0.48769713729514613"/>
    <n v="92"/>
    <n v="70"/>
    <n v="0"/>
    <n v="22"/>
    <n v="1"/>
    <n v="0.55211268767774535"/>
    <n v="1"/>
    <n v="74.5"/>
    <n v="74.5"/>
    <n v="21.072243827256994"/>
    <n v="1421.1530138405137"/>
    <n v="1"/>
    <n v="0"/>
    <n v="0"/>
    <n v="0"/>
    <n v="0"/>
    <n v="0"/>
    <n v="0"/>
    <n v="0"/>
    <n v="0"/>
    <n v="0"/>
  </r>
  <r>
    <d v="2013-06-23T00:00:00"/>
    <n v="2013"/>
    <x v="7"/>
    <s v="R"/>
    <s v="RS"/>
    <x v="3"/>
    <s v="CON"/>
    <s v="A"/>
    <n v="6"/>
    <n v="6"/>
    <n v="0"/>
    <n v="0"/>
    <n v="0"/>
    <n v="0"/>
    <n v="1586.7152369865705"/>
    <n v="1504.3772291839732"/>
    <n v="0.49760821920702031"/>
    <n v="78"/>
    <n v="77"/>
    <n v="0"/>
    <n v="1"/>
    <n v="1"/>
    <n v="0.22850106865385747"/>
    <n v="1"/>
    <n v="74.8"/>
    <n v="74.8"/>
    <n v="8.5868199977994539"/>
    <n v="1595.30205698437"/>
    <n v="1"/>
    <n v="0"/>
    <n v="0"/>
    <n v="0"/>
    <n v="0"/>
    <n v="0"/>
    <n v="0"/>
    <n v="0"/>
    <n v="0"/>
    <n v="0"/>
  </r>
  <r>
    <d v="2013-06-23T00:00:00"/>
    <n v="2013"/>
    <x v="7"/>
    <s v="R"/>
    <s v="RS"/>
    <x v="5"/>
    <s v="ATL"/>
    <s v="H"/>
    <n v="6"/>
    <n v="6"/>
    <n v="0"/>
    <n v="0"/>
    <n v="0"/>
    <n v="0"/>
    <n v="1504.3772291839732"/>
    <n v="1586.7152369865705"/>
    <n v="0.50239178079297964"/>
    <n v="77"/>
    <n v="78"/>
    <n v="0"/>
    <n v="-1"/>
    <n v="0"/>
    <n v="0.22850106865385747"/>
    <n v="1"/>
    <n v="74.8"/>
    <n v="74.8"/>
    <n v="-8.5868199977994539"/>
    <n v="1495.7904091861737"/>
    <n v="0"/>
    <n v="1"/>
    <n v="0"/>
    <n v="0"/>
    <n v="0"/>
    <n v="0"/>
    <n v="0"/>
    <n v="0"/>
    <n v="0"/>
    <n v="0"/>
  </r>
  <r>
    <d v="2013-06-23T00:00:00"/>
    <n v="2013"/>
    <x v="7"/>
    <s v="R"/>
    <s v="RS"/>
    <x v="10"/>
    <s v="LAS"/>
    <s v="A"/>
    <n v="1"/>
    <n v="1"/>
    <n v="0"/>
    <n v="0"/>
    <n v="0"/>
    <n v="0"/>
    <n v="1409.1301280765731"/>
    <n v="1587.4132670671772"/>
    <n v="0.18096500898525086"/>
    <n v="69"/>
    <n v="79"/>
    <n v="0"/>
    <n v="-10"/>
    <n v="0"/>
    <n v="0.36839719273544863"/>
    <n v="1"/>
    <n v="74.8"/>
    <n v="74.8"/>
    <n v="-4.9866916967546713"/>
    <n v="1404.1434363798185"/>
    <n v="0"/>
    <n v="1"/>
    <n v="0"/>
    <n v="0"/>
    <n v="0"/>
    <n v="0"/>
    <n v="0"/>
    <n v="0"/>
    <n v="0"/>
    <n v="0"/>
  </r>
  <r>
    <d v="2013-06-23T00:00:00"/>
    <n v="2013"/>
    <x v="6"/>
    <s v="R"/>
    <s v="RS"/>
    <x v="7"/>
    <s v="WAS"/>
    <s v="H"/>
    <n v="1"/>
    <n v="1"/>
    <n v="0"/>
    <n v="0"/>
    <n v="0"/>
    <n v="0"/>
    <n v="1587.4132670671772"/>
    <n v="1409.1301280765731"/>
    <n v="0.81903499101474919"/>
    <n v="79"/>
    <n v="69"/>
    <n v="0"/>
    <n v="10"/>
    <n v="1"/>
    <n v="0.36839719273544863"/>
    <n v="1"/>
    <n v="74.95"/>
    <n v="74.95"/>
    <n v="4.9966917469486969"/>
    <n v="1592.409958814126"/>
    <n v="1"/>
    <n v="0"/>
    <n v="0"/>
    <n v="0"/>
    <n v="0"/>
    <n v="0"/>
    <n v="0"/>
    <n v="0"/>
    <n v="0"/>
    <n v="0"/>
  </r>
  <r>
    <d v="2013-06-23T00:00:00"/>
    <n v="2013"/>
    <x v="10"/>
    <s v="R"/>
    <s v="RS"/>
    <x v="2"/>
    <s v="MIN"/>
    <s v="A"/>
    <n v="0"/>
    <n v="1"/>
    <n v="-1"/>
    <n v="1"/>
    <n v="-8"/>
    <n v="8"/>
    <n v="1421.1530138405137"/>
    <n v="1594.0876493491457"/>
    <n v="0.17205421312575242"/>
    <n v="79"/>
    <n v="88"/>
    <n v="0"/>
    <n v="-9"/>
    <n v="0"/>
    <n v="0.35483541603290586"/>
    <n v="1"/>
    <n v="74.349999999999994"/>
    <n v="74.349999999999994"/>
    <n v="-4.5391365187102464"/>
    <n v="1416.6138773218036"/>
    <n v="0"/>
    <n v="1"/>
    <n v="0"/>
    <n v="0"/>
    <n v="0"/>
    <n v="0"/>
    <n v="0"/>
    <n v="0"/>
    <n v="0"/>
    <n v="0"/>
  </r>
  <r>
    <d v="2013-06-23T00:00:00"/>
    <n v="2013"/>
    <x v="7"/>
    <s v="R"/>
    <s v="RS"/>
    <x v="11"/>
    <s v="TUL"/>
    <s v="H"/>
    <n v="1"/>
    <n v="0"/>
    <n v="1"/>
    <n v="-1"/>
    <n v="8"/>
    <n v="-8"/>
    <n v="1594.0876493491457"/>
    <n v="1421.1530138405137"/>
    <n v="0.82794578687424758"/>
    <n v="88"/>
    <n v="79"/>
    <n v="0"/>
    <n v="9"/>
    <n v="1"/>
    <n v="0.35483541603290586"/>
    <n v="1"/>
    <n v="74.8"/>
    <n v="74.8"/>
    <n v="4.5666094364428576"/>
    <n v="1598.6542587855886"/>
    <n v="1"/>
    <n v="0"/>
    <n v="0"/>
    <n v="0"/>
    <n v="0"/>
    <n v="0"/>
    <n v="0"/>
    <n v="0"/>
    <n v="0"/>
    <n v="0"/>
  </r>
  <r>
    <d v="2013-06-23T00:00:00"/>
    <n v="2013"/>
    <x v="7"/>
    <s v="R"/>
    <s v="RS"/>
    <x v="1"/>
    <s v="NYL"/>
    <s v="A"/>
    <n v="1"/>
    <n v="8"/>
    <n v="-7"/>
    <n v="7"/>
    <n v="-16"/>
    <n v="16"/>
    <n v="1473.8773233219397"/>
    <n v="1498.2710555569292"/>
    <n v="0.30828032009187201"/>
    <n v="78"/>
    <n v="77"/>
    <n v="1"/>
    <n v="1"/>
    <n v="1"/>
    <n v="0.2153833670490434"/>
    <n v="1"/>
    <n v="74.8"/>
    <n v="74.8"/>
    <n v="11.144071545709897"/>
    <n v="1485.0213948676496"/>
    <n v="1"/>
    <n v="0"/>
    <n v="0"/>
    <n v="0"/>
    <n v="0"/>
    <n v="0"/>
    <n v="0"/>
    <n v="0"/>
    <n v="0"/>
    <n v="0"/>
  </r>
  <r>
    <d v="2013-06-23T00:00:00"/>
    <n v="2013"/>
    <x v="6"/>
    <s v="R"/>
    <s v="RS"/>
    <x v="4"/>
    <s v="SAS"/>
    <s v="H"/>
    <n v="8"/>
    <n v="1"/>
    <n v="7"/>
    <n v="-7"/>
    <n v="16"/>
    <n v="-16"/>
    <n v="1498.2710555569292"/>
    <n v="1473.8773233219397"/>
    <n v="0.69171967990812799"/>
    <n v="77"/>
    <n v="78"/>
    <n v="1"/>
    <n v="-1"/>
    <n v="0"/>
    <n v="0.2153833670490434"/>
    <n v="1"/>
    <n v="74.95"/>
    <n v="74.95"/>
    <n v="-11.166419282766801"/>
    <n v="1487.1046362741624"/>
    <n v="0"/>
    <n v="1"/>
    <n v="0"/>
    <n v="0"/>
    <n v="0"/>
    <n v="0"/>
    <n v="0"/>
    <n v="0"/>
    <n v="0"/>
    <n v="0"/>
  </r>
  <r>
    <d v="2013-06-25T00:00:00"/>
    <n v="2013"/>
    <x v="7"/>
    <s v="R"/>
    <s v="RS"/>
    <x v="0"/>
    <s v="ATL"/>
    <s v="A"/>
    <n v="2"/>
    <n v="1"/>
    <n v="1"/>
    <n v="-1"/>
    <n v="8"/>
    <n v="-8"/>
    <n v="1497.9974775308779"/>
    <n v="1595.30205698437"/>
    <n v="0.27856926204188387"/>
    <n v="60"/>
    <n v="76"/>
    <n v="0"/>
    <n v="-16"/>
    <n v="0"/>
    <n v="0.47894939135867687"/>
    <n v="1"/>
    <n v="74.8"/>
    <n v="74.8"/>
    <n v="-9.9798592722634645"/>
    <n v="1488.0176182586144"/>
    <n v="0"/>
    <n v="1"/>
    <n v="0"/>
    <n v="0"/>
    <n v="0"/>
    <n v="0"/>
    <n v="0"/>
    <n v="0"/>
    <n v="0"/>
    <n v="0"/>
  </r>
  <r>
    <d v="2013-06-25T00:00:00"/>
    <n v="2013"/>
    <x v="8"/>
    <s v="R"/>
    <s v="RS"/>
    <x v="3"/>
    <s v="IND"/>
    <s v="H"/>
    <n v="1"/>
    <n v="2"/>
    <n v="-1"/>
    <n v="1"/>
    <n v="-8"/>
    <n v="8"/>
    <n v="1595.30205698437"/>
    <n v="1497.9974775308779"/>
    <n v="0.72143073795811619"/>
    <n v="76"/>
    <n v="60"/>
    <n v="0"/>
    <n v="16"/>
    <n v="1"/>
    <n v="0.47894939135867687"/>
    <n v="1"/>
    <n v="74.650000000000006"/>
    <n v="74.650000000000006"/>
    <n v="9.9598461854875335"/>
    <n v="1605.2619031698575"/>
    <n v="1"/>
    <n v="0"/>
    <n v="0"/>
    <n v="0"/>
    <n v="0"/>
    <n v="0"/>
    <n v="0"/>
    <n v="0"/>
    <n v="0"/>
    <n v="0"/>
  </r>
  <r>
    <d v="2013-06-25T00:00:00"/>
    <n v="2013"/>
    <x v="8"/>
    <s v="R"/>
    <s v="RS"/>
    <x v="9"/>
    <s v="SAS"/>
    <s v="A"/>
    <n v="3"/>
    <n v="1"/>
    <n v="2"/>
    <n v="-2"/>
    <n v="16"/>
    <n v="-16"/>
    <n v="1428.589015484871"/>
    <n v="1485.0213948676496"/>
    <n v="0.34882979475143883"/>
    <n v="83"/>
    <n v="77"/>
    <n v="0"/>
    <n v="6"/>
    <n v="1"/>
    <n v="0.33550306425266568"/>
    <n v="1"/>
    <n v="74.650000000000006"/>
    <n v="74.650000000000006"/>
    <n v="16.308755581095891"/>
    <n v="1444.8977710659669"/>
    <n v="1"/>
    <n v="0"/>
    <n v="0"/>
    <n v="0"/>
    <n v="0"/>
    <n v="0"/>
    <n v="0"/>
    <n v="0"/>
    <n v="0"/>
    <n v="0"/>
  </r>
  <r>
    <d v="2013-06-25T00:00:00"/>
    <n v="2013"/>
    <x v="8"/>
    <s v="R"/>
    <s v="RS"/>
    <x v="1"/>
    <s v="PHX"/>
    <s v="H"/>
    <n v="1"/>
    <n v="3"/>
    <n v="-2"/>
    <n v="2"/>
    <n v="-16"/>
    <n v="16"/>
    <n v="1485.0213948676496"/>
    <n v="1428.589015484871"/>
    <n v="0.65117020524856117"/>
    <n v="77"/>
    <n v="83"/>
    <n v="0"/>
    <n v="-6"/>
    <n v="0"/>
    <n v="0.33550306425266568"/>
    <n v="1"/>
    <n v="74.650000000000006"/>
    <n v="74.650000000000006"/>
    <n v="-16.308755581095891"/>
    <n v="1468.7126392865537"/>
    <n v="0"/>
    <n v="1"/>
    <n v="0"/>
    <n v="0"/>
    <n v="0"/>
    <n v="0"/>
    <n v="0"/>
    <n v="0"/>
    <n v="0"/>
    <n v="0"/>
  </r>
  <r>
    <d v="2013-06-26T00:00:00"/>
    <n v="2013"/>
    <x v="7"/>
    <s v="R"/>
    <s v="RS"/>
    <x v="4"/>
    <s v="CHI"/>
    <s v="A"/>
    <n v="2"/>
    <n v="3"/>
    <n v="-1"/>
    <n v="1"/>
    <n v="-8"/>
    <n v="8"/>
    <n v="1487.1046362741624"/>
    <n v="1515.4099988927308"/>
    <n v="0.32331363438667277"/>
    <n v="74"/>
    <n v="87"/>
    <n v="0"/>
    <n v="-13"/>
    <n v="0"/>
    <n v="0.46116586641724555"/>
    <n v="1"/>
    <n v="74.8"/>
    <n v="74.8"/>
    <n v="-11.1527706820176"/>
    <n v="1475.9518655921449"/>
    <n v="0"/>
    <n v="1"/>
    <n v="0"/>
    <n v="0"/>
    <n v="0"/>
    <n v="0"/>
    <n v="0"/>
    <n v="0"/>
    <n v="0"/>
    <n v="0"/>
  </r>
  <r>
    <d v="2013-06-26T00:00:00"/>
    <n v="2013"/>
    <x v="8"/>
    <s v="R"/>
    <s v="RS"/>
    <x v="8"/>
    <s v="NYL"/>
    <s v="H"/>
    <n v="3"/>
    <n v="2"/>
    <n v="1"/>
    <n v="-1"/>
    <n v="8"/>
    <n v="-8"/>
    <n v="1515.4099988927308"/>
    <n v="1487.1046362741624"/>
    <n v="0.67668636561332718"/>
    <n v="87"/>
    <n v="74"/>
    <n v="0"/>
    <n v="13"/>
    <n v="1"/>
    <n v="0.46116586641724555"/>
    <n v="1"/>
    <n v="74.650000000000006"/>
    <n v="74.650000000000006"/>
    <n v="11.130405500168639"/>
    <n v="1526.5404043928993"/>
    <n v="1"/>
    <n v="0"/>
    <n v="0"/>
    <n v="0"/>
    <n v="0"/>
    <n v="0"/>
    <n v="0"/>
    <n v="0"/>
    <n v="0"/>
    <n v="0"/>
  </r>
  <r>
    <d v="2013-06-27T00:00:00"/>
    <n v="2013"/>
    <x v="9"/>
    <s v="R"/>
    <s v="RS"/>
    <x v="9"/>
    <s v="WAS"/>
    <s v="A"/>
    <n v="1"/>
    <n v="3"/>
    <n v="-2"/>
    <n v="2"/>
    <n v="-16"/>
    <n v="16"/>
    <n v="1444.8977710659669"/>
    <n v="1404.1434363798185"/>
    <n v="0.39337466214149097"/>
    <n v="101"/>
    <n v="97"/>
    <n v="0"/>
    <n v="4"/>
    <n v="1"/>
    <n v="0.30120328532173807"/>
    <n v="1"/>
    <n v="74.5"/>
    <n v="74.5"/>
    <n v="13.612457081818224"/>
    <n v="1458.5102281477853"/>
    <n v="1"/>
    <n v="0"/>
    <n v="0"/>
    <n v="0"/>
    <n v="0"/>
    <n v="0"/>
    <n v="0"/>
    <n v="0"/>
    <n v="0"/>
    <n v="0"/>
  </r>
  <r>
    <d v="2013-06-27T00:00:00"/>
    <n v="2013"/>
    <x v="8"/>
    <s v="R"/>
    <s v="RS"/>
    <x v="10"/>
    <s v="PHX"/>
    <s v="H"/>
    <n v="3"/>
    <n v="1"/>
    <n v="2"/>
    <n v="-2"/>
    <n v="16"/>
    <n v="-16"/>
    <n v="1404.1434363798185"/>
    <n v="1444.8977710659669"/>
    <n v="0.60662533785850903"/>
    <n v="97"/>
    <n v="101"/>
    <n v="0"/>
    <n v="-4"/>
    <n v="0"/>
    <n v="0.30120328532173807"/>
    <n v="1"/>
    <n v="74.650000000000006"/>
    <n v="74.650000000000006"/>
    <n v="-13.639864713526581"/>
    <n v="1390.5035716662919"/>
    <n v="0"/>
    <n v="1"/>
    <n v="0"/>
    <n v="0"/>
    <n v="0"/>
    <n v="0"/>
    <n v="0"/>
    <n v="0"/>
    <n v="0"/>
    <n v="0"/>
  </r>
  <r>
    <d v="2013-06-28T00:00:00"/>
    <n v="2013"/>
    <x v="9"/>
    <s v="R"/>
    <s v="RS"/>
    <x v="10"/>
    <s v="ATL"/>
    <s v="A"/>
    <n v="0"/>
    <n v="2"/>
    <n v="-2"/>
    <n v="2"/>
    <n v="-16"/>
    <n v="16"/>
    <n v="1390.5035716662919"/>
    <n v="1605.2619031698575"/>
    <n v="0.12965664747189481"/>
    <n v="75"/>
    <n v="86"/>
    <n v="0"/>
    <n v="-11"/>
    <n v="0"/>
    <n v="0.37306948653783378"/>
    <n v="1"/>
    <n v="74.5"/>
    <n v="74.5"/>
    <n v="-3.6036349479424756"/>
    <n v="1386.8999367183494"/>
    <n v="0"/>
    <n v="1"/>
    <n v="0"/>
    <n v="0"/>
    <n v="0"/>
    <n v="0"/>
    <n v="0"/>
    <n v="0"/>
    <n v="0"/>
    <n v="0"/>
  </r>
  <r>
    <d v="2013-06-28T00:00:00"/>
    <n v="2013"/>
    <x v="9"/>
    <s v="R"/>
    <s v="RS"/>
    <x v="3"/>
    <s v="WAS"/>
    <s v="H"/>
    <n v="2"/>
    <n v="0"/>
    <n v="2"/>
    <n v="-2"/>
    <n v="16"/>
    <n v="-16"/>
    <n v="1605.2619031698575"/>
    <n v="1390.5035716662919"/>
    <n v="0.87034335252810524"/>
    <n v="86"/>
    <n v="75"/>
    <n v="0"/>
    <n v="11"/>
    <n v="1"/>
    <n v="0.37306948653783378"/>
    <n v="1"/>
    <n v="74.5"/>
    <n v="74.5"/>
    <n v="3.6036349479424743"/>
    <n v="1608.8655381178"/>
    <n v="1"/>
    <n v="0"/>
    <n v="0"/>
    <n v="0"/>
    <n v="0"/>
    <n v="0"/>
    <n v="0"/>
    <n v="0"/>
    <n v="0"/>
    <n v="0"/>
  </r>
  <r>
    <d v="2013-06-28T00:00:00"/>
    <n v="2013"/>
    <x v="11"/>
    <s v="R"/>
    <s v="RS"/>
    <x v="2"/>
    <s v="IND"/>
    <s v="A"/>
    <n v="4"/>
    <n v="2"/>
    <n v="2"/>
    <n v="-2"/>
    <n v="16"/>
    <n v="-16"/>
    <n v="1416.6138773218036"/>
    <n v="1488.0176182586144"/>
    <n v="0.32951730190852746"/>
    <n v="69"/>
    <n v="80"/>
    <n v="0"/>
    <n v="-11"/>
    <n v="0"/>
    <n v="0.41513419169292004"/>
    <n v="1"/>
    <n v="74.2"/>
    <n v="74.2"/>
    <n v="-10.150107289225831"/>
    <n v="1406.4637700325777"/>
    <n v="0"/>
    <n v="1"/>
    <n v="0"/>
    <n v="0"/>
    <n v="0"/>
    <n v="0"/>
    <n v="0"/>
    <n v="0"/>
    <n v="0"/>
    <n v="0"/>
  </r>
  <r>
    <d v="2013-06-28T00:00:00"/>
    <n v="2013"/>
    <x v="8"/>
    <s v="R"/>
    <s v="RS"/>
    <x v="0"/>
    <s v="TUL"/>
    <s v="H"/>
    <n v="2"/>
    <n v="4"/>
    <n v="-2"/>
    <n v="2"/>
    <n v="-16"/>
    <n v="16"/>
    <n v="1488.0176182586144"/>
    <n v="1416.6138773218036"/>
    <n v="0.67048269809147265"/>
    <n v="80"/>
    <n v="69"/>
    <n v="0"/>
    <n v="11"/>
    <n v="1"/>
    <n v="0.41513419169292004"/>
    <n v="1"/>
    <n v="74.650000000000006"/>
    <n v="74.650000000000006"/>
    <n v="10.21166454367531"/>
    <n v="1498.2292828022898"/>
    <n v="1"/>
    <n v="0"/>
    <n v="0"/>
    <n v="0"/>
    <n v="0"/>
    <n v="0"/>
    <n v="0"/>
    <n v="0"/>
    <n v="0"/>
    <n v="0"/>
  </r>
  <r>
    <d v="2013-06-28T00:00:00"/>
    <n v="2013"/>
    <x v="7"/>
    <s v="R"/>
    <s v="RS"/>
    <x v="7"/>
    <s v="MIN"/>
    <s v="A"/>
    <n v="4"/>
    <n v="4"/>
    <n v="0"/>
    <n v="0"/>
    <n v="0"/>
    <n v="0"/>
    <n v="1592.409958814126"/>
    <n v="1598.6542587855886"/>
    <n v="0.3729719759882974"/>
    <n v="64"/>
    <n v="88"/>
    <n v="0"/>
    <n v="-24"/>
    <n v="0"/>
    <n v="0.62517776652341894"/>
    <n v="1"/>
    <n v="74.8"/>
    <n v="74.8"/>
    <n v="-17.441399261929412"/>
    <n v="1574.9685595521964"/>
    <n v="0"/>
    <n v="1"/>
    <n v="0"/>
    <n v="0"/>
    <n v="0"/>
    <n v="0"/>
    <n v="0"/>
    <n v="0"/>
    <n v="0"/>
    <n v="0"/>
  </r>
  <r>
    <d v="2013-06-28T00:00:00"/>
    <n v="2013"/>
    <x v="8"/>
    <s v="R"/>
    <s v="RS"/>
    <x v="11"/>
    <s v="LAS"/>
    <s v="H"/>
    <n v="4"/>
    <n v="4"/>
    <n v="0"/>
    <n v="0"/>
    <n v="0"/>
    <n v="0"/>
    <n v="1598.6542587855886"/>
    <n v="1592.409958814126"/>
    <n v="0.62702802401170254"/>
    <n v="88"/>
    <n v="64"/>
    <n v="0"/>
    <n v="24"/>
    <n v="1"/>
    <n v="0.62517776652341894"/>
    <n v="1"/>
    <n v="74.650000000000006"/>
    <n v="74.650000000000006"/>
    <n v="17.406423193890788"/>
    <n v="1616.0606819794793"/>
    <n v="1"/>
    <n v="0"/>
    <n v="0"/>
    <n v="0"/>
    <n v="0"/>
    <n v="0"/>
    <n v="0"/>
    <n v="0"/>
    <n v="0"/>
    <n v="0"/>
  </r>
  <r>
    <d v="2013-06-28T00:00:00"/>
    <n v="2013"/>
    <x v="8"/>
    <s v="R"/>
    <s v="RS"/>
    <x v="4"/>
    <s v="SEA"/>
    <s v="A"/>
    <n v="1"/>
    <n v="5"/>
    <n v="-4"/>
    <n v="4"/>
    <n v="-16"/>
    <n v="16"/>
    <n v="1475.9518655921449"/>
    <n v="1487.4743020426545"/>
    <n v="0.32430044357565346"/>
    <n v="67"/>
    <n v="62"/>
    <n v="0"/>
    <n v="5"/>
    <n v="1"/>
    <n v="0.32860074116321153"/>
    <n v="1"/>
    <n v="74.650000000000006"/>
    <n v="74.650000000000006"/>
    <n v="16.574940747086373"/>
    <n v="1492.5268063392314"/>
    <n v="1"/>
    <n v="0"/>
    <n v="0"/>
    <n v="0"/>
    <n v="0"/>
    <n v="0"/>
    <n v="0"/>
    <n v="0"/>
    <n v="0"/>
    <n v="0"/>
  </r>
  <r>
    <d v="2013-06-28T00:00:00"/>
    <n v="2013"/>
    <x v="8"/>
    <s v="R"/>
    <s v="RS"/>
    <x v="6"/>
    <s v="NYL"/>
    <s v="H"/>
    <n v="5"/>
    <n v="1"/>
    <n v="4"/>
    <n v="-4"/>
    <n v="16"/>
    <n v="-16"/>
    <n v="1487.4743020426545"/>
    <n v="1475.9518655921449"/>
    <n v="0.67569955642434654"/>
    <n v="62"/>
    <n v="67"/>
    <n v="0"/>
    <n v="-5"/>
    <n v="0"/>
    <n v="0.32860074116321153"/>
    <n v="1"/>
    <n v="74.650000000000006"/>
    <n v="74.650000000000006"/>
    <n v="-16.574940747086373"/>
    <n v="1470.899361295568"/>
    <n v="0"/>
    <n v="1"/>
    <n v="0"/>
    <n v="0"/>
    <n v="0"/>
    <n v="0"/>
    <n v="0"/>
    <n v="0"/>
    <n v="0"/>
    <n v="0"/>
  </r>
  <r>
    <d v="2013-06-29T00:00:00"/>
    <n v="2013"/>
    <x v="8"/>
    <s v="R"/>
    <s v="RS"/>
    <x v="7"/>
    <s v="CHI"/>
    <s v="A"/>
    <n v="0"/>
    <n v="2"/>
    <n v="-2"/>
    <n v="2"/>
    <n v="-16"/>
    <n v="16"/>
    <n v="1574.9685595521964"/>
    <n v="1526.5404043928993"/>
    <n v="0.40396411948687455"/>
    <n v="82"/>
    <n v="94"/>
    <n v="0"/>
    <n v="-12"/>
    <n v="0"/>
    <n v="0.43843558752646627"/>
    <n v="1"/>
    <n v="74.650000000000006"/>
    <n v="74.650000000000006"/>
    <n v="-13.221429168889568"/>
    <n v="1561.747130383307"/>
    <n v="0"/>
    <n v="1"/>
    <n v="0"/>
    <n v="0"/>
    <n v="0"/>
    <n v="0"/>
    <n v="0"/>
    <n v="0"/>
    <n v="0"/>
    <n v="0"/>
  </r>
  <r>
    <d v="2013-06-29T00:00:00"/>
    <n v="2013"/>
    <x v="9"/>
    <s v="R"/>
    <s v="RS"/>
    <x v="8"/>
    <s v="LAS"/>
    <s v="H"/>
    <n v="2"/>
    <n v="0"/>
    <n v="2"/>
    <n v="-2"/>
    <n v="16"/>
    <n v="-16"/>
    <n v="1526.5404043928993"/>
    <n v="1574.9685595521964"/>
    <n v="0.5960358805131255"/>
    <n v="94"/>
    <n v="82"/>
    <n v="0"/>
    <n v="12"/>
    <n v="1"/>
    <n v="0.43843558752646627"/>
    <n v="1"/>
    <n v="74.5"/>
    <n v="74.5"/>
    <n v="13.194862331979538"/>
    <n v="1539.7352667248788"/>
    <n v="1"/>
    <n v="0"/>
    <n v="0"/>
    <n v="0"/>
    <n v="0"/>
    <n v="0"/>
    <n v="0"/>
    <n v="0"/>
    <n v="0"/>
    <n v="0"/>
  </r>
  <r>
    <d v="2013-06-29T00:00:00"/>
    <n v="2013"/>
    <x v="10"/>
    <s v="R"/>
    <s v="RS"/>
    <x v="9"/>
    <s v="CON"/>
    <s v="A"/>
    <n v="1"/>
    <n v="5"/>
    <n v="-4"/>
    <n v="4"/>
    <n v="-16"/>
    <n v="16"/>
    <n v="1458.5102281477853"/>
    <n v="1495.7904091861737"/>
    <n v="0.29269069642392709"/>
    <n v="89"/>
    <n v="70"/>
    <n v="0"/>
    <n v="19"/>
    <n v="1"/>
    <n v="0.54407489716901358"/>
    <n v="1"/>
    <n v="74.349999999999994"/>
    <n v="74.349999999999994"/>
    <n v="28.612053741941487"/>
    <n v="1487.1222818897268"/>
    <n v="1"/>
    <n v="0"/>
    <n v="0"/>
    <n v="0"/>
    <n v="0"/>
    <n v="0"/>
    <n v="0"/>
    <n v="0"/>
    <n v="0"/>
    <n v="0"/>
  </r>
  <r>
    <d v="2013-06-29T00:00:00"/>
    <n v="2013"/>
    <x v="8"/>
    <s v="R"/>
    <s v="RS"/>
    <x v="5"/>
    <s v="PHX"/>
    <s v="H"/>
    <n v="5"/>
    <n v="1"/>
    <n v="4"/>
    <n v="-4"/>
    <n v="16"/>
    <n v="-16"/>
    <n v="1495.7904091861737"/>
    <n v="1458.5102281477853"/>
    <n v="0.70730930357607291"/>
    <n v="70"/>
    <n v="89"/>
    <n v="0"/>
    <n v="-19"/>
    <n v="0"/>
    <n v="0.54407489716901358"/>
    <n v="1"/>
    <n v="74.650000000000006"/>
    <n v="74.650000000000006"/>
    <n v="-28.727502512924442"/>
    <n v="1467.0629066732492"/>
    <n v="0"/>
    <n v="1"/>
    <n v="0"/>
    <n v="0"/>
    <n v="0"/>
    <n v="0"/>
    <n v="0"/>
    <n v="0"/>
    <n v="0"/>
    <n v="0"/>
  </r>
  <r>
    <d v="2013-06-30T00:00:00"/>
    <n v="2013"/>
    <x v="9"/>
    <s v="R"/>
    <s v="RS"/>
    <x v="1"/>
    <s v="ATL"/>
    <s v="A"/>
    <n v="4"/>
    <n v="1"/>
    <n v="3"/>
    <n v="-3"/>
    <n v="16"/>
    <n v="-16"/>
    <n v="1468.7126392865537"/>
    <n v="1608.8655381178"/>
    <n v="0.24859476091272534"/>
    <n v="67"/>
    <n v="93"/>
    <n v="0"/>
    <n v="-26"/>
    <n v="0"/>
    <n v="0.5856830644508717"/>
    <n v="1"/>
    <n v="74.5"/>
    <n v="74.5"/>
    <n v="-10.847031732645858"/>
    <n v="1457.8656075539079"/>
    <n v="0"/>
    <n v="1"/>
    <n v="0"/>
    <n v="0"/>
    <n v="0"/>
    <n v="0"/>
    <n v="0"/>
    <n v="0"/>
    <n v="0"/>
    <n v="0"/>
  </r>
  <r>
    <d v="2013-06-30T00:00:00"/>
    <n v="2013"/>
    <x v="10"/>
    <s v="R"/>
    <s v="RS"/>
    <x v="3"/>
    <s v="SAS"/>
    <s v="H"/>
    <n v="1"/>
    <n v="4"/>
    <n v="-3"/>
    <n v="3"/>
    <n v="-16"/>
    <n v="16"/>
    <n v="1608.8655381178"/>
    <n v="1468.7126392865537"/>
    <n v="0.75140523908727475"/>
    <n v="93"/>
    <n v="67"/>
    <n v="0"/>
    <n v="26"/>
    <n v="1"/>
    <n v="0.5856830644508717"/>
    <n v="1"/>
    <n v="74.349999999999994"/>
    <n v="74.349999999999994"/>
    <n v="10.825192071439185"/>
    <n v="1619.6907301892393"/>
    <n v="1"/>
    <n v="0"/>
    <n v="0"/>
    <n v="0"/>
    <n v="0"/>
    <n v="0"/>
    <n v="0"/>
    <n v="0"/>
    <n v="0"/>
    <n v="0"/>
  </r>
  <r>
    <d v="2013-06-30T00:00:00"/>
    <n v="2013"/>
    <x v="9"/>
    <s v="R"/>
    <s v="RS"/>
    <x v="6"/>
    <s v="IND"/>
    <s v="A"/>
    <n v="1"/>
    <n v="1"/>
    <n v="0"/>
    <n v="0"/>
    <n v="0"/>
    <n v="0"/>
    <n v="1470.899361295568"/>
    <n v="1498.2292828022898"/>
    <n v="0.34505068217819757"/>
    <n v="63"/>
    <n v="71"/>
    <n v="0"/>
    <n v="-8"/>
    <n v="0"/>
    <n v="0.37966860730613622"/>
    <n v="1"/>
    <n v="74.5"/>
    <n v="74.5"/>
    <n v="-9.7598659404708243"/>
    <n v="1461.1394953550973"/>
    <n v="0"/>
    <n v="1"/>
    <n v="0"/>
    <n v="0"/>
    <n v="0"/>
    <n v="0"/>
    <n v="0"/>
    <n v="0"/>
    <n v="0"/>
    <n v="0"/>
  </r>
  <r>
    <d v="2013-06-30T00:00:00"/>
    <n v="2013"/>
    <x v="9"/>
    <s v="R"/>
    <s v="RS"/>
    <x v="0"/>
    <s v="SEA"/>
    <s v="H"/>
    <n v="1"/>
    <n v="1"/>
    <n v="0"/>
    <n v="0"/>
    <n v="0"/>
    <n v="0"/>
    <n v="1498.2292828022898"/>
    <n v="1470.899361295568"/>
    <n v="0.65494931782180243"/>
    <n v="71"/>
    <n v="63"/>
    <n v="0"/>
    <n v="8"/>
    <n v="1"/>
    <n v="0.37966860730613622"/>
    <n v="1"/>
    <n v="74.5"/>
    <n v="74.5"/>
    <n v="9.7598659404708243"/>
    <n v="1507.9891487427606"/>
    <n v="1"/>
    <n v="0"/>
    <n v="0"/>
    <n v="0"/>
    <n v="0"/>
    <n v="0"/>
    <n v="0"/>
    <n v="0"/>
    <n v="0"/>
    <n v="0"/>
  </r>
  <r>
    <d v="2013-06-30T00:00:00"/>
    <n v="2013"/>
    <x v="12"/>
    <s v="R"/>
    <s v="RS"/>
    <x v="2"/>
    <s v="WAS"/>
    <s v="A"/>
    <n v="1"/>
    <n v="1"/>
    <n v="0"/>
    <n v="0"/>
    <n v="0"/>
    <n v="0"/>
    <n v="1406.4637700325777"/>
    <n v="1386.8999367183494"/>
    <n v="0.40831767473241715"/>
    <n v="61"/>
    <n v="84"/>
    <n v="0"/>
    <n v="-23"/>
    <n v="0"/>
    <n v="0.60546672745096675"/>
    <n v="1"/>
    <n v="74.05"/>
    <n v="74.05"/>
    <n v="-18.306845843080275"/>
    <n v="1388.1569241894974"/>
    <n v="0"/>
    <n v="1"/>
    <n v="0"/>
    <n v="0"/>
    <n v="0"/>
    <n v="0"/>
    <n v="0"/>
    <n v="0"/>
    <n v="0"/>
    <n v="0"/>
  </r>
  <r>
    <d v="2013-06-30T00:00:00"/>
    <n v="2013"/>
    <x v="10"/>
    <s v="R"/>
    <s v="RS"/>
    <x v="10"/>
    <s v="TUL"/>
    <s v="H"/>
    <n v="1"/>
    <n v="1"/>
    <n v="0"/>
    <n v="0"/>
    <n v="0"/>
    <n v="0"/>
    <n v="1386.8999367183494"/>
    <n v="1406.4637700325777"/>
    <n v="0.5916823252675828"/>
    <n v="84"/>
    <n v="61"/>
    <n v="0"/>
    <n v="23"/>
    <n v="1"/>
    <n v="0.60546672745096675"/>
    <n v="1"/>
    <n v="74.349999999999994"/>
    <n v="74.349999999999994"/>
    <n v="18.381012672964463"/>
    <n v="1405.2809493913139"/>
    <n v="1"/>
    <n v="0"/>
    <n v="0"/>
    <n v="0"/>
    <n v="0"/>
    <n v="0"/>
    <n v="0"/>
    <n v="0"/>
    <n v="0"/>
    <n v="0"/>
  </r>
  <r>
    <d v="2013-07-02T00:00:00"/>
    <n v="2013"/>
    <x v="10"/>
    <s v="R"/>
    <s v="RS"/>
    <x v="6"/>
    <s v="CHI"/>
    <s v="A"/>
    <n v="1"/>
    <n v="2"/>
    <n v="-1"/>
    <n v="1"/>
    <n v="-8"/>
    <n v="8"/>
    <n v="1461.1394953550973"/>
    <n v="1539.7352667248788"/>
    <n v="0.26345652450060508"/>
    <n v="69"/>
    <n v="60"/>
    <n v="0"/>
    <n v="9"/>
    <n v="1"/>
    <n v="0.3810163020129359"/>
    <n v="1"/>
    <n v="74.349999999999994"/>
    <n v="74.349999999999994"/>
    <n v="20.865217551640868"/>
    <n v="1482.0047129067382"/>
    <n v="1"/>
    <n v="0"/>
    <n v="0"/>
    <n v="0"/>
    <n v="0"/>
    <n v="0"/>
    <n v="0"/>
    <n v="0"/>
    <n v="0"/>
    <n v="0"/>
  </r>
  <r>
    <d v="2013-07-02T00:00:00"/>
    <n v="2013"/>
    <x v="10"/>
    <s v="R"/>
    <s v="RS"/>
    <x v="8"/>
    <s v="SEA"/>
    <s v="H"/>
    <n v="2"/>
    <n v="1"/>
    <n v="1"/>
    <n v="-1"/>
    <n v="8"/>
    <n v="-8"/>
    <n v="1539.7352667248788"/>
    <n v="1461.1394953550973"/>
    <n v="0.73654347549939492"/>
    <n v="60"/>
    <n v="69"/>
    <n v="0"/>
    <n v="-9"/>
    <n v="0"/>
    <n v="0.3810163020129359"/>
    <n v="1"/>
    <n v="74.349999999999994"/>
    <n v="74.349999999999994"/>
    <n v="-20.865217551640868"/>
    <n v="1518.8700491732379"/>
    <n v="0"/>
    <n v="1"/>
    <n v="0"/>
    <n v="0"/>
    <n v="0"/>
    <n v="0"/>
    <n v="0"/>
    <n v="0"/>
    <n v="0"/>
    <n v="0"/>
  </r>
  <r>
    <d v="2013-07-02T00:00:00"/>
    <n v="2013"/>
    <x v="13"/>
    <s v="R"/>
    <s v="RS"/>
    <x v="2"/>
    <s v="CON"/>
    <s v="A"/>
    <n v="1"/>
    <n v="2"/>
    <n v="-1"/>
    <n v="1"/>
    <n v="-8"/>
    <n v="8"/>
    <n v="1388.1569241894974"/>
    <n v="1467.0629066732492"/>
    <n v="0.2631101572094679"/>
    <n v="69"/>
    <n v="88"/>
    <n v="0"/>
    <n v="-19"/>
    <n v="0"/>
    <n v="0.52636636037963969"/>
    <n v="1"/>
    <n v="73.900000000000006"/>
    <n v="73.900000000000006"/>
    <n v="-10.234583617782494"/>
    <n v="1377.922340571715"/>
    <n v="0"/>
    <n v="1"/>
    <n v="0"/>
    <n v="0"/>
    <n v="0"/>
    <n v="0"/>
    <n v="0"/>
    <n v="0"/>
    <n v="0"/>
    <n v="0"/>
  </r>
  <r>
    <d v="2013-07-02T00:00:00"/>
    <n v="2013"/>
    <x v="9"/>
    <s v="R"/>
    <s v="RS"/>
    <x v="5"/>
    <s v="TUL"/>
    <s v="H"/>
    <n v="2"/>
    <n v="1"/>
    <n v="1"/>
    <n v="-1"/>
    <n v="8"/>
    <n v="-8"/>
    <n v="1467.0629066732492"/>
    <n v="1388.1569241894974"/>
    <n v="0.73688984279053205"/>
    <n v="88"/>
    <n v="69"/>
    <n v="0"/>
    <n v="19"/>
    <n v="1"/>
    <n v="0.52636636037963969"/>
    <n v="1"/>
    <n v="74.5"/>
    <n v="74.5"/>
    <n v="10.317679019280053"/>
    <n v="1477.3805856925294"/>
    <n v="1"/>
    <n v="0"/>
    <n v="0"/>
    <n v="0"/>
    <n v="0"/>
    <n v="0"/>
    <n v="0"/>
    <n v="0"/>
    <n v="0"/>
    <n v="0"/>
  </r>
  <r>
    <d v="2013-07-02T00:00:00"/>
    <n v="2013"/>
    <x v="9"/>
    <s v="R"/>
    <s v="RS"/>
    <x v="11"/>
    <s v="LAS"/>
    <s v="A"/>
    <n v="3"/>
    <n v="2"/>
    <n v="1"/>
    <n v="-1"/>
    <n v="8"/>
    <n v="-8"/>
    <n v="1616.0606819794793"/>
    <n v="1561.747130383307"/>
    <n v="0.4803137993519066"/>
    <n v="66"/>
    <n v="96"/>
    <n v="0"/>
    <n v="-30"/>
    <n v="0"/>
    <n v="0.67303044797333156"/>
    <n v="1"/>
    <n v="74.5"/>
    <n v="74.5"/>
    <n v="-24.083302960146199"/>
    <n v="1591.9773790193331"/>
    <n v="0"/>
    <n v="1"/>
    <n v="0"/>
    <n v="0"/>
    <n v="0"/>
    <n v="0"/>
    <n v="0"/>
    <n v="0"/>
    <n v="0"/>
    <n v="0"/>
  </r>
  <r>
    <d v="2013-07-02T00:00:00"/>
    <n v="2013"/>
    <x v="9"/>
    <s v="R"/>
    <s v="RS"/>
    <x v="7"/>
    <s v="MIN"/>
    <s v="H"/>
    <n v="2"/>
    <n v="3"/>
    <n v="-1"/>
    <n v="1"/>
    <n v="-8"/>
    <n v="8"/>
    <n v="1561.747130383307"/>
    <n v="1616.0606819794793"/>
    <n v="0.51968620064809334"/>
    <n v="96"/>
    <n v="66"/>
    <n v="0"/>
    <n v="30"/>
    <n v="1"/>
    <n v="0.67303044797333156"/>
    <n v="1"/>
    <n v="74.5"/>
    <n v="74.5"/>
    <n v="24.083302960146202"/>
    <n v="1585.8304333434533"/>
    <n v="1"/>
    <n v="0"/>
    <n v="0"/>
    <n v="0"/>
    <n v="0"/>
    <n v="0"/>
    <n v="0"/>
    <n v="0"/>
    <n v="0"/>
    <n v="0"/>
  </r>
  <r>
    <d v="2013-07-02T00:00:00"/>
    <n v="2013"/>
    <x v="9"/>
    <s v="R"/>
    <s v="RS"/>
    <x v="4"/>
    <s v="PHX"/>
    <s v="A"/>
    <n v="3"/>
    <n v="2"/>
    <n v="1"/>
    <n v="-1"/>
    <n v="8"/>
    <n v="-8"/>
    <n v="1492.5268063392314"/>
    <n v="1487.1222818897268"/>
    <n v="0.41088004230067487"/>
    <n v="87"/>
    <n v="94"/>
    <n v="0"/>
    <n v="-7"/>
    <n v="0"/>
    <n v="0.36844776834350507"/>
    <n v="1"/>
    <n v="74.5"/>
    <n v="74.5"/>
    <n v="-11.278393680871362"/>
    <n v="1481.2484126583599"/>
    <n v="0"/>
    <n v="1"/>
    <n v="0"/>
    <n v="0"/>
    <n v="0"/>
    <n v="0"/>
    <n v="0"/>
    <n v="0"/>
    <n v="0"/>
    <n v="0"/>
  </r>
  <r>
    <d v="2013-07-02T00:00:00"/>
    <n v="2013"/>
    <x v="11"/>
    <s v="R"/>
    <s v="RS"/>
    <x v="9"/>
    <s v="NYL"/>
    <s v="H"/>
    <n v="2"/>
    <n v="3"/>
    <n v="-1"/>
    <n v="1"/>
    <n v="-8"/>
    <n v="8"/>
    <n v="1487.1222818897268"/>
    <n v="1492.5268063392314"/>
    <n v="0.58911995769932524"/>
    <n v="94"/>
    <n v="87"/>
    <n v="0"/>
    <n v="7"/>
    <n v="1"/>
    <n v="0.36844776834350507"/>
    <n v="1"/>
    <n v="74.2"/>
    <n v="74.2"/>
    <n v="11.232977330478588"/>
    <n v="1498.3552592202054"/>
    <n v="1"/>
    <n v="0"/>
    <n v="0"/>
    <n v="0"/>
    <n v="0"/>
    <n v="0"/>
    <n v="0"/>
    <n v="0"/>
    <n v="0"/>
    <n v="0"/>
  </r>
  <r>
    <d v="2013-07-04T00:00:00"/>
    <n v="2013"/>
    <x v="10"/>
    <s v="R"/>
    <s v="RS"/>
    <x v="4"/>
    <s v="LAS"/>
    <s v="A"/>
    <n v="1"/>
    <n v="1"/>
    <n v="0"/>
    <n v="0"/>
    <n v="0"/>
    <n v="0"/>
    <n v="1481.2484126583599"/>
    <n v="1585.8304333434533"/>
    <n v="0.2524542668216182"/>
    <n v="89"/>
    <n v="97"/>
    <n v="0"/>
    <n v="-8"/>
    <n v="0"/>
    <n v="0.35718615971642836"/>
    <n v="1"/>
    <n v="74.349999999999994"/>
    <n v="74.349999999999994"/>
    <n v="-6.7043751947074988"/>
    <n v="1474.5440374636523"/>
    <n v="0"/>
    <n v="1"/>
    <n v="0"/>
    <n v="0"/>
    <n v="0"/>
    <n v="0"/>
    <n v="0"/>
    <n v="0"/>
    <n v="0"/>
    <n v="0"/>
  </r>
  <r>
    <d v="2013-07-04T00:00:00"/>
    <n v="2013"/>
    <x v="10"/>
    <s v="R"/>
    <s v="RS"/>
    <x v="7"/>
    <s v="NYL"/>
    <s v="H"/>
    <n v="1"/>
    <n v="1"/>
    <n v="0"/>
    <n v="0"/>
    <n v="0"/>
    <n v="0"/>
    <n v="1585.8304333434533"/>
    <n v="1481.2484126583599"/>
    <n v="0.7475457331783818"/>
    <n v="97"/>
    <n v="89"/>
    <n v="0"/>
    <n v="8"/>
    <n v="1"/>
    <n v="0.35718615971642836"/>
    <n v="1"/>
    <n v="74.349999999999994"/>
    <n v="74.349999999999994"/>
    <n v="6.7043751947074988"/>
    <n v="1592.5348085381609"/>
    <n v="1"/>
    <n v="0"/>
    <n v="0"/>
    <n v="0"/>
    <n v="0"/>
    <n v="0"/>
    <n v="0"/>
    <n v="0"/>
    <n v="0"/>
    <n v="0"/>
  </r>
  <r>
    <d v="2013-07-06T00:00:00"/>
    <n v="2013"/>
    <x v="10"/>
    <s v="R"/>
    <s v="RS"/>
    <x v="5"/>
    <s v="IND"/>
    <s v="A"/>
    <n v="3"/>
    <n v="5"/>
    <n v="-2"/>
    <n v="2"/>
    <n v="-16"/>
    <n v="16"/>
    <n v="1477.3805856925294"/>
    <n v="1507.9891487427606"/>
    <n v="0.3007042088144849"/>
    <n v="66"/>
    <n v="78"/>
    <n v="0"/>
    <n v="-12"/>
    <n v="0"/>
    <n v="0.44478427025987372"/>
    <n v="1"/>
    <n v="74.349999999999994"/>
    <n v="74.349999999999994"/>
    <n v="-9.9442011297686967"/>
    <n v="1467.4363845627606"/>
    <n v="0"/>
    <n v="1"/>
    <n v="0"/>
    <n v="0"/>
    <n v="0"/>
    <n v="0"/>
    <n v="0"/>
    <n v="0"/>
    <n v="0"/>
    <n v="0"/>
  </r>
  <r>
    <d v="2013-07-06T00:00:00"/>
    <n v="2013"/>
    <x v="10"/>
    <s v="R"/>
    <s v="RS"/>
    <x v="0"/>
    <s v="CON"/>
    <s v="H"/>
    <n v="5"/>
    <n v="3"/>
    <n v="2"/>
    <n v="-2"/>
    <n v="16"/>
    <n v="-16"/>
    <n v="1507.9891487427606"/>
    <n v="1477.3805856925294"/>
    <n v="0.6992957911855151"/>
    <n v="78"/>
    <n v="66"/>
    <n v="0"/>
    <n v="12"/>
    <n v="1"/>
    <n v="0.44478427025987372"/>
    <n v="1"/>
    <n v="74.349999999999994"/>
    <n v="74.349999999999994"/>
    <n v="9.9442011297686967"/>
    <n v="1517.9333498725293"/>
    <n v="1"/>
    <n v="0"/>
    <n v="0"/>
    <n v="0"/>
    <n v="0"/>
    <n v="0"/>
    <n v="0"/>
    <n v="0"/>
    <n v="0"/>
    <n v="0"/>
  </r>
  <r>
    <d v="2013-07-06T00:00:00"/>
    <n v="2013"/>
    <x v="10"/>
    <s v="R"/>
    <s v="RS"/>
    <x v="1"/>
    <s v="LAS"/>
    <s v="A"/>
    <n v="5"/>
    <n v="1"/>
    <n v="4"/>
    <n v="-4"/>
    <n v="16"/>
    <n v="-16"/>
    <n v="1457.8656075539079"/>
    <n v="1592.5348085381609"/>
    <n v="0.25453794770791266"/>
    <n v="66"/>
    <n v="93"/>
    <n v="0"/>
    <n v="-27"/>
    <n v="0"/>
    <n v="0.59939946123731569"/>
    <n v="1"/>
    <n v="74.349999999999994"/>
    <n v="74.349999999999994"/>
    <n v="-11.343572713374741"/>
    <n v="1446.5220348405333"/>
    <n v="0"/>
    <n v="1"/>
    <n v="0"/>
    <n v="0"/>
    <n v="0"/>
    <n v="0"/>
    <n v="0"/>
    <n v="0"/>
    <n v="0"/>
    <n v="0"/>
  </r>
  <r>
    <d v="2013-07-06T00:00:00"/>
    <n v="2013"/>
    <x v="11"/>
    <s v="R"/>
    <s v="RS"/>
    <x v="7"/>
    <s v="SAS"/>
    <s v="H"/>
    <n v="1"/>
    <n v="5"/>
    <n v="-4"/>
    <n v="4"/>
    <n v="-16"/>
    <n v="16"/>
    <n v="1592.5348085381609"/>
    <n v="1457.8656075539079"/>
    <n v="0.74546205229208728"/>
    <n v="93"/>
    <n v="66"/>
    <n v="0"/>
    <n v="27"/>
    <n v="1"/>
    <n v="0.59939946123731569"/>
    <n v="1"/>
    <n v="74.2"/>
    <n v="74.2"/>
    <n v="11.320687227066658"/>
    <n v="1603.8554957652275"/>
    <n v="1"/>
    <n v="0"/>
    <n v="0"/>
    <n v="0"/>
    <n v="0"/>
    <n v="0"/>
    <n v="0"/>
    <n v="0"/>
    <n v="0"/>
    <n v="0"/>
  </r>
  <r>
    <d v="2013-07-06T00:00:00"/>
    <n v="2013"/>
    <x v="11"/>
    <s v="R"/>
    <s v="RS"/>
    <x v="6"/>
    <s v="WAS"/>
    <s v="A"/>
    <n v="3"/>
    <n v="5"/>
    <n v="-2"/>
    <n v="2"/>
    <n v="-16"/>
    <n v="16"/>
    <n v="1482.0047129067382"/>
    <n v="1405.2809493913139"/>
    <n v="0.44371650488931097"/>
    <n v="59"/>
    <n v="62"/>
    <n v="0"/>
    <n v="-3"/>
    <n v="0"/>
    <n v="0.27274515856087361"/>
    <n v="1"/>
    <n v="74.2"/>
    <n v="74.2"/>
    <n v="-8.9797974133726939"/>
    <n v="1473.0249154933654"/>
    <n v="0"/>
    <n v="1"/>
    <n v="0"/>
    <n v="0"/>
    <n v="0"/>
    <n v="0"/>
    <n v="0"/>
    <n v="0"/>
    <n v="0"/>
    <n v="0"/>
  </r>
  <r>
    <d v="2013-07-06T00:00:00"/>
    <n v="2013"/>
    <x v="11"/>
    <s v="R"/>
    <s v="RS"/>
    <x v="10"/>
    <s v="SEA"/>
    <s v="H"/>
    <n v="5"/>
    <n v="3"/>
    <n v="2"/>
    <n v="-2"/>
    <n v="16"/>
    <n v="-16"/>
    <n v="1405.2809493913139"/>
    <n v="1482.0047129067382"/>
    <n v="0.55628349511068897"/>
    <n v="62"/>
    <n v="59"/>
    <n v="0"/>
    <n v="3"/>
    <n v="1"/>
    <n v="0.27274515856087361"/>
    <n v="1"/>
    <n v="74.2"/>
    <n v="74.2"/>
    <n v="8.9797974133726939"/>
    <n v="1414.2607468046867"/>
    <n v="1"/>
    <n v="0"/>
    <n v="0"/>
    <n v="0"/>
    <n v="0"/>
    <n v="0"/>
    <n v="0"/>
    <n v="0"/>
    <n v="0"/>
    <n v="0"/>
  </r>
  <r>
    <d v="2013-07-07T00:00:00"/>
    <n v="2013"/>
    <x v="12"/>
    <s v="R"/>
    <s v="RS"/>
    <x v="9"/>
    <s v="MIN"/>
    <s v="A"/>
    <n v="4"/>
    <n v="4"/>
    <n v="0"/>
    <n v="0"/>
    <n v="0"/>
    <n v="0"/>
    <n v="1498.3552592202054"/>
    <n v="1591.9773790193331"/>
    <n v="0.26454555898556892"/>
    <n v="59"/>
    <n v="91"/>
    <n v="0"/>
    <n v="-32"/>
    <n v="0"/>
    <n v="0.67470449175926461"/>
    <n v="1"/>
    <n v="74.05"/>
    <n v="74.05"/>
    <n v="-13.217190196113261"/>
    <n v="1485.1380690240921"/>
    <n v="0"/>
    <n v="1"/>
    <n v="0"/>
    <n v="0"/>
    <n v="0"/>
    <n v="0"/>
    <n v="0"/>
    <n v="0"/>
    <n v="0"/>
    <n v="0"/>
  </r>
  <r>
    <d v="2013-07-07T00:00:00"/>
    <n v="2013"/>
    <x v="10"/>
    <s v="R"/>
    <s v="RS"/>
    <x v="11"/>
    <s v="PHX"/>
    <s v="H"/>
    <n v="4"/>
    <n v="4"/>
    <n v="0"/>
    <n v="0"/>
    <n v="0"/>
    <n v="0"/>
    <n v="1591.9773790193331"/>
    <n v="1498.3552592202054"/>
    <n v="0.73545444101443114"/>
    <n v="91"/>
    <n v="59"/>
    <n v="0"/>
    <n v="32"/>
    <n v="1"/>
    <n v="0.67470449175926461"/>
    <n v="1"/>
    <n v="74.349999999999994"/>
    <n v="74.349999999999994"/>
    <n v="13.270737219190014"/>
    <n v="1605.2481162385232"/>
    <n v="1"/>
    <n v="0"/>
    <n v="0"/>
    <n v="0"/>
    <n v="0"/>
    <n v="0"/>
    <n v="0"/>
    <n v="0"/>
    <n v="0"/>
    <n v="0"/>
  </r>
  <r>
    <d v="2013-07-07T00:00:00"/>
    <n v="2013"/>
    <x v="11"/>
    <s v="R"/>
    <s v="RS"/>
    <x v="8"/>
    <s v="NYL"/>
    <s v="A"/>
    <n v="4"/>
    <n v="2"/>
    <n v="2"/>
    <n v="-2"/>
    <n v="16"/>
    <n v="-16"/>
    <n v="1518.8700491732379"/>
    <n v="1474.5440374636523"/>
    <n v="0.48895803867814486"/>
    <n v="93"/>
    <n v="64"/>
    <n v="0"/>
    <n v="29"/>
    <n v="1"/>
    <n v="0.66673487189525904"/>
    <n v="1"/>
    <n v="74.2"/>
    <n v="74.2"/>
    <n v="25.282128648835151"/>
    <n v="1544.1521778220731"/>
    <n v="1"/>
    <n v="0"/>
    <n v="0"/>
    <n v="0"/>
    <n v="0"/>
    <n v="0"/>
    <n v="0"/>
    <n v="0"/>
    <n v="0"/>
    <n v="0"/>
  </r>
  <r>
    <d v="2013-07-07T00:00:00"/>
    <n v="2013"/>
    <x v="11"/>
    <s v="R"/>
    <s v="RS"/>
    <x v="4"/>
    <s v="CHI"/>
    <s v="H"/>
    <n v="2"/>
    <n v="4"/>
    <n v="-2"/>
    <n v="2"/>
    <n v="-16"/>
    <n v="16"/>
    <n v="1474.5440374636523"/>
    <n v="1518.8700491732379"/>
    <n v="0.51104196132185509"/>
    <n v="64"/>
    <n v="93"/>
    <n v="0"/>
    <n v="-29"/>
    <n v="0"/>
    <n v="0.66673487189525904"/>
    <n v="1"/>
    <n v="74.2"/>
    <n v="74.2"/>
    <n v="-25.282128648835151"/>
    <n v="1449.2619088148172"/>
    <n v="0"/>
    <n v="1"/>
    <n v="0"/>
    <n v="0"/>
    <n v="0"/>
    <n v="0"/>
    <n v="0"/>
    <n v="0"/>
    <n v="0"/>
    <n v="0"/>
  </r>
  <r>
    <d v="2013-07-09T00:00:00"/>
    <n v="2013"/>
    <x v="11"/>
    <s v="R"/>
    <s v="RS"/>
    <x v="3"/>
    <s v="MIN"/>
    <s v="A"/>
    <n v="8"/>
    <n v="1"/>
    <n v="7"/>
    <n v="-7"/>
    <n v="16"/>
    <n v="-16"/>
    <n v="1619.6907301892393"/>
    <n v="1605.2481162385232"/>
    <n v="0.44616012630981583"/>
    <n v="72"/>
    <n v="94"/>
    <n v="0"/>
    <n v="-22"/>
    <n v="0"/>
    <n v="0.59489629010459477"/>
    <n v="1"/>
    <n v="74.2"/>
    <n v="74.2"/>
    <n v="-19.694090091925567"/>
    <n v="1599.9966400973137"/>
    <n v="0"/>
    <n v="1"/>
    <n v="0"/>
    <n v="0"/>
    <n v="0"/>
    <n v="0"/>
    <n v="0"/>
    <n v="0"/>
    <n v="0"/>
    <n v="0"/>
  </r>
  <r>
    <d v="2013-07-09T00:00:00"/>
    <n v="2013"/>
    <x v="11"/>
    <s v="R"/>
    <s v="RS"/>
    <x v="11"/>
    <s v="ATL"/>
    <s v="H"/>
    <n v="1"/>
    <n v="8"/>
    <n v="-7"/>
    <n v="7"/>
    <n v="-16"/>
    <n v="16"/>
    <n v="1605.2481162385232"/>
    <n v="1619.6907301892393"/>
    <n v="0.55383987369018406"/>
    <n v="94"/>
    <n v="72"/>
    <n v="0"/>
    <n v="22"/>
    <n v="1"/>
    <n v="0.59489629010459477"/>
    <n v="1"/>
    <n v="74.2"/>
    <n v="74.2"/>
    <n v="19.694090091925574"/>
    <n v="1624.9422063304487"/>
    <n v="1"/>
    <n v="0"/>
    <n v="0"/>
    <n v="0"/>
    <n v="0"/>
    <n v="0"/>
    <n v="0"/>
    <n v="0"/>
    <n v="0"/>
    <n v="0"/>
  </r>
  <r>
    <d v="2013-07-09T00:00:00"/>
    <n v="2013"/>
    <x v="12"/>
    <s v="R"/>
    <s v="RS"/>
    <x v="6"/>
    <s v="NYL"/>
    <s v="A"/>
    <n v="2"/>
    <n v="1"/>
    <n v="1"/>
    <n v="-1"/>
    <n v="8"/>
    <n v="-8"/>
    <n v="1473.0249154933654"/>
    <n v="1449.2619088148172"/>
    <n v="0.43667965203790954"/>
    <n v="57"/>
    <n v="66"/>
    <n v="0"/>
    <n v="-9"/>
    <n v="0"/>
    <n v="0.39808837979089007"/>
    <n v="1"/>
    <n v="74.05"/>
    <n v="74.05"/>
    <n v="-12.872636897147528"/>
    <n v="1460.1522785962179"/>
    <n v="0"/>
    <n v="1"/>
    <n v="0"/>
    <n v="0"/>
    <n v="0"/>
    <n v="0"/>
    <n v="0"/>
    <n v="0"/>
    <n v="0"/>
    <n v="0"/>
  </r>
  <r>
    <d v="2013-07-09T00:00:00"/>
    <n v="2013"/>
    <x v="12"/>
    <s v="R"/>
    <s v="RS"/>
    <x v="4"/>
    <s v="SEA"/>
    <s v="H"/>
    <n v="1"/>
    <n v="2"/>
    <n v="-1"/>
    <n v="1"/>
    <n v="-8"/>
    <n v="8"/>
    <n v="1449.2619088148172"/>
    <n v="1473.0249154933654"/>
    <n v="0.56332034796209041"/>
    <n v="66"/>
    <n v="57"/>
    <n v="0"/>
    <n v="9"/>
    <n v="1"/>
    <n v="0.39808837979089007"/>
    <n v="1"/>
    <n v="74.05"/>
    <n v="74.05"/>
    <n v="12.87263689714753"/>
    <n v="1462.1345457119646"/>
    <n v="1"/>
    <n v="0"/>
    <n v="0"/>
    <n v="0"/>
    <n v="0"/>
    <n v="0"/>
    <n v="0"/>
    <n v="0"/>
    <n v="0"/>
    <n v="0"/>
  </r>
  <r>
    <d v="2013-07-10T00:00:00"/>
    <n v="2013"/>
    <x v="12"/>
    <s v="R"/>
    <s v="RS"/>
    <x v="10"/>
    <s v="CHI"/>
    <s v="A"/>
    <n v="3"/>
    <n v="2"/>
    <n v="1"/>
    <n v="-1"/>
    <n v="8"/>
    <n v="-8"/>
    <n v="1414.2607468046867"/>
    <n v="1544.1521778220731"/>
    <n v="0.24247560249764019"/>
    <n v="85"/>
    <n v="89"/>
    <n v="0"/>
    <n v="-4"/>
    <n v="0"/>
    <n v="0.28101488074011766"/>
    <n v="1"/>
    <n v="74.05"/>
    <n v="74.05"/>
    <n v="-5.0457116489773401"/>
    <n v="1409.2150351557093"/>
    <n v="0"/>
    <n v="1"/>
    <n v="0"/>
    <n v="0"/>
    <n v="0"/>
    <n v="0"/>
    <n v="0"/>
    <n v="0"/>
    <n v="0"/>
    <n v="0"/>
  </r>
  <r>
    <d v="2013-07-10T00:00:00"/>
    <n v="2013"/>
    <x v="12"/>
    <s v="R"/>
    <s v="RS"/>
    <x v="8"/>
    <s v="WAS"/>
    <s v="H"/>
    <n v="2"/>
    <n v="3"/>
    <n v="-1"/>
    <n v="1"/>
    <n v="-8"/>
    <n v="8"/>
    <n v="1544.1521778220731"/>
    <n v="1414.2607468046867"/>
    <n v="0.75752439750235978"/>
    <n v="89"/>
    <n v="85"/>
    <n v="0"/>
    <n v="4"/>
    <n v="1"/>
    <n v="0.28101488074011766"/>
    <n v="1"/>
    <n v="74.05"/>
    <n v="74.05"/>
    <n v="5.045711648977341"/>
    <n v="1549.1978894710505"/>
    <n v="1"/>
    <n v="0"/>
    <n v="0"/>
    <n v="0"/>
    <n v="0"/>
    <n v="0"/>
    <n v="0"/>
    <n v="0"/>
    <n v="0"/>
    <n v="0"/>
  </r>
  <r>
    <d v="2013-07-10T00:00:00"/>
    <n v="2013"/>
    <x v="11"/>
    <s v="R"/>
    <s v="RS"/>
    <x v="1"/>
    <s v="PHX"/>
    <s v="A"/>
    <n v="3"/>
    <n v="2"/>
    <n v="1"/>
    <n v="-1"/>
    <n v="8"/>
    <n v="-8"/>
    <n v="1446.5220348405333"/>
    <n v="1485.1380690240921"/>
    <n v="0.35120852505129024"/>
    <n v="88"/>
    <n v="80"/>
    <n v="0"/>
    <n v="8"/>
    <n v="1"/>
    <n v="0.37620911496657572"/>
    <n v="1"/>
    <n v="74.2"/>
    <n v="74.2"/>
    <n v="18.110829980852856"/>
    <n v="1464.6328648213862"/>
    <n v="1"/>
    <n v="0"/>
    <n v="0"/>
    <n v="0"/>
    <n v="0"/>
    <n v="0"/>
    <n v="0"/>
    <n v="0"/>
    <n v="0"/>
    <n v="0"/>
  </r>
  <r>
    <d v="2013-07-10T00:00:00"/>
    <n v="2013"/>
    <x v="13"/>
    <s v="R"/>
    <s v="RS"/>
    <x v="9"/>
    <s v="SAS"/>
    <s v="H"/>
    <n v="2"/>
    <n v="3"/>
    <n v="-1"/>
    <n v="1"/>
    <n v="-8"/>
    <n v="8"/>
    <n v="1485.1380690240921"/>
    <n v="1446.5220348405333"/>
    <n v="0.6487914749487097"/>
    <n v="80"/>
    <n v="88"/>
    <n v="0"/>
    <n v="-8"/>
    <n v="0"/>
    <n v="0.37620911496657572"/>
    <n v="1"/>
    <n v="73.900000000000006"/>
    <n v="73.900000000000006"/>
    <n v="-18.037605600876358"/>
    <n v="1467.1004634232158"/>
    <n v="0"/>
    <n v="1"/>
    <n v="0"/>
    <n v="0"/>
    <n v="0"/>
    <n v="0"/>
    <n v="0"/>
    <n v="0"/>
    <n v="0"/>
    <n v="0"/>
  </r>
  <r>
    <d v="2013-07-11T00:00:00"/>
    <n v="2013"/>
    <x v="12"/>
    <s v="R"/>
    <s v="RS"/>
    <x v="11"/>
    <s v="IND"/>
    <s v="A"/>
    <n v="1"/>
    <n v="4"/>
    <n v="-3"/>
    <n v="3"/>
    <n v="-16"/>
    <n v="16"/>
    <n v="1624.9422063304487"/>
    <n v="1517.9333498725293"/>
    <n v="0.48706359203437272"/>
    <n v="69"/>
    <n v="62"/>
    <n v="0"/>
    <n v="7"/>
    <n v="1"/>
    <n v="0.33980535387357813"/>
    <n v="1"/>
    <n v="74.05"/>
    <n v="74.05"/>
    <n v="12.906806711012921"/>
    <n v="1637.8490130414616"/>
    <n v="1"/>
    <n v="0"/>
    <n v="0"/>
    <n v="0"/>
    <n v="0"/>
    <n v="0"/>
    <n v="0"/>
    <n v="0"/>
    <n v="0"/>
    <n v="0"/>
  </r>
  <r>
    <d v="2013-07-11T00:00:00"/>
    <n v="2013"/>
    <x v="11"/>
    <s v="R"/>
    <s v="RS"/>
    <x v="0"/>
    <s v="MIN"/>
    <s v="H"/>
    <n v="4"/>
    <n v="1"/>
    <n v="3"/>
    <n v="-3"/>
    <n v="16"/>
    <n v="-16"/>
    <n v="1517.9333498725293"/>
    <n v="1624.9422063304487"/>
    <n v="0.51293640796562723"/>
    <n v="62"/>
    <n v="69"/>
    <n v="0"/>
    <n v="-7"/>
    <n v="0"/>
    <n v="0.33980535387357813"/>
    <n v="1"/>
    <n v="74.2"/>
    <n v="74.2"/>
    <n v="-12.932951491656429"/>
    <n v="1505.0003983808729"/>
    <n v="0"/>
    <n v="1"/>
    <n v="0"/>
    <n v="0"/>
    <n v="0"/>
    <n v="0"/>
    <n v="0"/>
    <n v="0"/>
    <n v="0"/>
    <n v="0"/>
  </r>
  <r>
    <d v="2013-07-11T00:00:00"/>
    <n v="2013"/>
    <x v="12"/>
    <s v="R"/>
    <s v="RS"/>
    <x v="7"/>
    <s v="TUL"/>
    <s v="A"/>
    <n v="4"/>
    <n v="8"/>
    <n v="-4"/>
    <n v="4"/>
    <n v="-16"/>
    <n v="16"/>
    <n v="1603.8554957652275"/>
    <n v="1377.922340571715"/>
    <n v="0.65312999780066083"/>
    <n v="94"/>
    <n v="78"/>
    <n v="0"/>
    <n v="16"/>
    <n v="1"/>
    <n v="0.4357449972132475"/>
    <n v="1"/>
    <n v="74.05"/>
    <n v="74.05"/>
    <n v="11.192425585893639"/>
    <n v="1615.0479213511212"/>
    <n v="1"/>
    <n v="0"/>
    <n v="0"/>
    <n v="0"/>
    <n v="0"/>
    <n v="0"/>
    <n v="0"/>
    <n v="0"/>
    <n v="0"/>
    <n v="0"/>
  </r>
  <r>
    <d v="2013-07-11T00:00:00"/>
    <n v="2013"/>
    <x v="14"/>
    <s v="R"/>
    <s v="RS"/>
    <x v="2"/>
    <s v="LAS"/>
    <s v="H"/>
    <n v="8"/>
    <n v="4"/>
    <n v="4"/>
    <n v="-4"/>
    <n v="16"/>
    <n v="-16"/>
    <n v="1377.922340571715"/>
    <n v="1603.8554957652275"/>
    <n v="0.34687000219933917"/>
    <n v="78"/>
    <n v="94"/>
    <n v="0"/>
    <n v="-16"/>
    <n v="0"/>
    <n v="0.4357449972132475"/>
    <n v="1"/>
    <n v="73.75"/>
    <n v="73.75"/>
    <n v="-11.147081525451126"/>
    <n v="1366.775259046264"/>
    <n v="0"/>
    <n v="1"/>
    <n v="0"/>
    <n v="0"/>
    <n v="0"/>
    <n v="0"/>
    <n v="0"/>
    <n v="0"/>
    <n v="0"/>
    <n v="0"/>
  </r>
  <r>
    <d v="2013-07-12T00:00:00"/>
    <n v="2013"/>
    <x v="13"/>
    <s v="R"/>
    <s v="RS"/>
    <x v="8"/>
    <s v="CON"/>
    <s v="A"/>
    <n v="1"/>
    <n v="5"/>
    <n v="-4"/>
    <n v="4"/>
    <n v="-16"/>
    <n v="16"/>
    <n v="1549.1978894710505"/>
    <n v="1467.4363845627606"/>
    <n v="0.45088573094205109"/>
    <n v="83"/>
    <n v="70"/>
    <n v="0"/>
    <n v="13"/>
    <n v="1"/>
    <n v="0.44193284367474489"/>
    <n v="1"/>
    <n v="73.900000000000006"/>
    <n v="73.900000000000006"/>
    <n v="17.933433488567005"/>
    <n v="1567.1313229596176"/>
    <n v="1"/>
    <n v="0"/>
    <n v="0"/>
    <n v="0"/>
    <n v="0"/>
    <n v="0"/>
    <n v="0"/>
    <n v="0"/>
    <n v="0"/>
    <n v="0"/>
  </r>
  <r>
    <d v="2013-07-12T00:00:00"/>
    <n v="2013"/>
    <x v="11"/>
    <s v="R"/>
    <s v="RS"/>
    <x v="5"/>
    <s v="CHI"/>
    <s v="H"/>
    <n v="5"/>
    <n v="1"/>
    <n v="4"/>
    <n v="-4"/>
    <n v="16"/>
    <n v="-16"/>
    <n v="1467.4363845627606"/>
    <n v="1549.1978894710505"/>
    <n v="0.54911426905794891"/>
    <n v="70"/>
    <n v="83"/>
    <n v="0"/>
    <n v="-13"/>
    <n v="0"/>
    <n v="0.44193284367474489"/>
    <n v="1"/>
    <n v="74.2"/>
    <n v="74.2"/>
    <n v="-18.006234977695151"/>
    <n v="1449.4301495850655"/>
    <n v="0"/>
    <n v="1"/>
    <n v="0"/>
    <n v="0"/>
    <n v="0"/>
    <n v="0"/>
    <n v="0"/>
    <n v="0"/>
    <n v="0"/>
    <n v="0"/>
  </r>
  <r>
    <d v="2013-07-12T00:00:00"/>
    <n v="2013"/>
    <x v="13"/>
    <s v="R"/>
    <s v="RS"/>
    <x v="10"/>
    <s v="SAS"/>
    <s v="A"/>
    <n v="1"/>
    <n v="1"/>
    <n v="0"/>
    <n v="0"/>
    <n v="0"/>
    <n v="0"/>
    <n v="1409.2150351557093"/>
    <n v="1464.6328648213862"/>
    <n v="0.30947955690006451"/>
    <n v="83"/>
    <n v="73"/>
    <n v="0"/>
    <n v="10"/>
    <n v="1"/>
    <n v="0.40445151183965439"/>
    <n v="1"/>
    <n v="73.900000000000006"/>
    <n v="73.900000000000006"/>
    <n v="20.638942546712016"/>
    <n v="1429.8539777024214"/>
    <n v="1"/>
    <n v="0"/>
    <n v="0"/>
    <n v="0"/>
    <n v="0"/>
    <n v="0"/>
    <n v="0"/>
    <n v="0"/>
    <n v="0"/>
    <n v="0"/>
  </r>
  <r>
    <d v="2013-07-12T00:00:00"/>
    <n v="2013"/>
    <x v="12"/>
    <s v="R"/>
    <s v="RS"/>
    <x v="1"/>
    <s v="WAS"/>
    <s v="H"/>
    <n v="1"/>
    <n v="1"/>
    <n v="0"/>
    <n v="0"/>
    <n v="0"/>
    <n v="0"/>
    <n v="1464.6328648213862"/>
    <n v="1409.2150351557093"/>
    <n v="0.69052044309993543"/>
    <n v="73"/>
    <n v="83"/>
    <n v="0"/>
    <n v="-10"/>
    <n v="0"/>
    <n v="0.40445151183965439"/>
    <n v="1"/>
    <n v="74.05"/>
    <n v="74.05"/>
    <n v="-20.680834852287209"/>
    <n v="1443.9520299690989"/>
    <n v="0"/>
    <n v="1"/>
    <n v="0"/>
    <n v="0"/>
    <n v="0"/>
    <n v="0"/>
    <n v="0"/>
    <n v="0"/>
    <n v="0"/>
    <n v="0"/>
  </r>
  <r>
    <d v="2013-07-13T00:00:00"/>
    <n v="2013"/>
    <x v="12"/>
    <s v="R"/>
    <s v="RS"/>
    <x v="0"/>
    <s v="NYL"/>
    <s v="A"/>
    <n v="1"/>
    <n v="3"/>
    <n v="-2"/>
    <n v="2"/>
    <n v="-16"/>
    <n v="16"/>
    <n v="1505.0003983808729"/>
    <n v="1462.1345457119646"/>
    <n v="0.39627892068410925"/>
    <n v="74"/>
    <n v="53"/>
    <n v="0"/>
    <n v="21"/>
    <n v="1"/>
    <n v="0.56827657289658939"/>
    <n v="1"/>
    <n v="74.05"/>
    <n v="74.05"/>
    <n v="25.405114426787716"/>
    <n v="1530.4055128076607"/>
    <n v="1"/>
    <n v="0"/>
    <n v="0"/>
    <n v="0"/>
    <n v="0"/>
    <n v="0"/>
    <n v="0"/>
    <n v="0"/>
    <n v="0"/>
    <n v="0"/>
  </r>
  <r>
    <d v="2013-07-13T00:00:00"/>
    <n v="2013"/>
    <x v="13"/>
    <s v="R"/>
    <s v="RS"/>
    <x v="4"/>
    <s v="IND"/>
    <s v="H"/>
    <n v="3"/>
    <n v="1"/>
    <n v="2"/>
    <n v="-2"/>
    <n v="16"/>
    <n v="-16"/>
    <n v="1462.1345457119646"/>
    <n v="1505.0003983808729"/>
    <n v="0.60372107931589081"/>
    <n v="53"/>
    <n v="74"/>
    <n v="0"/>
    <n v="-21"/>
    <n v="0"/>
    <n v="0.56827657289658939"/>
    <n v="1"/>
    <n v="73.900000000000006"/>
    <n v="73.900000000000006"/>
    <n v="-25.353652344896865"/>
    <n v="1436.7808933670678"/>
    <n v="0"/>
    <n v="1"/>
    <n v="0"/>
    <n v="0"/>
    <n v="0"/>
    <n v="0"/>
    <n v="0"/>
    <n v="0"/>
    <n v="0"/>
    <n v="0"/>
  </r>
  <r>
    <d v="2013-07-13T00:00:00"/>
    <n v="2013"/>
    <x v="13"/>
    <s v="R"/>
    <s v="RS"/>
    <x v="11"/>
    <s v="TUL"/>
    <s v="A"/>
    <n v="1"/>
    <n v="1"/>
    <n v="0"/>
    <n v="0"/>
    <n v="0"/>
    <n v="0"/>
    <n v="1637.8490130414616"/>
    <n v="1366.775259046264"/>
    <n v="0.74590368459562728"/>
    <n v="86"/>
    <n v="75"/>
    <n v="0"/>
    <n v="11"/>
    <n v="1"/>
    <n v="0.35878769699733265"/>
    <n v="1"/>
    <n v="73.900000000000006"/>
    <n v="73.900000000000006"/>
    <n v="6.7372140914568197"/>
    <n v="1644.5862271329183"/>
    <n v="1"/>
    <n v="0"/>
    <n v="0"/>
    <n v="0"/>
    <n v="0"/>
    <n v="0"/>
    <n v="0"/>
    <n v="0"/>
    <n v="0"/>
    <n v="0"/>
  </r>
  <r>
    <d v="2013-07-13T00:00:00"/>
    <n v="2013"/>
    <x v="15"/>
    <s v="R"/>
    <s v="RS"/>
    <x v="2"/>
    <s v="MIN"/>
    <s v="H"/>
    <n v="1"/>
    <n v="1"/>
    <n v="0"/>
    <n v="0"/>
    <n v="0"/>
    <n v="0"/>
    <n v="1366.775259046264"/>
    <n v="1637.8490130414616"/>
    <n v="0.25409631540437272"/>
    <n v="75"/>
    <n v="86"/>
    <n v="0"/>
    <n v="-11"/>
    <n v="0"/>
    <n v="0.35878769699733265"/>
    <n v="1"/>
    <n v="73.599999999999994"/>
    <n v="73.599999999999994"/>
    <n v="-6.7098641019109859"/>
    <n v="1360.0653949443529"/>
    <n v="0"/>
    <n v="1"/>
    <n v="0"/>
    <n v="0"/>
    <n v="0"/>
    <n v="0"/>
    <n v="0"/>
    <n v="0"/>
    <n v="0"/>
    <n v="0"/>
  </r>
  <r>
    <d v="2013-07-14T00:00:00"/>
    <n v="2013"/>
    <x v="13"/>
    <s v="R"/>
    <s v="RS"/>
    <x v="1"/>
    <s v="CON"/>
    <s v="A"/>
    <n v="1"/>
    <n v="1"/>
    <n v="0"/>
    <n v="0"/>
    <n v="0"/>
    <n v="0"/>
    <n v="1443.9520299690989"/>
    <n v="1449.4301495850655"/>
    <n v="0.37400400651257687"/>
    <n v="84"/>
    <n v="86"/>
    <n v="0"/>
    <n v="-2"/>
    <n v="0"/>
    <n v="0.26662415496516556"/>
    <n v="1"/>
    <n v="73.900000000000006"/>
    <n v="73.900000000000006"/>
    <n v="-7.3691973118411553"/>
    <n v="1436.5828326572578"/>
    <n v="0"/>
    <n v="1"/>
    <n v="0"/>
    <n v="0"/>
    <n v="0"/>
    <n v="0"/>
    <n v="0"/>
    <n v="0"/>
    <n v="0"/>
    <n v="0"/>
  </r>
  <r>
    <d v="2013-07-14T00:00:00"/>
    <n v="2013"/>
    <x v="12"/>
    <s v="R"/>
    <s v="RS"/>
    <x v="5"/>
    <s v="SAS"/>
    <s v="H"/>
    <n v="1"/>
    <n v="1"/>
    <n v="0"/>
    <n v="0"/>
    <n v="0"/>
    <n v="0"/>
    <n v="1449.4301495850655"/>
    <n v="1443.9520299690989"/>
    <n v="0.62599599348742307"/>
    <n v="86"/>
    <n v="84"/>
    <n v="0"/>
    <n v="2"/>
    <n v="1"/>
    <n v="0.26662415496516556"/>
    <n v="1"/>
    <n v="74.05"/>
    <n v="74.05"/>
    <n v="7.3841550871696553"/>
    <n v="1456.814304672235"/>
    <n v="1"/>
    <n v="0"/>
    <n v="0"/>
    <n v="0"/>
    <n v="0"/>
    <n v="0"/>
    <n v="0"/>
    <n v="0"/>
    <n v="0"/>
    <n v="0"/>
  </r>
  <r>
    <d v="2013-07-14T00:00:00"/>
    <n v="2013"/>
    <x v="13"/>
    <s v="R"/>
    <s v="RS"/>
    <x v="7"/>
    <s v="PHX"/>
    <s v="A"/>
    <n v="2"/>
    <n v="3"/>
    <n v="-1"/>
    <n v="1"/>
    <n v="-8"/>
    <n v="8"/>
    <n v="1615.0479213511212"/>
    <n v="1467.1004634232158"/>
    <n v="0.5685672012902393"/>
    <n v="88"/>
    <n v="76"/>
    <n v="0"/>
    <n v="12"/>
    <n v="1"/>
    <n v="0.40606577687624085"/>
    <n v="1"/>
    <n v="73.900000000000006"/>
    <n v="73.900000000000006"/>
    <n v="12.94654798931197"/>
    <n v="1627.9944693404332"/>
    <n v="1"/>
    <n v="0"/>
    <n v="0"/>
    <n v="0"/>
    <n v="0"/>
    <n v="0"/>
    <n v="0"/>
    <n v="0"/>
    <n v="0"/>
    <n v="0"/>
  </r>
  <r>
    <d v="2013-07-14T00:00:00"/>
    <n v="2013"/>
    <x v="14"/>
    <s v="R"/>
    <s v="RS"/>
    <x v="9"/>
    <s v="LAS"/>
    <s v="H"/>
    <n v="3"/>
    <n v="2"/>
    <n v="1"/>
    <n v="-1"/>
    <n v="8"/>
    <n v="-8"/>
    <n v="1467.1004634232158"/>
    <n v="1615.0479213511212"/>
    <n v="0.4314327987097607"/>
    <n v="76"/>
    <n v="88"/>
    <n v="0"/>
    <n v="-12"/>
    <n v="0"/>
    <n v="0.40606577687624085"/>
    <n v="1"/>
    <n v="73.75"/>
    <n v="73.75"/>
    <n v="-12.920269475125275"/>
    <n v="1454.1801939480906"/>
    <n v="0"/>
    <n v="1"/>
    <n v="0"/>
    <n v="0"/>
    <n v="0"/>
    <n v="0"/>
    <n v="0"/>
    <n v="0"/>
    <n v="0"/>
    <n v="0"/>
  </r>
  <r>
    <d v="2013-07-14T00:00:00"/>
    <n v="2013"/>
    <x v="12"/>
    <s v="R"/>
    <s v="RS"/>
    <x v="3"/>
    <s v="SEA"/>
    <s v="A"/>
    <n v="4"/>
    <n v="4"/>
    <n v="0"/>
    <n v="0"/>
    <n v="0"/>
    <n v="0"/>
    <n v="1599.9966400973137"/>
    <n v="1460.1522785962179"/>
    <n v="0.57968148251654394"/>
    <n v="65"/>
    <n v="73"/>
    <n v="0"/>
    <n v="-8"/>
    <n v="0"/>
    <n v="0.34778564988066751"/>
    <n v="1"/>
    <n v="74.05"/>
    <n v="74.05"/>
    <n v="-14.928842927995612"/>
    <n v="1585.0677971693181"/>
    <n v="0"/>
    <n v="1"/>
    <n v="0"/>
    <n v="0"/>
    <n v="0"/>
    <n v="0"/>
    <n v="0"/>
    <n v="0"/>
    <n v="0"/>
    <n v="0"/>
  </r>
  <r>
    <d v="2013-07-14T00:00:00"/>
    <n v="2013"/>
    <x v="13"/>
    <s v="R"/>
    <s v="RS"/>
    <x v="6"/>
    <s v="ATL"/>
    <s v="H"/>
    <n v="4"/>
    <n v="4"/>
    <n v="0"/>
    <n v="0"/>
    <n v="0"/>
    <n v="0"/>
    <n v="1460.1522785962179"/>
    <n v="1599.9966400973137"/>
    <n v="0.420318517483456"/>
    <n v="73"/>
    <n v="65"/>
    <n v="0"/>
    <n v="8"/>
    <n v="1"/>
    <n v="0.34778564988066751"/>
    <n v="1"/>
    <n v="73.900000000000006"/>
    <n v="73.900000000000006"/>
    <n v="14.898602192827493"/>
    <n v="1475.0508807890453"/>
    <n v="1"/>
    <n v="0"/>
    <n v="0"/>
    <n v="0"/>
    <n v="0"/>
    <n v="0"/>
    <n v="0"/>
    <n v="0"/>
    <n v="0"/>
    <n v="0"/>
  </r>
  <r>
    <d v="2013-07-16T00:00:00"/>
    <n v="2013"/>
    <x v="14"/>
    <s v="R"/>
    <s v="RS"/>
    <x v="1"/>
    <s v="WAS"/>
    <s v="A"/>
    <n v="1"/>
    <n v="3"/>
    <n v="-2"/>
    <n v="2"/>
    <n v="-16"/>
    <n v="16"/>
    <n v="1436.5828326572578"/>
    <n v="1429.8539777024214"/>
    <n v="0.3477338549106358"/>
    <n v="64"/>
    <n v="86"/>
    <n v="0"/>
    <n v="-22"/>
    <n v="0"/>
    <n v="0.59869903882529352"/>
    <n v="1"/>
    <n v="73.75"/>
    <n v="73.75"/>
    <n v="-15.353859446773365"/>
    <n v="1421.2289732104844"/>
    <n v="0"/>
    <n v="1"/>
    <n v="0"/>
    <n v="0"/>
    <n v="0"/>
    <n v="0"/>
    <n v="0"/>
    <n v="0"/>
    <n v="0"/>
    <n v="0"/>
  </r>
  <r>
    <d v="2013-07-16T00:00:00"/>
    <n v="2013"/>
    <x v="14"/>
    <s v="R"/>
    <s v="RS"/>
    <x v="10"/>
    <s v="SAS"/>
    <s v="H"/>
    <n v="3"/>
    <n v="1"/>
    <n v="2"/>
    <n v="-2"/>
    <n v="16"/>
    <n v="-16"/>
    <n v="1429.8539777024214"/>
    <n v="1436.5828326572578"/>
    <n v="0.6522661450893642"/>
    <n v="86"/>
    <n v="64"/>
    <n v="0"/>
    <n v="22"/>
    <n v="1"/>
    <n v="0.59869903882529352"/>
    <n v="1"/>
    <n v="73.75"/>
    <n v="73.75"/>
    <n v="15.353859446773365"/>
    <n v="1445.2078371491948"/>
    <n v="1"/>
    <n v="0"/>
    <n v="0"/>
    <n v="0"/>
    <n v="0"/>
    <n v="0"/>
    <n v="0"/>
    <n v="0"/>
    <n v="0"/>
    <n v="0"/>
  </r>
  <r>
    <d v="2013-07-17T00:00:00"/>
    <n v="2013"/>
    <x v="13"/>
    <s v="R"/>
    <s v="RS"/>
    <x v="3"/>
    <s v="LAS"/>
    <s v="A"/>
    <n v="2"/>
    <n v="2"/>
    <n v="0"/>
    <n v="0"/>
    <n v="0"/>
    <n v="0"/>
    <n v="1585.0677971693181"/>
    <n v="1627.9944693404332"/>
    <n v="0.32505240000340063"/>
    <n v="73"/>
    <n v="77"/>
    <n v="0"/>
    <n v="-4"/>
    <n v="0"/>
    <n v="0.30067685427640806"/>
    <n v="1"/>
    <n v="73.900000000000006"/>
    <n v="73.900000000000006"/>
    <n v="-7.2226706766826192"/>
    <n v="1577.8451264926355"/>
    <n v="0"/>
    <n v="1"/>
    <n v="0"/>
    <n v="0"/>
    <n v="0"/>
    <n v="0"/>
    <n v="0"/>
    <n v="0"/>
    <n v="0"/>
    <n v="0"/>
  </r>
  <r>
    <d v="2013-07-17T00:00:00"/>
    <n v="2013"/>
    <x v="14"/>
    <s v="R"/>
    <s v="RS"/>
    <x v="7"/>
    <s v="ATL"/>
    <s v="H"/>
    <n v="2"/>
    <n v="2"/>
    <n v="0"/>
    <n v="0"/>
    <n v="0"/>
    <n v="0"/>
    <n v="1627.9944693404332"/>
    <n v="1585.0677971693181"/>
    <n v="0.67494759999659937"/>
    <n v="77"/>
    <n v="73"/>
    <n v="0"/>
    <n v="4"/>
    <n v="1"/>
    <n v="0.30067685427640806"/>
    <n v="1"/>
    <n v="73.75"/>
    <n v="73.75"/>
    <n v="7.2080103167164156"/>
    <n v="1635.2024796571495"/>
    <n v="1"/>
    <n v="0"/>
    <n v="0"/>
    <n v="0"/>
    <n v="0"/>
    <n v="0"/>
    <n v="0"/>
    <n v="0"/>
    <n v="0"/>
    <n v="0"/>
  </r>
  <r>
    <d v="2013-07-17T00:00:00"/>
    <n v="2013"/>
    <x v="16"/>
    <s v="R"/>
    <s v="RS"/>
    <x v="2"/>
    <s v="SEA"/>
    <s v="A"/>
    <n v="3"/>
    <n v="2"/>
    <n v="1"/>
    <n v="-1"/>
    <n v="8"/>
    <n v="-8"/>
    <n v="1360.0653949443529"/>
    <n v="1475.0508807890453"/>
    <n v="0.25858249474931316"/>
    <n v="86"/>
    <n v="59"/>
    <n v="0"/>
    <n v="27"/>
    <n v="1"/>
    <n v="0.60837173384169541"/>
    <n v="1"/>
    <n v="73.45"/>
    <n v="73.45"/>
    <n v="33.130169935332432"/>
    <n v="1393.1955648796852"/>
    <n v="1"/>
    <n v="0"/>
    <n v="0"/>
    <n v="0"/>
    <n v="0"/>
    <n v="0"/>
    <n v="0"/>
    <n v="0"/>
    <n v="0"/>
    <n v="0"/>
  </r>
  <r>
    <d v="2013-07-17T00:00:00"/>
    <n v="2013"/>
    <x v="14"/>
    <s v="R"/>
    <s v="RS"/>
    <x v="6"/>
    <s v="TUL"/>
    <s v="H"/>
    <n v="2"/>
    <n v="3"/>
    <n v="-1"/>
    <n v="1"/>
    <n v="-8"/>
    <n v="8"/>
    <n v="1475.0508807890453"/>
    <n v="1360.0653949443529"/>
    <n v="0.74141750525068684"/>
    <n v="59"/>
    <n v="86"/>
    <n v="0"/>
    <n v="-27"/>
    <n v="0"/>
    <n v="0.60837173384169541"/>
    <n v="1"/>
    <n v="73.75"/>
    <n v="73.75"/>
    <n v="-33.265487171283418"/>
    <n v="1441.7853936177619"/>
    <n v="0"/>
    <n v="1"/>
    <n v="0"/>
    <n v="0"/>
    <n v="0"/>
    <n v="0"/>
    <n v="0"/>
    <n v="0"/>
    <n v="0"/>
    <n v="0"/>
  </r>
  <r>
    <d v="2013-07-18T00:00:00"/>
    <n v="2013"/>
    <x v="15"/>
    <s v="R"/>
    <s v="RS"/>
    <x v="9"/>
    <s v="LAS"/>
    <s v="A"/>
    <n v="3"/>
    <n v="0"/>
    <n v="3"/>
    <n v="-3"/>
    <n v="16"/>
    <n v="-16"/>
    <n v="1454.1801939480906"/>
    <n v="1635.2024796571495"/>
    <n v="0.20728253538766922"/>
    <n v="90"/>
    <n v="84"/>
    <n v="0"/>
    <n v="6"/>
    <n v="1"/>
    <n v="0.3052354170322169"/>
    <n v="1"/>
    <n v="73.599999999999994"/>
    <n v="73.599999999999994"/>
    <n v="17.808656818215447"/>
    <n v="1471.9888507663061"/>
    <n v="1"/>
    <n v="0"/>
    <n v="0"/>
    <n v="0"/>
    <n v="0"/>
    <n v="0"/>
    <n v="0"/>
    <n v="0"/>
    <n v="0"/>
    <n v="0"/>
  </r>
  <r>
    <d v="2013-07-18T00:00:00"/>
    <n v="2013"/>
    <x v="15"/>
    <s v="R"/>
    <s v="RS"/>
    <x v="7"/>
    <s v="PHX"/>
    <s v="H"/>
    <n v="0"/>
    <n v="3"/>
    <n v="-3"/>
    <n v="3"/>
    <n v="-16"/>
    <n v="16"/>
    <n v="1635.2024796571495"/>
    <n v="1454.1801939480906"/>
    <n v="0.79271746461233072"/>
    <n v="84"/>
    <n v="90"/>
    <n v="0"/>
    <n v="-6"/>
    <n v="0"/>
    <n v="0.3052354170322169"/>
    <n v="1"/>
    <n v="73.599999999999994"/>
    <n v="73.599999999999994"/>
    <n v="-17.808656818215447"/>
    <n v="1617.3938228389341"/>
    <n v="0"/>
    <n v="1"/>
    <n v="0"/>
    <n v="0"/>
    <n v="0"/>
    <n v="0"/>
    <n v="0"/>
    <n v="0"/>
    <n v="0"/>
    <n v="0"/>
  </r>
  <r>
    <d v="2013-07-18T00:00:00"/>
    <n v="2013"/>
    <x v="14"/>
    <s v="R"/>
    <s v="RS"/>
    <x v="8"/>
    <s v="NYL"/>
    <s v="A"/>
    <n v="5"/>
    <n v="4"/>
    <n v="1"/>
    <n v="-1"/>
    <n v="8"/>
    <n v="-8"/>
    <n v="1567.1313229596176"/>
    <n v="1436.7808933670678"/>
    <n v="0.5887784688315999"/>
    <n v="75"/>
    <n v="55"/>
    <n v="0"/>
    <n v="20"/>
    <n v="1"/>
    <n v="0.51855873113213802"/>
    <n v="1"/>
    <n v="73.75"/>
    <n v="73.75"/>
    <n v="15.726635511996413"/>
    <n v="1582.857958471614"/>
    <n v="1"/>
    <n v="0"/>
    <n v="0"/>
    <n v="0"/>
    <n v="0"/>
    <n v="0"/>
    <n v="0"/>
    <n v="0"/>
    <n v="0"/>
    <n v="0"/>
  </r>
  <r>
    <d v="2013-07-18T00:00:00"/>
    <n v="2013"/>
    <x v="14"/>
    <s v="R"/>
    <s v="RS"/>
    <x v="4"/>
    <s v="CHI"/>
    <s v="H"/>
    <n v="4"/>
    <n v="5"/>
    <n v="-1"/>
    <n v="1"/>
    <n v="-8"/>
    <n v="8"/>
    <n v="1436.7808933670678"/>
    <n v="1567.1313229596176"/>
    <n v="0.41122153116840016"/>
    <n v="55"/>
    <n v="75"/>
    <n v="0"/>
    <n v="-20"/>
    <n v="0"/>
    <n v="0.51855873113213802"/>
    <n v="1"/>
    <n v="73.75"/>
    <n v="73.75"/>
    <n v="-15.726635511996415"/>
    <n v="1421.0542578550715"/>
    <n v="0"/>
    <n v="1"/>
    <n v="0"/>
    <n v="0"/>
    <n v="0"/>
    <n v="0"/>
    <n v="0"/>
    <n v="0"/>
    <n v="0"/>
    <n v="0"/>
  </r>
  <r>
    <d v="2013-07-19T00:00:00"/>
    <n v="2013"/>
    <x v="15"/>
    <s v="R"/>
    <s v="RS"/>
    <x v="10"/>
    <s v="IND"/>
    <s v="A"/>
    <n v="2"/>
    <n v="5"/>
    <n v="-3"/>
    <n v="3"/>
    <n v="-16"/>
    <n v="16"/>
    <n v="1445.2078371491948"/>
    <n v="1530.4055128076607"/>
    <n v="0.23899688699833094"/>
    <n v="70"/>
    <n v="77"/>
    <n v="0"/>
    <n v="-7"/>
    <n v="0"/>
    <n v="0.34557221460662579"/>
    <n v="1"/>
    <n v="73.599999999999994"/>
    <n v="73.599999999999994"/>
    <n v="-6.0786743073739595"/>
    <n v="1439.1291628418207"/>
    <n v="0"/>
    <n v="1"/>
    <n v="0"/>
    <n v="0"/>
    <n v="0"/>
    <n v="0"/>
    <n v="0"/>
    <n v="0"/>
    <n v="0"/>
    <n v="0"/>
  </r>
  <r>
    <d v="2013-07-19T00:00:00"/>
    <n v="2013"/>
    <x v="13"/>
    <s v="R"/>
    <s v="RS"/>
    <x v="0"/>
    <s v="WAS"/>
    <s v="H"/>
    <n v="5"/>
    <n v="2"/>
    <n v="3"/>
    <n v="-3"/>
    <n v="16"/>
    <n v="-16"/>
    <n v="1530.4055128076607"/>
    <n v="1445.2078371491948"/>
    <n v="0.76100311300166901"/>
    <n v="77"/>
    <n v="70"/>
    <n v="0"/>
    <n v="7"/>
    <n v="1"/>
    <n v="0.34557221460662579"/>
    <n v="1"/>
    <n v="73.900000000000006"/>
    <n v="73.900000000000006"/>
    <n v="6.1034515124311923"/>
    <n v="1536.5089643200918"/>
    <n v="1"/>
    <n v="0"/>
    <n v="0"/>
    <n v="0"/>
    <n v="0"/>
    <n v="0"/>
    <n v="0"/>
    <n v="0"/>
    <n v="0"/>
    <n v="0"/>
  </r>
  <r>
    <d v="2013-07-19T00:00:00"/>
    <n v="2013"/>
    <x v="14"/>
    <s v="R"/>
    <s v="RS"/>
    <x v="11"/>
    <s v="SAS"/>
    <s v="A"/>
    <n v="5"/>
    <n v="2"/>
    <n v="3"/>
    <n v="-3"/>
    <n v="16"/>
    <n v="-16"/>
    <n v="1644.5862271329183"/>
    <n v="1421.2289732104844"/>
    <n v="0.72837857291678887"/>
    <n v="87"/>
    <n v="71"/>
    <n v="0"/>
    <n v="16"/>
    <n v="1"/>
    <n v="0.43653358074636572"/>
    <n v="1"/>
    <n v="73.75"/>
    <n v="73.75"/>
    <n v="8.7446757201903118"/>
    <n v="1653.3309028531087"/>
    <n v="1"/>
    <n v="0"/>
    <n v="0"/>
    <n v="0"/>
    <n v="0"/>
    <n v="0"/>
    <n v="0"/>
    <n v="0"/>
    <n v="0"/>
    <n v="0"/>
  </r>
  <r>
    <d v="2013-07-19T00:00:00"/>
    <n v="2013"/>
    <x v="15"/>
    <s v="R"/>
    <s v="RS"/>
    <x v="1"/>
    <s v="MIN"/>
    <s v="H"/>
    <n v="2"/>
    <n v="5"/>
    <n v="-3"/>
    <n v="3"/>
    <n v="-16"/>
    <n v="16"/>
    <n v="1421.2289732104844"/>
    <n v="1644.5862271329183"/>
    <n v="0.27162142708321108"/>
    <n v="71"/>
    <n v="87"/>
    <n v="0"/>
    <n v="-16"/>
    <n v="0"/>
    <n v="0.43653358074636572"/>
    <n v="1"/>
    <n v="73.599999999999994"/>
    <n v="73.599999999999994"/>
    <n v="-8.7268899390644989"/>
    <n v="1412.5020832714199"/>
    <n v="0"/>
    <n v="1"/>
    <n v="0"/>
    <n v="0"/>
    <n v="0"/>
    <n v="0"/>
    <n v="0"/>
    <n v="0"/>
    <n v="0"/>
    <n v="0"/>
  </r>
  <r>
    <d v="2013-07-19T00:00:00"/>
    <n v="2013"/>
    <x v="13"/>
    <s v="R"/>
    <s v="RS"/>
    <x v="5"/>
    <s v="TUL"/>
    <s v="A"/>
    <n v="4"/>
    <n v="1"/>
    <n v="3"/>
    <n v="-3"/>
    <n v="16"/>
    <n v="-16"/>
    <n v="1456.814304672235"/>
    <n v="1393.1955648796852"/>
    <n v="0.51671448035724865"/>
    <n v="58"/>
    <n v="64"/>
    <n v="0"/>
    <n v="-6"/>
    <n v="0"/>
    <n v="0.333595015675689"/>
    <n v="1"/>
    <n v="73.900000000000006"/>
    <n v="73.900000000000006"/>
    <n v="-12.738392425405296"/>
    <n v="1444.0759122468298"/>
    <n v="0"/>
    <n v="1"/>
    <n v="0"/>
    <n v="0"/>
    <n v="0"/>
    <n v="0"/>
    <n v="0"/>
    <n v="0"/>
    <n v="0"/>
    <n v="0"/>
  </r>
  <r>
    <d v="2013-07-19T00:00:00"/>
    <n v="2013"/>
    <x v="17"/>
    <s v="R"/>
    <s v="RS"/>
    <x v="2"/>
    <s v="CON"/>
    <s v="H"/>
    <n v="1"/>
    <n v="4"/>
    <n v="-3"/>
    <n v="3"/>
    <n v="-16"/>
    <n v="16"/>
    <n v="1393.1955648796852"/>
    <n v="1456.814304672235"/>
    <n v="0.48328551964275135"/>
    <n v="64"/>
    <n v="58"/>
    <n v="0"/>
    <n v="6"/>
    <n v="1"/>
    <n v="0.333595015675689"/>
    <n v="1"/>
    <n v="73.3"/>
    <n v="73.3"/>
    <n v="12.634968400300515"/>
    <n v="1405.8305332799857"/>
    <n v="1"/>
    <n v="0"/>
    <n v="0"/>
    <n v="0"/>
    <n v="0"/>
    <n v="0"/>
    <n v="0"/>
    <n v="0"/>
    <n v="0"/>
    <n v="0"/>
  </r>
  <r>
    <d v="2013-07-20T00:00:00"/>
    <n v="2013"/>
    <x v="15"/>
    <s v="R"/>
    <s v="RS"/>
    <x v="4"/>
    <s v="CHI"/>
    <s v="A"/>
    <n v="1"/>
    <n v="1"/>
    <n v="0"/>
    <n v="0"/>
    <n v="0"/>
    <n v="0"/>
    <n v="1421.0542578550715"/>
    <n v="1582.857958471614"/>
    <n v="0.19545293752167087"/>
    <n v="69"/>
    <n v="80"/>
    <n v="0"/>
    <n v="-11"/>
    <n v="0"/>
    <n v="0.387576538432228"/>
    <n v="1"/>
    <n v="73.599999999999994"/>
    <n v="73.599999999999994"/>
    <n v="-5.5754188091979957"/>
    <n v="1415.4788390458734"/>
    <n v="0"/>
    <n v="1"/>
    <n v="0"/>
    <n v="0"/>
    <n v="0"/>
    <n v="0"/>
    <n v="0"/>
    <n v="0"/>
    <n v="0"/>
    <n v="0"/>
  </r>
  <r>
    <d v="2013-07-20T00:00:00"/>
    <n v="2013"/>
    <x v="15"/>
    <s v="R"/>
    <s v="RS"/>
    <x v="8"/>
    <s v="NYL"/>
    <s v="H"/>
    <n v="1"/>
    <n v="1"/>
    <n v="0"/>
    <n v="0"/>
    <n v="0"/>
    <n v="0"/>
    <n v="1582.857958471614"/>
    <n v="1421.0542578550715"/>
    <n v="0.80454706247832908"/>
    <n v="80"/>
    <n v="69"/>
    <n v="0"/>
    <n v="11"/>
    <n v="1"/>
    <n v="0.387576538432228"/>
    <n v="1"/>
    <n v="73.599999999999994"/>
    <n v="73.599999999999994"/>
    <n v="5.5754188091979975"/>
    <n v="1588.433377280812"/>
    <n v="1"/>
    <n v="0"/>
    <n v="0"/>
    <n v="0"/>
    <n v="0"/>
    <n v="0"/>
    <n v="0"/>
    <n v="0"/>
    <n v="0"/>
    <n v="0"/>
  </r>
  <r>
    <d v="2013-07-20T00:00:00"/>
    <n v="2013"/>
    <x v="14"/>
    <s v="R"/>
    <s v="RS"/>
    <x v="5"/>
    <s v="SAS"/>
    <s v="A"/>
    <n v="0"/>
    <n v="0"/>
    <n v="0"/>
    <n v="0"/>
    <n v="0"/>
    <n v="0"/>
    <n v="1444.0759122468298"/>
    <n v="1412.5020832714199"/>
    <n v="0.42512013237394136"/>
    <n v="52"/>
    <n v="60"/>
    <n v="0"/>
    <n v="-8"/>
    <n v="0"/>
    <n v="0.37836029886350442"/>
    <n v="1"/>
    <n v="73.75"/>
    <n v="73.75"/>
    <n v="-11.862582799919904"/>
    <n v="1432.2133294469099"/>
    <n v="0"/>
    <n v="1"/>
    <n v="0"/>
    <n v="0"/>
    <n v="0"/>
    <n v="0"/>
    <n v="0"/>
    <n v="0"/>
    <n v="0"/>
    <n v="0"/>
  </r>
  <r>
    <d v="2013-07-20T00:00:00"/>
    <n v="2013"/>
    <x v="16"/>
    <s v="R"/>
    <s v="RS"/>
    <x v="1"/>
    <s v="CON"/>
    <s v="H"/>
    <n v="0"/>
    <n v="0"/>
    <n v="0"/>
    <n v="0"/>
    <n v="0"/>
    <n v="0"/>
    <n v="1412.5020832714199"/>
    <n v="1444.0759122468298"/>
    <n v="0.57487986762605858"/>
    <n v="60"/>
    <n v="52"/>
    <n v="0"/>
    <n v="8"/>
    <n v="1"/>
    <n v="0.37836029886350442"/>
    <n v="1"/>
    <n v="73.45"/>
    <n v="73.45"/>
    <n v="11.814328225818539"/>
    <n v="1424.3164114972385"/>
    <n v="1"/>
    <n v="0"/>
    <n v="0"/>
    <n v="0"/>
    <n v="0"/>
    <n v="0"/>
    <n v="0"/>
    <n v="0"/>
    <n v="0"/>
    <n v="0"/>
  </r>
  <r>
    <d v="2013-07-20T00:00:00"/>
    <n v="2013"/>
    <x v="16"/>
    <s v="R"/>
    <s v="RS"/>
    <x v="7"/>
    <s v="SEA"/>
    <s v="A"/>
    <n v="1"/>
    <n v="2"/>
    <n v="-1"/>
    <n v="1"/>
    <n v="-8"/>
    <n v="8"/>
    <n v="1617.3938228389341"/>
    <n v="1441.7853936177619"/>
    <n v="0.60712354488797737"/>
    <n v="65"/>
    <n v="64"/>
    <n v="0"/>
    <n v="1"/>
    <n v="1"/>
    <n v="0.21300800353793173"/>
    <n v="1"/>
    <n v="73.45"/>
    <n v="73.45"/>
    <n v="6.1467241650576536"/>
    <n v="1623.5405470039916"/>
    <n v="1"/>
    <n v="0"/>
    <n v="0"/>
    <n v="0"/>
    <n v="0"/>
    <n v="0"/>
    <n v="0"/>
    <n v="0"/>
    <n v="0"/>
    <n v="0"/>
  </r>
  <r>
    <d v="2013-07-20T00:00:00"/>
    <n v="2013"/>
    <x v="15"/>
    <s v="R"/>
    <s v="RS"/>
    <x v="6"/>
    <s v="LAS"/>
    <s v="H"/>
    <n v="2"/>
    <n v="1"/>
    <n v="1"/>
    <n v="-1"/>
    <n v="8"/>
    <n v="-8"/>
    <n v="1441.7853936177619"/>
    <n v="1617.3938228389341"/>
    <n v="0.39287645511202263"/>
    <n v="64"/>
    <n v="65"/>
    <n v="0"/>
    <n v="-1"/>
    <n v="0"/>
    <n v="0.21300800353793173"/>
    <n v="1"/>
    <n v="73.599999999999994"/>
    <n v="73.599999999999994"/>
    <n v="-6.1592770394587228"/>
    <n v="1435.6261165783033"/>
    <n v="0"/>
    <n v="1"/>
    <n v="0"/>
    <n v="0"/>
    <n v="0"/>
    <n v="0"/>
    <n v="0"/>
    <n v="0"/>
    <n v="0"/>
    <n v="0"/>
  </r>
  <r>
    <d v="2013-07-21T00:00:00"/>
    <n v="2013"/>
    <x v="15"/>
    <s v="R"/>
    <s v="RS"/>
    <x v="11"/>
    <s v="PHX"/>
    <s v="A"/>
    <n v="1"/>
    <n v="2"/>
    <n v="-1"/>
    <n v="1"/>
    <n v="-8"/>
    <n v="8"/>
    <n v="1653.3309028531087"/>
    <n v="1471.9888507663061"/>
    <n v="0.61496769341557012"/>
    <n v="82"/>
    <n v="77"/>
    <n v="0"/>
    <n v="5"/>
    <n v="1"/>
    <n v="0.28820317889553432"/>
    <n v="1"/>
    <n v="73.599999999999994"/>
    <n v="73.599999999999994"/>
    <n v="8.1672105565042905"/>
    <n v="1661.4981134096129"/>
    <n v="1"/>
    <n v="0"/>
    <n v="0"/>
    <n v="0"/>
    <n v="0"/>
    <n v="0"/>
    <n v="0"/>
    <n v="0"/>
    <n v="0"/>
    <n v="0"/>
  </r>
  <r>
    <d v="2013-07-21T00:00:00"/>
    <n v="2013"/>
    <x v="16"/>
    <s v="R"/>
    <s v="RS"/>
    <x v="9"/>
    <s v="MIN"/>
    <s v="H"/>
    <n v="2"/>
    <n v="1"/>
    <n v="1"/>
    <n v="-1"/>
    <n v="8"/>
    <n v="-8"/>
    <n v="1471.9888507663061"/>
    <n v="1653.3309028531087"/>
    <n v="0.38503230658442988"/>
    <n v="77"/>
    <n v="82"/>
    <n v="0"/>
    <n v="-5"/>
    <n v="0"/>
    <n v="0.28820317889553432"/>
    <n v="1"/>
    <n v="73.45"/>
    <n v="73.45"/>
    <n v="-8.1505654262940261"/>
    <n v="1463.8382853400121"/>
    <n v="0"/>
    <n v="1"/>
    <n v="0"/>
    <n v="0"/>
    <n v="0"/>
    <n v="0"/>
    <n v="0"/>
    <n v="0"/>
    <n v="0"/>
    <n v="0"/>
  </r>
  <r>
    <d v="2013-07-21T00:00:00"/>
    <n v="2013"/>
    <x v="14"/>
    <s v="R"/>
    <s v="RS"/>
    <x v="3"/>
    <s v="TUL"/>
    <s v="A"/>
    <n v="3"/>
    <n v="1"/>
    <n v="2"/>
    <n v="-2"/>
    <n v="16"/>
    <n v="-16"/>
    <n v="1577.8451264926355"/>
    <n v="1405.8305332799857"/>
    <n v="0.66615810690378352"/>
    <n v="63"/>
    <n v="90"/>
    <n v="0"/>
    <n v="-27"/>
    <n v="0"/>
    <n v="0.58308417706167004"/>
    <n v="1"/>
    <n v="73.75"/>
    <n v="73.75"/>
    <n v="-28.646436052325257"/>
    <n v="1549.1986904403102"/>
    <n v="0"/>
    <n v="1"/>
    <n v="0"/>
    <n v="0"/>
    <n v="0"/>
    <n v="0"/>
    <n v="0"/>
    <n v="0"/>
    <n v="0"/>
    <n v="0"/>
  </r>
  <r>
    <d v="2013-07-21T00:00:00"/>
    <n v="2013"/>
    <x v="18"/>
    <s v="R"/>
    <s v="RS"/>
    <x v="2"/>
    <s v="ATL"/>
    <s v="H"/>
    <n v="1"/>
    <n v="3"/>
    <n v="-2"/>
    <n v="2"/>
    <n v="-16"/>
    <n v="16"/>
    <n v="1405.8305332799857"/>
    <n v="1577.8451264926355"/>
    <n v="0.33384189309621642"/>
    <n v="90"/>
    <n v="63"/>
    <n v="0"/>
    <n v="27"/>
    <n v="1"/>
    <n v="0.58308417706167004"/>
    <n v="1"/>
    <n v="73.150000000000006"/>
    <n v="73.150000000000006"/>
    <n v="28.413380301391093"/>
    <n v="1434.2439135813768"/>
    <n v="1"/>
    <n v="0"/>
    <n v="0"/>
    <n v="0"/>
    <n v="0"/>
    <n v="0"/>
    <n v="0"/>
    <n v="0"/>
    <n v="0"/>
    <n v="0"/>
  </r>
  <r>
    <d v="2013-07-21T00:00:00"/>
    <n v="2013"/>
    <x v="14"/>
    <s v="R"/>
    <s v="RS"/>
    <x v="0"/>
    <s v="WAS"/>
    <s v="A"/>
    <n v="1"/>
    <n v="1"/>
    <n v="0"/>
    <n v="0"/>
    <n v="0"/>
    <n v="0"/>
    <n v="1536.5089643200918"/>
    <n v="1439.1291628418207"/>
    <n v="0.51924556914845887"/>
    <n v="65"/>
    <n v="52"/>
    <n v="0"/>
    <n v="13"/>
    <n v="1"/>
    <n v="0.4366127067274434"/>
    <n v="1"/>
    <n v="73.75"/>
    <n v="73.75"/>
    <n v="15.480382632741088"/>
    <n v="1551.9893469528329"/>
    <n v="1"/>
    <n v="0"/>
    <n v="0"/>
    <n v="0"/>
    <n v="0"/>
    <n v="0"/>
    <n v="0"/>
    <n v="0"/>
    <n v="0"/>
    <n v="0"/>
  </r>
  <r>
    <d v="2013-07-21T00:00:00"/>
    <n v="2013"/>
    <x v="16"/>
    <s v="R"/>
    <s v="RS"/>
    <x v="10"/>
    <s v="IND"/>
    <s v="H"/>
    <n v="1"/>
    <n v="1"/>
    <n v="0"/>
    <n v="0"/>
    <n v="0"/>
    <n v="0"/>
    <n v="1439.1291628418207"/>
    <n v="1536.5089643200918"/>
    <n v="0.48075443085154113"/>
    <n v="52"/>
    <n v="65"/>
    <n v="0"/>
    <n v="-13"/>
    <n v="0"/>
    <n v="0.4366127067274434"/>
    <n v="1"/>
    <n v="73.45"/>
    <n v="73.45"/>
    <n v="-15.417411584743499"/>
    <n v="1423.7117512570771"/>
    <n v="0"/>
    <n v="1"/>
    <n v="0"/>
    <n v="0"/>
    <n v="0"/>
    <n v="0"/>
    <n v="0"/>
    <n v="0"/>
    <n v="0"/>
    <n v="0"/>
  </r>
  <r>
    <d v="2013-07-23T00:00:00"/>
    <n v="2013"/>
    <x v="16"/>
    <s v="R"/>
    <s v="RS"/>
    <x v="4"/>
    <s v="IND"/>
    <s v="A"/>
    <n v="2"/>
    <n v="1"/>
    <n v="1"/>
    <n v="-1"/>
    <n v="8"/>
    <n v="-8"/>
    <n v="1415.4788390458734"/>
    <n v="1551.9893469528329"/>
    <n v="0.23554573222244299"/>
    <n v="77"/>
    <n v="72"/>
    <n v="0"/>
    <n v="5"/>
    <n v="1"/>
    <n v="0.29787058777184811"/>
    <n v="1"/>
    <n v="73.45"/>
    <n v="73.45"/>
    <n v="16.725185069865123"/>
    <n v="1432.2040241157385"/>
    <n v="1"/>
    <n v="0"/>
    <n v="0"/>
    <n v="0"/>
    <n v="0"/>
    <n v="0"/>
    <n v="0"/>
    <n v="0"/>
    <n v="0"/>
    <n v="0"/>
  </r>
  <r>
    <d v="2013-07-23T00:00:00"/>
    <n v="2013"/>
    <x v="15"/>
    <s v="R"/>
    <s v="RS"/>
    <x v="0"/>
    <s v="NYL"/>
    <s v="H"/>
    <n v="1"/>
    <n v="2"/>
    <n v="-1"/>
    <n v="1"/>
    <n v="-8"/>
    <n v="8"/>
    <n v="1551.9893469528329"/>
    <n v="1415.4788390458734"/>
    <n v="0.76445426777755698"/>
    <n v="72"/>
    <n v="77"/>
    <n v="0"/>
    <n v="-5"/>
    <n v="0"/>
    <n v="0.29787058777184811"/>
    <n v="1"/>
    <n v="73.599999999999994"/>
    <n v="73.599999999999994"/>
    <n v="-16.759341336175261"/>
    <n v="1535.2300056166575"/>
    <n v="0"/>
    <n v="1"/>
    <n v="0"/>
    <n v="0"/>
    <n v="0"/>
    <n v="0"/>
    <n v="0"/>
    <n v="0"/>
    <n v="0"/>
    <n v="0"/>
  </r>
  <r>
    <d v="2013-07-24T00:00:00"/>
    <n v="2013"/>
    <x v="15"/>
    <s v="R"/>
    <s v="RS"/>
    <x v="5"/>
    <s v="ATL"/>
    <s v="A"/>
    <n v="3"/>
    <n v="2"/>
    <n v="1"/>
    <n v="-1"/>
    <n v="8"/>
    <n v="-8"/>
    <n v="1432.2133294469099"/>
    <n v="1549.1986904403102"/>
    <n v="0.25638154353187226"/>
    <n v="65"/>
    <n v="74"/>
    <n v="0"/>
    <n v="-9"/>
    <n v="0"/>
    <n v="0.36990983119905213"/>
    <n v="1"/>
    <n v="73.599999999999994"/>
    <n v="73.599999999999994"/>
    <n v="-6.9800807368954487"/>
    <n v="1425.2332487100145"/>
    <n v="0"/>
    <n v="1"/>
    <n v="0"/>
    <n v="0"/>
    <n v="0"/>
    <n v="0"/>
    <n v="0"/>
    <n v="0"/>
    <n v="0"/>
    <n v="0"/>
  </r>
  <r>
    <d v="2013-07-24T00:00:00"/>
    <n v="2013"/>
    <x v="15"/>
    <s v="R"/>
    <s v="RS"/>
    <x v="3"/>
    <s v="CON"/>
    <s v="H"/>
    <n v="2"/>
    <n v="3"/>
    <n v="-1"/>
    <n v="1"/>
    <n v="-8"/>
    <n v="8"/>
    <n v="1549.1986904403102"/>
    <n v="1432.2133294469099"/>
    <n v="0.74361845646812785"/>
    <n v="74"/>
    <n v="65"/>
    <n v="0"/>
    <n v="9"/>
    <n v="1"/>
    <n v="0.36990983119905213"/>
    <n v="1"/>
    <n v="73.599999999999994"/>
    <n v="73.599999999999994"/>
    <n v="6.9800807368954461"/>
    <n v="1556.1787711772056"/>
    <n v="1"/>
    <n v="0"/>
    <n v="0"/>
    <n v="0"/>
    <n v="0"/>
    <n v="0"/>
    <n v="0"/>
    <n v="0"/>
    <n v="0"/>
    <n v="0"/>
  </r>
  <r>
    <d v="2013-07-24T00:00:00"/>
    <n v="2013"/>
    <x v="17"/>
    <s v="R"/>
    <s v="RS"/>
    <x v="9"/>
    <s v="MIN"/>
    <s v="A"/>
    <n v="2"/>
    <n v="2"/>
    <n v="0"/>
    <n v="0"/>
    <n v="0"/>
    <n v="0"/>
    <n v="1463.8382853400121"/>
    <n v="1661.4981134096129"/>
    <n v="0.16501680199347371"/>
    <n v="69"/>
    <n v="81"/>
    <n v="0"/>
    <n v="-12"/>
    <n v="0"/>
    <n v="0.39162271154908779"/>
    <n v="1"/>
    <n v="73.3"/>
    <n v="73.3"/>
    <n v="-4.7369632019268986"/>
    <n v="1459.1013221380852"/>
    <n v="0"/>
    <n v="1"/>
    <n v="0"/>
    <n v="0"/>
    <n v="0"/>
    <n v="0"/>
    <n v="0"/>
    <n v="0"/>
    <n v="0"/>
    <n v="0"/>
  </r>
  <r>
    <d v="2013-07-24T00:00:00"/>
    <n v="2013"/>
    <x v="16"/>
    <s v="R"/>
    <s v="RS"/>
    <x v="11"/>
    <s v="PHX"/>
    <s v="H"/>
    <n v="2"/>
    <n v="2"/>
    <n v="0"/>
    <n v="0"/>
    <n v="0"/>
    <n v="0"/>
    <n v="1661.4981134096129"/>
    <n v="1463.8382853400121"/>
    <n v="0.83498319800652632"/>
    <n v="81"/>
    <n v="69"/>
    <n v="0"/>
    <n v="12"/>
    <n v="1"/>
    <n v="0.39162271154908779"/>
    <n v="1"/>
    <n v="73.45"/>
    <n v="73.45"/>
    <n v="4.7466568510440741"/>
    <n v="1666.2447702606569"/>
    <n v="1"/>
    <n v="0"/>
    <n v="0"/>
    <n v="0"/>
    <n v="0"/>
    <n v="0"/>
    <n v="0"/>
    <n v="0"/>
    <n v="0"/>
    <n v="0"/>
  </r>
  <r>
    <d v="2013-07-24T00:00:00"/>
    <n v="2013"/>
    <x v="16"/>
    <s v="R"/>
    <s v="RS"/>
    <x v="8"/>
    <s v="WAS"/>
    <s v="A"/>
    <n v="3"/>
    <n v="2"/>
    <n v="1"/>
    <n v="-1"/>
    <n v="8"/>
    <n v="-8"/>
    <n v="1588.433377280812"/>
    <n v="1423.7117512570771"/>
    <n v="0.63570587894075781"/>
    <n v="78"/>
    <n v="82"/>
    <n v="0"/>
    <n v="-4"/>
    <n v="0"/>
    <n v="0.27384286638259486"/>
    <n v="1"/>
    <n v="73.45"/>
    <n v="73.45"/>
    <n v="-12.786434548803921"/>
    <n v="1575.646942732008"/>
    <n v="0"/>
    <n v="1"/>
    <n v="0"/>
    <n v="0"/>
    <n v="0"/>
    <n v="0"/>
    <n v="0"/>
    <n v="0"/>
    <n v="0"/>
    <n v="0"/>
  </r>
  <r>
    <d v="2013-07-24T00:00:00"/>
    <n v="2013"/>
    <x v="17"/>
    <s v="R"/>
    <s v="RS"/>
    <x v="10"/>
    <s v="CHI"/>
    <s v="H"/>
    <n v="2"/>
    <n v="3"/>
    <n v="-1"/>
    <n v="1"/>
    <n v="-8"/>
    <n v="8"/>
    <n v="1423.7117512570771"/>
    <n v="1588.433377280812"/>
    <n v="0.36429412105924225"/>
    <n v="82"/>
    <n v="78"/>
    <n v="0"/>
    <n v="4"/>
    <n v="1"/>
    <n v="0.27384286638259486"/>
    <n v="1"/>
    <n v="73.3"/>
    <n v="73.3"/>
    <n v="12.760322020794106"/>
    <n v="1436.4720732778712"/>
    <n v="1"/>
    <n v="0"/>
    <n v="0"/>
    <n v="0"/>
    <n v="0"/>
    <n v="0"/>
    <n v="0"/>
    <n v="0"/>
    <n v="0"/>
    <n v="0"/>
  </r>
  <r>
    <d v="2013-07-25T00:00:00"/>
    <n v="2013"/>
    <x v="16"/>
    <s v="R"/>
    <s v="RS"/>
    <x v="6"/>
    <s v="LAS"/>
    <s v="A"/>
    <n v="4"/>
    <n v="4"/>
    <n v="0"/>
    <n v="0"/>
    <n v="0"/>
    <n v="0"/>
    <n v="1435.6261165783033"/>
    <n v="1623.5405470039916"/>
    <n v="0.17289241065894781"/>
    <n v="73"/>
    <n v="66"/>
    <n v="0"/>
    <n v="7"/>
    <n v="1"/>
    <n v="0.31999711023133104"/>
    <n v="1"/>
    <n v="73.45"/>
    <n v="73.45"/>
    <n v="19.440161223384152"/>
    <n v="1455.0662778016874"/>
    <n v="1"/>
    <n v="0"/>
    <n v="0"/>
    <n v="0"/>
    <n v="0"/>
    <n v="0"/>
    <n v="0"/>
    <n v="0"/>
    <n v="0"/>
    <n v="0"/>
  </r>
  <r>
    <d v="2013-07-25T00:00:00"/>
    <n v="2013"/>
    <x v="17"/>
    <s v="R"/>
    <s v="RS"/>
    <x v="7"/>
    <s v="SEA"/>
    <s v="H"/>
    <n v="4"/>
    <n v="4"/>
    <n v="0"/>
    <n v="0"/>
    <n v="0"/>
    <n v="0"/>
    <n v="1623.5405470039916"/>
    <n v="1435.6261165783033"/>
    <n v="0.82710758934105222"/>
    <n v="66"/>
    <n v="73"/>
    <n v="0"/>
    <n v="-7"/>
    <n v="0"/>
    <n v="0.31999711023133104"/>
    <n v="1"/>
    <n v="73.3"/>
    <n v="73.3"/>
    <n v="-19.40046041761822"/>
    <n v="1604.1400865863734"/>
    <n v="0"/>
    <n v="1"/>
    <n v="0"/>
    <n v="0"/>
    <n v="0"/>
    <n v="0"/>
    <n v="0"/>
    <n v="0"/>
    <n v="0"/>
    <n v="0"/>
  </r>
  <r>
    <d v="2013-07-25T00:00:00"/>
    <n v="2013"/>
    <x v="17"/>
    <s v="R"/>
    <s v="RS"/>
    <x v="4"/>
    <s v="SAS"/>
    <s v="A"/>
    <n v="1"/>
    <n v="4"/>
    <n v="-3"/>
    <n v="3"/>
    <n v="-16"/>
    <n v="16"/>
    <n v="1432.2040241157385"/>
    <n v="1424.3164114972385"/>
    <n v="0.3492483220019692"/>
    <n v="53"/>
    <n v="65"/>
    <n v="0"/>
    <n v="-12"/>
    <n v="0"/>
    <n v="0.45315087759305128"/>
    <n v="1"/>
    <n v="73.3"/>
    <n v="73.3"/>
    <n v="-11.600618058839709"/>
    <n v="1420.6034060568988"/>
    <n v="0"/>
    <n v="1"/>
    <n v="0"/>
    <n v="0"/>
    <n v="0"/>
    <n v="0"/>
    <n v="0"/>
    <n v="0"/>
    <n v="0"/>
    <n v="0"/>
  </r>
  <r>
    <d v="2013-07-25T00:00:00"/>
    <n v="2013"/>
    <x v="17"/>
    <s v="R"/>
    <s v="RS"/>
    <x v="1"/>
    <s v="NYL"/>
    <s v="H"/>
    <n v="4"/>
    <n v="1"/>
    <n v="3"/>
    <n v="-3"/>
    <n v="16"/>
    <n v="-16"/>
    <n v="1424.3164114972385"/>
    <n v="1432.2040241157385"/>
    <n v="0.6507516779980308"/>
    <n v="65"/>
    <n v="53"/>
    <n v="0"/>
    <n v="12"/>
    <n v="1"/>
    <n v="0.45315087759305128"/>
    <n v="1"/>
    <n v="73.3"/>
    <n v="73.3"/>
    <n v="11.600618058839709"/>
    <n v="1435.9170295560782"/>
    <n v="1"/>
    <n v="0"/>
    <n v="0"/>
    <n v="0"/>
    <n v="0"/>
    <n v="0"/>
    <n v="0"/>
    <n v="0"/>
    <n v="0"/>
    <n v="0"/>
  </r>
  <r>
    <d v="2013-07-25T00:00:00"/>
    <n v="2013"/>
    <x v="16"/>
    <s v="R"/>
    <s v="RS"/>
    <x v="0"/>
    <s v="TUL"/>
    <s v="A"/>
    <n v="1"/>
    <n v="3"/>
    <n v="-2"/>
    <n v="2"/>
    <n v="-16"/>
    <n v="16"/>
    <n v="1535.2300056166575"/>
    <n v="1434.2439135813768"/>
    <n v="0.47840668907415995"/>
    <n v="71"/>
    <n v="60"/>
    <n v="0"/>
    <n v="11"/>
    <n v="1"/>
    <n v="0.4056947015347836"/>
    <n v="1"/>
    <n v="73.45"/>
    <n v="73.45"/>
    <n v="15.542581348867042"/>
    <n v="1550.7725869655246"/>
    <n v="1"/>
    <n v="0"/>
    <n v="0"/>
    <n v="0"/>
    <n v="0"/>
    <n v="0"/>
    <n v="0"/>
    <n v="0"/>
    <n v="0"/>
    <n v="0"/>
  </r>
  <r>
    <d v="2013-07-25T00:00:00"/>
    <n v="2013"/>
    <x v="19"/>
    <s v="R"/>
    <s v="RS"/>
    <x v="2"/>
    <s v="IND"/>
    <s v="H"/>
    <n v="3"/>
    <n v="1"/>
    <n v="2"/>
    <n v="-2"/>
    <n v="16"/>
    <n v="-16"/>
    <n v="1434.2439135813768"/>
    <n v="1535.2300056166575"/>
    <n v="0.52159331092584005"/>
    <n v="60"/>
    <n v="71"/>
    <n v="0"/>
    <n v="-11"/>
    <n v="0"/>
    <n v="0.4056947015347836"/>
    <n v="1"/>
    <n v="73"/>
    <n v="73"/>
    <n v="-15.447357909697674"/>
    <n v="1418.796555671679"/>
    <n v="0"/>
    <n v="1"/>
    <n v="0"/>
    <n v="0"/>
    <n v="0"/>
    <n v="0"/>
    <n v="0"/>
    <n v="0"/>
    <n v="0"/>
    <n v="0"/>
  </r>
  <r>
    <d v="2013-07-31T00:00:00"/>
    <n v="2013"/>
    <x v="18"/>
    <s v="R"/>
    <s v="RS"/>
    <x v="4"/>
    <s v="WAS"/>
    <s v="A"/>
    <n v="5"/>
    <n v="6"/>
    <n v="-1"/>
    <n v="1"/>
    <n v="-8"/>
    <n v="8"/>
    <n v="1420.6034060568988"/>
    <n v="1436.4720732778712"/>
    <n v="0.33917033605755159"/>
    <n v="88"/>
    <n v="78"/>
    <n v="0"/>
    <n v="10"/>
    <n v="1"/>
    <n v="0.41760730651878952"/>
    <n v="1"/>
    <n v="73.150000000000006"/>
    <n v="73.150000000000006"/>
    <n v="20.187007704354773"/>
    <n v="1440.7904137612536"/>
    <n v="1"/>
    <n v="0"/>
    <n v="0"/>
    <n v="0"/>
    <n v="0"/>
    <n v="0"/>
    <n v="0"/>
    <n v="0"/>
    <n v="0"/>
    <n v="0"/>
  </r>
  <r>
    <d v="2013-07-31T00:00:00"/>
    <n v="2013"/>
    <x v="18"/>
    <s v="R"/>
    <s v="RS"/>
    <x v="10"/>
    <s v="NYL"/>
    <s v="H"/>
    <n v="6"/>
    <n v="5"/>
    <n v="1"/>
    <n v="-1"/>
    <n v="8"/>
    <n v="-8"/>
    <n v="1436.4720732778712"/>
    <n v="1420.6034060568988"/>
    <n v="0.66082966394244846"/>
    <n v="78"/>
    <n v="88"/>
    <n v="0"/>
    <n v="-10"/>
    <n v="0"/>
    <n v="0.41760730651878952"/>
    <n v="1"/>
    <n v="73.150000000000006"/>
    <n v="73.150000000000006"/>
    <n v="-20.187007704354773"/>
    <n v="1416.2850655735165"/>
    <n v="0"/>
    <n v="1"/>
    <n v="0"/>
    <n v="0"/>
    <n v="0"/>
    <n v="0"/>
    <n v="0"/>
    <n v="0"/>
    <n v="0"/>
    <n v="0"/>
  </r>
  <r>
    <d v="2013-08-01T00:00:00"/>
    <n v="2013"/>
    <x v="17"/>
    <s v="R"/>
    <s v="RS"/>
    <x v="0"/>
    <s v="CON"/>
    <s v="A"/>
    <n v="6"/>
    <n v="7"/>
    <n v="-1"/>
    <n v="1"/>
    <n v="-8"/>
    <n v="8"/>
    <n v="1550.7725869655246"/>
    <n v="1425.2332487100145"/>
    <n v="0.53668800547988493"/>
    <n v="64"/>
    <n v="70"/>
    <n v="0"/>
    <n v="-6"/>
    <n v="0"/>
    <n v="0.31801162073692818"/>
    <n v="1"/>
    <n v="73.3"/>
    <n v="73.3"/>
    <n v="-12.510332545784934"/>
    <n v="1538.2622544197397"/>
    <n v="0"/>
    <n v="1"/>
    <n v="0"/>
    <n v="0"/>
    <n v="0"/>
    <n v="0"/>
    <n v="0"/>
    <n v="0"/>
    <n v="0"/>
    <n v="0"/>
  </r>
  <r>
    <d v="2013-08-01T00:00:00"/>
    <n v="2013"/>
    <x v="16"/>
    <s v="R"/>
    <s v="RS"/>
    <x v="5"/>
    <s v="IND"/>
    <s v="H"/>
    <n v="7"/>
    <n v="6"/>
    <n v="1"/>
    <n v="-1"/>
    <n v="8"/>
    <n v="-8"/>
    <n v="1425.2332487100145"/>
    <n v="1550.7725869655246"/>
    <n v="0.46331199452011512"/>
    <n v="70"/>
    <n v="64"/>
    <n v="0"/>
    <n v="6"/>
    <n v="1"/>
    <n v="0.31801162073692818"/>
    <n v="1"/>
    <n v="73.45"/>
    <n v="73.45"/>
    <n v="12.53593349915284"/>
    <n v="1437.7691822091674"/>
    <n v="1"/>
    <n v="0"/>
    <n v="0"/>
    <n v="0"/>
    <n v="0"/>
    <n v="0"/>
    <n v="0"/>
    <n v="0"/>
    <n v="0"/>
    <n v="0"/>
  </r>
  <r>
    <d v="2013-08-01T00:00:00"/>
    <n v="2013"/>
    <x v="18"/>
    <s v="R"/>
    <s v="RS"/>
    <x v="9"/>
    <s v="SEA"/>
    <s v="A"/>
    <n v="7"/>
    <n v="6"/>
    <n v="1"/>
    <n v="-1"/>
    <n v="8"/>
    <n v="-8"/>
    <n v="1459.1013221380852"/>
    <n v="1455.0662778016874"/>
    <n v="0.40897316412033186"/>
    <n v="79"/>
    <n v="88"/>
    <n v="0"/>
    <n v="-9"/>
    <n v="0"/>
    <n v="0.40461100768474079"/>
    <n v="1"/>
    <n v="73.150000000000006"/>
    <n v="73.150000000000006"/>
    <n v="-12.10449947231195"/>
    <n v="1446.9968226657732"/>
    <n v="0"/>
    <n v="1"/>
    <n v="0"/>
    <n v="0"/>
    <n v="0"/>
    <n v="0"/>
    <n v="0"/>
    <n v="0"/>
    <n v="0"/>
    <n v="0"/>
  </r>
  <r>
    <d v="2013-08-01T00:00:00"/>
    <n v="2013"/>
    <x v="17"/>
    <s v="R"/>
    <s v="RS"/>
    <x v="6"/>
    <s v="PHX"/>
    <s v="H"/>
    <n v="6"/>
    <n v="7"/>
    <n v="-1"/>
    <n v="1"/>
    <n v="-8"/>
    <n v="8"/>
    <n v="1455.0662778016874"/>
    <n v="1459.1013221380852"/>
    <n v="0.5910268358796682"/>
    <n v="88"/>
    <n v="79"/>
    <n v="0"/>
    <n v="9"/>
    <n v="1"/>
    <n v="0.40461100768474079"/>
    <n v="1"/>
    <n v="73.3"/>
    <n v="73.3"/>
    <n v="12.129320728919557"/>
    <n v="1467.195598530607"/>
    <n v="1"/>
    <n v="0"/>
    <n v="0"/>
    <n v="0"/>
    <n v="0"/>
    <n v="0"/>
    <n v="0"/>
    <n v="0"/>
    <n v="0"/>
    <n v="0"/>
  </r>
  <r>
    <d v="2013-08-02T00:00:00"/>
    <n v="2013"/>
    <x v="19"/>
    <s v="R"/>
    <s v="RS"/>
    <x v="10"/>
    <s v="CHI"/>
    <s v="A"/>
    <n v="1"/>
    <n v="8"/>
    <n v="-7"/>
    <n v="7"/>
    <n v="-16"/>
    <n v="16"/>
    <n v="1416.2850655735165"/>
    <n v="1575.646942732008"/>
    <n v="0.17007294419867225"/>
    <n v="78"/>
    <n v="85"/>
    <n v="0"/>
    <n v="-7"/>
    <n v="0"/>
    <n v="0.32671845109630204"/>
    <n v="1"/>
    <n v="73"/>
    <n v="73"/>
    <n v="-4.0563157298443944"/>
    <n v="1412.2287498436722"/>
    <n v="0"/>
    <n v="1"/>
    <n v="0"/>
    <n v="0"/>
    <n v="0"/>
    <n v="0"/>
    <n v="0"/>
    <n v="0"/>
    <n v="0"/>
    <n v="0"/>
  </r>
  <r>
    <d v="2013-08-02T00:00:00"/>
    <n v="2013"/>
    <x v="17"/>
    <s v="R"/>
    <s v="RS"/>
    <x v="8"/>
    <s v="WAS"/>
    <s v="H"/>
    <n v="8"/>
    <n v="1"/>
    <n v="7"/>
    <n v="-7"/>
    <n v="16"/>
    <n v="-16"/>
    <n v="1575.646942732008"/>
    <n v="1416.2850655735165"/>
    <n v="0.82992705580132775"/>
    <n v="85"/>
    <n v="78"/>
    <n v="0"/>
    <n v="7"/>
    <n v="1"/>
    <n v="0.32671845109630204"/>
    <n v="1"/>
    <n v="73.3"/>
    <n v="73.3"/>
    <n v="4.0729855205149876"/>
    <n v="1579.719928252523"/>
    <n v="1"/>
    <n v="0"/>
    <n v="0"/>
    <n v="0"/>
    <n v="0"/>
    <n v="0"/>
    <n v="0"/>
    <n v="0"/>
    <n v="0"/>
    <n v="0"/>
  </r>
  <r>
    <d v="2013-08-02T00:00:00"/>
    <n v="2013"/>
    <x v="18"/>
    <s v="R"/>
    <s v="RS"/>
    <x v="1"/>
    <s v="MIN"/>
    <s v="A"/>
    <n v="7"/>
    <n v="8"/>
    <n v="-1"/>
    <n v="1"/>
    <n v="-8"/>
    <n v="8"/>
    <n v="1435.9170295560782"/>
    <n v="1666.2447702606569"/>
    <n v="0.1299366129442919"/>
    <n v="63"/>
    <n v="85"/>
    <n v="0"/>
    <n v="-22"/>
    <n v="0"/>
    <n v="0.50510619700930959"/>
    <n v="1"/>
    <n v="73.150000000000006"/>
    <n v="73.150000000000006"/>
    <n v="-4.8009653226715043"/>
    <n v="1431.1160642334066"/>
    <n v="0"/>
    <n v="1"/>
    <n v="0"/>
    <n v="0"/>
    <n v="0"/>
    <n v="0"/>
    <n v="0"/>
    <n v="0"/>
    <n v="0"/>
    <n v="0"/>
  </r>
  <r>
    <d v="2013-08-02T00:00:00"/>
    <n v="2013"/>
    <x v="17"/>
    <s v="R"/>
    <s v="RS"/>
    <x v="11"/>
    <s v="SAS"/>
    <s v="H"/>
    <n v="8"/>
    <n v="7"/>
    <n v="1"/>
    <n v="-1"/>
    <n v="8"/>
    <n v="-8"/>
    <n v="1666.2447702606569"/>
    <n v="1435.9170295560782"/>
    <n v="0.87006338705570807"/>
    <n v="85"/>
    <n v="63"/>
    <n v="0"/>
    <n v="22"/>
    <n v="1"/>
    <n v="0.50510619700930959"/>
    <n v="1"/>
    <n v="73.3"/>
    <n v="73.3"/>
    <n v="4.8108100909339893"/>
    <n v="1671.0555803515908"/>
    <n v="1"/>
    <n v="0"/>
    <n v="0"/>
    <n v="0"/>
    <n v="0"/>
    <n v="0"/>
    <n v="0"/>
    <n v="0"/>
    <n v="0"/>
    <n v="0"/>
  </r>
  <r>
    <d v="2013-08-02T00:00:00"/>
    <n v="2013"/>
    <x v="18"/>
    <s v="R"/>
    <s v="RS"/>
    <x v="7"/>
    <s v="TUL"/>
    <s v="A"/>
    <n v="7"/>
    <n v="7"/>
    <n v="0"/>
    <n v="0"/>
    <n v="0"/>
    <n v="0"/>
    <n v="1604.1400865863734"/>
    <n v="1418.796555671679"/>
    <n v="0.6418448324092848"/>
    <n v="89"/>
    <n v="96"/>
    <n v="0"/>
    <n v="-7"/>
    <n v="0"/>
    <n v="0.32059095601460041"/>
    <n v="1"/>
    <n v="73.150000000000006"/>
    <n v="73.150000000000006"/>
    <n v="-15.052049783029291"/>
    <n v="1589.088036803344"/>
    <n v="0"/>
    <n v="1"/>
    <n v="0"/>
    <n v="0"/>
    <n v="0"/>
    <n v="0"/>
    <n v="0"/>
    <n v="0"/>
    <n v="0"/>
    <n v="0"/>
  </r>
  <r>
    <d v="2013-08-02T00:00:00"/>
    <n v="2013"/>
    <x v="20"/>
    <s v="R"/>
    <s v="RS"/>
    <x v="2"/>
    <s v="LAS"/>
    <s v="H"/>
    <n v="7"/>
    <n v="7"/>
    <n v="0"/>
    <n v="0"/>
    <n v="0"/>
    <n v="0"/>
    <n v="1418.796555671679"/>
    <n v="1604.1400865863734"/>
    <n v="0.35815516759071508"/>
    <n v="96"/>
    <n v="89"/>
    <n v="0"/>
    <n v="7"/>
    <n v="1"/>
    <n v="0.32059095601460041"/>
    <n v="1"/>
    <n v="72.849999999999994"/>
    <n v="72.849999999999994"/>
    <n v="14.990318888498756"/>
    <n v="1433.7868745601777"/>
    <n v="1"/>
    <n v="0"/>
    <n v="0"/>
    <n v="0"/>
    <n v="0"/>
    <n v="0"/>
    <n v="0"/>
    <n v="0"/>
    <n v="0"/>
    <n v="0"/>
  </r>
  <r>
    <d v="2013-08-03T00:00:00"/>
    <n v="2013"/>
    <x v="18"/>
    <s v="R"/>
    <s v="RS"/>
    <x v="8"/>
    <s v="IND"/>
    <s v="A"/>
    <n v="0"/>
    <n v="1"/>
    <n v="-1"/>
    <n v="1"/>
    <n v="-8"/>
    <n v="8"/>
    <n v="1579.719928252523"/>
    <n v="1538.2622544197397"/>
    <n v="0.41653919392041344"/>
    <n v="58"/>
    <n v="79"/>
    <n v="0"/>
    <n v="-21"/>
    <n v="0"/>
    <n v="0.56892116599056741"/>
    <n v="1"/>
    <n v="73.150000000000006"/>
    <n v="73.150000000000006"/>
    <n v="-17.334938058258903"/>
    <n v="1562.384990194264"/>
    <n v="0"/>
    <n v="1"/>
    <n v="0"/>
    <n v="0"/>
    <n v="0"/>
    <n v="0"/>
    <n v="0"/>
    <n v="0"/>
    <n v="0"/>
    <n v="0"/>
  </r>
  <r>
    <d v="2013-08-03T00:00:00"/>
    <n v="2013"/>
    <x v="18"/>
    <s v="R"/>
    <s v="RS"/>
    <x v="0"/>
    <s v="CHI"/>
    <s v="H"/>
    <n v="1"/>
    <n v="0"/>
    <n v="1"/>
    <n v="-1"/>
    <n v="8"/>
    <n v="-8"/>
    <n v="1538.2622544197397"/>
    <n v="1579.719928252523"/>
    <n v="0.58346080607958661"/>
    <n v="79"/>
    <n v="58"/>
    <n v="0"/>
    <n v="21"/>
    <n v="1"/>
    <n v="0.56892116599056741"/>
    <n v="1"/>
    <n v="73.150000000000006"/>
    <n v="73.150000000000006"/>
    <n v="17.334938058258899"/>
    <n v="1555.5971924779988"/>
    <n v="1"/>
    <n v="0"/>
    <n v="0"/>
    <n v="0"/>
    <n v="0"/>
    <n v="0"/>
    <n v="0"/>
    <n v="0"/>
    <n v="0"/>
    <n v="0"/>
  </r>
  <r>
    <d v="2013-08-03T00:00:00"/>
    <n v="2013"/>
    <x v="17"/>
    <s v="R"/>
    <s v="RS"/>
    <x v="5"/>
    <s v="NYL"/>
    <s v="A"/>
    <n v="1"/>
    <n v="2"/>
    <n v="-1"/>
    <n v="1"/>
    <n v="-8"/>
    <n v="8"/>
    <n v="1437.7691822091674"/>
    <n v="1440.7904137612536"/>
    <n v="0.35593812752883192"/>
    <n v="88"/>
    <n v="66"/>
    <n v="0"/>
    <n v="22"/>
    <n v="1"/>
    <n v="0.60054418545224786"/>
    <n v="1"/>
    <n v="73.3"/>
    <n v="73.3"/>
    <n v="28.351532002410661"/>
    <n v="1466.1207142115782"/>
    <n v="1"/>
    <n v="0"/>
    <n v="0"/>
    <n v="0"/>
    <n v="0"/>
    <n v="0"/>
    <n v="0"/>
    <n v="0"/>
    <n v="0"/>
    <n v="0"/>
  </r>
  <r>
    <d v="2013-08-03T00:00:00"/>
    <n v="2013"/>
    <x v="19"/>
    <s v="R"/>
    <s v="RS"/>
    <x v="4"/>
    <s v="CON"/>
    <s v="H"/>
    <n v="2"/>
    <n v="1"/>
    <n v="1"/>
    <n v="-1"/>
    <n v="8"/>
    <n v="-8"/>
    <n v="1440.7904137612536"/>
    <n v="1437.7691822091674"/>
    <n v="0.6440618724711682"/>
    <n v="66"/>
    <n v="88"/>
    <n v="0"/>
    <n v="-22"/>
    <n v="0"/>
    <n v="0.60054418545224786"/>
    <n v="1"/>
    <n v="73"/>
    <n v="73"/>
    <n v="-28.235495718635448"/>
    <n v="1412.5549180426181"/>
    <n v="0"/>
    <n v="1"/>
    <n v="0"/>
    <n v="0"/>
    <n v="0"/>
    <n v="0"/>
    <n v="0"/>
    <n v="0"/>
    <n v="0"/>
    <n v="0"/>
  </r>
  <r>
    <d v="2013-08-03T00:00:00"/>
    <n v="2013"/>
    <x v="16"/>
    <s v="R"/>
    <s v="RS"/>
    <x v="3"/>
    <s v="PHX"/>
    <s v="A"/>
    <n v="9"/>
    <n v="1"/>
    <n v="8"/>
    <n v="-8"/>
    <n v="16"/>
    <n v="-16"/>
    <n v="1556.1787711772056"/>
    <n v="1446.9968226657732"/>
    <n v="0.58155637848855934"/>
    <n v="76"/>
    <n v="82"/>
    <n v="0"/>
    <n v="-6"/>
    <n v="0"/>
    <n v="0.32198497220992572"/>
    <n v="1"/>
    <n v="73.45"/>
    <n v="73.45"/>
    <n v="-13.753689835193263"/>
    <n v="1542.4250813420124"/>
    <n v="0"/>
    <n v="1"/>
    <n v="0"/>
    <n v="0"/>
    <n v="0"/>
    <n v="0"/>
    <n v="0"/>
    <n v="0"/>
    <n v="0"/>
    <n v="0"/>
  </r>
  <r>
    <d v="2013-08-03T00:00:00"/>
    <n v="2013"/>
    <x v="19"/>
    <s v="R"/>
    <s v="RS"/>
    <x v="9"/>
    <s v="ATL"/>
    <s v="H"/>
    <n v="1"/>
    <n v="9"/>
    <n v="-8"/>
    <n v="8"/>
    <n v="-16"/>
    <n v="16"/>
    <n v="1446.9968226657732"/>
    <n v="1556.1787711772056"/>
    <n v="0.4184436215114406"/>
    <n v="82"/>
    <n v="76"/>
    <n v="0"/>
    <n v="6"/>
    <n v="1"/>
    <n v="0.32198497220992572"/>
    <n v="1"/>
    <n v="73"/>
    <n v="73"/>
    <n v="13.669426248728501"/>
    <n v="1460.6662489145017"/>
    <n v="1"/>
    <n v="0"/>
    <n v="0"/>
    <n v="0"/>
    <n v="0"/>
    <n v="0"/>
    <n v="0"/>
    <n v="0"/>
    <n v="0"/>
    <n v="0"/>
  </r>
  <r>
    <d v="2013-08-04T00:00:00"/>
    <n v="2013"/>
    <x v="18"/>
    <s v="R"/>
    <s v="RS"/>
    <x v="6"/>
    <s v="MIN"/>
    <s v="A"/>
    <n v="2"/>
    <n v="1"/>
    <n v="1"/>
    <n v="-1"/>
    <n v="8"/>
    <n v="-8"/>
    <n v="1467.195598530607"/>
    <n v="1671.0555803515908"/>
    <n v="0.17293723613526671"/>
    <n v="72"/>
    <n v="90"/>
    <n v="0"/>
    <n v="-18"/>
    <n v="0"/>
    <n v="0.46742604465468851"/>
    <n v="1"/>
    <n v="73.150000000000006"/>
    <n v="73.150000000000006"/>
    <n v="-5.9131071882352098"/>
    <n v="1461.2824913423717"/>
    <n v="0"/>
    <n v="1"/>
    <n v="0"/>
    <n v="0"/>
    <n v="0"/>
    <n v="0"/>
    <n v="0"/>
    <n v="0"/>
    <n v="0"/>
    <n v="0"/>
  </r>
  <r>
    <d v="2013-08-04T00:00:00"/>
    <n v="2013"/>
    <x v="18"/>
    <s v="R"/>
    <s v="RS"/>
    <x v="11"/>
    <s v="SEA"/>
    <s v="H"/>
    <n v="1"/>
    <n v="2"/>
    <n v="-1"/>
    <n v="1"/>
    <n v="-8"/>
    <n v="8"/>
    <n v="1671.0555803515908"/>
    <n v="1467.195598530607"/>
    <n v="0.82706276386473332"/>
    <n v="90"/>
    <n v="72"/>
    <n v="0"/>
    <n v="18"/>
    <n v="1"/>
    <n v="0.46742604465468851"/>
    <n v="1"/>
    <n v="73.150000000000006"/>
    <n v="73.150000000000006"/>
    <n v="5.9131071882352089"/>
    <n v="1676.9686875398261"/>
    <n v="1"/>
    <n v="0"/>
    <n v="0"/>
    <n v="0"/>
    <n v="0"/>
    <n v="0"/>
    <n v="0"/>
    <n v="0"/>
    <n v="0"/>
    <n v="0"/>
  </r>
  <r>
    <d v="2013-08-04T00:00:00"/>
    <n v="2013"/>
    <x v="21"/>
    <s v="R"/>
    <s v="RS"/>
    <x v="2"/>
    <s v="SAS"/>
    <s v="A"/>
    <n v="1"/>
    <n v="1"/>
    <n v="0"/>
    <n v="0"/>
    <n v="0"/>
    <n v="0"/>
    <n v="1433.7868745601777"/>
    <n v="1431.1160642334066"/>
    <n v="0.38504983857934338"/>
    <n v="65"/>
    <n v="69"/>
    <n v="0"/>
    <n v="-4"/>
    <n v="0"/>
    <n v="0.31074112606351029"/>
    <n v="1"/>
    <n v="72.7"/>
    <n v="72.7"/>
    <n v="-8.6986146453132012"/>
    <n v="1425.0882599148645"/>
    <n v="0"/>
    <n v="1"/>
    <n v="0"/>
    <n v="0"/>
    <n v="0"/>
    <n v="0"/>
    <n v="0"/>
    <n v="0"/>
    <n v="0"/>
    <n v="0"/>
  </r>
  <r>
    <d v="2013-08-04T00:00:00"/>
    <n v="2013"/>
    <x v="19"/>
    <s v="R"/>
    <s v="RS"/>
    <x v="1"/>
    <s v="TUL"/>
    <s v="H"/>
    <n v="1"/>
    <n v="1"/>
    <n v="0"/>
    <n v="0"/>
    <n v="0"/>
    <n v="0"/>
    <n v="1431.1160642334066"/>
    <n v="1433.7868745601777"/>
    <n v="0.6149501614206565"/>
    <n v="69"/>
    <n v="65"/>
    <n v="0"/>
    <n v="4"/>
    <n v="1"/>
    <n v="0.31074112606351029"/>
    <n v="1"/>
    <n v="73"/>
    <n v="73"/>
    <n v="8.7345098914424177"/>
    <n v="1439.8505741248491"/>
    <n v="1"/>
    <n v="0"/>
    <n v="0"/>
    <n v="0"/>
    <n v="0"/>
    <n v="0"/>
    <n v="0"/>
    <n v="0"/>
    <n v="0"/>
    <n v="0"/>
  </r>
  <r>
    <d v="2013-08-04T00:00:00"/>
    <n v="2013"/>
    <x v="19"/>
    <s v="R"/>
    <s v="RS"/>
    <x v="7"/>
    <s v="WAS"/>
    <s v="A"/>
    <n v="1"/>
    <n v="1"/>
    <n v="0"/>
    <n v="0"/>
    <n v="0"/>
    <n v="0"/>
    <n v="1589.088036803344"/>
    <n v="1412.2287498436722"/>
    <n v="0.63054160969458584"/>
    <n v="75"/>
    <n v="57"/>
    <n v="0"/>
    <n v="18"/>
    <n v="1"/>
    <n v="0.47659243378499694"/>
    <n v="1"/>
    <n v="73"/>
    <n v="73"/>
    <n v="12.85391835950996"/>
    <n v="1601.9419551628539"/>
    <n v="1"/>
    <n v="0"/>
    <n v="0"/>
    <n v="0"/>
    <n v="0"/>
    <n v="0"/>
    <n v="0"/>
    <n v="0"/>
    <n v="0"/>
    <n v="0"/>
  </r>
  <r>
    <d v="2013-08-04T00:00:00"/>
    <n v="2013"/>
    <x v="20"/>
    <s v="R"/>
    <s v="RS"/>
    <x v="10"/>
    <s v="LAS"/>
    <s v="H"/>
    <n v="1"/>
    <n v="1"/>
    <n v="0"/>
    <n v="0"/>
    <n v="0"/>
    <n v="0"/>
    <n v="1412.2287498436722"/>
    <n v="1589.088036803344"/>
    <n v="0.36945839030541405"/>
    <n v="57"/>
    <n v="75"/>
    <n v="0"/>
    <n v="-18"/>
    <n v="0"/>
    <n v="0.47659243378499694"/>
    <n v="1"/>
    <n v="72.849999999999994"/>
    <n v="72.849999999999994"/>
    <n v="-12.827506198497264"/>
    <n v="1399.4012436451749"/>
    <n v="0"/>
    <n v="1"/>
    <n v="0"/>
    <n v="0"/>
    <n v="0"/>
    <n v="0"/>
    <n v="0"/>
    <n v="0"/>
    <n v="0"/>
    <n v="0"/>
  </r>
  <r>
    <d v="2013-08-06T00:00:00"/>
    <n v="2013"/>
    <x v="19"/>
    <s v="R"/>
    <s v="RS"/>
    <x v="0"/>
    <s v="CHI"/>
    <s v="A"/>
    <n v="2"/>
    <n v="2"/>
    <n v="0"/>
    <n v="0"/>
    <n v="0"/>
    <n v="0"/>
    <n v="1555.5971924779988"/>
    <n v="1562.384990194264"/>
    <n v="0.37224059498130674"/>
    <n v="64"/>
    <n v="58"/>
    <n v="0"/>
    <n v="6"/>
    <n v="1"/>
    <n v="0.34930491848435141"/>
    <n v="1"/>
    <n v="73"/>
    <n v="73"/>
    <n v="16.007399689242291"/>
    <n v="1571.604592167241"/>
    <n v="1"/>
    <n v="0"/>
    <n v="0"/>
    <n v="0"/>
    <n v="0"/>
    <n v="0"/>
    <n v="0"/>
    <n v="0"/>
    <n v="0"/>
    <n v="0"/>
  </r>
  <r>
    <d v="2013-08-06T00:00:00"/>
    <n v="2013"/>
    <x v="19"/>
    <s v="R"/>
    <s v="RS"/>
    <x v="8"/>
    <s v="IND"/>
    <s v="H"/>
    <n v="2"/>
    <n v="2"/>
    <n v="0"/>
    <n v="0"/>
    <n v="0"/>
    <n v="0"/>
    <n v="1562.384990194264"/>
    <n v="1555.5971924779988"/>
    <n v="0.62775940501869332"/>
    <n v="58"/>
    <n v="64"/>
    <n v="0"/>
    <n v="-6"/>
    <n v="0"/>
    <n v="0.34930491848435141"/>
    <n v="1"/>
    <n v="73"/>
    <n v="73"/>
    <n v="-16.007399689242291"/>
    <n v="1546.3775905050218"/>
    <n v="0"/>
    <n v="1"/>
    <n v="0"/>
    <n v="0"/>
    <n v="0"/>
    <n v="0"/>
    <n v="0"/>
    <n v="0"/>
    <n v="0"/>
    <n v="0"/>
  </r>
  <r>
    <d v="2013-08-06T00:00:00"/>
    <n v="2013"/>
    <x v="20"/>
    <s v="R"/>
    <s v="RS"/>
    <x v="7"/>
    <s v="CON"/>
    <s v="A"/>
    <n v="1"/>
    <n v="2"/>
    <n v="-1"/>
    <n v="1"/>
    <n v="-8"/>
    <n v="8"/>
    <n v="1601.9419551628539"/>
    <n v="1466.1207142115782"/>
    <n v="0.55136902119019071"/>
    <n v="74"/>
    <n v="72"/>
    <n v="0"/>
    <n v="2"/>
    <n v="1"/>
    <n v="0.24060823044161136"/>
    <n v="1"/>
    <n v="72.849999999999994"/>
    <n v="72.849999999999994"/>
    <n v="7.8637426871983793"/>
    <n v="1609.8056978500522"/>
    <n v="1"/>
    <n v="0"/>
    <n v="0"/>
    <n v="0"/>
    <n v="0"/>
    <n v="0"/>
    <n v="0"/>
    <n v="0"/>
    <n v="0"/>
    <n v="0"/>
  </r>
  <r>
    <d v="2013-08-06T00:00:00"/>
    <n v="2013"/>
    <x v="18"/>
    <s v="R"/>
    <s v="RS"/>
    <x v="5"/>
    <s v="LAS"/>
    <s v="H"/>
    <n v="2"/>
    <n v="1"/>
    <n v="1"/>
    <n v="-1"/>
    <n v="8"/>
    <n v="-8"/>
    <n v="1466.1207142115782"/>
    <n v="1601.9419551628539"/>
    <n v="0.44863097880980929"/>
    <n v="72"/>
    <n v="74"/>
    <n v="0"/>
    <n v="-2"/>
    <n v="0"/>
    <n v="0.24060823044161136"/>
    <n v="1"/>
    <n v="73.150000000000006"/>
    <n v="73.150000000000006"/>
    <n v="-7.896125978978195"/>
    <n v="1458.2245882325999"/>
    <n v="0"/>
    <n v="1"/>
    <n v="0"/>
    <n v="0"/>
    <n v="0"/>
    <n v="0"/>
    <n v="0"/>
    <n v="0"/>
    <n v="0"/>
    <n v="0"/>
  </r>
  <r>
    <d v="2013-08-06T00:00:00"/>
    <n v="2013"/>
    <x v="21"/>
    <s v="R"/>
    <s v="RS"/>
    <x v="10"/>
    <s v="NYL"/>
    <s v="A"/>
    <n v="1"/>
    <n v="2"/>
    <n v="-1"/>
    <n v="1"/>
    <n v="-8"/>
    <n v="8"/>
    <n v="1399.4012436451749"/>
    <n v="1412.5549180426181"/>
    <n v="0.34268202399152664"/>
    <n v="88"/>
    <n v="93"/>
    <n v="0"/>
    <n v="-5"/>
    <n v="0"/>
    <n v="0.32815889606997373"/>
    <n v="1"/>
    <n v="72.7"/>
    <n v="72.7"/>
    <n v="-8.1754170464052809"/>
    <n v="1391.2258265987696"/>
    <n v="0"/>
    <n v="1"/>
    <n v="0"/>
    <n v="0"/>
    <n v="0"/>
    <n v="0"/>
    <n v="0"/>
    <n v="0"/>
    <n v="0"/>
    <n v="0"/>
  </r>
  <r>
    <d v="2013-08-06T00:00:00"/>
    <n v="2013"/>
    <x v="20"/>
    <s v="R"/>
    <s v="RS"/>
    <x v="4"/>
    <s v="WAS"/>
    <s v="H"/>
    <n v="2"/>
    <n v="1"/>
    <n v="1"/>
    <n v="-1"/>
    <n v="8"/>
    <n v="-8"/>
    <n v="1412.5549180426181"/>
    <n v="1399.4012436451749"/>
    <n v="0.6573179760084733"/>
    <n v="93"/>
    <n v="88"/>
    <n v="0"/>
    <n v="5"/>
    <n v="1"/>
    <n v="0.32815889606997373"/>
    <n v="1"/>
    <n v="72.849999999999994"/>
    <n v="72.849999999999994"/>
    <n v="8.1922851696096934"/>
    <n v="1420.7472032122278"/>
    <n v="1"/>
    <n v="0"/>
    <n v="0"/>
    <n v="0"/>
    <n v="0"/>
    <n v="0"/>
    <n v="0"/>
    <n v="0"/>
    <n v="0"/>
    <n v="0"/>
  </r>
  <r>
    <d v="2013-08-06T00:00:00"/>
    <n v="2013"/>
    <x v="19"/>
    <s v="R"/>
    <s v="RS"/>
    <x v="6"/>
    <s v="PHX"/>
    <s v="A"/>
    <n v="1"/>
    <n v="2"/>
    <n v="-1"/>
    <n v="1"/>
    <n v="-8"/>
    <n v="8"/>
    <n v="1461.2824913423717"/>
    <n v="1460.6662489145017"/>
    <n v="0.3607526565878566"/>
    <n v="80"/>
    <n v="65"/>
    <n v="0"/>
    <n v="15"/>
    <n v="1"/>
    <n v="0.50258993034634714"/>
    <n v="1"/>
    <n v="73"/>
    <n v="73"/>
    <n v="23.453387279370549"/>
    <n v="1484.7358786217424"/>
    <n v="1"/>
    <n v="0"/>
    <n v="0"/>
    <n v="0"/>
    <n v="0"/>
    <n v="0"/>
    <n v="0"/>
    <n v="0"/>
    <n v="0"/>
    <n v="0"/>
  </r>
  <r>
    <d v="2013-08-06T00:00:00"/>
    <n v="2013"/>
    <x v="20"/>
    <s v="R"/>
    <s v="RS"/>
    <x v="9"/>
    <s v="SEA"/>
    <s v="H"/>
    <n v="2"/>
    <n v="1"/>
    <n v="1"/>
    <n v="-1"/>
    <n v="8"/>
    <n v="-8"/>
    <n v="1460.6662489145017"/>
    <n v="1461.2824913423717"/>
    <n v="0.6392473434121434"/>
    <n v="65"/>
    <n v="80"/>
    <n v="0"/>
    <n v="-15"/>
    <n v="0"/>
    <n v="0.50258993034634714"/>
    <n v="1"/>
    <n v="72.849999999999994"/>
    <n v="72.849999999999994"/>
    <n v="-23.405195387700608"/>
    <n v="1437.2610535268011"/>
    <n v="0"/>
    <n v="1"/>
    <n v="0"/>
    <n v="0"/>
    <n v="0"/>
    <n v="0"/>
    <n v="0"/>
    <n v="0"/>
    <n v="0"/>
    <n v="0"/>
  </r>
  <r>
    <d v="2013-08-06T00:00:00"/>
    <n v="2013"/>
    <x v="19"/>
    <s v="R"/>
    <s v="RS"/>
    <x v="11"/>
    <s v="SAS"/>
    <s v="A"/>
    <n v="1"/>
    <n v="1"/>
    <n v="0"/>
    <n v="0"/>
    <n v="0"/>
    <n v="0"/>
    <n v="1676.9686875398261"/>
    <n v="1439.8505741248491"/>
    <n v="0.70711612710795801"/>
    <n v="93"/>
    <n v="80"/>
    <n v="0"/>
    <n v="13"/>
    <n v="1"/>
    <n v="0.39415863003138862"/>
    <n v="1"/>
    <n v="73"/>
    <n v="73"/>
    <n v="8.4273175451112685"/>
    <n v="1685.3960050849373"/>
    <n v="1"/>
    <n v="0"/>
    <n v="0"/>
    <n v="0"/>
    <n v="0"/>
    <n v="0"/>
    <n v="0"/>
    <n v="0"/>
    <n v="0"/>
    <n v="0"/>
  </r>
  <r>
    <d v="2013-08-06T00:00:00"/>
    <n v="2013"/>
    <x v="20"/>
    <s v="R"/>
    <s v="RS"/>
    <x v="1"/>
    <s v="MIN"/>
    <s v="H"/>
    <n v="1"/>
    <n v="1"/>
    <n v="0"/>
    <n v="0"/>
    <n v="0"/>
    <n v="0"/>
    <n v="1439.8505741248491"/>
    <n v="1676.9686875398261"/>
    <n v="0.29288387289204199"/>
    <n v="80"/>
    <n v="93"/>
    <n v="0"/>
    <n v="-13"/>
    <n v="0"/>
    <n v="0.39415863003138862"/>
    <n v="1"/>
    <n v="72.849999999999994"/>
    <n v="72.849999999999994"/>
    <n v="-8.4100011391966554"/>
    <n v="1431.4405729856524"/>
    <n v="0"/>
    <n v="1"/>
    <n v="0"/>
    <n v="0"/>
    <n v="0"/>
    <n v="0"/>
    <n v="0"/>
    <n v="0"/>
    <n v="0"/>
    <n v="0"/>
  </r>
  <r>
    <d v="2013-08-08T00:00:00"/>
    <n v="2013"/>
    <x v="21"/>
    <s v="R"/>
    <s v="RS"/>
    <x v="7"/>
    <s v="IND"/>
    <s v="A"/>
    <n v="1"/>
    <n v="1"/>
    <n v="0"/>
    <n v="0"/>
    <n v="0"/>
    <n v="0"/>
    <n v="1609.8056978500522"/>
    <n v="1571.604592167241"/>
    <n v="0.43446921835551405"/>
    <n v="74"/>
    <n v="64"/>
    <n v="0"/>
    <n v="10"/>
    <n v="1"/>
    <n v="0.41007525907412007"/>
    <n v="1"/>
    <n v="72.7"/>
    <n v="72.7"/>
    <n v="16.859870216660234"/>
    <n v="1626.6655680667125"/>
    <n v="1"/>
    <n v="0"/>
    <n v="0"/>
    <n v="0"/>
    <n v="0"/>
    <n v="0"/>
    <n v="0"/>
    <n v="0"/>
    <n v="0"/>
    <n v="0"/>
  </r>
  <r>
    <d v="2013-08-08T00:00:00"/>
    <n v="2013"/>
    <x v="20"/>
    <s v="R"/>
    <s v="RS"/>
    <x v="0"/>
    <s v="LAS"/>
    <s v="H"/>
    <n v="1"/>
    <n v="1"/>
    <n v="0"/>
    <n v="0"/>
    <n v="0"/>
    <n v="0"/>
    <n v="1571.604592167241"/>
    <n v="1609.8056978500522"/>
    <n v="0.565530781644486"/>
    <n v="64"/>
    <n v="74"/>
    <n v="0"/>
    <n v="-10"/>
    <n v="0"/>
    <n v="0.41007525907412007"/>
    <n v="1"/>
    <n v="72.849999999999994"/>
    <n v="72.849999999999994"/>
    <n v="-16.894656743929822"/>
    <n v="1554.7099354233112"/>
    <n v="0"/>
    <n v="1"/>
    <n v="0"/>
    <n v="0"/>
    <n v="0"/>
    <n v="0"/>
    <n v="0"/>
    <n v="0"/>
    <n v="0"/>
    <n v="0"/>
  </r>
  <r>
    <d v="2013-08-08T00:00:00"/>
    <n v="2013"/>
    <x v="22"/>
    <s v="R"/>
    <s v="RS"/>
    <x v="10"/>
    <s v="MIN"/>
    <s v="A"/>
    <n v="1"/>
    <n v="1"/>
    <n v="0"/>
    <n v="0"/>
    <n v="0"/>
    <n v="0"/>
    <n v="1391.2258265987696"/>
    <n v="1685.3960050849373"/>
    <n v="0.10184207936646311"/>
    <n v="79"/>
    <n v="75"/>
    <n v="0"/>
    <n v="4"/>
    <n v="1"/>
    <n v="0.25011828456065982"/>
    <n v="1"/>
    <n v="72.55"/>
    <n v="72.55"/>
    <n v="16.298046867992309"/>
    <n v="1407.5238734667619"/>
    <n v="1"/>
    <n v="0"/>
    <n v="0"/>
    <n v="0"/>
    <n v="0"/>
    <n v="0"/>
    <n v="0"/>
    <n v="0"/>
    <n v="0"/>
    <n v="0"/>
  </r>
  <r>
    <d v="2013-08-08T00:00:00"/>
    <n v="2013"/>
    <x v="20"/>
    <s v="R"/>
    <s v="RS"/>
    <x v="11"/>
    <s v="WAS"/>
    <s v="H"/>
    <n v="1"/>
    <n v="1"/>
    <n v="0"/>
    <n v="0"/>
    <n v="0"/>
    <n v="0"/>
    <n v="1685.3960050849373"/>
    <n v="1391.2258265987696"/>
    <n v="0.89815792063353694"/>
    <n v="75"/>
    <n v="79"/>
    <n v="0"/>
    <n v="-4"/>
    <n v="0"/>
    <n v="0.25011828456065982"/>
    <n v="1"/>
    <n v="72.849999999999994"/>
    <n v="72.849999999999994"/>
    <n v="-16.365440583504338"/>
    <n v="1669.030564501433"/>
    <n v="0"/>
    <n v="1"/>
    <n v="0"/>
    <n v="0"/>
    <n v="0"/>
    <n v="0"/>
    <n v="0"/>
    <n v="0"/>
    <n v="0"/>
    <n v="0"/>
  </r>
  <r>
    <d v="2013-08-09T00:00:00"/>
    <n v="2013"/>
    <x v="20"/>
    <s v="R"/>
    <s v="RS"/>
    <x v="8"/>
    <s v="CON"/>
    <s v="A"/>
    <n v="2"/>
    <n v="2"/>
    <n v="0"/>
    <n v="0"/>
    <n v="0"/>
    <n v="0"/>
    <n v="1546.3775905050218"/>
    <n v="1458.2245882325999"/>
    <n v="0.50597636606777951"/>
    <n v="77"/>
    <n v="61"/>
    <n v="0"/>
    <n v="16"/>
    <n v="1"/>
    <n v="0.48235204796322095"/>
    <n v="1"/>
    <n v="72.849999999999994"/>
    <n v="72.849999999999994"/>
    <n v="17.35966774783364"/>
    <n v="1563.7372582528553"/>
    <n v="1"/>
    <n v="0"/>
    <n v="0"/>
    <n v="0"/>
    <n v="0"/>
    <n v="0"/>
    <n v="0"/>
    <n v="0"/>
    <n v="0"/>
    <n v="0"/>
  </r>
  <r>
    <d v="2013-08-09T00:00:00"/>
    <n v="2013"/>
    <x v="19"/>
    <s v="R"/>
    <s v="RS"/>
    <x v="5"/>
    <s v="CHI"/>
    <s v="H"/>
    <n v="2"/>
    <n v="2"/>
    <n v="0"/>
    <n v="0"/>
    <n v="0"/>
    <n v="0"/>
    <n v="1458.2245882325999"/>
    <n v="1546.3775905050218"/>
    <n v="0.49402363393222043"/>
    <n v="61"/>
    <n v="77"/>
    <n v="0"/>
    <n v="-16"/>
    <n v="0"/>
    <n v="0.48235204796322095"/>
    <n v="1"/>
    <n v="73"/>
    <n v="73"/>
    <n v="-17.395411744569056"/>
    <n v="1440.829176488031"/>
    <n v="0"/>
    <n v="1"/>
    <n v="0"/>
    <n v="0"/>
    <n v="0"/>
    <n v="0"/>
    <n v="0"/>
    <n v="0"/>
    <n v="0"/>
    <n v="0"/>
  </r>
  <r>
    <d v="2013-08-09T00:00:00"/>
    <n v="2013"/>
    <x v="22"/>
    <s v="R"/>
    <s v="RS"/>
    <x v="2"/>
    <s v="PHX"/>
    <s v="A"/>
    <n v="4"/>
    <n v="2"/>
    <n v="2"/>
    <n v="-2"/>
    <n v="16"/>
    <n v="-16"/>
    <n v="1425.0882599148645"/>
    <n v="1437.2610535268011"/>
    <n v="0.40868400612186401"/>
    <n v="67"/>
    <n v="70"/>
    <n v="0"/>
    <n v="-3"/>
    <n v="0"/>
    <n v="0.28726946121340552"/>
    <n v="1"/>
    <n v="72.55"/>
    <n v="72.55"/>
    <n v="-8.5175466044866468"/>
    <n v="1416.5707133103779"/>
    <n v="0"/>
    <n v="1"/>
    <n v="0"/>
    <n v="0"/>
    <n v="0"/>
    <n v="0"/>
    <n v="0"/>
    <n v="0"/>
    <n v="0"/>
    <n v="0"/>
  </r>
  <r>
    <d v="2013-08-09T00:00:00"/>
    <n v="2013"/>
    <x v="21"/>
    <s v="R"/>
    <s v="RS"/>
    <x v="9"/>
    <s v="TUL"/>
    <s v="H"/>
    <n v="2"/>
    <n v="4"/>
    <n v="-2"/>
    <n v="2"/>
    <n v="-16"/>
    <n v="16"/>
    <n v="1437.2610535268011"/>
    <n v="1425.0882599148645"/>
    <n v="0.59131599387813594"/>
    <n v="70"/>
    <n v="67"/>
    <n v="0"/>
    <n v="3"/>
    <n v="1"/>
    <n v="0.28726946121340552"/>
    <n v="1"/>
    <n v="72.7"/>
    <n v="72.7"/>
    <n v="8.535156969623424"/>
    <n v="1445.7962104964245"/>
    <n v="1"/>
    <n v="0"/>
    <n v="0"/>
    <n v="0"/>
    <n v="0"/>
    <n v="0"/>
    <n v="0"/>
    <n v="0"/>
    <n v="0"/>
    <n v="0"/>
  </r>
  <r>
    <d v="2013-08-09T00:00:00"/>
    <n v="2013"/>
    <x v="21"/>
    <s v="R"/>
    <s v="RS"/>
    <x v="1"/>
    <s v="SEA"/>
    <s v="A"/>
    <n v="2"/>
    <n v="2"/>
    <n v="0"/>
    <n v="0"/>
    <n v="0"/>
    <n v="0"/>
    <n v="1431.4405729856524"/>
    <n v="1484.7358786217424"/>
    <n v="0.31209667634162125"/>
    <n v="77"/>
    <n v="56"/>
    <n v="0"/>
    <n v="21"/>
    <n v="1"/>
    <n v="0.56354758862390975"/>
    <n v="1"/>
    <n v="72.7"/>
    <n v="72.7"/>
    <n v="28.183337047769598"/>
    <n v="1459.6239100334219"/>
    <n v="1"/>
    <n v="0"/>
    <n v="0"/>
    <n v="0"/>
    <n v="0"/>
    <n v="0"/>
    <n v="0"/>
    <n v="0"/>
    <n v="0"/>
    <n v="0"/>
  </r>
  <r>
    <d v="2013-08-09T00:00:00"/>
    <n v="2013"/>
    <x v="20"/>
    <s v="R"/>
    <s v="RS"/>
    <x v="6"/>
    <s v="SAS"/>
    <s v="H"/>
    <n v="2"/>
    <n v="2"/>
    <n v="0"/>
    <n v="0"/>
    <n v="0"/>
    <n v="0"/>
    <n v="1484.7358786217424"/>
    <n v="1431.4405729856524"/>
    <n v="0.68790332365837881"/>
    <n v="56"/>
    <n v="77"/>
    <n v="0"/>
    <n v="-21"/>
    <n v="0"/>
    <n v="0.56354758862390975"/>
    <n v="1"/>
    <n v="72.849999999999994"/>
    <n v="72.849999999999994"/>
    <n v="-28.241486986657709"/>
    <n v="1456.4943916350846"/>
    <n v="0"/>
    <n v="1"/>
    <n v="0"/>
    <n v="0"/>
    <n v="0"/>
    <n v="0"/>
    <n v="0"/>
    <n v="0"/>
    <n v="0"/>
    <n v="0"/>
  </r>
  <r>
    <d v="2013-08-10T00:00:00"/>
    <n v="2013"/>
    <x v="17"/>
    <s v="R"/>
    <s v="RS"/>
    <x v="3"/>
    <s v="IND"/>
    <s v="A"/>
    <n v="6"/>
    <n v="1"/>
    <n v="5"/>
    <n v="-5"/>
    <n v="16"/>
    <n v="-16"/>
    <n v="1542.4250813420124"/>
    <n v="1554.7099354233112"/>
    <n v="0.40852812633411373"/>
    <n v="66"/>
    <n v="80"/>
    <n v="0"/>
    <n v="-14"/>
    <n v="0"/>
    <n v="0.48266686024411987"/>
    <n v="1"/>
    <n v="73.3"/>
    <n v="73.3"/>
    <n v="-14.453513024732016"/>
    <n v="1527.9715683172803"/>
    <n v="0"/>
    <n v="1"/>
    <n v="0"/>
    <n v="0"/>
    <n v="0"/>
    <n v="0"/>
    <n v="0"/>
    <n v="0"/>
    <n v="0"/>
    <n v="0"/>
  </r>
  <r>
    <d v="2013-08-10T00:00:00"/>
    <n v="2013"/>
    <x v="21"/>
    <s v="R"/>
    <s v="RS"/>
    <x v="0"/>
    <s v="ATL"/>
    <s v="H"/>
    <n v="1"/>
    <n v="6"/>
    <n v="-5"/>
    <n v="5"/>
    <n v="-16"/>
    <n v="16"/>
    <n v="1554.7099354233112"/>
    <n v="1542.4250813420124"/>
    <n v="0.59147187366588627"/>
    <n v="80"/>
    <n v="66"/>
    <n v="0"/>
    <n v="14"/>
    <n v="1"/>
    <n v="0.48266686024411987"/>
    <n v="1"/>
    <n v="72.7"/>
    <n v="72.7"/>
    <n v="14.335203231896557"/>
    <n v="1569.0451386552077"/>
    <n v="1"/>
    <n v="0"/>
    <n v="0"/>
    <n v="0"/>
    <n v="0"/>
    <n v="0"/>
    <n v="0"/>
    <n v="0"/>
    <n v="0"/>
    <n v="0"/>
  </r>
  <r>
    <d v="2013-08-10T00:00:00"/>
    <n v="2013"/>
    <x v="22"/>
    <s v="R"/>
    <s v="RS"/>
    <x v="7"/>
    <s v="NYL"/>
    <s v="A"/>
    <n v="1"/>
    <n v="3"/>
    <n v="-2"/>
    <n v="2"/>
    <n v="-16"/>
    <n v="16"/>
    <n v="1626.6655680667125"/>
    <n v="1420.7472032122278"/>
    <n v="0.62658913632443303"/>
    <n v="85"/>
    <n v="67"/>
    <n v="0"/>
    <n v="18"/>
    <n v="1"/>
    <n v="0.46674169351184447"/>
    <n v="1"/>
    <n v="72.55"/>
    <n v="72.55"/>
    <n v="12.644479690299342"/>
    <n v="1639.3100477570117"/>
    <n v="1"/>
    <n v="0"/>
    <n v="0"/>
    <n v="0"/>
    <n v="0"/>
    <n v="0"/>
    <n v="0"/>
    <n v="0"/>
    <n v="0"/>
    <n v="0"/>
  </r>
  <r>
    <d v="2013-08-10T00:00:00"/>
    <n v="2013"/>
    <x v="21"/>
    <s v="R"/>
    <s v="RS"/>
    <x v="4"/>
    <s v="LAS"/>
    <s v="H"/>
    <n v="3"/>
    <n v="1"/>
    <n v="2"/>
    <n v="-2"/>
    <n v="16"/>
    <n v="-16"/>
    <n v="1420.7472032122278"/>
    <n v="1626.6655680667125"/>
    <n v="0.37341086367556708"/>
    <n v="67"/>
    <n v="85"/>
    <n v="0"/>
    <n v="-18"/>
    <n v="0"/>
    <n v="0.46674169351184447"/>
    <n v="1"/>
    <n v="72.7"/>
    <n v="72.7"/>
    <n v="-12.670622653132495"/>
    <n v="1408.0765805590952"/>
    <n v="0"/>
    <n v="1"/>
    <n v="0"/>
    <n v="0"/>
    <n v="0"/>
    <n v="0"/>
    <n v="0"/>
    <n v="0"/>
    <n v="0"/>
    <n v="0"/>
  </r>
  <r>
    <d v="2013-08-11T00:00:00"/>
    <n v="2013"/>
    <x v="22"/>
    <s v="R"/>
    <s v="RS"/>
    <x v="4"/>
    <s v="ATL"/>
    <s v="A"/>
    <n v="0"/>
    <n v="0"/>
    <n v="0"/>
    <n v="0"/>
    <n v="0"/>
    <n v="0"/>
    <n v="1408.0765805590952"/>
    <n v="1527.9715683172803"/>
    <n v="0.23618433587616855"/>
    <n v="88"/>
    <n v="82"/>
    <n v="0"/>
    <n v="6"/>
    <n v="1"/>
    <n v="0.3193715539636694"/>
    <n v="1"/>
    <n v="72.55"/>
    <n v="72.55"/>
    <n v="17.697919230273616"/>
    <n v="1425.7744997893687"/>
    <n v="1"/>
    <n v="0"/>
    <n v="0"/>
    <n v="0"/>
    <n v="0"/>
    <n v="0"/>
    <n v="0"/>
    <n v="0"/>
    <n v="0"/>
    <n v="0"/>
  </r>
  <r>
    <d v="2013-08-11T00:00:00"/>
    <n v="2013"/>
    <x v="18"/>
    <s v="R"/>
    <s v="RS"/>
    <x v="3"/>
    <s v="NYL"/>
    <s v="H"/>
    <n v="0"/>
    <n v="0"/>
    <n v="0"/>
    <n v="0"/>
    <n v="0"/>
    <n v="0"/>
    <n v="1527.9715683172803"/>
    <n v="1408.0765805590952"/>
    <n v="0.76381566412383151"/>
    <n v="82"/>
    <n v="88"/>
    <n v="0"/>
    <n v="-6"/>
    <n v="0"/>
    <n v="0.3193715539636694"/>
    <n v="1"/>
    <n v="73.150000000000006"/>
    <n v="73.150000000000006"/>
    <n v="-17.844283827629432"/>
    <n v="1510.1272844896509"/>
    <n v="0"/>
    <n v="1"/>
    <n v="0"/>
    <n v="0"/>
    <n v="0"/>
    <n v="0"/>
    <n v="0"/>
    <n v="0"/>
    <n v="0"/>
    <n v="0"/>
  </r>
  <r>
    <d v="2013-08-11T00:00:00"/>
    <n v="2013"/>
    <x v="21"/>
    <s v="R"/>
    <s v="RS"/>
    <x v="11"/>
    <s v="CHI"/>
    <s v="A"/>
    <n v="2"/>
    <n v="1"/>
    <n v="1"/>
    <n v="-1"/>
    <n v="8"/>
    <n v="-8"/>
    <n v="1669.030564501433"/>
    <n v="1563.7372582528553"/>
    <n v="0.55346420818566644"/>
    <n v="86"/>
    <n v="94"/>
    <n v="1"/>
    <n v="-8"/>
    <n v="0"/>
    <n v="0.32129236838619002"/>
    <n v="1"/>
    <n v="72.7"/>
    <n v="72.7"/>
    <n v="-12.927792169462601"/>
    <n v="1656.1027723319703"/>
    <n v="0"/>
    <n v="1"/>
    <n v="0"/>
    <n v="0"/>
    <n v="0"/>
    <n v="0"/>
    <n v="0"/>
    <n v="0"/>
    <n v="0"/>
    <n v="0"/>
  </r>
  <r>
    <d v="2013-08-11T00:00:00"/>
    <n v="2013"/>
    <x v="21"/>
    <s v="R"/>
    <s v="RS"/>
    <x v="8"/>
    <s v="MIN"/>
    <s v="H"/>
    <n v="1"/>
    <n v="2"/>
    <n v="-1"/>
    <n v="1"/>
    <n v="-8"/>
    <n v="8"/>
    <n v="1563.7372582528553"/>
    <n v="1669.030564501433"/>
    <n v="0.4465357918143335"/>
    <n v="94"/>
    <n v="86"/>
    <n v="1"/>
    <n v="8"/>
    <n v="1"/>
    <n v="0.32129236838619002"/>
    <n v="1"/>
    <n v="72.7"/>
    <n v="72.7"/>
    <n v="12.927792169462601"/>
    <n v="1576.665050422318"/>
    <n v="1"/>
    <n v="0"/>
    <n v="0"/>
    <n v="0"/>
    <n v="0"/>
    <n v="0"/>
    <n v="0"/>
    <n v="0"/>
    <n v="0"/>
    <n v="0"/>
  </r>
  <r>
    <d v="2013-08-11T00:00:00"/>
    <n v="2013"/>
    <x v="23"/>
    <s v="R"/>
    <s v="RS"/>
    <x v="2"/>
    <s v="PHX"/>
    <s v="A"/>
    <n v="1"/>
    <n v="1"/>
    <n v="0"/>
    <n v="0"/>
    <n v="0"/>
    <n v="0"/>
    <n v="1416.5707133103779"/>
    <n v="1445.7962104964245"/>
    <n v="0.34258890108120282"/>
    <n v="56"/>
    <n v="77"/>
    <n v="0"/>
    <n v="-21"/>
    <n v="0"/>
    <n v="0.57458257166136983"/>
    <n v="1"/>
    <n v="72.400000000000006"/>
    <n v="72.400000000000006"/>
    <n v="-14.251622294745726"/>
    <n v="1402.3190910156322"/>
    <n v="0"/>
    <n v="1"/>
    <n v="0"/>
    <n v="0"/>
    <n v="0"/>
    <n v="0"/>
    <n v="0"/>
    <n v="0"/>
    <n v="0"/>
    <n v="0"/>
  </r>
  <r>
    <d v="2013-08-11T00:00:00"/>
    <n v="2013"/>
    <x v="22"/>
    <s v="R"/>
    <s v="RS"/>
    <x v="9"/>
    <s v="TUL"/>
    <s v="H"/>
    <n v="1"/>
    <n v="1"/>
    <n v="0"/>
    <n v="0"/>
    <n v="0"/>
    <n v="0"/>
    <n v="1445.7962104964245"/>
    <n v="1416.5707133103779"/>
    <n v="0.65741109891879712"/>
    <n v="77"/>
    <n v="56"/>
    <n v="0"/>
    <n v="21"/>
    <n v="1"/>
    <n v="0.57458257166136983"/>
    <n v="1"/>
    <n v="72.55"/>
    <n v="72.55"/>
    <n v="14.281149136516607"/>
    <n v="1460.0773596329411"/>
    <n v="1"/>
    <n v="0"/>
    <n v="0"/>
    <n v="0"/>
    <n v="0"/>
    <n v="0"/>
    <n v="0"/>
    <n v="0"/>
    <n v="0"/>
    <n v="0"/>
  </r>
  <r>
    <d v="2013-08-11T00:00:00"/>
    <n v="2013"/>
    <x v="22"/>
    <s v="R"/>
    <s v="RS"/>
    <x v="1"/>
    <s v="SEA"/>
    <s v="A"/>
    <n v="1"/>
    <n v="1"/>
    <n v="0"/>
    <n v="0"/>
    <n v="0"/>
    <n v="0"/>
    <n v="1459.6239100334219"/>
    <n v="1456.4943916350846"/>
    <n v="0.38567527120733452"/>
    <n v="63"/>
    <n v="69"/>
    <n v="0"/>
    <n v="-6"/>
    <n v="0"/>
    <n v="0.35036702770817213"/>
    <n v="1"/>
    <n v="72.55"/>
    <n v="72.55"/>
    <n v="-9.8035290313473045"/>
    <n v="1449.8203810020746"/>
    <n v="0"/>
    <n v="1"/>
    <n v="0"/>
    <n v="0"/>
    <n v="0"/>
    <n v="0"/>
    <n v="0"/>
    <n v="0"/>
    <n v="0"/>
    <n v="0"/>
  </r>
  <r>
    <d v="2013-08-11T00:00:00"/>
    <n v="2013"/>
    <x v="21"/>
    <s v="R"/>
    <s v="RS"/>
    <x v="6"/>
    <s v="SAS"/>
    <s v="H"/>
    <n v="1"/>
    <n v="1"/>
    <n v="0"/>
    <n v="0"/>
    <n v="0"/>
    <n v="0"/>
    <n v="1456.4943916350846"/>
    <n v="1459.6239100334219"/>
    <n v="0.61432472879266542"/>
    <n v="69"/>
    <n v="63"/>
    <n v="0"/>
    <n v="6"/>
    <n v="1"/>
    <n v="0.35036702770817213"/>
    <n v="1"/>
    <n v="72.7"/>
    <n v="72.7"/>
    <n v="9.8237982161123245"/>
    <n v="1466.3181898511971"/>
    <n v="1"/>
    <n v="0"/>
    <n v="0"/>
    <n v="0"/>
    <n v="0"/>
    <n v="0"/>
    <n v="0"/>
    <n v="0"/>
    <n v="0"/>
    <n v="0"/>
  </r>
  <r>
    <d v="2013-08-11T00:00:00"/>
    <n v="2013"/>
    <x v="20"/>
    <s v="R"/>
    <s v="RS"/>
    <x v="5"/>
    <s v="WAS"/>
    <s v="A"/>
    <n v="1"/>
    <n v="2"/>
    <n v="-1"/>
    <n v="1"/>
    <n v="-8"/>
    <n v="8"/>
    <n v="1440.829176488031"/>
    <n v="1407.5238734667619"/>
    <n v="0.40518045510763612"/>
    <n v="63"/>
    <n v="74"/>
    <n v="0"/>
    <n v="-11"/>
    <n v="0"/>
    <n v="0.42795823792874377"/>
    <n v="1"/>
    <n v="72.849999999999994"/>
    <n v="72.849999999999994"/>
    <n v="-12.632212846563565"/>
    <n v="1428.1969636414674"/>
    <n v="0"/>
    <n v="1"/>
    <n v="0"/>
    <n v="0"/>
    <n v="0"/>
    <n v="0"/>
    <n v="0"/>
    <n v="0"/>
    <n v="0"/>
    <n v="0"/>
  </r>
  <r>
    <d v="2013-08-11T00:00:00"/>
    <n v="2013"/>
    <x v="23"/>
    <s v="R"/>
    <s v="RS"/>
    <x v="10"/>
    <s v="CON"/>
    <s v="H"/>
    <n v="2"/>
    <n v="1"/>
    <n v="1"/>
    <n v="-1"/>
    <n v="8"/>
    <n v="-8"/>
    <n v="1407.5238734667619"/>
    <n v="1440.829176488031"/>
    <n v="0.59481954489236388"/>
    <n v="74"/>
    <n v="63"/>
    <n v="0"/>
    <n v="11"/>
    <n v="1"/>
    <n v="0.42795823792874377"/>
    <n v="1"/>
    <n v="72.400000000000006"/>
    <n v="72.400000000000006"/>
    <n v="12.554182705438604"/>
    <n v="1420.0780561722004"/>
    <n v="1"/>
    <n v="0"/>
    <n v="0"/>
    <n v="0"/>
    <n v="0"/>
    <n v="0"/>
    <n v="0"/>
    <n v="0"/>
    <n v="0"/>
    <n v="0"/>
  </r>
  <r>
    <d v="2013-08-13T00:00:00"/>
    <n v="2013"/>
    <x v="22"/>
    <s v="R"/>
    <s v="RS"/>
    <x v="8"/>
    <s v="LAS"/>
    <s v="A"/>
    <n v="1"/>
    <n v="2"/>
    <n v="-1"/>
    <n v="1"/>
    <n v="-8"/>
    <n v="8"/>
    <n v="1576.665050422318"/>
    <n v="1639.3100477570117"/>
    <n v="0.28165645098780595"/>
    <n v="76"/>
    <n v="80"/>
    <n v="0"/>
    <n v="-4"/>
    <n v="0"/>
    <n v="0.29598127951525249"/>
    <n v="1"/>
    <n v="72.55"/>
    <n v="72.55"/>
    <n v="-6.048133416001801"/>
    <n v="1570.6169170063163"/>
    <n v="0"/>
    <n v="1"/>
    <n v="0"/>
    <n v="0"/>
    <n v="0"/>
    <n v="0"/>
    <n v="0"/>
    <n v="0"/>
    <n v="0"/>
    <n v="0"/>
  </r>
  <r>
    <d v="2013-08-13T00:00:00"/>
    <n v="2013"/>
    <x v="23"/>
    <s v="R"/>
    <s v="RS"/>
    <x v="7"/>
    <s v="CHI"/>
    <s v="H"/>
    <n v="2"/>
    <n v="1"/>
    <n v="1"/>
    <n v="-1"/>
    <n v="8"/>
    <n v="-8"/>
    <n v="1639.3100477570117"/>
    <n v="1576.665050422318"/>
    <n v="0.71834354901219399"/>
    <n v="80"/>
    <n v="76"/>
    <n v="0"/>
    <n v="4"/>
    <n v="1"/>
    <n v="0.29598127951525249"/>
    <n v="1"/>
    <n v="72.400000000000006"/>
    <n v="72.400000000000006"/>
    <n v="6.0356286604897385"/>
    <n v="1645.3456764175014"/>
    <n v="1"/>
    <n v="0"/>
    <n v="0"/>
    <n v="0"/>
    <n v="0"/>
    <n v="0"/>
    <n v="0"/>
    <n v="0"/>
    <n v="0"/>
    <n v="0"/>
  </r>
  <r>
    <d v="2013-08-14T00:00:00"/>
    <n v="2013"/>
    <x v="19"/>
    <s v="R"/>
    <s v="RS"/>
    <x v="3"/>
    <s v="CON"/>
    <s v="A"/>
    <n v="2"/>
    <n v="2"/>
    <n v="0"/>
    <n v="0"/>
    <n v="0"/>
    <n v="0"/>
    <n v="1510.1272844896509"/>
    <n v="1428.1969636414674"/>
    <n v="0.49702152750489959"/>
    <n v="86"/>
    <n v="88"/>
    <n v="0"/>
    <n v="-2"/>
    <n v="0"/>
    <n v="0.25072313193976453"/>
    <n v="1"/>
    <n v="73"/>
    <n v="73"/>
    <n v="-9.0968799632785409"/>
    <n v="1501.0304045263724"/>
    <n v="0"/>
    <n v="1"/>
    <n v="0"/>
    <n v="0"/>
    <n v="0"/>
    <n v="0"/>
    <n v="0"/>
    <n v="0"/>
    <n v="0"/>
    <n v="0"/>
  </r>
  <r>
    <d v="2013-08-14T00:00:00"/>
    <n v="2013"/>
    <x v="21"/>
    <s v="R"/>
    <s v="RS"/>
    <x v="5"/>
    <s v="ATL"/>
    <s v="H"/>
    <n v="2"/>
    <n v="2"/>
    <n v="0"/>
    <n v="0"/>
    <n v="0"/>
    <n v="0"/>
    <n v="1428.1969636414674"/>
    <n v="1510.1272844896509"/>
    <n v="0.5029784724951003"/>
    <n v="88"/>
    <n v="86"/>
    <n v="0"/>
    <n v="2"/>
    <n v="1"/>
    <n v="0.25072313193976453"/>
    <n v="1"/>
    <n v="72.7"/>
    <n v="72.7"/>
    <n v="9.059495525073288"/>
    <n v="1437.2564591665407"/>
    <n v="1"/>
    <n v="0"/>
    <n v="0"/>
    <n v="0"/>
    <n v="0"/>
    <n v="0"/>
    <n v="0"/>
    <n v="0"/>
    <n v="0"/>
    <n v="0"/>
  </r>
  <r>
    <d v="2013-08-14T00:00:00"/>
    <n v="2013"/>
    <x v="22"/>
    <s v="R"/>
    <s v="RS"/>
    <x v="0"/>
    <s v="PHX"/>
    <s v="A"/>
    <n v="3"/>
    <n v="2"/>
    <n v="1"/>
    <n v="-1"/>
    <n v="8"/>
    <n v="-8"/>
    <n v="1569.0451386552077"/>
    <n v="1460.0773596329411"/>
    <n v="0.55868563889825029"/>
    <n v="58"/>
    <n v="75"/>
    <n v="0"/>
    <n v="-17"/>
    <n v="0"/>
    <n v="0.48811780789260212"/>
    <n v="1"/>
    <n v="72.55"/>
    <n v="72.55"/>
    <n v="-19.784704899074658"/>
    <n v="1549.2604337561329"/>
    <n v="0"/>
    <n v="1"/>
    <n v="0"/>
    <n v="0"/>
    <n v="0"/>
    <n v="0"/>
    <n v="0"/>
    <n v="0"/>
    <n v="0"/>
    <n v="0"/>
  </r>
  <r>
    <d v="2013-08-14T00:00:00"/>
    <n v="2013"/>
    <x v="23"/>
    <s v="R"/>
    <s v="RS"/>
    <x v="9"/>
    <s v="IND"/>
    <s v="H"/>
    <n v="2"/>
    <n v="3"/>
    <n v="-1"/>
    <n v="1"/>
    <n v="-8"/>
    <n v="8"/>
    <n v="1460.0773596329411"/>
    <n v="1569.0451386552077"/>
    <n v="0.44131436110174965"/>
    <n v="75"/>
    <n v="58"/>
    <n v="0"/>
    <n v="17"/>
    <n v="1"/>
    <n v="0.48811780789260212"/>
    <n v="1"/>
    <n v="72.400000000000006"/>
    <n v="72.400000000000006"/>
    <n v="19.743799237670654"/>
    <n v="1479.8211588706117"/>
    <n v="1"/>
    <n v="0"/>
    <n v="0"/>
    <n v="0"/>
    <n v="0"/>
    <n v="0"/>
    <n v="0"/>
    <n v="0"/>
    <n v="0"/>
    <n v="0"/>
  </r>
  <r>
    <d v="2013-08-15T00:00:00"/>
    <n v="2013"/>
    <x v="23"/>
    <s v="R"/>
    <s v="RS"/>
    <x v="8"/>
    <s v="SEA"/>
    <s v="A"/>
    <n v="1"/>
    <n v="3"/>
    <n v="-2"/>
    <n v="2"/>
    <n v="-16"/>
    <n v="16"/>
    <n v="1570.6169170063163"/>
    <n v="1466.3181898511971"/>
    <n v="0.48316687870721003"/>
    <n v="79"/>
    <n v="66"/>
    <n v="0"/>
    <n v="13"/>
    <n v="1"/>
    <n v="0.4342966032117988"/>
    <n v="1"/>
    <n v="72.400000000000006"/>
    <n v="72.400000000000006"/>
    <n v="16.250822115948264"/>
    <n v="1586.8677391222645"/>
    <n v="1"/>
    <n v="0"/>
    <n v="0"/>
    <n v="0"/>
    <n v="0"/>
    <n v="0"/>
    <n v="0"/>
    <n v="0"/>
    <n v="0"/>
    <n v="0"/>
  </r>
  <r>
    <d v="2013-08-15T00:00:00"/>
    <n v="2013"/>
    <x v="22"/>
    <s v="R"/>
    <s v="RS"/>
    <x v="6"/>
    <s v="CHI"/>
    <s v="H"/>
    <n v="3"/>
    <n v="1"/>
    <n v="2"/>
    <n v="-2"/>
    <n v="16"/>
    <n v="-16"/>
    <n v="1466.3181898511971"/>
    <n v="1570.6169170063163"/>
    <n v="0.51683312129278991"/>
    <n v="66"/>
    <n v="79"/>
    <n v="0"/>
    <n v="-13"/>
    <n v="0"/>
    <n v="0.4342966032117988"/>
    <n v="1"/>
    <n v="72.55"/>
    <n v="72.55"/>
    <n v="-16.284490946298984"/>
    <n v="1450.0336989048981"/>
    <n v="0"/>
    <n v="1"/>
    <n v="0"/>
    <n v="0"/>
    <n v="0"/>
    <n v="0"/>
    <n v="0"/>
    <n v="0"/>
    <n v="0"/>
    <n v="0"/>
  </r>
  <r>
    <d v="2013-08-16T00:00:00"/>
    <n v="2013"/>
    <x v="22"/>
    <s v="R"/>
    <s v="RS"/>
    <x v="5"/>
    <s v="ATL"/>
    <s v="A"/>
    <n v="1"/>
    <n v="1"/>
    <n v="0"/>
    <n v="0"/>
    <n v="0"/>
    <n v="0"/>
    <n v="1437.2564591665407"/>
    <n v="1501.0304045263724"/>
    <n v="0.29929543048806828"/>
    <n v="57"/>
    <n v="88"/>
    <n v="0"/>
    <n v="-31"/>
    <n v="0"/>
    <n v="0.67937897581730167"/>
    <n v="1"/>
    <n v="72.55"/>
    <n v="72.55"/>
    <n v="-14.751955920955799"/>
    <n v="1422.5045032455848"/>
    <n v="0"/>
    <n v="1"/>
    <n v="0"/>
    <n v="0"/>
    <n v="0"/>
    <n v="0"/>
    <n v="0"/>
    <n v="0"/>
    <n v="0"/>
    <n v="0"/>
  </r>
  <r>
    <d v="2013-08-16T00:00:00"/>
    <n v="2013"/>
    <x v="20"/>
    <s v="R"/>
    <s v="RS"/>
    <x v="3"/>
    <s v="CON"/>
    <s v="H"/>
    <n v="1"/>
    <n v="1"/>
    <n v="0"/>
    <n v="0"/>
    <n v="0"/>
    <n v="0"/>
    <n v="1501.0304045263724"/>
    <n v="1437.2564591665407"/>
    <n v="0.70070456951193172"/>
    <n v="88"/>
    <n v="57"/>
    <n v="0"/>
    <n v="31"/>
    <n v="1"/>
    <n v="0.67937897581730167"/>
    <n v="1"/>
    <n v="72.849999999999994"/>
    <n v="72.849999999999994"/>
    <n v="14.812956427865336"/>
    <n v="1515.8433609542378"/>
    <n v="1"/>
    <n v="0"/>
    <n v="0"/>
    <n v="0"/>
    <n v="0"/>
    <n v="0"/>
    <n v="0"/>
    <n v="0"/>
    <n v="0"/>
    <n v="0"/>
  </r>
  <r>
    <d v="2013-08-16T00:00:00"/>
    <n v="2013"/>
    <x v="23"/>
    <s v="R"/>
    <s v="RS"/>
    <x v="0"/>
    <s v="LAS"/>
    <s v="A"/>
    <n v="1"/>
    <n v="2"/>
    <n v="-1"/>
    <n v="1"/>
    <n v="-8"/>
    <n v="8"/>
    <n v="1549.2604337561329"/>
    <n v="1645.3456764175014"/>
    <n v="0.24439049274815999"/>
    <n v="72"/>
    <n v="94"/>
    <n v="0"/>
    <n v="-22"/>
    <n v="0"/>
    <n v="0.5574227541551976"/>
    <n v="1"/>
    <n v="72.400000000000006"/>
    <n v="72.400000000000006"/>
    <n v="-9.8629666807286238"/>
    <n v="1539.3974670754042"/>
    <n v="0"/>
    <n v="1"/>
    <n v="0"/>
    <n v="0"/>
    <n v="0"/>
    <n v="0"/>
    <n v="0"/>
    <n v="0"/>
    <n v="0"/>
    <n v="0"/>
  </r>
  <r>
    <d v="2013-08-16T00:00:00"/>
    <n v="2013"/>
    <x v="24"/>
    <s v="R"/>
    <s v="RS"/>
    <x v="7"/>
    <s v="IND"/>
    <s v="H"/>
    <n v="2"/>
    <n v="1"/>
    <n v="1"/>
    <n v="-1"/>
    <n v="8"/>
    <n v="-8"/>
    <n v="1645.3456764175014"/>
    <n v="1549.2604337561329"/>
    <n v="0.75560950725184006"/>
    <n v="94"/>
    <n v="72"/>
    <n v="0"/>
    <n v="22"/>
    <n v="1"/>
    <n v="0.5574227541551976"/>
    <n v="1"/>
    <n v="72.25"/>
    <n v="72.25"/>
    <n v="9.8425323574950685"/>
    <n v="1655.1882087749964"/>
    <n v="1"/>
    <n v="0"/>
    <n v="0"/>
    <n v="0"/>
    <n v="0"/>
    <n v="0"/>
    <n v="0"/>
    <n v="0"/>
    <n v="0"/>
    <n v="0"/>
  </r>
  <r>
    <d v="2013-08-16T00:00:00"/>
    <n v="2013"/>
    <x v="24"/>
    <s v="R"/>
    <s v="RS"/>
    <x v="2"/>
    <s v="MIN"/>
    <s v="A"/>
    <n v="4"/>
    <n v="4"/>
    <n v="0"/>
    <n v="0"/>
    <n v="0"/>
    <n v="0"/>
    <n v="1402.3190910156322"/>
    <n v="1656.1027723319703"/>
    <n v="0.12516097675915722"/>
    <n v="83"/>
    <n v="77"/>
    <n v="0"/>
    <n v="6"/>
    <n v="1"/>
    <n v="0.28995848469526542"/>
    <n v="1"/>
    <n v="72.25"/>
    <n v="72.25"/>
    <n v="18.327440571629261"/>
    <n v="1420.6465315872615"/>
    <n v="1"/>
    <n v="0"/>
    <n v="0"/>
    <n v="0"/>
    <n v="0"/>
    <n v="0"/>
    <n v="0"/>
    <n v="0"/>
    <n v="0"/>
    <n v="0"/>
  </r>
  <r>
    <d v="2013-08-16T00:00:00"/>
    <n v="2013"/>
    <x v="22"/>
    <s v="R"/>
    <s v="RS"/>
    <x v="11"/>
    <s v="TUL"/>
    <s v="H"/>
    <n v="4"/>
    <n v="4"/>
    <n v="0"/>
    <n v="0"/>
    <n v="0"/>
    <n v="0"/>
    <n v="1656.1027723319703"/>
    <n v="1402.3190910156322"/>
    <n v="0.87483902324084273"/>
    <n v="77"/>
    <n v="83"/>
    <n v="0"/>
    <n v="-6"/>
    <n v="0"/>
    <n v="0.28995848469526542"/>
    <n v="1"/>
    <n v="72.55"/>
    <n v="72.55"/>
    <n v="-18.403540670888621"/>
    <n v="1637.6992316610817"/>
    <n v="0"/>
    <n v="1"/>
    <n v="0"/>
    <n v="0"/>
    <n v="0"/>
    <n v="0"/>
    <n v="0"/>
    <n v="0"/>
    <n v="0"/>
    <n v="0"/>
  </r>
  <r>
    <d v="2013-08-16T00:00:00"/>
    <n v="2013"/>
    <x v="24"/>
    <s v="R"/>
    <s v="RS"/>
    <x v="10"/>
    <s v="NYL"/>
    <s v="A"/>
    <n v="4"/>
    <n v="4"/>
    <n v="0"/>
    <n v="0"/>
    <n v="0"/>
    <n v="0"/>
    <n v="1420.0780561722004"/>
    <n v="1425.7744997893687"/>
    <n v="0.37370981091737632"/>
    <n v="66"/>
    <n v="57"/>
    <n v="0"/>
    <n v="9"/>
    <n v="1"/>
    <n v="0.4040534706357447"/>
    <n v="1"/>
    <n v="72.25"/>
    <n v="72.25"/>
    <n v="18.283203846855454"/>
    <n v="1438.3612600190559"/>
    <n v="1"/>
    <n v="0"/>
    <n v="0"/>
    <n v="0"/>
    <n v="0"/>
    <n v="0"/>
    <n v="0"/>
    <n v="0"/>
    <n v="0"/>
    <n v="0"/>
  </r>
  <r>
    <d v="2013-08-16T00:00:00"/>
    <n v="2013"/>
    <x v="23"/>
    <s v="R"/>
    <s v="RS"/>
    <x v="4"/>
    <s v="WAS"/>
    <s v="H"/>
    <n v="4"/>
    <n v="4"/>
    <n v="0"/>
    <n v="0"/>
    <n v="0"/>
    <n v="0"/>
    <n v="1425.7744997893687"/>
    <n v="1420.0780561722004"/>
    <n v="0.62629018908262379"/>
    <n v="57"/>
    <n v="66"/>
    <n v="0"/>
    <n v="-9"/>
    <n v="0"/>
    <n v="0.4040534706357447"/>
    <n v="1"/>
    <n v="72.400000000000006"/>
    <n v="72.400000000000006"/>
    <n v="-18.32116205553405"/>
    <n v="1407.4533377338346"/>
    <n v="0"/>
    <n v="1"/>
    <n v="0"/>
    <n v="0"/>
    <n v="0"/>
    <n v="0"/>
    <n v="0"/>
    <n v="0"/>
    <n v="0"/>
    <n v="0"/>
  </r>
  <r>
    <d v="2013-08-17T00:00:00"/>
    <n v="2013"/>
    <x v="24"/>
    <s v="R"/>
    <s v="RS"/>
    <x v="9"/>
    <s v="SAS"/>
    <s v="A"/>
    <n v="2"/>
    <n v="5"/>
    <n v="-3"/>
    <n v="3"/>
    <n v="-16"/>
    <n v="16"/>
    <n v="1479.8211588706117"/>
    <n v="1449.8203810020746"/>
    <n v="0.37870433043995055"/>
    <n v="82"/>
    <n v="88"/>
    <n v="0"/>
    <n v="-6"/>
    <n v="0"/>
    <n v="0.34271272091361554"/>
    <n v="1"/>
    <n v="72.25"/>
    <n v="72.25"/>
    <n v="-9.3770956863695094"/>
    <n v="1470.4440631842422"/>
    <n v="0"/>
    <n v="1"/>
    <n v="0"/>
    <n v="0"/>
    <n v="0"/>
    <n v="0"/>
    <n v="0"/>
    <n v="0"/>
    <n v="0"/>
    <n v="0"/>
  </r>
  <r>
    <d v="2013-08-17T00:00:00"/>
    <n v="2013"/>
    <x v="23"/>
    <s v="R"/>
    <s v="RS"/>
    <x v="1"/>
    <s v="PHX"/>
    <s v="H"/>
    <n v="5"/>
    <n v="2"/>
    <n v="3"/>
    <n v="-3"/>
    <n v="16"/>
    <n v="-16"/>
    <n v="1449.8203810020746"/>
    <n v="1479.8211588706117"/>
    <n v="0.62129566956004945"/>
    <n v="88"/>
    <n v="82"/>
    <n v="0"/>
    <n v="6"/>
    <n v="1"/>
    <n v="0.34271272091361554"/>
    <n v="1"/>
    <n v="72.400000000000006"/>
    <n v="72.400000000000006"/>
    <n v="9.3965637050955362"/>
    <n v="1459.2169447071701"/>
    <n v="1"/>
    <n v="0"/>
    <n v="0"/>
    <n v="0"/>
    <n v="0"/>
    <n v="0"/>
    <n v="0"/>
    <n v="0"/>
    <n v="0"/>
    <n v="0"/>
  </r>
  <r>
    <d v="2013-08-17T00:00:00"/>
    <n v="2013"/>
    <x v="24"/>
    <s v="R"/>
    <s v="RS"/>
    <x v="0"/>
    <s v="SEA"/>
    <s v="A"/>
    <n v="0"/>
    <n v="1"/>
    <n v="-1"/>
    <n v="1"/>
    <n v="-8"/>
    <n v="8"/>
    <n v="1539.3974670754042"/>
    <n v="1450.0336989048981"/>
    <n v="0.48469801194909212"/>
    <n v="70"/>
    <n v="77"/>
    <n v="0"/>
    <n v="-7"/>
    <n v="0"/>
    <n v="0.34445562838698618"/>
    <n v="1"/>
    <n v="72.25"/>
    <n v="72.25"/>
    <n v="-12.062640236007979"/>
    <n v="1527.3348268393961"/>
    <n v="0"/>
    <n v="1"/>
    <n v="0"/>
    <n v="0"/>
    <n v="0"/>
    <n v="0"/>
    <n v="0"/>
    <n v="0"/>
    <n v="0"/>
    <n v="0"/>
  </r>
  <r>
    <d v="2013-08-17T00:00:00"/>
    <n v="2013"/>
    <x v="23"/>
    <s v="R"/>
    <s v="RS"/>
    <x v="6"/>
    <s v="IND"/>
    <s v="H"/>
    <n v="1"/>
    <n v="0"/>
    <n v="1"/>
    <n v="-1"/>
    <n v="8"/>
    <n v="-8"/>
    <n v="1450.0336989048981"/>
    <n v="1539.3974670754042"/>
    <n v="0.51530198805090799"/>
    <n v="77"/>
    <n v="70"/>
    <n v="0"/>
    <n v="7"/>
    <n v="1"/>
    <n v="0.34445562838698618"/>
    <n v="1"/>
    <n v="72.400000000000006"/>
    <n v="72.400000000000006"/>
    <n v="12.087683779750556"/>
    <n v="1462.1213826846486"/>
    <n v="1"/>
    <n v="0"/>
    <n v="0"/>
    <n v="0"/>
    <n v="0"/>
    <n v="0"/>
    <n v="0"/>
    <n v="0"/>
    <n v="0"/>
    <n v="0"/>
  </r>
  <r>
    <d v="2013-08-18T00:00:00"/>
    <n v="2013"/>
    <x v="25"/>
    <s v="R"/>
    <s v="RS"/>
    <x v="10"/>
    <s v="ATL"/>
    <s v="A"/>
    <n v="1"/>
    <n v="1"/>
    <n v="0"/>
    <n v="0"/>
    <n v="0"/>
    <n v="0"/>
    <n v="1438.3612600190559"/>
    <n v="1515.8433609542378"/>
    <n v="0.28301283367995372"/>
    <n v="58"/>
    <n v="76"/>
    <n v="0"/>
    <n v="-18"/>
    <n v="0"/>
    <n v="0.51366725065753416"/>
    <n v="1"/>
    <n v="72.099999999999994"/>
    <n v="72.099999999999994"/>
    <n v="-10.481495983174664"/>
    <n v="1427.8797640358812"/>
    <n v="0"/>
    <n v="1"/>
    <n v="0"/>
    <n v="0"/>
    <n v="0"/>
    <n v="0"/>
    <n v="0"/>
    <n v="0"/>
    <n v="0"/>
    <n v="0"/>
  </r>
  <r>
    <d v="2013-08-18T00:00:00"/>
    <n v="2013"/>
    <x v="21"/>
    <s v="R"/>
    <s v="RS"/>
    <x v="3"/>
    <s v="WAS"/>
    <s v="H"/>
    <n v="1"/>
    <n v="1"/>
    <n v="0"/>
    <n v="0"/>
    <n v="0"/>
    <n v="0"/>
    <n v="1515.8433609542378"/>
    <n v="1438.3612600190559"/>
    <n v="0.71698716632004622"/>
    <n v="76"/>
    <n v="58"/>
    <n v="0"/>
    <n v="18"/>
    <n v="1"/>
    <n v="0.51366725065753416"/>
    <n v="1"/>
    <n v="72.7"/>
    <n v="72.7"/>
    <n v="10.568720637680974"/>
    <n v="1526.4120815919189"/>
    <n v="1"/>
    <n v="0"/>
    <n v="0"/>
    <n v="0"/>
    <n v="0"/>
    <n v="0"/>
    <n v="0"/>
    <n v="0"/>
    <n v="0"/>
    <n v="0"/>
  </r>
  <r>
    <d v="2013-08-18T00:00:00"/>
    <n v="2013"/>
    <x v="23"/>
    <s v="R"/>
    <s v="RS"/>
    <x v="5"/>
    <s v="CHI"/>
    <s v="A"/>
    <n v="1"/>
    <n v="2"/>
    <n v="-1"/>
    <n v="1"/>
    <n v="-8"/>
    <n v="8"/>
    <n v="1422.5045032455848"/>
    <n v="1586.8677391222645"/>
    <n v="0.17919703749032126"/>
    <n v="78"/>
    <n v="89"/>
    <n v="0"/>
    <n v="-11"/>
    <n v="0"/>
    <n v="0.38684944773523938"/>
    <n v="1"/>
    <n v="72.400000000000006"/>
    <n v="72.400000000000006"/>
    <n v="-5.0189327091979363"/>
    <n v="1417.4855705363868"/>
    <n v="0"/>
    <n v="1"/>
    <n v="0"/>
    <n v="0"/>
    <n v="0"/>
    <n v="0"/>
    <n v="0"/>
    <n v="0"/>
    <n v="0"/>
    <n v="0"/>
  </r>
  <r>
    <d v="2013-08-18T00:00:00"/>
    <n v="2013"/>
    <x v="24"/>
    <s v="R"/>
    <s v="RS"/>
    <x v="8"/>
    <s v="CON"/>
    <s v="H"/>
    <n v="2"/>
    <n v="1"/>
    <n v="1"/>
    <n v="-1"/>
    <n v="8"/>
    <n v="-8"/>
    <n v="1586.8677391222645"/>
    <n v="1422.5045032455848"/>
    <n v="0.82080296250967877"/>
    <n v="89"/>
    <n v="78"/>
    <n v="0"/>
    <n v="11"/>
    <n v="1"/>
    <n v="0.38684944773523938"/>
    <n v="1"/>
    <n v="72.25"/>
    <n v="72.25"/>
    <n v="5.0085343679495971"/>
    <n v="1591.8762734902141"/>
    <n v="1"/>
    <n v="0"/>
    <n v="0"/>
    <n v="0"/>
    <n v="0"/>
    <n v="0"/>
    <n v="0"/>
    <n v="0"/>
    <n v="0"/>
    <n v="0"/>
  </r>
  <r>
    <d v="2013-08-18T00:00:00"/>
    <n v="2013"/>
    <x v="24"/>
    <s v="R"/>
    <s v="RS"/>
    <x v="4"/>
    <s v="MIN"/>
    <s v="A"/>
    <n v="1"/>
    <n v="1"/>
    <n v="0"/>
    <n v="0"/>
    <n v="0"/>
    <n v="0"/>
    <n v="1407.4533377338346"/>
    <n v="1637.6992316610817"/>
    <n v="0.14076570731674054"/>
    <n v="57"/>
    <n v="88"/>
    <n v="0"/>
    <n v="-31"/>
    <n v="0"/>
    <n v="0.60030338301172348"/>
    <n v="1"/>
    <n v="72.25"/>
    <n v="72.25"/>
    <n v="-6.1052789152065472"/>
    <n v="1401.348058818628"/>
    <n v="0"/>
    <n v="1"/>
    <n v="0"/>
    <n v="0"/>
    <n v="0"/>
    <n v="0"/>
    <n v="0"/>
    <n v="0"/>
    <n v="0"/>
    <n v="0"/>
  </r>
  <r>
    <d v="2013-08-18T00:00:00"/>
    <n v="2013"/>
    <x v="23"/>
    <s v="R"/>
    <s v="RS"/>
    <x v="11"/>
    <s v="NYL"/>
    <s v="H"/>
    <n v="1"/>
    <n v="1"/>
    <n v="0"/>
    <n v="0"/>
    <n v="0"/>
    <n v="0"/>
    <n v="1637.6992316610817"/>
    <n v="1407.4533377338346"/>
    <n v="0.85923429268325946"/>
    <n v="88"/>
    <n v="57"/>
    <n v="0"/>
    <n v="31"/>
    <n v="1"/>
    <n v="0.60030338301172348"/>
    <n v="1"/>
    <n v="72.400000000000006"/>
    <n v="72.400000000000006"/>
    <n v="6.1179542347536895"/>
    <n v="1643.8171858958353"/>
    <n v="1"/>
    <n v="0"/>
    <n v="0"/>
    <n v="0"/>
    <n v="0"/>
    <n v="0"/>
    <n v="0"/>
    <n v="0"/>
    <n v="0"/>
    <n v="0"/>
  </r>
  <r>
    <d v="2013-08-20T00:00:00"/>
    <n v="2013"/>
    <x v="24"/>
    <s v="R"/>
    <s v="RS"/>
    <x v="11"/>
    <s v="ATL"/>
    <s v="A"/>
    <n v="1"/>
    <n v="1"/>
    <n v="0"/>
    <n v="0"/>
    <n v="0"/>
    <n v="0"/>
    <n v="1643.8171858958353"/>
    <n v="1526.4120815919189"/>
    <n v="0.54792621795719509"/>
    <n v="75"/>
    <n v="88"/>
    <n v="0"/>
    <n v="-13"/>
    <n v="0"/>
    <n v="0.42997594659862831"/>
    <n v="1"/>
    <n v="72.25"/>
    <n v="72.25"/>
    <n v="-17.021745558287382"/>
    <n v="1626.7954403375479"/>
    <n v="0"/>
    <n v="1"/>
    <n v="0"/>
    <n v="0"/>
    <n v="0"/>
    <n v="0"/>
    <n v="0"/>
    <n v="0"/>
    <n v="0"/>
    <n v="0"/>
  </r>
  <r>
    <d v="2013-08-20T00:00:00"/>
    <n v="2013"/>
    <x v="22"/>
    <s v="R"/>
    <s v="RS"/>
    <x v="3"/>
    <s v="MIN"/>
    <s v="H"/>
    <n v="1"/>
    <n v="1"/>
    <n v="0"/>
    <n v="0"/>
    <n v="0"/>
    <n v="0"/>
    <n v="1526.4120815919189"/>
    <n v="1643.8171858958353"/>
    <n v="0.45207378204280485"/>
    <n v="88"/>
    <n v="75"/>
    <n v="0"/>
    <n v="13"/>
    <n v="1"/>
    <n v="0.42997594659862831"/>
    <n v="1"/>
    <n v="72.55"/>
    <n v="72.55"/>
    <n v="17.092424086557084"/>
    <n v="1543.5045056784759"/>
    <n v="1"/>
    <n v="0"/>
    <n v="0"/>
    <n v="0"/>
    <n v="0"/>
    <n v="0"/>
    <n v="0"/>
    <n v="0"/>
    <n v="0"/>
    <n v="0"/>
  </r>
  <r>
    <d v="2013-08-20T00:00:00"/>
    <n v="2013"/>
    <x v="25"/>
    <s v="R"/>
    <s v="RS"/>
    <x v="7"/>
    <s v="SEA"/>
    <s v="A"/>
    <n v="3"/>
    <n v="2"/>
    <n v="1"/>
    <n v="-1"/>
    <n v="8"/>
    <n v="-8"/>
    <n v="1655.1882087749964"/>
    <n v="1462.1213826846486"/>
    <n v="0.6725943602160761"/>
    <n v="57"/>
    <n v="77"/>
    <n v="0"/>
    <n v="-20"/>
    <n v="0"/>
    <n v="0.49521302051726973"/>
    <n v="1"/>
    <n v="72.099999999999994"/>
    <n v="72.099999999999994"/>
    <n v="-24.014886647265364"/>
    <n v="1631.1733221277311"/>
    <n v="0"/>
    <n v="1"/>
    <n v="0"/>
    <n v="0"/>
    <n v="0"/>
    <n v="0"/>
    <n v="0"/>
    <n v="0"/>
    <n v="0"/>
    <n v="0"/>
  </r>
  <r>
    <d v="2013-08-20T00:00:00"/>
    <n v="2013"/>
    <x v="24"/>
    <s v="R"/>
    <s v="RS"/>
    <x v="6"/>
    <s v="LAS"/>
    <s v="H"/>
    <n v="2"/>
    <n v="3"/>
    <n v="-1"/>
    <n v="1"/>
    <n v="-8"/>
    <n v="8"/>
    <n v="1462.1213826846486"/>
    <n v="1655.1882087749964"/>
    <n v="0.3274056397839239"/>
    <n v="77"/>
    <n v="57"/>
    <n v="0"/>
    <n v="20"/>
    <n v="1"/>
    <n v="0.49521302051726973"/>
    <n v="1"/>
    <n v="72.25"/>
    <n v="72.25"/>
    <n v="24.06484826997119"/>
    <n v="1486.1862309546198"/>
    <n v="1"/>
    <n v="0"/>
    <n v="0"/>
    <n v="0"/>
    <n v="0"/>
    <n v="0"/>
    <n v="0"/>
    <n v="0"/>
    <n v="0"/>
    <n v="0"/>
  </r>
  <r>
    <d v="2013-08-20T00:00:00"/>
    <n v="2013"/>
    <x v="25"/>
    <s v="R"/>
    <s v="RS"/>
    <x v="9"/>
    <s v="TUL"/>
    <s v="A"/>
    <n v="2"/>
    <n v="3"/>
    <n v="-1"/>
    <n v="1"/>
    <n v="-8"/>
    <n v="8"/>
    <n v="1470.4440631842422"/>
    <n v="1420.6465315872615"/>
    <n v="0.42825148313198197"/>
    <n v="89"/>
    <n v="86"/>
    <n v="0"/>
    <n v="3"/>
    <n v="1"/>
    <n v="0.27862130986408395"/>
    <n v="1"/>
    <n v="72.099999999999994"/>
    <n v="72.099999999999994"/>
    <n v="11.485625221216504"/>
    <n v="1481.9296884054586"/>
    <n v="1"/>
    <n v="0"/>
    <n v="0"/>
    <n v="0"/>
    <n v="0"/>
    <n v="0"/>
    <n v="0"/>
    <n v="0"/>
    <n v="0"/>
    <n v="0"/>
  </r>
  <r>
    <d v="2013-08-20T00:00:00"/>
    <n v="2013"/>
    <x v="25"/>
    <s v="R"/>
    <s v="RS"/>
    <x v="2"/>
    <s v="PHX"/>
    <s v="H"/>
    <n v="3"/>
    <n v="2"/>
    <n v="1"/>
    <n v="-1"/>
    <n v="8"/>
    <n v="-8"/>
    <n v="1420.6465315872615"/>
    <n v="1470.4440631842422"/>
    <n v="0.57174851686801809"/>
    <n v="86"/>
    <n v="89"/>
    <n v="0"/>
    <n v="-3"/>
    <n v="0"/>
    <n v="0.27862130986408395"/>
    <n v="1"/>
    <n v="72.099999999999994"/>
    <n v="72.099999999999994"/>
    <n v="-11.485625221216504"/>
    <n v="1409.1609063660451"/>
    <n v="0"/>
    <n v="1"/>
    <n v="0"/>
    <n v="0"/>
    <n v="0"/>
    <n v="0"/>
    <n v="0"/>
    <n v="0"/>
    <n v="0"/>
    <n v="0"/>
  </r>
  <r>
    <d v="2013-08-20T00:00:00"/>
    <n v="2013"/>
    <x v="25"/>
    <s v="R"/>
    <s v="RS"/>
    <x v="8"/>
    <s v="WAS"/>
    <s v="A"/>
    <n v="1"/>
    <n v="1"/>
    <n v="0"/>
    <n v="0"/>
    <n v="0"/>
    <n v="0"/>
    <n v="1591.8762734902141"/>
    <n v="1427.8797640358812"/>
    <n v="0.61313205403500171"/>
    <n v="79"/>
    <n v="73"/>
    <n v="0"/>
    <n v="6"/>
    <n v="1"/>
    <n v="0.30904544871440026"/>
    <n v="1"/>
    <n v="72.099999999999994"/>
    <n v="72.099999999999994"/>
    <n v="8.6202599904813262"/>
    <n v="1600.4965334806955"/>
    <n v="1"/>
    <n v="0"/>
    <n v="0"/>
    <n v="0"/>
    <n v="0"/>
    <n v="0"/>
    <n v="0"/>
    <n v="0"/>
    <n v="0"/>
    <n v="0"/>
  </r>
  <r>
    <d v="2013-08-20T00:00:00"/>
    <n v="2013"/>
    <x v="26"/>
    <s v="R"/>
    <s v="RS"/>
    <x v="10"/>
    <s v="CHI"/>
    <s v="H"/>
    <n v="1"/>
    <n v="1"/>
    <n v="0"/>
    <n v="0"/>
    <n v="0"/>
    <n v="0"/>
    <n v="1427.8797640358812"/>
    <n v="1591.8762734902141"/>
    <n v="0.38686794596499835"/>
    <n v="73"/>
    <n v="79"/>
    <n v="0"/>
    <n v="-6"/>
    <n v="0"/>
    <n v="0.30904544871440026"/>
    <n v="1"/>
    <n v="71.95"/>
    <n v="71.95"/>
    <n v="-8.6023260237882333"/>
    <n v="1419.2774380120929"/>
    <n v="0"/>
    <n v="1"/>
    <n v="0"/>
    <n v="0"/>
    <n v="0"/>
    <n v="0"/>
    <n v="0"/>
    <n v="0"/>
    <n v="0"/>
    <n v="0"/>
  </r>
  <r>
    <d v="2013-08-21T00:00:00"/>
    <n v="2013"/>
    <x v="24"/>
    <s v="R"/>
    <s v="RS"/>
    <x v="1"/>
    <s v="IND"/>
    <s v="A"/>
    <n v="3"/>
    <n v="3"/>
    <n v="0"/>
    <n v="0"/>
    <n v="0"/>
    <n v="0"/>
    <n v="1459.2169447071701"/>
    <n v="1527.3348268393961"/>
    <n v="0.29407774924280639"/>
    <n v="63"/>
    <n v="80"/>
    <n v="0"/>
    <n v="-17"/>
    <n v="0"/>
    <n v="0.50384155282479948"/>
    <n v="1"/>
    <n v="72.25"/>
    <n v="72.25"/>
    <n v="-10.705180615197094"/>
    <n v="1448.511764091973"/>
    <n v="0"/>
    <n v="1"/>
    <n v="0"/>
    <n v="0"/>
    <n v="0"/>
    <n v="0"/>
    <n v="0"/>
    <n v="0"/>
    <n v="0"/>
    <n v="0"/>
  </r>
  <r>
    <d v="2013-08-21T00:00:00"/>
    <n v="2013"/>
    <x v="25"/>
    <s v="R"/>
    <s v="RS"/>
    <x v="0"/>
    <s v="SAS"/>
    <s v="H"/>
    <n v="3"/>
    <n v="3"/>
    <n v="0"/>
    <n v="0"/>
    <n v="0"/>
    <n v="0"/>
    <n v="1527.3348268393961"/>
    <n v="1459.2169447071701"/>
    <n v="0.7059222507571935"/>
    <n v="80"/>
    <n v="63"/>
    <n v="0"/>
    <n v="17"/>
    <n v="1"/>
    <n v="0.50384155282479948"/>
    <n v="1"/>
    <n v="72.099999999999994"/>
    <n v="72.099999999999994"/>
    <n v="10.68295532672264"/>
    <n v="1538.0177821661186"/>
    <n v="1"/>
    <n v="0"/>
    <n v="0"/>
    <n v="0"/>
    <n v="0"/>
    <n v="0"/>
    <n v="0"/>
    <n v="0"/>
    <n v="0"/>
    <n v="0"/>
  </r>
  <r>
    <d v="2013-08-22T00:00:00"/>
    <n v="2013"/>
    <x v="25"/>
    <s v="R"/>
    <s v="RS"/>
    <x v="11"/>
    <s v="CON"/>
    <s v="A"/>
    <n v="1"/>
    <n v="3"/>
    <n v="-2"/>
    <n v="2"/>
    <n v="-16"/>
    <n v="16"/>
    <n v="1626.7954403375479"/>
    <n v="1417.4855705363868"/>
    <n v="0.63114564505576864"/>
    <n v="91"/>
    <n v="77"/>
    <n v="0"/>
    <n v="14"/>
    <n v="1"/>
    <n v="0.41518883588282629"/>
    <n v="1"/>
    <n v="72.099999999999994"/>
    <n v="72.099999999999994"/>
    <n v="11.041697558275608"/>
    <n v="1637.8371378958236"/>
    <n v="1"/>
    <n v="0"/>
    <n v="0"/>
    <n v="0"/>
    <n v="0"/>
    <n v="0"/>
    <n v="0"/>
    <n v="0"/>
    <n v="0"/>
    <n v="0"/>
  </r>
  <r>
    <d v="2013-08-22T00:00:00"/>
    <n v="2013"/>
    <x v="24"/>
    <s v="R"/>
    <s v="RS"/>
    <x v="5"/>
    <s v="MIN"/>
    <s v="H"/>
    <n v="3"/>
    <n v="1"/>
    <n v="2"/>
    <n v="-2"/>
    <n v="16"/>
    <n v="-16"/>
    <n v="1417.4855705363868"/>
    <n v="1626.7954403375479"/>
    <n v="0.3688543549442313"/>
    <n v="77"/>
    <n v="91"/>
    <n v="0"/>
    <n v="-14"/>
    <n v="0"/>
    <n v="0.41518883588282629"/>
    <n v="1"/>
    <n v="72.25"/>
    <n v="72.25"/>
    <n v="-11.064669189811548"/>
    <n v="1406.4209013465752"/>
    <n v="0"/>
    <n v="1"/>
    <n v="0"/>
    <n v="0"/>
    <n v="0"/>
    <n v="0"/>
    <n v="0"/>
    <n v="0"/>
    <n v="0"/>
    <n v="0"/>
  </r>
  <r>
    <d v="2013-08-23T00:00:00"/>
    <n v="2013"/>
    <x v="25"/>
    <s v="R"/>
    <s v="RS"/>
    <x v="4"/>
    <s v="CHI"/>
    <s v="A"/>
    <n v="4"/>
    <n v="2"/>
    <n v="2"/>
    <n v="-2"/>
    <n v="16"/>
    <n v="-16"/>
    <n v="1401.348058818628"/>
    <n v="1600.4965334806955"/>
    <n v="0.19066008161878545"/>
    <n v="64"/>
    <n v="82"/>
    <n v="0"/>
    <n v="-18"/>
    <n v="0"/>
    <n v="0.46900005999011352"/>
    <n v="1"/>
    <n v="72.099999999999994"/>
    <n v="72.099999999999994"/>
    <n v="-6.447152418590675"/>
    <n v="1394.9009064000375"/>
    <n v="0"/>
    <n v="1"/>
    <n v="0"/>
    <n v="0"/>
    <n v="0"/>
    <n v="0"/>
    <n v="0"/>
    <n v="0"/>
    <n v="0"/>
    <n v="0"/>
  </r>
  <r>
    <d v="2013-08-23T00:00:00"/>
    <n v="2013"/>
    <x v="26"/>
    <s v="R"/>
    <s v="RS"/>
    <x v="8"/>
    <s v="NYL"/>
    <s v="H"/>
    <n v="2"/>
    <n v="4"/>
    <n v="-2"/>
    <n v="2"/>
    <n v="-16"/>
    <n v="16"/>
    <n v="1600.4965334806955"/>
    <n v="1401.348058818628"/>
    <n v="0.80933991838121455"/>
    <n v="82"/>
    <n v="64"/>
    <n v="0"/>
    <n v="18"/>
    <n v="1"/>
    <n v="0.46900005999011352"/>
    <n v="1"/>
    <n v="71.95"/>
    <n v="71.95"/>
    <n v="6.4337394801331369"/>
    <n v="1606.9302729608287"/>
    <n v="1"/>
    <n v="0"/>
    <n v="0"/>
    <n v="0"/>
    <n v="0"/>
    <n v="0"/>
    <n v="0"/>
    <n v="0"/>
    <n v="0"/>
    <n v="0"/>
  </r>
  <r>
    <d v="2013-08-23T00:00:00"/>
    <n v="2013"/>
    <x v="25"/>
    <s v="R"/>
    <s v="RS"/>
    <x v="6"/>
    <s v="PHX"/>
    <s v="A"/>
    <n v="2"/>
    <n v="2"/>
    <n v="0"/>
    <n v="0"/>
    <n v="0"/>
    <n v="0"/>
    <n v="1486.1862309546198"/>
    <n v="1481.9296884054586"/>
    <n v="0.38721353005977222"/>
    <n v="81"/>
    <n v="73"/>
    <n v="0"/>
    <n v="8"/>
    <n v="1"/>
    <n v="0.38694300220883709"/>
    <n v="1"/>
    <n v="72.099999999999994"/>
    <n v="72.099999999999994"/>
    <n v="17.095878763836311"/>
    <n v="1503.282109718456"/>
    <n v="1"/>
    <n v="0"/>
    <n v="0"/>
    <n v="0"/>
    <n v="0"/>
    <n v="0"/>
    <n v="0"/>
    <n v="0"/>
    <n v="0"/>
    <n v="0"/>
  </r>
  <r>
    <d v="2013-08-23T00:00:00"/>
    <n v="2013"/>
    <x v="26"/>
    <s v="R"/>
    <s v="RS"/>
    <x v="9"/>
    <s v="SEA"/>
    <s v="H"/>
    <n v="2"/>
    <n v="2"/>
    <n v="0"/>
    <n v="0"/>
    <n v="0"/>
    <n v="0"/>
    <n v="1481.9296884054586"/>
    <n v="1486.1862309546198"/>
    <n v="0.61278646994022778"/>
    <n v="73"/>
    <n v="81"/>
    <n v="0"/>
    <n v="-8"/>
    <n v="0"/>
    <n v="0.38694300220883709"/>
    <n v="1"/>
    <n v="71.95"/>
    <n v="71.95"/>
    <n v="-17.060311748377568"/>
    <n v="1464.8693766570809"/>
    <n v="0"/>
    <n v="1"/>
    <n v="0"/>
    <n v="0"/>
    <n v="0"/>
    <n v="0"/>
    <n v="0"/>
    <n v="0"/>
    <n v="0"/>
    <n v="0"/>
  </r>
  <r>
    <d v="2013-08-23T00:00:00"/>
    <n v="2013"/>
    <x v="25"/>
    <s v="R"/>
    <s v="RS"/>
    <x v="1"/>
    <s v="TUL"/>
    <s v="A"/>
    <n v="1"/>
    <n v="2"/>
    <n v="-1"/>
    <n v="1"/>
    <n v="-8"/>
    <n v="8"/>
    <n v="1448.511764091973"/>
    <n v="1409.1609063660451"/>
    <n v="0.41359473702868593"/>
    <n v="67"/>
    <n v="73"/>
    <n v="0"/>
    <n v="-6"/>
    <n v="0"/>
    <n v="0.34012718083938209"/>
    <n v="1"/>
    <n v="72.099999999999994"/>
    <n v="72.099999999999994"/>
    <n v="-10.14265393911278"/>
    <n v="1438.3691101528602"/>
    <n v="0"/>
    <n v="1"/>
    <n v="0"/>
    <n v="0"/>
    <n v="0"/>
    <n v="0"/>
    <n v="0"/>
    <n v="0"/>
    <n v="0"/>
    <n v="0"/>
  </r>
  <r>
    <d v="2013-08-23T00:00:00"/>
    <n v="2013"/>
    <x v="26"/>
    <s v="R"/>
    <s v="RS"/>
    <x v="2"/>
    <s v="SAS"/>
    <s v="H"/>
    <n v="2"/>
    <n v="1"/>
    <n v="1"/>
    <n v="-1"/>
    <n v="8"/>
    <n v="-8"/>
    <n v="1409.1609063660451"/>
    <n v="1448.511764091973"/>
    <n v="0.58640526297131401"/>
    <n v="73"/>
    <n v="67"/>
    <n v="0"/>
    <n v="6"/>
    <n v="1"/>
    <n v="0.34012718083938209"/>
    <n v="1"/>
    <n v="71.95"/>
    <n v="71.95"/>
    <n v="10.121552717325446"/>
    <n v="1419.2824590833704"/>
    <n v="1"/>
    <n v="0"/>
    <n v="0"/>
    <n v="0"/>
    <n v="0"/>
    <n v="0"/>
    <n v="0"/>
    <n v="0"/>
    <n v="0"/>
    <n v="0"/>
  </r>
  <r>
    <d v="2013-08-23T00:00:00"/>
    <n v="2013"/>
    <x v="23"/>
    <s v="R"/>
    <s v="RS"/>
    <x v="3"/>
    <s v="WAS"/>
    <s v="A"/>
    <n v="2"/>
    <n v="2"/>
    <n v="0"/>
    <n v="0"/>
    <n v="0"/>
    <n v="0"/>
    <n v="1543.5045056784759"/>
    <n v="1419.2774380120929"/>
    <n v="0.55763409284727083"/>
    <n v="64"/>
    <n v="74"/>
    <n v="0"/>
    <n v="-10"/>
    <n v="0"/>
    <n v="0.38343547839837794"/>
    <n v="1"/>
    <n v="72.400000000000006"/>
    <n v="72.400000000000006"/>
    <n v="-15.480328729738849"/>
    <n v="1528.024176948737"/>
    <n v="0"/>
    <n v="1"/>
    <n v="0"/>
    <n v="0"/>
    <n v="0"/>
    <n v="0"/>
    <n v="0"/>
    <n v="0"/>
    <n v="0"/>
    <n v="0"/>
  </r>
  <r>
    <d v="2013-08-23T00:00:00"/>
    <n v="2013"/>
    <x v="27"/>
    <s v="R"/>
    <s v="RS"/>
    <x v="10"/>
    <s v="ATL"/>
    <s v="H"/>
    <n v="2"/>
    <n v="2"/>
    <n v="0"/>
    <n v="0"/>
    <n v="0"/>
    <n v="0"/>
    <n v="1419.2774380120929"/>
    <n v="1543.5045056784759"/>
    <n v="0.44236590715272922"/>
    <n v="74"/>
    <n v="64"/>
    <n v="0"/>
    <n v="10"/>
    <n v="1"/>
    <n v="0.38343547839837794"/>
    <n v="1"/>
    <n v="71.8"/>
    <n v="71.8"/>
    <n v="15.352038712641562"/>
    <n v="1434.6294767247346"/>
    <n v="1"/>
    <n v="0"/>
    <n v="0"/>
    <n v="0"/>
    <n v="0"/>
    <n v="0"/>
    <n v="0"/>
    <n v="0"/>
    <n v="0"/>
    <n v="0"/>
  </r>
  <r>
    <d v="2013-08-24T00:00:00"/>
    <n v="2013"/>
    <x v="27"/>
    <s v="R"/>
    <s v="RS"/>
    <x v="8"/>
    <s v="ATL"/>
    <s v="A"/>
    <n v="0"/>
    <n v="0"/>
    <n v="0"/>
    <n v="0"/>
    <n v="0"/>
    <n v="0"/>
    <n v="1606.9302729608287"/>
    <n v="1528.024176948737"/>
    <n v="0.49266980810211131"/>
    <n v="67"/>
    <n v="56"/>
    <n v="0"/>
    <n v="11"/>
    <n v="1"/>
    <n v="0.41269891976820122"/>
    <n v="1"/>
    <n v="71.8"/>
    <n v="71.8"/>
    <n v="15.0330978712354"/>
    <n v="1621.9633708320641"/>
    <n v="1"/>
    <n v="0"/>
    <n v="0"/>
    <n v="0"/>
    <n v="0"/>
    <n v="0"/>
    <n v="0"/>
    <n v="0"/>
    <n v="0"/>
    <n v="0"/>
  </r>
  <r>
    <d v="2013-08-24T00:00:00"/>
    <n v="2013"/>
    <x v="24"/>
    <s v="R"/>
    <s v="RS"/>
    <x v="3"/>
    <s v="CHI"/>
    <s v="H"/>
    <n v="0"/>
    <n v="0"/>
    <n v="0"/>
    <n v="0"/>
    <n v="0"/>
    <n v="0"/>
    <n v="1528.024176948737"/>
    <n v="1606.9302729608287"/>
    <n v="0.50733019189788875"/>
    <n v="56"/>
    <n v="67"/>
    <n v="0"/>
    <n v="-11"/>
    <n v="0"/>
    <n v="0.41269891976820122"/>
    <n v="1"/>
    <n v="72.25"/>
    <n v="72.25"/>
    <n v="-15.127316451208323"/>
    <n v="1512.8968604975287"/>
    <n v="0"/>
    <n v="1"/>
    <n v="0"/>
    <n v="0"/>
    <n v="0"/>
    <n v="0"/>
    <n v="0"/>
    <n v="0"/>
    <n v="0"/>
    <n v="0"/>
  </r>
  <r>
    <d v="2013-08-24T00:00:00"/>
    <n v="2013"/>
    <x v="26"/>
    <s v="R"/>
    <s v="RS"/>
    <x v="0"/>
    <s v="MIN"/>
    <s v="A"/>
    <n v="2"/>
    <n v="1"/>
    <n v="1"/>
    <n v="-1"/>
    <n v="8"/>
    <n v="-8"/>
    <n v="1538.0177821661186"/>
    <n v="1637.8371378958236"/>
    <n v="0.27566934594486375"/>
    <n v="77"/>
    <n v="84"/>
    <n v="0"/>
    <n v="-7"/>
    <n v="0"/>
    <n v="0.34168486953731725"/>
    <n v="1"/>
    <n v="71.95"/>
    <n v="71.95"/>
    <n v="-6.7771176021065713"/>
    <n v="1531.2406645640121"/>
    <n v="0"/>
    <n v="1"/>
    <n v="0"/>
    <n v="0"/>
    <n v="0"/>
    <n v="0"/>
    <n v="0"/>
    <n v="0"/>
    <n v="0"/>
    <n v="0"/>
  </r>
  <r>
    <d v="2013-08-24T00:00:00"/>
    <n v="2013"/>
    <x v="26"/>
    <s v="R"/>
    <s v="RS"/>
    <x v="11"/>
    <s v="IND"/>
    <s v="H"/>
    <n v="1"/>
    <n v="2"/>
    <n v="-1"/>
    <n v="1"/>
    <n v="-8"/>
    <n v="8"/>
    <n v="1637.8371378958236"/>
    <n v="1538.0177821661186"/>
    <n v="0.72433065405513619"/>
    <n v="84"/>
    <n v="77"/>
    <n v="0"/>
    <n v="7"/>
    <n v="1"/>
    <n v="0.34168486953731725"/>
    <n v="1"/>
    <n v="71.95"/>
    <n v="71.95"/>
    <n v="6.7771176021065731"/>
    <n v="1644.6142554979301"/>
    <n v="1"/>
    <n v="0"/>
    <n v="0"/>
    <n v="0"/>
    <n v="0"/>
    <n v="0"/>
    <n v="0"/>
    <n v="0"/>
    <n v="0"/>
    <n v="0"/>
  </r>
  <r>
    <d v="2013-08-25T00:00:00"/>
    <n v="2013"/>
    <x v="26"/>
    <s v="R"/>
    <s v="RS"/>
    <x v="4"/>
    <s v="CON"/>
    <s v="A"/>
    <n v="1"/>
    <n v="2"/>
    <n v="-1"/>
    <n v="1"/>
    <n v="-8"/>
    <n v="8"/>
    <n v="1394.9009064000375"/>
    <n v="1406.4209013465752"/>
    <n v="0.34480345623084768"/>
    <n v="74"/>
    <n v="66"/>
    <n v="0"/>
    <n v="8"/>
    <n v="1"/>
    <n v="0.38462315434106342"/>
    <n v="1"/>
    <n v="71.95"/>
    <n v="71.95"/>
    <n v="18.131670631136593"/>
    <n v="1413.032577031174"/>
    <n v="1"/>
    <n v="0"/>
    <n v="0"/>
    <n v="0"/>
    <n v="0"/>
    <n v="0"/>
    <n v="0"/>
    <n v="0"/>
    <n v="0"/>
    <n v="0"/>
  </r>
  <r>
    <d v="2013-08-25T00:00:00"/>
    <n v="2013"/>
    <x v="25"/>
    <s v="R"/>
    <s v="RS"/>
    <x v="5"/>
    <s v="NYL"/>
    <s v="H"/>
    <n v="2"/>
    <n v="1"/>
    <n v="1"/>
    <n v="-1"/>
    <n v="8"/>
    <n v="-8"/>
    <n v="1406.4209013465752"/>
    <n v="1394.9009064000375"/>
    <n v="0.65519654376915226"/>
    <n v="66"/>
    <n v="74"/>
    <n v="0"/>
    <n v="-8"/>
    <n v="0"/>
    <n v="0.38462315434106342"/>
    <n v="1"/>
    <n v="72.099999999999994"/>
    <n v="72.099999999999994"/>
    <n v="-18.16947119534327"/>
    <n v="1388.2514301512319"/>
    <n v="0"/>
    <n v="1"/>
    <n v="0"/>
    <n v="0"/>
    <n v="0"/>
    <n v="0"/>
    <n v="0"/>
    <n v="0"/>
    <n v="0"/>
    <n v="0"/>
  </r>
  <r>
    <d v="2013-08-25T00:00:00"/>
    <n v="2013"/>
    <x v="27"/>
    <s v="R"/>
    <s v="RS"/>
    <x v="2"/>
    <s v="LAS"/>
    <s v="A"/>
    <n v="1"/>
    <n v="4"/>
    <n v="-3"/>
    <n v="3"/>
    <n v="-16"/>
    <n v="16"/>
    <n v="1419.2824590833704"/>
    <n v="1631.1733221277311"/>
    <n v="0.13153074784781923"/>
    <n v="88"/>
    <n v="90"/>
    <n v="1"/>
    <n v="-2"/>
    <n v="0"/>
    <n v="0.20488030204453192"/>
    <n v="1"/>
    <n v="71.8"/>
    <n v="71.8"/>
    <n v="-1.9348706611292739"/>
    <n v="1417.3475884222412"/>
    <n v="0"/>
    <n v="1"/>
    <n v="0"/>
    <n v="0"/>
    <n v="0"/>
    <n v="0"/>
    <n v="0"/>
    <n v="0"/>
    <n v="0"/>
    <n v="0"/>
  </r>
  <r>
    <d v="2013-08-25T00:00:00"/>
    <n v="2013"/>
    <x v="26"/>
    <s v="R"/>
    <s v="RS"/>
    <x v="7"/>
    <s v="TUL"/>
    <s v="H"/>
    <n v="4"/>
    <n v="1"/>
    <n v="3"/>
    <n v="-3"/>
    <n v="16"/>
    <n v="-16"/>
    <n v="1631.1733221277311"/>
    <n v="1419.2824590833704"/>
    <n v="0.86846925215218085"/>
    <n v="90"/>
    <n v="88"/>
    <n v="1"/>
    <n v="2"/>
    <n v="1"/>
    <n v="0.20488030204453192"/>
    <n v="1"/>
    <n v="71.95"/>
    <n v="71.95"/>
    <n v="1.9389128700313534"/>
    <n v="1633.1122349977625"/>
    <n v="1"/>
    <n v="0"/>
    <n v="0"/>
    <n v="0"/>
    <n v="0"/>
    <n v="0"/>
    <n v="0"/>
    <n v="0"/>
    <n v="0"/>
    <n v="0"/>
  </r>
  <r>
    <d v="2013-08-25T00:00:00"/>
    <n v="2013"/>
    <x v="26"/>
    <s v="R"/>
    <s v="RS"/>
    <x v="6"/>
    <s v="SAS"/>
    <s v="A"/>
    <n v="1"/>
    <n v="1"/>
    <n v="0"/>
    <n v="0"/>
    <n v="0"/>
    <n v="0"/>
    <n v="1503.282109718456"/>
    <n v="1438.3691101528602"/>
    <n v="0.47255919870334057"/>
    <n v="64"/>
    <n v="70"/>
    <n v="0"/>
    <n v="-6"/>
    <n v="0"/>
    <n v="0.33325368104680464"/>
    <n v="1"/>
    <n v="71.95"/>
    <n v="71.95"/>
    <n v="-11.330836553965979"/>
    <n v="1491.95127316449"/>
    <n v="0"/>
    <n v="1"/>
    <n v="0"/>
    <n v="0"/>
    <n v="0"/>
    <n v="0"/>
    <n v="0"/>
    <n v="0"/>
    <n v="0"/>
    <n v="0"/>
  </r>
  <r>
    <d v="2013-08-25T00:00:00"/>
    <n v="2013"/>
    <x v="26"/>
    <s v="R"/>
    <s v="RS"/>
    <x v="1"/>
    <s v="SEA"/>
    <s v="H"/>
    <n v="1"/>
    <n v="1"/>
    <n v="0"/>
    <n v="0"/>
    <n v="0"/>
    <n v="0"/>
    <n v="1438.3691101528602"/>
    <n v="1503.282109718456"/>
    <n v="0.52744080129665949"/>
    <n v="70"/>
    <n v="64"/>
    <n v="0"/>
    <n v="6"/>
    <n v="1"/>
    <n v="0.33325368104680464"/>
    <n v="1"/>
    <n v="71.95"/>
    <n v="71.95"/>
    <n v="11.330836553965977"/>
    <n v="1449.6999467068263"/>
    <n v="1"/>
    <n v="0"/>
    <n v="0"/>
    <n v="0"/>
    <n v="0"/>
    <n v="0"/>
    <n v="0"/>
    <n v="0"/>
    <n v="0"/>
    <n v="0"/>
  </r>
  <r>
    <d v="2013-08-27T00:00:00"/>
    <n v="2013"/>
    <x v="26"/>
    <s v="R"/>
    <s v="RS"/>
    <x v="5"/>
    <s v="LAS"/>
    <s v="A"/>
    <n v="1"/>
    <n v="1"/>
    <n v="0"/>
    <n v="0"/>
    <n v="0"/>
    <n v="0"/>
    <n v="1388.2514301512319"/>
    <n v="1633.1122349977625"/>
    <n v="0.13089426102315388"/>
    <n v="78"/>
    <n v="91"/>
    <n v="0"/>
    <n v="-13"/>
    <n v="0"/>
    <n v="0.39204642058036049"/>
    <n v="1"/>
    <n v="71.95"/>
    <n v="71.95"/>
    <n v="-3.6922312772965671"/>
    <n v="1384.5591988739354"/>
    <n v="0"/>
    <n v="1"/>
    <n v="0"/>
    <n v="0"/>
    <n v="0"/>
    <n v="0"/>
    <n v="0"/>
    <n v="0"/>
    <n v="0"/>
    <n v="0"/>
  </r>
  <r>
    <d v="2013-08-27T00:00:00"/>
    <n v="2013"/>
    <x v="27"/>
    <s v="R"/>
    <s v="RS"/>
    <x v="7"/>
    <s v="CON"/>
    <s v="H"/>
    <n v="1"/>
    <n v="1"/>
    <n v="0"/>
    <n v="0"/>
    <n v="0"/>
    <n v="0"/>
    <n v="1633.1122349977625"/>
    <n v="1388.2514301512319"/>
    <n v="0.86910573897684607"/>
    <n v="91"/>
    <n v="78"/>
    <n v="0"/>
    <n v="13"/>
    <n v="1"/>
    <n v="0.39204642058036049"/>
    <n v="1"/>
    <n v="71.8"/>
    <n v="71.8"/>
    <n v="3.6845337833202723"/>
    <n v="1636.7967687810828"/>
    <n v="1"/>
    <n v="0"/>
    <n v="0"/>
    <n v="0"/>
    <n v="0"/>
    <n v="0"/>
    <n v="0"/>
    <n v="0"/>
    <n v="0"/>
    <n v="0"/>
  </r>
  <r>
    <d v="2013-08-27T00:00:00"/>
    <n v="2013"/>
    <x v="27"/>
    <s v="R"/>
    <s v="RS"/>
    <x v="11"/>
    <s v="NYL"/>
    <s v="A"/>
    <n v="2"/>
    <n v="1"/>
    <n v="1"/>
    <n v="-1"/>
    <n v="8"/>
    <n v="-8"/>
    <n v="1644.6142554979301"/>
    <n v="1413.032577031174"/>
    <n v="0.71943319976252573"/>
    <n v="73"/>
    <n v="47"/>
    <n v="0"/>
    <n v="26"/>
    <n v="1"/>
    <n v="0.54827808180728288"/>
    <n v="1"/>
    <n v="71.8"/>
    <n v="71.8"/>
    <n v="11.044895422406082"/>
    <n v="1655.6591509203363"/>
    <n v="1"/>
    <n v="0"/>
    <n v="0"/>
    <n v="0"/>
    <n v="0"/>
    <n v="0"/>
    <n v="0"/>
    <n v="0"/>
    <n v="0"/>
    <n v="0"/>
  </r>
  <r>
    <d v="2013-08-27T00:00:00"/>
    <n v="2013"/>
    <x v="27"/>
    <s v="R"/>
    <s v="RS"/>
    <x v="4"/>
    <s v="MIN"/>
    <s v="H"/>
    <n v="1"/>
    <n v="2"/>
    <n v="-1"/>
    <n v="1"/>
    <n v="-8"/>
    <n v="8"/>
    <n v="1413.032577031174"/>
    <n v="1644.6142554979301"/>
    <n v="0.28056680023747427"/>
    <n v="47"/>
    <n v="73"/>
    <n v="0"/>
    <n v="-26"/>
    <n v="0"/>
    <n v="0.54827808180728288"/>
    <n v="1"/>
    <n v="71.8"/>
    <n v="71.8"/>
    <n v="-11.044895422406082"/>
    <n v="1401.9876816087678"/>
    <n v="0"/>
    <n v="1"/>
    <n v="0"/>
    <n v="0"/>
    <n v="0"/>
    <n v="0"/>
    <n v="0"/>
    <n v="0"/>
    <n v="0"/>
    <n v="0"/>
  </r>
  <r>
    <d v="2013-08-27T00:00:00"/>
    <n v="2013"/>
    <x v="27"/>
    <s v="R"/>
    <s v="RS"/>
    <x v="6"/>
    <s v="SAS"/>
    <s v="A"/>
    <n v="1"/>
    <n v="1"/>
    <n v="0"/>
    <n v="0"/>
    <n v="0"/>
    <n v="0"/>
    <n v="1491.95127316449"/>
    <n v="1449.6999467068263"/>
    <n v="0.44020633917047192"/>
    <n v="72"/>
    <n v="71"/>
    <n v="0"/>
    <n v="1"/>
    <n v="1"/>
    <n v="0.23587465669600008"/>
    <n v="1"/>
    <n v="71.8"/>
    <n v="71.8"/>
    <n v="9.4805536774371149"/>
    <n v="1501.431826841927"/>
    <n v="1"/>
    <n v="0"/>
    <n v="0"/>
    <n v="0"/>
    <n v="0"/>
    <n v="0"/>
    <n v="0"/>
    <n v="0"/>
    <n v="0"/>
    <n v="0"/>
  </r>
  <r>
    <d v="2013-08-27T00:00:00"/>
    <n v="2013"/>
    <x v="27"/>
    <s v="R"/>
    <s v="RS"/>
    <x v="1"/>
    <s v="SEA"/>
    <s v="H"/>
    <n v="1"/>
    <n v="1"/>
    <n v="0"/>
    <n v="0"/>
    <n v="0"/>
    <n v="0"/>
    <n v="1449.6999467068263"/>
    <n v="1491.95127316449"/>
    <n v="0.55979366082952808"/>
    <n v="71"/>
    <n v="72"/>
    <n v="0"/>
    <n v="-1"/>
    <n v="0"/>
    <n v="0.23587465669600008"/>
    <n v="1"/>
    <n v="71.8"/>
    <n v="71.8"/>
    <n v="-9.4805536774371149"/>
    <n v="1440.2193930293893"/>
    <n v="0"/>
    <n v="1"/>
    <n v="0"/>
    <n v="0"/>
    <n v="0"/>
    <n v="0"/>
    <n v="0"/>
    <n v="0"/>
    <n v="0"/>
    <n v="0"/>
  </r>
  <r>
    <d v="2013-08-28T00:00:00"/>
    <n v="2013"/>
    <x v="28"/>
    <s v="R"/>
    <s v="RS"/>
    <x v="10"/>
    <s v="ATL"/>
    <s v="A"/>
    <n v="4"/>
    <n v="3"/>
    <n v="1"/>
    <n v="-1"/>
    <n v="8"/>
    <n v="-8"/>
    <n v="1434.6294767247346"/>
    <n v="1512.8968604975287"/>
    <n v="0.30111735966032321"/>
    <n v="85"/>
    <n v="80"/>
    <n v="1"/>
    <n v="5"/>
    <n v="1"/>
    <n v="0.2802985181712444"/>
    <n v="1"/>
    <n v="71.650000000000006"/>
    <n v="71.650000000000006"/>
    <n v="14.035931810360923"/>
    <n v="1448.6654085350956"/>
    <n v="1"/>
    <n v="0"/>
    <n v="0"/>
    <n v="0"/>
    <n v="0"/>
    <n v="0"/>
    <n v="0"/>
    <n v="0"/>
    <n v="0"/>
    <n v="0"/>
  </r>
  <r>
    <d v="2013-08-28T00:00:00"/>
    <n v="2013"/>
    <x v="25"/>
    <s v="R"/>
    <s v="RS"/>
    <x v="3"/>
    <s v="WAS"/>
    <s v="H"/>
    <n v="3"/>
    <n v="4"/>
    <n v="-1"/>
    <n v="1"/>
    <n v="-8"/>
    <n v="8"/>
    <n v="1512.8968604975287"/>
    <n v="1434.6294767247346"/>
    <n v="0.69888264033967673"/>
    <n v="80"/>
    <n v="85"/>
    <n v="1"/>
    <n v="-5"/>
    <n v="0"/>
    <n v="0.2802985181712444"/>
    <n v="1"/>
    <n v="72.099999999999994"/>
    <n v="72.099999999999994"/>
    <n v="-14.124084906169188"/>
    <n v="1498.7727755913595"/>
    <n v="0"/>
    <n v="1"/>
    <n v="0"/>
    <n v="0"/>
    <n v="0"/>
    <n v="0"/>
    <n v="0"/>
    <n v="0"/>
    <n v="0"/>
    <n v="0"/>
  </r>
  <r>
    <d v="2013-08-29T00:00:00"/>
    <n v="2013"/>
    <x v="27"/>
    <s v="R"/>
    <s v="RS"/>
    <x v="5"/>
    <s v="SEA"/>
    <s v="A"/>
    <n v="1"/>
    <n v="1"/>
    <n v="0"/>
    <n v="0"/>
    <n v="0"/>
    <n v="0"/>
    <n v="1384.5591988739354"/>
    <n v="1501.431826841927"/>
    <n v="0.23933736846784867"/>
    <n v="65"/>
    <n v="78"/>
    <n v="0"/>
    <n v="-13"/>
    <n v="0"/>
    <n v="0.4301498070098162"/>
    <n v="1"/>
    <n v="71.8"/>
    <n v="71.8"/>
    <n v="-7.3918762611097941"/>
    <n v="1377.1673226128257"/>
    <n v="0"/>
    <n v="1"/>
    <n v="0"/>
    <n v="0"/>
    <n v="0"/>
    <n v="0"/>
    <n v="0"/>
    <n v="0"/>
    <n v="0"/>
    <n v="0"/>
  </r>
  <r>
    <d v="2013-08-29T00:00:00"/>
    <n v="2013"/>
    <x v="28"/>
    <s v="R"/>
    <s v="RS"/>
    <x v="6"/>
    <s v="CON"/>
    <s v="H"/>
    <n v="1"/>
    <n v="1"/>
    <n v="0"/>
    <n v="0"/>
    <n v="0"/>
    <n v="0"/>
    <n v="1501.431826841927"/>
    <n v="1384.5591988739354"/>
    <n v="0.7606626315321513"/>
    <n v="78"/>
    <n v="65"/>
    <n v="0"/>
    <n v="13"/>
    <n v="1"/>
    <n v="0.4301498070098162"/>
    <n v="1"/>
    <n v="71.650000000000006"/>
    <n v="71.650000000000006"/>
    <n v="7.3764336226812937"/>
    <n v="1508.8082604646083"/>
    <n v="1"/>
    <n v="0"/>
    <n v="0"/>
    <n v="0"/>
    <n v="0"/>
    <n v="0"/>
    <n v="0"/>
    <n v="0"/>
    <n v="0"/>
    <n v="0"/>
  </r>
  <r>
    <d v="2013-08-30T00:00:00"/>
    <n v="2013"/>
    <x v="27"/>
    <s v="R"/>
    <s v="RS"/>
    <x v="0"/>
    <s v="NYL"/>
    <s v="A"/>
    <n v="5"/>
    <n v="2"/>
    <n v="3"/>
    <n v="-3"/>
    <n v="16"/>
    <n v="-16"/>
    <n v="1531.2406645640121"/>
    <n v="1401.9876816087678"/>
    <n v="0.60937930753331571"/>
    <n v="73"/>
    <n v="67"/>
    <n v="0"/>
    <n v="6"/>
    <n v="1"/>
    <n v="0.3171231652021676"/>
    <n v="1"/>
    <n v="71.8"/>
    <n v="71.8"/>
    <n v="8.8942156938941146"/>
    <n v="1540.1348802579062"/>
    <n v="1"/>
    <n v="0"/>
    <n v="0"/>
    <n v="0"/>
    <n v="0"/>
    <n v="0"/>
    <n v="0"/>
    <n v="0"/>
    <n v="0"/>
    <n v="0"/>
  </r>
  <r>
    <d v="2013-08-30T00:00:00"/>
    <n v="2013"/>
    <x v="28"/>
    <s v="R"/>
    <s v="RS"/>
    <x v="4"/>
    <s v="IND"/>
    <s v="H"/>
    <n v="2"/>
    <n v="5"/>
    <n v="-3"/>
    <n v="3"/>
    <n v="-16"/>
    <n v="16"/>
    <n v="1401.9876816087678"/>
    <n v="1531.2406645640121"/>
    <n v="0.39062069246668429"/>
    <n v="67"/>
    <n v="73"/>
    <n v="0"/>
    <n v="-6"/>
    <n v="0"/>
    <n v="0.3171231652021676"/>
    <n v="1"/>
    <n v="71.650000000000006"/>
    <n v="71.650000000000006"/>
    <n v="-8.8756344633358406"/>
    <n v="1393.1120471454319"/>
    <n v="0"/>
    <n v="1"/>
    <n v="0"/>
    <n v="0"/>
    <n v="0"/>
    <n v="0"/>
    <n v="0"/>
    <n v="0"/>
    <n v="0"/>
    <n v="0"/>
  </r>
  <r>
    <d v="2013-08-30T00:00:00"/>
    <n v="2013"/>
    <x v="28"/>
    <s v="R"/>
    <s v="RS"/>
    <x v="1"/>
    <s v="TUL"/>
    <s v="A"/>
    <n v="2"/>
    <n v="4"/>
    <n v="-2"/>
    <n v="2"/>
    <n v="-16"/>
    <n v="16"/>
    <n v="1440.2193930293893"/>
    <n v="1417.3475884222412"/>
    <n v="0.36909785187204297"/>
    <n v="74"/>
    <n v="65"/>
    <n v="0"/>
    <n v="9"/>
    <n v="1"/>
    <n v="0.39837849784523827"/>
    <n v="1"/>
    <n v="71.650000000000006"/>
    <n v="71.650000000000006"/>
    <n v="18.008356956695078"/>
    <n v="1458.2277499860843"/>
    <n v="1"/>
    <n v="0"/>
    <n v="0"/>
    <n v="0"/>
    <n v="0"/>
    <n v="0"/>
    <n v="0"/>
    <n v="0"/>
    <n v="0"/>
    <n v="0"/>
  </r>
  <r>
    <d v="2013-08-30T00:00:00"/>
    <n v="2013"/>
    <x v="28"/>
    <s v="R"/>
    <s v="RS"/>
    <x v="2"/>
    <s v="SAS"/>
    <s v="H"/>
    <n v="4"/>
    <n v="2"/>
    <n v="2"/>
    <n v="-2"/>
    <n v="16"/>
    <n v="-16"/>
    <n v="1417.3475884222412"/>
    <n v="1440.2193930293893"/>
    <n v="0.63090214812795709"/>
    <n v="65"/>
    <n v="74"/>
    <n v="0"/>
    <n v="-9"/>
    <n v="0"/>
    <n v="0.39837849784523827"/>
    <n v="1"/>
    <n v="71.650000000000006"/>
    <n v="71.650000000000006"/>
    <n v="-18.008356956695078"/>
    <n v="1399.3392314655462"/>
    <n v="0"/>
    <n v="1"/>
    <n v="0"/>
    <n v="0"/>
    <n v="0"/>
    <n v="0"/>
    <n v="0"/>
    <n v="0"/>
    <n v="0"/>
    <n v="0"/>
  </r>
  <r>
    <d v="2013-08-31T00:00:00"/>
    <n v="2013"/>
    <x v="26"/>
    <s v="R"/>
    <s v="RS"/>
    <x v="3"/>
    <s v="CHI"/>
    <s v="A"/>
    <n v="2"/>
    <n v="6"/>
    <n v="-4"/>
    <n v="4"/>
    <n v="-16"/>
    <n v="16"/>
    <n v="1498.7727755913595"/>
    <n v="1621.9633708320641"/>
    <n v="0.20150866268168649"/>
    <n v="68"/>
    <n v="85"/>
    <n v="0"/>
    <n v="-17"/>
    <n v="0"/>
    <n v="0.48287108841048515"/>
    <n v="1"/>
    <n v="71.95"/>
    <n v="71.95"/>
    <n v="-7.0009297883101418"/>
    <n v="1491.7718458030495"/>
    <n v="0"/>
    <n v="1"/>
    <n v="0"/>
    <n v="0"/>
    <n v="0"/>
    <n v="0"/>
    <n v="0"/>
    <n v="0"/>
    <n v="0"/>
    <n v="0"/>
  </r>
  <r>
    <d v="2013-08-31T00:00:00"/>
    <n v="2013"/>
    <x v="28"/>
    <s v="R"/>
    <s v="RS"/>
    <x v="8"/>
    <s v="ATL"/>
    <s v="H"/>
    <n v="6"/>
    <n v="2"/>
    <n v="4"/>
    <n v="-4"/>
    <n v="16"/>
    <n v="-16"/>
    <n v="1621.9633708320641"/>
    <n v="1498.7727755913595"/>
    <n v="0.79849133731831345"/>
    <n v="85"/>
    <n v="68"/>
    <n v="0"/>
    <n v="17"/>
    <n v="1"/>
    <n v="0.48287108841048515"/>
    <n v="1"/>
    <n v="71.650000000000006"/>
    <n v="71.650000000000006"/>
    <n v="6.9717389761281687"/>
    <n v="1628.9351098081922"/>
    <n v="1"/>
    <n v="0"/>
    <n v="0"/>
    <n v="0"/>
    <n v="0"/>
    <n v="0"/>
    <n v="0"/>
    <n v="0"/>
    <n v="0"/>
    <n v="0"/>
  </r>
  <r>
    <d v="2013-08-31T00:00:00"/>
    <n v="2013"/>
    <x v="29"/>
    <s v="R"/>
    <s v="RS"/>
    <x v="6"/>
    <s v="MIN"/>
    <s v="A"/>
    <n v="1"/>
    <n v="3"/>
    <n v="-2"/>
    <n v="2"/>
    <n v="-16"/>
    <n v="16"/>
    <n v="1508.8082604646083"/>
    <n v="1655.6591509203363"/>
    <n v="0.18048110628651048"/>
    <n v="74"/>
    <n v="97"/>
    <n v="0"/>
    <n v="-23"/>
    <n v="0"/>
    <n v="0.54824578452368333"/>
    <n v="1"/>
    <n v="71.5"/>
    <n v="71.5"/>
    <n v="-7.0747824081041406"/>
    <n v="1501.7334780565043"/>
    <n v="0"/>
    <n v="1"/>
    <n v="0"/>
    <n v="0"/>
    <n v="0"/>
    <n v="0"/>
    <n v="0"/>
    <n v="0"/>
    <n v="0"/>
    <n v="0"/>
  </r>
  <r>
    <d v="2013-08-31T00:00:00"/>
    <n v="2013"/>
    <x v="28"/>
    <s v="R"/>
    <s v="RS"/>
    <x v="11"/>
    <s v="SEA"/>
    <s v="H"/>
    <n v="3"/>
    <n v="1"/>
    <n v="2"/>
    <n v="-2"/>
    <n v="16"/>
    <n v="-16"/>
    <n v="1655.6591509203363"/>
    <n v="1508.8082604646083"/>
    <n v="0.81951889371348952"/>
    <n v="97"/>
    <n v="74"/>
    <n v="0"/>
    <n v="23"/>
    <n v="1"/>
    <n v="0.54824578452368333"/>
    <n v="1"/>
    <n v="71.650000000000006"/>
    <n v="71.650000000000006"/>
    <n v="7.0896246089603032"/>
    <n v="1662.7487755292966"/>
    <n v="1"/>
    <n v="0"/>
    <n v="0"/>
    <n v="0"/>
    <n v="0"/>
    <n v="0"/>
    <n v="0"/>
    <n v="0"/>
    <n v="0"/>
    <n v="0"/>
  </r>
  <r>
    <d v="2013-08-31T00:00:00"/>
    <n v="2013"/>
    <x v="28"/>
    <s v="R"/>
    <s v="RS"/>
    <x v="5"/>
    <s v="PHX"/>
    <s v="A"/>
    <n v="1"/>
    <n v="7"/>
    <n v="-6"/>
    <n v="6"/>
    <n v="-16"/>
    <n v="16"/>
    <n v="1377.1673226128257"/>
    <n v="1464.8693766570809"/>
    <n v="0.23638475109386944"/>
    <n v="68"/>
    <n v="76"/>
    <n v="0"/>
    <n v="-8"/>
    <n v="0"/>
    <n v="0.36186836896013219"/>
    <n v="1"/>
    <n v="71.650000000000006"/>
    <n v="71.650000000000006"/>
    <n v="-6.1289527739138618"/>
    <n v="1371.0383698389119"/>
    <n v="0"/>
    <n v="1"/>
    <n v="0"/>
    <n v="0"/>
    <n v="0"/>
    <n v="0"/>
    <n v="0"/>
    <n v="0"/>
    <n v="0"/>
    <n v="0"/>
  </r>
  <r>
    <d v="2013-08-31T00:00:00"/>
    <n v="2013"/>
    <x v="27"/>
    <s v="R"/>
    <s v="RS"/>
    <x v="9"/>
    <s v="CON"/>
    <s v="H"/>
    <n v="7"/>
    <n v="1"/>
    <n v="6"/>
    <n v="-6"/>
    <n v="16"/>
    <n v="-16"/>
    <n v="1464.8693766570809"/>
    <n v="1377.1673226128257"/>
    <n v="0.76361524890613064"/>
    <n v="76"/>
    <n v="68"/>
    <n v="0"/>
    <n v="8"/>
    <n v="1"/>
    <n v="0.36186836896013219"/>
    <n v="1"/>
    <n v="71.8"/>
    <n v="71.8"/>
    <n v="6.1417837985626669"/>
    <n v="1471.0111604556437"/>
    <n v="1"/>
    <n v="0"/>
    <n v="0"/>
    <n v="0"/>
    <n v="0"/>
    <n v="0"/>
    <n v="0"/>
    <n v="0"/>
    <n v="0"/>
    <n v="0"/>
  </r>
  <r>
    <d v="2013-08-31T00:00:00"/>
    <n v="2013"/>
    <x v="28"/>
    <s v="R"/>
    <s v="RS"/>
    <x v="7"/>
    <s v="SAS"/>
    <s v="A"/>
    <n v="3"/>
    <n v="0"/>
    <n v="3"/>
    <n v="-3"/>
    <n v="16"/>
    <n v="-16"/>
    <n v="1636.7967687810828"/>
    <n v="1458.2277499860843"/>
    <n v="0.67449574638077614"/>
    <n v="80"/>
    <n v="67"/>
    <n v="0"/>
    <n v="13"/>
    <n v="1"/>
    <n v="0.41089890970571419"/>
    <n v="1"/>
    <n v="71.650000000000006"/>
    <n v="71.650000000000006"/>
    <n v="9.5831404199823691"/>
    <n v="1646.3799092010652"/>
    <n v="1"/>
    <n v="0"/>
    <n v="0"/>
    <n v="0"/>
    <n v="0"/>
    <n v="0"/>
    <n v="0"/>
    <n v="0"/>
    <n v="0"/>
    <n v="0"/>
  </r>
  <r>
    <d v="2013-08-31T00:00:00"/>
    <n v="2013"/>
    <x v="29"/>
    <s v="R"/>
    <s v="RS"/>
    <x v="1"/>
    <s v="LAS"/>
    <s v="H"/>
    <n v="0"/>
    <n v="3"/>
    <n v="-3"/>
    <n v="3"/>
    <n v="-16"/>
    <n v="16"/>
    <n v="1458.2277499860843"/>
    <n v="1636.7967687810828"/>
    <n v="0.32550425361922386"/>
    <n v="67"/>
    <n v="80"/>
    <n v="0"/>
    <n v="-13"/>
    <n v="0"/>
    <n v="0.41089890970571419"/>
    <n v="1"/>
    <n v="71.5"/>
    <n v="71.5"/>
    <n v="-9.5630780185448625"/>
    <n v="1448.6646719675393"/>
    <n v="0"/>
    <n v="1"/>
    <n v="0"/>
    <n v="0"/>
    <n v="0"/>
    <n v="0"/>
    <n v="0"/>
    <n v="0"/>
    <n v="0"/>
    <n v="0"/>
  </r>
  <r>
    <d v="2013-09-01T00:00:00"/>
    <n v="2013"/>
    <x v="29"/>
    <s v="R"/>
    <s v="RS"/>
    <x v="4"/>
    <s v="TUL"/>
    <s v="A"/>
    <n v="1"/>
    <n v="1"/>
    <n v="0"/>
    <n v="0"/>
    <n v="0"/>
    <n v="0"/>
    <n v="1393.1120471454319"/>
    <n v="1399.3392314655462"/>
    <n v="0.37299501785799982"/>
    <n v="88"/>
    <n v="93"/>
    <n v="0"/>
    <n v="-5"/>
    <n v="0"/>
    <n v="0.33004327520432147"/>
    <n v="1"/>
    <n v="71.5"/>
    <n v="71.5"/>
    <n v="-8.8019715590055281"/>
    <n v="1384.3100755864264"/>
    <n v="0"/>
    <n v="1"/>
    <n v="0"/>
    <n v="0"/>
    <n v="0"/>
    <n v="0"/>
    <n v="0"/>
    <n v="0"/>
    <n v="0"/>
    <n v="0"/>
  </r>
  <r>
    <d v="2013-09-01T00:00:00"/>
    <n v="2013"/>
    <x v="29"/>
    <s v="R"/>
    <s v="RS"/>
    <x v="2"/>
    <s v="NYL"/>
    <s v="H"/>
    <n v="1"/>
    <n v="1"/>
    <n v="0"/>
    <n v="0"/>
    <n v="0"/>
    <n v="0"/>
    <n v="1399.3392314655462"/>
    <n v="1393.1120471454319"/>
    <n v="0.62700498214200018"/>
    <n v="93"/>
    <n v="88"/>
    <n v="0"/>
    <n v="5"/>
    <n v="1"/>
    <n v="0.33004327520432147"/>
    <n v="1"/>
    <n v="71.5"/>
    <n v="71.5"/>
    <n v="8.8019715590055281"/>
    <n v="1408.1412030245517"/>
    <n v="1"/>
    <n v="0"/>
    <n v="0"/>
    <n v="0"/>
    <n v="0"/>
    <n v="0"/>
    <n v="0"/>
    <n v="0"/>
    <n v="0"/>
    <n v="0"/>
  </r>
  <r>
    <d v="2013-09-02T00:00:00"/>
    <n v="2013"/>
    <x v="29"/>
    <s v="R"/>
    <s v="RS"/>
    <x v="7"/>
    <s v="ATL"/>
    <s v="A"/>
    <n v="1"/>
    <n v="1"/>
    <n v="0"/>
    <n v="0"/>
    <n v="0"/>
    <n v="0"/>
    <n v="1646.3799092010652"/>
    <n v="1491.7718458030495"/>
    <n v="0.60023699516494011"/>
    <n v="82"/>
    <n v="92"/>
    <n v="0"/>
    <n v="-10"/>
    <n v="0"/>
    <n v="0.37483583105584262"/>
    <n v="1"/>
    <n v="71.5"/>
    <n v="71.5"/>
    <n v="-16.086808803287514"/>
    <n v="1630.2931003977776"/>
    <n v="0"/>
    <n v="1"/>
    <n v="0"/>
    <n v="0"/>
    <n v="0"/>
    <n v="0"/>
    <n v="0"/>
    <n v="0"/>
    <n v="0"/>
    <n v="0"/>
  </r>
  <r>
    <d v="2013-09-02T00:00:00"/>
    <n v="2013"/>
    <x v="27"/>
    <s v="R"/>
    <s v="RS"/>
    <x v="3"/>
    <s v="LAS"/>
    <s v="H"/>
    <n v="1"/>
    <n v="1"/>
    <n v="0"/>
    <n v="0"/>
    <n v="0"/>
    <n v="0"/>
    <n v="1491.7718458030495"/>
    <n v="1646.3799092010652"/>
    <n v="0.39976300483505989"/>
    <n v="92"/>
    <n v="82"/>
    <n v="0"/>
    <n v="10"/>
    <n v="1"/>
    <n v="0.37483583105584262"/>
    <n v="1"/>
    <n v="71.8"/>
    <n v="71.8"/>
    <n v="16.15430590316145"/>
    <n v="1507.9261517062109"/>
    <n v="1"/>
    <n v="0"/>
    <n v="0"/>
    <n v="0"/>
    <n v="0"/>
    <n v="0"/>
    <n v="0"/>
    <n v="0"/>
    <n v="0"/>
    <n v="0"/>
  </r>
  <r>
    <d v="2013-09-04T00:00:00"/>
    <n v="2013"/>
    <x v="28"/>
    <s v="R"/>
    <s v="RS"/>
    <x v="0"/>
    <s v="ATL"/>
    <s v="A"/>
    <n v="4"/>
    <n v="1"/>
    <n v="3"/>
    <n v="-3"/>
    <n v="16"/>
    <n v="-16"/>
    <n v="1540.1348802579062"/>
    <n v="1507.9261517062109"/>
    <n v="0.47154883776145207"/>
    <n v="80"/>
    <n v="89"/>
    <n v="1"/>
    <n v="-9"/>
    <n v="0"/>
    <n v="0.35582384636599973"/>
    <n v="1"/>
    <n v="71.650000000000006"/>
    <n v="71.650000000000006"/>
    <n v="-12.022033214101565"/>
    <n v="1528.1128470438045"/>
    <n v="0"/>
    <n v="1"/>
    <n v="0"/>
    <n v="0"/>
    <n v="0"/>
    <n v="0"/>
    <n v="0"/>
    <n v="0"/>
    <n v="0"/>
    <n v="0"/>
  </r>
  <r>
    <d v="2013-09-04T00:00:00"/>
    <n v="2013"/>
    <x v="28"/>
    <s v="R"/>
    <s v="RS"/>
    <x v="3"/>
    <s v="IND"/>
    <s v="H"/>
    <n v="1"/>
    <n v="4"/>
    <n v="-3"/>
    <n v="3"/>
    <n v="-16"/>
    <n v="16"/>
    <n v="1507.9261517062109"/>
    <n v="1540.1348802579062"/>
    <n v="0.52845116223854804"/>
    <n v="89"/>
    <n v="80"/>
    <n v="1"/>
    <n v="9"/>
    <n v="1"/>
    <n v="0.35582384636599973"/>
    <n v="1"/>
    <n v="71.650000000000006"/>
    <n v="71.650000000000006"/>
    <n v="12.022033214101564"/>
    <n v="1519.9481849203125"/>
    <n v="1"/>
    <n v="0"/>
    <n v="0"/>
    <n v="0"/>
    <n v="0"/>
    <n v="0"/>
    <n v="0"/>
    <n v="0"/>
    <n v="0"/>
    <n v="0"/>
  </r>
  <r>
    <d v="2013-09-04T00:00:00"/>
    <n v="2013"/>
    <x v="30"/>
    <s v="R"/>
    <s v="RS"/>
    <x v="7"/>
    <s v="MIN"/>
    <s v="A"/>
    <n v="1"/>
    <n v="3"/>
    <n v="-2"/>
    <n v="2"/>
    <n v="-16"/>
    <n v="16"/>
    <n v="1630.2931003977776"/>
    <n v="1662.7487755292966"/>
    <n v="0.29847307327562567"/>
    <n v="74"/>
    <n v="83"/>
    <n v="0"/>
    <n v="-9"/>
    <n v="0"/>
    <n v="0.39528061122742159"/>
    <n v="1"/>
    <n v="71.349999999999994"/>
    <n v="71.349999999999994"/>
    <n v="-8.4179171541852167"/>
    <n v="1621.8751832435923"/>
    <n v="0"/>
    <n v="1"/>
    <n v="0"/>
    <n v="0"/>
    <n v="0"/>
    <n v="0"/>
    <n v="0"/>
    <n v="0"/>
    <n v="0"/>
    <n v="0"/>
  </r>
  <r>
    <d v="2013-09-04T00:00:00"/>
    <n v="2013"/>
    <x v="29"/>
    <s v="R"/>
    <s v="RS"/>
    <x v="11"/>
    <s v="LAS"/>
    <s v="H"/>
    <n v="3"/>
    <n v="1"/>
    <n v="2"/>
    <n v="-2"/>
    <n v="16"/>
    <n v="-16"/>
    <n v="1662.7487755292966"/>
    <n v="1630.2931003977776"/>
    <n v="0.70152692672437433"/>
    <n v="83"/>
    <n v="74"/>
    <n v="0"/>
    <n v="9"/>
    <n v="1"/>
    <n v="0.39528061122742159"/>
    <n v="1"/>
    <n v="71.5"/>
    <n v="71.5"/>
    <n v="8.4356142470111166"/>
    <n v="1671.1843897763076"/>
    <n v="1"/>
    <n v="0"/>
    <n v="0"/>
    <n v="0"/>
    <n v="0"/>
    <n v="0"/>
    <n v="0"/>
    <n v="0"/>
    <n v="0"/>
    <n v="0"/>
  </r>
  <r>
    <d v="2013-09-06T00:00:00"/>
    <n v="2013"/>
    <x v="29"/>
    <s v="R"/>
    <s v="RS"/>
    <x v="0"/>
    <s v="CHI"/>
    <s v="A"/>
    <n v="1"/>
    <n v="5"/>
    <n v="-4"/>
    <n v="4"/>
    <n v="-16"/>
    <n v="16"/>
    <n v="1528.1128470438045"/>
    <n v="1628.9351098081922"/>
    <n v="0.223024138228201"/>
    <n v="82"/>
    <n v="77"/>
    <n v="0"/>
    <n v="5"/>
    <n v="1"/>
    <n v="0.30604271002210293"/>
    <n v="1"/>
    <n v="71.5"/>
    <n v="71.5"/>
    <n v="17.001827582625616"/>
    <n v="1545.1146746264301"/>
    <n v="1"/>
    <n v="0"/>
    <n v="0"/>
    <n v="0"/>
    <n v="0"/>
    <n v="0"/>
    <n v="0"/>
    <n v="0"/>
    <n v="0"/>
    <n v="0"/>
  </r>
  <r>
    <d v="2013-09-06T00:00:00"/>
    <n v="2013"/>
    <x v="29"/>
    <s v="R"/>
    <s v="RS"/>
    <x v="8"/>
    <s v="IND"/>
    <s v="H"/>
    <n v="5"/>
    <n v="1"/>
    <n v="4"/>
    <n v="-4"/>
    <n v="16"/>
    <n v="-16"/>
    <n v="1628.9351098081922"/>
    <n v="1528.1128470438045"/>
    <n v="0.77697586177179911"/>
    <n v="77"/>
    <n v="82"/>
    <n v="0"/>
    <n v="-5"/>
    <n v="0"/>
    <n v="0.30604271002210293"/>
    <n v="1"/>
    <n v="71.5"/>
    <n v="71.5"/>
    <n v="-17.001827582625616"/>
    <n v="1611.9332822255667"/>
    <n v="0"/>
    <n v="1"/>
    <n v="0"/>
    <n v="0"/>
    <n v="0"/>
    <n v="0"/>
    <n v="0"/>
    <n v="0"/>
    <n v="0"/>
    <n v="0"/>
  </r>
  <r>
    <d v="2013-09-06T00:00:00"/>
    <n v="2013"/>
    <x v="29"/>
    <s v="R"/>
    <s v="RS"/>
    <x v="10"/>
    <s v="CON"/>
    <s v="A"/>
    <n v="8"/>
    <n v="5"/>
    <n v="3"/>
    <n v="-3"/>
    <n v="16"/>
    <n v="-16"/>
    <n v="1448.6654085350956"/>
    <n v="1371.0383698389119"/>
    <n v="0.53681353470641757"/>
    <n v="70"/>
    <n v="77"/>
    <n v="0"/>
    <n v="-7"/>
    <n v="0"/>
    <n v="0.34761991843708673"/>
    <n v="1"/>
    <n v="71.5"/>
    <n v="71.5"/>
    <n v="-13.34240601626569"/>
    <n v="1435.32300251883"/>
    <n v="0"/>
    <n v="1"/>
    <n v="0"/>
    <n v="0"/>
    <n v="0"/>
    <n v="0"/>
    <n v="0"/>
    <n v="0"/>
    <n v="0"/>
    <n v="0"/>
  </r>
  <r>
    <d v="2013-09-06T00:00:00"/>
    <n v="2013"/>
    <x v="29"/>
    <s v="R"/>
    <s v="RS"/>
    <x v="5"/>
    <s v="WAS"/>
    <s v="H"/>
    <n v="5"/>
    <n v="8"/>
    <n v="-3"/>
    <n v="3"/>
    <n v="-16"/>
    <n v="16"/>
    <n v="1371.0383698389119"/>
    <n v="1448.6654085350956"/>
    <n v="0.46318646529358243"/>
    <n v="77"/>
    <n v="70"/>
    <n v="0"/>
    <n v="7"/>
    <n v="1"/>
    <n v="0.34761991843708673"/>
    <n v="1"/>
    <n v="71.5"/>
    <n v="71.5"/>
    <n v="13.34240601626569"/>
    <n v="1384.3807758551775"/>
    <n v="1"/>
    <n v="0"/>
    <n v="0"/>
    <n v="0"/>
    <n v="0"/>
    <n v="0"/>
    <n v="0"/>
    <n v="0"/>
    <n v="0"/>
    <n v="0"/>
  </r>
  <r>
    <d v="2013-09-06T00:00:00"/>
    <n v="2013"/>
    <x v="29"/>
    <s v="R"/>
    <s v="RS"/>
    <x v="3"/>
    <s v="NYL"/>
    <s v="A"/>
    <n v="1"/>
    <n v="4"/>
    <n v="-3"/>
    <n v="3"/>
    <n v="-16"/>
    <n v="16"/>
    <n v="1519.9481849203125"/>
    <n v="1384.3100755864264"/>
    <n v="0.52823145242636083"/>
    <n v="70"/>
    <n v="57"/>
    <n v="0"/>
    <n v="13"/>
    <n v="1"/>
    <n v="0.42410627760497505"/>
    <n v="1"/>
    <n v="71.5"/>
    <n v="71.5"/>
    <n v="14.30572018608316"/>
    <n v="1534.2539051063957"/>
    <n v="1"/>
    <n v="0"/>
    <n v="0"/>
    <n v="0"/>
    <n v="0"/>
    <n v="0"/>
    <n v="0"/>
    <n v="0"/>
    <n v="0"/>
    <n v="0"/>
  </r>
  <r>
    <d v="2013-09-06T00:00:00"/>
    <n v="2013"/>
    <x v="30"/>
    <s v="R"/>
    <s v="RS"/>
    <x v="4"/>
    <s v="ATL"/>
    <s v="H"/>
    <n v="4"/>
    <n v="1"/>
    <n v="3"/>
    <n v="-3"/>
    <n v="16"/>
    <n v="-16"/>
    <n v="1384.3100755864264"/>
    <n v="1519.9481849203125"/>
    <n v="0.47176854757363929"/>
    <n v="57"/>
    <n v="70"/>
    <n v="0"/>
    <n v="-13"/>
    <n v="0"/>
    <n v="0.42410627760497505"/>
    <n v="1"/>
    <n v="71.349999999999994"/>
    <n v="71.349999999999994"/>
    <n v="-14.275708185692778"/>
    <n v="1370.0343674007336"/>
    <n v="0"/>
    <n v="1"/>
    <n v="0"/>
    <n v="0"/>
    <n v="0"/>
    <n v="0"/>
    <n v="0"/>
    <n v="0"/>
    <n v="0"/>
    <n v="0"/>
  </r>
  <r>
    <d v="2013-09-06T00:00:00"/>
    <n v="2013"/>
    <x v="30"/>
    <s v="R"/>
    <s v="RS"/>
    <x v="1"/>
    <s v="PHX"/>
    <s v="A"/>
    <n v="5"/>
    <n v="5"/>
    <n v="0"/>
    <n v="0"/>
    <n v="0"/>
    <n v="0"/>
    <n v="1448.6646719675393"/>
    <n v="1471.0111604556437"/>
    <n v="0.35156216268148416"/>
    <n v="80"/>
    <n v="83"/>
    <n v="0"/>
    <n v="-3"/>
    <n v="0"/>
    <n v="0.28487849279884314"/>
    <n v="1"/>
    <n v="71.349999999999994"/>
    <n v="71.349999999999994"/>
    <n v="-7.1458808057764367"/>
    <n v="1441.5187911617629"/>
    <n v="0"/>
    <n v="1"/>
    <n v="0"/>
    <n v="0"/>
    <n v="0"/>
    <n v="0"/>
    <n v="0"/>
    <n v="0"/>
    <n v="0"/>
    <n v="0"/>
  </r>
  <r>
    <d v="2013-09-06T00:00:00"/>
    <n v="2013"/>
    <x v="28"/>
    <s v="R"/>
    <s v="RS"/>
    <x v="9"/>
    <s v="SAS"/>
    <s v="H"/>
    <n v="5"/>
    <n v="5"/>
    <n v="0"/>
    <n v="0"/>
    <n v="0"/>
    <n v="0"/>
    <n v="1471.0111604556437"/>
    <n v="1448.6646719675393"/>
    <n v="0.64843783731851579"/>
    <n v="83"/>
    <n v="80"/>
    <n v="0"/>
    <n v="3"/>
    <n v="1"/>
    <n v="0.28487849279884314"/>
    <n v="1"/>
    <n v="71.650000000000006"/>
    <n v="71.650000000000006"/>
    <n v="7.1759265554853799"/>
    <n v="1478.1870870111291"/>
    <n v="1"/>
    <n v="0"/>
    <n v="0"/>
    <n v="0"/>
    <n v="0"/>
    <n v="0"/>
    <n v="0"/>
    <n v="0"/>
    <n v="0"/>
    <n v="0"/>
  </r>
  <r>
    <d v="2013-09-06T00:00:00"/>
    <n v="2013"/>
    <x v="31"/>
    <s v="R"/>
    <s v="RS"/>
    <x v="7"/>
    <s v="TUL"/>
    <s v="A"/>
    <n v="1"/>
    <n v="4"/>
    <n v="-3"/>
    <n v="3"/>
    <n v="-16"/>
    <n v="16"/>
    <n v="1621.8751832435923"/>
    <n v="1408.1412030245517"/>
    <n v="0.63705438228053179"/>
    <n v="74"/>
    <n v="70"/>
    <n v="0"/>
    <n v="4"/>
    <n v="1"/>
    <n v="0.26434908342993352"/>
    <n v="1"/>
    <n v="71.2"/>
    <n v="71.2"/>
    <n v="6.831237106188536"/>
    <n v="1628.706420349781"/>
    <n v="1"/>
    <n v="0"/>
    <n v="0"/>
    <n v="0"/>
    <n v="0"/>
    <n v="0"/>
    <n v="0"/>
    <n v="0"/>
    <n v="0"/>
    <n v="0"/>
  </r>
  <r>
    <d v="2013-09-06T00:00:00"/>
    <n v="2013"/>
    <x v="30"/>
    <s v="R"/>
    <s v="RS"/>
    <x v="2"/>
    <s v="LAS"/>
    <s v="H"/>
    <n v="4"/>
    <n v="1"/>
    <n v="3"/>
    <n v="-3"/>
    <n v="16"/>
    <n v="-16"/>
    <n v="1408.1412030245517"/>
    <n v="1621.8751832435923"/>
    <n v="0.36294561771946821"/>
    <n v="70"/>
    <n v="74"/>
    <n v="0"/>
    <n v="-4"/>
    <n v="0"/>
    <n v="0.26434908342993352"/>
    <n v="1"/>
    <n v="71.349999999999994"/>
    <n v="71.349999999999994"/>
    <n v="-6.8456287573953913"/>
    <n v="1401.2955742671563"/>
    <n v="0"/>
    <n v="1"/>
    <n v="0"/>
    <n v="0"/>
    <n v="0"/>
    <n v="0"/>
    <n v="0"/>
    <n v="0"/>
    <n v="0"/>
    <n v="0"/>
  </r>
  <r>
    <d v="2013-09-07T00:00:00"/>
    <n v="2013"/>
    <x v="30"/>
    <s v="R"/>
    <s v="RS"/>
    <x v="5"/>
    <s v="IND"/>
    <s v="A"/>
    <n v="0"/>
    <n v="0"/>
    <n v="0"/>
    <n v="0"/>
    <n v="0"/>
    <n v="0"/>
    <n v="1384.3807758551775"/>
    <n v="1545.1146746264301"/>
    <n v="0.19642314942297148"/>
    <n v="60"/>
    <n v="69"/>
    <n v="0"/>
    <n v="-9"/>
    <n v="0"/>
    <n v="0.35801697379377689"/>
    <n v="1"/>
    <n v="71.349999999999994"/>
    <n v="71.349999999999994"/>
    <n v="-5.0175333168401215"/>
    <n v="1379.3632425383373"/>
    <n v="0"/>
    <n v="1"/>
    <n v="0"/>
    <n v="0"/>
    <n v="0"/>
    <n v="0"/>
    <n v="0"/>
    <n v="0"/>
    <n v="0"/>
    <n v="0"/>
  </r>
  <r>
    <d v="2013-09-07T00:00:00"/>
    <n v="2013"/>
    <x v="30"/>
    <s v="R"/>
    <s v="RS"/>
    <x v="0"/>
    <s v="CON"/>
    <s v="H"/>
    <n v="0"/>
    <n v="0"/>
    <n v="0"/>
    <n v="0"/>
    <n v="0"/>
    <n v="0"/>
    <n v="1545.1146746264301"/>
    <n v="1384.3807758551775"/>
    <n v="0.80357685057702843"/>
    <n v="69"/>
    <n v="60"/>
    <n v="0"/>
    <n v="9"/>
    <n v="1"/>
    <n v="0.35801697379377689"/>
    <n v="1"/>
    <n v="71.349999999999994"/>
    <n v="71.349999999999994"/>
    <n v="5.0175333168401233"/>
    <n v="1550.1322079432703"/>
    <n v="1"/>
    <n v="0"/>
    <n v="0"/>
    <n v="0"/>
    <n v="0"/>
    <n v="0"/>
    <n v="0"/>
    <n v="0"/>
    <n v="0"/>
    <n v="0"/>
  </r>
  <r>
    <d v="2013-09-07T00:00:00"/>
    <n v="2013"/>
    <x v="30"/>
    <s v="R"/>
    <s v="RS"/>
    <x v="11"/>
    <s v="SEA"/>
    <s v="A"/>
    <n v="2"/>
    <n v="6"/>
    <n v="-4"/>
    <n v="4"/>
    <n v="-16"/>
    <n v="16"/>
    <n v="1671.1843897763076"/>
    <n v="1501.7334780565043"/>
    <n v="0.57632087235332574"/>
    <n v="75"/>
    <n v="60"/>
    <n v="0"/>
    <n v="15"/>
    <n v="1"/>
    <n v="0.44062742847549285"/>
    <n v="1"/>
    <n v="71.349999999999994"/>
    <n v="71.349999999999994"/>
    <n v="13.319949386052079"/>
    <n v="1684.5043391623597"/>
    <n v="1"/>
    <n v="0"/>
    <n v="0"/>
    <n v="0"/>
    <n v="0"/>
    <n v="0"/>
    <n v="0"/>
    <n v="0"/>
    <n v="0"/>
    <n v="0"/>
  </r>
  <r>
    <d v="2013-09-07T00:00:00"/>
    <n v="2013"/>
    <x v="30"/>
    <s v="R"/>
    <s v="RS"/>
    <x v="6"/>
    <s v="MIN"/>
    <s v="H"/>
    <n v="6"/>
    <n v="2"/>
    <n v="4"/>
    <n v="-4"/>
    <n v="16"/>
    <n v="-16"/>
    <n v="1501.7334780565043"/>
    <n v="1671.1843897763076"/>
    <n v="0.42367912764667426"/>
    <n v="60"/>
    <n v="75"/>
    <n v="0"/>
    <n v="-15"/>
    <n v="0"/>
    <n v="0.44062742847549285"/>
    <n v="1"/>
    <n v="71.349999999999994"/>
    <n v="71.349999999999994"/>
    <n v="-13.319949386052079"/>
    <n v="1488.4135286704523"/>
    <n v="0"/>
    <n v="1"/>
    <n v="0"/>
    <n v="0"/>
    <n v="0"/>
    <n v="0"/>
    <n v="0"/>
    <n v="0"/>
    <n v="0"/>
    <n v="0"/>
  </r>
  <r>
    <d v="2013-09-08T00:00:00"/>
    <n v="2013"/>
    <x v="29"/>
    <s v="R"/>
    <s v="RS"/>
    <x v="9"/>
    <s v="ATL"/>
    <s v="A"/>
    <n v="1"/>
    <n v="1"/>
    <n v="0"/>
    <n v="0"/>
    <n v="0"/>
    <n v="0"/>
    <n v="1478.1870870111291"/>
    <n v="1534.2539051063957"/>
    <n v="0.30868176127630192"/>
    <n v="79"/>
    <n v="71"/>
    <n v="0"/>
    <n v="8"/>
    <n v="1"/>
    <n v="0.37098236757040448"/>
    <n v="1"/>
    <n v="71.5"/>
    <n v="71.5"/>
    <n v="18.337381701661847"/>
    <n v="1496.5244687127908"/>
    <n v="1"/>
    <n v="0"/>
    <n v="0"/>
    <n v="0"/>
    <n v="0"/>
    <n v="0"/>
    <n v="0"/>
    <n v="0"/>
    <n v="0"/>
    <n v="0"/>
  </r>
  <r>
    <d v="2013-09-08T00:00:00"/>
    <n v="2013"/>
    <x v="30"/>
    <s v="R"/>
    <s v="RS"/>
    <x v="3"/>
    <s v="PHX"/>
    <s v="H"/>
    <n v="1"/>
    <n v="1"/>
    <n v="0"/>
    <n v="0"/>
    <n v="0"/>
    <n v="0"/>
    <n v="1534.2539051063957"/>
    <n v="1478.1870870111291"/>
    <n v="0.69131823872369802"/>
    <n v="71"/>
    <n v="79"/>
    <n v="0"/>
    <n v="-8"/>
    <n v="0"/>
    <n v="0.37098236757040448"/>
    <n v="1"/>
    <n v="71.349999999999994"/>
    <n v="71.349999999999994"/>
    <n v="-18.298911670119899"/>
    <n v="1515.9549934362758"/>
    <n v="0"/>
    <n v="1"/>
    <n v="0"/>
    <n v="0"/>
    <n v="0"/>
    <n v="0"/>
    <n v="0"/>
    <n v="0"/>
    <n v="0"/>
    <n v="0"/>
  </r>
  <r>
    <d v="2013-09-08T00:00:00"/>
    <n v="2013"/>
    <x v="31"/>
    <s v="R"/>
    <s v="RS"/>
    <x v="2"/>
    <s v="SAS"/>
    <s v="A"/>
    <n v="1"/>
    <n v="1"/>
    <n v="0"/>
    <n v="0"/>
    <n v="0"/>
    <n v="0"/>
    <n v="1401.2955742671563"/>
    <n v="1441.5187911617629"/>
    <n v="0.3284759253878895"/>
    <n v="98"/>
    <n v="65"/>
    <n v="0"/>
    <n v="33"/>
    <n v="1"/>
    <n v="0.71510580072054342"/>
    <n v="1"/>
    <n v="71.2"/>
    <n v="71.2"/>
    <n v="34.191006188797402"/>
    <n v="1435.4865804559538"/>
    <n v="1"/>
    <n v="0"/>
    <n v="0"/>
    <n v="0"/>
    <n v="0"/>
    <n v="0"/>
    <n v="0"/>
    <n v="0"/>
    <n v="0"/>
    <n v="0"/>
  </r>
  <r>
    <d v="2013-09-08T00:00:00"/>
    <n v="2013"/>
    <x v="31"/>
    <s v="R"/>
    <s v="RS"/>
    <x v="1"/>
    <s v="TUL"/>
    <s v="H"/>
    <n v="1"/>
    <n v="1"/>
    <n v="0"/>
    <n v="0"/>
    <n v="0"/>
    <n v="0"/>
    <n v="1441.5187911617629"/>
    <n v="1401.2955742671563"/>
    <n v="0.6715240746121105"/>
    <n v="65"/>
    <n v="98"/>
    <n v="0"/>
    <n v="-33"/>
    <n v="0"/>
    <n v="0.71510580072054342"/>
    <n v="1"/>
    <n v="71.2"/>
    <n v="71.2"/>
    <n v="-34.191006188797402"/>
    <n v="1407.3277849729654"/>
    <n v="0"/>
    <n v="1"/>
    <n v="0"/>
    <n v="0"/>
    <n v="0"/>
    <n v="0"/>
    <n v="0"/>
    <n v="0"/>
    <n v="0"/>
    <n v="0"/>
  </r>
  <r>
    <d v="2013-09-08T00:00:00"/>
    <n v="2013"/>
    <x v="30"/>
    <s v="R"/>
    <s v="RS"/>
    <x v="8"/>
    <s v="WAS"/>
    <s v="A"/>
    <n v="1"/>
    <n v="1"/>
    <n v="0"/>
    <n v="0"/>
    <n v="0"/>
    <n v="0"/>
    <n v="1611.9332822255667"/>
    <n v="1435.32300251883"/>
    <n v="0.63020762376022432"/>
    <n v="93"/>
    <n v="79"/>
    <n v="0"/>
    <n v="14"/>
    <n v="1"/>
    <n v="0.42505110768573762"/>
    <n v="1"/>
    <n v="71.349999999999994"/>
    <n v="71.349999999999994"/>
    <n v="11.214840029243556"/>
    <n v="1623.1481222548102"/>
    <n v="1"/>
    <n v="0"/>
    <n v="0"/>
    <n v="0"/>
    <n v="0"/>
    <n v="0"/>
    <n v="0"/>
    <n v="0"/>
    <n v="0"/>
    <n v="0"/>
  </r>
  <r>
    <d v="2013-09-08T00:00:00"/>
    <n v="2013"/>
    <x v="30"/>
    <s v="R"/>
    <s v="RS"/>
    <x v="10"/>
    <s v="CHI"/>
    <s v="H"/>
    <n v="1"/>
    <n v="1"/>
    <n v="0"/>
    <n v="0"/>
    <n v="0"/>
    <n v="0"/>
    <n v="1435.32300251883"/>
    <n v="1611.9332822255667"/>
    <n v="0.36979237623977573"/>
    <n v="79"/>
    <n v="93"/>
    <n v="0"/>
    <n v="-14"/>
    <n v="0"/>
    <n v="0.42505110768573762"/>
    <n v="1"/>
    <n v="71.349999999999994"/>
    <n v="71.349999999999994"/>
    <n v="-11.214840029243557"/>
    <n v="1424.1081624895864"/>
    <n v="0"/>
    <n v="1"/>
    <n v="0"/>
    <n v="0"/>
    <n v="0"/>
    <n v="0"/>
    <n v="0"/>
    <n v="0"/>
    <n v="0"/>
    <n v="0"/>
  </r>
  <r>
    <d v="2013-09-10T00:00:00"/>
    <n v="2013"/>
    <x v="31"/>
    <s v="R"/>
    <s v="RS"/>
    <x v="10"/>
    <s v="IND"/>
    <s v="A"/>
    <n v="1"/>
    <n v="2"/>
    <n v="-1"/>
    <n v="1"/>
    <n v="-8"/>
    <n v="8"/>
    <n v="1424.1081624895864"/>
    <n v="1550.1322079432703"/>
    <n v="0.2139801161181458"/>
    <n v="69"/>
    <n v="67"/>
    <n v="0"/>
    <n v="2"/>
    <n v="1"/>
    <n v="0.24238594018982307"/>
    <n v="1"/>
    <n v="71.2"/>
    <n v="71.2"/>
    <n v="13.565036001657035"/>
    <n v="1437.6731984912435"/>
    <n v="1"/>
    <n v="0"/>
    <n v="0"/>
    <n v="0"/>
    <n v="0"/>
    <n v="0"/>
    <n v="0"/>
    <n v="0"/>
    <n v="0"/>
    <n v="0"/>
  </r>
  <r>
    <d v="2013-09-10T00:00:00"/>
    <n v="2013"/>
    <x v="31"/>
    <s v="R"/>
    <s v="RS"/>
    <x v="0"/>
    <s v="WAS"/>
    <s v="H"/>
    <n v="2"/>
    <n v="1"/>
    <n v="1"/>
    <n v="-1"/>
    <n v="8"/>
    <n v="-8"/>
    <n v="1550.1322079432703"/>
    <n v="1424.1081624895864"/>
    <n v="0.78601988388185418"/>
    <n v="67"/>
    <n v="69"/>
    <n v="0"/>
    <n v="-2"/>
    <n v="0"/>
    <n v="0.24238594018982307"/>
    <n v="1"/>
    <n v="71.2"/>
    <n v="71.2"/>
    <n v="-13.565036001657035"/>
    <n v="1536.5671719416132"/>
    <n v="0"/>
    <n v="1"/>
    <n v="0"/>
    <n v="0"/>
    <n v="0"/>
    <n v="0"/>
    <n v="0"/>
    <n v="0"/>
    <n v="0"/>
    <n v="0"/>
  </r>
  <r>
    <d v="2013-09-10T00:00:00"/>
    <n v="2013"/>
    <x v="30"/>
    <s v="R"/>
    <s v="RS"/>
    <x v="9"/>
    <s v="NYL"/>
    <s v="A"/>
    <n v="1"/>
    <n v="3"/>
    <n v="-2"/>
    <n v="2"/>
    <n v="-16"/>
    <n v="16"/>
    <n v="1496.5244687127908"/>
    <n v="1370.0343674007336"/>
    <n v="0.51509188360590263"/>
    <n v="80"/>
    <n v="76"/>
    <n v="0"/>
    <n v="4"/>
    <n v="1"/>
    <n v="0.28173544718878957"/>
    <n v="1"/>
    <n v="71.349999999999994"/>
    <n v="71.349999999999994"/>
    <n v="9.7475376880175073"/>
    <n v="1506.2720064008083"/>
    <n v="1"/>
    <n v="0"/>
    <n v="0"/>
    <n v="0"/>
    <n v="0"/>
    <n v="0"/>
    <n v="0"/>
    <n v="0"/>
    <n v="0"/>
    <n v="0"/>
  </r>
  <r>
    <d v="2013-09-10T00:00:00"/>
    <n v="2013"/>
    <x v="31"/>
    <s v="R"/>
    <s v="RS"/>
    <x v="4"/>
    <s v="PHX"/>
    <s v="H"/>
    <n v="3"/>
    <n v="1"/>
    <n v="2"/>
    <n v="-2"/>
    <n v="16"/>
    <n v="-16"/>
    <n v="1370.0343674007336"/>
    <n v="1496.5244687127908"/>
    <n v="0.48490811639409742"/>
    <n v="76"/>
    <n v="80"/>
    <n v="0"/>
    <n v="-4"/>
    <n v="0"/>
    <n v="0.28173544718878957"/>
    <n v="1"/>
    <n v="71.2"/>
    <n v="71.2"/>
    <n v="-9.7270453172648441"/>
    <n v="1360.3073220834688"/>
    <n v="0"/>
    <n v="1"/>
    <n v="0"/>
    <n v="0"/>
    <n v="0"/>
    <n v="0"/>
    <n v="0"/>
    <n v="0"/>
    <n v="0"/>
    <n v="0"/>
  </r>
  <r>
    <d v="2013-09-10T00:00:00"/>
    <n v="2013"/>
    <x v="31"/>
    <s v="R"/>
    <s v="RS"/>
    <x v="11"/>
    <s v="SEA"/>
    <s v="A"/>
    <n v="2"/>
    <n v="2"/>
    <n v="0"/>
    <n v="0"/>
    <n v="0"/>
    <n v="0"/>
    <n v="1684.5043391623597"/>
    <n v="1488.4135286704523"/>
    <n v="0.65593849078434574"/>
    <n v="73"/>
    <n v="60"/>
    <n v="0"/>
    <n v="13"/>
    <n v="1"/>
    <n v="0.40574187761994768"/>
    <n v="1"/>
    <n v="71.2"/>
    <n v="71.2"/>
    <n v="9.9395315889329687"/>
    <n v="1694.4438707512927"/>
    <n v="1"/>
    <n v="0"/>
    <n v="0"/>
    <n v="0"/>
    <n v="0"/>
    <n v="0"/>
    <n v="0"/>
    <n v="0"/>
    <n v="0"/>
    <n v="0"/>
  </r>
  <r>
    <d v="2013-09-10T00:00:00"/>
    <n v="2013"/>
    <x v="31"/>
    <s v="R"/>
    <s v="RS"/>
    <x v="6"/>
    <s v="MIN"/>
    <s v="H"/>
    <n v="2"/>
    <n v="2"/>
    <n v="0"/>
    <n v="0"/>
    <n v="0"/>
    <n v="0"/>
    <n v="1488.4135286704523"/>
    <n v="1684.5043391623597"/>
    <n v="0.34406150921565426"/>
    <n v="60"/>
    <n v="73"/>
    <n v="0"/>
    <n v="-13"/>
    <n v="0"/>
    <n v="0.40574187761994768"/>
    <n v="1"/>
    <n v="71.2"/>
    <n v="71.2"/>
    <n v="-9.9395315889329687"/>
    <n v="1478.4739970815192"/>
    <n v="0"/>
    <n v="1"/>
    <n v="0"/>
    <n v="0"/>
    <n v="0"/>
    <n v="0"/>
    <n v="0"/>
    <n v="0"/>
    <n v="0"/>
    <n v="0"/>
  </r>
  <r>
    <d v="2013-09-11T00:00:00"/>
    <n v="2013"/>
    <x v="31"/>
    <s v="R"/>
    <s v="RS"/>
    <x v="9"/>
    <s v="CHI"/>
    <s v="A"/>
    <n v="0"/>
    <n v="2"/>
    <n v="-2"/>
    <n v="2"/>
    <n v="-16"/>
    <n v="16"/>
    <n v="1506.2720064008083"/>
    <n v="1623.1481222548102"/>
    <n v="0.20742082883601554"/>
    <n v="68"/>
    <n v="70"/>
    <n v="0"/>
    <n v="-2"/>
    <n v="0"/>
    <n v="0.24406972007626385"/>
    <n v="1"/>
    <n v="71.2"/>
    <n v="71.2"/>
    <n v="-3.6045102265978981"/>
    <n v="1502.6674961742103"/>
    <n v="0"/>
    <n v="1"/>
    <n v="0"/>
    <n v="0"/>
    <n v="0"/>
    <n v="0"/>
    <n v="0"/>
    <n v="0"/>
    <n v="0"/>
    <n v="0"/>
  </r>
  <r>
    <d v="2013-09-11T00:00:00"/>
    <n v="2013"/>
    <x v="31"/>
    <s v="R"/>
    <s v="RS"/>
    <x v="8"/>
    <s v="PHX"/>
    <s v="H"/>
    <n v="2"/>
    <n v="0"/>
    <n v="2"/>
    <n v="-2"/>
    <n v="16"/>
    <n v="-16"/>
    <n v="1623.1481222548102"/>
    <n v="1506.2720064008083"/>
    <n v="0.79257917116398446"/>
    <n v="70"/>
    <n v="68"/>
    <n v="0"/>
    <n v="2"/>
    <n v="1"/>
    <n v="0.24406972007626385"/>
    <n v="1"/>
    <n v="71.2"/>
    <n v="71.2"/>
    <n v="3.6045102265978981"/>
    <n v="1626.7526324814082"/>
    <n v="1"/>
    <n v="0"/>
    <n v="0"/>
    <n v="0"/>
    <n v="0"/>
    <n v="0"/>
    <n v="0"/>
    <n v="0"/>
    <n v="0"/>
    <n v="0"/>
  </r>
  <r>
    <d v="2013-09-11T00:00:00"/>
    <n v="2013"/>
    <x v="31"/>
    <s v="R"/>
    <s v="RS"/>
    <x v="3"/>
    <s v="CON"/>
    <s v="A"/>
    <n v="2"/>
    <n v="3"/>
    <n v="-1"/>
    <n v="1"/>
    <n v="-8"/>
    <n v="8"/>
    <n v="1515.9549934362758"/>
    <n v="1379.3632425383373"/>
    <n v="0.55246591836040415"/>
    <n v="77"/>
    <n v="78"/>
    <n v="0"/>
    <n v="-1"/>
    <n v="0"/>
    <n v="0.2192259565880911"/>
    <n v="1"/>
    <n v="71.2"/>
    <n v="71.2"/>
    <n v="-8.6233787037633025"/>
    <n v="1507.3316147325124"/>
    <n v="0"/>
    <n v="1"/>
    <n v="0"/>
    <n v="0"/>
    <n v="0"/>
    <n v="0"/>
    <n v="0"/>
    <n v="0"/>
    <n v="0"/>
    <n v="0"/>
  </r>
  <r>
    <d v="2013-09-11T00:00:00"/>
    <n v="2013"/>
    <x v="31"/>
    <s v="R"/>
    <s v="RS"/>
    <x v="5"/>
    <s v="ATL"/>
    <s v="H"/>
    <n v="3"/>
    <n v="2"/>
    <n v="1"/>
    <n v="-1"/>
    <n v="8"/>
    <n v="-8"/>
    <n v="1379.3632425383373"/>
    <n v="1515.9549934362758"/>
    <n v="0.44753408163959579"/>
    <n v="78"/>
    <n v="77"/>
    <n v="0"/>
    <n v="1"/>
    <n v="1"/>
    <n v="0.2192259565880911"/>
    <n v="1"/>
    <n v="71.2"/>
    <n v="71.2"/>
    <n v="8.6233787037633025"/>
    <n v="1387.9866212421007"/>
    <n v="1"/>
    <n v="0"/>
    <n v="0"/>
    <n v="0"/>
    <n v="0"/>
    <n v="0"/>
    <n v="0"/>
    <n v="0"/>
    <n v="0"/>
    <n v="0"/>
  </r>
  <r>
    <d v="2013-09-12T00:00:00"/>
    <n v="2013"/>
    <x v="32"/>
    <s v="R"/>
    <s v="RS"/>
    <x v="11"/>
    <s v="LAS"/>
    <s v="A"/>
    <n v="1"/>
    <n v="5"/>
    <n v="-4"/>
    <n v="4"/>
    <n v="-16"/>
    <n v="16"/>
    <n v="1694.4438707512927"/>
    <n v="1628.706420349781"/>
    <n v="0.42816680185388351"/>
    <n v="84"/>
    <n v="85"/>
    <n v="0"/>
    <n v="-1"/>
    <n v="0"/>
    <n v="0.23149793431916152"/>
    <n v="1"/>
    <n v="71.05"/>
    <n v="71.05"/>
    <n v="-7.0424568288069809"/>
    <n v="1687.4014139224857"/>
    <n v="0"/>
    <n v="1"/>
    <n v="0"/>
    <n v="0"/>
    <n v="0"/>
    <n v="0"/>
    <n v="0"/>
    <n v="0"/>
    <n v="0"/>
    <n v="0"/>
  </r>
  <r>
    <d v="2013-09-12T00:00:00"/>
    <n v="2013"/>
    <x v="32"/>
    <s v="R"/>
    <s v="RS"/>
    <x v="7"/>
    <s v="MIN"/>
    <s v="H"/>
    <n v="5"/>
    <n v="1"/>
    <n v="4"/>
    <n v="-4"/>
    <n v="16"/>
    <n v="-16"/>
    <n v="1628.706420349781"/>
    <n v="1694.4438707512927"/>
    <n v="0.57183319814611655"/>
    <n v="85"/>
    <n v="84"/>
    <n v="0"/>
    <n v="1"/>
    <n v="1"/>
    <n v="0.23149793431916152"/>
    <n v="1"/>
    <n v="71.05"/>
    <n v="71.05"/>
    <n v="7.04245682880698"/>
    <n v="1635.7488771785879"/>
    <n v="1"/>
    <n v="0"/>
    <n v="0"/>
    <n v="0"/>
    <n v="0"/>
    <n v="0"/>
    <n v="0"/>
    <n v="0"/>
    <n v="0"/>
    <n v="0"/>
  </r>
  <r>
    <d v="2013-09-12T00:00:00"/>
    <n v="2013"/>
    <x v="32"/>
    <s v="R"/>
    <s v="RS"/>
    <x v="6"/>
    <s v="TUL"/>
    <s v="A"/>
    <n v="1"/>
    <n v="3"/>
    <n v="-2"/>
    <n v="2"/>
    <n v="-16"/>
    <n v="16"/>
    <n v="1478.4739970815192"/>
    <n v="1435.4865804559538"/>
    <n v="0.39644634916658988"/>
    <n v="76"/>
    <n v="67"/>
    <n v="0"/>
    <n v="9"/>
    <n v="1"/>
    <n v="0.39193142751134064"/>
    <n v="1"/>
    <n v="71.05"/>
    <n v="71.05"/>
    <n v="16.806994302705736"/>
    <n v="1495.280991384225"/>
    <n v="1"/>
    <n v="0"/>
    <n v="0"/>
    <n v="0"/>
    <n v="0"/>
    <n v="0"/>
    <n v="0"/>
    <n v="0"/>
    <n v="0"/>
    <n v="0"/>
  </r>
  <r>
    <d v="2013-09-12T00:00:00"/>
    <n v="2013"/>
    <x v="32"/>
    <s v="R"/>
    <s v="RS"/>
    <x v="2"/>
    <s v="SEA"/>
    <s v="H"/>
    <n v="3"/>
    <n v="1"/>
    <n v="2"/>
    <n v="-2"/>
    <n v="16"/>
    <n v="-16"/>
    <n v="1435.4865804559538"/>
    <n v="1478.4739970815192"/>
    <n v="0.60355365083341006"/>
    <n v="67"/>
    <n v="76"/>
    <n v="0"/>
    <n v="-9"/>
    <n v="0"/>
    <n v="0.39193142751134064"/>
    <n v="1"/>
    <n v="71.05"/>
    <n v="71.05"/>
    <n v="-16.806994302705736"/>
    <n v="1418.679586153248"/>
    <n v="0"/>
    <n v="1"/>
    <n v="0"/>
    <n v="0"/>
    <n v="0"/>
    <n v="0"/>
    <n v="0"/>
    <n v="0"/>
    <n v="0"/>
    <n v="0"/>
  </r>
  <r>
    <d v="2013-09-13T00:00:00"/>
    <n v="2013"/>
    <x v="32"/>
    <s v="R"/>
    <s v="RS"/>
    <x v="3"/>
    <s v="CHI"/>
    <s v="A"/>
    <n v="1"/>
    <n v="1"/>
    <n v="0"/>
    <n v="0"/>
    <n v="0"/>
    <n v="0"/>
    <n v="1507.3316147325124"/>
    <n v="1626.7526324814082"/>
    <n v="0.23667689532666092"/>
    <n v="82"/>
    <n v="87"/>
    <n v="0"/>
    <n v="-5"/>
    <n v="0"/>
    <n v="0.30172868644515"/>
    <n v="1"/>
    <n v="71.05"/>
    <n v="71.05"/>
    <n v="-5.073837430893847"/>
    <n v="1502.2577773016185"/>
    <n v="0"/>
    <n v="1"/>
    <n v="0"/>
    <n v="0"/>
    <n v="0"/>
    <n v="0"/>
    <n v="0"/>
    <n v="0"/>
    <n v="0"/>
    <n v="0"/>
  </r>
  <r>
    <d v="2013-09-13T00:00:00"/>
    <n v="2013"/>
    <x v="32"/>
    <s v="R"/>
    <s v="RS"/>
    <x v="8"/>
    <s v="ATL"/>
    <s v="H"/>
    <n v="1"/>
    <n v="1"/>
    <n v="0"/>
    <n v="0"/>
    <n v="0"/>
    <n v="0"/>
    <n v="1626.7526324814082"/>
    <n v="1507.3316147325124"/>
    <n v="0.76332310467333908"/>
    <n v="87"/>
    <n v="82"/>
    <n v="0"/>
    <n v="5"/>
    <n v="1"/>
    <n v="0.30172868644515"/>
    <n v="1"/>
    <n v="71.05"/>
    <n v="71.05"/>
    <n v="5.073837430893847"/>
    <n v="1631.8264699123022"/>
    <n v="1"/>
    <n v="0"/>
    <n v="0"/>
    <n v="0"/>
    <n v="0"/>
    <n v="0"/>
    <n v="0"/>
    <n v="0"/>
    <n v="0"/>
    <n v="0"/>
  </r>
  <r>
    <d v="2013-09-13T00:00:00"/>
    <n v="2013"/>
    <x v="32"/>
    <s v="R"/>
    <s v="RS"/>
    <x v="4"/>
    <s v="IND"/>
    <s v="A"/>
    <n v="2"/>
    <n v="2"/>
    <n v="0"/>
    <n v="0"/>
    <n v="0"/>
    <n v="0"/>
    <n v="1360.3073220834688"/>
    <n v="1536.5671719416132"/>
    <n v="0.18269770564883411"/>
    <n v="63"/>
    <n v="66"/>
    <n v="0"/>
    <n v="-3"/>
    <n v="0"/>
    <n v="0.25301924295353223"/>
    <n v="1"/>
    <n v="71.05"/>
    <n v="71.05"/>
    <n v="-3.2843597990143154"/>
    <n v="1357.0229622844545"/>
    <n v="0"/>
    <n v="1"/>
    <n v="0"/>
    <n v="0"/>
    <n v="0"/>
    <n v="0"/>
    <n v="0"/>
    <n v="0"/>
    <n v="0"/>
    <n v="0"/>
  </r>
  <r>
    <d v="2013-09-13T00:00:00"/>
    <n v="2013"/>
    <x v="32"/>
    <s v="R"/>
    <s v="RS"/>
    <x v="0"/>
    <s v="NYL"/>
    <s v="H"/>
    <n v="2"/>
    <n v="2"/>
    <n v="0"/>
    <n v="0"/>
    <n v="0"/>
    <n v="0"/>
    <n v="1536.5671719416132"/>
    <n v="1360.3073220834688"/>
    <n v="0.81730229435116597"/>
    <n v="66"/>
    <n v="63"/>
    <n v="0"/>
    <n v="3"/>
    <n v="1"/>
    <n v="0.25301924295353223"/>
    <n v="1"/>
    <n v="71.05"/>
    <n v="71.05"/>
    <n v="3.2843597990143141"/>
    <n v="1539.8515317406275"/>
    <n v="1"/>
    <n v="0"/>
    <n v="0"/>
    <n v="0"/>
    <n v="0"/>
    <n v="0"/>
    <n v="0"/>
    <n v="0"/>
    <n v="0"/>
    <n v="0"/>
  </r>
  <r>
    <d v="2013-09-13T00:00:00"/>
    <n v="2013"/>
    <x v="32"/>
    <s v="R"/>
    <s v="RS"/>
    <x v="1"/>
    <s v="PHX"/>
    <s v="A"/>
    <n v="4"/>
    <n v="1"/>
    <n v="3"/>
    <n v="-3"/>
    <n v="16"/>
    <n v="-16"/>
    <n v="1407.3277849729654"/>
    <n v="1502.6674961742103"/>
    <n v="0.29981991470957697"/>
    <n v="61"/>
    <n v="82"/>
    <n v="0"/>
    <n v="-21"/>
    <n v="0"/>
    <n v="0.54525584386654746"/>
    <n v="1"/>
    <n v="71.05"/>
    <n v="71.05"/>
    <n v="-11.615151730840781"/>
    <n v="1395.7126332421246"/>
    <n v="0"/>
    <n v="1"/>
    <n v="0"/>
    <n v="0"/>
    <n v="0"/>
    <n v="0"/>
    <n v="0"/>
    <n v="0"/>
    <n v="0"/>
    <n v="0"/>
  </r>
  <r>
    <d v="2013-09-13T00:00:00"/>
    <n v="2013"/>
    <x v="32"/>
    <s v="R"/>
    <s v="RS"/>
    <x v="9"/>
    <s v="SAS"/>
    <s v="H"/>
    <n v="1"/>
    <n v="4"/>
    <n v="-3"/>
    <n v="3"/>
    <n v="-16"/>
    <n v="16"/>
    <n v="1502.6674961742103"/>
    <n v="1407.3277849729654"/>
    <n v="0.70018008529042308"/>
    <n v="82"/>
    <n v="61"/>
    <n v="0"/>
    <n v="21"/>
    <n v="1"/>
    <n v="0.54525584386654746"/>
    <n v="1"/>
    <n v="71.05"/>
    <n v="71.05"/>
    <n v="11.615151730840779"/>
    <n v="1514.2826479050511"/>
    <n v="1"/>
    <n v="0"/>
    <n v="0"/>
    <n v="0"/>
    <n v="0"/>
    <n v="0"/>
    <n v="0"/>
    <n v="0"/>
    <n v="0"/>
    <n v="0"/>
  </r>
  <r>
    <d v="2013-09-13T00:00:00"/>
    <n v="2013"/>
    <x v="32"/>
    <s v="R"/>
    <s v="RS"/>
    <x v="5"/>
    <s v="WAS"/>
    <s v="A"/>
    <n v="1"/>
    <n v="2"/>
    <n v="-1"/>
    <n v="1"/>
    <n v="-8"/>
    <n v="8"/>
    <n v="1387.9866212421007"/>
    <n v="1437.6731984912435"/>
    <n v="0.29699155437318653"/>
    <n v="56"/>
    <n v="82"/>
    <n v="0"/>
    <n v="-26"/>
    <n v="0"/>
    <n v="0.62808136928858238"/>
    <n v="1"/>
    <n v="71.05"/>
    <n v="71.05"/>
    <n v="-13.253301954894631"/>
    <n v="1374.7333192872061"/>
    <n v="0"/>
    <n v="1"/>
    <n v="0"/>
    <n v="0"/>
    <n v="0"/>
    <n v="0"/>
    <n v="0"/>
    <n v="0"/>
    <n v="0"/>
    <n v="0"/>
  </r>
  <r>
    <d v="2013-09-13T00:00:00"/>
    <n v="2013"/>
    <x v="32"/>
    <s v="R"/>
    <s v="RS"/>
    <x v="10"/>
    <s v="CON"/>
    <s v="H"/>
    <n v="2"/>
    <n v="1"/>
    <n v="1"/>
    <n v="-1"/>
    <n v="8"/>
    <n v="-8"/>
    <n v="1437.6731984912435"/>
    <n v="1387.9866212421007"/>
    <n v="0.70300844562681342"/>
    <n v="82"/>
    <n v="56"/>
    <n v="0"/>
    <n v="26"/>
    <n v="1"/>
    <n v="0.62808136928858238"/>
    <n v="1"/>
    <n v="71.05"/>
    <n v="71.05"/>
    <n v="13.253301954894633"/>
    <n v="1450.9265004461381"/>
    <n v="1"/>
    <n v="0"/>
    <n v="0"/>
    <n v="0"/>
    <n v="0"/>
    <n v="0"/>
    <n v="0"/>
    <n v="0"/>
    <n v="0"/>
    <n v="0"/>
  </r>
  <r>
    <d v="2013-09-14T00:00:00"/>
    <n v="2013"/>
    <x v="33"/>
    <s v="R"/>
    <s v="RS"/>
    <x v="8"/>
    <s v="MIN"/>
    <s v="A"/>
    <n v="0"/>
    <n v="1"/>
    <n v="-1"/>
    <n v="1"/>
    <n v="-8"/>
    <n v="8"/>
    <n v="1631.8264699123022"/>
    <n v="1687.4014139224857"/>
    <n v="0.28996349112047365"/>
    <n v="66"/>
    <n v="79"/>
    <n v="0"/>
    <n v="-13"/>
    <n v="0"/>
    <n v="0.4511498970883786"/>
    <n v="1"/>
    <n v="70.900000000000006"/>
    <n v="70.900000000000006"/>
    <n v="-9.2749252417477575"/>
    <n v="1622.5515446705544"/>
    <n v="0"/>
    <n v="1"/>
    <n v="0"/>
    <n v="0"/>
    <n v="0"/>
    <n v="0"/>
    <n v="0"/>
    <n v="0"/>
    <n v="0"/>
    <n v="0"/>
  </r>
  <r>
    <d v="2013-09-14T00:00:00"/>
    <n v="2013"/>
    <x v="33"/>
    <s v="R"/>
    <s v="RS"/>
    <x v="11"/>
    <s v="CHI"/>
    <s v="H"/>
    <n v="1"/>
    <n v="0"/>
    <n v="1"/>
    <n v="-1"/>
    <n v="8"/>
    <n v="-8"/>
    <n v="1687.4014139224857"/>
    <n v="1631.8264699123022"/>
    <n v="0.7100365088795263"/>
    <n v="79"/>
    <n v="66"/>
    <n v="0"/>
    <n v="13"/>
    <n v="1"/>
    <n v="0.4511498970883786"/>
    <n v="1"/>
    <n v="70.900000000000006"/>
    <n v="70.900000000000006"/>
    <n v="9.2749252417477592"/>
    <n v="1696.6763391642335"/>
    <n v="1"/>
    <n v="0"/>
    <n v="0"/>
    <n v="0"/>
    <n v="0"/>
    <n v="0"/>
    <n v="0"/>
    <n v="0"/>
    <n v="0"/>
    <n v="0"/>
  </r>
  <r>
    <d v="2013-09-14T00:00:00"/>
    <n v="2013"/>
    <x v="33"/>
    <s v="R"/>
    <s v="RS"/>
    <x v="2"/>
    <s v="SEA"/>
    <s v="A"/>
    <n v="1"/>
    <n v="1"/>
    <n v="0"/>
    <n v="0"/>
    <n v="0"/>
    <n v="0"/>
    <n v="1418.679586153248"/>
    <n v="1495.280991384225"/>
    <n v="0.28404268888457357"/>
    <n v="73"/>
    <n v="85"/>
    <n v="0"/>
    <n v="-12"/>
    <n v="0"/>
    <n v="0.42875977532925813"/>
    <n v="1"/>
    <n v="70.900000000000006"/>
    <n v="70.900000000000006"/>
    <n v="-8.6346330344278304"/>
    <n v="1410.0449531188201"/>
    <n v="0"/>
    <n v="1"/>
    <n v="0"/>
    <n v="0"/>
    <n v="0"/>
    <n v="0"/>
    <n v="0"/>
    <n v="0"/>
    <n v="0"/>
    <n v="0"/>
  </r>
  <r>
    <d v="2013-09-14T00:00:00"/>
    <n v="2013"/>
    <x v="33"/>
    <s v="R"/>
    <s v="RS"/>
    <x v="6"/>
    <s v="TUL"/>
    <s v="H"/>
    <n v="1"/>
    <n v="1"/>
    <n v="0"/>
    <n v="0"/>
    <n v="0"/>
    <n v="0"/>
    <n v="1495.280991384225"/>
    <n v="1418.679586153248"/>
    <n v="0.71595731111542649"/>
    <n v="85"/>
    <n v="73"/>
    <n v="0"/>
    <n v="12"/>
    <n v="1"/>
    <n v="0.42875977532925813"/>
    <n v="1"/>
    <n v="70.900000000000006"/>
    <n v="70.900000000000006"/>
    <n v="8.6346330344278286"/>
    <n v="1503.9156244186529"/>
    <n v="1"/>
    <n v="0"/>
    <n v="0"/>
    <n v="0"/>
    <n v="0"/>
    <n v="0"/>
    <n v="0"/>
    <n v="0"/>
    <n v="0"/>
    <n v="0"/>
  </r>
  <r>
    <d v="2013-09-15T00:00:00"/>
    <n v="2013"/>
    <x v="33"/>
    <s v="R"/>
    <s v="RS"/>
    <x v="0"/>
    <s v="CON"/>
    <s v="A"/>
    <n v="1"/>
    <n v="1"/>
    <n v="0"/>
    <n v="0"/>
    <n v="0"/>
    <n v="0"/>
    <n v="1539.8515317406275"/>
    <n v="1374.7333192872061"/>
    <n v="0.61466254829064515"/>
    <n v="80"/>
    <n v="82"/>
    <n v="1"/>
    <n v="-2"/>
    <n v="0"/>
    <n v="0.21190005659258132"/>
    <n v="1"/>
    <n v="70.900000000000006"/>
    <n v="70.900000000000006"/>
    <n v="-9.2345143396602722"/>
    <n v="1530.6170174009671"/>
    <n v="0"/>
    <n v="1"/>
    <n v="0"/>
    <n v="0"/>
    <n v="0"/>
    <n v="0"/>
    <n v="0"/>
    <n v="0"/>
    <n v="0"/>
    <n v="0"/>
  </r>
  <r>
    <d v="2013-09-15T00:00:00"/>
    <n v="2013"/>
    <x v="33"/>
    <s v="R"/>
    <s v="RS"/>
    <x v="5"/>
    <s v="IND"/>
    <s v="H"/>
    <n v="1"/>
    <n v="1"/>
    <n v="0"/>
    <n v="0"/>
    <n v="0"/>
    <n v="0"/>
    <n v="1374.7333192872061"/>
    <n v="1539.8515317406275"/>
    <n v="0.38533745170935479"/>
    <n v="82"/>
    <n v="80"/>
    <n v="1"/>
    <n v="2"/>
    <n v="1"/>
    <n v="0.21190005659258132"/>
    <n v="1"/>
    <n v="70.900000000000006"/>
    <n v="70.900000000000006"/>
    <n v="9.2345143396602722"/>
    <n v="1383.9678336268664"/>
    <n v="1"/>
    <n v="0"/>
    <n v="0"/>
    <n v="0"/>
    <n v="0"/>
    <n v="0"/>
    <n v="0"/>
    <n v="0"/>
    <n v="0"/>
    <n v="0"/>
  </r>
  <r>
    <d v="2013-09-15T00:00:00"/>
    <n v="2013"/>
    <x v="33"/>
    <s v="R"/>
    <s v="RS"/>
    <x v="9"/>
    <s v="LAS"/>
    <s v="A"/>
    <n v="1"/>
    <n v="2"/>
    <n v="-1"/>
    <n v="1"/>
    <n v="-8"/>
    <n v="8"/>
    <n v="1514.2826479050511"/>
    <n v="1635.7488771785879"/>
    <n v="0.21842607773672715"/>
    <n v="55"/>
    <n v="89"/>
    <n v="0"/>
    <n v="-34"/>
    <n v="0"/>
    <n v="0.68168336359096815"/>
    <n v="1"/>
    <n v="70.900000000000006"/>
    <n v="70.900000000000006"/>
    <n v="-10.556827316759611"/>
    <n v="1503.7258205882915"/>
    <n v="0"/>
    <n v="1"/>
    <n v="0"/>
    <n v="0"/>
    <n v="0"/>
    <n v="0"/>
    <n v="0"/>
    <n v="0"/>
    <n v="0"/>
    <n v="0"/>
  </r>
  <r>
    <d v="2013-09-15T00:00:00"/>
    <n v="2013"/>
    <x v="33"/>
    <s v="R"/>
    <s v="RS"/>
    <x v="7"/>
    <s v="PHX"/>
    <s v="H"/>
    <n v="2"/>
    <n v="1"/>
    <n v="1"/>
    <n v="-1"/>
    <n v="8"/>
    <n v="-8"/>
    <n v="1635.7488771785879"/>
    <n v="1514.2826479050511"/>
    <n v="0.78157392226327282"/>
    <n v="89"/>
    <n v="55"/>
    <n v="0"/>
    <n v="34"/>
    <n v="1"/>
    <n v="0.68168336359096815"/>
    <n v="1"/>
    <n v="70.900000000000006"/>
    <n v="70.900000000000006"/>
    <n v="10.556827316759613"/>
    <n v="1646.3057044953475"/>
    <n v="1"/>
    <n v="0"/>
    <n v="0"/>
    <n v="0"/>
    <n v="0"/>
    <n v="0"/>
    <n v="0"/>
    <n v="0"/>
    <n v="0"/>
    <n v="0"/>
  </r>
  <r>
    <d v="2013-09-15T00:00:00"/>
    <n v="2013"/>
    <x v="33"/>
    <s v="R"/>
    <s v="RS"/>
    <x v="3"/>
    <s v="SAS"/>
    <s v="A"/>
    <n v="1"/>
    <n v="1"/>
    <n v="0"/>
    <n v="0"/>
    <n v="0"/>
    <n v="0"/>
    <n v="1502.2577773016185"/>
    <n v="1395.7126332421246"/>
    <n v="0.53239960781720053"/>
    <n v="68"/>
    <n v="97"/>
    <n v="0"/>
    <n v="-29"/>
    <n v="0"/>
    <n v="0.63498421603360344"/>
    <n v="1"/>
    <n v="70.900000000000006"/>
    <n v="70.900000000000006"/>
    <n v="-23.968833143875973"/>
    <n v="1478.2889441577424"/>
    <n v="0"/>
    <n v="1"/>
    <n v="0"/>
    <n v="0"/>
    <n v="0"/>
    <n v="0"/>
    <n v="0"/>
    <n v="0"/>
    <n v="0"/>
    <n v="0"/>
  </r>
  <r>
    <d v="2013-09-15T00:00:00"/>
    <n v="2013"/>
    <x v="33"/>
    <s v="R"/>
    <s v="RS"/>
    <x v="1"/>
    <s v="ATL"/>
    <s v="H"/>
    <n v="1"/>
    <n v="1"/>
    <n v="0"/>
    <n v="0"/>
    <n v="0"/>
    <n v="0"/>
    <n v="1395.7126332421246"/>
    <n v="1502.2577773016185"/>
    <n v="0.46760039218279947"/>
    <n v="97"/>
    <n v="68"/>
    <n v="0"/>
    <n v="29"/>
    <n v="1"/>
    <n v="0.63498421603360344"/>
    <n v="1"/>
    <n v="70.900000000000006"/>
    <n v="70.900000000000006"/>
    <n v="23.968833143875973"/>
    <n v="1419.6814663860007"/>
    <n v="1"/>
    <n v="0"/>
    <n v="0"/>
    <n v="0"/>
    <n v="0"/>
    <n v="0"/>
    <n v="0"/>
    <n v="0"/>
    <n v="0"/>
    <n v="0"/>
  </r>
  <r>
    <d v="2013-09-15T00:00:00"/>
    <n v="2013"/>
    <x v="33"/>
    <s v="R"/>
    <s v="RS"/>
    <x v="4"/>
    <s v="WAS"/>
    <s v="A"/>
    <n v="1"/>
    <n v="1"/>
    <n v="0"/>
    <n v="0"/>
    <n v="0"/>
    <n v="0"/>
    <n v="1357.0229622844545"/>
    <n v="1450.9265004461381"/>
    <n v="0.26423049507234481"/>
    <n v="52"/>
    <n v="70"/>
    <n v="0"/>
    <n v="-18"/>
    <n v="0"/>
    <n v="0.50714809813711781"/>
    <n v="1"/>
    <n v="70.900000000000006"/>
    <n v="70.900000000000006"/>
    <n v="-9.5008831069450057"/>
    <n v="1347.5220791775096"/>
    <n v="0"/>
    <n v="1"/>
    <n v="0"/>
    <n v="0"/>
    <n v="0"/>
    <n v="0"/>
    <n v="0"/>
    <n v="0"/>
    <n v="0"/>
    <n v="0"/>
  </r>
  <r>
    <d v="2013-09-15T00:00:00"/>
    <n v="2013"/>
    <x v="33"/>
    <s v="R"/>
    <s v="RS"/>
    <x v="10"/>
    <s v="NYL"/>
    <s v="H"/>
    <n v="1"/>
    <n v="1"/>
    <n v="0"/>
    <n v="0"/>
    <n v="0"/>
    <n v="0"/>
    <n v="1450.9265004461381"/>
    <n v="1357.0229622844545"/>
    <n v="0.73576950492765525"/>
    <n v="70"/>
    <n v="52"/>
    <n v="0"/>
    <n v="18"/>
    <n v="1"/>
    <n v="0.50714809813711781"/>
    <n v="1"/>
    <n v="70.900000000000006"/>
    <n v="70.900000000000006"/>
    <n v="9.5008831069450022"/>
    <n v="1460.427383553083"/>
    <n v="1"/>
    <n v="0"/>
    <n v="0"/>
    <n v="0"/>
    <n v="0"/>
    <n v="0"/>
    <n v="0"/>
    <n v="0"/>
    <n v="0"/>
    <n v="0"/>
  </r>
  <r>
    <d v="2013-09-19T00:00:00"/>
    <n v="2013"/>
    <x v="34"/>
    <s v="P"/>
    <n v="1"/>
    <x v="10"/>
    <s v="ATL"/>
    <s v="A"/>
    <n v="3"/>
    <n v="3"/>
    <n v="0"/>
    <n v="0"/>
    <n v="0"/>
    <n v="0"/>
    <n v="1460.427383553083"/>
    <n v="1478.2889441577424"/>
    <n v="0.35746995136733534"/>
    <n v="71"/>
    <n v="56"/>
    <n v="0"/>
    <n v="15"/>
    <n v="1"/>
    <n v="0.49547309248755966"/>
    <n v="1.1000000000000001"/>
    <n v="70.75"/>
    <n v="77.825000000000003"/>
    <n v="24.776082955265124"/>
    <n v="1485.2034665083481"/>
    <n v="0"/>
    <n v="0"/>
    <n v="1"/>
    <n v="0"/>
    <n v="0"/>
    <n v="0"/>
    <n v="0"/>
    <n v="0"/>
    <n v="0"/>
    <n v="0"/>
  </r>
  <r>
    <d v="2013-09-19T00:00:00"/>
    <n v="2013"/>
    <x v="34"/>
    <s v="P"/>
    <n v="1"/>
    <x v="3"/>
    <s v="WAS"/>
    <s v="H"/>
    <n v="3"/>
    <n v="3"/>
    <n v="0"/>
    <n v="0"/>
    <n v="0"/>
    <n v="0"/>
    <n v="1478.2889441577424"/>
    <n v="1460.427383553083"/>
    <n v="0.64253004863266461"/>
    <n v="56"/>
    <n v="71"/>
    <n v="0"/>
    <n v="-15"/>
    <n v="0"/>
    <n v="0.49547309248755966"/>
    <n v="1.1000000000000001"/>
    <n v="70.75"/>
    <n v="77.825000000000003"/>
    <n v="-24.776082955265124"/>
    <n v="1453.5128612024773"/>
    <n v="0"/>
    <n v="0"/>
    <n v="0"/>
    <n v="1"/>
    <n v="0"/>
    <n v="0"/>
    <n v="0"/>
    <n v="0"/>
    <n v="0"/>
    <n v="0"/>
  </r>
  <r>
    <d v="2013-09-19T00:00:00"/>
    <n v="2013"/>
    <x v="34"/>
    <s v="P"/>
    <n v="1"/>
    <x v="9"/>
    <s v="LAS"/>
    <s v="A"/>
    <n v="3"/>
    <n v="3"/>
    <n v="0"/>
    <n v="0"/>
    <n v="0"/>
    <n v="0"/>
    <n v="1503.7258205882915"/>
    <n v="1646.3057044953475"/>
    <n v="0.21344244885247424"/>
    <n v="86"/>
    <n v="75"/>
    <n v="0"/>
    <n v="11"/>
    <n v="1"/>
    <n v="0.39312607810955136"/>
    <n v="1.1000000000000001"/>
    <n v="70.75"/>
    <n v="77.825000000000003"/>
    <n v="24.064757402700451"/>
    <n v="1527.790577990992"/>
    <n v="0"/>
    <n v="0"/>
    <n v="1"/>
    <n v="0"/>
    <n v="0"/>
    <n v="0"/>
    <n v="0"/>
    <n v="0"/>
    <n v="0"/>
    <n v="0"/>
  </r>
  <r>
    <d v="2013-09-19T00:00:00"/>
    <n v="2013"/>
    <x v="34"/>
    <s v="P"/>
    <n v="1"/>
    <x v="7"/>
    <s v="PHX"/>
    <s v="H"/>
    <n v="3"/>
    <n v="3"/>
    <n v="0"/>
    <n v="0"/>
    <n v="0"/>
    <n v="0"/>
    <n v="1646.3057044953475"/>
    <n v="1503.7258205882915"/>
    <n v="0.78655755114752579"/>
    <n v="75"/>
    <n v="86"/>
    <n v="0"/>
    <n v="-11"/>
    <n v="0"/>
    <n v="0.39312607810955136"/>
    <n v="1.1000000000000001"/>
    <n v="70.75"/>
    <n v="77.825000000000003"/>
    <n v="-24.064757402700451"/>
    <n v="1622.240947092647"/>
    <n v="0"/>
    <n v="0"/>
    <n v="0"/>
    <n v="1"/>
    <n v="0"/>
    <n v="0"/>
    <n v="0"/>
    <n v="0"/>
    <n v="0"/>
    <n v="0"/>
  </r>
  <r>
    <d v="2013-09-20T00:00:00"/>
    <n v="2013"/>
    <x v="34"/>
    <s v="P"/>
    <n v="1"/>
    <x v="0"/>
    <s v="CHI"/>
    <s v="A"/>
    <n v="4"/>
    <n v="5"/>
    <n v="-1"/>
    <n v="1"/>
    <n v="-8"/>
    <n v="8"/>
    <n v="1530.6170174009671"/>
    <n v="1622.5515446705544"/>
    <n v="0.24882964585784612"/>
    <n v="85"/>
    <n v="72"/>
    <n v="0"/>
    <n v="13"/>
    <n v="1"/>
    <n v="0.43845295161674996"/>
    <n v="1.1000000000000001"/>
    <n v="70.75"/>
    <n v="77.825000000000003"/>
    <n v="25.631886247054279"/>
    <n v="1556.2489036480215"/>
    <n v="0"/>
    <n v="0"/>
    <n v="1"/>
    <n v="0"/>
    <n v="0"/>
    <n v="0"/>
    <n v="0"/>
    <n v="0"/>
    <n v="0"/>
    <n v="0"/>
  </r>
  <r>
    <d v="2013-09-20T00:00:00"/>
    <n v="2013"/>
    <x v="34"/>
    <s v="P"/>
    <n v="1"/>
    <x v="8"/>
    <s v="IND"/>
    <s v="H"/>
    <n v="5"/>
    <n v="4"/>
    <n v="1"/>
    <n v="-1"/>
    <n v="8"/>
    <n v="-8"/>
    <n v="1622.5515446705544"/>
    <n v="1530.6170174009671"/>
    <n v="0.75117035414215383"/>
    <n v="72"/>
    <n v="85"/>
    <n v="0"/>
    <n v="-13"/>
    <n v="0"/>
    <n v="0.43845295161674996"/>
    <n v="1.1000000000000001"/>
    <n v="70.75"/>
    <n v="77.825000000000003"/>
    <n v="-25.631886247054275"/>
    <n v="1596.9196584235001"/>
    <n v="0"/>
    <n v="0"/>
    <n v="0"/>
    <n v="1"/>
    <n v="0"/>
    <n v="0"/>
    <n v="0"/>
    <n v="0"/>
    <n v="0"/>
    <n v="0"/>
  </r>
  <r>
    <d v="2013-09-20T00:00:00"/>
    <n v="2013"/>
    <x v="34"/>
    <s v="P"/>
    <n v="1"/>
    <x v="6"/>
    <s v="MIN"/>
    <s v="A"/>
    <n v="5"/>
    <n v="5"/>
    <n v="0"/>
    <n v="0"/>
    <n v="0"/>
    <n v="0"/>
    <n v="1503.9156244186529"/>
    <n v="1696.6763391642335"/>
    <n v="0.16893938671815106"/>
    <n v="64"/>
    <n v="80"/>
    <n v="0"/>
    <n v="-16"/>
    <n v="0"/>
    <n v="0.4461234669801673"/>
    <n v="1.1000000000000001"/>
    <n v="70.75"/>
    <n v="77.825000000000003"/>
    <n v="-5.8655009737923374"/>
    <n v="1498.0501234448604"/>
    <n v="0"/>
    <n v="0"/>
    <n v="0"/>
    <n v="1"/>
    <n v="0"/>
    <n v="0"/>
    <n v="0"/>
    <n v="0"/>
    <n v="0"/>
    <n v="0"/>
  </r>
  <r>
    <d v="2013-09-20T00:00:00"/>
    <n v="2013"/>
    <x v="34"/>
    <s v="P"/>
    <n v="1"/>
    <x v="11"/>
    <s v="SEA"/>
    <s v="H"/>
    <n v="5"/>
    <n v="5"/>
    <n v="0"/>
    <n v="0"/>
    <n v="0"/>
    <n v="0"/>
    <n v="1696.6763391642335"/>
    <n v="1503.9156244186529"/>
    <n v="0.83106061328184899"/>
    <n v="80"/>
    <n v="64"/>
    <n v="0"/>
    <n v="16"/>
    <n v="1"/>
    <n v="0.4461234669801673"/>
    <n v="1.1000000000000001"/>
    <n v="70.75"/>
    <n v="77.825000000000003"/>
    <n v="5.8655009737923356"/>
    <n v="1702.5418401380257"/>
    <n v="0"/>
    <n v="0"/>
    <n v="1"/>
    <n v="0"/>
    <n v="0"/>
    <n v="0"/>
    <n v="0"/>
    <n v="0"/>
    <n v="0"/>
    <n v="0"/>
  </r>
  <r>
    <d v="2013-09-21T00:00:00"/>
    <n v="2013"/>
    <x v="35"/>
    <s v="P"/>
    <n v="1"/>
    <x v="7"/>
    <s v="PHX"/>
    <s v="A"/>
    <n v="1"/>
    <n v="1"/>
    <n v="0"/>
    <n v="0"/>
    <n v="0"/>
    <n v="0"/>
    <n v="1622.240947092647"/>
    <n v="1527.790577990992"/>
    <n v="0.51503475625555983"/>
    <n v="82"/>
    <n v="73"/>
    <n v="0"/>
    <n v="9"/>
    <n v="1"/>
    <n v="0.37634956442152601"/>
    <n v="1.1000000000000001"/>
    <n v="70.599999999999994"/>
    <n v="77.66"/>
    <n v="14.174228147135789"/>
    <n v="1636.4151752397829"/>
    <n v="0"/>
    <n v="0"/>
    <n v="1"/>
    <n v="0"/>
    <n v="0"/>
    <n v="0"/>
    <n v="0"/>
    <n v="0"/>
    <n v="0"/>
    <n v="0"/>
  </r>
  <r>
    <d v="2013-09-21T00:00:00"/>
    <n v="2013"/>
    <x v="35"/>
    <s v="P"/>
    <n v="1"/>
    <x v="9"/>
    <s v="LAS"/>
    <s v="H"/>
    <n v="1"/>
    <n v="1"/>
    <n v="0"/>
    <n v="0"/>
    <n v="0"/>
    <n v="0"/>
    <n v="1527.790577990992"/>
    <n v="1622.240947092647"/>
    <n v="0.48496524374444006"/>
    <n v="73"/>
    <n v="82"/>
    <n v="0"/>
    <n v="-9"/>
    <n v="0"/>
    <n v="0.37634956442152601"/>
    <n v="1.1000000000000001"/>
    <n v="70.599999999999994"/>
    <n v="77.66"/>
    <n v="-14.174228147135786"/>
    <n v="1513.6163498438561"/>
    <n v="0"/>
    <n v="0"/>
    <n v="0"/>
    <n v="1"/>
    <n v="0"/>
    <n v="0"/>
    <n v="0"/>
    <n v="0"/>
    <n v="0"/>
    <n v="0"/>
  </r>
  <r>
    <d v="2013-09-21T00:00:00"/>
    <n v="2013"/>
    <x v="35"/>
    <s v="P"/>
    <n v="1"/>
    <x v="3"/>
    <s v="WAS"/>
    <s v="A"/>
    <n v="1"/>
    <n v="1"/>
    <n v="0"/>
    <n v="0"/>
    <n v="0"/>
    <n v="0"/>
    <n v="1453.5128612024773"/>
    <n v="1485.2034665083481"/>
    <n v="0.33940011260037573"/>
    <n v="63"/>
    <n v="45"/>
    <n v="0"/>
    <n v="18"/>
    <n v="1"/>
    <n v="0.53276424755113594"/>
    <n v="1.1000000000000001"/>
    <n v="70.599999999999994"/>
    <n v="77.66"/>
    <n v="27.331971190879859"/>
    <n v="1480.8448323933571"/>
    <n v="0"/>
    <n v="0"/>
    <n v="1"/>
    <n v="0"/>
    <n v="0"/>
    <n v="0"/>
    <n v="0"/>
    <n v="0"/>
    <n v="0"/>
    <n v="0"/>
  </r>
  <r>
    <d v="2013-09-21T00:00:00"/>
    <n v="2013"/>
    <x v="35"/>
    <s v="P"/>
    <n v="1"/>
    <x v="10"/>
    <s v="ATL"/>
    <s v="H"/>
    <n v="1"/>
    <n v="1"/>
    <n v="0"/>
    <n v="0"/>
    <n v="0"/>
    <n v="0"/>
    <n v="1485.2034665083481"/>
    <n v="1453.5128612024773"/>
    <n v="0.66059988739962416"/>
    <n v="45"/>
    <n v="63"/>
    <n v="0"/>
    <n v="-18"/>
    <n v="0"/>
    <n v="0.53276424755113594"/>
    <n v="1.1000000000000001"/>
    <n v="70.599999999999994"/>
    <n v="77.66"/>
    <n v="-27.331971190879855"/>
    <n v="1457.8714953174683"/>
    <n v="0"/>
    <n v="0"/>
    <n v="0"/>
    <n v="1"/>
    <n v="0"/>
    <n v="0"/>
    <n v="0"/>
    <n v="0"/>
    <n v="0"/>
    <n v="0"/>
  </r>
  <r>
    <d v="2013-09-22T00:00:00"/>
    <n v="2013"/>
    <x v="35"/>
    <s v="P"/>
    <n v="1"/>
    <x v="8"/>
    <s v="IND"/>
    <s v="A"/>
    <n v="1"/>
    <n v="1"/>
    <n v="0"/>
    <n v="0"/>
    <n v="0"/>
    <n v="0"/>
    <n v="1596.9196584235001"/>
    <n v="1556.2489036480215"/>
    <n v="0.43796547794415491"/>
    <n v="57"/>
    <n v="79"/>
    <n v="0"/>
    <n v="-22"/>
    <n v="0"/>
    <n v="0.58232000940084294"/>
    <n v="1.1000000000000001"/>
    <n v="70.599999999999994"/>
    <n v="77.66"/>
    <n v="-19.806100515407973"/>
    <n v="1577.1135579080922"/>
    <n v="0"/>
    <n v="0"/>
    <n v="0"/>
    <n v="1"/>
    <n v="0"/>
    <n v="0"/>
    <n v="0"/>
    <n v="0"/>
    <n v="0"/>
    <n v="0"/>
  </r>
  <r>
    <d v="2013-09-22T00:00:00"/>
    <n v="2013"/>
    <x v="35"/>
    <s v="P"/>
    <n v="1"/>
    <x v="0"/>
    <s v="CHI"/>
    <s v="H"/>
    <n v="1"/>
    <n v="1"/>
    <n v="0"/>
    <n v="0"/>
    <n v="0"/>
    <n v="0"/>
    <n v="1556.2489036480215"/>
    <n v="1596.9196584235001"/>
    <n v="0.56203452205584514"/>
    <n v="79"/>
    <n v="57"/>
    <n v="0"/>
    <n v="22"/>
    <n v="1"/>
    <n v="0.58232000940084294"/>
    <n v="1.1000000000000001"/>
    <n v="70.599999999999994"/>
    <n v="77.66"/>
    <n v="19.806100515407973"/>
    <n v="1576.0550041634294"/>
    <n v="0"/>
    <n v="0"/>
    <n v="1"/>
    <n v="0"/>
    <n v="0"/>
    <n v="0"/>
    <n v="0"/>
    <n v="0"/>
    <n v="0"/>
    <n v="0"/>
  </r>
  <r>
    <d v="2013-09-22T00:00:00"/>
    <n v="2013"/>
    <x v="35"/>
    <s v="P"/>
    <n v="1"/>
    <x v="11"/>
    <s v="SEA"/>
    <s v="A"/>
    <n v="1"/>
    <n v="1"/>
    <n v="0"/>
    <n v="0"/>
    <n v="0"/>
    <n v="0"/>
    <n v="1702.5418401380257"/>
    <n v="1498.0501234448604"/>
    <n v="0.66676863578987411"/>
    <n v="58"/>
    <n v="55"/>
    <n v="0"/>
    <n v="3"/>
    <n v="1"/>
    <n v="0.24793327093329109"/>
    <n v="1.1000000000000001"/>
    <n v="70.599999999999994"/>
    <n v="77.66"/>
    <n v="6.4162025759658876"/>
    <n v="1708.9580427139915"/>
    <n v="0"/>
    <n v="0"/>
    <n v="1"/>
    <n v="0"/>
    <n v="0"/>
    <n v="0"/>
    <n v="0"/>
    <n v="0"/>
    <n v="0"/>
    <n v="0"/>
  </r>
  <r>
    <d v="2013-09-22T00:00:00"/>
    <n v="2013"/>
    <x v="35"/>
    <s v="P"/>
    <n v="1"/>
    <x v="6"/>
    <s v="MIN"/>
    <s v="H"/>
    <n v="1"/>
    <n v="1"/>
    <n v="0"/>
    <n v="0"/>
    <n v="0"/>
    <n v="0"/>
    <n v="1498.0501234448604"/>
    <n v="1702.5418401380257"/>
    <n v="0.33323136421012589"/>
    <n v="55"/>
    <n v="58"/>
    <n v="0"/>
    <n v="-3"/>
    <n v="0"/>
    <n v="0.24793327093329109"/>
    <n v="1.1000000000000001"/>
    <n v="70.599999999999994"/>
    <n v="77.66"/>
    <n v="-6.4162025759658876"/>
    <n v="1491.6339208688946"/>
    <n v="0"/>
    <n v="0"/>
    <n v="0"/>
    <n v="1"/>
    <n v="0"/>
    <n v="0"/>
    <n v="0"/>
    <n v="0"/>
    <n v="0"/>
    <n v="0"/>
  </r>
  <r>
    <d v="2013-09-23T00:00:00"/>
    <n v="2013"/>
    <x v="36"/>
    <s v="P"/>
    <n v="1"/>
    <x v="10"/>
    <s v="ATL"/>
    <s v="A"/>
    <n v="1"/>
    <n v="1"/>
    <n v="0"/>
    <n v="0"/>
    <n v="0"/>
    <n v="0"/>
    <n v="1457.8714953174683"/>
    <n v="1480.8448323933571"/>
    <n v="0.35074000371722103"/>
    <n v="72"/>
    <n v="80"/>
    <n v="0"/>
    <n v="-8"/>
    <n v="0"/>
    <n v="0.38102109659868355"/>
    <n v="1.1000000000000001"/>
    <n v="70.45"/>
    <n v="77.495000000000005"/>
    <n v="-10.356380718191362"/>
    <n v="1447.515114599277"/>
    <n v="0"/>
    <n v="0"/>
    <n v="0"/>
    <n v="1"/>
    <n v="0"/>
    <n v="0"/>
    <n v="0"/>
    <n v="0"/>
    <n v="0"/>
    <n v="0"/>
  </r>
  <r>
    <d v="2013-09-23T00:00:00"/>
    <n v="2013"/>
    <x v="36"/>
    <s v="P"/>
    <n v="1"/>
    <x v="3"/>
    <s v="WAS"/>
    <s v="H"/>
    <n v="1"/>
    <n v="1"/>
    <n v="0"/>
    <n v="0"/>
    <n v="0"/>
    <n v="0"/>
    <n v="1480.8448323933571"/>
    <n v="1457.8714953174683"/>
    <n v="0.64925999628277897"/>
    <n v="80"/>
    <n v="72"/>
    <n v="0"/>
    <n v="8"/>
    <n v="1"/>
    <n v="0.38102109659868355"/>
    <n v="1.1000000000000001"/>
    <n v="70.45"/>
    <n v="77.495000000000005"/>
    <n v="10.356380718191362"/>
    <n v="1491.2012131115484"/>
    <n v="0"/>
    <n v="0"/>
    <n v="1"/>
    <n v="0"/>
    <n v="0"/>
    <n v="0"/>
    <n v="0"/>
    <n v="0"/>
    <n v="0"/>
    <n v="0"/>
  </r>
  <r>
    <d v="2013-09-23T00:00:00"/>
    <n v="2013"/>
    <x v="36"/>
    <s v="P"/>
    <n v="1"/>
    <x v="9"/>
    <s v="LAS"/>
    <s v="A"/>
    <n v="1"/>
    <n v="1"/>
    <n v="0"/>
    <n v="0"/>
    <n v="0"/>
    <n v="0"/>
    <n v="1513.6163498438561"/>
    <n v="1636.4151752397829"/>
    <n v="0.23318208744215915"/>
    <n v="78"/>
    <n v="77"/>
    <n v="0"/>
    <n v="1"/>
    <n v="1"/>
    <n v="0.22151184256657444"/>
    <n v="1.1000000000000001"/>
    <n v="70.45"/>
    <n v="77.495000000000005"/>
    <n v="13.163242479846362"/>
    <n v="1526.7795923237024"/>
    <n v="0"/>
    <n v="0"/>
    <n v="1"/>
    <n v="0"/>
    <n v="0"/>
    <n v="0"/>
    <n v="0"/>
    <n v="0"/>
    <n v="0"/>
    <n v="0"/>
  </r>
  <r>
    <d v="2013-09-23T00:00:00"/>
    <n v="2013"/>
    <x v="36"/>
    <s v="P"/>
    <n v="1"/>
    <x v="7"/>
    <s v="PHX"/>
    <s v="H"/>
    <n v="1"/>
    <n v="1"/>
    <n v="0"/>
    <n v="0"/>
    <n v="0"/>
    <n v="0"/>
    <n v="1636.4151752397829"/>
    <n v="1513.6163498438561"/>
    <n v="0.76681791255784093"/>
    <n v="77"/>
    <n v="78"/>
    <n v="0"/>
    <n v="-1"/>
    <n v="0"/>
    <n v="0.22151184256657444"/>
    <n v="1.1000000000000001"/>
    <n v="70.45"/>
    <n v="77.495000000000005"/>
    <n v="-13.163242479846364"/>
    <n v="1623.2519327599366"/>
    <n v="0"/>
    <n v="0"/>
    <n v="0"/>
    <n v="1"/>
    <n v="0"/>
    <n v="0"/>
    <n v="0"/>
    <n v="0"/>
    <n v="0"/>
    <n v="0"/>
  </r>
  <r>
    <d v="2013-09-26T00:00:00"/>
    <n v="2013"/>
    <x v="36"/>
    <s v="P"/>
    <n v="2"/>
    <x v="0"/>
    <s v="ATL"/>
    <s v="A"/>
    <n v="3"/>
    <n v="2"/>
    <n v="1"/>
    <n v="-1"/>
    <n v="8"/>
    <n v="-8"/>
    <n v="1576.0550041634294"/>
    <n v="1491.2012131115484"/>
    <n v="0.52423554817547369"/>
    <n v="79"/>
    <n v="84"/>
    <n v="0"/>
    <n v="-5"/>
    <n v="0"/>
    <n v="0.30984628237550349"/>
    <n v="1.2"/>
    <n v="70.45"/>
    <n v="84.54"/>
    <n v="-13.732038113338673"/>
    <n v="1562.3229660500908"/>
    <n v="0"/>
    <n v="0"/>
    <n v="0"/>
    <n v="0"/>
    <n v="0"/>
    <n v="1"/>
    <n v="0"/>
    <n v="0"/>
    <n v="0"/>
    <n v="0"/>
  </r>
  <r>
    <d v="2013-09-26T00:00:00"/>
    <n v="2013"/>
    <x v="37"/>
    <s v="P"/>
    <n v="2"/>
    <x v="3"/>
    <s v="IND"/>
    <s v="H"/>
    <n v="2"/>
    <n v="3"/>
    <n v="-1"/>
    <n v="1"/>
    <n v="-8"/>
    <n v="8"/>
    <n v="1491.2012131115484"/>
    <n v="1576.0550041634294"/>
    <n v="0.4757644518245262"/>
    <n v="84"/>
    <n v="79"/>
    <n v="0"/>
    <n v="5"/>
    <n v="1"/>
    <n v="0.30984628237550349"/>
    <n v="1.2"/>
    <n v="70.3"/>
    <n v="84.36"/>
    <n v="13.702800274914248"/>
    <n v="1504.9040133864628"/>
    <n v="0"/>
    <n v="0"/>
    <n v="0"/>
    <n v="0"/>
    <n v="1"/>
    <n v="0"/>
    <n v="0"/>
    <n v="0"/>
    <n v="0"/>
    <n v="0"/>
  </r>
  <r>
    <d v="2013-09-26T00:00:00"/>
    <n v="2013"/>
    <x v="37"/>
    <s v="P"/>
    <n v="2"/>
    <x v="9"/>
    <s v="MIN"/>
    <s v="A"/>
    <n v="2"/>
    <n v="3"/>
    <n v="-1"/>
    <n v="1"/>
    <n v="-8"/>
    <n v="8"/>
    <n v="1526.7795923237024"/>
    <n v="1708.9580427139915"/>
    <n v="0.16460586203313229"/>
    <n v="62"/>
    <n v="85"/>
    <n v="0"/>
    <n v="-23"/>
    <n v="0"/>
    <n v="0.53423298769114569"/>
    <n v="1.2"/>
    <n v="70.3"/>
    <n v="84.36"/>
    <n v="-7.418439680424247"/>
    <n v="1519.3611526432783"/>
    <n v="0"/>
    <n v="0"/>
    <n v="0"/>
    <n v="0"/>
    <n v="0"/>
    <n v="1"/>
    <n v="0"/>
    <n v="0"/>
    <n v="0"/>
    <n v="0"/>
  </r>
  <r>
    <d v="2013-09-26T00:00:00"/>
    <n v="2013"/>
    <x v="36"/>
    <s v="P"/>
    <n v="2"/>
    <x v="11"/>
    <s v="PHX"/>
    <s v="H"/>
    <n v="3"/>
    <n v="2"/>
    <n v="1"/>
    <n v="-1"/>
    <n v="8"/>
    <n v="-8"/>
    <n v="1708.9580427139915"/>
    <n v="1526.7795923237024"/>
    <n v="0.83539413796686768"/>
    <n v="85"/>
    <n v="62"/>
    <n v="0"/>
    <n v="23"/>
    <n v="1"/>
    <n v="0.53423298769114569"/>
    <n v="1.2"/>
    <n v="70.45"/>
    <n v="84.54"/>
    <n v="7.4342684990880272"/>
    <n v="1716.3923112130794"/>
    <n v="0"/>
    <n v="0"/>
    <n v="0"/>
    <n v="0"/>
    <n v="1"/>
    <n v="0"/>
    <n v="0"/>
    <n v="0"/>
    <n v="0"/>
    <n v="0"/>
  </r>
  <r>
    <d v="2013-09-29T00:00:00"/>
    <n v="2013"/>
    <x v="38"/>
    <s v="P"/>
    <n v="2"/>
    <x v="3"/>
    <s v="IND"/>
    <s v="A"/>
    <n v="2"/>
    <n v="2"/>
    <n v="0"/>
    <n v="0"/>
    <n v="0"/>
    <n v="0"/>
    <n v="1504.9040133864628"/>
    <n v="1562.3229660500908"/>
    <n v="0.30702325862734614"/>
    <n v="67"/>
    <n v="53"/>
    <n v="0"/>
    <n v="14"/>
    <n v="1"/>
    <n v="0.46534189977129248"/>
    <n v="1.2"/>
    <n v="70.150000000000006"/>
    <n v="84.18"/>
    <n v="27.145618319923294"/>
    <n v="1532.049631706386"/>
    <n v="0"/>
    <n v="0"/>
    <n v="0"/>
    <n v="0"/>
    <n v="1"/>
    <n v="0"/>
    <n v="0"/>
    <n v="0"/>
    <n v="0"/>
    <n v="0"/>
  </r>
  <r>
    <d v="2013-09-29T00:00:00"/>
    <n v="2013"/>
    <x v="37"/>
    <s v="P"/>
    <n v="2"/>
    <x v="0"/>
    <s v="ATL"/>
    <s v="H"/>
    <n v="2"/>
    <n v="2"/>
    <n v="0"/>
    <n v="0"/>
    <n v="0"/>
    <n v="0"/>
    <n v="1562.3229660500908"/>
    <n v="1504.9040133864628"/>
    <n v="0.69297674137265386"/>
    <n v="53"/>
    <n v="67"/>
    <n v="0"/>
    <n v="-14"/>
    <n v="0"/>
    <n v="0.46534189977129248"/>
    <n v="1.2"/>
    <n v="70.3"/>
    <n v="84.36"/>
    <n v="-27.203663120322272"/>
    <n v="1535.1193029297685"/>
    <n v="0"/>
    <n v="0"/>
    <n v="0"/>
    <n v="0"/>
    <n v="0"/>
    <n v="1"/>
    <n v="0"/>
    <n v="0"/>
    <n v="0"/>
    <n v="0"/>
  </r>
  <r>
    <d v="2013-09-29T00:00:00"/>
    <n v="2013"/>
    <x v="37"/>
    <s v="P"/>
    <n v="2"/>
    <x v="11"/>
    <s v="PHX"/>
    <s v="A"/>
    <n v="2"/>
    <n v="2"/>
    <n v="0"/>
    <n v="0"/>
    <n v="0"/>
    <n v="0"/>
    <n v="1716.3923112130794"/>
    <n v="1519.3611526432783"/>
    <n v="0.65715909832544139"/>
    <n v="72"/>
    <n v="65"/>
    <n v="0"/>
    <n v="7"/>
    <n v="1"/>
    <n v="0.31790887716438404"/>
    <n v="1.2"/>
    <n v="70.3"/>
    <n v="84.36"/>
    <n v="9.1945791319753081"/>
    <n v="1725.5868903450548"/>
    <n v="0"/>
    <n v="0"/>
    <n v="0"/>
    <n v="0"/>
    <n v="1"/>
    <n v="0"/>
    <n v="0"/>
    <n v="0"/>
    <n v="0"/>
    <n v="0"/>
  </r>
  <r>
    <d v="2013-09-29T00:00:00"/>
    <n v="2013"/>
    <x v="38"/>
    <s v="P"/>
    <n v="2"/>
    <x v="9"/>
    <s v="MIN"/>
    <s v="H"/>
    <n v="2"/>
    <n v="2"/>
    <n v="0"/>
    <n v="0"/>
    <n v="0"/>
    <n v="0"/>
    <n v="1519.3611526432783"/>
    <n v="1716.3923112130794"/>
    <n v="0.34284090167455861"/>
    <n v="65"/>
    <n v="72"/>
    <n v="0"/>
    <n v="-7"/>
    <n v="0"/>
    <n v="0.31790887716438404"/>
    <n v="1.2"/>
    <n v="70.150000000000006"/>
    <n v="84.18"/>
    <n v="-9.1749605420777787"/>
    <n v="1510.1861921012005"/>
    <n v="0"/>
    <n v="0"/>
    <n v="0"/>
    <n v="0"/>
    <n v="0"/>
    <n v="1"/>
    <n v="0"/>
    <n v="0"/>
    <n v="0"/>
    <n v="0"/>
  </r>
  <r>
    <d v="2013-10-06T00:00:00"/>
    <n v="2013"/>
    <x v="39"/>
    <s v="P"/>
    <n v="3"/>
    <x v="3"/>
    <s v="MIN"/>
    <s v="A"/>
    <n v="6"/>
    <n v="6"/>
    <n v="0"/>
    <n v="0"/>
    <n v="0"/>
    <n v="0"/>
    <n v="1532.049631706386"/>
    <n v="1725.5868903450548"/>
    <n v="0.16831271172536116"/>
    <n v="59"/>
    <n v="84"/>
    <n v="0"/>
    <n v="-25"/>
    <n v="0"/>
    <n v="0.55227345325839006"/>
    <n v="1.35"/>
    <n v="70"/>
    <n v="94.5"/>
    <n v="-8.7842137192597427"/>
    <n v="1523.2654179871263"/>
    <n v="0"/>
    <n v="0"/>
    <n v="0"/>
    <n v="0"/>
    <n v="0"/>
    <n v="0"/>
    <n v="0"/>
    <n v="1"/>
    <n v="0"/>
    <n v="0"/>
  </r>
  <r>
    <d v="2013-10-06T00:00:00"/>
    <n v="2013"/>
    <x v="38"/>
    <s v="P"/>
    <n v="3"/>
    <x v="11"/>
    <s v="ATL"/>
    <s v="H"/>
    <n v="6"/>
    <n v="6"/>
    <n v="0"/>
    <n v="0"/>
    <n v="0"/>
    <n v="0"/>
    <n v="1725.5868903450548"/>
    <n v="1532.049631706386"/>
    <n v="0.83168728827463889"/>
    <n v="84"/>
    <n v="59"/>
    <n v="0"/>
    <n v="25"/>
    <n v="1"/>
    <n v="0.55227345325839006"/>
    <n v="1.35"/>
    <n v="70.150000000000006"/>
    <n v="94.702500000000015"/>
    <n v="8.8030370343724407"/>
    <n v="1734.3899273794273"/>
    <n v="0"/>
    <n v="0"/>
    <n v="0"/>
    <n v="0"/>
    <n v="0"/>
    <n v="0"/>
    <n v="1"/>
    <n v="0"/>
    <n v="0"/>
    <n v="0"/>
  </r>
  <r>
    <d v="2013-10-08T00:00:00"/>
    <n v="2013"/>
    <x v="40"/>
    <s v="P"/>
    <n v="3"/>
    <x v="3"/>
    <s v="MIN"/>
    <s v="A"/>
    <n v="1"/>
    <n v="1"/>
    <n v="0"/>
    <n v="0"/>
    <n v="0"/>
    <n v="0"/>
    <n v="1523.2654179871263"/>
    <n v="1734.3899273794273"/>
    <n v="0.15461248374814035"/>
    <n v="63"/>
    <n v="88"/>
    <n v="0"/>
    <n v="-25"/>
    <n v="0"/>
    <n v="0.54539031031644469"/>
    <n v="1.35"/>
    <n v="69.849999999999994"/>
    <n v="94.297499999999999"/>
    <n v="-7.9515565808491182"/>
    <n v="1515.3138614062771"/>
    <n v="0"/>
    <n v="0"/>
    <n v="0"/>
    <n v="0"/>
    <n v="0"/>
    <n v="0"/>
    <n v="0"/>
    <n v="1"/>
    <n v="0"/>
    <n v="0"/>
  </r>
  <r>
    <d v="2013-10-08T00:00:00"/>
    <n v="2013"/>
    <x v="39"/>
    <s v="P"/>
    <n v="3"/>
    <x v="11"/>
    <s v="ATL"/>
    <s v="H"/>
    <n v="1"/>
    <n v="1"/>
    <n v="0"/>
    <n v="0"/>
    <n v="0"/>
    <n v="0"/>
    <n v="1734.3899273794273"/>
    <n v="1523.2654179871263"/>
    <n v="0.84538751625185959"/>
    <n v="88"/>
    <n v="63"/>
    <n v="0"/>
    <n v="25"/>
    <n v="1"/>
    <n v="0.54539031031644469"/>
    <n v="1.35"/>
    <n v="70"/>
    <n v="94.5"/>
    <n v="7.9686322213233849"/>
    <n v="1742.3585596007506"/>
    <n v="0"/>
    <n v="0"/>
    <n v="0"/>
    <n v="0"/>
    <n v="0"/>
    <n v="0"/>
    <n v="1"/>
    <n v="0"/>
    <n v="0"/>
    <n v="0"/>
  </r>
  <r>
    <d v="2013-10-10T00:00:00"/>
    <n v="2013"/>
    <x v="40"/>
    <s v="P"/>
    <n v="3"/>
    <x v="11"/>
    <s v="ATL"/>
    <s v="A"/>
    <n v="1"/>
    <n v="1"/>
    <n v="0"/>
    <n v="0"/>
    <n v="0"/>
    <n v="0"/>
    <n v="1742.3585596007506"/>
    <n v="1515.3138614062771"/>
    <n v="0.69496426095907871"/>
    <n v="86"/>
    <n v="77"/>
    <n v="0"/>
    <n v="9"/>
    <n v="1"/>
    <n v="0.34138092043862656"/>
    <n v="1.35"/>
    <n v="69.849999999999994"/>
    <n v="94.297499999999999"/>
    <n v="9.8195175288385812"/>
    <n v="1752.1780771295892"/>
    <n v="0"/>
    <n v="0"/>
    <n v="0"/>
    <n v="0"/>
    <n v="0"/>
    <n v="0"/>
    <n v="1"/>
    <n v="0"/>
    <n v="0"/>
    <n v="0"/>
  </r>
  <r>
    <d v="2013-10-10T00:00:00"/>
    <n v="2013"/>
    <x v="41"/>
    <s v="P"/>
    <n v="3"/>
    <x v="3"/>
    <s v="MIN"/>
    <s v="H"/>
    <n v="1"/>
    <n v="1"/>
    <n v="0"/>
    <n v="0"/>
    <n v="0"/>
    <n v="0"/>
    <n v="1515.3138614062771"/>
    <n v="1742.3585596007506"/>
    <n v="0.30503573904092129"/>
    <n v="77"/>
    <n v="86"/>
    <n v="0"/>
    <n v="-9"/>
    <n v="0"/>
    <n v="0.34138092043862656"/>
    <n v="1.35"/>
    <n v="69.7"/>
    <n v="94.095000000000013"/>
    <n v="-9.7984305191130883"/>
    <n v="1505.515430887164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3"/>
        <item m="1" x="50"/>
        <item m="1" x="27"/>
        <item m="1" x="25"/>
        <item m="1" x="38"/>
        <item m="1" x="54"/>
        <item m="1" x="15"/>
        <item x="8"/>
        <item m="1" x="40"/>
        <item m="1" x="16"/>
        <item x="5"/>
        <item m="1" x="29"/>
        <item m="1" x="33"/>
        <item m="1" x="12"/>
        <item m="1" x="55"/>
        <item m="1" x="35"/>
        <item m="1" x="14"/>
        <item x="0"/>
        <item m="1" x="49"/>
        <item m="1" x="48"/>
        <item m="1" x="24"/>
        <item m="1" x="23"/>
        <item m="1" x="57"/>
        <item x="7"/>
        <item m="1" x="56"/>
        <item m="1" x="26"/>
        <item m="1" x="18"/>
        <item m="1" x="34"/>
        <item x="11"/>
        <item m="1" x="42"/>
        <item m="1" x="21"/>
        <item m="1" x="30"/>
        <item m="1" x="43"/>
        <item m="1" x="51"/>
        <item x="4"/>
        <item m="1" x="44"/>
        <item m="1" x="32"/>
        <item m="1" x="20"/>
        <item m="1" x="28"/>
        <item x="9"/>
        <item m="1" x="46"/>
        <item m="1" x="19"/>
        <item m="1" x="31"/>
        <item m="1" x="13"/>
        <item x="1"/>
        <item m="1" x="41"/>
        <item x="6"/>
        <item m="1" x="52"/>
        <item m="1" x="47"/>
        <item m="1" x="53"/>
        <item m="1" x="45"/>
        <item m="1" x="22"/>
        <item x="2"/>
        <item m="1" x="17"/>
        <item m="1" x="37"/>
        <item x="10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8"/>
    </i>
    <i>
      <x v="24"/>
    </i>
    <i>
      <x v="29"/>
    </i>
    <i>
      <x v="35"/>
    </i>
    <i>
      <x v="40"/>
    </i>
    <i>
      <x v="45"/>
    </i>
    <i>
      <x v="47"/>
    </i>
    <i>
      <x v="53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6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1:C13"/>
  </sortState>
  <tableColumns count="4">
    <tableColumn id="1" xr3:uid="{8C17ECDF-4459-4994-A3F5-8E8FEDF92B6F}" name="TeamID"/>
    <tableColumn id="4" xr3:uid="{789F069E-DAF9-4B19-A6DB-107BA6995CE5}" name="Logo" dataDxfId="6"/>
    <tableColumn id="5" xr3:uid="{A9DA91BA-5529-4913-978B-19C8EF225B29}" name="TeamName" dataDxfId="5"/>
    <tableColumn id="2" xr3:uid="{AA4C8157-DB69-4779-8EEE-6F419B992D71}" name="PreSeasonElo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3" totalsRowShown="0" headerRowDxfId="46" dataDxfId="45">
  <autoFilter ref="A1:AL443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4"/>
    <tableColumn id="21" xr3:uid="{D754AB95-C77C-4DD5-B1B9-A24A4FEE7279}" name="Season" dataDxfId="43"/>
    <tableColumn id="19" xr3:uid="{4C42B78B-6AFC-42C3-A5F4-3266E247C458}" name="GamesPlayed" dataDxfId="42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1"/>
    <tableColumn id="14" xr3:uid="{EFA83923-8CCA-4DC9-BC85-5D86949A45D9}" name="Round" dataDxfId="40"/>
    <tableColumn id="2" xr3:uid="{6E102E51-A49B-416B-8CD2-B93B2A4EA389}" name="Team" dataDxfId="39"/>
    <tableColumn id="3" xr3:uid="{19101345-1C34-4AF3-88E6-76A7F19B7FE6}" name="Opponent" dataDxfId="38"/>
    <tableColumn id="16" xr3:uid="{4CBCDF29-B095-48DF-8EF6-06DC7D78C844}" name="HomeAway" dataDxfId="37"/>
    <tableColumn id="32" xr3:uid="{E3FA53E3-DAD6-4BC2-969A-C53F4798E86D}" name="DaysOff" dataDxfId="36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5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4">
      <calculatedColumnFormula>Games[[#This Row],[DaysOff]]-Games[[#This Row],[OppDaysOff]]</calculatedColumnFormula>
    </tableColumn>
    <tableColumn id="35" xr3:uid="{3F2DB366-7372-41BA-8B0C-09F9BA7EA850}" name="OppRestDiff" dataDxfId="33">
      <calculatedColumnFormula>Games[[#This Row],[OppDaysOff]]-Games[[#This Row],[DaysOff]]</calculatedColumnFormula>
    </tableColumn>
    <tableColumn id="36" xr3:uid="{BDD0FD2C-608F-4CCC-867B-4481F0F4B802}" name="RestAdj" dataDxfId="32">
      <calculatedColumnFormula>MAX(-16, MIN(16, Games[[#This Row],[RestDiff]]*8))</calculatedColumnFormula>
    </tableColumn>
    <tableColumn id="37" xr3:uid="{5F89213A-4C28-428C-B766-3B05D4F530A5}" name="OppRestAdj" dataDxfId="31">
      <calculatedColumnFormula>MAX(-16, MIN(16, Games[[#This Row],[OppRestDiff]]*8))</calculatedColumnFormula>
    </tableColumn>
    <tableColumn id="4" xr3:uid="{68053CFA-948B-4F2C-A114-7C46ABD9EA33}" name="PreGmRate" dataDxfId="30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9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8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7"/>
    <tableColumn id="8" xr3:uid="{0CDDF0F9-2F1E-487C-96DD-90F70CE7DAFC}" name="PointsAgainst" dataDxfId="26"/>
    <tableColumn id="22" xr3:uid="{AB7B5B5C-5BAD-4213-990E-8EB9B177497C}" name="OT" dataDxfId="25"/>
    <tableColumn id="9" xr3:uid="{CE171F1D-5E5D-4800-A6DC-8F6DBD74C939}" name="MOV" dataDxfId="24">
      <calculatedColumnFormula>Games[[#This Row],[PointsFor]]-Games[[#This Row],[PointsAgainst]]</calculatedColumnFormula>
    </tableColumn>
    <tableColumn id="10" xr3:uid="{883A3911-25F6-4C39-9637-F1C42D6A1FC2}" name="Result" dataDxfId="23">
      <calculatedColumnFormula>IF(Games[[#This Row],[MOV]]&gt;0,1,IF(Games[[#This Row],[MOV]]=0,0.5,0))</calculatedColumnFormula>
    </tableColumn>
    <tableColumn id="15" xr3:uid="{00048431-5FD6-47EE-807E-5B63FD521193}" name="MOVMult" dataDxfId="22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1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0">
      <calculatedColumnFormula>MAX(kmin, kmax - 0.15 * MIN(Games[[#This Row],[GamesPlayed]], 82))</calculatedColumnFormula>
    </tableColumn>
    <tableColumn id="29" xr3:uid="{FBA5D644-15ED-4725-9E52-1D37FD0FAC64}" name="Keff" dataDxfId="19">
      <calculatedColumnFormula>Games[[#This Row],[K]]*Games[[#This Row],[POMult]]</calculatedColumnFormula>
    </tableColumn>
    <tableColumn id="11" xr3:uid="{309DAEBD-E62C-4090-89E9-A58FD32AB89B}" name="RatingChange" dataDxfId="18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7">
      <calculatedColumnFormula>Games[[#This Row],[PreGmRate]]+Games[[#This Row],[RatingChange]]</calculatedColumnFormula>
    </tableColumn>
    <tableColumn id="17" xr3:uid="{90B7BF87-E472-4474-A10D-555BD3BF8F04}" name="W" dataDxfId="16">
      <calculatedColumnFormula>IF(Games[[#This Row],[Type]]="R",IF(Games[[#This Row],[Result]]&gt;0.5,1,0),0)</calculatedColumnFormula>
    </tableColumn>
    <tableColumn id="18" xr3:uid="{29756EA1-783D-4C76-A7B8-F906AF0EC7E7}" name="L" dataDxfId="15">
      <calculatedColumnFormula>IF(Games[[#This Row],[Type]]="R",IF(Games[[#This Row],[Result]]&lt;0.5,1,0),0)</calculatedColumnFormula>
    </tableColumn>
    <tableColumn id="23" xr3:uid="{C253CFA7-28A4-4AE5-B131-DC1E8F2B73F8}" name="R1W" dataDxfId="14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3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2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1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0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9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8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7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29</v>
      </c>
      <c r="B1" t="s">
        <v>27</v>
      </c>
      <c r="C1" t="s">
        <v>28</v>
      </c>
      <c r="D1" t="s">
        <v>58</v>
      </c>
    </row>
    <row r="2" spans="1:8" x14ac:dyDescent="0.35">
      <c r="A2" t="s">
        <v>79</v>
      </c>
      <c r="B2" s="8"/>
      <c r="C2" s="15" t="s">
        <v>80</v>
      </c>
      <c r="D2" s="13">
        <v>1557.3655985836649</v>
      </c>
      <c r="G2" t="s">
        <v>80</v>
      </c>
      <c r="H2" s="12">
        <v>1505.515430887164</v>
      </c>
    </row>
    <row r="3" spans="1:8" x14ac:dyDescent="0.35">
      <c r="A3" t="s">
        <v>77</v>
      </c>
      <c r="B3" s="8"/>
      <c r="C3" s="15" t="s">
        <v>78</v>
      </c>
      <c r="D3" s="13">
        <v>1458.0885535147163</v>
      </c>
      <c r="G3" t="s">
        <v>78</v>
      </c>
      <c r="H3" s="12">
        <v>1577.1135579080922</v>
      </c>
    </row>
    <row r="4" spans="1:8" x14ac:dyDescent="0.35">
      <c r="A4" t="s">
        <v>76</v>
      </c>
      <c r="B4" s="8"/>
      <c r="C4" s="15" t="s">
        <v>75</v>
      </c>
      <c r="D4" s="13">
        <v>1607.2494109739941</v>
      </c>
      <c r="G4" t="s">
        <v>75</v>
      </c>
      <c r="H4" s="12">
        <v>1383.9678336268664</v>
      </c>
    </row>
    <row r="5" spans="1:8" x14ac:dyDescent="0.35">
      <c r="A5" t="s">
        <v>69</v>
      </c>
      <c r="B5" s="8"/>
      <c r="C5" s="15" t="s">
        <v>70</v>
      </c>
      <c r="D5" s="13">
        <v>1688.4582263637201</v>
      </c>
      <c r="G5" t="s">
        <v>70</v>
      </c>
      <c r="H5" s="12">
        <v>1535.1193029297685</v>
      </c>
    </row>
    <row r="6" spans="1:8" x14ac:dyDescent="0.35">
      <c r="A6" t="s">
        <v>63</v>
      </c>
      <c r="B6" s="8"/>
      <c r="C6" s="15" t="s">
        <v>64</v>
      </c>
      <c r="D6" s="13">
        <v>1615.0021288728881</v>
      </c>
      <c r="G6" t="s">
        <v>64</v>
      </c>
      <c r="H6" s="12">
        <v>1623.2519327599366</v>
      </c>
    </row>
    <row r="7" spans="1:8" x14ac:dyDescent="0.35">
      <c r="A7" t="s">
        <v>67</v>
      </c>
      <c r="B7" s="8"/>
      <c r="C7" s="15" t="s">
        <v>68</v>
      </c>
      <c r="D7" s="13">
        <v>1663.8276380516813</v>
      </c>
      <c r="G7" t="s">
        <v>68</v>
      </c>
      <c r="H7" s="12">
        <v>1752.1780771295892</v>
      </c>
    </row>
    <row r="8" spans="1:8" x14ac:dyDescent="0.35">
      <c r="A8" t="s">
        <v>60</v>
      </c>
      <c r="B8" s="8"/>
      <c r="C8" s="15" t="s">
        <v>61</v>
      </c>
      <c r="D8" s="13">
        <v>1442.7213833862918</v>
      </c>
      <c r="G8" t="s">
        <v>61</v>
      </c>
      <c r="H8" s="12">
        <v>1347.5220791775096</v>
      </c>
    </row>
    <row r="9" spans="1:8" x14ac:dyDescent="0.35">
      <c r="A9" t="s">
        <v>40</v>
      </c>
      <c r="B9" s="8"/>
      <c r="C9" s="15" t="s">
        <v>62</v>
      </c>
      <c r="D9" s="13">
        <v>1289.1399376320578</v>
      </c>
      <c r="G9" t="s">
        <v>62</v>
      </c>
      <c r="H9" s="12">
        <v>1510.1861921012005</v>
      </c>
    </row>
    <row r="10" spans="1:8" x14ac:dyDescent="0.35">
      <c r="A10" t="s">
        <v>74</v>
      </c>
      <c r="B10" s="8"/>
      <c r="C10" s="15" t="s">
        <v>73</v>
      </c>
      <c r="D10" s="13">
        <v>1551.2147147267142</v>
      </c>
      <c r="G10" t="s">
        <v>73</v>
      </c>
      <c r="H10" s="12">
        <v>1419.6814663860007</v>
      </c>
    </row>
    <row r="11" spans="1:8" x14ac:dyDescent="0.35">
      <c r="A11" t="s">
        <v>71</v>
      </c>
      <c r="B11" s="8"/>
      <c r="C11" s="15" t="s">
        <v>72</v>
      </c>
      <c r="D11" s="13">
        <v>1504.7851742842595</v>
      </c>
      <c r="G11" t="s">
        <v>72</v>
      </c>
      <c r="H11" s="12">
        <v>1491.6339208688946</v>
      </c>
    </row>
    <row r="12" spans="1:8" x14ac:dyDescent="0.35">
      <c r="A12" t="s">
        <v>81</v>
      </c>
      <c r="B12" s="8"/>
      <c r="C12" s="15" t="s">
        <v>82</v>
      </c>
      <c r="D12" s="13">
        <v>1358.5539764210212</v>
      </c>
      <c r="G12" t="s">
        <v>82</v>
      </c>
      <c r="H12" s="12">
        <v>1410.0449531188201</v>
      </c>
    </row>
    <row r="13" spans="1:8" x14ac:dyDescent="0.35">
      <c r="A13" t="s">
        <v>65</v>
      </c>
      <c r="B13" s="8"/>
      <c r="C13" s="15" t="s">
        <v>66</v>
      </c>
      <c r="D13" s="13">
        <v>1272.477261256327</v>
      </c>
      <c r="G13" t="s">
        <v>66</v>
      </c>
      <c r="H13" s="12">
        <v>1447.515114599277</v>
      </c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MIN</v>
      </c>
      <c r="B2">
        <v>0</v>
      </c>
      <c r="C2" t="str">
        <v>Minnesota Lynx</v>
      </c>
      <c r="D2" s="1">
        <v>26</v>
      </c>
      <c r="E2" s="1">
        <v>8</v>
      </c>
      <c r="F2" s="3">
        <v>0.76470588235294112</v>
      </c>
      <c r="G2" s="9">
        <v>1752.1780771295892</v>
      </c>
      <c r="H2" s="1">
        <v>41557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24</v>
      </c>
      <c r="E3" s="1">
        <v>10</v>
      </c>
      <c r="F3" s="3">
        <v>0.70588235294117652</v>
      </c>
      <c r="G3" s="9">
        <v>1623.2519327599366</v>
      </c>
      <c r="H3" s="1">
        <v>41540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1347.5220791775096</v>
      </c>
      <c r="AY3" s="1">
        <f>_xlfn.MAXIFS(Games[Date], Games[Team], AK3)</f>
        <v>41532</v>
      </c>
      <c r="AZ3">
        <f t="shared" si="2"/>
        <v>0</v>
      </c>
    </row>
    <row r="4" spans="1:68" x14ac:dyDescent="0.35">
      <c r="A4" t="str">
        <v>CHI</v>
      </c>
      <c r="B4">
        <v>0</v>
      </c>
      <c r="C4" t="str">
        <v>Chicago Sky</v>
      </c>
      <c r="D4" s="1">
        <v>24</v>
      </c>
      <c r="E4" s="1">
        <v>10</v>
      </c>
      <c r="F4" s="3">
        <v>0.70588235294117652</v>
      </c>
      <c r="G4" s="9">
        <v>1577.1135579080922</v>
      </c>
      <c r="H4" s="1">
        <v>41539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IND</v>
      </c>
      <c r="B5">
        <v>0</v>
      </c>
      <c r="C5" t="str">
        <v>Indiana Fever</v>
      </c>
      <c r="D5" s="1">
        <v>16</v>
      </c>
      <c r="E5" s="1">
        <v>18</v>
      </c>
      <c r="F5" s="3">
        <v>0.47058823529411764</v>
      </c>
      <c r="G5" s="9">
        <v>1535.1193029297685</v>
      </c>
      <c r="H5" s="1">
        <v>41546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PHX</v>
      </c>
      <c r="B6">
        <v>0</v>
      </c>
      <c r="C6" t="str">
        <v>Phoenix Mercury</v>
      </c>
      <c r="D6" s="1">
        <v>19</v>
      </c>
      <c r="E6" s="1">
        <v>15</v>
      </c>
      <c r="F6" s="3">
        <v>0.55882352941176472</v>
      </c>
      <c r="G6" s="9">
        <v>1510.1861921012005</v>
      </c>
      <c r="H6" s="1">
        <v>41546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1</v>
      </c>
      <c r="AP6" s="1">
        <f>_xlfn.XLOOKUP($AK6,StandingsPivot!$A$4:$A$33,StandingsPivot!F$4:F$33)</f>
        <v>0</v>
      </c>
      <c r="AQ6" s="1">
        <f>_xlfn.XLOOKUP($AK6,StandingsPivot!$A$4:$A$33,StandingsPivot!G$4:G$33)</f>
        <v>2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2</v>
      </c>
      <c r="AW6" s="1">
        <f t="shared" si="3"/>
        <v>3</v>
      </c>
      <c r="AX6" s="4" cm="1">
        <f t="array" ref="AX6">_xlfn.IFNA(INDEX(Games[PostGmRate], MATCH(1, (Games[Team]=AK6)*(Games[Date]=AY6), 0)),0)</f>
        <v>1510.1861921012005</v>
      </c>
      <c r="AY6" s="1">
        <f>_xlfn.MAXIFS(Games[Date], Games[Team], AK6)</f>
        <v>41546</v>
      </c>
      <c r="AZ6">
        <f>SUM(AV6:AW6)</f>
        <v>5</v>
      </c>
      <c r="BO6" s="4"/>
      <c r="BP6" s="1"/>
    </row>
    <row r="7" spans="1:68" x14ac:dyDescent="0.35">
      <c r="A7" t="str">
        <v>ATL</v>
      </c>
      <c r="B7">
        <v>0</v>
      </c>
      <c r="C7" t="str">
        <v>Atlanta Dream</v>
      </c>
      <c r="D7" s="1">
        <v>17</v>
      </c>
      <c r="E7" s="1">
        <v>17</v>
      </c>
      <c r="F7" s="3">
        <v>0.5</v>
      </c>
      <c r="G7" s="9">
        <v>1505.515430887164</v>
      </c>
      <c r="H7" s="1">
        <v>41557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2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1</v>
      </c>
      <c r="AW7" s="1">
        <f t="shared" si="3"/>
        <v>2</v>
      </c>
      <c r="AX7" s="4" cm="1">
        <f t="array" ref="AX7">_xlfn.IFNA(INDEX(Games[PostGmRate], MATCH(1, (Games[Team]=AK7)*(Games[Date]=AY7), 0)),0)</f>
        <v>1623.2519327599366</v>
      </c>
      <c r="AY7" s="1">
        <f>_xlfn.MAXIFS(Games[Date], Games[Team], AK7)</f>
        <v>41540</v>
      </c>
      <c r="AZ7">
        <f>SUM(AV7:AW7)</f>
        <v>3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17</v>
      </c>
      <c r="E8" s="1">
        <v>17</v>
      </c>
      <c r="F8" s="3">
        <v>0.5</v>
      </c>
      <c r="G8" s="9">
        <v>1491.6339208688946</v>
      </c>
      <c r="H8" s="1">
        <v>41539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WAS</v>
      </c>
      <c r="B9">
        <v>0</v>
      </c>
      <c r="C9" t="str">
        <v>Washington Mystics</v>
      </c>
      <c r="D9" s="1">
        <v>17</v>
      </c>
      <c r="E9" s="1">
        <v>17</v>
      </c>
      <c r="F9" s="3">
        <v>0.5</v>
      </c>
      <c r="G9" s="9">
        <v>1447.515114599277</v>
      </c>
      <c r="H9" s="1">
        <v>41540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SAS</v>
      </c>
      <c r="B10">
        <v>0</v>
      </c>
      <c r="C10" t="str">
        <v>San Antonio Silver Stars</v>
      </c>
      <c r="D10" s="1">
        <v>12</v>
      </c>
      <c r="E10" s="1">
        <v>22</v>
      </c>
      <c r="F10" s="3">
        <v>0.35294117647058826</v>
      </c>
      <c r="G10" s="9">
        <v>1419.6814663860007</v>
      </c>
      <c r="H10" s="1">
        <v>41532</v>
      </c>
      <c r="O10" s="3"/>
      <c r="P10" s="4"/>
      <c r="Q10" s="1"/>
      <c r="AX10" s="4"/>
      <c r="BO10" s="4"/>
      <c r="BP10" s="1"/>
    </row>
    <row r="11" spans="1:68" x14ac:dyDescent="0.35">
      <c r="A11" t="str">
        <v>TUL</v>
      </c>
      <c r="B11">
        <v>0</v>
      </c>
      <c r="C11" t="str">
        <v>Tulsa Shock</v>
      </c>
      <c r="D11" s="1">
        <v>11</v>
      </c>
      <c r="E11" s="1">
        <v>23</v>
      </c>
      <c r="F11" s="3">
        <v>0.3235294117647059</v>
      </c>
      <c r="G11" s="9">
        <v>1410.0449531188201</v>
      </c>
      <c r="H11" s="1">
        <v>41531</v>
      </c>
      <c r="O11" s="3"/>
      <c r="P11" s="4"/>
      <c r="Q11" s="1"/>
      <c r="AX11" s="4"/>
      <c r="BO11" s="4"/>
      <c r="BP11" s="1"/>
    </row>
    <row r="12" spans="1:68" x14ac:dyDescent="0.35">
      <c r="A12" t="str">
        <v>CON</v>
      </c>
      <c r="B12">
        <v>0</v>
      </c>
      <c r="C12" t="str">
        <v>Connecticut Sun</v>
      </c>
      <c r="D12" s="1">
        <v>10</v>
      </c>
      <c r="E12" s="1">
        <v>24</v>
      </c>
      <c r="F12" s="3">
        <v>0.29411764705882354</v>
      </c>
      <c r="G12" s="9">
        <v>1383.9678336268664</v>
      </c>
      <c r="H12" s="1">
        <v>41532</v>
      </c>
      <c r="O12" s="3"/>
      <c r="P12" s="4"/>
      <c r="Q12" s="1"/>
      <c r="AX12" s="4"/>
      <c r="BO12" s="4"/>
      <c r="BP12" s="1"/>
    </row>
    <row r="13" spans="1:68" x14ac:dyDescent="0.35">
      <c r="A13" t="str">
        <v>NYL</v>
      </c>
      <c r="B13">
        <v>0</v>
      </c>
      <c r="C13" t="str">
        <v>New York Liberty</v>
      </c>
      <c r="D13" s="1">
        <v>11</v>
      </c>
      <c r="E13" s="1">
        <v>23</v>
      </c>
      <c r="F13" s="3">
        <v>0.3235294117647059</v>
      </c>
      <c r="G13" s="9">
        <v>1347.5220791775096</v>
      </c>
      <c r="H13" s="1">
        <v>41532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79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17</v>
      </c>
      <c r="E25" s="1">
        <f>_xlfn.XLOOKUP($A25,StandingsPivot!$A$4:$A$35,StandingsPivot!C$4:C$35)</f>
        <v>17</v>
      </c>
      <c r="F25" s="3">
        <f t="shared" ref="F25:F36" si="4">(D25)/(D25+E25)</f>
        <v>0.5</v>
      </c>
      <c r="G25" s="9" cm="1">
        <f t="array" ref="G25">INDEX(Games[PostGmRate], MATCH(1, (Games[Team]=A25)*(Games[Date]=H25), 0))</f>
        <v>1505.515430887164</v>
      </c>
      <c r="H25" s="1">
        <f>_xlfn.MAXIFS(Games[Date], Games[Team], A25)</f>
        <v>41557</v>
      </c>
      <c r="AR25" s="3"/>
      <c r="AS25" s="4"/>
      <c r="BD25" s="1"/>
      <c r="BG25" s="3"/>
      <c r="BH25" s="4"/>
    </row>
    <row r="26" spans="1:60" x14ac:dyDescent="0.35">
      <c r="A26" t="s">
        <v>77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24</v>
      </c>
      <c r="E26" s="1">
        <f>_xlfn.XLOOKUP($A26,StandingsPivot!$A$4:$A$35,StandingsPivot!C$4:C$35)</f>
        <v>10</v>
      </c>
      <c r="F26" s="3">
        <f t="shared" si="4"/>
        <v>0.70588235294117652</v>
      </c>
      <c r="G26" s="9" cm="1">
        <f t="array" ref="G26">INDEX(Games[PostGmRate], MATCH(1, (Games[Team]=A26)*(Games[Date]=H26), 0))</f>
        <v>1577.1135579080922</v>
      </c>
      <c r="H26" s="1">
        <f>_xlfn.MAXIFS(Games[Date], Games[Team], A26)</f>
        <v>41539</v>
      </c>
      <c r="AR26" s="3"/>
      <c r="AS26" s="4"/>
      <c r="BD26" s="1"/>
      <c r="BG26" s="3"/>
      <c r="BH26" s="4"/>
    </row>
    <row r="27" spans="1:60" x14ac:dyDescent="0.35">
      <c r="A27" t="s">
        <v>76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10</v>
      </c>
      <c r="E27" s="1">
        <f>_xlfn.XLOOKUP($A27,StandingsPivot!$A$4:$A$35,StandingsPivot!C$4:C$35)</f>
        <v>24</v>
      </c>
      <c r="F27" s="3">
        <f t="shared" si="4"/>
        <v>0.29411764705882354</v>
      </c>
      <c r="G27" s="9" cm="1">
        <f t="array" ref="G27">INDEX(Games[PostGmRate], MATCH(1, (Games[Team]=A27)*(Games[Date]=H27), 0))</f>
        <v>1383.9678336268664</v>
      </c>
      <c r="H27" s="1">
        <f>_xlfn.MAXIFS(Games[Date], Games[Team], A27)</f>
        <v>41532</v>
      </c>
      <c r="AR27" s="3"/>
      <c r="AS27" s="4"/>
      <c r="BD27" s="1"/>
      <c r="BG27" s="3"/>
      <c r="BH27" s="4"/>
    </row>
    <row r="28" spans="1:60" x14ac:dyDescent="0.35">
      <c r="A28" t="s">
        <v>69</v>
      </c>
      <c r="B28">
        <f>_xlfn.XLOOKUP(A28,ConfDiv[TeamID],ConfDiv[Logo])</f>
        <v>0</v>
      </c>
      <c r="C28" t="str">
        <f>_xlfn.XLOOKUP(A28,ConfDiv[TeamID],ConfDiv[TeamName])</f>
        <v>Indiana Fever</v>
      </c>
      <c r="D28" s="1">
        <f>_xlfn.XLOOKUP($A28,StandingsPivot!$A$4:$A$35,StandingsPivot!B$4:B$35)</f>
        <v>16</v>
      </c>
      <c r="E28" s="1">
        <f>_xlfn.XLOOKUP($A28,StandingsPivot!$A$4:$A$35,StandingsPivot!C$4:C$35)</f>
        <v>18</v>
      </c>
      <c r="F28" s="3">
        <f t="shared" si="4"/>
        <v>0.47058823529411764</v>
      </c>
      <c r="G28" s="9" cm="1">
        <f t="array" ref="G28">INDEX(Games[PostGmRate], MATCH(1, (Games[Team]=A28)*(Games[Date]=H28), 0))</f>
        <v>1535.1193029297685</v>
      </c>
      <c r="H28" s="1">
        <f>_xlfn.MAXIFS(Games[Date], Games[Team], A28)</f>
        <v>41546</v>
      </c>
      <c r="AR28" s="3"/>
      <c r="AS28" s="4"/>
      <c r="BD28" s="1"/>
      <c r="BG28" s="3"/>
      <c r="BH28" s="4"/>
    </row>
    <row r="29" spans="1:60" x14ac:dyDescent="0.35">
      <c r="A29" t="s">
        <v>63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24</v>
      </c>
      <c r="E29" s="1">
        <f>_xlfn.XLOOKUP($A29,StandingsPivot!$A$4:$A$35,StandingsPivot!C$4:C$35)</f>
        <v>10</v>
      </c>
      <c r="F29" s="3">
        <f t="shared" si="4"/>
        <v>0.70588235294117652</v>
      </c>
      <c r="G29" s="9" cm="1">
        <f t="array" ref="G29">INDEX(Games[PostGmRate], MATCH(1, (Games[Team]=A29)*(Games[Date]=H29), 0))</f>
        <v>1623.2519327599366</v>
      </c>
      <c r="H29" s="1">
        <f>_xlfn.MAXIFS(Games[Date], Games[Team], A29)</f>
        <v>41540</v>
      </c>
      <c r="AR29" s="3"/>
      <c r="AS29" s="4"/>
      <c r="BD29" s="1"/>
      <c r="BG29" s="3"/>
      <c r="BH29" s="4"/>
    </row>
    <row r="30" spans="1:60" x14ac:dyDescent="0.35">
      <c r="A30" t="s">
        <v>67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26</v>
      </c>
      <c r="E30" s="1">
        <f>_xlfn.XLOOKUP($A30,StandingsPivot!$A$4:$A$35,StandingsPivot!C$4:C$35)</f>
        <v>8</v>
      </c>
      <c r="F30" s="3">
        <f t="shared" si="4"/>
        <v>0.76470588235294112</v>
      </c>
      <c r="G30" s="9" cm="1">
        <f t="array" ref="G30">INDEX(Games[PostGmRate], MATCH(1, (Games[Team]=A30)*(Games[Date]=H30), 0))</f>
        <v>1752.1780771295892</v>
      </c>
      <c r="H30" s="1">
        <f>_xlfn.MAXIFS(Games[Date], Games[Team], A30)</f>
        <v>41557</v>
      </c>
      <c r="AR30" s="3"/>
      <c r="AS30" s="4"/>
      <c r="BD30" s="1"/>
      <c r="BG30" s="3"/>
      <c r="BH30" s="4"/>
    </row>
    <row r="31" spans="1:60" x14ac:dyDescent="0.35">
      <c r="A31" t="s">
        <v>60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11</v>
      </c>
      <c r="E31" s="1">
        <f>_xlfn.XLOOKUP($A31,StandingsPivot!$A$4:$A$35,StandingsPivot!C$4:C$35)</f>
        <v>23</v>
      </c>
      <c r="F31" s="3">
        <f t="shared" si="4"/>
        <v>0.3235294117647059</v>
      </c>
      <c r="G31" s="9" cm="1">
        <f t="array" ref="G31">INDEX(Games[PostGmRate], MATCH(1, (Games[Team]=A31)*(Games[Date]=H31), 0))</f>
        <v>1347.5220791775096</v>
      </c>
      <c r="H31" s="1">
        <f>_xlfn.MAXIFS(Games[Date], Games[Team], A31)</f>
        <v>41532</v>
      </c>
      <c r="AR31" s="3"/>
      <c r="AS31" s="4"/>
      <c r="BD31" s="1"/>
      <c r="BG31" s="3"/>
      <c r="BH31" s="4"/>
    </row>
    <row r="32" spans="1:60" x14ac:dyDescent="0.35">
      <c r="A32" t="s">
        <v>40</v>
      </c>
      <c r="B32">
        <f>_xlfn.XLOOKUP(A32,ConfDiv[TeamID],ConfDiv[Logo])</f>
        <v>0</v>
      </c>
      <c r="C32" t="str">
        <f>_xlfn.XLOOKUP(A32,ConfDiv[TeamID],ConfDiv[TeamName])</f>
        <v>Phoenix Mercury</v>
      </c>
      <c r="D32" s="1">
        <f>_xlfn.XLOOKUP($A32,StandingsPivot!$A$4:$A$35,StandingsPivot!B$4:B$35)</f>
        <v>19</v>
      </c>
      <c r="E32" s="1">
        <f>_xlfn.XLOOKUP($A32,StandingsPivot!$A$4:$A$35,StandingsPivot!C$4:C$35)</f>
        <v>15</v>
      </c>
      <c r="F32" s="3">
        <f t="shared" si="4"/>
        <v>0.55882352941176472</v>
      </c>
      <c r="G32" s="9" cm="1">
        <f t="array" ref="G32">INDEX(Games[PostGmRate], MATCH(1, (Games[Team]=A32)*(Games[Date]=H32), 0))</f>
        <v>1510.1861921012005</v>
      </c>
      <c r="H32" s="1">
        <f>_xlfn.MAXIFS(Games[Date], Games[Team], A32)</f>
        <v>41546</v>
      </c>
    </row>
    <row r="33" spans="1:8" x14ac:dyDescent="0.35">
      <c r="A33" t="s">
        <v>74</v>
      </c>
      <c r="B33">
        <f>_xlfn.XLOOKUP(A33,ConfDiv[TeamID],ConfDiv[Logo])</f>
        <v>0</v>
      </c>
      <c r="C33" t="str">
        <f>_xlfn.XLOOKUP(A33,ConfDiv[TeamID],ConfDiv[TeamName])</f>
        <v>San Antonio Silver Stars</v>
      </c>
      <c r="D33" s="1">
        <f>_xlfn.XLOOKUP($A33,StandingsPivot!$A$4:$A$35,StandingsPivot!B$4:B$35)</f>
        <v>12</v>
      </c>
      <c r="E33" s="1">
        <f>_xlfn.XLOOKUP($A33,StandingsPivot!$A$4:$A$35,StandingsPivot!C$4:C$35)</f>
        <v>22</v>
      </c>
      <c r="F33" s="3">
        <f t="shared" si="4"/>
        <v>0.35294117647058826</v>
      </c>
      <c r="G33" s="9" cm="1">
        <f t="array" ref="G33">INDEX(Games[PostGmRate], MATCH(1, (Games[Team]=A33)*(Games[Date]=H33), 0))</f>
        <v>1419.6814663860007</v>
      </c>
      <c r="H33" s="1">
        <f>_xlfn.MAXIFS(Games[Date], Games[Team], A33)</f>
        <v>41532</v>
      </c>
    </row>
    <row r="34" spans="1:8" x14ac:dyDescent="0.35">
      <c r="A34" t="s">
        <v>71</v>
      </c>
      <c r="B34">
        <f>_xlfn.XLOOKUP(A34,ConfDiv[TeamID],ConfDiv[Logo])</f>
        <v>0</v>
      </c>
      <c r="C34" t="str">
        <f>_xlfn.XLOOKUP(A34,ConfDiv[TeamID],ConfDiv[TeamName])</f>
        <v>Seattle Storm</v>
      </c>
      <c r="D34" s="1">
        <f>_xlfn.XLOOKUP($A34,StandingsPivot!$A$4:$A$35,StandingsPivot!B$4:B$35)</f>
        <v>17</v>
      </c>
      <c r="E34" s="1">
        <f>_xlfn.XLOOKUP($A34,StandingsPivot!$A$4:$A$35,StandingsPivot!C$4:C$35)</f>
        <v>17</v>
      </c>
      <c r="F34" s="3">
        <f t="shared" si="4"/>
        <v>0.5</v>
      </c>
      <c r="G34" s="9" cm="1">
        <f t="array" ref="G34">INDEX(Games[PostGmRate], MATCH(1, (Games[Team]=A34)*(Games[Date]=H34), 0))</f>
        <v>1491.6339208688946</v>
      </c>
      <c r="H34" s="1">
        <f>_xlfn.MAXIFS(Games[Date], Games[Team], A34)</f>
        <v>41539</v>
      </c>
    </row>
    <row r="35" spans="1:8" x14ac:dyDescent="0.35">
      <c r="A35" t="s">
        <v>81</v>
      </c>
      <c r="B35">
        <f>_xlfn.XLOOKUP(A35,ConfDiv[TeamID],ConfDiv[Logo])</f>
        <v>0</v>
      </c>
      <c r="C35" t="str">
        <f>_xlfn.XLOOKUP(A35,ConfDiv[TeamID],ConfDiv[TeamName])</f>
        <v>Tulsa Shock</v>
      </c>
      <c r="D35" s="1">
        <f>_xlfn.XLOOKUP($A35,StandingsPivot!$A$4:$A$35,StandingsPivot!B$4:B$35)</f>
        <v>11</v>
      </c>
      <c r="E35" s="1">
        <f>_xlfn.XLOOKUP($A35,StandingsPivot!$A$4:$A$35,StandingsPivot!C$4:C$35)</f>
        <v>23</v>
      </c>
      <c r="F35" s="3">
        <f t="shared" si="4"/>
        <v>0.3235294117647059</v>
      </c>
      <c r="G35" s="9" cm="1">
        <f t="array" ref="G35">INDEX(Games[PostGmRate], MATCH(1, (Games[Team]=A35)*(Games[Date]=H35), 0))</f>
        <v>1410.0449531188201</v>
      </c>
      <c r="H35" s="1">
        <f>_xlfn.MAXIFS(Games[Date], Games[Team], A35)</f>
        <v>41531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17</v>
      </c>
      <c r="E36" s="1">
        <f>_xlfn.XLOOKUP($A36,StandingsPivot!$A$4:$A$35,StandingsPivot!C$4:C$35)</f>
        <v>17</v>
      </c>
      <c r="F36" s="3">
        <f t="shared" si="4"/>
        <v>0.5</v>
      </c>
      <c r="G36" s="9" cm="1">
        <f t="array" ref="G36">INDEX(Games[PostGmRate], MATCH(1, (Games[Team]=A36)*(Games[Date]=H36), 0))</f>
        <v>1447.515114599277</v>
      </c>
      <c r="H36" s="1">
        <f>_xlfn.MAXIFS(Games[Date], Games[Team], A36)</f>
        <v>41540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79</v>
      </c>
      <c r="B4" s="2">
        <v>17</v>
      </c>
      <c r="C4" s="2">
        <v>17</v>
      </c>
      <c r="D4" s="2">
        <v>2</v>
      </c>
      <c r="E4" s="2">
        <v>1</v>
      </c>
      <c r="F4" s="2">
        <v>2</v>
      </c>
      <c r="G4" s="2">
        <v>0</v>
      </c>
      <c r="H4" s="2">
        <v>0</v>
      </c>
      <c r="I4" s="2">
        <v>3</v>
      </c>
      <c r="J4" s="2">
        <v>0</v>
      </c>
      <c r="K4" s="2">
        <v>0</v>
      </c>
    </row>
    <row r="5" spans="1:11" x14ac:dyDescent="0.35">
      <c r="A5" s="6" t="s">
        <v>77</v>
      </c>
      <c r="B5" s="2">
        <v>24</v>
      </c>
      <c r="C5" s="2">
        <v>10</v>
      </c>
      <c r="D5" s="2">
        <v>0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76</v>
      </c>
      <c r="B6" s="2">
        <v>10</v>
      </c>
      <c r="C6" s="2">
        <v>24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69</v>
      </c>
      <c r="B7" s="2">
        <v>16</v>
      </c>
      <c r="C7" s="2">
        <v>18</v>
      </c>
      <c r="D7" s="2">
        <v>2</v>
      </c>
      <c r="E7" s="2">
        <v>0</v>
      </c>
      <c r="F7" s="2">
        <v>0</v>
      </c>
      <c r="G7" s="2">
        <v>2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63</v>
      </c>
      <c r="B8" s="2">
        <v>24</v>
      </c>
      <c r="C8" s="2">
        <v>10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67</v>
      </c>
      <c r="B9" s="2">
        <v>26</v>
      </c>
      <c r="C9" s="2">
        <v>8</v>
      </c>
      <c r="D9" s="2">
        <v>2</v>
      </c>
      <c r="E9" s="2">
        <v>0</v>
      </c>
      <c r="F9" s="2">
        <v>2</v>
      </c>
      <c r="G9" s="2">
        <v>0</v>
      </c>
      <c r="H9" s="2">
        <v>3</v>
      </c>
      <c r="I9" s="2">
        <v>0</v>
      </c>
      <c r="J9" s="2">
        <v>0</v>
      </c>
      <c r="K9" s="2">
        <v>0</v>
      </c>
    </row>
    <row r="10" spans="1:11" x14ac:dyDescent="0.35">
      <c r="A10" s="6" t="s">
        <v>60</v>
      </c>
      <c r="B10" s="2">
        <v>11</v>
      </c>
      <c r="C10" s="2">
        <v>23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40</v>
      </c>
      <c r="B11" s="2">
        <v>19</v>
      </c>
      <c r="C11" s="2">
        <v>15</v>
      </c>
      <c r="D11" s="2">
        <v>2</v>
      </c>
      <c r="E11" s="2">
        <v>1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74</v>
      </c>
      <c r="B12" s="2">
        <v>12</v>
      </c>
      <c r="C12" s="2">
        <v>22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71</v>
      </c>
      <c r="B13" s="2">
        <v>17</v>
      </c>
      <c r="C13" s="2">
        <v>17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81</v>
      </c>
      <c r="B14" s="2">
        <v>11</v>
      </c>
      <c r="C14" s="2">
        <v>23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17</v>
      </c>
      <c r="C15" s="2">
        <v>17</v>
      </c>
      <c r="D15" s="2">
        <v>1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10</v>
      </c>
      <c r="E16" s="2">
        <v>10</v>
      </c>
      <c r="F16" s="2">
        <v>4</v>
      </c>
      <c r="G16" s="2">
        <v>4</v>
      </c>
      <c r="H16" s="2">
        <v>3</v>
      </c>
      <c r="I16" s="2">
        <v>3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6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3"/>
  <sheetViews>
    <sheetView topLeftCell="AD1" workbookViewId="0">
      <selection activeCell="AP3" sqref="AP3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41418</v>
      </c>
      <c r="B2" s="2">
        <v>2013</v>
      </c>
      <c r="C2" s="2">
        <f>COUNTIFS(Games[Team],Games[[#This Row],[Team]],Games[Season],Games[[#This Row],[Season]],Games[Date],"&lt;=" &amp; Games[[#This Row],[Date]])</f>
        <v>1</v>
      </c>
      <c r="D2" s="2" t="s">
        <v>83</v>
      </c>
      <c r="E2" s="2" t="s">
        <v>84</v>
      </c>
      <c r="F2" s="1" t="s">
        <v>69</v>
      </c>
      <c r="G2" s="1" t="s">
        <v>74</v>
      </c>
      <c r="H2" s="1" t="s">
        <v>85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1594.2291131818602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1525.6073573633571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0.47788336890695954</v>
      </c>
      <c r="R2" s="1">
        <v>79</v>
      </c>
      <c r="S2" s="1">
        <v>64</v>
      </c>
      <c r="T2" s="1">
        <v>0</v>
      </c>
      <c r="U2" s="1">
        <f>Games[[#This Row],[PointsFor]]-Games[[#This Row],[PointsAgainst]]</f>
        <v>15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0.47564818346126875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18.836879288138331</v>
      </c>
      <c r="AB2" s="4">
        <f>Games[[#This Row],[PreGmRate]]+Games[[#This Row],[RatingChange]]</f>
        <v>1613.0659924699985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41418</v>
      </c>
      <c r="B3" s="2">
        <v>2013</v>
      </c>
      <c r="C3" s="2">
        <f>COUNTIFS(Games[Team],Games[[#This Row],[Team]],Games[Season],Games[[#This Row],[Season]],Games[Date],"&lt;=" &amp; Games[[#This Row],[Date]])</f>
        <v>1</v>
      </c>
      <c r="D3" s="2" t="s">
        <v>83</v>
      </c>
      <c r="E3" s="2" t="s">
        <v>84</v>
      </c>
      <c r="F3" s="1" t="s">
        <v>74</v>
      </c>
      <c r="G3" s="1" t="s">
        <v>69</v>
      </c>
      <c r="H3" s="1" t="s">
        <v>86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1525.6073573633571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1594.2291131818602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0.52211663109304052</v>
      </c>
      <c r="R3" s="1">
        <v>64</v>
      </c>
      <c r="S3" s="1">
        <v>79</v>
      </c>
      <c r="T3" s="1">
        <v>0</v>
      </c>
      <c r="U3" s="1">
        <f>Games[[#This Row],[PointsFor]]-Games[[#This Row],[PointsAgainst]]</f>
        <v>-15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0.47564818346126875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-18.836879288138331</v>
      </c>
      <c r="AB3" s="4">
        <f>Games[[#This Row],[PreGmRate]]+Games[[#This Row],[RatingChange]]</f>
        <v>1506.7704780752188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41419</v>
      </c>
      <c r="B4" s="2">
        <v>2013</v>
      </c>
      <c r="C4" s="2">
        <f>COUNTIFS(Games[Team],Games[[#This Row],[Team]],Games[Season],Games[[#This Row],[Season]],Games[Date],"&lt;=" &amp; Games[[#This Row],[Date]])</f>
        <v>1</v>
      </c>
      <c r="D4" s="2" t="s">
        <v>83</v>
      </c>
      <c r="E4" s="2" t="s">
        <v>84</v>
      </c>
      <c r="F4" s="1" t="s">
        <v>81</v>
      </c>
      <c r="G4" s="1" t="s">
        <v>79</v>
      </c>
      <c r="H4" s="1" t="s">
        <v>85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1429.2769882105106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1528.6827992918325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0.25811888848241676</v>
      </c>
      <c r="R4" s="1">
        <v>81</v>
      </c>
      <c r="S4" s="1">
        <v>98</v>
      </c>
      <c r="T4" s="1">
        <v>0</v>
      </c>
      <c r="U4" s="1">
        <f>Games[[#This Row],[PointsFor]]-Games[[#This Row],[PointsAgainst]]</f>
        <v>-17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0.4917097318248102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-9.6268493416149585</v>
      </c>
      <c r="AB4" s="4">
        <f>Games[[#This Row],[PreGmRate]]+Games[[#This Row],[RatingChange]]</f>
        <v>1419.6501388688955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41419</v>
      </c>
      <c r="B5" s="2">
        <v>2013</v>
      </c>
      <c r="C5" s="2">
        <f>COUNTIFS(Games[Team],Games[[#This Row],[Team]],Games[Season],Games[[#This Row],[Season]],Games[Date],"&lt;=" &amp; Games[[#This Row],[Date]])</f>
        <v>1</v>
      </c>
      <c r="D5" s="2" t="s">
        <v>83</v>
      </c>
      <c r="E5" s="2" t="s">
        <v>84</v>
      </c>
      <c r="F5" s="1" t="s">
        <v>79</v>
      </c>
      <c r="G5" s="1" t="s">
        <v>81</v>
      </c>
      <c r="H5" s="1" t="s">
        <v>86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1528.6827992918325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1429.2769882105106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0.74188111151758318</v>
      </c>
      <c r="R5" s="1">
        <v>98</v>
      </c>
      <c r="S5" s="1">
        <v>81</v>
      </c>
      <c r="T5" s="1">
        <v>0</v>
      </c>
      <c r="U5" s="1">
        <f>Games[[#This Row],[PointsFor]]-Games[[#This Row],[PointsAgainst]]</f>
        <v>17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0.4917097318248102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9.6268493416149603</v>
      </c>
      <c r="AB5" s="4">
        <f>Games[[#This Row],[PreGmRate]]+Games[[#This Row],[RatingChange]]</f>
        <v>1538.3096486334475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41419</v>
      </c>
      <c r="B6" s="2">
        <v>2013</v>
      </c>
      <c r="C6" s="2">
        <f>COUNTIFS(Games[Team],Games[[#This Row],[Team]],Games[Season],Games[[#This Row],[Season]],Games[Date],"&lt;=" &amp; Games[[#This Row],[Date]])</f>
        <v>1</v>
      </c>
      <c r="D6" s="2" t="s">
        <v>83</v>
      </c>
      <c r="E6" s="2" t="s">
        <v>84</v>
      </c>
      <c r="F6" s="1" t="s">
        <v>60</v>
      </c>
      <c r="G6" s="1" t="s">
        <v>76</v>
      </c>
      <c r="H6" s="1" t="s">
        <v>85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1471.3606916931458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1553.6247054869971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0.27746068241375271</v>
      </c>
      <c r="R6" s="1">
        <v>69</v>
      </c>
      <c r="S6" s="1">
        <v>81</v>
      </c>
      <c r="T6" s="1">
        <v>0</v>
      </c>
      <c r="U6" s="1">
        <f>Games[[#This Row],[PointsFor]]-Games[[#This Row],[PointsAgainst]]</f>
        <v>-12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0.42686632846568118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-8.9835695390417865</v>
      </c>
      <c r="AB6" s="4">
        <f>Games[[#This Row],[PreGmRate]]+Games[[#This Row],[RatingChange]]</f>
        <v>1462.377122154104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41419</v>
      </c>
      <c r="B7" s="2">
        <v>2013</v>
      </c>
      <c r="C7" s="2">
        <f>COUNTIFS(Games[Team],Games[[#This Row],[Team]],Games[Season],Games[[#This Row],[Season]],Games[Date],"&lt;=" &amp; Games[[#This Row],[Date]])</f>
        <v>1</v>
      </c>
      <c r="D7" s="2" t="s">
        <v>83</v>
      </c>
      <c r="E7" s="2" t="s">
        <v>84</v>
      </c>
      <c r="F7" s="1" t="s">
        <v>76</v>
      </c>
      <c r="G7" s="1" t="s">
        <v>60</v>
      </c>
      <c r="H7" s="1" t="s">
        <v>86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1553.6247054869971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1471.3606916931458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0.72253931758624734</v>
      </c>
      <c r="R7" s="1">
        <v>81</v>
      </c>
      <c r="S7" s="1">
        <v>69</v>
      </c>
      <c r="T7" s="1">
        <v>0</v>
      </c>
      <c r="U7" s="1">
        <f>Games[[#This Row],[PointsFor]]-Games[[#This Row],[PointsAgainst]]</f>
        <v>12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0.42686632846568118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8.9835695390417847</v>
      </c>
      <c r="AB7" s="4">
        <f>Games[[#This Row],[PreGmRate]]+Games[[#This Row],[RatingChange]]</f>
        <v>1562.6082750260389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41420</v>
      </c>
      <c r="B8" s="2">
        <v>2013</v>
      </c>
      <c r="C8" s="2">
        <f>COUNTIFS(Games[Team],Games[[#This Row],[Team]],Games[Season],Games[[#This Row],[Season]],Games[Date],"&lt;=" &amp; Games[[#This Row],[Date]])</f>
        <v>1</v>
      </c>
      <c r="D8" s="2" t="s">
        <v>83</v>
      </c>
      <c r="E8" s="2" t="s">
        <v>84</v>
      </c>
      <c r="F8" s="1" t="s">
        <v>71</v>
      </c>
      <c r="G8" s="1" t="s">
        <v>63</v>
      </c>
      <c r="H8" s="1" t="s">
        <v>85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1502.3925871421297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1557.501064436444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0.30986024114978072</v>
      </c>
      <c r="R8" s="1">
        <v>69</v>
      </c>
      <c r="S8" s="1">
        <v>102</v>
      </c>
      <c r="T8" s="1">
        <v>0</v>
      </c>
      <c r="U8" s="1">
        <f>Games[[#This Row],[PointsFor]]-Games[[#This Row],[PointsAgainst]]</f>
        <v>-33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0.7066248317448468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-16.607732257167957</v>
      </c>
      <c r="AB8" s="4">
        <f>Games[[#This Row],[PreGmRate]]+Games[[#This Row],[RatingChange]]</f>
        <v>1485.7848548849618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41420</v>
      </c>
      <c r="B9" s="2">
        <v>2013</v>
      </c>
      <c r="C9" s="2">
        <f>COUNTIFS(Games[Team],Games[[#This Row],[Team]],Games[Season],Games[[#This Row],[Season]],Games[Date],"&lt;=" &amp; Games[[#This Row],[Date]])</f>
        <v>1</v>
      </c>
      <c r="D9" s="2" t="s">
        <v>83</v>
      </c>
      <c r="E9" s="2" t="s">
        <v>84</v>
      </c>
      <c r="F9" s="1" t="s">
        <v>63</v>
      </c>
      <c r="G9" s="1" t="s">
        <v>71</v>
      </c>
      <c r="H9" s="1" t="s">
        <v>86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1557.501064436444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1502.3925871421297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0.69013975885021928</v>
      </c>
      <c r="R9" s="1">
        <v>102</v>
      </c>
      <c r="S9" s="1">
        <v>69</v>
      </c>
      <c r="T9" s="1">
        <v>0</v>
      </c>
      <c r="U9" s="1">
        <f>Games[[#This Row],[PointsFor]]-Games[[#This Row],[PointsAgainst]]</f>
        <v>33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0.7066248317448468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16.607732257167957</v>
      </c>
      <c r="AB9" s="4">
        <f>Games[[#This Row],[PreGmRate]]+Games[[#This Row],[RatingChange]]</f>
        <v>1574.108796693612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41421</v>
      </c>
      <c r="B10" s="2">
        <v>2013</v>
      </c>
      <c r="C10" s="2">
        <f>COUNTIFS(Games[Team],Games[[#This Row],[Team]],Games[Season],Games[[#This Row],[Season]],Games[Date],"&lt;=" &amp; Games[[#This Row],[Date]])</f>
        <v>1</v>
      </c>
      <c r="D10" s="2" t="s">
        <v>83</v>
      </c>
      <c r="E10" s="2" t="s">
        <v>84</v>
      </c>
      <c r="F10" s="1" t="s">
        <v>77</v>
      </c>
      <c r="G10" s="1" t="s">
        <v>40</v>
      </c>
      <c r="H10" s="1" t="s">
        <v>85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1479.0442767573581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1394.5699688160289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0.50068258357295592</v>
      </c>
      <c r="R10" s="1">
        <v>102</v>
      </c>
      <c r="S10" s="1">
        <v>80</v>
      </c>
      <c r="T10" s="1">
        <v>0</v>
      </c>
      <c r="U10" s="1">
        <f>Games[[#This Row],[PointsFor]]-Games[[#This Row],[PointsAgainst]]</f>
        <v>22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0.56246154642215518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21.302233284199488</v>
      </c>
      <c r="AB10" s="4">
        <f>Games[[#This Row],[PreGmRate]]+Games[[#This Row],[RatingChange]]</f>
        <v>1500.3465100415576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41421</v>
      </c>
      <c r="B11" s="2">
        <v>2013</v>
      </c>
      <c r="C11" s="2">
        <f>COUNTIFS(Games[Team],Games[[#This Row],[Team]],Games[Season],Games[[#This Row],[Season]],Games[Date],"&lt;=" &amp; Games[[#This Row],[Date]])</f>
        <v>1</v>
      </c>
      <c r="D11" s="2" t="s">
        <v>83</v>
      </c>
      <c r="E11" s="2" t="s">
        <v>84</v>
      </c>
      <c r="F11" s="1" t="s">
        <v>40</v>
      </c>
      <c r="G11" s="1" t="s">
        <v>77</v>
      </c>
      <c r="H11" s="1" t="s">
        <v>86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1394.5699688160289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1479.0442767573581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0.49931741642704397</v>
      </c>
      <c r="R11" s="1">
        <v>80</v>
      </c>
      <c r="S11" s="1">
        <v>102</v>
      </c>
      <c r="T11" s="1">
        <v>0</v>
      </c>
      <c r="U11" s="1">
        <f>Games[[#This Row],[PointsFor]]-Games[[#This Row],[PointsAgainst]]</f>
        <v>-22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0.56246154642215518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-21.302233284199485</v>
      </c>
      <c r="AB11" s="4">
        <f>Games[[#This Row],[PreGmRate]]+Games[[#This Row],[RatingChange]]</f>
        <v>1373.2677355318294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41421</v>
      </c>
      <c r="B12" s="2">
        <v>2013</v>
      </c>
      <c r="C12" s="2">
        <f>COUNTIFS(Games[Team],Games[[#This Row],[Team]],Games[Season],Games[[#This Row],[Season]],Games[Date],"&lt;=" &amp; Games[[#This Row],[Date]])</f>
        <v>1</v>
      </c>
      <c r="D12" s="2" t="s">
        <v>83</v>
      </c>
      <c r="E12" s="2" t="s">
        <v>84</v>
      </c>
      <c r="F12" s="1" t="s">
        <v>65</v>
      </c>
      <c r="G12" s="1" t="s">
        <v>81</v>
      </c>
      <c r="H12" s="1" t="s">
        <v>85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2</v>
      </c>
      <c r="L12" s="2">
        <f>Games[[#This Row],[OppDaysOff]]-Games[[#This Row],[DaysOff]]</f>
        <v>-2</v>
      </c>
      <c r="M12" s="1">
        <f>MAX(-16, MIN(16, Games[[#This Row],[RestDiff]]*8))</f>
        <v>16</v>
      </c>
      <c r="N12" s="1">
        <f>MAX(-16, MIN(16, Games[[#This Row],[OppRestDiff]]*8))</f>
        <v>-16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1386.2386306281635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1419.6501388688955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0.37950066963301921</v>
      </c>
      <c r="R12" s="1">
        <v>95</v>
      </c>
      <c r="S12" s="1">
        <v>90</v>
      </c>
      <c r="T12" s="1">
        <v>1</v>
      </c>
      <c r="U12" s="1">
        <f>Games[[#This Row],[PointsFor]]-Games[[#This Row],[PointsAgainst]]</f>
        <v>5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0.29049222510433781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13.671980033035137</v>
      </c>
      <c r="AB12" s="4">
        <f>Games[[#This Row],[PreGmRate]]+Games[[#This Row],[RatingChange]]</f>
        <v>1399.9106106611987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41421</v>
      </c>
      <c r="B13" s="2">
        <v>2013</v>
      </c>
      <c r="C13" s="2">
        <f>COUNTIFS(Games[Team],Games[[#This Row],[Team]],Games[Season],Games[[#This Row],[Season]],Games[Date],"&lt;=" &amp; Games[[#This Row],[Date]])</f>
        <v>2</v>
      </c>
      <c r="D13" s="2" t="s">
        <v>83</v>
      </c>
      <c r="E13" s="2" t="s">
        <v>84</v>
      </c>
      <c r="F13" s="1" t="s">
        <v>81</v>
      </c>
      <c r="G13" s="1" t="s">
        <v>65</v>
      </c>
      <c r="H13" s="1" t="s">
        <v>86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" s="2">
        <f>Games[[#This Row],[DaysOff]]-Games[[#This Row],[OppDaysOff]]</f>
        <v>-2</v>
      </c>
      <c r="L13" s="2">
        <f>Games[[#This Row],[OppDaysOff]]-Games[[#This Row],[DaysOff]]</f>
        <v>2</v>
      </c>
      <c r="M13" s="1">
        <f>MAX(-16, MIN(16, Games[[#This Row],[RestDiff]]*8))</f>
        <v>-16</v>
      </c>
      <c r="N13" s="1">
        <f>MAX(-16, MIN(16, Games[[#This Row],[OppRestDiff]]*8))</f>
        <v>16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1419.6501388688955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1386.2386306281635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0.62049933036698079</v>
      </c>
      <c r="R13" s="1">
        <v>90</v>
      </c>
      <c r="S13" s="1">
        <v>95</v>
      </c>
      <c r="T13" s="1">
        <v>1</v>
      </c>
      <c r="U13" s="1">
        <f>Games[[#This Row],[PointsFor]]-Games[[#This Row],[PointsAgainst]]</f>
        <v>-5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0.29049222510433781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-13.644942498362029</v>
      </c>
      <c r="AB13" s="4">
        <f>Games[[#This Row],[PreGmRate]]+Games[[#This Row],[RatingChange]]</f>
        <v>1406.0051963705334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41425</v>
      </c>
      <c r="B14" s="2">
        <v>2013</v>
      </c>
      <c r="C14" s="2">
        <f>COUNTIFS(Games[Team],Games[[#This Row],[Team]],Games[Season],Games[[#This Row],[Season]],Games[Date],"&lt;=" &amp; Games[[#This Row],[Date]])</f>
        <v>2</v>
      </c>
      <c r="D14" s="2" t="s">
        <v>83</v>
      </c>
      <c r="E14" s="2" t="s">
        <v>84</v>
      </c>
      <c r="F14" s="1" t="s">
        <v>76</v>
      </c>
      <c r="G14" s="1" t="s">
        <v>77</v>
      </c>
      <c r="H14" s="1" t="s">
        <v>85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" s="2">
        <f>Games[[#This Row],[DaysOff]]-Games[[#This Row],[OppDaysOff]]</f>
        <v>2</v>
      </c>
      <c r="L14" s="2">
        <f>Games[[#This Row],[OppDaysOff]]-Games[[#This Row],[DaysOff]]</f>
        <v>-2</v>
      </c>
      <c r="M14" s="1">
        <f>MAX(-16, MIN(16, Games[[#This Row],[RestDiff]]*8))</f>
        <v>16</v>
      </c>
      <c r="N14" s="1">
        <f>MAX(-16, MIN(16, Games[[#This Row],[OppRestDiff]]*8))</f>
        <v>-16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1562.6082750260389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1500.3465100415576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0.51476357412691043</v>
      </c>
      <c r="R14" s="1">
        <v>75</v>
      </c>
      <c r="S14" s="1">
        <v>86</v>
      </c>
      <c r="T14" s="1">
        <v>0</v>
      </c>
      <c r="U14" s="1">
        <f>Games[[#This Row],[PointsFor]]-Games[[#This Row],[PointsAgainst]]</f>
        <v>-11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0.41814081591518909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-16.293945129285586</v>
      </c>
      <c r="AB14" s="4">
        <f>Games[[#This Row],[PreGmRate]]+Games[[#This Row],[RatingChange]]</f>
        <v>1546.3143298967534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41425</v>
      </c>
      <c r="B15" s="2">
        <v>2013</v>
      </c>
      <c r="C15" s="2">
        <f>COUNTIFS(Games[Team],Games[[#This Row],[Team]],Games[Season],Games[[#This Row],[Season]],Games[Date],"&lt;=" &amp; Games[[#This Row],[Date]])</f>
        <v>2</v>
      </c>
      <c r="D15" s="2" t="s">
        <v>83</v>
      </c>
      <c r="E15" s="2" t="s">
        <v>84</v>
      </c>
      <c r="F15" s="1" t="s">
        <v>77</v>
      </c>
      <c r="G15" s="1" t="s">
        <v>76</v>
      </c>
      <c r="H15" s="1" t="s">
        <v>86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" s="2">
        <f>Games[[#This Row],[DaysOff]]-Games[[#This Row],[OppDaysOff]]</f>
        <v>-2</v>
      </c>
      <c r="L15" s="2">
        <f>Games[[#This Row],[OppDaysOff]]-Games[[#This Row],[DaysOff]]</f>
        <v>2</v>
      </c>
      <c r="M15" s="1">
        <f>MAX(-16, MIN(16, Games[[#This Row],[RestDiff]]*8))</f>
        <v>-16</v>
      </c>
      <c r="N15" s="1">
        <f>MAX(-16, MIN(16, Games[[#This Row],[OppRestDiff]]*8))</f>
        <v>16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1500.3465100415576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1562.6082750260389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0.48523642587308952</v>
      </c>
      <c r="R15" s="1">
        <v>86</v>
      </c>
      <c r="S15" s="1">
        <v>75</v>
      </c>
      <c r="T15" s="1">
        <v>0</v>
      </c>
      <c r="U15" s="1">
        <f>Games[[#This Row],[PointsFor]]-Games[[#This Row],[PointsAgainst]]</f>
        <v>11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0.41814081591518909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16.293945129285589</v>
      </c>
      <c r="AB15" s="4">
        <f>Games[[#This Row],[PreGmRate]]+Games[[#This Row],[RatingChange]]</f>
        <v>1516.6404551708433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41425</v>
      </c>
      <c r="B16" s="2">
        <v>2013</v>
      </c>
      <c r="C16" s="2">
        <f>COUNTIFS(Games[Team],Games[[#This Row],[Team]],Games[Season],Games[[#This Row],[Season]],Games[Date],"&lt;=" &amp; Games[[#This Row],[Date]])</f>
        <v>2</v>
      </c>
      <c r="D16" s="2" t="s">
        <v>83</v>
      </c>
      <c r="E16" s="2" t="s">
        <v>84</v>
      </c>
      <c r="F16" s="1" t="s">
        <v>79</v>
      </c>
      <c r="G16" s="1" t="s">
        <v>69</v>
      </c>
      <c r="H16" s="1" t="s">
        <v>85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1538.3096486334475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1613.0659924699985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0.26776762533673271</v>
      </c>
      <c r="R16" s="1">
        <v>86</v>
      </c>
      <c r="S16" s="1">
        <v>77</v>
      </c>
      <c r="T16" s="1">
        <v>0</v>
      </c>
      <c r="U16" s="1">
        <f>Games[[#This Row],[PointsFor]]-Games[[#This Row],[PointsAgainst]]</f>
        <v>9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0.38216388169561888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21.183340431961781</v>
      </c>
      <c r="AB16" s="4">
        <f>Games[[#This Row],[PreGmRate]]+Games[[#This Row],[RatingChange]]</f>
        <v>1559.4929890654093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41425</v>
      </c>
      <c r="B17" s="2">
        <v>2013</v>
      </c>
      <c r="C17" s="2">
        <f>COUNTIFS(Games[Team],Games[[#This Row],[Team]],Games[Season],Games[[#This Row],[Season]],Games[Date],"&lt;=" &amp; Games[[#This Row],[Date]])</f>
        <v>2</v>
      </c>
      <c r="D17" s="2" t="s">
        <v>83</v>
      </c>
      <c r="E17" s="2" t="s">
        <v>84</v>
      </c>
      <c r="F17" s="1" t="s">
        <v>69</v>
      </c>
      <c r="G17" s="1" t="s">
        <v>79</v>
      </c>
      <c r="H17" s="1" t="s">
        <v>86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1613.0659924699985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1538.3096486334475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0.73223237466326729</v>
      </c>
      <c r="R17" s="1">
        <v>77</v>
      </c>
      <c r="S17" s="1">
        <v>86</v>
      </c>
      <c r="T17" s="1">
        <v>0</v>
      </c>
      <c r="U17" s="1">
        <f>Games[[#This Row],[PointsFor]]-Games[[#This Row],[PointsAgainst]]</f>
        <v>-9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0.38216388169561888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-21.183340431961781</v>
      </c>
      <c r="AB17" s="4">
        <f>Games[[#This Row],[PreGmRate]]+Games[[#This Row],[RatingChange]]</f>
        <v>1591.8826520380367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41425</v>
      </c>
      <c r="B18" s="2">
        <v>2013</v>
      </c>
      <c r="C18" s="2">
        <f>COUNTIFS(Games[Team],Games[[#This Row],[Team]],Games[Season],Games[[#This Row],[Season]],Games[Date],"&lt;=" &amp; Games[[#This Row],[Date]])</f>
        <v>3</v>
      </c>
      <c r="D18" s="2" t="s">
        <v>83</v>
      </c>
      <c r="E18" s="2" t="s">
        <v>84</v>
      </c>
      <c r="F18" s="1" t="s">
        <v>81</v>
      </c>
      <c r="G18" s="1" t="s">
        <v>60</v>
      </c>
      <c r="H18" s="1" t="s">
        <v>85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" s="2">
        <f>Games[[#This Row],[DaysOff]]-Games[[#This Row],[OppDaysOff]]</f>
        <v>-2</v>
      </c>
      <c r="L18" s="2">
        <f>Games[[#This Row],[OppDaysOff]]-Games[[#This Row],[DaysOff]]</f>
        <v>2</v>
      </c>
      <c r="M18" s="1">
        <f>MAX(-16, MIN(16, Games[[#This Row],[RestDiff]]*8))</f>
        <v>-16</v>
      </c>
      <c r="N18" s="1">
        <f>MAX(-16, MIN(16, Games[[#This Row],[OppRestDiff]]*8))</f>
        <v>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1406.0051963705334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1462.377122154104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0.27046738317762581</v>
      </c>
      <c r="R18" s="1">
        <v>76</v>
      </c>
      <c r="S18" s="1">
        <v>78</v>
      </c>
      <c r="T18" s="1">
        <v>1</v>
      </c>
      <c r="U18" s="1">
        <f>Games[[#This Row],[PointsFor]]-Games[[#This Row],[PointsAgainst]]</f>
        <v>-2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0.23024123711936112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-4.7047058774407517</v>
      </c>
      <c r="AB18" s="4">
        <f>Games[[#This Row],[PreGmRate]]+Games[[#This Row],[RatingChange]]</f>
        <v>1401.3004904930926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41425</v>
      </c>
      <c r="B19" s="2">
        <v>2013</v>
      </c>
      <c r="C19" s="2">
        <f>COUNTIFS(Games[Team],Games[[#This Row],[Team]],Games[Season],Games[[#This Row],[Season]],Games[Date],"&lt;=" &amp; Games[[#This Row],[Date]])</f>
        <v>2</v>
      </c>
      <c r="D19" s="2" t="s">
        <v>83</v>
      </c>
      <c r="E19" s="2" t="s">
        <v>84</v>
      </c>
      <c r="F19" s="1" t="s">
        <v>60</v>
      </c>
      <c r="G19" s="1" t="s">
        <v>81</v>
      </c>
      <c r="H19" s="1" t="s">
        <v>86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" s="2">
        <f>Games[[#This Row],[DaysOff]]-Games[[#This Row],[OppDaysOff]]</f>
        <v>2</v>
      </c>
      <c r="L19" s="2">
        <f>Games[[#This Row],[OppDaysOff]]-Games[[#This Row],[DaysOff]]</f>
        <v>-2</v>
      </c>
      <c r="M19" s="1">
        <f>MAX(-16, MIN(16, Games[[#This Row],[RestDiff]]*8))</f>
        <v>16</v>
      </c>
      <c r="N19" s="1">
        <f>MAX(-16, MIN(16, Games[[#This Row],[OppRestDiff]]*8))</f>
        <v>-16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1462.377122154104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1406.0051963705334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0.72953261682237425</v>
      </c>
      <c r="R19" s="1">
        <v>78</v>
      </c>
      <c r="S19" s="1">
        <v>76</v>
      </c>
      <c r="T19" s="1">
        <v>1</v>
      </c>
      <c r="U19" s="1">
        <f>Games[[#This Row],[PointsFor]]-Games[[#This Row],[PointsAgainst]]</f>
        <v>2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0.23024123711936112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4.7140467891762396</v>
      </c>
      <c r="AB19" s="4">
        <f>Games[[#This Row],[PreGmRate]]+Games[[#This Row],[RatingChange]]</f>
        <v>1467.0911689432803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41426</v>
      </c>
      <c r="B20" s="2">
        <v>2013</v>
      </c>
      <c r="C20" s="2">
        <f>COUNTIFS(Games[Team],Games[[#This Row],[Team]],Games[Season],Games[[#This Row],[Season]],Games[Date],"&lt;=" &amp; Games[[#This Row],[Date]])</f>
        <v>3</v>
      </c>
      <c r="D20" s="2" t="s">
        <v>83</v>
      </c>
      <c r="E20" s="2" t="s">
        <v>84</v>
      </c>
      <c r="F20" s="1" t="s">
        <v>76</v>
      </c>
      <c r="G20" s="1" t="s">
        <v>67</v>
      </c>
      <c r="H20" s="1" t="s">
        <v>85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0" s="2">
        <f>Games[[#This Row],[DaysOff]]-Games[[#This Row],[OppDaysOff]]</f>
        <v>-8</v>
      </c>
      <c r="L20" s="2">
        <f>Games[[#This Row],[OppDaysOff]]-Games[[#This Row],[DaysOff]]</f>
        <v>8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1546.3143298967534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1581.9138190258407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0.29469761906926822</v>
      </c>
      <c r="R20" s="1">
        <v>74</v>
      </c>
      <c r="S20" s="1">
        <v>90</v>
      </c>
      <c r="T20" s="1">
        <v>0</v>
      </c>
      <c r="U20" s="1">
        <f>Games[[#This Row],[PointsFor]]-Games[[#This Row],[PointsAgainst]]</f>
        <v>-16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0.50286783395647749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-11.196053177367475</v>
      </c>
      <c r="AB20" s="4">
        <f>Games[[#This Row],[PreGmRate]]+Games[[#This Row],[RatingChange]]</f>
        <v>1535.1182767193859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41426</v>
      </c>
      <c r="B21" s="2">
        <v>2013</v>
      </c>
      <c r="C21" s="2">
        <f>COUNTIFS(Games[Team],Games[[#This Row],[Team]],Games[Season],Games[[#This Row],[Season]],Games[Date],"&lt;=" &amp; Games[[#This Row],[Date]])</f>
        <v>1</v>
      </c>
      <c r="D21" s="2" t="s">
        <v>83</v>
      </c>
      <c r="E21" s="2" t="s">
        <v>84</v>
      </c>
      <c r="F21" s="1" t="s">
        <v>67</v>
      </c>
      <c r="G21" s="1" t="s">
        <v>76</v>
      </c>
      <c r="H21" s="1" t="s">
        <v>86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8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8</v>
      </c>
      <c r="L21" s="2">
        <f>Games[[#This Row],[OppDaysOff]]-Games[[#This Row],[DaysOff]]</f>
        <v>-8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1581.9138190258407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1546.3143298967534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0.70530238093073183</v>
      </c>
      <c r="R21" s="1">
        <v>90</v>
      </c>
      <c r="S21" s="1">
        <v>74</v>
      </c>
      <c r="T21" s="1">
        <v>0</v>
      </c>
      <c r="U21" s="1">
        <f>Games[[#This Row],[PointsFor]]-Games[[#This Row],[PointsAgainst]]</f>
        <v>16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0.50286783395647749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75.849999999999994</v>
      </c>
      <c r="Z21" s="4">
        <f>Games[[#This Row],[K]]*Games[[#This Row],[POMult]]</f>
        <v>75.849999999999994</v>
      </c>
      <c r="AA21" s="4">
        <f>(Games[[#This Row],[Keff]]*Games[[#This Row],[MOVMult]])*(Games[[#This Row],[Result]]-Games[[#This Row],[ExpectedWin%]])</f>
        <v>11.24051136337952</v>
      </c>
      <c r="AB21" s="4">
        <f>Games[[#This Row],[PreGmRate]]+Games[[#This Row],[RatingChange]]</f>
        <v>1593.1543303892201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41426</v>
      </c>
      <c r="B22" s="2">
        <v>2013</v>
      </c>
      <c r="C22" s="2">
        <f>COUNTIFS(Games[Team],Games[[#This Row],[Team]],Games[Season],Games[[#This Row],[Season]],Games[Date],"&lt;=" &amp; Games[[#This Row],[Date]])</f>
        <v>2</v>
      </c>
      <c r="D22" s="2" t="s">
        <v>83</v>
      </c>
      <c r="E22" s="2" t="s">
        <v>84</v>
      </c>
      <c r="F22" s="1" t="s">
        <v>63</v>
      </c>
      <c r="G22" s="1" t="s">
        <v>74</v>
      </c>
      <c r="H22" s="1" t="s">
        <v>85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" s="2">
        <f>Games[[#This Row],[DaysOff]]-Games[[#This Row],[OppDaysOff]]</f>
        <v>-2</v>
      </c>
      <c r="L22" s="2">
        <f>Games[[#This Row],[OppDaysOff]]-Games[[#This Row],[DaysOff]]</f>
        <v>2</v>
      </c>
      <c r="M22" s="1">
        <f>MAX(-16, MIN(16, Games[[#This Row],[RestDiff]]*8))</f>
        <v>-16</v>
      </c>
      <c r="N22" s="1">
        <f>MAX(-16, MIN(16, Games[[#This Row],[OppRestDiff]]*8))</f>
        <v>16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1574.108796693612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1506.7704780752188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0.43042456377564597</v>
      </c>
      <c r="R22" s="1">
        <v>78</v>
      </c>
      <c r="S22" s="1">
        <v>83</v>
      </c>
      <c r="T22" s="1">
        <v>0</v>
      </c>
      <c r="U22" s="1">
        <f>Games[[#This Row],[PointsFor]]-Games[[#This Row],[PointsAgainst]]</f>
        <v>-5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0.31412856749056511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-10.235294928511745</v>
      </c>
      <c r="AB22" s="4">
        <f>Games[[#This Row],[PreGmRate]]+Games[[#This Row],[RatingChange]]</f>
        <v>1563.8735017651002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41426</v>
      </c>
      <c r="B23" s="2">
        <v>2013</v>
      </c>
      <c r="C23" s="2">
        <f>COUNTIFS(Games[Team],Games[[#This Row],[Team]],Games[Season],Games[[#This Row],[Season]],Games[Date],"&lt;=" &amp; Games[[#This Row],[Date]])</f>
        <v>2</v>
      </c>
      <c r="D23" s="2" t="s">
        <v>83</v>
      </c>
      <c r="E23" s="2" t="s">
        <v>84</v>
      </c>
      <c r="F23" s="1" t="s">
        <v>74</v>
      </c>
      <c r="G23" s="1" t="s">
        <v>63</v>
      </c>
      <c r="H23" s="1" t="s">
        <v>86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7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" s="2">
        <f>Games[[#This Row],[DaysOff]]-Games[[#This Row],[OppDaysOff]]</f>
        <v>2</v>
      </c>
      <c r="L23" s="2">
        <f>Games[[#This Row],[OppDaysOff]]-Games[[#This Row],[DaysOff]]</f>
        <v>-2</v>
      </c>
      <c r="M23" s="1">
        <f>MAX(-16, MIN(16, Games[[#This Row],[RestDiff]]*8))</f>
        <v>16</v>
      </c>
      <c r="N23" s="1">
        <f>MAX(-16, MIN(16, Games[[#This Row],[OppRestDiff]]*8))</f>
        <v>-16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1506.7704780752188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1574.108796693612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0.56957543622435403</v>
      </c>
      <c r="R23" s="1">
        <v>83</v>
      </c>
      <c r="S23" s="1">
        <v>78</v>
      </c>
      <c r="T23" s="1">
        <v>0</v>
      </c>
      <c r="U23" s="1">
        <f>Games[[#This Row],[PointsFor]]-Games[[#This Row],[PointsAgainst]]</f>
        <v>5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0.31412856749056511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10.235294928511745</v>
      </c>
      <c r="AB23" s="4">
        <f>Games[[#This Row],[PreGmRate]]+Games[[#This Row],[RatingChange]]</f>
        <v>1517.0057730037306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41427</v>
      </c>
      <c r="B24" s="2">
        <v>2013</v>
      </c>
      <c r="C24" s="2">
        <f>COUNTIFS(Games[Team],Games[[#This Row],[Team]],Games[Season],Games[[#This Row],[Season]],Games[Date],"&lt;=" &amp; Games[[#This Row],[Date]])</f>
        <v>4</v>
      </c>
      <c r="D24" s="2" t="s">
        <v>83</v>
      </c>
      <c r="E24" s="2" t="s">
        <v>84</v>
      </c>
      <c r="F24" s="1" t="s">
        <v>81</v>
      </c>
      <c r="G24" s="1" t="s">
        <v>77</v>
      </c>
      <c r="H24" s="1" t="s">
        <v>85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1401.3004904930926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1516.6404551708433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0.24094728048705102</v>
      </c>
      <c r="R24" s="1">
        <v>71</v>
      </c>
      <c r="S24" s="1">
        <v>92</v>
      </c>
      <c r="T24" s="1">
        <v>0</v>
      </c>
      <c r="U24" s="1">
        <f>Games[[#This Row],[PointsFor]]-Games[[#This Row],[PointsAgainst]]</f>
        <v>-21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0.53696501763171256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75.400000000000006</v>
      </c>
      <c r="Z24" s="4">
        <f>Games[[#This Row],[K]]*Games[[#This Row],[POMult]]</f>
        <v>75.400000000000006</v>
      </c>
      <c r="AA24" s="4">
        <f>(Games[[#This Row],[Keff]]*Games[[#This Row],[MOVMult]])*(Games[[#This Row],[Result]]-Games[[#This Row],[ExpectedWin%]])</f>
        <v>-9.7552716579142089</v>
      </c>
      <c r="AB24" s="4">
        <f>Games[[#This Row],[PreGmRate]]+Games[[#This Row],[RatingChange]]</f>
        <v>1391.5452188351785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41427</v>
      </c>
      <c r="B25" s="2">
        <v>2013</v>
      </c>
      <c r="C25" s="2">
        <f>COUNTIFS(Games[Team],Games[[#This Row],[Team]],Games[Season],Games[[#This Row],[Season]],Games[Date],"&lt;=" &amp; Games[[#This Row],[Date]])</f>
        <v>3</v>
      </c>
      <c r="D25" s="2" t="s">
        <v>83</v>
      </c>
      <c r="E25" s="2" t="s">
        <v>84</v>
      </c>
      <c r="F25" s="1" t="s">
        <v>77</v>
      </c>
      <c r="G25" s="1" t="s">
        <v>81</v>
      </c>
      <c r="H25" s="1" t="s">
        <v>86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1516.6404551708433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1401.3004904930926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0.75905271951294884</v>
      </c>
      <c r="R25" s="1">
        <v>92</v>
      </c>
      <c r="S25" s="1">
        <v>71</v>
      </c>
      <c r="T25" s="1">
        <v>0</v>
      </c>
      <c r="U25" s="1">
        <f>Games[[#This Row],[PointsFor]]-Games[[#This Row],[PointsAgainst]]</f>
        <v>21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0.53696501763171256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9.7746786970214696</v>
      </c>
      <c r="AB25" s="4">
        <f>Games[[#This Row],[PreGmRate]]+Games[[#This Row],[RatingChange]]</f>
        <v>1526.4151338678648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41427</v>
      </c>
      <c r="B26" s="2">
        <v>2013</v>
      </c>
      <c r="C26" s="2">
        <f>COUNTIFS(Games[Team],Games[[#This Row],[Team]],Games[Season],Games[[#This Row],[Season]],Games[Date],"&lt;=" &amp; Games[[#This Row],[Date]])</f>
        <v>2</v>
      </c>
      <c r="D26" s="2" t="s">
        <v>83</v>
      </c>
      <c r="E26" s="2" t="s">
        <v>84</v>
      </c>
      <c r="F26" s="1" t="s">
        <v>40</v>
      </c>
      <c r="G26" s="1" t="s">
        <v>71</v>
      </c>
      <c r="H26" s="1" t="s">
        <v>85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6" s="2">
        <f>Games[[#This Row],[DaysOff]]-Games[[#This Row],[OppDaysOff]]</f>
        <v>-1</v>
      </c>
      <c r="L26" s="2">
        <f>Games[[#This Row],[OppDaysOff]]-Games[[#This Row],[DaysOff]]</f>
        <v>1</v>
      </c>
      <c r="M26" s="1">
        <f>MAX(-16, MIN(16, Games[[#This Row],[RestDiff]]*8))</f>
        <v>-8</v>
      </c>
      <c r="N26" s="1">
        <f>MAX(-16, MIN(16, Games[[#This Row],[OppRestDiff]]*8))</f>
        <v>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1373.2677355318294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1485.7848548849618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0.22734799866072472</v>
      </c>
      <c r="R26" s="1">
        <v>72</v>
      </c>
      <c r="S26" s="1">
        <v>75</v>
      </c>
      <c r="T26" s="1">
        <v>0</v>
      </c>
      <c r="U26" s="1">
        <f>Games[[#This Row],[PointsFor]]-Games[[#This Row],[PointsAgainst]]</f>
        <v>-3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0.26530718737601555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-4.5660012966743979</v>
      </c>
      <c r="AB26" s="4">
        <f>Games[[#This Row],[PreGmRate]]+Games[[#This Row],[RatingChange]]</f>
        <v>1368.7017342351551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41427</v>
      </c>
      <c r="B27" s="2">
        <v>2013</v>
      </c>
      <c r="C27" s="2">
        <f>COUNTIFS(Games[Team],Games[[#This Row],[Team]],Games[Season],Games[[#This Row],[Season]],Games[Date],"&lt;=" &amp; Games[[#This Row],[Date]])</f>
        <v>2</v>
      </c>
      <c r="D27" s="2" t="s">
        <v>83</v>
      </c>
      <c r="E27" s="2" t="s">
        <v>84</v>
      </c>
      <c r="F27" s="1" t="s">
        <v>71</v>
      </c>
      <c r="G27" s="1" t="s">
        <v>40</v>
      </c>
      <c r="H27" s="1" t="s">
        <v>86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" s="2">
        <f>Games[[#This Row],[DaysOff]]-Games[[#This Row],[OppDaysOff]]</f>
        <v>1</v>
      </c>
      <c r="L27" s="2">
        <f>Games[[#This Row],[OppDaysOff]]-Games[[#This Row],[DaysOff]]</f>
        <v>-1</v>
      </c>
      <c r="M27" s="1">
        <f>MAX(-16, MIN(16, Games[[#This Row],[RestDiff]]*8))</f>
        <v>8</v>
      </c>
      <c r="N27" s="1">
        <f>MAX(-16, MIN(16, Games[[#This Row],[OppRestDiff]]*8))</f>
        <v>-8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1485.7848548849618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1373.2677355318294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0.77265200133927525</v>
      </c>
      <c r="R27" s="1">
        <v>75</v>
      </c>
      <c r="S27" s="1">
        <v>72</v>
      </c>
      <c r="T27" s="1">
        <v>0</v>
      </c>
      <c r="U27" s="1">
        <f>Games[[#This Row],[PointsFor]]-Games[[#This Row],[PointsAgainst]]</f>
        <v>3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0.26530718737601555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4.5660012966743979</v>
      </c>
      <c r="AB27" s="4">
        <f>Games[[#This Row],[PreGmRate]]+Games[[#This Row],[RatingChange]]</f>
        <v>1490.3508561816361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41427</v>
      </c>
      <c r="B28" s="2">
        <v>2013</v>
      </c>
      <c r="C28" s="2">
        <f>COUNTIFS(Games[Team],Games[[#This Row],[Team]],Games[Season],Games[[#This Row],[Season]],Games[Date],"&lt;=" &amp; Games[[#This Row],[Date]])</f>
        <v>3</v>
      </c>
      <c r="D28" s="2" t="s">
        <v>83</v>
      </c>
      <c r="E28" s="2" t="s">
        <v>84</v>
      </c>
      <c r="F28" s="1" t="s">
        <v>79</v>
      </c>
      <c r="G28" s="1" t="s">
        <v>65</v>
      </c>
      <c r="H28" s="1" t="s">
        <v>85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" s="2">
        <f>Games[[#This Row],[DaysOff]]-Games[[#This Row],[OppDaysOff]]</f>
        <v>-4</v>
      </c>
      <c r="L28" s="2">
        <f>Games[[#This Row],[OppDaysOff]]-Games[[#This Row],[DaysOff]]</f>
        <v>4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1559.4929890654093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1399.9106106611987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0.56239316997106881</v>
      </c>
      <c r="R28" s="1">
        <v>73</v>
      </c>
      <c r="S28" s="1">
        <v>63</v>
      </c>
      <c r="T28" s="1">
        <v>0</v>
      </c>
      <c r="U28" s="1">
        <f>Games[[#This Row],[PointsFor]]-Games[[#This Row],[PointsAgainst]]</f>
        <v>10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0.373464416179556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12.34718026558169</v>
      </c>
      <c r="AB28" s="4">
        <f>Games[[#This Row],[PreGmRate]]+Games[[#This Row],[RatingChange]]</f>
        <v>1571.8401693309911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41427</v>
      </c>
      <c r="B29" s="2">
        <v>2013</v>
      </c>
      <c r="C29" s="2">
        <f>COUNTIFS(Games[Team],Games[[#This Row],[Team]],Games[Season],Games[[#This Row],[Season]],Games[Date],"&lt;=" &amp; Games[[#This Row],[Date]])</f>
        <v>2</v>
      </c>
      <c r="D29" s="2" t="s">
        <v>83</v>
      </c>
      <c r="E29" s="2" t="s">
        <v>84</v>
      </c>
      <c r="F29" s="1" t="s">
        <v>65</v>
      </c>
      <c r="G29" s="1" t="s">
        <v>79</v>
      </c>
      <c r="H29" s="1" t="s">
        <v>86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4</v>
      </c>
      <c r="L29" s="2">
        <f>Games[[#This Row],[OppDaysOff]]-Games[[#This Row],[DaysOff]]</f>
        <v>-4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1399.9106106611987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1559.4929890654093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0.43760683002893114</v>
      </c>
      <c r="R29" s="1">
        <v>63</v>
      </c>
      <c r="S29" s="1">
        <v>73</v>
      </c>
      <c r="T29" s="1">
        <v>0</v>
      </c>
      <c r="U29" s="1">
        <f>Games[[#This Row],[PointsFor]]-Games[[#This Row],[PointsAgainst]]</f>
        <v>-10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0.373464416179556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-12.371694852475631</v>
      </c>
      <c r="AB29" s="4">
        <f>Games[[#This Row],[PreGmRate]]+Games[[#This Row],[RatingChange]]</f>
        <v>1387.538915808723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41430</v>
      </c>
      <c r="B30" s="2">
        <v>2013</v>
      </c>
      <c r="C30" s="2">
        <f>COUNTIFS(Games[Team],Games[[#This Row],[Team]],Games[Season],Games[[#This Row],[Season]],Games[Date],"&lt;=" &amp; Games[[#This Row],[Date]])</f>
        <v>3</v>
      </c>
      <c r="D30" s="2" t="s">
        <v>83</v>
      </c>
      <c r="E30" s="2" t="s">
        <v>84</v>
      </c>
      <c r="F30" s="1" t="s">
        <v>69</v>
      </c>
      <c r="G30" s="1" t="s">
        <v>60</v>
      </c>
      <c r="H30" s="1" t="s">
        <v>85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1591.8826520380367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1467.0911689432803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0.55843540889919197</v>
      </c>
      <c r="R30" s="1">
        <v>68</v>
      </c>
      <c r="S30" s="1">
        <v>75</v>
      </c>
      <c r="T30" s="1">
        <v>1</v>
      </c>
      <c r="U30" s="1">
        <f>Games[[#This Row],[PointsFor]]-Games[[#This Row],[PointsAgainst]]</f>
        <v>-7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0.30171974336095253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-12.729494162796161</v>
      </c>
      <c r="AB30" s="4">
        <f>Games[[#This Row],[PreGmRate]]+Games[[#This Row],[RatingChange]]</f>
        <v>1579.1531578752406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41430</v>
      </c>
      <c r="B31" s="2">
        <v>2013</v>
      </c>
      <c r="C31" s="2">
        <f>COUNTIFS(Games[Team],Games[[#This Row],[Team]],Games[Season],Games[[#This Row],[Season]],Games[Date],"&lt;=" &amp; Games[[#This Row],[Date]])</f>
        <v>3</v>
      </c>
      <c r="D31" s="2" t="s">
        <v>83</v>
      </c>
      <c r="E31" s="2" t="s">
        <v>84</v>
      </c>
      <c r="F31" s="1" t="s">
        <v>60</v>
      </c>
      <c r="G31" s="1" t="s">
        <v>69</v>
      </c>
      <c r="H31" s="1" t="s">
        <v>86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1467.0911689432803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1591.8826520380367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0.44156459110080809</v>
      </c>
      <c r="R31" s="1">
        <v>75</v>
      </c>
      <c r="S31" s="1">
        <v>68</v>
      </c>
      <c r="T31" s="1">
        <v>1</v>
      </c>
      <c r="U31" s="1">
        <f>Games[[#This Row],[PointsFor]]-Games[[#This Row],[PointsAgainst]]</f>
        <v>7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0.30171974336095253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12.729494162796158</v>
      </c>
      <c r="AB31" s="4">
        <f>Games[[#This Row],[PreGmRate]]+Games[[#This Row],[RatingChange]]</f>
        <v>1479.8206631060764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41431</v>
      </c>
      <c r="B32" s="2">
        <v>2013</v>
      </c>
      <c r="C32" s="2">
        <f>COUNTIFS(Games[Team],Games[[#This Row],[Team]],Games[Season],Games[[#This Row],[Season]],Games[Date],"&lt;=" &amp; Games[[#This Row],[Date]])</f>
        <v>3</v>
      </c>
      <c r="D32" s="2" t="s">
        <v>83</v>
      </c>
      <c r="E32" s="2" t="s">
        <v>84</v>
      </c>
      <c r="F32" s="1" t="s">
        <v>40</v>
      </c>
      <c r="G32" s="1" t="s">
        <v>67</v>
      </c>
      <c r="H32" s="1" t="s">
        <v>85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1368.7017342351551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1593.1543303892201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0.13380815973092483</v>
      </c>
      <c r="R32" s="1">
        <v>79</v>
      </c>
      <c r="S32" s="1">
        <v>99</v>
      </c>
      <c r="T32" s="1">
        <v>0</v>
      </c>
      <c r="U32" s="1">
        <f>Games[[#This Row],[PointsFor]]-Games[[#This Row],[PointsAgainst]]</f>
        <v>-20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0.48430171182473891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-4.8959059974829664</v>
      </c>
      <c r="AB32" s="4">
        <f>Games[[#This Row],[PreGmRate]]+Games[[#This Row],[RatingChange]]</f>
        <v>1363.8058282376721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41431</v>
      </c>
      <c r="B33" s="2">
        <v>2013</v>
      </c>
      <c r="C33" s="2">
        <f>COUNTIFS(Games[Team],Games[[#This Row],[Team]],Games[Season],Games[[#This Row],[Season]],Games[Date],"&lt;=" &amp; Games[[#This Row],[Date]])</f>
        <v>2</v>
      </c>
      <c r="D33" s="2" t="s">
        <v>83</v>
      </c>
      <c r="E33" s="2" t="s">
        <v>84</v>
      </c>
      <c r="F33" s="1" t="s">
        <v>67</v>
      </c>
      <c r="G33" s="1" t="s">
        <v>40</v>
      </c>
      <c r="H33" s="1" t="s">
        <v>86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1593.1543303892201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1368.7017342351551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0.86619184026907525</v>
      </c>
      <c r="R33" s="1">
        <v>99</v>
      </c>
      <c r="S33" s="1">
        <v>79</v>
      </c>
      <c r="T33" s="1">
        <v>0</v>
      </c>
      <c r="U33" s="1">
        <f>Games[[#This Row],[PointsFor]]-Games[[#This Row],[PointsAgainst]]</f>
        <v>20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0.48430171182473891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4.9056265256050349</v>
      </c>
      <c r="AB33" s="4">
        <f>Games[[#This Row],[PreGmRate]]+Games[[#This Row],[RatingChange]]</f>
        <v>1598.0599569148251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41432</v>
      </c>
      <c r="B34" s="2">
        <v>2013</v>
      </c>
      <c r="C34" s="2">
        <f>COUNTIFS(Games[Team],Games[[#This Row],[Team]],Games[Season],Games[[#This Row],[Season]],Games[Date],"&lt;=" &amp; Games[[#This Row],[Date]])</f>
        <v>4</v>
      </c>
      <c r="D34" s="2" t="s">
        <v>83</v>
      </c>
      <c r="E34" s="2" t="s">
        <v>84</v>
      </c>
      <c r="F34" s="1" t="s">
        <v>60</v>
      </c>
      <c r="G34" s="1" t="s">
        <v>79</v>
      </c>
      <c r="H34" s="1" t="s">
        <v>85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" s="2">
        <f>Games[[#This Row],[DaysOff]]-Games[[#This Row],[OppDaysOff]]</f>
        <v>-3</v>
      </c>
      <c r="L34" s="2">
        <f>Games[[#This Row],[OppDaysOff]]-Games[[#This Row],[DaysOff]]</f>
        <v>3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1479.8206631060764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1571.8401693309911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0.23192799374166553</v>
      </c>
      <c r="R34" s="1">
        <v>56</v>
      </c>
      <c r="S34" s="1">
        <v>75</v>
      </c>
      <c r="T34" s="1">
        <v>0</v>
      </c>
      <c r="U34" s="1">
        <f>Games[[#This Row],[PointsFor]]-Games[[#This Row],[PointsAgainst]]</f>
        <v>-19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0.52102393502914635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-9.1113387100794139</v>
      </c>
      <c r="AB34" s="4">
        <f>Games[[#This Row],[PreGmRate]]+Games[[#This Row],[RatingChange]]</f>
        <v>1470.7093243959969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41432</v>
      </c>
      <c r="B35" s="2">
        <v>2013</v>
      </c>
      <c r="C35" s="2">
        <f>COUNTIFS(Games[Team],Games[[#This Row],[Team]],Games[Season],Games[[#This Row],[Season]],Games[Date],"&lt;=" &amp; Games[[#This Row],[Date]])</f>
        <v>4</v>
      </c>
      <c r="D35" s="2" t="s">
        <v>83</v>
      </c>
      <c r="E35" s="2" t="s">
        <v>84</v>
      </c>
      <c r="F35" s="1" t="s">
        <v>79</v>
      </c>
      <c r="G35" s="1" t="s">
        <v>60</v>
      </c>
      <c r="H35" s="1" t="s">
        <v>86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3</v>
      </c>
      <c r="L35" s="2">
        <f>Games[[#This Row],[OppDaysOff]]-Games[[#This Row],[DaysOff]]</f>
        <v>-3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1571.8401693309911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1479.8206631060764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0.76807200625833438</v>
      </c>
      <c r="R35" s="1">
        <v>75</v>
      </c>
      <c r="S35" s="1">
        <v>56</v>
      </c>
      <c r="T35" s="1">
        <v>0</v>
      </c>
      <c r="U35" s="1">
        <f>Games[[#This Row],[PointsFor]]-Games[[#This Row],[PointsAgainst]]</f>
        <v>19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0.52102393502914635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9.1113387100794174</v>
      </c>
      <c r="AB35" s="4">
        <f>Games[[#This Row],[PreGmRate]]+Games[[#This Row],[RatingChange]]</f>
        <v>1580.9515080410706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41432</v>
      </c>
      <c r="B36" s="2">
        <v>2013</v>
      </c>
      <c r="C36" s="2">
        <f>COUNTIFS(Games[Team],Games[[#This Row],[Team]],Games[Season],Games[[#This Row],[Season]],Games[Date],"&lt;=" &amp; Games[[#This Row],[Date]])</f>
        <v>3</v>
      </c>
      <c r="D36" s="2" t="s">
        <v>83</v>
      </c>
      <c r="E36" s="2" t="s">
        <v>84</v>
      </c>
      <c r="F36" s="1" t="s">
        <v>65</v>
      </c>
      <c r="G36" s="1" t="s">
        <v>76</v>
      </c>
      <c r="H36" s="1" t="s">
        <v>85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1387.538915808723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1535.1182767193859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0.1938505939721879</v>
      </c>
      <c r="R36" s="1">
        <v>66</v>
      </c>
      <c r="S36" s="1">
        <v>62</v>
      </c>
      <c r="T36" s="1">
        <v>0</v>
      </c>
      <c r="U36" s="1">
        <f>Games[[#This Row],[PointsFor]]-Games[[#This Row],[PointsAgainst]]</f>
        <v>4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0.2773263621610414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16.890447725070892</v>
      </c>
      <c r="AB36" s="4">
        <f>Games[[#This Row],[PreGmRate]]+Games[[#This Row],[RatingChange]]</f>
        <v>1404.429363533794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41432</v>
      </c>
      <c r="B37" s="2">
        <v>2013</v>
      </c>
      <c r="C37" s="2">
        <f>COUNTIFS(Games[Team],Games[[#This Row],[Team]],Games[Season],Games[[#This Row],[Season]],Games[Date],"&lt;=" &amp; Games[[#This Row],[Date]])</f>
        <v>4</v>
      </c>
      <c r="D37" s="2" t="s">
        <v>83</v>
      </c>
      <c r="E37" s="2" t="s">
        <v>84</v>
      </c>
      <c r="F37" s="1" t="s">
        <v>76</v>
      </c>
      <c r="G37" s="1" t="s">
        <v>65</v>
      </c>
      <c r="H37" s="1" t="s">
        <v>86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1535.1182767193859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1387.538915808723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0.80614940602781204</v>
      </c>
      <c r="R37" s="1">
        <v>62</v>
      </c>
      <c r="S37" s="1">
        <v>66</v>
      </c>
      <c r="T37" s="1">
        <v>0</v>
      </c>
      <c r="U37" s="1">
        <f>Games[[#This Row],[PointsFor]]-Games[[#This Row],[PointsAgainst]]</f>
        <v>-4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0.2773263621610414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-16.856912752751096</v>
      </c>
      <c r="AB37" s="4">
        <f>Games[[#This Row],[PreGmRate]]+Games[[#This Row],[RatingChange]]</f>
        <v>1518.2613639666349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41432</v>
      </c>
      <c r="B38" s="2">
        <v>2013</v>
      </c>
      <c r="C38" s="2">
        <f>COUNTIFS(Games[Team],Games[[#This Row],[Team]],Games[Season],Games[[#This Row],[Season]],Games[Date],"&lt;=" &amp; Games[[#This Row],[Date]])</f>
        <v>4</v>
      </c>
      <c r="D38" s="2" t="s">
        <v>83</v>
      </c>
      <c r="E38" s="2" t="s">
        <v>84</v>
      </c>
      <c r="F38" s="1" t="s">
        <v>77</v>
      </c>
      <c r="G38" s="1" t="s">
        <v>74</v>
      </c>
      <c r="H38" s="1" t="s">
        <v>85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1526.4151338678648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1517.0057730037306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0.37250584246438456</v>
      </c>
      <c r="R38" s="1">
        <v>69</v>
      </c>
      <c r="S38" s="1">
        <v>81</v>
      </c>
      <c r="T38" s="1">
        <v>0</v>
      </c>
      <c r="U38" s="1">
        <f>Games[[#This Row],[PointsFor]]-Games[[#This Row],[PointsAgainst]]</f>
        <v>-12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0.45258069716010663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-12.7116071224573</v>
      </c>
      <c r="AB38" s="4">
        <f>Games[[#This Row],[PreGmRate]]+Games[[#This Row],[RatingChange]]</f>
        <v>1513.7035267454075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41432</v>
      </c>
      <c r="B39" s="2">
        <v>2013</v>
      </c>
      <c r="C39" s="2">
        <f>COUNTIFS(Games[Team],Games[[#This Row],[Team]],Games[Season],Games[[#This Row],[Season]],Games[Date],"&lt;=" &amp; Games[[#This Row],[Date]])</f>
        <v>3</v>
      </c>
      <c r="D39" s="2" t="s">
        <v>83</v>
      </c>
      <c r="E39" s="2" t="s">
        <v>84</v>
      </c>
      <c r="F39" s="1" t="s">
        <v>74</v>
      </c>
      <c r="G39" s="1" t="s">
        <v>77</v>
      </c>
      <c r="H39" s="1" t="s">
        <v>86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1517.0057730037306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1526.4151338678648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0.62749415753561544</v>
      </c>
      <c r="R39" s="1">
        <v>81</v>
      </c>
      <c r="S39" s="1">
        <v>69</v>
      </c>
      <c r="T39" s="1">
        <v>0</v>
      </c>
      <c r="U39" s="1">
        <f>Games[[#This Row],[PointsFor]]-Games[[#This Row],[PointsAgainst]]</f>
        <v>12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0.45258069716010663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12.73689546553911</v>
      </c>
      <c r="AB39" s="4">
        <f>Games[[#This Row],[PreGmRate]]+Games[[#This Row],[RatingChange]]</f>
        <v>1529.7426684692698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41432</v>
      </c>
      <c r="B40" s="2">
        <v>2013</v>
      </c>
      <c r="C40" s="2">
        <f>COUNTIFS(Games[Team],Games[[#This Row],[Team]],Games[Season],Games[[#This Row],[Season]],Games[Date],"&lt;=" &amp; Games[[#This Row],[Date]])</f>
        <v>5</v>
      </c>
      <c r="D40" s="2" t="s">
        <v>83</v>
      </c>
      <c r="E40" s="2" t="s">
        <v>84</v>
      </c>
      <c r="F40" s="1" t="s">
        <v>81</v>
      </c>
      <c r="G40" s="1" t="s">
        <v>71</v>
      </c>
      <c r="H40" s="1" t="s">
        <v>85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1391.5452188351785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1490.3508561816361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0.25878102788004542</v>
      </c>
      <c r="R40" s="1">
        <v>67</v>
      </c>
      <c r="S40" s="1">
        <v>58</v>
      </c>
      <c r="T40" s="1">
        <v>0</v>
      </c>
      <c r="U40" s="1">
        <f>Games[[#This Row],[PointsFor]]-Games[[#This Row],[PointsAgainst]]</f>
        <v>9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0.37508755626592605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75.25</v>
      </c>
      <c r="Z40" s="4">
        <f>Games[[#This Row],[K]]*Games[[#This Row],[POMult]]</f>
        <v>75.25</v>
      </c>
      <c r="AA40" s="4">
        <f>(Games[[#This Row],[Keff]]*Games[[#This Row],[MOVMult]])*(Games[[#This Row],[Result]]-Games[[#This Row],[ExpectedWin%]])</f>
        <v>20.921156471508755</v>
      </c>
      <c r="AB40" s="4">
        <f>Games[[#This Row],[PreGmRate]]+Games[[#This Row],[RatingChange]]</f>
        <v>1412.4663753066873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41432</v>
      </c>
      <c r="B41" s="2">
        <v>2013</v>
      </c>
      <c r="C41" s="2">
        <f>COUNTIFS(Games[Team],Games[[#This Row],[Team]],Games[Season],Games[[#This Row],[Season]],Games[Date],"&lt;=" &amp; Games[[#This Row],[Date]])</f>
        <v>3</v>
      </c>
      <c r="D41" s="2" t="s">
        <v>83</v>
      </c>
      <c r="E41" s="2" t="s">
        <v>84</v>
      </c>
      <c r="F41" s="1" t="s">
        <v>71</v>
      </c>
      <c r="G41" s="1" t="s">
        <v>81</v>
      </c>
      <c r="H41" s="1" t="s">
        <v>86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1490.3508561816361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1391.5452188351785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0.74121897211995458</v>
      </c>
      <c r="R41" s="1">
        <v>58</v>
      </c>
      <c r="S41" s="1">
        <v>67</v>
      </c>
      <c r="T41" s="1">
        <v>0</v>
      </c>
      <c r="U41" s="1">
        <f>Games[[#This Row],[PointsFor]]-Games[[#This Row],[PointsAgainst]]</f>
        <v>-9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0.37508755626592605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-21.004563075381878</v>
      </c>
      <c r="AB41" s="4">
        <f>Games[[#This Row],[PreGmRate]]+Games[[#This Row],[RatingChange]]</f>
        <v>1469.3462931062543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41433</v>
      </c>
      <c r="B42" s="2">
        <v>2013</v>
      </c>
      <c r="C42" s="2">
        <f>COUNTIFS(Games[Team],Games[[#This Row],[Team]],Games[Season],Games[[#This Row],[Season]],Games[Date],"&lt;=" &amp; Games[[#This Row],[Date]])</f>
        <v>4</v>
      </c>
      <c r="D42" s="2" t="s">
        <v>83</v>
      </c>
      <c r="E42" s="2" t="s">
        <v>84</v>
      </c>
      <c r="F42" s="1" t="s">
        <v>40</v>
      </c>
      <c r="G42" s="1" t="s">
        <v>69</v>
      </c>
      <c r="H42" s="1" t="s">
        <v>85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1363.8058282376721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1579.1531578752406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0.14000057982222808</v>
      </c>
      <c r="R42" s="1">
        <v>82</v>
      </c>
      <c r="S42" s="1">
        <v>67</v>
      </c>
      <c r="T42" s="1">
        <v>0</v>
      </c>
      <c r="U42" s="1">
        <f>Games[[#This Row],[PointsFor]]-Games[[#This Row],[PointsAgainst]]</f>
        <v>15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0.4263389070787556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27.645501451676395</v>
      </c>
      <c r="AB42" s="4">
        <f>Games[[#This Row],[PreGmRate]]+Games[[#This Row],[RatingChange]]</f>
        <v>1391.4513296893485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41433</v>
      </c>
      <c r="B43" s="2">
        <v>2013</v>
      </c>
      <c r="C43" s="2">
        <f>COUNTIFS(Games[Team],Games[[#This Row],[Team]],Games[Season],Games[[#This Row],[Season]],Games[Date],"&lt;=" &amp; Games[[#This Row],[Date]])</f>
        <v>4</v>
      </c>
      <c r="D43" s="2" t="s">
        <v>83</v>
      </c>
      <c r="E43" s="2" t="s">
        <v>84</v>
      </c>
      <c r="F43" s="1" t="s">
        <v>69</v>
      </c>
      <c r="G43" s="1" t="s">
        <v>40</v>
      </c>
      <c r="H43" s="1" t="s">
        <v>86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1579.1531578752406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1363.8058282376721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0.85999942017777198</v>
      </c>
      <c r="R43" s="1">
        <v>67</v>
      </c>
      <c r="S43" s="1">
        <v>82</v>
      </c>
      <c r="T43" s="1">
        <v>0</v>
      </c>
      <c r="U43" s="1">
        <f>Games[[#This Row],[PointsFor]]-Games[[#This Row],[PointsAgainst]]</f>
        <v>-15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0.4263389070787556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-27.645501451676399</v>
      </c>
      <c r="AB43" s="4">
        <f>Games[[#This Row],[PreGmRate]]+Games[[#This Row],[RatingChange]]</f>
        <v>1551.5076564235642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41433</v>
      </c>
      <c r="B44" s="2">
        <v>2013</v>
      </c>
      <c r="C44" s="2">
        <f>COUNTIFS(Games[Team],Games[[#This Row],[Team]],Games[Season],Games[[#This Row],[Season]],Games[Date],"&lt;=" &amp; Games[[#This Row],[Date]])</f>
        <v>6</v>
      </c>
      <c r="D44" s="2" t="s">
        <v>83</v>
      </c>
      <c r="E44" s="2" t="s">
        <v>84</v>
      </c>
      <c r="F44" s="1" t="s">
        <v>81</v>
      </c>
      <c r="G44" s="1" t="s">
        <v>63</v>
      </c>
      <c r="H44" s="1" t="s">
        <v>85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4" s="2">
        <f>Games[[#This Row],[DaysOff]]-Games[[#This Row],[OppDaysOff]]</f>
        <v>-6</v>
      </c>
      <c r="L44" s="2">
        <f>Games[[#This Row],[OppDaysOff]]-Games[[#This Row],[DaysOff]]</f>
        <v>6</v>
      </c>
      <c r="M44" s="1">
        <f>MAX(-16, MIN(16, Games[[#This Row],[RestDiff]]*8))</f>
        <v>-16</v>
      </c>
      <c r="N44" s="1">
        <f>MAX(-16, MIN(16, Games[[#This Row],[OppRestDiff]]*8))</f>
        <v>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1412.4663753066873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1563.8735017651002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0.1766342709882659</v>
      </c>
      <c r="R44" s="1">
        <v>69</v>
      </c>
      <c r="S44" s="1">
        <v>76</v>
      </c>
      <c r="T44" s="1">
        <v>1</v>
      </c>
      <c r="U44" s="1">
        <f>Games[[#This Row],[PointsFor]]-Games[[#This Row],[PointsAgainst]]</f>
        <v>-7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0.29577744445794601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75.099999999999994</v>
      </c>
      <c r="Z44" s="4">
        <f>Games[[#This Row],[K]]*Games[[#This Row],[POMult]]</f>
        <v>75.099999999999994</v>
      </c>
      <c r="AA44" s="4">
        <f>(Games[[#This Row],[Keff]]*Games[[#This Row],[MOVMult]])*(Games[[#This Row],[Result]]-Games[[#This Row],[ExpectedWin%]])</f>
        <v>-3.92355693907278</v>
      </c>
      <c r="AB44" s="4">
        <f>Games[[#This Row],[PreGmRate]]+Games[[#This Row],[RatingChange]]</f>
        <v>1408.5428183676145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41433</v>
      </c>
      <c r="B45" s="2">
        <v>2013</v>
      </c>
      <c r="C45" s="2">
        <f>COUNTIFS(Games[Team],Games[[#This Row],[Team]],Games[Season],Games[[#This Row],[Season]],Games[Date],"&lt;=" &amp; Games[[#This Row],[Date]])</f>
        <v>3</v>
      </c>
      <c r="D45" s="2" t="s">
        <v>83</v>
      </c>
      <c r="E45" s="2" t="s">
        <v>84</v>
      </c>
      <c r="F45" s="1" t="s">
        <v>63</v>
      </c>
      <c r="G45" s="1" t="s">
        <v>81</v>
      </c>
      <c r="H45" s="1" t="s">
        <v>86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6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" s="2">
        <f>Games[[#This Row],[DaysOff]]-Games[[#This Row],[OppDaysOff]]</f>
        <v>6</v>
      </c>
      <c r="L45" s="2">
        <f>Games[[#This Row],[OppDaysOff]]-Games[[#This Row],[DaysOff]]</f>
        <v>-6</v>
      </c>
      <c r="M45" s="1">
        <f>MAX(-16, MIN(16, Games[[#This Row],[RestDiff]]*8))</f>
        <v>16</v>
      </c>
      <c r="N45" s="1">
        <f>MAX(-16, MIN(16, Games[[#This Row],[OppRestDiff]]*8))</f>
        <v>-16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1563.8735017651002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1412.4663753066873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0.82336572901173422</v>
      </c>
      <c r="R45" s="1">
        <v>76</v>
      </c>
      <c r="S45" s="1">
        <v>69</v>
      </c>
      <c r="T45" s="1">
        <v>1</v>
      </c>
      <c r="U45" s="1">
        <f>Games[[#This Row],[PointsFor]]-Games[[#This Row],[PointsAgainst]]</f>
        <v>7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0.29577744445794601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3.9470669340472484</v>
      </c>
      <c r="AB45" s="4">
        <f>Games[[#This Row],[PreGmRate]]+Games[[#This Row],[RatingChange]]</f>
        <v>1567.8205686991473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41433</v>
      </c>
      <c r="B46" s="2">
        <v>2013</v>
      </c>
      <c r="C46" s="2">
        <f>COUNTIFS(Games[Team],Games[[#This Row],[Team]],Games[Season],Games[[#This Row],[Season]],Games[Date],"&lt;=" &amp; Games[[#This Row],[Date]])</f>
        <v>3</v>
      </c>
      <c r="D46" s="2" t="s">
        <v>83</v>
      </c>
      <c r="E46" s="2" t="s">
        <v>84</v>
      </c>
      <c r="F46" s="1" t="s">
        <v>67</v>
      </c>
      <c r="G46" s="1" t="s">
        <v>65</v>
      </c>
      <c r="H46" s="1" t="s">
        <v>85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" s="2">
        <f>Games[[#This Row],[DaysOff]]-Games[[#This Row],[OppDaysOff]]</f>
        <v>1</v>
      </c>
      <c r="L46" s="2">
        <f>Games[[#This Row],[OppDaysOff]]-Games[[#This Row],[DaysOff]]</f>
        <v>-1</v>
      </c>
      <c r="M46" s="1">
        <f>MAX(-16, MIN(16, Games[[#This Row],[RestDiff]]*8))</f>
        <v>8</v>
      </c>
      <c r="N46" s="1">
        <f>MAX(-16, MIN(16, Games[[#This Row],[OppRestDiff]]*8))</f>
        <v>-8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1598.0599569148251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1404.429363533794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0.67330861207487014</v>
      </c>
      <c r="R46" s="1">
        <v>80</v>
      </c>
      <c r="S46" s="1">
        <v>85</v>
      </c>
      <c r="T46" s="1">
        <v>0</v>
      </c>
      <c r="U46" s="1">
        <f>Games[[#This Row],[PointsFor]]-Games[[#This Row],[PointsAgainst]]</f>
        <v>-5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0.28566190527409813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75.55</v>
      </c>
      <c r="Z46" s="4">
        <f>Games[[#This Row],[K]]*Games[[#This Row],[POMult]]</f>
        <v>75.55</v>
      </c>
      <c r="AA46" s="4">
        <f>(Games[[#This Row],[Keff]]*Games[[#This Row],[MOVMult]])*(Games[[#This Row],[Result]]-Games[[#This Row],[ExpectedWin%]])</f>
        <v>-14.531182813736974</v>
      </c>
      <c r="AB46" s="4">
        <f>Games[[#This Row],[PreGmRate]]+Games[[#This Row],[RatingChange]]</f>
        <v>1583.5287741010882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41433</v>
      </c>
      <c r="B47" s="2">
        <v>2013</v>
      </c>
      <c r="C47" s="2">
        <f>COUNTIFS(Games[Team],Games[[#This Row],[Team]],Games[Season],Games[[#This Row],[Season]],Games[Date],"&lt;=" &amp; Games[[#This Row],[Date]])</f>
        <v>4</v>
      </c>
      <c r="D47" s="2" t="s">
        <v>83</v>
      </c>
      <c r="E47" s="2" t="s">
        <v>84</v>
      </c>
      <c r="F47" s="1" t="s">
        <v>65</v>
      </c>
      <c r="G47" s="1" t="s">
        <v>67</v>
      </c>
      <c r="H47" s="1" t="s">
        <v>86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-1</v>
      </c>
      <c r="L47" s="2">
        <f>Games[[#This Row],[OppDaysOff]]-Games[[#This Row],[DaysOff]]</f>
        <v>1</v>
      </c>
      <c r="M47" s="1">
        <f>MAX(-16, MIN(16, Games[[#This Row],[RestDiff]]*8))</f>
        <v>-8</v>
      </c>
      <c r="N47" s="1">
        <f>MAX(-16, MIN(16, Games[[#This Row],[OppRestDiff]]*8))</f>
        <v>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1404.429363533794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1598.0599569148251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0.32669138792512981</v>
      </c>
      <c r="R47" s="1">
        <v>85</v>
      </c>
      <c r="S47" s="1">
        <v>80</v>
      </c>
      <c r="T47" s="1">
        <v>0</v>
      </c>
      <c r="U47" s="1">
        <f>Games[[#This Row],[PointsFor]]-Games[[#This Row],[PointsAgainst]]</f>
        <v>5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0.28566190527409813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14.50233202059256</v>
      </c>
      <c r="AB47" s="4">
        <f>Games[[#This Row],[PreGmRate]]+Games[[#This Row],[RatingChange]]</f>
        <v>1418.9316955543866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41434</v>
      </c>
      <c r="B48" s="2">
        <v>2013</v>
      </c>
      <c r="C48" s="2">
        <f>COUNTIFS(Games[Team],Games[[#This Row],[Team]],Games[Season],Games[[#This Row],[Season]],Games[Date],"&lt;=" &amp; Games[[#This Row],[Date]])</f>
        <v>4</v>
      </c>
      <c r="D48" s="2" t="s">
        <v>83</v>
      </c>
      <c r="E48" s="2" t="s">
        <v>84</v>
      </c>
      <c r="F48" s="1" t="s">
        <v>74</v>
      </c>
      <c r="G48" s="1" t="s">
        <v>77</v>
      </c>
      <c r="H48" s="1" t="s">
        <v>85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1529.7426684692698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1513.7035267454075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0.40342505350589869</v>
      </c>
      <c r="R48" s="1">
        <v>70</v>
      </c>
      <c r="S48" s="1">
        <v>72</v>
      </c>
      <c r="T48" s="1">
        <v>0</v>
      </c>
      <c r="U48" s="1">
        <f>Games[[#This Row],[PointsFor]]-Games[[#This Row],[PointsAgainst]]</f>
        <v>-2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0.26430858509699962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-8.0398043633958398</v>
      </c>
      <c r="AB48" s="4">
        <f>Games[[#This Row],[PreGmRate]]+Games[[#This Row],[RatingChange]]</f>
        <v>1521.7028641058739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41434</v>
      </c>
      <c r="B49" s="2">
        <v>2013</v>
      </c>
      <c r="C49" s="2">
        <f>COUNTIFS(Games[Team],Games[[#This Row],[Team]],Games[Season],Games[[#This Row],[Season]],Games[Date],"&lt;=" &amp; Games[[#This Row],[Date]])</f>
        <v>5</v>
      </c>
      <c r="D49" s="2" t="s">
        <v>83</v>
      </c>
      <c r="E49" s="2" t="s">
        <v>84</v>
      </c>
      <c r="F49" s="1" t="s">
        <v>77</v>
      </c>
      <c r="G49" s="1" t="s">
        <v>74</v>
      </c>
      <c r="H49" s="1" t="s">
        <v>86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1513.7035267454075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1529.7426684692698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0.59657494649410125</v>
      </c>
      <c r="R49" s="1">
        <v>72</v>
      </c>
      <c r="S49" s="1">
        <v>70</v>
      </c>
      <c r="T49" s="1">
        <v>0</v>
      </c>
      <c r="U49" s="1">
        <f>Games[[#This Row],[PointsFor]]-Games[[#This Row],[PointsAgainst]]</f>
        <v>2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0.26430858509699962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8.0238100576331171</v>
      </c>
      <c r="AB49" s="4">
        <f>Games[[#This Row],[PreGmRate]]+Games[[#This Row],[RatingChange]]</f>
        <v>1521.7273368030408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41434</v>
      </c>
      <c r="B50" s="2">
        <v>2013</v>
      </c>
      <c r="C50" s="2">
        <f>COUNTIFS(Games[Team],Games[[#This Row],[Team]],Games[Season],Games[[#This Row],[Season]],Games[Date],"&lt;=" &amp; Games[[#This Row],[Date]])</f>
        <v>5</v>
      </c>
      <c r="D50" s="2" t="s">
        <v>83</v>
      </c>
      <c r="E50" s="2" t="s">
        <v>84</v>
      </c>
      <c r="F50" s="1" t="s">
        <v>79</v>
      </c>
      <c r="G50" s="1" t="s">
        <v>60</v>
      </c>
      <c r="H50" s="1" t="s">
        <v>85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1580.9515080410706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1470.7093243959969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0.53769388479659719</v>
      </c>
      <c r="R50" s="1">
        <v>67</v>
      </c>
      <c r="S50" s="1">
        <v>76</v>
      </c>
      <c r="T50" s="1">
        <v>0</v>
      </c>
      <c r="U50" s="1">
        <f>Games[[#This Row],[PointsFor]]-Games[[#This Row],[PointsAgainst]]</f>
        <v>-9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0.37181357664840514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-15.044121955226924</v>
      </c>
      <c r="AB50" s="4">
        <f>Games[[#This Row],[PreGmRate]]+Games[[#This Row],[RatingChange]]</f>
        <v>1565.9073860858437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41434</v>
      </c>
      <c r="B51" s="2">
        <v>2013</v>
      </c>
      <c r="C51" s="2">
        <f>COUNTIFS(Games[Team],Games[[#This Row],[Team]],Games[Season],Games[[#This Row],[Season]],Games[Date],"&lt;=" &amp; Games[[#This Row],[Date]])</f>
        <v>5</v>
      </c>
      <c r="D51" s="2" t="s">
        <v>83</v>
      </c>
      <c r="E51" s="2" t="s">
        <v>84</v>
      </c>
      <c r="F51" s="1" t="s">
        <v>60</v>
      </c>
      <c r="G51" s="1" t="s">
        <v>79</v>
      </c>
      <c r="H51" s="1" t="s">
        <v>86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1470.7093243959969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1580.9515080410706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0.46230611520340281</v>
      </c>
      <c r="R51" s="1">
        <v>76</v>
      </c>
      <c r="S51" s="1">
        <v>67</v>
      </c>
      <c r="T51" s="1">
        <v>0</v>
      </c>
      <c r="U51" s="1">
        <f>Games[[#This Row],[PointsFor]]-Games[[#This Row],[PointsAgainst]]</f>
        <v>9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0.37181357664840514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15.044121955226924</v>
      </c>
      <c r="AB51" s="4">
        <f>Games[[#This Row],[PreGmRate]]+Games[[#This Row],[RatingChange]]</f>
        <v>1485.7534463512238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41436</v>
      </c>
      <c r="B52" s="2">
        <v>2013</v>
      </c>
      <c r="C52" s="2">
        <f>COUNTIFS(Games[Team],Games[[#This Row],[Team]],Games[Season],Games[[#This Row],[Season]],Games[Date],"&lt;=" &amp; Games[[#This Row],[Date]])</f>
        <v>5</v>
      </c>
      <c r="D52" s="2" t="s">
        <v>83</v>
      </c>
      <c r="E52" s="2" t="s">
        <v>84</v>
      </c>
      <c r="F52" s="1" t="s">
        <v>74</v>
      </c>
      <c r="G52" s="1" t="s">
        <v>67</v>
      </c>
      <c r="H52" s="1" t="s">
        <v>85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1521.7028641058739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1583.5287741010882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0.28261140913920124</v>
      </c>
      <c r="R52" s="1">
        <v>72</v>
      </c>
      <c r="S52" s="1">
        <v>87</v>
      </c>
      <c r="T52" s="1">
        <v>0</v>
      </c>
      <c r="U52" s="1">
        <f>Games[[#This Row],[PointsFor]]-Games[[#This Row],[PointsAgainst]]</f>
        <v>-15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0.47820989319897922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-10.1698547765406</v>
      </c>
      <c r="AB52" s="4">
        <f>Games[[#This Row],[PreGmRate]]+Games[[#This Row],[RatingChange]]</f>
        <v>1511.5330093293333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41436</v>
      </c>
      <c r="B53" s="2">
        <v>2013</v>
      </c>
      <c r="C53" s="2">
        <f>COUNTIFS(Games[Team],Games[[#This Row],[Team]],Games[Season],Games[[#This Row],[Season]],Games[Date],"&lt;=" &amp; Games[[#This Row],[Date]])</f>
        <v>4</v>
      </c>
      <c r="D53" s="2" t="s">
        <v>83</v>
      </c>
      <c r="E53" s="2" t="s">
        <v>84</v>
      </c>
      <c r="F53" s="1" t="s">
        <v>67</v>
      </c>
      <c r="G53" s="1" t="s">
        <v>74</v>
      </c>
      <c r="H53" s="1" t="s">
        <v>86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1583.5287741010882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1521.7028641058739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0.71738859086079876</v>
      </c>
      <c r="R53" s="1">
        <v>87</v>
      </c>
      <c r="S53" s="1">
        <v>72</v>
      </c>
      <c r="T53" s="1">
        <v>0</v>
      </c>
      <c r="U53" s="1">
        <f>Games[[#This Row],[PointsFor]]-Games[[#This Row],[PointsAgainst]]</f>
        <v>15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0.47820989319897922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10.190126912307793</v>
      </c>
      <c r="AB53" s="4">
        <f>Games[[#This Row],[PreGmRate]]+Games[[#This Row],[RatingChange]]</f>
        <v>1593.7189010133959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41437</v>
      </c>
      <c r="B54" s="2">
        <v>2013</v>
      </c>
      <c r="C54" s="2">
        <f>COUNTIFS(Games[Team],Games[[#This Row],[Team]],Games[Season],Games[[#This Row],[Season]],Games[Date],"&lt;=" &amp; Games[[#This Row],[Date]])</f>
        <v>5</v>
      </c>
      <c r="D54" s="2" t="s">
        <v>83</v>
      </c>
      <c r="E54" s="2" t="s">
        <v>84</v>
      </c>
      <c r="F54" s="1" t="s">
        <v>76</v>
      </c>
      <c r="G54" s="1" t="s">
        <v>69</v>
      </c>
      <c r="H54" s="1" t="s">
        <v>85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" s="2">
        <f>Games[[#This Row],[DaysOff]]-Games[[#This Row],[OppDaysOff]]</f>
        <v>1</v>
      </c>
      <c r="L54" s="2">
        <f>Games[[#This Row],[OppDaysOff]]-Games[[#This Row],[DaysOff]]</f>
        <v>-1</v>
      </c>
      <c r="M54" s="1">
        <f>MAX(-16, MIN(16, Games[[#This Row],[RestDiff]]*8))</f>
        <v>8</v>
      </c>
      <c r="N54" s="1">
        <f>MAX(-16, MIN(16, Games[[#This Row],[OppRestDiff]]*8))</f>
        <v>-8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1518.2613639666349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1551.5076564235642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0.35828385305748922</v>
      </c>
      <c r="R54" s="1">
        <v>73</v>
      </c>
      <c r="S54" s="1">
        <v>61</v>
      </c>
      <c r="T54" s="1">
        <v>0</v>
      </c>
      <c r="U54" s="1">
        <f>Games[[#This Row],[PointsFor]]-Games[[#This Row],[PointsAgainst]]</f>
        <v>12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0.44383294321638117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21.432311157074512</v>
      </c>
      <c r="AB54" s="4">
        <f>Games[[#This Row],[PreGmRate]]+Games[[#This Row],[RatingChange]]</f>
        <v>1539.6936751237095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41437</v>
      </c>
      <c r="B55" s="2">
        <v>2013</v>
      </c>
      <c r="C55" s="2">
        <f>COUNTIFS(Games[Team],Games[[#This Row],[Team]],Games[Season],Games[[#This Row],[Season]],Games[Date],"&lt;=" &amp; Games[[#This Row],[Date]])</f>
        <v>5</v>
      </c>
      <c r="D55" s="2" t="s">
        <v>83</v>
      </c>
      <c r="E55" s="2" t="s">
        <v>84</v>
      </c>
      <c r="F55" s="1" t="s">
        <v>69</v>
      </c>
      <c r="G55" s="1" t="s">
        <v>76</v>
      </c>
      <c r="H55" s="1" t="s">
        <v>86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5" s="2">
        <f>Games[[#This Row],[DaysOff]]-Games[[#This Row],[OppDaysOff]]</f>
        <v>-1</v>
      </c>
      <c r="L55" s="2">
        <f>Games[[#This Row],[OppDaysOff]]-Games[[#This Row],[DaysOff]]</f>
        <v>1</v>
      </c>
      <c r="M55" s="1">
        <f>MAX(-16, MIN(16, Games[[#This Row],[RestDiff]]*8))</f>
        <v>-8</v>
      </c>
      <c r="N55" s="1">
        <f>MAX(-16, MIN(16, Games[[#This Row],[OppRestDiff]]*8))</f>
        <v>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1551.5076564235642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1518.2613639666349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0.64171614694251078</v>
      </c>
      <c r="R55" s="1">
        <v>61</v>
      </c>
      <c r="S55" s="1">
        <v>73</v>
      </c>
      <c r="T55" s="1">
        <v>0</v>
      </c>
      <c r="U55" s="1">
        <f>Games[[#This Row],[PointsFor]]-Games[[#This Row],[PointsAgainst]]</f>
        <v>-12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0.44383294321638117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-21.432311157074512</v>
      </c>
      <c r="AB55" s="4">
        <f>Games[[#This Row],[PreGmRate]]+Games[[#This Row],[RatingChange]]</f>
        <v>1530.0753452664896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41439</v>
      </c>
      <c r="B56" s="2">
        <v>2013</v>
      </c>
      <c r="C56" s="2">
        <f>COUNTIFS(Games[Team],Games[[#This Row],[Team]],Games[Season],Games[[#This Row],[Season]],Games[Date],"&lt;=" &amp; Games[[#This Row],[Date]])</f>
        <v>4</v>
      </c>
      <c r="D56" s="2" t="s">
        <v>83</v>
      </c>
      <c r="E56" s="2" t="s">
        <v>84</v>
      </c>
      <c r="F56" s="1" t="s">
        <v>71</v>
      </c>
      <c r="G56" s="1" t="s">
        <v>79</v>
      </c>
      <c r="H56" s="1" t="s">
        <v>85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6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6" s="2">
        <f>Games[[#This Row],[DaysOff]]-Games[[#This Row],[OppDaysOff]]</f>
        <v>2</v>
      </c>
      <c r="L56" s="2">
        <f>Games[[#This Row],[OppDaysOff]]-Games[[#This Row],[DaysOff]]</f>
        <v>-2</v>
      </c>
      <c r="M56" s="1">
        <f>MAX(-16, MIN(16, Games[[#This Row],[RestDiff]]*8))</f>
        <v>16</v>
      </c>
      <c r="N56" s="1">
        <f>MAX(-16, MIN(16, Games[[#This Row],[OppRestDiff]]*8))</f>
        <v>-16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1469.3462931062543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1565.9073860858437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0.29834602574591118</v>
      </c>
      <c r="R56" s="1">
        <v>59</v>
      </c>
      <c r="S56" s="1">
        <v>68</v>
      </c>
      <c r="T56" s="1">
        <v>0</v>
      </c>
      <c r="U56" s="1">
        <f>Games[[#This Row],[PointsFor]]-Games[[#This Row],[PointsAgainst]]</f>
        <v>-9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0.37573688985001835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-8.452310429091316</v>
      </c>
      <c r="AB56" s="4">
        <f>Games[[#This Row],[PreGmRate]]+Games[[#This Row],[RatingChange]]</f>
        <v>1460.893982677163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41439</v>
      </c>
      <c r="B57" s="2">
        <v>2013</v>
      </c>
      <c r="C57" s="2">
        <f>COUNTIFS(Games[Team],Games[[#This Row],[Team]],Games[Season],Games[[#This Row],[Season]],Games[Date],"&lt;=" &amp; Games[[#This Row],[Date]])</f>
        <v>6</v>
      </c>
      <c r="D57" s="2" t="s">
        <v>83</v>
      </c>
      <c r="E57" s="2" t="s">
        <v>84</v>
      </c>
      <c r="F57" s="1" t="s">
        <v>79</v>
      </c>
      <c r="G57" s="1" t="s">
        <v>71</v>
      </c>
      <c r="H57" s="1" t="s">
        <v>86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7" s="2">
        <f>Games[[#This Row],[DaysOff]]-Games[[#This Row],[OppDaysOff]]</f>
        <v>-2</v>
      </c>
      <c r="L57" s="2">
        <f>Games[[#This Row],[OppDaysOff]]-Games[[#This Row],[DaysOff]]</f>
        <v>2</v>
      </c>
      <c r="M57" s="1">
        <f>MAX(-16, MIN(16, Games[[#This Row],[RestDiff]]*8))</f>
        <v>-16</v>
      </c>
      <c r="N57" s="1">
        <f>MAX(-16, MIN(16, Games[[#This Row],[OppRestDiff]]*8))</f>
        <v>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1565.9073860858437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1469.3462931062543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0.70165397425408871</v>
      </c>
      <c r="R57" s="1">
        <v>68</v>
      </c>
      <c r="S57" s="1">
        <v>59</v>
      </c>
      <c r="T57" s="1">
        <v>0</v>
      </c>
      <c r="U57" s="1">
        <f>Games[[#This Row],[PointsFor]]-Games[[#This Row],[PointsAgainst]]</f>
        <v>9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0.37573688985001835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8.4186805467474528</v>
      </c>
      <c r="AB57" s="4">
        <f>Games[[#This Row],[PreGmRate]]+Games[[#This Row],[RatingChange]]</f>
        <v>1574.3260666325912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41439</v>
      </c>
      <c r="B58" s="2">
        <v>2013</v>
      </c>
      <c r="C58" s="2">
        <f>COUNTIFS(Games[Team],Games[[#This Row],[Team]],Games[Season],Games[[#This Row],[Season]],Games[Date],"&lt;=" &amp; Games[[#This Row],[Date]])</f>
        <v>6</v>
      </c>
      <c r="D58" s="2" t="s">
        <v>83</v>
      </c>
      <c r="E58" s="2" t="s">
        <v>84</v>
      </c>
      <c r="F58" s="1" t="s">
        <v>76</v>
      </c>
      <c r="G58" s="1" t="s">
        <v>60</v>
      </c>
      <c r="H58" s="1" t="s">
        <v>85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8" s="2">
        <f>Games[[#This Row],[DaysOff]]-Games[[#This Row],[OppDaysOff]]</f>
        <v>-3</v>
      </c>
      <c r="L58" s="2">
        <f>Games[[#This Row],[OppDaysOff]]-Games[[#This Row],[DaysOff]]</f>
        <v>3</v>
      </c>
      <c r="M58" s="1">
        <f>MAX(-16, MIN(16, Games[[#This Row],[RestDiff]]*8))</f>
        <v>-16</v>
      </c>
      <c r="N58" s="1">
        <f>MAX(-16, MIN(16, Games[[#This Row],[OppRestDiff]]*8))</f>
        <v>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1539.6936751237095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1485.7534463512238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0.41162669503145349</v>
      </c>
      <c r="R58" s="1">
        <v>68</v>
      </c>
      <c r="S58" s="1">
        <v>78</v>
      </c>
      <c r="T58" s="1">
        <v>0</v>
      </c>
      <c r="U58" s="1">
        <f>Games[[#This Row],[PointsFor]]-Games[[#This Row],[PointsAgainst]]</f>
        <v>-10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0.40492810386647837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75.099999999999994</v>
      </c>
      <c r="Z58" s="4">
        <f>Games[[#This Row],[K]]*Games[[#This Row],[POMult]]</f>
        <v>75.099999999999994</v>
      </c>
      <c r="AA58" s="4">
        <f>(Games[[#This Row],[Keff]]*Games[[#This Row],[MOVMult]])*(Games[[#This Row],[Result]]-Games[[#This Row],[ExpectedWin%]])</f>
        <v>-12.517609205705361</v>
      </c>
      <c r="AB58" s="4">
        <f>Games[[#This Row],[PreGmRate]]+Games[[#This Row],[RatingChange]]</f>
        <v>1527.176065918004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41439</v>
      </c>
      <c r="B59" s="2">
        <v>2013</v>
      </c>
      <c r="C59" s="2">
        <f>COUNTIFS(Games[Team],Games[[#This Row],[Team]],Games[Season],Games[[#This Row],[Season]],Games[Date],"&lt;=" &amp; Games[[#This Row],[Date]])</f>
        <v>6</v>
      </c>
      <c r="D59" s="2" t="s">
        <v>83</v>
      </c>
      <c r="E59" s="2" t="s">
        <v>84</v>
      </c>
      <c r="F59" s="1" t="s">
        <v>60</v>
      </c>
      <c r="G59" s="1" t="s">
        <v>76</v>
      </c>
      <c r="H59" s="1" t="s">
        <v>86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4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3</v>
      </c>
      <c r="L59" s="2">
        <f>Games[[#This Row],[OppDaysOff]]-Games[[#This Row],[DaysOff]]</f>
        <v>-3</v>
      </c>
      <c r="M59" s="1">
        <f>MAX(-16, MIN(16, Games[[#This Row],[RestDiff]]*8))</f>
        <v>16</v>
      </c>
      <c r="N59" s="1">
        <f>MAX(-16, MIN(16, Games[[#This Row],[OppRestDiff]]*8))</f>
        <v>-16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1485.7534463512238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1539.6936751237095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0.58837330496854645</v>
      </c>
      <c r="R59" s="1">
        <v>78</v>
      </c>
      <c r="S59" s="1">
        <v>68</v>
      </c>
      <c r="T59" s="1">
        <v>0</v>
      </c>
      <c r="U59" s="1">
        <f>Games[[#This Row],[PointsFor]]-Games[[#This Row],[PointsAgainst]]</f>
        <v>10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0.40492810386647837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75.099999999999994</v>
      </c>
      <c r="Z59" s="4">
        <f>Games[[#This Row],[K]]*Games[[#This Row],[POMult]]</f>
        <v>75.099999999999994</v>
      </c>
      <c r="AA59" s="4">
        <f>(Games[[#This Row],[Keff]]*Games[[#This Row],[MOVMult]])*(Games[[#This Row],[Result]]-Games[[#This Row],[ExpectedWin%]])</f>
        <v>12.517609205705362</v>
      </c>
      <c r="AB59" s="4">
        <f>Games[[#This Row],[PreGmRate]]+Games[[#This Row],[RatingChange]]</f>
        <v>1498.2710555569292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41439</v>
      </c>
      <c r="B60" s="2">
        <v>2013</v>
      </c>
      <c r="C60" s="2">
        <f>COUNTIFS(Games[Team],Games[[#This Row],[Team]],Games[Season],Games[[#This Row],[Season]],Games[Date],"&lt;=" &amp; Games[[#This Row],[Date]])</f>
        <v>4</v>
      </c>
      <c r="D60" s="2" t="s">
        <v>83</v>
      </c>
      <c r="E60" s="2" t="s">
        <v>84</v>
      </c>
      <c r="F60" s="1" t="s">
        <v>63</v>
      </c>
      <c r="G60" s="1" t="s">
        <v>40</v>
      </c>
      <c r="H60" s="1" t="s">
        <v>85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5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1567.8205686991473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1391.4513296893485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0.62988420435174797</v>
      </c>
      <c r="R60" s="1">
        <v>81</v>
      </c>
      <c r="S60" s="1">
        <v>97</v>
      </c>
      <c r="T60" s="1">
        <v>0</v>
      </c>
      <c r="U60" s="1">
        <f>Games[[#This Row],[PointsFor]]-Games[[#This Row],[PointsAgainst]]</f>
        <v>-16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0.45143644679467493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75.400000000000006</v>
      </c>
      <c r="Z60" s="4">
        <f>Games[[#This Row],[K]]*Games[[#This Row],[POMult]]</f>
        <v>75.400000000000006</v>
      </c>
      <c r="AA60" s="4">
        <f>(Games[[#This Row],[Keff]]*Games[[#This Row],[MOVMult]])*(Games[[#This Row],[Result]]-Games[[#This Row],[ExpectedWin%]])</f>
        <v>-21.440192607690161</v>
      </c>
      <c r="AB60" s="4">
        <f>Games[[#This Row],[PreGmRate]]+Games[[#This Row],[RatingChange]]</f>
        <v>1546.3803760914573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41439</v>
      </c>
      <c r="B61" s="2">
        <v>2013</v>
      </c>
      <c r="C61" s="2">
        <f>COUNTIFS(Games[Team],Games[[#This Row],[Team]],Games[Season],Games[[#This Row],[Season]],Games[Date],"&lt;=" &amp; Games[[#This Row],[Date]])</f>
        <v>5</v>
      </c>
      <c r="D61" s="2" t="s">
        <v>83</v>
      </c>
      <c r="E61" s="2" t="s">
        <v>84</v>
      </c>
      <c r="F61" s="1" t="s">
        <v>40</v>
      </c>
      <c r="G61" s="1" t="s">
        <v>63</v>
      </c>
      <c r="H61" s="1" t="s">
        <v>86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1391.4513296893485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1567.8205686991473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0.37011579564825203</v>
      </c>
      <c r="R61" s="1">
        <v>97</v>
      </c>
      <c r="S61" s="1">
        <v>81</v>
      </c>
      <c r="T61" s="1">
        <v>0</v>
      </c>
      <c r="U61" s="1">
        <f>Games[[#This Row],[PointsFor]]-Games[[#This Row],[PointsAgainst]]</f>
        <v>16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0.45143644679467493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21.397539704624464</v>
      </c>
      <c r="AB61" s="4">
        <f>Games[[#This Row],[PreGmRate]]+Games[[#This Row],[RatingChange]]</f>
        <v>1412.848869393973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41439</v>
      </c>
      <c r="B62" s="2">
        <v>2013</v>
      </c>
      <c r="C62" s="2">
        <f>COUNTIFS(Games[Team],Games[[#This Row],[Team]],Games[Season],Games[[#This Row],[Season]],Games[Date],"&lt;=" &amp; Games[[#This Row],[Date]])</f>
        <v>5</v>
      </c>
      <c r="D62" s="2" t="s">
        <v>83</v>
      </c>
      <c r="E62" s="2" t="s">
        <v>84</v>
      </c>
      <c r="F62" s="1" t="s">
        <v>67</v>
      </c>
      <c r="G62" s="1" t="s">
        <v>81</v>
      </c>
      <c r="H62" s="1" t="s">
        <v>85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2" s="2">
        <f>Games[[#This Row],[DaysOff]]-Games[[#This Row],[OppDaysOff]]</f>
        <v>-3</v>
      </c>
      <c r="L62" s="2">
        <f>Games[[#This Row],[OppDaysOff]]-Games[[#This Row],[DaysOff]]</f>
        <v>3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1593.7189010133959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1408.5428183676145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0.59825740736416422</v>
      </c>
      <c r="R62" s="1">
        <v>83</v>
      </c>
      <c r="S62" s="1">
        <v>74</v>
      </c>
      <c r="T62" s="1">
        <v>0</v>
      </c>
      <c r="U62" s="1">
        <f>Games[[#This Row],[PointsFor]]-Games[[#This Row],[PointsAgainst]]</f>
        <v>9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0.35169956995371388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10.632275453924041</v>
      </c>
      <c r="AB62" s="4">
        <f>Games[[#This Row],[PreGmRate]]+Games[[#This Row],[RatingChange]]</f>
        <v>1604.3511764673199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41439</v>
      </c>
      <c r="B63" s="2">
        <v>2013</v>
      </c>
      <c r="C63" s="2">
        <f>COUNTIFS(Games[Team],Games[[#This Row],[Team]],Games[Season],Games[[#This Row],[Season]],Games[Date],"&lt;=" &amp; Games[[#This Row],[Date]])</f>
        <v>7</v>
      </c>
      <c r="D63" s="2" t="s">
        <v>83</v>
      </c>
      <c r="E63" s="2" t="s">
        <v>84</v>
      </c>
      <c r="F63" s="1" t="s">
        <v>81</v>
      </c>
      <c r="G63" s="1" t="s">
        <v>67</v>
      </c>
      <c r="H63" s="1" t="s">
        <v>86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5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3</v>
      </c>
      <c r="L63" s="2">
        <f>Games[[#This Row],[OppDaysOff]]-Games[[#This Row],[DaysOff]]</f>
        <v>-3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1408.5428183676145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1593.7189010133959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0.40174259263583589</v>
      </c>
      <c r="R63" s="1">
        <v>74</v>
      </c>
      <c r="S63" s="1">
        <v>83</v>
      </c>
      <c r="T63" s="1">
        <v>0</v>
      </c>
      <c r="U63" s="1">
        <f>Games[[#This Row],[PointsFor]]-Games[[#This Row],[PointsAgainst]]</f>
        <v>-9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0.35169956995371388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74.95</v>
      </c>
      <c r="Z63" s="4">
        <f>Games[[#This Row],[K]]*Games[[#This Row],[POMult]]</f>
        <v>74.95</v>
      </c>
      <c r="AA63" s="4">
        <f>(Games[[#This Row],[Keff]]*Games[[#This Row],[MOVMult]])*(Games[[#This Row],[Result]]-Games[[#This Row],[ExpectedWin%]])</f>
        <v>-10.589887644805412</v>
      </c>
      <c r="AB63" s="4">
        <f>Games[[#This Row],[PreGmRate]]+Games[[#This Row],[RatingChange]]</f>
        <v>1397.952930722809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41440</v>
      </c>
      <c r="B64" s="2">
        <v>2013</v>
      </c>
      <c r="C64" s="2">
        <f>COUNTIFS(Games[Team],Games[[#This Row],[Team]],Games[Season],Games[[#This Row],[Season]],Games[Date],"&lt;=" &amp; Games[[#This Row],[Date]])</f>
        <v>6</v>
      </c>
      <c r="D64" s="2" t="s">
        <v>83</v>
      </c>
      <c r="E64" s="2" t="s">
        <v>84</v>
      </c>
      <c r="F64" s="1" t="s">
        <v>74</v>
      </c>
      <c r="G64" s="1" t="s">
        <v>63</v>
      </c>
      <c r="H64" s="1" t="s">
        <v>85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4" s="2">
        <f>Games[[#This Row],[DaysOff]]-Games[[#This Row],[OppDaysOff]]</f>
        <v>3</v>
      </c>
      <c r="L64" s="2">
        <f>Games[[#This Row],[OppDaysOff]]-Games[[#This Row],[DaysOff]]</f>
        <v>-3</v>
      </c>
      <c r="M64" s="1">
        <f>MAX(-16, MIN(16, Games[[#This Row],[RestDiff]]*8))</f>
        <v>16</v>
      </c>
      <c r="N64" s="1">
        <f>MAX(-16, MIN(16, Games[[#This Row],[OppRestDiff]]*8))</f>
        <v>-16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1511.5330093293333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1546.3803760914573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0.37755626607883758</v>
      </c>
      <c r="R64" s="1">
        <v>48</v>
      </c>
      <c r="S64" s="1">
        <v>84</v>
      </c>
      <c r="T64" s="1">
        <v>0</v>
      </c>
      <c r="U64" s="1">
        <f>Games[[#This Row],[PointsFor]]-Games[[#This Row],[PointsAgainst]]</f>
        <v>-36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0.75172160796572751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-21.314671977917417</v>
      </c>
      <c r="AB64" s="4">
        <f>Games[[#This Row],[PreGmRate]]+Games[[#This Row],[RatingChange]]</f>
        <v>1490.2183373514158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41440</v>
      </c>
      <c r="B65" s="2">
        <v>2013</v>
      </c>
      <c r="C65" s="2">
        <f>COUNTIFS(Games[Team],Games[[#This Row],[Team]],Games[Season],Games[[#This Row],[Season]],Games[Date],"&lt;=" &amp; Games[[#This Row],[Date]])</f>
        <v>5</v>
      </c>
      <c r="D65" s="2" t="s">
        <v>83</v>
      </c>
      <c r="E65" s="2" t="s">
        <v>84</v>
      </c>
      <c r="F65" s="1" t="s">
        <v>63</v>
      </c>
      <c r="G65" s="1" t="s">
        <v>74</v>
      </c>
      <c r="H65" s="1" t="s">
        <v>86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5" s="2">
        <f>Games[[#This Row],[DaysOff]]-Games[[#This Row],[OppDaysOff]]</f>
        <v>-3</v>
      </c>
      <c r="L65" s="2">
        <f>Games[[#This Row],[OppDaysOff]]-Games[[#This Row],[DaysOff]]</f>
        <v>3</v>
      </c>
      <c r="M65" s="1">
        <f>MAX(-16, MIN(16, Games[[#This Row],[RestDiff]]*8))</f>
        <v>-16</v>
      </c>
      <c r="N65" s="1">
        <f>MAX(-16, MIN(16, Games[[#This Row],[OppRestDiff]]*8))</f>
        <v>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1546.3803760914573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1511.5330093293333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0.62244373392116248</v>
      </c>
      <c r="R65" s="1">
        <v>84</v>
      </c>
      <c r="S65" s="1">
        <v>48</v>
      </c>
      <c r="T65" s="1">
        <v>0</v>
      </c>
      <c r="U65" s="1">
        <f>Games[[#This Row],[PointsFor]]-Games[[#This Row],[PointsAgainst]]</f>
        <v>36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0.75172160796572751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21.357244558432566</v>
      </c>
      <c r="AB65" s="4">
        <f>Games[[#This Row],[PreGmRate]]+Games[[#This Row],[RatingChange]]</f>
        <v>1567.7376206498898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41441</v>
      </c>
      <c r="B66" s="2">
        <v>2013</v>
      </c>
      <c r="C66" s="2">
        <f>COUNTIFS(Games[Team],Games[[#This Row],[Team]],Games[Season],Games[[#This Row],[Season]],Games[Date],"&lt;=" &amp; Games[[#This Row],[Date]])</f>
        <v>6</v>
      </c>
      <c r="D66" s="2" t="s">
        <v>83</v>
      </c>
      <c r="E66" s="2" t="s">
        <v>84</v>
      </c>
      <c r="F66" s="1" t="s">
        <v>77</v>
      </c>
      <c r="G66" s="1" t="s">
        <v>79</v>
      </c>
      <c r="H66" s="1" t="s">
        <v>85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6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5</v>
      </c>
      <c r="L66" s="2">
        <f>Games[[#This Row],[OppDaysOff]]-Games[[#This Row],[DaysOff]]</f>
        <v>-5</v>
      </c>
      <c r="M66" s="1">
        <f>MAX(-16, MIN(16, Games[[#This Row],[RestDiff]]*8))</f>
        <v>16</v>
      </c>
      <c r="N66" s="1">
        <f>MAX(-16, MIN(16, Games[[#This Row],[OppRestDiff]]*8))</f>
        <v>-16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1521.7273368030408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1574.3260666325912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0.35385912058309016</v>
      </c>
      <c r="R66" s="1">
        <v>74</v>
      </c>
      <c r="S66" s="1">
        <v>88</v>
      </c>
      <c r="T66" s="1">
        <v>0</v>
      </c>
      <c r="U66" s="1">
        <f>Games[[#This Row],[PointsFor]]-Games[[#This Row],[PointsAgainst]]</f>
        <v>-14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0.46713261821728341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-12.413965224601126</v>
      </c>
      <c r="AB66" s="4">
        <f>Games[[#This Row],[PreGmRate]]+Games[[#This Row],[RatingChange]]</f>
        <v>1509.3133715784397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41441</v>
      </c>
      <c r="B67" s="2">
        <v>2013</v>
      </c>
      <c r="C67" s="2">
        <f>COUNTIFS(Games[Team],Games[[#This Row],[Team]],Games[Season],Games[[#This Row],[Season]],Games[Date],"&lt;=" &amp; Games[[#This Row],[Date]])</f>
        <v>7</v>
      </c>
      <c r="D67" s="2" t="s">
        <v>83</v>
      </c>
      <c r="E67" s="2" t="s">
        <v>84</v>
      </c>
      <c r="F67" s="1" t="s">
        <v>79</v>
      </c>
      <c r="G67" s="1" t="s">
        <v>77</v>
      </c>
      <c r="H67" s="1" t="s">
        <v>86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7" s="2">
        <f>Games[[#This Row],[DaysOff]]-Games[[#This Row],[OppDaysOff]]</f>
        <v>-5</v>
      </c>
      <c r="L67" s="2">
        <f>Games[[#This Row],[OppDaysOff]]-Games[[#This Row],[DaysOff]]</f>
        <v>5</v>
      </c>
      <c r="M67" s="1">
        <f>MAX(-16, MIN(16, Games[[#This Row],[RestDiff]]*8))</f>
        <v>-16</v>
      </c>
      <c r="N67" s="1">
        <f>MAX(-16, MIN(16, Games[[#This Row],[OppRestDiff]]*8))</f>
        <v>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1574.3260666325912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1521.7273368030408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0.64614087941690979</v>
      </c>
      <c r="R67" s="1">
        <v>88</v>
      </c>
      <c r="S67" s="1">
        <v>74</v>
      </c>
      <c r="T67" s="1">
        <v>0</v>
      </c>
      <c r="U67" s="1">
        <f>Games[[#This Row],[PointsFor]]-Games[[#This Row],[PointsAgainst]]</f>
        <v>14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0.46713261821728341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74.95</v>
      </c>
      <c r="Z67" s="4">
        <f>Games[[#This Row],[K]]*Games[[#This Row],[POMult]]</f>
        <v>74.95</v>
      </c>
      <c r="AA67" s="4">
        <f>(Games[[#This Row],[Keff]]*Games[[#This Row],[MOVMult]])*(Games[[#This Row],[Result]]-Games[[#This Row],[ExpectedWin%]])</f>
        <v>12.389170353979424</v>
      </c>
      <c r="AB67" s="4">
        <f>Games[[#This Row],[PreGmRate]]+Games[[#This Row],[RatingChange]]</f>
        <v>1586.7152369865705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41441</v>
      </c>
      <c r="B68" s="2">
        <v>2013</v>
      </c>
      <c r="C68" s="2">
        <f>COUNTIFS(Games[Team],Games[[#This Row],[Team]],Games[Season],Games[[#This Row],[Season]],Games[Date],"&lt;=" &amp; Games[[#This Row],[Date]])</f>
        <v>5</v>
      </c>
      <c r="D68" s="2" t="s">
        <v>83</v>
      </c>
      <c r="E68" s="2" t="s">
        <v>84</v>
      </c>
      <c r="F68" s="1" t="s">
        <v>71</v>
      </c>
      <c r="G68" s="1" t="s">
        <v>76</v>
      </c>
      <c r="H68" s="1" t="s">
        <v>85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1460.893982677163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1527.176065918004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0.29627632733675047</v>
      </c>
      <c r="R68" s="1">
        <v>78</v>
      </c>
      <c r="S68" s="1">
        <v>66</v>
      </c>
      <c r="T68" s="1">
        <v>0</v>
      </c>
      <c r="U68" s="1">
        <f>Games[[#This Row],[PointsFor]]-Games[[#This Row],[PointsAgainst]]</f>
        <v>12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0.43225387055227282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22.890092918423257</v>
      </c>
      <c r="AB68" s="4">
        <f>Games[[#This Row],[PreGmRate]]+Games[[#This Row],[RatingChange]]</f>
        <v>1483.7840755955863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41441</v>
      </c>
      <c r="B69" s="2">
        <v>2013</v>
      </c>
      <c r="C69" s="2">
        <f>COUNTIFS(Games[Team],Games[[#This Row],[Team]],Games[Season],Games[[#This Row],[Season]],Games[Date],"&lt;=" &amp; Games[[#This Row],[Date]])</f>
        <v>7</v>
      </c>
      <c r="D69" s="2" t="s">
        <v>83</v>
      </c>
      <c r="E69" s="2" t="s">
        <v>84</v>
      </c>
      <c r="F69" s="1" t="s">
        <v>76</v>
      </c>
      <c r="G69" s="1" t="s">
        <v>71</v>
      </c>
      <c r="H69" s="1" t="s">
        <v>86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1527.176065918004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1460.893982677163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0.70372367266324953</v>
      </c>
      <c r="R69" s="1">
        <v>66</v>
      </c>
      <c r="S69" s="1">
        <v>78</v>
      </c>
      <c r="T69" s="1">
        <v>0</v>
      </c>
      <c r="U69" s="1">
        <f>Games[[#This Row],[PointsFor]]-Games[[#This Row],[PointsAgainst]]</f>
        <v>-12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0.43225387055227282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-22.798836734030875</v>
      </c>
      <c r="AB69" s="4">
        <f>Games[[#This Row],[PreGmRate]]+Games[[#This Row],[RatingChange]]</f>
        <v>1504.3772291839732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41441</v>
      </c>
      <c r="B70" s="2">
        <v>2013</v>
      </c>
      <c r="C70" s="2">
        <f>COUNTIFS(Games[Team],Games[[#This Row],[Team]],Games[Season],Games[[#This Row],[Season]],Games[Date],"&lt;=" &amp; Games[[#This Row],[Date]])</f>
        <v>6</v>
      </c>
      <c r="D70" s="2" t="s">
        <v>83</v>
      </c>
      <c r="E70" s="2" t="s">
        <v>84</v>
      </c>
      <c r="F70" s="1" t="s">
        <v>40</v>
      </c>
      <c r="G70" s="1" t="s">
        <v>81</v>
      </c>
      <c r="H70" s="1" t="s">
        <v>85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1412.848869393973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1397.952930722809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0.40184224105284511</v>
      </c>
      <c r="R70" s="1">
        <v>108</v>
      </c>
      <c r="S70" s="1">
        <v>103</v>
      </c>
      <c r="T70" s="1">
        <v>1</v>
      </c>
      <c r="U70" s="1">
        <f>Games[[#This Row],[PointsFor]]-Games[[#This Row],[PointsAgainst]]</f>
        <v>5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0.29491945943127207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13.248268055541036</v>
      </c>
      <c r="AB70" s="4">
        <f>Games[[#This Row],[PreGmRate]]+Games[[#This Row],[RatingChange]]</f>
        <v>1426.0971374495141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41441</v>
      </c>
      <c r="B71" s="2">
        <v>2013</v>
      </c>
      <c r="C71" s="2">
        <f>COUNTIFS(Games[Team],Games[[#This Row],[Team]],Games[Season],Games[[#This Row],[Season]],Games[Date],"&lt;=" &amp; Games[[#This Row],[Date]])</f>
        <v>8</v>
      </c>
      <c r="D71" s="2" t="s">
        <v>83</v>
      </c>
      <c r="E71" s="2" t="s">
        <v>84</v>
      </c>
      <c r="F71" s="1" t="s">
        <v>81</v>
      </c>
      <c r="G71" s="1" t="s">
        <v>40</v>
      </c>
      <c r="H71" s="1" t="s">
        <v>86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1397.952930722809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1412.848869393973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0.59815775894715495</v>
      </c>
      <c r="R71" s="1">
        <v>103</v>
      </c>
      <c r="S71" s="1">
        <v>108</v>
      </c>
      <c r="T71" s="1">
        <v>1</v>
      </c>
      <c r="U71" s="1">
        <f>Games[[#This Row],[PointsFor]]-Games[[#This Row],[PointsAgainst]]</f>
        <v>-5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0.29491945943127207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74.8</v>
      </c>
      <c r="Z71" s="4">
        <f>Games[[#This Row],[K]]*Games[[#This Row],[POMult]]</f>
        <v>74.8</v>
      </c>
      <c r="AA71" s="4">
        <f>(Games[[#This Row],[Keff]]*Games[[#This Row],[MOVMult]])*(Games[[#This Row],[Result]]-Games[[#This Row],[ExpectedWin%]])</f>
        <v>-13.195345546664043</v>
      </c>
      <c r="AB71" s="4">
        <f>Games[[#This Row],[PreGmRate]]+Games[[#This Row],[RatingChange]]</f>
        <v>1384.7575851761449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41441</v>
      </c>
      <c r="B72" s="2">
        <v>2013</v>
      </c>
      <c r="C72" s="2">
        <f>COUNTIFS(Games[Team],Games[[#This Row],[Team]],Games[Season],Games[[#This Row],[Season]],Games[Date],"&lt;=" &amp; Games[[#This Row],[Date]])</f>
        <v>6</v>
      </c>
      <c r="D72" s="2" t="s">
        <v>83</v>
      </c>
      <c r="E72" s="2" t="s">
        <v>84</v>
      </c>
      <c r="F72" s="1" t="s">
        <v>69</v>
      </c>
      <c r="G72" s="1" t="s">
        <v>65</v>
      </c>
      <c r="H72" s="1" t="s">
        <v>85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72" s="2">
        <f>Games[[#This Row],[DaysOff]]-Games[[#This Row],[OppDaysOff]]</f>
        <v>-4</v>
      </c>
      <c r="L72" s="2">
        <f>Games[[#This Row],[OppDaysOff]]-Games[[#This Row],[DaysOff]]</f>
        <v>4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1530.0753452664896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1418.9316955543866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0.49301160525377513</v>
      </c>
      <c r="R72" s="1">
        <v>60</v>
      </c>
      <c r="S72" s="1">
        <v>64</v>
      </c>
      <c r="T72" s="1">
        <v>0</v>
      </c>
      <c r="U72" s="1">
        <f>Games[[#This Row],[PointsFor]]-Games[[#This Row],[PointsAgainst]]</f>
        <v>-4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0.28503305642117505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75.099999999999994</v>
      </c>
      <c r="Z72" s="4">
        <f>Games[[#This Row],[K]]*Games[[#This Row],[POMult]]</f>
        <v>75.099999999999994</v>
      </c>
      <c r="AA72" s="4">
        <f>(Games[[#This Row],[Keff]]*Games[[#This Row],[MOVMult]])*(Games[[#This Row],[Result]]-Games[[#This Row],[ExpectedWin%]])</f>
        <v>-10.553397812714161</v>
      </c>
      <c r="AB72" s="4">
        <f>Games[[#This Row],[PreGmRate]]+Games[[#This Row],[RatingChange]]</f>
        <v>1519.5219474537755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41441</v>
      </c>
      <c r="B73" s="2">
        <v>2013</v>
      </c>
      <c r="C73" s="2">
        <f>COUNTIFS(Games[Team],Games[[#This Row],[Team]],Games[Season],Games[[#This Row],[Season]],Games[Date],"&lt;=" &amp; Games[[#This Row],[Date]])</f>
        <v>5</v>
      </c>
      <c r="D73" s="2" t="s">
        <v>83</v>
      </c>
      <c r="E73" s="2" t="s">
        <v>84</v>
      </c>
      <c r="F73" s="1" t="s">
        <v>65</v>
      </c>
      <c r="G73" s="1" t="s">
        <v>69</v>
      </c>
      <c r="H73" s="1" t="s">
        <v>86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7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3" s="2">
        <f>Games[[#This Row],[DaysOff]]-Games[[#This Row],[OppDaysOff]]</f>
        <v>4</v>
      </c>
      <c r="L73" s="2">
        <f>Games[[#This Row],[OppDaysOff]]-Games[[#This Row],[DaysOff]]</f>
        <v>-4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1418.9316955543866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1530.0753452664896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0.50698839474622492</v>
      </c>
      <c r="R73" s="1">
        <v>64</v>
      </c>
      <c r="S73" s="1">
        <v>60</v>
      </c>
      <c r="T73" s="1">
        <v>0</v>
      </c>
      <c r="U73" s="1">
        <f>Games[[#This Row],[PointsFor]]-Games[[#This Row],[PointsAgainst]]</f>
        <v>4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0.28503305642117505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75.25</v>
      </c>
      <c r="Z73" s="4">
        <f>Games[[#This Row],[K]]*Games[[#This Row],[POMult]]</f>
        <v>75.25</v>
      </c>
      <c r="AA73" s="4">
        <f>(Games[[#This Row],[Keff]]*Games[[#This Row],[MOVMult]])*(Games[[#This Row],[Result]]-Games[[#This Row],[ExpectedWin%]])</f>
        <v>10.57447650341865</v>
      </c>
      <c r="AB73" s="4">
        <f>Games[[#This Row],[PreGmRate]]+Games[[#This Row],[RatingChange]]</f>
        <v>1429.5061720578053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41443</v>
      </c>
      <c r="B74" s="2">
        <v>2013</v>
      </c>
      <c r="C74" s="2">
        <f>COUNTIFS(Games[Team],Games[[#This Row],[Team]],Games[Season],Games[[#This Row],[Season]],Games[Date],"&lt;=" &amp; Games[[#This Row],[Date]])</f>
        <v>6</v>
      </c>
      <c r="D74" s="2" t="s">
        <v>83</v>
      </c>
      <c r="E74" s="2" t="s">
        <v>84</v>
      </c>
      <c r="F74" s="1" t="s">
        <v>65</v>
      </c>
      <c r="G74" s="1" t="s">
        <v>71</v>
      </c>
      <c r="H74" s="1" t="s">
        <v>85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1429.5061720578053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1483.7840755955863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0.31088360711344137</v>
      </c>
      <c r="R74" s="1">
        <v>86</v>
      </c>
      <c r="S74" s="1">
        <v>96</v>
      </c>
      <c r="T74" s="1">
        <v>1</v>
      </c>
      <c r="U74" s="1">
        <f>Games[[#This Row],[PointsFor]]-Games[[#This Row],[PointsAgainst]]</f>
        <v>-10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0.36433718077143951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-8.5063109179789063</v>
      </c>
      <c r="AB74" s="4">
        <f>Games[[#This Row],[PreGmRate]]+Games[[#This Row],[RatingChange]]</f>
        <v>1420.9998611398264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41443</v>
      </c>
      <c r="B75" s="2">
        <v>2013</v>
      </c>
      <c r="C75" s="2">
        <f>COUNTIFS(Games[Team],Games[[#This Row],[Team]],Games[Season],Games[[#This Row],[Season]],Games[Date],"&lt;=" &amp; Games[[#This Row],[Date]])</f>
        <v>6</v>
      </c>
      <c r="D75" s="2" t="s">
        <v>83</v>
      </c>
      <c r="E75" s="2" t="s">
        <v>84</v>
      </c>
      <c r="F75" s="1" t="s">
        <v>71</v>
      </c>
      <c r="G75" s="1" t="s">
        <v>65</v>
      </c>
      <c r="H75" s="1" t="s">
        <v>86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1483.7840755955863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1429.5061720578053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0.68911639288655868</v>
      </c>
      <c r="R75" s="1">
        <v>96</v>
      </c>
      <c r="S75" s="1">
        <v>86</v>
      </c>
      <c r="T75" s="1">
        <v>1</v>
      </c>
      <c r="U75" s="1">
        <f>Games[[#This Row],[PointsFor]]-Games[[#This Row],[PointsAgainst]]</f>
        <v>10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0.36433718077143951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8.5063109179789045</v>
      </c>
      <c r="AB75" s="4">
        <f>Games[[#This Row],[PreGmRate]]+Games[[#This Row],[RatingChange]]</f>
        <v>1492.2903865135652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41444</v>
      </c>
      <c r="B76" s="2">
        <v>2013</v>
      </c>
      <c r="C76" s="2">
        <f>COUNTIFS(Games[Team],Games[[#This Row],[Team]],Games[Season],Games[[#This Row],[Season]],Games[Date],"&lt;=" &amp; Games[[#This Row],[Date]])</f>
        <v>6</v>
      </c>
      <c r="D76" s="2" t="s">
        <v>83</v>
      </c>
      <c r="E76" s="2" t="s">
        <v>84</v>
      </c>
      <c r="F76" s="1" t="s">
        <v>67</v>
      </c>
      <c r="G76" s="1" t="s">
        <v>40</v>
      </c>
      <c r="H76" s="1" t="s">
        <v>85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2</v>
      </c>
      <c r="L76" s="2">
        <f>Games[[#This Row],[OppDaysOff]]-Games[[#This Row],[DaysOff]]</f>
        <v>-2</v>
      </c>
      <c r="M76" s="1">
        <f>MAX(-16, MIN(16, Games[[#This Row],[RestDiff]]*8))</f>
        <v>16</v>
      </c>
      <c r="N76" s="1">
        <f>MAX(-16, MIN(16, Games[[#This Row],[OppRestDiff]]*8))</f>
        <v>-16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1604.3511764673199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1426.0971374495141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0.67409753693135022</v>
      </c>
      <c r="R76" s="1">
        <v>80</v>
      </c>
      <c r="S76" s="1">
        <v>69</v>
      </c>
      <c r="T76" s="1">
        <v>0</v>
      </c>
      <c r="U76" s="1">
        <f>Games[[#This Row],[PointsFor]]-Games[[#This Row],[PointsAgainst]]</f>
        <v>11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0.38295056598222599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9.3728204048042834</v>
      </c>
      <c r="AB76" s="4">
        <f>Games[[#This Row],[PreGmRate]]+Games[[#This Row],[RatingChange]]</f>
        <v>1613.7239968721242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41444</v>
      </c>
      <c r="B77" s="2">
        <v>2013</v>
      </c>
      <c r="C77" s="2">
        <f>COUNTIFS(Games[Team],Games[[#This Row],[Team]],Games[Season],Games[[#This Row],[Season]],Games[Date],"&lt;=" &amp; Games[[#This Row],[Date]])</f>
        <v>7</v>
      </c>
      <c r="D77" s="2" t="s">
        <v>83</v>
      </c>
      <c r="E77" s="2" t="s">
        <v>84</v>
      </c>
      <c r="F77" s="1" t="s">
        <v>40</v>
      </c>
      <c r="G77" s="1" t="s">
        <v>67</v>
      </c>
      <c r="H77" s="1" t="s">
        <v>86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7" s="2">
        <f>Games[[#This Row],[DaysOff]]-Games[[#This Row],[OppDaysOff]]</f>
        <v>-2</v>
      </c>
      <c r="L77" s="2">
        <f>Games[[#This Row],[OppDaysOff]]-Games[[#This Row],[DaysOff]]</f>
        <v>2</v>
      </c>
      <c r="M77" s="1">
        <f>MAX(-16, MIN(16, Games[[#This Row],[RestDiff]]*8))</f>
        <v>-16</v>
      </c>
      <c r="N77" s="1">
        <f>MAX(-16, MIN(16, Games[[#This Row],[OppRestDiff]]*8))</f>
        <v>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1426.0971374495141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1604.3511764673199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0.32590246306864973</v>
      </c>
      <c r="R77" s="1">
        <v>69</v>
      </c>
      <c r="S77" s="1">
        <v>80</v>
      </c>
      <c r="T77" s="1">
        <v>0</v>
      </c>
      <c r="U77" s="1">
        <f>Games[[#This Row],[PointsFor]]-Games[[#This Row],[PointsAgainst]]</f>
        <v>-11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0.38295056598222599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-9.3540997249012126</v>
      </c>
      <c r="AB77" s="4">
        <f>Games[[#This Row],[PreGmRate]]+Games[[#This Row],[RatingChange]]</f>
        <v>1416.7430377246128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41445</v>
      </c>
      <c r="B78" s="2">
        <v>2013</v>
      </c>
      <c r="C78" s="2">
        <f>COUNTIFS(Games[Team],Games[[#This Row],[Team]],Games[Season],Games[[#This Row],[Season]],Games[Date],"&lt;=" &amp; Games[[#This Row],[Date]])</f>
        <v>7</v>
      </c>
      <c r="D78" s="2" t="s">
        <v>83</v>
      </c>
      <c r="E78" s="2" t="s">
        <v>84</v>
      </c>
      <c r="F78" s="1" t="s">
        <v>77</v>
      </c>
      <c r="G78" s="1" t="s">
        <v>81</v>
      </c>
      <c r="H78" s="1" t="s">
        <v>85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1509.3133715784397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1384.7575851761449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0.55810082060642863</v>
      </c>
      <c r="R78" s="1">
        <v>74</v>
      </c>
      <c r="S78" s="1">
        <v>83</v>
      </c>
      <c r="T78" s="1">
        <v>0</v>
      </c>
      <c r="U78" s="1">
        <f>Games[[#This Row],[PointsFor]]-Games[[#This Row],[PointsAgainst]]</f>
        <v>-9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0.36779563199818982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-15.384764950322051</v>
      </c>
      <c r="AB78" s="4">
        <f>Games[[#This Row],[PreGmRate]]+Games[[#This Row],[RatingChange]]</f>
        <v>1493.9286066281177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41445</v>
      </c>
      <c r="B79" s="2">
        <v>2013</v>
      </c>
      <c r="C79" s="2">
        <f>COUNTIFS(Games[Team],Games[[#This Row],[Team]],Games[Season],Games[[#This Row],[Season]],Games[Date],"&lt;=" &amp; Games[[#This Row],[Date]])</f>
        <v>9</v>
      </c>
      <c r="D79" s="2" t="s">
        <v>83</v>
      </c>
      <c r="E79" s="2" t="s">
        <v>84</v>
      </c>
      <c r="F79" s="1" t="s">
        <v>81</v>
      </c>
      <c r="G79" s="1" t="s">
        <v>77</v>
      </c>
      <c r="H79" s="1" t="s">
        <v>86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1384.7575851761449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1509.3133715784397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0.44189917939357143</v>
      </c>
      <c r="R79" s="1">
        <v>83</v>
      </c>
      <c r="S79" s="1">
        <v>74</v>
      </c>
      <c r="T79" s="1">
        <v>0</v>
      </c>
      <c r="U79" s="1">
        <f>Games[[#This Row],[PointsFor]]-Games[[#This Row],[PointsAgainst]]</f>
        <v>9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0.36779563199818982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74.650000000000006</v>
      </c>
      <c r="Z79" s="4">
        <f>Games[[#This Row],[K]]*Games[[#This Row],[POMult]]</f>
        <v>74.650000000000006</v>
      </c>
      <c r="AA79" s="4">
        <f>(Games[[#This Row],[Keff]]*Games[[#This Row],[MOVMult]])*(Games[[#This Row],[Result]]-Games[[#This Row],[ExpectedWin%]])</f>
        <v>15.323184837111958</v>
      </c>
      <c r="AB79" s="4">
        <f>Games[[#This Row],[PreGmRate]]+Games[[#This Row],[RatingChange]]</f>
        <v>1400.0807700132568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41446</v>
      </c>
      <c r="B80" s="2">
        <v>2013</v>
      </c>
      <c r="C80" s="2">
        <f>COUNTIFS(Games[Team],Games[[#This Row],[Team]],Games[Season],Games[[#This Row],[Season]],Games[Date],"&lt;=" &amp; Games[[#This Row],[Date]])</f>
        <v>7</v>
      </c>
      <c r="D80" s="2" t="s">
        <v>83</v>
      </c>
      <c r="E80" s="2" t="s">
        <v>84</v>
      </c>
      <c r="F80" s="1" t="s">
        <v>67</v>
      </c>
      <c r="G80" s="1" t="s">
        <v>63</v>
      </c>
      <c r="H80" s="1" t="s">
        <v>85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0" s="2">
        <f>Games[[#This Row],[DaysOff]]-Games[[#This Row],[OppDaysOff]]</f>
        <v>-4</v>
      </c>
      <c r="L80" s="2">
        <f>Games[[#This Row],[OppDaysOff]]-Games[[#This Row],[DaysOff]]</f>
        <v>4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1613.7239968721242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1567.7376206498898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0.40058437206030895</v>
      </c>
      <c r="R80" s="1">
        <v>59</v>
      </c>
      <c r="S80" s="1">
        <v>87</v>
      </c>
      <c r="T80" s="1">
        <v>0</v>
      </c>
      <c r="U80" s="1">
        <f>Games[[#This Row],[PointsFor]]-Games[[#This Row],[PointsAgainst]]</f>
        <v>-28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0.65402608538629459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-19.636347522978536</v>
      </c>
      <c r="AB80" s="4">
        <f>Games[[#This Row],[PreGmRate]]+Games[[#This Row],[RatingChange]]</f>
        <v>1594.0876493491457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41446</v>
      </c>
      <c r="B81" s="2">
        <v>2013</v>
      </c>
      <c r="C81" s="2">
        <f>COUNTIFS(Games[Team],Games[[#This Row],[Team]],Games[Season],Games[[#This Row],[Season]],Games[Date],"&lt;=" &amp; Games[[#This Row],[Date]])</f>
        <v>6</v>
      </c>
      <c r="D81" s="2" t="s">
        <v>83</v>
      </c>
      <c r="E81" s="2" t="s">
        <v>84</v>
      </c>
      <c r="F81" s="1" t="s">
        <v>63</v>
      </c>
      <c r="G81" s="1" t="s">
        <v>67</v>
      </c>
      <c r="H81" s="1" t="s">
        <v>86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5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4</v>
      </c>
      <c r="L81" s="2">
        <f>Games[[#This Row],[OppDaysOff]]-Games[[#This Row],[DaysOff]]</f>
        <v>-4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1567.7376206498898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1613.7239968721242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0.59941562793969105</v>
      </c>
      <c r="R81" s="1">
        <v>87</v>
      </c>
      <c r="S81" s="1">
        <v>59</v>
      </c>
      <c r="T81" s="1">
        <v>0</v>
      </c>
      <c r="U81" s="1">
        <f>Games[[#This Row],[PointsFor]]-Games[[#This Row],[PointsAgainst]]</f>
        <v>28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0.65402608538629459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19.675646417287361</v>
      </c>
      <c r="AB81" s="4">
        <f>Games[[#This Row],[PreGmRate]]+Games[[#This Row],[RatingChange]]</f>
        <v>1587.4132670671772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41446</v>
      </c>
      <c r="B82" s="2">
        <v>2013</v>
      </c>
      <c r="C82" s="2">
        <f>COUNTIFS(Games[Team],Games[[#This Row],[Team]],Games[Season],Games[[#This Row],[Season]],Games[Date],"&lt;=" &amp; Games[[#This Row],[Date]])</f>
        <v>7</v>
      </c>
      <c r="D82" s="2" t="s">
        <v>83</v>
      </c>
      <c r="E82" s="2" t="s">
        <v>84</v>
      </c>
      <c r="F82" s="1" t="s">
        <v>65</v>
      </c>
      <c r="G82" s="1" t="s">
        <v>40</v>
      </c>
      <c r="H82" s="1" t="s">
        <v>85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1</v>
      </c>
      <c r="L82" s="2">
        <f>Games[[#This Row],[OppDaysOff]]-Games[[#This Row],[DaysOff]]</f>
        <v>-1</v>
      </c>
      <c r="M82" s="1">
        <f>MAX(-16, MIN(16, Games[[#This Row],[RestDiff]]*8))</f>
        <v>8</v>
      </c>
      <c r="N82" s="1">
        <f>MAX(-16, MIN(16, Games[[#This Row],[OppRestDiff]]*8))</f>
        <v>-8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1420.9998611398264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1416.7430377246128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0.40928178741159427</v>
      </c>
      <c r="R82" s="1">
        <v>82</v>
      </c>
      <c r="S82" s="1">
        <v>90</v>
      </c>
      <c r="T82" s="1">
        <v>0</v>
      </c>
      <c r="U82" s="1">
        <f>Games[[#This Row],[PointsFor]]-Games[[#This Row],[PointsAgainst]]</f>
        <v>-8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0.38694291196300962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-11.869733063253356</v>
      </c>
      <c r="AB82" s="4">
        <f>Games[[#This Row],[PreGmRate]]+Games[[#This Row],[RatingChange]]</f>
        <v>1409.1301280765731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41446</v>
      </c>
      <c r="B83" s="2">
        <v>2013</v>
      </c>
      <c r="C83" s="2">
        <f>COUNTIFS(Games[Team],Games[[#This Row],[Team]],Games[Season],Games[[#This Row],[Season]],Games[Date],"&lt;=" &amp; Games[[#This Row],[Date]])</f>
        <v>8</v>
      </c>
      <c r="D83" s="2" t="s">
        <v>83</v>
      </c>
      <c r="E83" s="2" t="s">
        <v>84</v>
      </c>
      <c r="F83" s="1" t="s">
        <v>40</v>
      </c>
      <c r="G83" s="1" t="s">
        <v>65</v>
      </c>
      <c r="H83" s="1" t="s">
        <v>86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-1</v>
      </c>
      <c r="L83" s="2">
        <f>Games[[#This Row],[OppDaysOff]]-Games[[#This Row],[DaysOff]]</f>
        <v>1</v>
      </c>
      <c r="M83" s="1">
        <f>MAX(-16, MIN(16, Games[[#This Row],[RestDiff]]*8))</f>
        <v>-8</v>
      </c>
      <c r="N83" s="1">
        <f>MAX(-16, MIN(16, Games[[#This Row],[OppRestDiff]]*8))</f>
        <v>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1416.7430377246128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1420.9998611398264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0.59071821258840573</v>
      </c>
      <c r="R83" s="1">
        <v>90</v>
      </c>
      <c r="S83" s="1">
        <v>82</v>
      </c>
      <c r="T83" s="1">
        <v>0</v>
      </c>
      <c r="U83" s="1">
        <f>Games[[#This Row],[PointsFor]]-Games[[#This Row],[PointsAgainst]]</f>
        <v>8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0.38694291196300962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11.845977760258187</v>
      </c>
      <c r="AB83" s="4">
        <f>Games[[#This Row],[PreGmRate]]+Games[[#This Row],[RatingChange]]</f>
        <v>1428.589015484871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41446</v>
      </c>
      <c r="B84" s="2">
        <v>2013</v>
      </c>
      <c r="C84" s="2">
        <f>COUNTIFS(Games[Team],Games[[#This Row],[Team]],Games[Season],Games[[#This Row],[Season]],Games[Date],"&lt;=" &amp; Games[[#This Row],[Date]])</f>
        <v>7</v>
      </c>
      <c r="D84" s="2" t="s">
        <v>83</v>
      </c>
      <c r="E84" s="2" t="s">
        <v>84</v>
      </c>
      <c r="F84" s="1" t="s">
        <v>71</v>
      </c>
      <c r="G84" s="1" t="s">
        <v>74</v>
      </c>
      <c r="H84" s="1" t="s">
        <v>85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4" s="2">
        <f>Games[[#This Row],[DaysOff]]-Games[[#This Row],[OppDaysOff]]</f>
        <v>-3</v>
      </c>
      <c r="L84" s="2">
        <f>Games[[#This Row],[OppDaysOff]]-Games[[#This Row],[DaysOff]]</f>
        <v>3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1492.2903865135652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1490.2183373514158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0.34167876411443115</v>
      </c>
      <c r="R84" s="1">
        <v>91</v>
      </c>
      <c r="S84" s="1">
        <v>86</v>
      </c>
      <c r="T84" s="1">
        <v>0</v>
      </c>
      <c r="U84" s="1">
        <f>Games[[#This Row],[PointsFor]]-Games[[#This Row],[PointsAgainst]]</f>
        <v>5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0.33118411731724406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16.341014029476053</v>
      </c>
      <c r="AB84" s="4">
        <f>Games[[#This Row],[PreGmRate]]+Games[[#This Row],[RatingChange]]</f>
        <v>1508.6314005430413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41446</v>
      </c>
      <c r="B85" s="2">
        <v>2013</v>
      </c>
      <c r="C85" s="2">
        <f>COUNTIFS(Games[Team],Games[[#This Row],[Team]],Games[Season],Games[[#This Row],[Season]],Games[Date],"&lt;=" &amp; Games[[#This Row],[Date]])</f>
        <v>7</v>
      </c>
      <c r="D85" s="2" t="s">
        <v>83</v>
      </c>
      <c r="E85" s="2" t="s">
        <v>84</v>
      </c>
      <c r="F85" s="1" t="s">
        <v>74</v>
      </c>
      <c r="G85" s="1" t="s">
        <v>71</v>
      </c>
      <c r="H85" s="1" t="s">
        <v>86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5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3</v>
      </c>
      <c r="L85" s="2">
        <f>Games[[#This Row],[OppDaysOff]]-Games[[#This Row],[DaysOff]]</f>
        <v>-3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1490.2183373514158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1492.2903865135652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0.65832123588556879</v>
      </c>
      <c r="R85" s="1">
        <v>86</v>
      </c>
      <c r="S85" s="1">
        <v>91</v>
      </c>
      <c r="T85" s="1">
        <v>0</v>
      </c>
      <c r="U85" s="1">
        <f>Games[[#This Row],[PointsFor]]-Games[[#This Row],[PointsAgainst]]</f>
        <v>-5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0.33118411731724406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-16.341014029476053</v>
      </c>
      <c r="AB85" s="4">
        <f>Games[[#This Row],[PreGmRate]]+Games[[#This Row],[RatingChange]]</f>
        <v>1473.8773233219397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41447</v>
      </c>
      <c r="B86" s="2">
        <v>2013</v>
      </c>
      <c r="C86" s="2">
        <f>COUNTIFS(Games[Team],Games[[#This Row],[Team]],Games[Season],Games[[#This Row],[Season]],Games[Date],"&lt;=" &amp; Games[[#This Row],[Date]])</f>
        <v>8</v>
      </c>
      <c r="D86" s="2" t="s">
        <v>83</v>
      </c>
      <c r="E86" s="2" t="s">
        <v>84</v>
      </c>
      <c r="F86" s="1" t="s">
        <v>77</v>
      </c>
      <c r="G86" s="1" t="s">
        <v>69</v>
      </c>
      <c r="H86" s="1" t="s">
        <v>85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6" s="2">
        <f>Games[[#This Row],[DaysOff]]-Games[[#This Row],[OppDaysOff]]</f>
        <v>-4</v>
      </c>
      <c r="L86" s="2">
        <f>Games[[#This Row],[OppDaysOff]]-Games[[#This Row],[DaysOff]]</f>
        <v>4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1493.9286066281177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1519.5219474537755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0.30680971900386128</v>
      </c>
      <c r="R86" s="1">
        <v>71</v>
      </c>
      <c r="S86" s="1">
        <v>61</v>
      </c>
      <c r="T86" s="1">
        <v>0</v>
      </c>
      <c r="U86" s="1">
        <f>Games[[#This Row],[PointsFor]]-Games[[#This Row],[PointsAgainst]]</f>
        <v>10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0.41429373209279668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74.8</v>
      </c>
      <c r="Z86" s="4">
        <f>Games[[#This Row],[K]]*Games[[#This Row],[POMult]]</f>
        <v>74.8</v>
      </c>
      <c r="AA86" s="4">
        <f>(Games[[#This Row],[Keff]]*Games[[#This Row],[MOVMult]])*(Games[[#This Row],[Result]]-Games[[#This Row],[ExpectedWin%]])</f>
        <v>21.481392264612989</v>
      </c>
      <c r="AB86" s="4">
        <f>Games[[#This Row],[PreGmRate]]+Games[[#This Row],[RatingChange]]</f>
        <v>1515.4099988927308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41447</v>
      </c>
      <c r="B87" s="2">
        <v>2013</v>
      </c>
      <c r="C87" s="2">
        <f>COUNTIFS(Games[Team],Games[[#This Row],[Team]],Games[Season],Games[[#This Row],[Season]],Games[Date],"&lt;=" &amp; Games[[#This Row],[Date]])</f>
        <v>7</v>
      </c>
      <c r="D87" s="2" t="s">
        <v>83</v>
      </c>
      <c r="E87" s="2" t="s">
        <v>84</v>
      </c>
      <c r="F87" s="1" t="s">
        <v>69</v>
      </c>
      <c r="G87" s="1" t="s">
        <v>77</v>
      </c>
      <c r="H87" s="1" t="s">
        <v>86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4</v>
      </c>
      <c r="L87" s="2">
        <f>Games[[#This Row],[OppDaysOff]]-Games[[#This Row],[DaysOff]]</f>
        <v>-4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1519.5219474537755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1493.9286066281177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0.69319028099613866</v>
      </c>
      <c r="R87" s="1">
        <v>61</v>
      </c>
      <c r="S87" s="1">
        <v>71</v>
      </c>
      <c r="T87" s="1">
        <v>0</v>
      </c>
      <c r="U87" s="1">
        <f>Games[[#This Row],[PointsFor]]-Games[[#This Row],[PointsAgainst]]</f>
        <v>-10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0.41429373209279668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-21.524469922897641</v>
      </c>
      <c r="AB87" s="4">
        <f>Games[[#This Row],[PreGmRate]]+Games[[#This Row],[RatingChange]]</f>
        <v>1497.9974775308779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41447</v>
      </c>
      <c r="B88" s="2">
        <v>2013</v>
      </c>
      <c r="C88" s="2">
        <f>COUNTIFS(Games[Team],Games[[#This Row],[Team]],Games[Season],Games[[#This Row],[Season]],Games[Date],"&lt;=" &amp; Games[[#This Row],[Date]])</f>
        <v>8</v>
      </c>
      <c r="D88" s="2" t="s">
        <v>83</v>
      </c>
      <c r="E88" s="2" t="s">
        <v>84</v>
      </c>
      <c r="F88" s="1" t="s">
        <v>71</v>
      </c>
      <c r="G88" s="1" t="s">
        <v>81</v>
      </c>
      <c r="H88" s="1" t="s">
        <v>85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-1</v>
      </c>
      <c r="L88" s="2">
        <f>Games[[#This Row],[OppDaysOff]]-Games[[#This Row],[DaysOff]]</f>
        <v>1</v>
      </c>
      <c r="M88" s="1">
        <f>MAX(-16, MIN(16, Games[[#This Row],[RestDiff]]*8))</f>
        <v>-8</v>
      </c>
      <c r="N88" s="1">
        <f>MAX(-16, MIN(16, Games[[#This Row],[OppRestDiff]]*8))</f>
        <v>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1508.6314005430413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1400.0807700132568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0.51230286270485381</v>
      </c>
      <c r="R88" s="1">
        <v>70</v>
      </c>
      <c r="S88" s="1">
        <v>92</v>
      </c>
      <c r="T88" s="1">
        <v>0</v>
      </c>
      <c r="U88" s="1">
        <f>Games[[#This Row],[PointsFor]]-Games[[#This Row],[PointsAgainst]]</f>
        <v>-22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0.55211268767774535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-21.157098500386891</v>
      </c>
      <c r="AB88" s="4">
        <f>Games[[#This Row],[PreGmRate]]+Games[[#This Row],[RatingChange]]</f>
        <v>1487.4743020426545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41447</v>
      </c>
      <c r="B89" s="2">
        <v>2013</v>
      </c>
      <c r="C89" s="2">
        <f>COUNTIFS(Games[Team],Games[[#This Row],[Team]],Games[Season],Games[[#This Row],[Season]],Games[Date],"&lt;=" &amp; Games[[#This Row],[Date]])</f>
        <v>10</v>
      </c>
      <c r="D89" s="2" t="s">
        <v>83</v>
      </c>
      <c r="E89" s="2" t="s">
        <v>84</v>
      </c>
      <c r="F89" s="1" t="s">
        <v>81</v>
      </c>
      <c r="G89" s="1" t="s">
        <v>71</v>
      </c>
      <c r="H89" s="1" t="s">
        <v>86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9" s="2">
        <f>Games[[#This Row],[DaysOff]]-Games[[#This Row],[OppDaysOff]]</f>
        <v>1</v>
      </c>
      <c r="L89" s="2">
        <f>Games[[#This Row],[OppDaysOff]]-Games[[#This Row],[DaysOff]]</f>
        <v>-1</v>
      </c>
      <c r="M89" s="1">
        <f>MAX(-16, MIN(16, Games[[#This Row],[RestDiff]]*8))</f>
        <v>8</v>
      </c>
      <c r="N89" s="1">
        <f>MAX(-16, MIN(16, Games[[#This Row],[OppRestDiff]]*8))</f>
        <v>-8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1400.0807700132568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1508.6314005430413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0.48769713729514613</v>
      </c>
      <c r="R89" s="1">
        <v>92</v>
      </c>
      <c r="S89" s="1">
        <v>70</v>
      </c>
      <c r="T89" s="1">
        <v>0</v>
      </c>
      <c r="U89" s="1">
        <f>Games[[#This Row],[PointsFor]]-Games[[#This Row],[PointsAgainst]]</f>
        <v>22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0.55211268767774535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74.5</v>
      </c>
      <c r="Z89" s="4">
        <f>Games[[#This Row],[K]]*Games[[#This Row],[POMult]]</f>
        <v>74.5</v>
      </c>
      <c r="AA89" s="4">
        <f>(Games[[#This Row],[Keff]]*Games[[#This Row],[MOVMult]])*(Games[[#This Row],[Result]]-Games[[#This Row],[ExpectedWin%]])</f>
        <v>21.072243827256994</v>
      </c>
      <c r="AB89" s="4">
        <f>Games[[#This Row],[PreGmRate]]+Games[[#This Row],[RatingChange]]</f>
        <v>1421.1530138405137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41448</v>
      </c>
      <c r="B90" s="2">
        <v>2013</v>
      </c>
      <c r="C90" s="2">
        <f>COUNTIFS(Games[Team],Games[[#This Row],[Team]],Games[Season],Games[[#This Row],[Season]],Games[Date],"&lt;=" &amp; Games[[#This Row],[Date]])</f>
        <v>8</v>
      </c>
      <c r="D90" s="2" t="s">
        <v>83</v>
      </c>
      <c r="E90" s="2" t="s">
        <v>84</v>
      </c>
      <c r="F90" s="1" t="s">
        <v>79</v>
      </c>
      <c r="G90" s="1" t="s">
        <v>76</v>
      </c>
      <c r="H90" s="1" t="s">
        <v>85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6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1586.7152369865705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1504.3772291839732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0.49760821920702031</v>
      </c>
      <c r="R90" s="1">
        <v>78</v>
      </c>
      <c r="S90" s="1">
        <v>77</v>
      </c>
      <c r="T90" s="1">
        <v>0</v>
      </c>
      <c r="U90" s="1">
        <f>Games[[#This Row],[PointsFor]]-Games[[#This Row],[PointsAgainst]]</f>
        <v>1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0.22850106865385747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8.5868199977994539</v>
      </c>
      <c r="AB90" s="4">
        <f>Games[[#This Row],[PreGmRate]]+Games[[#This Row],[RatingChange]]</f>
        <v>1595.30205698437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41448</v>
      </c>
      <c r="B91" s="2">
        <v>2013</v>
      </c>
      <c r="C91" s="2">
        <f>COUNTIFS(Games[Team],Games[[#This Row],[Team]],Games[Season],Games[[#This Row],[Season]],Games[Date],"&lt;=" &amp; Games[[#This Row],[Date]])</f>
        <v>8</v>
      </c>
      <c r="D91" s="2" t="s">
        <v>83</v>
      </c>
      <c r="E91" s="2" t="s">
        <v>84</v>
      </c>
      <c r="F91" s="1" t="s">
        <v>76</v>
      </c>
      <c r="G91" s="1" t="s">
        <v>79</v>
      </c>
      <c r="H91" s="1" t="s">
        <v>86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6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1504.3772291839732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1586.7152369865705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0.50239178079297964</v>
      </c>
      <c r="R91" s="1">
        <v>77</v>
      </c>
      <c r="S91" s="1">
        <v>78</v>
      </c>
      <c r="T91" s="1">
        <v>0</v>
      </c>
      <c r="U91" s="1">
        <f>Games[[#This Row],[PointsFor]]-Games[[#This Row],[PointsAgainst]]</f>
        <v>-1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0.22850106865385747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-8.5868199977994539</v>
      </c>
      <c r="AB91" s="4">
        <f>Games[[#This Row],[PreGmRate]]+Games[[#This Row],[RatingChange]]</f>
        <v>1495.7904091861737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41448</v>
      </c>
      <c r="B92" s="2">
        <v>2013</v>
      </c>
      <c r="C92" s="2">
        <f>COUNTIFS(Games[Team],Games[[#This Row],[Team]],Games[Season],Games[[#This Row],[Season]],Games[Date],"&lt;=" &amp; Games[[#This Row],[Date]])</f>
        <v>8</v>
      </c>
      <c r="D92" s="2" t="s">
        <v>83</v>
      </c>
      <c r="E92" s="2" t="s">
        <v>84</v>
      </c>
      <c r="F92" s="1" t="s">
        <v>65</v>
      </c>
      <c r="G92" s="1" t="s">
        <v>63</v>
      </c>
      <c r="H92" s="1" t="s">
        <v>85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1409.1301280765731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1587.4132670671772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0.18096500898525086</v>
      </c>
      <c r="R92" s="1">
        <v>69</v>
      </c>
      <c r="S92" s="1">
        <v>79</v>
      </c>
      <c r="T92" s="1">
        <v>0</v>
      </c>
      <c r="U92" s="1">
        <f>Games[[#This Row],[PointsFor]]-Games[[#This Row],[PointsAgainst]]</f>
        <v>-10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0.36839719273544863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-4.9866916967546713</v>
      </c>
      <c r="AB92" s="4">
        <f>Games[[#This Row],[PreGmRate]]+Games[[#This Row],[RatingChange]]</f>
        <v>1404.1434363798185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41448</v>
      </c>
      <c r="B93" s="2">
        <v>2013</v>
      </c>
      <c r="C93" s="2">
        <f>COUNTIFS(Games[Team],Games[[#This Row],[Team]],Games[Season],Games[[#This Row],[Season]],Games[Date],"&lt;=" &amp; Games[[#This Row],[Date]])</f>
        <v>7</v>
      </c>
      <c r="D93" s="2" t="s">
        <v>83</v>
      </c>
      <c r="E93" s="2" t="s">
        <v>84</v>
      </c>
      <c r="F93" s="1" t="s">
        <v>63</v>
      </c>
      <c r="G93" s="1" t="s">
        <v>65</v>
      </c>
      <c r="H93" s="1" t="s">
        <v>86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1587.4132670671772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1409.1301280765731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0.81903499101474919</v>
      </c>
      <c r="R93" s="1">
        <v>79</v>
      </c>
      <c r="S93" s="1">
        <v>69</v>
      </c>
      <c r="T93" s="1">
        <v>0</v>
      </c>
      <c r="U93" s="1">
        <f>Games[[#This Row],[PointsFor]]-Games[[#This Row],[PointsAgainst]]</f>
        <v>10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0.36839719273544863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4.9966917469486969</v>
      </c>
      <c r="AB93" s="4">
        <f>Games[[#This Row],[PreGmRate]]+Games[[#This Row],[RatingChange]]</f>
        <v>1592.409958814126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41448</v>
      </c>
      <c r="B94" s="2">
        <v>2013</v>
      </c>
      <c r="C94" s="2">
        <f>COUNTIFS(Games[Team],Games[[#This Row],[Team]],Games[Season],Games[[#This Row],[Season]],Games[Date],"&lt;=" &amp; Games[[#This Row],[Date]])</f>
        <v>11</v>
      </c>
      <c r="D94" s="2" t="s">
        <v>83</v>
      </c>
      <c r="E94" s="2" t="s">
        <v>84</v>
      </c>
      <c r="F94" s="1" t="s">
        <v>81</v>
      </c>
      <c r="G94" s="1" t="s">
        <v>67</v>
      </c>
      <c r="H94" s="1" t="s">
        <v>85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1421.1530138405137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1594.0876493491457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0.17205421312575242</v>
      </c>
      <c r="R94" s="1">
        <v>79</v>
      </c>
      <c r="S94" s="1">
        <v>88</v>
      </c>
      <c r="T94" s="1">
        <v>0</v>
      </c>
      <c r="U94" s="1">
        <f>Games[[#This Row],[PointsFor]]-Games[[#This Row],[PointsAgainst]]</f>
        <v>-9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0.35483541603290586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74.349999999999994</v>
      </c>
      <c r="Z94" s="4">
        <f>Games[[#This Row],[K]]*Games[[#This Row],[POMult]]</f>
        <v>74.349999999999994</v>
      </c>
      <c r="AA94" s="4">
        <f>(Games[[#This Row],[Keff]]*Games[[#This Row],[MOVMult]])*(Games[[#This Row],[Result]]-Games[[#This Row],[ExpectedWin%]])</f>
        <v>-4.5391365187102464</v>
      </c>
      <c r="AB94" s="4">
        <f>Games[[#This Row],[PreGmRate]]+Games[[#This Row],[RatingChange]]</f>
        <v>1416.6138773218036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41448</v>
      </c>
      <c r="B95" s="2">
        <v>2013</v>
      </c>
      <c r="C95" s="2">
        <f>COUNTIFS(Games[Team],Games[[#This Row],[Team]],Games[Season],Games[[#This Row],[Season]],Games[Date],"&lt;=" &amp; Games[[#This Row],[Date]])</f>
        <v>8</v>
      </c>
      <c r="D95" s="2" t="s">
        <v>83</v>
      </c>
      <c r="E95" s="2" t="s">
        <v>84</v>
      </c>
      <c r="F95" s="1" t="s">
        <v>67</v>
      </c>
      <c r="G95" s="1" t="s">
        <v>81</v>
      </c>
      <c r="H95" s="1" t="s">
        <v>86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1594.0876493491457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1421.1530138405137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0.82794578687424758</v>
      </c>
      <c r="R95" s="1">
        <v>88</v>
      </c>
      <c r="S95" s="1">
        <v>79</v>
      </c>
      <c r="T95" s="1">
        <v>0</v>
      </c>
      <c r="U95" s="1">
        <f>Games[[#This Row],[PointsFor]]-Games[[#This Row],[PointsAgainst]]</f>
        <v>9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0.35483541603290586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4.5666094364428576</v>
      </c>
      <c r="AB95" s="4">
        <f>Games[[#This Row],[PreGmRate]]+Games[[#This Row],[RatingChange]]</f>
        <v>1598.6542587855886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41448</v>
      </c>
      <c r="B96" s="2">
        <v>2013</v>
      </c>
      <c r="C96" s="2">
        <f>COUNTIFS(Games[Team],Games[[#This Row],[Team]],Games[Season],Games[[#This Row],[Season]],Games[Date],"&lt;=" &amp; Games[[#This Row],[Date]])</f>
        <v>8</v>
      </c>
      <c r="D96" s="2" t="s">
        <v>83</v>
      </c>
      <c r="E96" s="2" t="s">
        <v>84</v>
      </c>
      <c r="F96" s="1" t="s">
        <v>74</v>
      </c>
      <c r="G96" s="1" t="s">
        <v>60</v>
      </c>
      <c r="H96" s="1" t="s">
        <v>85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96" s="2">
        <f>Games[[#This Row],[DaysOff]]-Games[[#This Row],[OppDaysOff]]</f>
        <v>-7</v>
      </c>
      <c r="L96" s="2">
        <f>Games[[#This Row],[OppDaysOff]]-Games[[#This Row],[DaysOff]]</f>
        <v>7</v>
      </c>
      <c r="M96" s="1">
        <f>MAX(-16, MIN(16, Games[[#This Row],[RestDiff]]*8))</f>
        <v>-16</v>
      </c>
      <c r="N96" s="1">
        <f>MAX(-16, MIN(16, Games[[#This Row],[OppRestDiff]]*8))</f>
        <v>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1473.8773233219397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1498.2710555569292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0.30828032009187201</v>
      </c>
      <c r="R96" s="1">
        <v>78</v>
      </c>
      <c r="S96" s="1">
        <v>77</v>
      </c>
      <c r="T96" s="1">
        <v>1</v>
      </c>
      <c r="U96" s="1">
        <f>Games[[#This Row],[PointsFor]]-Games[[#This Row],[PointsAgainst]]</f>
        <v>1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0.2153833670490434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11.144071545709897</v>
      </c>
      <c r="AB96" s="4">
        <f>Games[[#This Row],[PreGmRate]]+Games[[#This Row],[RatingChange]]</f>
        <v>1485.0213948676496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41448</v>
      </c>
      <c r="B97" s="2">
        <v>2013</v>
      </c>
      <c r="C97" s="2">
        <f>COUNTIFS(Games[Team],Games[[#This Row],[Team]],Games[Season],Games[[#This Row],[Season]],Games[Date],"&lt;=" &amp; Games[[#This Row],[Date]])</f>
        <v>7</v>
      </c>
      <c r="D97" s="2" t="s">
        <v>83</v>
      </c>
      <c r="E97" s="2" t="s">
        <v>84</v>
      </c>
      <c r="F97" s="1" t="s">
        <v>60</v>
      </c>
      <c r="G97" s="1" t="s">
        <v>74</v>
      </c>
      <c r="H97" s="1" t="s">
        <v>86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8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7</v>
      </c>
      <c r="L97" s="2">
        <f>Games[[#This Row],[OppDaysOff]]-Games[[#This Row],[DaysOff]]</f>
        <v>-7</v>
      </c>
      <c r="M97" s="1">
        <f>MAX(-16, MIN(16, Games[[#This Row],[RestDiff]]*8))</f>
        <v>16</v>
      </c>
      <c r="N97" s="1">
        <f>MAX(-16, MIN(16, Games[[#This Row],[OppRestDiff]]*8))</f>
        <v>-16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1498.2710555569292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1473.8773233219397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0.69171967990812799</v>
      </c>
      <c r="R97" s="1">
        <v>77</v>
      </c>
      <c r="S97" s="1">
        <v>78</v>
      </c>
      <c r="T97" s="1">
        <v>1</v>
      </c>
      <c r="U97" s="1">
        <f>Games[[#This Row],[PointsFor]]-Games[[#This Row],[PointsAgainst]]</f>
        <v>-1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0.2153833670490434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-11.166419282766801</v>
      </c>
      <c r="AB97" s="4">
        <f>Games[[#This Row],[PreGmRate]]+Games[[#This Row],[RatingChange]]</f>
        <v>1487.1046362741624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41450</v>
      </c>
      <c r="B98" s="2">
        <v>2013</v>
      </c>
      <c r="C98" s="2">
        <f>COUNTIFS(Games[Team],Games[[#This Row],[Team]],Games[Season],Games[[#This Row],[Season]],Games[Date],"&lt;=" &amp; Games[[#This Row],[Date]])</f>
        <v>8</v>
      </c>
      <c r="D98" s="2" t="s">
        <v>83</v>
      </c>
      <c r="E98" s="2" t="s">
        <v>84</v>
      </c>
      <c r="F98" s="1" t="s">
        <v>69</v>
      </c>
      <c r="G98" s="1" t="s">
        <v>79</v>
      </c>
      <c r="H98" s="1" t="s">
        <v>85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1</v>
      </c>
      <c r="L98" s="2">
        <f>Games[[#This Row],[OppDaysOff]]-Games[[#This Row],[DaysOff]]</f>
        <v>-1</v>
      </c>
      <c r="M98" s="1">
        <f>MAX(-16, MIN(16, Games[[#This Row],[RestDiff]]*8))</f>
        <v>8</v>
      </c>
      <c r="N98" s="1">
        <f>MAX(-16, MIN(16, Games[[#This Row],[OppRestDiff]]*8))</f>
        <v>-8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1497.9974775308779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1595.30205698437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0.27856926204188387</v>
      </c>
      <c r="R98" s="1">
        <v>60</v>
      </c>
      <c r="S98" s="1">
        <v>76</v>
      </c>
      <c r="T98" s="1">
        <v>0</v>
      </c>
      <c r="U98" s="1">
        <f>Games[[#This Row],[PointsFor]]-Games[[#This Row],[PointsAgainst]]</f>
        <v>-16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0.47894939135867687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-9.9798592722634645</v>
      </c>
      <c r="AB98" s="4">
        <f>Games[[#This Row],[PreGmRate]]+Games[[#This Row],[RatingChange]]</f>
        <v>1488.0176182586144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41450</v>
      </c>
      <c r="B99" s="2">
        <v>2013</v>
      </c>
      <c r="C99" s="2">
        <f>COUNTIFS(Games[Team],Games[[#This Row],[Team]],Games[Season],Games[[#This Row],[Season]],Games[Date],"&lt;=" &amp; Games[[#This Row],[Date]])</f>
        <v>9</v>
      </c>
      <c r="D99" s="2" t="s">
        <v>83</v>
      </c>
      <c r="E99" s="2" t="s">
        <v>84</v>
      </c>
      <c r="F99" s="1" t="s">
        <v>79</v>
      </c>
      <c r="G99" s="1" t="s">
        <v>69</v>
      </c>
      <c r="H99" s="1" t="s">
        <v>86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9" s="2">
        <f>Games[[#This Row],[DaysOff]]-Games[[#This Row],[OppDaysOff]]</f>
        <v>-1</v>
      </c>
      <c r="L99" s="2">
        <f>Games[[#This Row],[OppDaysOff]]-Games[[#This Row],[DaysOff]]</f>
        <v>1</v>
      </c>
      <c r="M99" s="1">
        <f>MAX(-16, MIN(16, Games[[#This Row],[RestDiff]]*8))</f>
        <v>-8</v>
      </c>
      <c r="N99" s="1">
        <f>MAX(-16, MIN(16, Games[[#This Row],[OppRestDiff]]*8))</f>
        <v>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1595.30205698437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1497.9974775308779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0.72143073795811619</v>
      </c>
      <c r="R99" s="1">
        <v>76</v>
      </c>
      <c r="S99" s="1">
        <v>60</v>
      </c>
      <c r="T99" s="1">
        <v>0</v>
      </c>
      <c r="U99" s="1">
        <f>Games[[#This Row],[PointsFor]]-Games[[#This Row],[PointsAgainst]]</f>
        <v>16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0.47894939135867687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9.9598461854875335</v>
      </c>
      <c r="AB99" s="4">
        <f>Games[[#This Row],[PreGmRate]]+Games[[#This Row],[RatingChange]]</f>
        <v>1605.2619031698575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41450</v>
      </c>
      <c r="B100" s="2">
        <v>2013</v>
      </c>
      <c r="C100" s="2">
        <f>COUNTIFS(Games[Team],Games[[#This Row],[Team]],Games[Season],Games[[#This Row],[Season]],Games[Date],"&lt;=" &amp; Games[[#This Row],[Date]])</f>
        <v>9</v>
      </c>
      <c r="D100" s="2" t="s">
        <v>83</v>
      </c>
      <c r="E100" s="2" t="s">
        <v>84</v>
      </c>
      <c r="F100" s="1" t="s">
        <v>40</v>
      </c>
      <c r="G100" s="1" t="s">
        <v>74</v>
      </c>
      <c r="H100" s="1" t="s">
        <v>85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2</v>
      </c>
      <c r="L100" s="2">
        <f>Games[[#This Row],[OppDaysOff]]-Games[[#This Row],[DaysOff]]</f>
        <v>-2</v>
      </c>
      <c r="M100" s="1">
        <f>MAX(-16, MIN(16, Games[[#This Row],[RestDiff]]*8))</f>
        <v>16</v>
      </c>
      <c r="N100" s="1">
        <f>MAX(-16, MIN(16, Games[[#This Row],[OppRestDiff]]*8))</f>
        <v>-16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1428.589015484871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1485.0213948676496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0.34882979475143883</v>
      </c>
      <c r="R100" s="1">
        <v>83</v>
      </c>
      <c r="S100" s="1">
        <v>77</v>
      </c>
      <c r="T100" s="1">
        <v>0</v>
      </c>
      <c r="U100" s="1">
        <f>Games[[#This Row],[PointsFor]]-Games[[#This Row],[PointsAgainst]]</f>
        <v>6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0.33550306425266568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16.308755581095891</v>
      </c>
      <c r="AB100" s="4">
        <f>Games[[#This Row],[PreGmRate]]+Games[[#This Row],[RatingChange]]</f>
        <v>1444.8977710659669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41450</v>
      </c>
      <c r="B101" s="2">
        <v>2013</v>
      </c>
      <c r="C101" s="2">
        <f>COUNTIFS(Games[Team],Games[[#This Row],[Team]],Games[Season],Games[[#This Row],[Season]],Games[Date],"&lt;=" &amp; Games[[#This Row],[Date]])</f>
        <v>9</v>
      </c>
      <c r="D101" s="2" t="s">
        <v>83</v>
      </c>
      <c r="E101" s="2" t="s">
        <v>84</v>
      </c>
      <c r="F101" s="1" t="s">
        <v>74</v>
      </c>
      <c r="G101" s="1" t="s">
        <v>40</v>
      </c>
      <c r="H101" s="1" t="s">
        <v>86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1" s="2">
        <f>Games[[#This Row],[DaysOff]]-Games[[#This Row],[OppDaysOff]]</f>
        <v>-2</v>
      </c>
      <c r="L101" s="2">
        <f>Games[[#This Row],[OppDaysOff]]-Games[[#This Row],[DaysOff]]</f>
        <v>2</v>
      </c>
      <c r="M101" s="1">
        <f>MAX(-16, MIN(16, Games[[#This Row],[RestDiff]]*8))</f>
        <v>-16</v>
      </c>
      <c r="N101" s="1">
        <f>MAX(-16, MIN(16, Games[[#This Row],[OppRestDiff]]*8))</f>
        <v>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1485.0213948676496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1428.589015484871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0.65117020524856117</v>
      </c>
      <c r="R101" s="1">
        <v>77</v>
      </c>
      <c r="S101" s="1">
        <v>83</v>
      </c>
      <c r="T101" s="1">
        <v>0</v>
      </c>
      <c r="U101" s="1">
        <f>Games[[#This Row],[PointsFor]]-Games[[#This Row],[PointsAgainst]]</f>
        <v>-6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0.33550306425266568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-16.308755581095891</v>
      </c>
      <c r="AB101" s="4">
        <f>Games[[#This Row],[PreGmRate]]+Games[[#This Row],[RatingChange]]</f>
        <v>1468.7126392865537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41451</v>
      </c>
      <c r="B102" s="2">
        <v>2013</v>
      </c>
      <c r="C102" s="2">
        <f>COUNTIFS(Games[Team],Games[[#This Row],[Team]],Games[Season],Games[[#This Row],[Season]],Games[Date],"&lt;=" &amp; Games[[#This Row],[Date]])</f>
        <v>8</v>
      </c>
      <c r="D102" s="2" t="s">
        <v>83</v>
      </c>
      <c r="E102" s="2" t="s">
        <v>84</v>
      </c>
      <c r="F102" s="1" t="s">
        <v>60</v>
      </c>
      <c r="G102" s="1" t="s">
        <v>77</v>
      </c>
      <c r="H102" s="1" t="s">
        <v>85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-1</v>
      </c>
      <c r="L102" s="2">
        <f>Games[[#This Row],[OppDaysOff]]-Games[[#This Row],[DaysOff]]</f>
        <v>1</v>
      </c>
      <c r="M102" s="1">
        <f>MAX(-16, MIN(16, Games[[#This Row],[RestDiff]]*8))</f>
        <v>-8</v>
      </c>
      <c r="N102" s="1">
        <f>MAX(-16, MIN(16, Games[[#This Row],[OppRestDiff]]*8))</f>
        <v>8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1487.1046362741624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1515.4099988927308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0.32331363438667277</v>
      </c>
      <c r="R102" s="1">
        <v>74</v>
      </c>
      <c r="S102" s="1">
        <v>87</v>
      </c>
      <c r="T102" s="1">
        <v>0</v>
      </c>
      <c r="U102" s="1">
        <f>Games[[#This Row],[PointsFor]]-Games[[#This Row],[PointsAgainst]]</f>
        <v>-13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0.46116586641724555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-11.1527706820176</v>
      </c>
      <c r="AB102" s="4">
        <f>Games[[#This Row],[PreGmRate]]+Games[[#This Row],[RatingChange]]</f>
        <v>1475.9518655921449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41451</v>
      </c>
      <c r="B103" s="2">
        <v>2013</v>
      </c>
      <c r="C103" s="2">
        <f>COUNTIFS(Games[Team],Games[[#This Row],[Team]],Games[Season],Games[[#This Row],[Season]],Games[Date],"&lt;=" &amp; Games[[#This Row],[Date]])</f>
        <v>9</v>
      </c>
      <c r="D103" s="2" t="s">
        <v>83</v>
      </c>
      <c r="E103" s="2" t="s">
        <v>84</v>
      </c>
      <c r="F103" s="1" t="s">
        <v>77</v>
      </c>
      <c r="G103" s="1" t="s">
        <v>60</v>
      </c>
      <c r="H103" s="1" t="s">
        <v>86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3" s="2">
        <f>Games[[#This Row],[DaysOff]]-Games[[#This Row],[OppDaysOff]]</f>
        <v>1</v>
      </c>
      <c r="L103" s="2">
        <f>Games[[#This Row],[OppDaysOff]]-Games[[#This Row],[DaysOff]]</f>
        <v>-1</v>
      </c>
      <c r="M103" s="1">
        <f>MAX(-16, MIN(16, Games[[#This Row],[RestDiff]]*8))</f>
        <v>8</v>
      </c>
      <c r="N103" s="1">
        <f>MAX(-16, MIN(16, Games[[#This Row],[OppRestDiff]]*8))</f>
        <v>-8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1515.4099988927308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1487.1046362741624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0.67668636561332718</v>
      </c>
      <c r="R103" s="1">
        <v>87</v>
      </c>
      <c r="S103" s="1">
        <v>74</v>
      </c>
      <c r="T103" s="1">
        <v>0</v>
      </c>
      <c r="U103" s="1">
        <f>Games[[#This Row],[PointsFor]]-Games[[#This Row],[PointsAgainst]]</f>
        <v>13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0.46116586641724555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11.130405500168639</v>
      </c>
      <c r="AB103" s="4">
        <f>Games[[#This Row],[PreGmRate]]+Games[[#This Row],[RatingChange]]</f>
        <v>1526.5404043928993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41452</v>
      </c>
      <c r="B104" s="2">
        <v>2013</v>
      </c>
      <c r="C104" s="2">
        <f>COUNTIFS(Games[Team],Games[[#This Row],[Team]],Games[Season],Games[[#This Row],[Season]],Games[Date],"&lt;=" &amp; Games[[#This Row],[Date]])</f>
        <v>10</v>
      </c>
      <c r="D104" s="2" t="s">
        <v>83</v>
      </c>
      <c r="E104" s="2" t="s">
        <v>84</v>
      </c>
      <c r="F104" s="1" t="s">
        <v>40</v>
      </c>
      <c r="G104" s="1" t="s">
        <v>65</v>
      </c>
      <c r="H104" s="1" t="s">
        <v>85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4" s="2">
        <f>Games[[#This Row],[DaysOff]]-Games[[#This Row],[OppDaysOff]]</f>
        <v>-2</v>
      </c>
      <c r="L104" s="2">
        <f>Games[[#This Row],[OppDaysOff]]-Games[[#This Row],[DaysOff]]</f>
        <v>2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1444.8977710659669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1404.1434363798185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0.39337466214149097</v>
      </c>
      <c r="R104" s="1">
        <v>101</v>
      </c>
      <c r="S104" s="1">
        <v>97</v>
      </c>
      <c r="T104" s="1">
        <v>0</v>
      </c>
      <c r="U104" s="1">
        <f>Games[[#This Row],[PointsFor]]-Games[[#This Row],[PointsAgainst]]</f>
        <v>4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0.30120328532173807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74.5</v>
      </c>
      <c r="Z104" s="4">
        <f>Games[[#This Row],[K]]*Games[[#This Row],[POMult]]</f>
        <v>74.5</v>
      </c>
      <c r="AA104" s="4">
        <f>(Games[[#This Row],[Keff]]*Games[[#This Row],[MOVMult]])*(Games[[#This Row],[Result]]-Games[[#This Row],[ExpectedWin%]])</f>
        <v>13.612457081818224</v>
      </c>
      <c r="AB104" s="4">
        <f>Games[[#This Row],[PreGmRate]]+Games[[#This Row],[RatingChange]]</f>
        <v>1458.5102281477853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41452</v>
      </c>
      <c r="B105" s="2">
        <v>2013</v>
      </c>
      <c r="C105" s="2">
        <f>COUNTIFS(Games[Team],Games[[#This Row],[Team]],Games[Season],Games[[#This Row],[Season]],Games[Date],"&lt;=" &amp; Games[[#This Row],[Date]])</f>
        <v>9</v>
      </c>
      <c r="D105" s="2" t="s">
        <v>83</v>
      </c>
      <c r="E105" s="2" t="s">
        <v>84</v>
      </c>
      <c r="F105" s="1" t="s">
        <v>65</v>
      </c>
      <c r="G105" s="1" t="s">
        <v>40</v>
      </c>
      <c r="H105" s="1" t="s">
        <v>86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2</v>
      </c>
      <c r="L105" s="2">
        <f>Games[[#This Row],[OppDaysOff]]-Games[[#This Row],[DaysOff]]</f>
        <v>-2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1404.1434363798185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1444.8977710659669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0.60662533785850903</v>
      </c>
      <c r="R105" s="1">
        <v>97</v>
      </c>
      <c r="S105" s="1">
        <v>101</v>
      </c>
      <c r="T105" s="1">
        <v>0</v>
      </c>
      <c r="U105" s="1">
        <f>Games[[#This Row],[PointsFor]]-Games[[#This Row],[PointsAgainst]]</f>
        <v>-4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0.30120328532173807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-13.639864713526581</v>
      </c>
      <c r="AB105" s="4">
        <f>Games[[#This Row],[PreGmRate]]+Games[[#This Row],[RatingChange]]</f>
        <v>1390.5035716662919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41453</v>
      </c>
      <c r="B106" s="2">
        <v>2013</v>
      </c>
      <c r="C106" s="2">
        <f>COUNTIFS(Games[Team],Games[[#This Row],[Team]],Games[Season],Games[[#This Row],[Season]],Games[Date],"&lt;=" &amp; Games[[#This Row],[Date]])</f>
        <v>10</v>
      </c>
      <c r="D106" s="2" t="s">
        <v>83</v>
      </c>
      <c r="E106" s="2" t="s">
        <v>84</v>
      </c>
      <c r="F106" s="1" t="s">
        <v>65</v>
      </c>
      <c r="G106" s="1" t="s">
        <v>79</v>
      </c>
      <c r="H106" s="1" t="s">
        <v>85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-2</v>
      </c>
      <c r="L106" s="2">
        <f>Games[[#This Row],[OppDaysOff]]-Games[[#This Row],[DaysOff]]</f>
        <v>2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1390.5035716662919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1605.2619031698575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0.12965664747189481</v>
      </c>
      <c r="R106" s="1">
        <v>75</v>
      </c>
      <c r="S106" s="1">
        <v>86</v>
      </c>
      <c r="T106" s="1">
        <v>0</v>
      </c>
      <c r="U106" s="1">
        <f>Games[[#This Row],[PointsFor]]-Games[[#This Row],[PointsAgainst]]</f>
        <v>-11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0.37306948653783378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-3.6036349479424756</v>
      </c>
      <c r="AB106" s="4">
        <f>Games[[#This Row],[PreGmRate]]+Games[[#This Row],[RatingChange]]</f>
        <v>1386.8999367183494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41453</v>
      </c>
      <c r="B107" s="2">
        <v>2013</v>
      </c>
      <c r="C107" s="2">
        <f>COUNTIFS(Games[Team],Games[[#This Row],[Team]],Games[Season],Games[[#This Row],[Season]],Games[Date],"&lt;=" &amp; Games[[#This Row],[Date]])</f>
        <v>10</v>
      </c>
      <c r="D107" s="2" t="s">
        <v>83</v>
      </c>
      <c r="E107" s="2" t="s">
        <v>84</v>
      </c>
      <c r="F107" s="1" t="s">
        <v>79</v>
      </c>
      <c r="G107" s="1" t="s">
        <v>65</v>
      </c>
      <c r="H107" s="1" t="s">
        <v>86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7" s="2">
        <f>Games[[#This Row],[DaysOff]]-Games[[#This Row],[OppDaysOff]]</f>
        <v>2</v>
      </c>
      <c r="L107" s="2">
        <f>Games[[#This Row],[OppDaysOff]]-Games[[#This Row],[DaysOff]]</f>
        <v>-2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1605.2619031698575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1390.5035716662919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0.87034335252810524</v>
      </c>
      <c r="R107" s="1">
        <v>86</v>
      </c>
      <c r="S107" s="1">
        <v>75</v>
      </c>
      <c r="T107" s="1">
        <v>0</v>
      </c>
      <c r="U107" s="1">
        <f>Games[[#This Row],[PointsFor]]-Games[[#This Row],[PointsAgainst]]</f>
        <v>11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0.37306948653783378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74.5</v>
      </c>
      <c r="Z107" s="4">
        <f>Games[[#This Row],[K]]*Games[[#This Row],[POMult]]</f>
        <v>74.5</v>
      </c>
      <c r="AA107" s="4">
        <f>(Games[[#This Row],[Keff]]*Games[[#This Row],[MOVMult]])*(Games[[#This Row],[Result]]-Games[[#This Row],[ExpectedWin%]])</f>
        <v>3.6036349479424743</v>
      </c>
      <c r="AB107" s="4">
        <f>Games[[#This Row],[PreGmRate]]+Games[[#This Row],[RatingChange]]</f>
        <v>1608.8655381178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41453</v>
      </c>
      <c r="B108" s="2">
        <v>2013</v>
      </c>
      <c r="C108" s="2">
        <f>COUNTIFS(Games[Team],Games[[#This Row],[Team]],Games[Season],Games[[#This Row],[Season]],Games[Date],"&lt;=" &amp; Games[[#This Row],[Date]])</f>
        <v>12</v>
      </c>
      <c r="D108" s="2" t="s">
        <v>83</v>
      </c>
      <c r="E108" s="2" t="s">
        <v>84</v>
      </c>
      <c r="F108" s="1" t="s">
        <v>81</v>
      </c>
      <c r="G108" s="1" t="s">
        <v>69</v>
      </c>
      <c r="H108" s="1" t="s">
        <v>85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2</v>
      </c>
      <c r="L108" s="2">
        <f>Games[[#This Row],[OppDaysOff]]-Games[[#This Row],[DaysOff]]</f>
        <v>-2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1416.6138773218036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1488.0176182586144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0.32951730190852746</v>
      </c>
      <c r="R108" s="1">
        <v>69</v>
      </c>
      <c r="S108" s="1">
        <v>80</v>
      </c>
      <c r="T108" s="1">
        <v>0</v>
      </c>
      <c r="U108" s="1">
        <f>Games[[#This Row],[PointsFor]]-Games[[#This Row],[PointsAgainst]]</f>
        <v>-11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0.41513419169292004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74.2</v>
      </c>
      <c r="Z108" s="4">
        <f>Games[[#This Row],[K]]*Games[[#This Row],[POMult]]</f>
        <v>74.2</v>
      </c>
      <c r="AA108" s="4">
        <f>(Games[[#This Row],[Keff]]*Games[[#This Row],[MOVMult]])*(Games[[#This Row],[Result]]-Games[[#This Row],[ExpectedWin%]])</f>
        <v>-10.150107289225831</v>
      </c>
      <c r="AB108" s="4">
        <f>Games[[#This Row],[PreGmRate]]+Games[[#This Row],[RatingChange]]</f>
        <v>1406.4637700325777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41453</v>
      </c>
      <c r="B109" s="2">
        <v>2013</v>
      </c>
      <c r="C109" s="2">
        <f>COUNTIFS(Games[Team],Games[[#This Row],[Team]],Games[Season],Games[[#This Row],[Season]],Games[Date],"&lt;=" &amp; Games[[#This Row],[Date]])</f>
        <v>9</v>
      </c>
      <c r="D109" s="2" t="s">
        <v>83</v>
      </c>
      <c r="E109" s="2" t="s">
        <v>84</v>
      </c>
      <c r="F109" s="1" t="s">
        <v>69</v>
      </c>
      <c r="G109" s="1" t="s">
        <v>81</v>
      </c>
      <c r="H109" s="1" t="s">
        <v>86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9" s="2">
        <f>Games[[#This Row],[DaysOff]]-Games[[#This Row],[OppDaysOff]]</f>
        <v>-2</v>
      </c>
      <c r="L109" s="2">
        <f>Games[[#This Row],[OppDaysOff]]-Games[[#This Row],[DaysOff]]</f>
        <v>2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1488.0176182586144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1416.6138773218036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0.67048269809147265</v>
      </c>
      <c r="R109" s="1">
        <v>80</v>
      </c>
      <c r="S109" s="1">
        <v>69</v>
      </c>
      <c r="T109" s="1">
        <v>0</v>
      </c>
      <c r="U109" s="1">
        <f>Games[[#This Row],[PointsFor]]-Games[[#This Row],[PointsAgainst]]</f>
        <v>11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0.41513419169292004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10.21166454367531</v>
      </c>
      <c r="AB109" s="4">
        <f>Games[[#This Row],[PreGmRate]]+Games[[#This Row],[RatingChange]]</f>
        <v>1498.2292828022898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41453</v>
      </c>
      <c r="B110" s="2">
        <v>2013</v>
      </c>
      <c r="C110" s="2">
        <f>COUNTIFS(Games[Team],Games[[#This Row],[Team]],Games[Season],Games[[#This Row],[Season]],Games[Date],"&lt;=" &amp; Games[[#This Row],[Date]])</f>
        <v>8</v>
      </c>
      <c r="D110" s="2" t="s">
        <v>83</v>
      </c>
      <c r="E110" s="2" t="s">
        <v>84</v>
      </c>
      <c r="F110" s="1" t="s">
        <v>63</v>
      </c>
      <c r="G110" s="1" t="s">
        <v>67</v>
      </c>
      <c r="H110" s="1" t="s">
        <v>85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1592.409958814126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1598.6542587855886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0.3729719759882974</v>
      </c>
      <c r="R110" s="1">
        <v>64</v>
      </c>
      <c r="S110" s="1">
        <v>88</v>
      </c>
      <c r="T110" s="1">
        <v>0</v>
      </c>
      <c r="U110" s="1">
        <f>Games[[#This Row],[PointsFor]]-Games[[#This Row],[PointsAgainst]]</f>
        <v>-24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0.62517776652341894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74.8</v>
      </c>
      <c r="Z110" s="4">
        <f>Games[[#This Row],[K]]*Games[[#This Row],[POMult]]</f>
        <v>74.8</v>
      </c>
      <c r="AA110" s="4">
        <f>(Games[[#This Row],[Keff]]*Games[[#This Row],[MOVMult]])*(Games[[#This Row],[Result]]-Games[[#This Row],[ExpectedWin%]])</f>
        <v>-17.441399261929412</v>
      </c>
      <c r="AB110" s="4">
        <f>Games[[#This Row],[PreGmRate]]+Games[[#This Row],[RatingChange]]</f>
        <v>1574.9685595521964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41453</v>
      </c>
      <c r="B111" s="2">
        <v>2013</v>
      </c>
      <c r="C111" s="2">
        <f>COUNTIFS(Games[Team],Games[[#This Row],[Team]],Games[Season],Games[[#This Row],[Season]],Games[Date],"&lt;=" &amp; Games[[#This Row],[Date]])</f>
        <v>9</v>
      </c>
      <c r="D111" s="2" t="s">
        <v>83</v>
      </c>
      <c r="E111" s="2" t="s">
        <v>84</v>
      </c>
      <c r="F111" s="1" t="s">
        <v>67</v>
      </c>
      <c r="G111" s="1" t="s">
        <v>63</v>
      </c>
      <c r="H111" s="1" t="s">
        <v>86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1598.6542587855886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1592.409958814126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0.62702802401170254</v>
      </c>
      <c r="R111" s="1">
        <v>88</v>
      </c>
      <c r="S111" s="1">
        <v>64</v>
      </c>
      <c r="T111" s="1">
        <v>0</v>
      </c>
      <c r="U111" s="1">
        <f>Games[[#This Row],[PointsFor]]-Games[[#This Row],[PointsAgainst]]</f>
        <v>24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0.62517776652341894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17.406423193890788</v>
      </c>
      <c r="AB111" s="4">
        <f>Games[[#This Row],[PreGmRate]]+Games[[#This Row],[RatingChange]]</f>
        <v>1616.0606819794793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41453</v>
      </c>
      <c r="B112" s="2">
        <v>2013</v>
      </c>
      <c r="C112" s="2">
        <f>COUNTIFS(Games[Team],Games[[#This Row],[Team]],Games[Season],Games[[#This Row],[Season]],Games[Date],"&lt;=" &amp; Games[[#This Row],[Date]])</f>
        <v>9</v>
      </c>
      <c r="D112" s="2" t="s">
        <v>83</v>
      </c>
      <c r="E112" s="2" t="s">
        <v>84</v>
      </c>
      <c r="F112" s="1" t="s">
        <v>60</v>
      </c>
      <c r="G112" s="1" t="s">
        <v>71</v>
      </c>
      <c r="H112" s="1" t="s">
        <v>85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2" s="2">
        <f>Games[[#This Row],[DaysOff]]-Games[[#This Row],[OppDaysOff]]</f>
        <v>-4</v>
      </c>
      <c r="L112" s="2">
        <f>Games[[#This Row],[OppDaysOff]]-Games[[#This Row],[DaysOff]]</f>
        <v>4</v>
      </c>
      <c r="M112" s="1">
        <f>MAX(-16, MIN(16, Games[[#This Row],[RestDiff]]*8))</f>
        <v>-16</v>
      </c>
      <c r="N112" s="1">
        <f>MAX(-16, MIN(16, Games[[#This Row],[OppRestDiff]]*8))</f>
        <v>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1475.9518655921449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1487.4743020426545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0.32430044357565346</v>
      </c>
      <c r="R112" s="1">
        <v>67</v>
      </c>
      <c r="S112" s="1">
        <v>62</v>
      </c>
      <c r="T112" s="1">
        <v>0</v>
      </c>
      <c r="U112" s="1">
        <f>Games[[#This Row],[PointsFor]]-Games[[#This Row],[PointsAgainst]]</f>
        <v>5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0.32860074116321153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16.574940747086373</v>
      </c>
      <c r="AB112" s="4">
        <f>Games[[#This Row],[PreGmRate]]+Games[[#This Row],[RatingChange]]</f>
        <v>1492.5268063392314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41453</v>
      </c>
      <c r="B113" s="2">
        <v>2013</v>
      </c>
      <c r="C113" s="2">
        <f>COUNTIFS(Games[Team],Games[[#This Row],[Team]],Games[Season],Games[[#This Row],[Season]],Games[Date],"&lt;=" &amp; Games[[#This Row],[Date]])</f>
        <v>9</v>
      </c>
      <c r="D113" s="2" t="s">
        <v>83</v>
      </c>
      <c r="E113" s="2" t="s">
        <v>84</v>
      </c>
      <c r="F113" s="1" t="s">
        <v>71</v>
      </c>
      <c r="G113" s="1" t="s">
        <v>60</v>
      </c>
      <c r="H113" s="1" t="s">
        <v>86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4</v>
      </c>
      <c r="L113" s="2">
        <f>Games[[#This Row],[OppDaysOff]]-Games[[#This Row],[DaysOff]]</f>
        <v>-4</v>
      </c>
      <c r="M113" s="1">
        <f>MAX(-16, MIN(16, Games[[#This Row],[RestDiff]]*8))</f>
        <v>16</v>
      </c>
      <c r="N113" s="1">
        <f>MAX(-16, MIN(16, Games[[#This Row],[OppRestDiff]]*8))</f>
        <v>-16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1487.4743020426545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1475.9518655921449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0.67569955642434654</v>
      </c>
      <c r="R113" s="1">
        <v>62</v>
      </c>
      <c r="S113" s="1">
        <v>67</v>
      </c>
      <c r="T113" s="1">
        <v>0</v>
      </c>
      <c r="U113" s="1">
        <f>Games[[#This Row],[PointsFor]]-Games[[#This Row],[PointsAgainst]]</f>
        <v>-5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0.32860074116321153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74.650000000000006</v>
      </c>
      <c r="Z113" s="4">
        <f>Games[[#This Row],[K]]*Games[[#This Row],[POMult]]</f>
        <v>74.650000000000006</v>
      </c>
      <c r="AA113" s="4">
        <f>(Games[[#This Row],[Keff]]*Games[[#This Row],[MOVMult]])*(Games[[#This Row],[Result]]-Games[[#This Row],[ExpectedWin%]])</f>
        <v>-16.574940747086373</v>
      </c>
      <c r="AB113" s="4">
        <f>Games[[#This Row],[PreGmRate]]+Games[[#This Row],[RatingChange]]</f>
        <v>1470.899361295568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41454</v>
      </c>
      <c r="B114" s="2">
        <v>2013</v>
      </c>
      <c r="C114" s="2">
        <f>COUNTIFS(Games[Team],Games[[#This Row],[Team]],Games[Season],Games[[#This Row],[Season]],Games[Date],"&lt;=" &amp; Games[[#This Row],[Date]])</f>
        <v>9</v>
      </c>
      <c r="D114" s="2" t="s">
        <v>83</v>
      </c>
      <c r="E114" s="2" t="s">
        <v>84</v>
      </c>
      <c r="F114" s="1" t="s">
        <v>63</v>
      </c>
      <c r="G114" s="1" t="s">
        <v>77</v>
      </c>
      <c r="H114" s="1" t="s">
        <v>85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-2</v>
      </c>
      <c r="L114" s="2">
        <f>Games[[#This Row],[OppDaysOff]]-Games[[#This Row],[DaysOff]]</f>
        <v>2</v>
      </c>
      <c r="M114" s="1">
        <f>MAX(-16, MIN(16, Games[[#This Row],[RestDiff]]*8))</f>
        <v>-16</v>
      </c>
      <c r="N114" s="1">
        <f>MAX(-16, MIN(16, Games[[#This Row],[OppRestDiff]]*8))</f>
        <v>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1574.9685595521964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1526.5404043928993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0.40396411948687455</v>
      </c>
      <c r="R114" s="1">
        <v>82</v>
      </c>
      <c r="S114" s="1">
        <v>94</v>
      </c>
      <c r="T114" s="1">
        <v>0</v>
      </c>
      <c r="U114" s="1">
        <f>Games[[#This Row],[PointsFor]]-Games[[#This Row],[PointsAgainst]]</f>
        <v>-12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0.43843558752646627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-13.221429168889568</v>
      </c>
      <c r="AB114" s="4">
        <f>Games[[#This Row],[PreGmRate]]+Games[[#This Row],[RatingChange]]</f>
        <v>1561.747130383307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41454</v>
      </c>
      <c r="B115" s="2">
        <v>2013</v>
      </c>
      <c r="C115" s="2">
        <f>COUNTIFS(Games[Team],Games[[#This Row],[Team]],Games[Season],Games[[#This Row],[Season]],Games[Date],"&lt;=" &amp; Games[[#This Row],[Date]])</f>
        <v>10</v>
      </c>
      <c r="D115" s="2" t="s">
        <v>83</v>
      </c>
      <c r="E115" s="2" t="s">
        <v>84</v>
      </c>
      <c r="F115" s="1" t="s">
        <v>77</v>
      </c>
      <c r="G115" s="1" t="s">
        <v>63</v>
      </c>
      <c r="H115" s="1" t="s">
        <v>86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5" s="2">
        <f>Games[[#This Row],[DaysOff]]-Games[[#This Row],[OppDaysOff]]</f>
        <v>2</v>
      </c>
      <c r="L115" s="2">
        <f>Games[[#This Row],[OppDaysOff]]-Games[[#This Row],[DaysOff]]</f>
        <v>-2</v>
      </c>
      <c r="M115" s="1">
        <f>MAX(-16, MIN(16, Games[[#This Row],[RestDiff]]*8))</f>
        <v>16</v>
      </c>
      <c r="N115" s="1">
        <f>MAX(-16, MIN(16, Games[[#This Row],[OppRestDiff]]*8))</f>
        <v>-16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1526.5404043928993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1574.9685595521964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0.5960358805131255</v>
      </c>
      <c r="R115" s="1">
        <v>94</v>
      </c>
      <c r="S115" s="1">
        <v>82</v>
      </c>
      <c r="T115" s="1">
        <v>0</v>
      </c>
      <c r="U115" s="1">
        <f>Games[[#This Row],[PointsFor]]-Games[[#This Row],[PointsAgainst]]</f>
        <v>12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0.43843558752646627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13.194862331979538</v>
      </c>
      <c r="AB115" s="4">
        <f>Games[[#This Row],[PreGmRate]]+Games[[#This Row],[RatingChange]]</f>
        <v>1539.7352667248788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41454</v>
      </c>
      <c r="B116" s="2">
        <v>2013</v>
      </c>
      <c r="C116" s="2">
        <f>COUNTIFS(Games[Team],Games[[#This Row],[Team]],Games[Season],Games[[#This Row],[Season]],Games[Date],"&lt;=" &amp; Games[[#This Row],[Date]])</f>
        <v>11</v>
      </c>
      <c r="D116" s="2" t="s">
        <v>83</v>
      </c>
      <c r="E116" s="2" t="s">
        <v>84</v>
      </c>
      <c r="F116" s="1" t="s">
        <v>40</v>
      </c>
      <c r="G116" s="1" t="s">
        <v>76</v>
      </c>
      <c r="H116" s="1" t="s">
        <v>85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6" s="2">
        <f>Games[[#This Row],[DaysOff]]-Games[[#This Row],[OppDaysOff]]</f>
        <v>-4</v>
      </c>
      <c r="L116" s="2">
        <f>Games[[#This Row],[OppDaysOff]]-Games[[#This Row],[DaysOff]]</f>
        <v>4</v>
      </c>
      <c r="M116" s="1">
        <f>MAX(-16, MIN(16, Games[[#This Row],[RestDiff]]*8))</f>
        <v>-16</v>
      </c>
      <c r="N116" s="1">
        <f>MAX(-16, MIN(16, Games[[#This Row],[OppRestDiff]]*8))</f>
        <v>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1458.5102281477853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1495.7904091861737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0.29269069642392709</v>
      </c>
      <c r="R116" s="1">
        <v>89</v>
      </c>
      <c r="S116" s="1">
        <v>70</v>
      </c>
      <c r="T116" s="1">
        <v>0</v>
      </c>
      <c r="U116" s="1">
        <f>Games[[#This Row],[PointsFor]]-Games[[#This Row],[PointsAgainst]]</f>
        <v>19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0.54407489716901358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74.349999999999994</v>
      </c>
      <c r="Z116" s="4">
        <f>Games[[#This Row],[K]]*Games[[#This Row],[POMult]]</f>
        <v>74.349999999999994</v>
      </c>
      <c r="AA116" s="4">
        <f>(Games[[#This Row],[Keff]]*Games[[#This Row],[MOVMult]])*(Games[[#This Row],[Result]]-Games[[#This Row],[ExpectedWin%]])</f>
        <v>28.612053741941487</v>
      </c>
      <c r="AB116" s="4">
        <f>Games[[#This Row],[PreGmRate]]+Games[[#This Row],[RatingChange]]</f>
        <v>1487.1222818897268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41454</v>
      </c>
      <c r="B117" s="2">
        <v>2013</v>
      </c>
      <c r="C117" s="2">
        <f>COUNTIFS(Games[Team],Games[[#This Row],[Team]],Games[Season],Games[[#This Row],[Season]],Games[Date],"&lt;=" &amp; Games[[#This Row],[Date]])</f>
        <v>9</v>
      </c>
      <c r="D117" s="2" t="s">
        <v>83</v>
      </c>
      <c r="E117" s="2" t="s">
        <v>84</v>
      </c>
      <c r="F117" s="1" t="s">
        <v>76</v>
      </c>
      <c r="G117" s="1" t="s">
        <v>40</v>
      </c>
      <c r="H117" s="1" t="s">
        <v>86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4</v>
      </c>
      <c r="L117" s="2">
        <f>Games[[#This Row],[OppDaysOff]]-Games[[#This Row],[DaysOff]]</f>
        <v>-4</v>
      </c>
      <c r="M117" s="1">
        <f>MAX(-16, MIN(16, Games[[#This Row],[RestDiff]]*8))</f>
        <v>16</v>
      </c>
      <c r="N117" s="1">
        <f>MAX(-16, MIN(16, Games[[#This Row],[OppRestDiff]]*8))</f>
        <v>-16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1495.7904091861737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1458.5102281477853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0.70730930357607291</v>
      </c>
      <c r="R117" s="1">
        <v>70</v>
      </c>
      <c r="S117" s="1">
        <v>89</v>
      </c>
      <c r="T117" s="1">
        <v>0</v>
      </c>
      <c r="U117" s="1">
        <f>Games[[#This Row],[PointsFor]]-Games[[#This Row],[PointsAgainst]]</f>
        <v>-19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0.54407489716901358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74.650000000000006</v>
      </c>
      <c r="Z117" s="4">
        <f>Games[[#This Row],[K]]*Games[[#This Row],[POMult]]</f>
        <v>74.650000000000006</v>
      </c>
      <c r="AA117" s="4">
        <f>(Games[[#This Row],[Keff]]*Games[[#This Row],[MOVMult]])*(Games[[#This Row],[Result]]-Games[[#This Row],[ExpectedWin%]])</f>
        <v>-28.727502512924442</v>
      </c>
      <c r="AB117" s="4">
        <f>Games[[#This Row],[PreGmRate]]+Games[[#This Row],[RatingChange]]</f>
        <v>1467.0629066732492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41455</v>
      </c>
      <c r="B118" s="2">
        <v>2013</v>
      </c>
      <c r="C118" s="2">
        <f>COUNTIFS(Games[Team],Games[[#This Row],[Team]],Games[Season],Games[[#This Row],[Season]],Games[Date],"&lt;=" &amp; Games[[#This Row],[Date]])</f>
        <v>10</v>
      </c>
      <c r="D118" s="2" t="s">
        <v>83</v>
      </c>
      <c r="E118" s="2" t="s">
        <v>84</v>
      </c>
      <c r="F118" s="1" t="s">
        <v>74</v>
      </c>
      <c r="G118" s="1" t="s">
        <v>79</v>
      </c>
      <c r="H118" s="1" t="s">
        <v>85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3</v>
      </c>
      <c r="L118" s="2">
        <f>Games[[#This Row],[OppDaysOff]]-Games[[#This Row],[DaysOff]]</f>
        <v>-3</v>
      </c>
      <c r="M118" s="1">
        <f>MAX(-16, MIN(16, Games[[#This Row],[RestDiff]]*8))</f>
        <v>16</v>
      </c>
      <c r="N118" s="1">
        <f>MAX(-16, MIN(16, Games[[#This Row],[OppRestDiff]]*8))</f>
        <v>-16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1468.7126392865537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1608.8655381178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0.24859476091272534</v>
      </c>
      <c r="R118" s="1">
        <v>67</v>
      </c>
      <c r="S118" s="1">
        <v>93</v>
      </c>
      <c r="T118" s="1">
        <v>0</v>
      </c>
      <c r="U118" s="1">
        <f>Games[[#This Row],[PointsFor]]-Games[[#This Row],[PointsAgainst]]</f>
        <v>-26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0.5856830644508717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74.5</v>
      </c>
      <c r="Z118" s="4">
        <f>Games[[#This Row],[K]]*Games[[#This Row],[POMult]]</f>
        <v>74.5</v>
      </c>
      <c r="AA118" s="4">
        <f>(Games[[#This Row],[Keff]]*Games[[#This Row],[MOVMult]])*(Games[[#This Row],[Result]]-Games[[#This Row],[ExpectedWin%]])</f>
        <v>-10.847031732645858</v>
      </c>
      <c r="AB118" s="4">
        <f>Games[[#This Row],[PreGmRate]]+Games[[#This Row],[RatingChange]]</f>
        <v>1457.8656075539079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41455</v>
      </c>
      <c r="B119" s="2">
        <v>2013</v>
      </c>
      <c r="C119" s="2">
        <f>COUNTIFS(Games[Team],Games[[#This Row],[Team]],Games[Season],Games[[#This Row],[Season]],Games[Date],"&lt;=" &amp; Games[[#This Row],[Date]])</f>
        <v>11</v>
      </c>
      <c r="D119" s="2" t="s">
        <v>83</v>
      </c>
      <c r="E119" s="2" t="s">
        <v>84</v>
      </c>
      <c r="F119" s="1" t="s">
        <v>79</v>
      </c>
      <c r="G119" s="1" t="s">
        <v>74</v>
      </c>
      <c r="H119" s="1" t="s">
        <v>86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9" s="2">
        <f>Games[[#This Row],[DaysOff]]-Games[[#This Row],[OppDaysOff]]</f>
        <v>-3</v>
      </c>
      <c r="L119" s="2">
        <f>Games[[#This Row],[OppDaysOff]]-Games[[#This Row],[DaysOff]]</f>
        <v>3</v>
      </c>
      <c r="M119" s="1">
        <f>MAX(-16, MIN(16, Games[[#This Row],[RestDiff]]*8))</f>
        <v>-16</v>
      </c>
      <c r="N119" s="1">
        <f>MAX(-16, MIN(16, Games[[#This Row],[OppRestDiff]]*8))</f>
        <v>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1608.8655381178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1468.7126392865537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0.75140523908727475</v>
      </c>
      <c r="R119" s="1">
        <v>93</v>
      </c>
      <c r="S119" s="1">
        <v>67</v>
      </c>
      <c r="T119" s="1">
        <v>0</v>
      </c>
      <c r="U119" s="1">
        <f>Games[[#This Row],[PointsFor]]-Games[[#This Row],[PointsAgainst]]</f>
        <v>26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0.5856830644508717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74.349999999999994</v>
      </c>
      <c r="Z119" s="4">
        <f>Games[[#This Row],[K]]*Games[[#This Row],[POMult]]</f>
        <v>74.349999999999994</v>
      </c>
      <c r="AA119" s="4">
        <f>(Games[[#This Row],[Keff]]*Games[[#This Row],[MOVMult]])*(Games[[#This Row],[Result]]-Games[[#This Row],[ExpectedWin%]])</f>
        <v>10.825192071439185</v>
      </c>
      <c r="AB119" s="4">
        <f>Games[[#This Row],[PreGmRate]]+Games[[#This Row],[RatingChange]]</f>
        <v>1619.6907301892393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41455</v>
      </c>
      <c r="B120" s="2">
        <v>2013</v>
      </c>
      <c r="C120" s="2">
        <f>COUNTIFS(Games[Team],Games[[#This Row],[Team]],Games[Season],Games[[#This Row],[Season]],Games[Date],"&lt;=" &amp; Games[[#This Row],[Date]])</f>
        <v>10</v>
      </c>
      <c r="D120" s="2" t="s">
        <v>83</v>
      </c>
      <c r="E120" s="2" t="s">
        <v>84</v>
      </c>
      <c r="F120" s="1" t="s">
        <v>71</v>
      </c>
      <c r="G120" s="1" t="s">
        <v>69</v>
      </c>
      <c r="H120" s="1" t="s">
        <v>85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1470.899361295568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1498.2292828022898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0.34505068217819757</v>
      </c>
      <c r="R120" s="1">
        <v>63</v>
      </c>
      <c r="S120" s="1">
        <v>71</v>
      </c>
      <c r="T120" s="1">
        <v>0</v>
      </c>
      <c r="U120" s="1">
        <f>Games[[#This Row],[PointsFor]]-Games[[#This Row],[PointsAgainst]]</f>
        <v>-8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0.37966860730613622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74.5</v>
      </c>
      <c r="Z120" s="4">
        <f>Games[[#This Row],[K]]*Games[[#This Row],[POMult]]</f>
        <v>74.5</v>
      </c>
      <c r="AA120" s="4">
        <f>(Games[[#This Row],[Keff]]*Games[[#This Row],[MOVMult]])*(Games[[#This Row],[Result]]-Games[[#This Row],[ExpectedWin%]])</f>
        <v>-9.7598659404708243</v>
      </c>
      <c r="AB120" s="4">
        <f>Games[[#This Row],[PreGmRate]]+Games[[#This Row],[RatingChange]]</f>
        <v>1461.1394953550973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41455</v>
      </c>
      <c r="B121" s="2">
        <v>2013</v>
      </c>
      <c r="C121" s="2">
        <f>COUNTIFS(Games[Team],Games[[#This Row],[Team]],Games[Season],Games[[#This Row],[Season]],Games[Date],"&lt;=" &amp; Games[[#This Row],[Date]])</f>
        <v>10</v>
      </c>
      <c r="D121" s="2" t="s">
        <v>83</v>
      </c>
      <c r="E121" s="2" t="s">
        <v>84</v>
      </c>
      <c r="F121" s="1" t="s">
        <v>69</v>
      </c>
      <c r="G121" s="1" t="s">
        <v>71</v>
      </c>
      <c r="H121" s="1" t="s">
        <v>86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1498.2292828022898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1470.899361295568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0.65494931782180243</v>
      </c>
      <c r="R121" s="1">
        <v>71</v>
      </c>
      <c r="S121" s="1">
        <v>63</v>
      </c>
      <c r="T121" s="1">
        <v>0</v>
      </c>
      <c r="U121" s="1">
        <f>Games[[#This Row],[PointsFor]]-Games[[#This Row],[PointsAgainst]]</f>
        <v>8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0.37966860730613622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9.7598659404708243</v>
      </c>
      <c r="AB121" s="4">
        <f>Games[[#This Row],[PreGmRate]]+Games[[#This Row],[RatingChange]]</f>
        <v>1507.9891487427606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41455</v>
      </c>
      <c r="B122" s="2">
        <v>2013</v>
      </c>
      <c r="C122" s="2">
        <f>COUNTIFS(Games[Team],Games[[#This Row],[Team]],Games[Season],Games[[#This Row],[Season]],Games[Date],"&lt;=" &amp; Games[[#This Row],[Date]])</f>
        <v>13</v>
      </c>
      <c r="D122" s="2" t="s">
        <v>83</v>
      </c>
      <c r="E122" s="2" t="s">
        <v>84</v>
      </c>
      <c r="F122" s="1" t="s">
        <v>81</v>
      </c>
      <c r="G122" s="1" t="s">
        <v>65</v>
      </c>
      <c r="H122" s="1" t="s">
        <v>85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1406.4637700325777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1386.8999367183494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0.40831767473241715</v>
      </c>
      <c r="R122" s="1">
        <v>61</v>
      </c>
      <c r="S122" s="1">
        <v>84</v>
      </c>
      <c r="T122" s="1">
        <v>0</v>
      </c>
      <c r="U122" s="1">
        <f>Games[[#This Row],[PointsFor]]-Games[[#This Row],[PointsAgainst]]</f>
        <v>-23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0.60546672745096675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74.05</v>
      </c>
      <c r="Z122" s="4">
        <f>Games[[#This Row],[K]]*Games[[#This Row],[POMult]]</f>
        <v>74.05</v>
      </c>
      <c r="AA122" s="4">
        <f>(Games[[#This Row],[Keff]]*Games[[#This Row],[MOVMult]])*(Games[[#This Row],[Result]]-Games[[#This Row],[ExpectedWin%]])</f>
        <v>-18.306845843080275</v>
      </c>
      <c r="AB122" s="4">
        <f>Games[[#This Row],[PreGmRate]]+Games[[#This Row],[RatingChange]]</f>
        <v>1388.1569241894974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41455</v>
      </c>
      <c r="B123" s="2">
        <v>2013</v>
      </c>
      <c r="C123" s="2">
        <f>COUNTIFS(Games[Team],Games[[#This Row],[Team]],Games[Season],Games[[#This Row],[Season]],Games[Date],"&lt;=" &amp; Games[[#This Row],[Date]])</f>
        <v>11</v>
      </c>
      <c r="D123" s="2" t="s">
        <v>83</v>
      </c>
      <c r="E123" s="2" t="s">
        <v>84</v>
      </c>
      <c r="F123" s="1" t="s">
        <v>65</v>
      </c>
      <c r="G123" s="1" t="s">
        <v>81</v>
      </c>
      <c r="H123" s="1" t="s">
        <v>86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1386.8999367183494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1406.4637700325777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0.5916823252675828</v>
      </c>
      <c r="R123" s="1">
        <v>84</v>
      </c>
      <c r="S123" s="1">
        <v>61</v>
      </c>
      <c r="T123" s="1">
        <v>0</v>
      </c>
      <c r="U123" s="1">
        <f>Games[[#This Row],[PointsFor]]-Games[[#This Row],[PointsAgainst]]</f>
        <v>23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0.60546672745096675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18.381012672964463</v>
      </c>
      <c r="AB123" s="4">
        <f>Games[[#This Row],[PreGmRate]]+Games[[#This Row],[RatingChange]]</f>
        <v>1405.2809493913139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41457</v>
      </c>
      <c r="B124" s="2">
        <v>2013</v>
      </c>
      <c r="C124" s="2">
        <f>COUNTIFS(Games[Team],Games[[#This Row],[Team]],Games[Season],Games[[#This Row],[Season]],Games[Date],"&lt;=" &amp; Games[[#This Row],[Date]])</f>
        <v>11</v>
      </c>
      <c r="D124" s="2" t="s">
        <v>83</v>
      </c>
      <c r="E124" s="2" t="s">
        <v>84</v>
      </c>
      <c r="F124" s="1" t="s">
        <v>71</v>
      </c>
      <c r="G124" s="1" t="s">
        <v>77</v>
      </c>
      <c r="H124" s="1" t="s">
        <v>85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1461.1394953550973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1539.7352667248788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0.26345652450060508</v>
      </c>
      <c r="R124" s="1">
        <v>69</v>
      </c>
      <c r="S124" s="1">
        <v>60</v>
      </c>
      <c r="T124" s="1">
        <v>0</v>
      </c>
      <c r="U124" s="1">
        <f>Games[[#This Row],[PointsFor]]-Games[[#This Row],[PointsAgainst]]</f>
        <v>9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0.3810163020129359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74.349999999999994</v>
      </c>
      <c r="Z124" s="4">
        <f>Games[[#This Row],[K]]*Games[[#This Row],[POMult]]</f>
        <v>74.349999999999994</v>
      </c>
      <c r="AA124" s="4">
        <f>(Games[[#This Row],[Keff]]*Games[[#This Row],[MOVMult]])*(Games[[#This Row],[Result]]-Games[[#This Row],[ExpectedWin%]])</f>
        <v>20.865217551640868</v>
      </c>
      <c r="AB124" s="4">
        <f>Games[[#This Row],[PreGmRate]]+Games[[#This Row],[RatingChange]]</f>
        <v>1482.0047129067382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41457</v>
      </c>
      <c r="B125" s="2">
        <v>2013</v>
      </c>
      <c r="C125" s="2">
        <f>COUNTIFS(Games[Team],Games[[#This Row],[Team]],Games[Season],Games[[#This Row],[Season]],Games[Date],"&lt;=" &amp; Games[[#This Row],[Date]])</f>
        <v>11</v>
      </c>
      <c r="D125" s="2" t="s">
        <v>83</v>
      </c>
      <c r="E125" s="2" t="s">
        <v>84</v>
      </c>
      <c r="F125" s="1" t="s">
        <v>77</v>
      </c>
      <c r="G125" s="1" t="s">
        <v>71</v>
      </c>
      <c r="H125" s="1" t="s">
        <v>86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1539.7352667248788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1461.1394953550973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0.73654347549939492</v>
      </c>
      <c r="R125" s="1">
        <v>60</v>
      </c>
      <c r="S125" s="1">
        <v>69</v>
      </c>
      <c r="T125" s="1">
        <v>0</v>
      </c>
      <c r="U125" s="1">
        <f>Games[[#This Row],[PointsFor]]-Games[[#This Row],[PointsAgainst]]</f>
        <v>-9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0.3810163020129359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-20.865217551640868</v>
      </c>
      <c r="AB125" s="4">
        <f>Games[[#This Row],[PreGmRate]]+Games[[#This Row],[RatingChange]]</f>
        <v>1518.8700491732379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41457</v>
      </c>
      <c r="B126" s="2">
        <v>2013</v>
      </c>
      <c r="C126" s="2">
        <f>COUNTIFS(Games[Team],Games[[#This Row],[Team]],Games[Season],Games[[#This Row],[Season]],Games[Date],"&lt;=" &amp; Games[[#This Row],[Date]])</f>
        <v>14</v>
      </c>
      <c r="D126" s="2" t="s">
        <v>83</v>
      </c>
      <c r="E126" s="2" t="s">
        <v>84</v>
      </c>
      <c r="F126" s="1" t="s">
        <v>81</v>
      </c>
      <c r="G126" s="1" t="s">
        <v>76</v>
      </c>
      <c r="H126" s="1" t="s">
        <v>85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-1</v>
      </c>
      <c r="L126" s="2">
        <f>Games[[#This Row],[OppDaysOff]]-Games[[#This Row],[DaysOff]]</f>
        <v>1</v>
      </c>
      <c r="M126" s="1">
        <f>MAX(-16, MIN(16, Games[[#This Row],[RestDiff]]*8))</f>
        <v>-8</v>
      </c>
      <c r="N126" s="1">
        <f>MAX(-16, MIN(16, Games[[#This Row],[OppRestDiff]]*8))</f>
        <v>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1388.1569241894974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1467.0629066732492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0.2631101572094679</v>
      </c>
      <c r="R126" s="1">
        <v>69</v>
      </c>
      <c r="S126" s="1">
        <v>88</v>
      </c>
      <c r="T126" s="1">
        <v>0</v>
      </c>
      <c r="U126" s="1">
        <f>Games[[#This Row],[PointsFor]]-Games[[#This Row],[PointsAgainst]]</f>
        <v>-19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0.52636636037963969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73.900000000000006</v>
      </c>
      <c r="Z126" s="4">
        <f>Games[[#This Row],[K]]*Games[[#This Row],[POMult]]</f>
        <v>73.900000000000006</v>
      </c>
      <c r="AA126" s="4">
        <f>(Games[[#This Row],[Keff]]*Games[[#This Row],[MOVMult]])*(Games[[#This Row],[Result]]-Games[[#This Row],[ExpectedWin%]])</f>
        <v>-10.234583617782494</v>
      </c>
      <c r="AB126" s="4">
        <f>Games[[#This Row],[PreGmRate]]+Games[[#This Row],[RatingChange]]</f>
        <v>1377.922340571715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41457</v>
      </c>
      <c r="B127" s="2">
        <v>2013</v>
      </c>
      <c r="C127" s="2">
        <f>COUNTIFS(Games[Team],Games[[#This Row],[Team]],Games[Season],Games[[#This Row],[Season]],Games[Date],"&lt;=" &amp; Games[[#This Row],[Date]])</f>
        <v>10</v>
      </c>
      <c r="D127" s="2" t="s">
        <v>83</v>
      </c>
      <c r="E127" s="2" t="s">
        <v>84</v>
      </c>
      <c r="F127" s="1" t="s">
        <v>76</v>
      </c>
      <c r="G127" s="1" t="s">
        <v>81</v>
      </c>
      <c r="H127" s="1" t="s">
        <v>86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1</v>
      </c>
      <c r="L127" s="2">
        <f>Games[[#This Row],[OppDaysOff]]-Games[[#This Row],[DaysOff]]</f>
        <v>-1</v>
      </c>
      <c r="M127" s="1">
        <f>MAX(-16, MIN(16, Games[[#This Row],[RestDiff]]*8))</f>
        <v>8</v>
      </c>
      <c r="N127" s="1">
        <f>MAX(-16, MIN(16, Games[[#This Row],[OppRestDiff]]*8))</f>
        <v>-8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1467.0629066732492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1388.1569241894974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0.73688984279053205</v>
      </c>
      <c r="R127" s="1">
        <v>88</v>
      </c>
      <c r="S127" s="1">
        <v>69</v>
      </c>
      <c r="T127" s="1">
        <v>0</v>
      </c>
      <c r="U127" s="1">
        <f>Games[[#This Row],[PointsFor]]-Games[[#This Row],[PointsAgainst]]</f>
        <v>19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0.52636636037963969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10.317679019280053</v>
      </c>
      <c r="AB127" s="4">
        <f>Games[[#This Row],[PreGmRate]]+Games[[#This Row],[RatingChange]]</f>
        <v>1477.3805856925294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41457</v>
      </c>
      <c r="B128" s="2">
        <v>2013</v>
      </c>
      <c r="C128" s="2">
        <f>COUNTIFS(Games[Team],Games[[#This Row],[Team]],Games[Season],Games[[#This Row],[Season]],Games[Date],"&lt;=" &amp; Games[[#This Row],[Date]])</f>
        <v>10</v>
      </c>
      <c r="D128" s="2" t="s">
        <v>83</v>
      </c>
      <c r="E128" s="2" t="s">
        <v>84</v>
      </c>
      <c r="F128" s="1" t="s">
        <v>67</v>
      </c>
      <c r="G128" s="1" t="s">
        <v>63</v>
      </c>
      <c r="H128" s="1" t="s">
        <v>85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8" s="2">
        <f>Games[[#This Row],[DaysOff]]-Games[[#This Row],[OppDaysOff]]</f>
        <v>1</v>
      </c>
      <c r="L128" s="2">
        <f>Games[[#This Row],[OppDaysOff]]-Games[[#This Row],[DaysOff]]</f>
        <v>-1</v>
      </c>
      <c r="M128" s="1">
        <f>MAX(-16, MIN(16, Games[[#This Row],[RestDiff]]*8))</f>
        <v>8</v>
      </c>
      <c r="N128" s="1">
        <f>MAX(-16, MIN(16, Games[[#This Row],[OppRestDiff]]*8))</f>
        <v>-8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1616.0606819794793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1561.747130383307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0.4803137993519066</v>
      </c>
      <c r="R128" s="1">
        <v>66</v>
      </c>
      <c r="S128" s="1">
        <v>96</v>
      </c>
      <c r="T128" s="1">
        <v>0</v>
      </c>
      <c r="U128" s="1">
        <f>Games[[#This Row],[PointsFor]]-Games[[#This Row],[PointsAgainst]]</f>
        <v>-30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0.67303044797333156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-24.083302960146199</v>
      </c>
      <c r="AB128" s="4">
        <f>Games[[#This Row],[PreGmRate]]+Games[[#This Row],[RatingChange]]</f>
        <v>1591.9773790193331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41457</v>
      </c>
      <c r="B129" s="2">
        <v>2013</v>
      </c>
      <c r="C129" s="2">
        <f>COUNTIFS(Games[Team],Games[[#This Row],[Team]],Games[Season],Games[[#This Row],[Season]],Games[Date],"&lt;=" &amp; Games[[#This Row],[Date]])</f>
        <v>10</v>
      </c>
      <c r="D129" s="2" t="s">
        <v>83</v>
      </c>
      <c r="E129" s="2" t="s">
        <v>84</v>
      </c>
      <c r="F129" s="1" t="s">
        <v>63</v>
      </c>
      <c r="G129" s="1" t="s">
        <v>67</v>
      </c>
      <c r="H129" s="1" t="s">
        <v>86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9" s="2">
        <f>Games[[#This Row],[DaysOff]]-Games[[#This Row],[OppDaysOff]]</f>
        <v>-1</v>
      </c>
      <c r="L129" s="2">
        <f>Games[[#This Row],[OppDaysOff]]-Games[[#This Row],[DaysOff]]</f>
        <v>1</v>
      </c>
      <c r="M129" s="1">
        <f>MAX(-16, MIN(16, Games[[#This Row],[RestDiff]]*8))</f>
        <v>-8</v>
      </c>
      <c r="N129" s="1">
        <f>MAX(-16, MIN(16, Games[[#This Row],[OppRestDiff]]*8))</f>
        <v>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1561.747130383307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1616.0606819794793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0.51968620064809334</v>
      </c>
      <c r="R129" s="1">
        <v>96</v>
      </c>
      <c r="S129" s="1">
        <v>66</v>
      </c>
      <c r="T129" s="1">
        <v>0</v>
      </c>
      <c r="U129" s="1">
        <f>Games[[#This Row],[PointsFor]]-Games[[#This Row],[PointsAgainst]]</f>
        <v>30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0.67303044797333156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24.083302960146202</v>
      </c>
      <c r="AB129" s="4">
        <f>Games[[#This Row],[PreGmRate]]+Games[[#This Row],[RatingChange]]</f>
        <v>1585.8304333434533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41457</v>
      </c>
      <c r="B130" s="2">
        <v>2013</v>
      </c>
      <c r="C130" s="2">
        <f>COUNTIFS(Games[Team],Games[[#This Row],[Team]],Games[Season],Games[[#This Row],[Season]],Games[Date],"&lt;=" &amp; Games[[#This Row],[Date]])</f>
        <v>10</v>
      </c>
      <c r="D130" s="2" t="s">
        <v>83</v>
      </c>
      <c r="E130" s="2" t="s">
        <v>84</v>
      </c>
      <c r="F130" s="1" t="s">
        <v>60</v>
      </c>
      <c r="G130" s="1" t="s">
        <v>40</v>
      </c>
      <c r="H130" s="1" t="s">
        <v>85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1</v>
      </c>
      <c r="L130" s="2">
        <f>Games[[#This Row],[OppDaysOff]]-Games[[#This Row],[DaysOff]]</f>
        <v>-1</v>
      </c>
      <c r="M130" s="1">
        <f>MAX(-16, MIN(16, Games[[#This Row],[RestDiff]]*8))</f>
        <v>8</v>
      </c>
      <c r="N130" s="1">
        <f>MAX(-16, MIN(16, Games[[#This Row],[OppRestDiff]]*8))</f>
        <v>-8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1492.5268063392314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1487.1222818897268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0.41088004230067487</v>
      </c>
      <c r="R130" s="1">
        <v>87</v>
      </c>
      <c r="S130" s="1">
        <v>94</v>
      </c>
      <c r="T130" s="1">
        <v>0</v>
      </c>
      <c r="U130" s="1">
        <f>Games[[#This Row],[PointsFor]]-Games[[#This Row],[PointsAgainst]]</f>
        <v>-7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0.36844776834350507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74.5</v>
      </c>
      <c r="Z130" s="4">
        <f>Games[[#This Row],[K]]*Games[[#This Row],[POMult]]</f>
        <v>74.5</v>
      </c>
      <c r="AA130" s="4">
        <f>(Games[[#This Row],[Keff]]*Games[[#This Row],[MOVMult]])*(Games[[#This Row],[Result]]-Games[[#This Row],[ExpectedWin%]])</f>
        <v>-11.278393680871362</v>
      </c>
      <c r="AB130" s="4">
        <f>Games[[#This Row],[PreGmRate]]+Games[[#This Row],[RatingChange]]</f>
        <v>1481.2484126583599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41457</v>
      </c>
      <c r="B131" s="2">
        <v>2013</v>
      </c>
      <c r="C131" s="2">
        <f>COUNTIFS(Games[Team],Games[[#This Row],[Team]],Games[Season],Games[[#This Row],[Season]],Games[Date],"&lt;=" &amp; Games[[#This Row],[Date]])</f>
        <v>12</v>
      </c>
      <c r="D131" s="2" t="s">
        <v>83</v>
      </c>
      <c r="E131" s="2" t="s">
        <v>84</v>
      </c>
      <c r="F131" s="1" t="s">
        <v>40</v>
      </c>
      <c r="G131" s="1" t="s">
        <v>60</v>
      </c>
      <c r="H131" s="1" t="s">
        <v>86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1" s="2">
        <f>Games[[#This Row],[DaysOff]]-Games[[#This Row],[OppDaysOff]]</f>
        <v>-1</v>
      </c>
      <c r="L131" s="2">
        <f>Games[[#This Row],[OppDaysOff]]-Games[[#This Row],[DaysOff]]</f>
        <v>1</v>
      </c>
      <c r="M131" s="1">
        <f>MAX(-16, MIN(16, Games[[#This Row],[RestDiff]]*8))</f>
        <v>-8</v>
      </c>
      <c r="N131" s="1">
        <f>MAX(-16, MIN(16, Games[[#This Row],[OppRestDiff]]*8))</f>
        <v>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1487.1222818897268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1492.5268063392314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0.58911995769932524</v>
      </c>
      <c r="R131" s="1">
        <v>94</v>
      </c>
      <c r="S131" s="1">
        <v>87</v>
      </c>
      <c r="T131" s="1">
        <v>0</v>
      </c>
      <c r="U131" s="1">
        <f>Games[[#This Row],[PointsFor]]-Games[[#This Row],[PointsAgainst]]</f>
        <v>7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0.36844776834350507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74.2</v>
      </c>
      <c r="Z131" s="4">
        <f>Games[[#This Row],[K]]*Games[[#This Row],[POMult]]</f>
        <v>74.2</v>
      </c>
      <c r="AA131" s="4">
        <f>(Games[[#This Row],[Keff]]*Games[[#This Row],[MOVMult]])*(Games[[#This Row],[Result]]-Games[[#This Row],[ExpectedWin%]])</f>
        <v>11.232977330478588</v>
      </c>
      <c r="AB131" s="4">
        <f>Games[[#This Row],[PreGmRate]]+Games[[#This Row],[RatingChange]]</f>
        <v>1498.3552592202054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41459</v>
      </c>
      <c r="B132" s="2">
        <v>2013</v>
      </c>
      <c r="C132" s="2">
        <f>COUNTIFS(Games[Team],Games[[#This Row],[Team]],Games[Season],Games[[#This Row],[Season]],Games[Date],"&lt;=" &amp; Games[[#This Row],[Date]])</f>
        <v>11</v>
      </c>
      <c r="D132" s="2" t="s">
        <v>83</v>
      </c>
      <c r="E132" s="2" t="s">
        <v>84</v>
      </c>
      <c r="F132" s="1" t="s">
        <v>60</v>
      </c>
      <c r="G132" s="1" t="s">
        <v>63</v>
      </c>
      <c r="H132" s="1" t="s">
        <v>85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1481.2484126583599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1585.8304333434533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0.2524542668216182</v>
      </c>
      <c r="R132" s="1">
        <v>89</v>
      </c>
      <c r="S132" s="1">
        <v>97</v>
      </c>
      <c r="T132" s="1">
        <v>0</v>
      </c>
      <c r="U132" s="1">
        <f>Games[[#This Row],[PointsFor]]-Games[[#This Row],[PointsAgainst]]</f>
        <v>-8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0.35718615971642836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-6.7043751947074988</v>
      </c>
      <c r="AB132" s="4">
        <f>Games[[#This Row],[PreGmRate]]+Games[[#This Row],[RatingChange]]</f>
        <v>1474.5440374636523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41459</v>
      </c>
      <c r="B133" s="2">
        <v>2013</v>
      </c>
      <c r="C133" s="2">
        <f>COUNTIFS(Games[Team],Games[[#This Row],[Team]],Games[Season],Games[[#This Row],[Season]],Games[Date],"&lt;=" &amp; Games[[#This Row],[Date]])</f>
        <v>11</v>
      </c>
      <c r="D133" s="2" t="s">
        <v>83</v>
      </c>
      <c r="E133" s="2" t="s">
        <v>84</v>
      </c>
      <c r="F133" s="1" t="s">
        <v>63</v>
      </c>
      <c r="G133" s="1" t="s">
        <v>60</v>
      </c>
      <c r="H133" s="1" t="s">
        <v>86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1585.8304333434533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1481.2484126583599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0.7475457331783818</v>
      </c>
      <c r="R133" s="1">
        <v>97</v>
      </c>
      <c r="S133" s="1">
        <v>89</v>
      </c>
      <c r="T133" s="1">
        <v>0</v>
      </c>
      <c r="U133" s="1">
        <f>Games[[#This Row],[PointsFor]]-Games[[#This Row],[PointsAgainst]]</f>
        <v>8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0.35718615971642836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6.7043751947074988</v>
      </c>
      <c r="AB133" s="4">
        <f>Games[[#This Row],[PreGmRate]]+Games[[#This Row],[RatingChange]]</f>
        <v>1592.5348085381609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41461</v>
      </c>
      <c r="B134" s="2">
        <v>2013</v>
      </c>
      <c r="C134" s="2">
        <f>COUNTIFS(Games[Team],Games[[#This Row],[Team]],Games[Season],Games[[#This Row],[Season]],Games[Date],"&lt;=" &amp; Games[[#This Row],[Date]])</f>
        <v>11</v>
      </c>
      <c r="D134" s="2" t="s">
        <v>83</v>
      </c>
      <c r="E134" s="2" t="s">
        <v>84</v>
      </c>
      <c r="F134" s="1" t="s">
        <v>76</v>
      </c>
      <c r="G134" s="1" t="s">
        <v>69</v>
      </c>
      <c r="H134" s="1" t="s">
        <v>85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4" s="2">
        <f>Games[[#This Row],[DaysOff]]-Games[[#This Row],[OppDaysOff]]</f>
        <v>-2</v>
      </c>
      <c r="L134" s="2">
        <f>Games[[#This Row],[OppDaysOff]]-Games[[#This Row],[DaysOff]]</f>
        <v>2</v>
      </c>
      <c r="M134" s="1">
        <f>MAX(-16, MIN(16, Games[[#This Row],[RestDiff]]*8))</f>
        <v>-16</v>
      </c>
      <c r="N134" s="1">
        <f>MAX(-16, MIN(16, Games[[#This Row],[OppRestDiff]]*8))</f>
        <v>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1477.3805856925294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1507.9891487427606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0.3007042088144849</v>
      </c>
      <c r="R134" s="1">
        <v>66</v>
      </c>
      <c r="S134" s="1">
        <v>78</v>
      </c>
      <c r="T134" s="1">
        <v>0</v>
      </c>
      <c r="U134" s="1">
        <f>Games[[#This Row],[PointsFor]]-Games[[#This Row],[PointsAgainst]]</f>
        <v>-12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0.44478427025987372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-9.9442011297686967</v>
      </c>
      <c r="AB134" s="4">
        <f>Games[[#This Row],[PreGmRate]]+Games[[#This Row],[RatingChange]]</f>
        <v>1467.4363845627606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41461</v>
      </c>
      <c r="B135" s="2">
        <v>2013</v>
      </c>
      <c r="C135" s="2">
        <f>COUNTIFS(Games[Team],Games[[#This Row],[Team]],Games[Season],Games[[#This Row],[Season]],Games[Date],"&lt;=" &amp; Games[[#This Row],[Date]])</f>
        <v>11</v>
      </c>
      <c r="D135" s="2" t="s">
        <v>83</v>
      </c>
      <c r="E135" s="2" t="s">
        <v>84</v>
      </c>
      <c r="F135" s="1" t="s">
        <v>69</v>
      </c>
      <c r="G135" s="1" t="s">
        <v>76</v>
      </c>
      <c r="H135" s="1" t="s">
        <v>86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5" s="2">
        <f>Games[[#This Row],[DaysOff]]-Games[[#This Row],[OppDaysOff]]</f>
        <v>2</v>
      </c>
      <c r="L135" s="2">
        <f>Games[[#This Row],[OppDaysOff]]-Games[[#This Row],[DaysOff]]</f>
        <v>-2</v>
      </c>
      <c r="M135" s="1">
        <f>MAX(-16, MIN(16, Games[[#This Row],[RestDiff]]*8))</f>
        <v>16</v>
      </c>
      <c r="N135" s="1">
        <f>MAX(-16, MIN(16, Games[[#This Row],[OppRestDiff]]*8))</f>
        <v>-16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1507.9891487427606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1477.3805856925294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0.6992957911855151</v>
      </c>
      <c r="R135" s="1">
        <v>78</v>
      </c>
      <c r="S135" s="1">
        <v>66</v>
      </c>
      <c r="T135" s="1">
        <v>0</v>
      </c>
      <c r="U135" s="1">
        <f>Games[[#This Row],[PointsFor]]-Games[[#This Row],[PointsAgainst]]</f>
        <v>12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0.44478427025987372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9.9442011297686967</v>
      </c>
      <c r="AB135" s="4">
        <f>Games[[#This Row],[PreGmRate]]+Games[[#This Row],[RatingChange]]</f>
        <v>1517.9333498725293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41461</v>
      </c>
      <c r="B136" s="2">
        <v>2013</v>
      </c>
      <c r="C136" s="2">
        <f>COUNTIFS(Games[Team],Games[[#This Row],[Team]],Games[Season],Games[[#This Row],[Season]],Games[Date],"&lt;=" &amp; Games[[#This Row],[Date]])</f>
        <v>11</v>
      </c>
      <c r="D136" s="2" t="s">
        <v>83</v>
      </c>
      <c r="E136" s="2" t="s">
        <v>84</v>
      </c>
      <c r="F136" s="1" t="s">
        <v>74</v>
      </c>
      <c r="G136" s="1" t="s">
        <v>63</v>
      </c>
      <c r="H136" s="1" t="s">
        <v>85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4</v>
      </c>
      <c r="L136" s="2">
        <f>Games[[#This Row],[OppDaysOff]]-Games[[#This Row],[DaysOff]]</f>
        <v>-4</v>
      </c>
      <c r="M136" s="1">
        <f>MAX(-16, MIN(16, Games[[#This Row],[RestDiff]]*8))</f>
        <v>16</v>
      </c>
      <c r="N136" s="1">
        <f>MAX(-16, MIN(16, Games[[#This Row],[OppRestDiff]]*8))</f>
        <v>-16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1457.8656075539079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1592.5348085381609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0.25453794770791266</v>
      </c>
      <c r="R136" s="1">
        <v>66</v>
      </c>
      <c r="S136" s="1">
        <v>93</v>
      </c>
      <c r="T136" s="1">
        <v>0</v>
      </c>
      <c r="U136" s="1">
        <f>Games[[#This Row],[PointsFor]]-Games[[#This Row],[PointsAgainst]]</f>
        <v>-27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0.59939946123731569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74.349999999999994</v>
      </c>
      <c r="Z136" s="4">
        <f>Games[[#This Row],[K]]*Games[[#This Row],[POMult]]</f>
        <v>74.349999999999994</v>
      </c>
      <c r="AA136" s="4">
        <f>(Games[[#This Row],[Keff]]*Games[[#This Row],[MOVMult]])*(Games[[#This Row],[Result]]-Games[[#This Row],[ExpectedWin%]])</f>
        <v>-11.343572713374741</v>
      </c>
      <c r="AB136" s="4">
        <f>Games[[#This Row],[PreGmRate]]+Games[[#This Row],[RatingChange]]</f>
        <v>1446.5220348405333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41461</v>
      </c>
      <c r="B137" s="2">
        <v>2013</v>
      </c>
      <c r="C137" s="2">
        <f>COUNTIFS(Games[Team],Games[[#This Row],[Team]],Games[Season],Games[[#This Row],[Season]],Games[Date],"&lt;=" &amp; Games[[#This Row],[Date]])</f>
        <v>12</v>
      </c>
      <c r="D137" s="2" t="s">
        <v>83</v>
      </c>
      <c r="E137" s="2" t="s">
        <v>84</v>
      </c>
      <c r="F137" s="1" t="s">
        <v>63</v>
      </c>
      <c r="G137" s="1" t="s">
        <v>74</v>
      </c>
      <c r="H137" s="1" t="s">
        <v>86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7" s="2">
        <f>Games[[#This Row],[DaysOff]]-Games[[#This Row],[OppDaysOff]]</f>
        <v>-4</v>
      </c>
      <c r="L137" s="2">
        <f>Games[[#This Row],[OppDaysOff]]-Games[[#This Row],[DaysOff]]</f>
        <v>4</v>
      </c>
      <c r="M137" s="1">
        <f>MAX(-16, MIN(16, Games[[#This Row],[RestDiff]]*8))</f>
        <v>-16</v>
      </c>
      <c r="N137" s="1">
        <f>MAX(-16, MIN(16, Games[[#This Row],[OppRestDiff]]*8))</f>
        <v>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1592.5348085381609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1457.8656075539079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0.74546205229208728</v>
      </c>
      <c r="R137" s="1">
        <v>93</v>
      </c>
      <c r="S137" s="1">
        <v>66</v>
      </c>
      <c r="T137" s="1">
        <v>0</v>
      </c>
      <c r="U137" s="1">
        <f>Games[[#This Row],[PointsFor]]-Games[[#This Row],[PointsAgainst]]</f>
        <v>27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0.59939946123731569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74.2</v>
      </c>
      <c r="Z137" s="4">
        <f>Games[[#This Row],[K]]*Games[[#This Row],[POMult]]</f>
        <v>74.2</v>
      </c>
      <c r="AA137" s="4">
        <f>(Games[[#This Row],[Keff]]*Games[[#This Row],[MOVMult]])*(Games[[#This Row],[Result]]-Games[[#This Row],[ExpectedWin%]])</f>
        <v>11.320687227066658</v>
      </c>
      <c r="AB137" s="4">
        <f>Games[[#This Row],[PreGmRate]]+Games[[#This Row],[RatingChange]]</f>
        <v>1603.8554957652275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41461</v>
      </c>
      <c r="B138" s="2">
        <v>2013</v>
      </c>
      <c r="C138" s="2">
        <f>COUNTIFS(Games[Team],Games[[#This Row],[Team]],Games[Season],Games[[#This Row],[Season]],Games[Date],"&lt;=" &amp; Games[[#This Row],[Date]])</f>
        <v>12</v>
      </c>
      <c r="D138" s="2" t="s">
        <v>83</v>
      </c>
      <c r="E138" s="2" t="s">
        <v>84</v>
      </c>
      <c r="F138" s="1" t="s">
        <v>71</v>
      </c>
      <c r="G138" s="1" t="s">
        <v>65</v>
      </c>
      <c r="H138" s="1" t="s">
        <v>85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1482.0047129067382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1405.2809493913139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0.44371650488931097</v>
      </c>
      <c r="R138" s="1">
        <v>59</v>
      </c>
      <c r="S138" s="1">
        <v>62</v>
      </c>
      <c r="T138" s="1">
        <v>0</v>
      </c>
      <c r="U138" s="1">
        <f>Games[[#This Row],[PointsFor]]-Games[[#This Row],[PointsAgainst]]</f>
        <v>-3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0.27274515856087361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-8.9797974133726939</v>
      </c>
      <c r="AB138" s="4">
        <f>Games[[#This Row],[PreGmRate]]+Games[[#This Row],[RatingChange]]</f>
        <v>1473.0249154933654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41461</v>
      </c>
      <c r="B139" s="2">
        <v>2013</v>
      </c>
      <c r="C139" s="2">
        <f>COUNTIFS(Games[Team],Games[[#This Row],[Team]],Games[Season],Games[[#This Row],[Season]],Games[Date],"&lt;=" &amp; Games[[#This Row],[Date]])</f>
        <v>12</v>
      </c>
      <c r="D139" s="2" t="s">
        <v>83</v>
      </c>
      <c r="E139" s="2" t="s">
        <v>84</v>
      </c>
      <c r="F139" s="1" t="s">
        <v>65</v>
      </c>
      <c r="G139" s="1" t="s">
        <v>71</v>
      </c>
      <c r="H139" s="1" t="s">
        <v>86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1405.2809493913139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1482.0047129067382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0.55628349511068897</v>
      </c>
      <c r="R139" s="1">
        <v>62</v>
      </c>
      <c r="S139" s="1">
        <v>59</v>
      </c>
      <c r="T139" s="1">
        <v>0</v>
      </c>
      <c r="U139" s="1">
        <f>Games[[#This Row],[PointsFor]]-Games[[#This Row],[PointsAgainst]]</f>
        <v>3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0.27274515856087361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8.9797974133726939</v>
      </c>
      <c r="AB139" s="4">
        <f>Games[[#This Row],[PreGmRate]]+Games[[#This Row],[RatingChange]]</f>
        <v>1414.2607468046867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41462</v>
      </c>
      <c r="B140" s="2">
        <v>2013</v>
      </c>
      <c r="C140" s="2">
        <f>COUNTIFS(Games[Team],Games[[#This Row],[Team]],Games[Season],Games[[#This Row],[Season]],Games[Date],"&lt;=" &amp; Games[[#This Row],[Date]])</f>
        <v>13</v>
      </c>
      <c r="D140" s="2" t="s">
        <v>83</v>
      </c>
      <c r="E140" s="2" t="s">
        <v>84</v>
      </c>
      <c r="F140" s="1" t="s">
        <v>40</v>
      </c>
      <c r="G140" s="1" t="s">
        <v>67</v>
      </c>
      <c r="H140" s="1" t="s">
        <v>85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1498.3552592202054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1591.9773790193331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0.26454555898556892</v>
      </c>
      <c r="R140" s="1">
        <v>59</v>
      </c>
      <c r="S140" s="1">
        <v>91</v>
      </c>
      <c r="T140" s="1">
        <v>0</v>
      </c>
      <c r="U140" s="1">
        <f>Games[[#This Row],[PointsFor]]-Games[[#This Row],[PointsAgainst]]</f>
        <v>-32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0.67470449175926461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74.05</v>
      </c>
      <c r="Z140" s="4">
        <f>Games[[#This Row],[K]]*Games[[#This Row],[POMult]]</f>
        <v>74.05</v>
      </c>
      <c r="AA140" s="4">
        <f>(Games[[#This Row],[Keff]]*Games[[#This Row],[MOVMult]])*(Games[[#This Row],[Result]]-Games[[#This Row],[ExpectedWin%]])</f>
        <v>-13.217190196113261</v>
      </c>
      <c r="AB140" s="4">
        <f>Games[[#This Row],[PreGmRate]]+Games[[#This Row],[RatingChange]]</f>
        <v>1485.1380690240921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41462</v>
      </c>
      <c r="B141" s="2">
        <v>2013</v>
      </c>
      <c r="C141" s="2">
        <f>COUNTIFS(Games[Team],Games[[#This Row],[Team]],Games[Season],Games[[#This Row],[Season]],Games[Date],"&lt;=" &amp; Games[[#This Row],[Date]])</f>
        <v>11</v>
      </c>
      <c r="D141" s="2" t="s">
        <v>83</v>
      </c>
      <c r="E141" s="2" t="s">
        <v>84</v>
      </c>
      <c r="F141" s="1" t="s">
        <v>67</v>
      </c>
      <c r="G141" s="1" t="s">
        <v>40</v>
      </c>
      <c r="H141" s="1" t="s">
        <v>86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1591.9773790193331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1498.3552592202054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0.73545444101443114</v>
      </c>
      <c r="R141" s="1">
        <v>91</v>
      </c>
      <c r="S141" s="1">
        <v>59</v>
      </c>
      <c r="T141" s="1">
        <v>0</v>
      </c>
      <c r="U141" s="1">
        <f>Games[[#This Row],[PointsFor]]-Games[[#This Row],[PointsAgainst]]</f>
        <v>32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0.67470449175926461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74.349999999999994</v>
      </c>
      <c r="Z141" s="4">
        <f>Games[[#This Row],[K]]*Games[[#This Row],[POMult]]</f>
        <v>74.349999999999994</v>
      </c>
      <c r="AA141" s="4">
        <f>(Games[[#This Row],[Keff]]*Games[[#This Row],[MOVMult]])*(Games[[#This Row],[Result]]-Games[[#This Row],[ExpectedWin%]])</f>
        <v>13.270737219190014</v>
      </c>
      <c r="AB141" s="4">
        <f>Games[[#This Row],[PreGmRate]]+Games[[#This Row],[RatingChange]]</f>
        <v>1605.2481162385232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41462</v>
      </c>
      <c r="B142" s="2">
        <v>2013</v>
      </c>
      <c r="C142" s="2">
        <f>COUNTIFS(Games[Team],Games[[#This Row],[Team]],Games[Season],Games[[#This Row],[Season]],Games[Date],"&lt;=" &amp; Games[[#This Row],[Date]])</f>
        <v>12</v>
      </c>
      <c r="D142" s="2" t="s">
        <v>83</v>
      </c>
      <c r="E142" s="2" t="s">
        <v>84</v>
      </c>
      <c r="F142" s="1" t="s">
        <v>77</v>
      </c>
      <c r="G142" s="1" t="s">
        <v>60</v>
      </c>
      <c r="H142" s="1" t="s">
        <v>85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2</v>
      </c>
      <c r="L142" s="2">
        <f>Games[[#This Row],[OppDaysOff]]-Games[[#This Row],[DaysOff]]</f>
        <v>-2</v>
      </c>
      <c r="M142" s="1">
        <f>MAX(-16, MIN(16, Games[[#This Row],[RestDiff]]*8))</f>
        <v>16</v>
      </c>
      <c r="N142" s="1">
        <f>MAX(-16, MIN(16, Games[[#This Row],[OppRestDiff]]*8))</f>
        <v>-16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1518.8700491732379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1474.5440374636523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0.48895803867814486</v>
      </c>
      <c r="R142" s="1">
        <v>93</v>
      </c>
      <c r="S142" s="1">
        <v>64</v>
      </c>
      <c r="T142" s="1">
        <v>0</v>
      </c>
      <c r="U142" s="1">
        <f>Games[[#This Row],[PointsFor]]-Games[[#This Row],[PointsAgainst]]</f>
        <v>29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0.66673487189525904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25.282128648835151</v>
      </c>
      <c r="AB142" s="4">
        <f>Games[[#This Row],[PreGmRate]]+Games[[#This Row],[RatingChange]]</f>
        <v>1544.1521778220731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41462</v>
      </c>
      <c r="B143" s="2">
        <v>2013</v>
      </c>
      <c r="C143" s="2">
        <f>COUNTIFS(Games[Team],Games[[#This Row],[Team]],Games[Season],Games[[#This Row],[Season]],Games[Date],"&lt;=" &amp; Games[[#This Row],[Date]])</f>
        <v>12</v>
      </c>
      <c r="D143" s="2" t="s">
        <v>83</v>
      </c>
      <c r="E143" s="2" t="s">
        <v>84</v>
      </c>
      <c r="F143" s="1" t="s">
        <v>60</v>
      </c>
      <c r="G143" s="1" t="s">
        <v>77</v>
      </c>
      <c r="H143" s="1" t="s">
        <v>86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3" s="2">
        <f>Games[[#This Row],[DaysOff]]-Games[[#This Row],[OppDaysOff]]</f>
        <v>-2</v>
      </c>
      <c r="L143" s="2">
        <f>Games[[#This Row],[OppDaysOff]]-Games[[#This Row],[DaysOff]]</f>
        <v>2</v>
      </c>
      <c r="M143" s="1">
        <f>MAX(-16, MIN(16, Games[[#This Row],[RestDiff]]*8))</f>
        <v>-16</v>
      </c>
      <c r="N143" s="1">
        <f>MAX(-16, MIN(16, Games[[#This Row],[OppRestDiff]]*8))</f>
        <v>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1474.5440374636523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1518.8700491732379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0.51104196132185509</v>
      </c>
      <c r="R143" s="1">
        <v>64</v>
      </c>
      <c r="S143" s="1">
        <v>93</v>
      </c>
      <c r="T143" s="1">
        <v>0</v>
      </c>
      <c r="U143" s="1">
        <f>Games[[#This Row],[PointsFor]]-Games[[#This Row],[PointsAgainst]]</f>
        <v>-29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0.66673487189525904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-25.282128648835151</v>
      </c>
      <c r="AB143" s="4">
        <f>Games[[#This Row],[PreGmRate]]+Games[[#This Row],[RatingChange]]</f>
        <v>1449.2619088148172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41464</v>
      </c>
      <c r="B144" s="2">
        <v>2013</v>
      </c>
      <c r="C144" s="2">
        <f>COUNTIFS(Games[Team],Games[[#This Row],[Team]],Games[Season],Games[[#This Row],[Season]],Games[Date],"&lt;=" &amp; Games[[#This Row],[Date]])</f>
        <v>12</v>
      </c>
      <c r="D144" s="2" t="s">
        <v>83</v>
      </c>
      <c r="E144" s="2" t="s">
        <v>84</v>
      </c>
      <c r="F144" s="1" t="s">
        <v>79</v>
      </c>
      <c r="G144" s="1" t="s">
        <v>67</v>
      </c>
      <c r="H144" s="1" t="s">
        <v>85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8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7</v>
      </c>
      <c r="L144" s="2">
        <f>Games[[#This Row],[OppDaysOff]]-Games[[#This Row],[DaysOff]]</f>
        <v>-7</v>
      </c>
      <c r="M144" s="1">
        <f>MAX(-16, MIN(16, Games[[#This Row],[RestDiff]]*8))</f>
        <v>16</v>
      </c>
      <c r="N144" s="1">
        <f>MAX(-16, MIN(16, Games[[#This Row],[OppRestDiff]]*8))</f>
        <v>-16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1619.6907301892393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1605.2481162385232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0.44616012630981583</v>
      </c>
      <c r="R144" s="1">
        <v>72</v>
      </c>
      <c r="S144" s="1">
        <v>94</v>
      </c>
      <c r="T144" s="1">
        <v>0</v>
      </c>
      <c r="U144" s="1">
        <f>Games[[#This Row],[PointsFor]]-Games[[#This Row],[PointsAgainst]]</f>
        <v>-22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0.59489629010459477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-19.694090091925567</v>
      </c>
      <c r="AB144" s="4">
        <f>Games[[#This Row],[PreGmRate]]+Games[[#This Row],[RatingChange]]</f>
        <v>1599.9966400973137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41464</v>
      </c>
      <c r="B145" s="2">
        <v>2013</v>
      </c>
      <c r="C145" s="2">
        <f>COUNTIFS(Games[Team],Games[[#This Row],[Team]],Games[Season],Games[[#This Row],[Season]],Games[Date],"&lt;=" &amp; Games[[#This Row],[Date]])</f>
        <v>12</v>
      </c>
      <c r="D145" s="2" t="s">
        <v>83</v>
      </c>
      <c r="E145" s="2" t="s">
        <v>84</v>
      </c>
      <c r="F145" s="1" t="s">
        <v>67</v>
      </c>
      <c r="G145" s="1" t="s">
        <v>79</v>
      </c>
      <c r="H145" s="1" t="s">
        <v>86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45" s="2">
        <f>Games[[#This Row],[DaysOff]]-Games[[#This Row],[OppDaysOff]]</f>
        <v>-7</v>
      </c>
      <c r="L145" s="2">
        <f>Games[[#This Row],[OppDaysOff]]-Games[[#This Row],[DaysOff]]</f>
        <v>7</v>
      </c>
      <c r="M145" s="1">
        <f>MAX(-16, MIN(16, Games[[#This Row],[RestDiff]]*8))</f>
        <v>-16</v>
      </c>
      <c r="N145" s="1">
        <f>MAX(-16, MIN(16, Games[[#This Row],[OppRestDiff]]*8))</f>
        <v>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1605.2481162385232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1619.6907301892393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0.55383987369018406</v>
      </c>
      <c r="R145" s="1">
        <v>94</v>
      </c>
      <c r="S145" s="1">
        <v>72</v>
      </c>
      <c r="T145" s="1">
        <v>0</v>
      </c>
      <c r="U145" s="1">
        <f>Games[[#This Row],[PointsFor]]-Games[[#This Row],[PointsAgainst]]</f>
        <v>22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0.59489629010459477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19.694090091925574</v>
      </c>
      <c r="AB145" s="4">
        <f>Games[[#This Row],[PreGmRate]]+Games[[#This Row],[RatingChange]]</f>
        <v>1624.9422063304487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41464</v>
      </c>
      <c r="B146" s="2">
        <v>2013</v>
      </c>
      <c r="C146" s="2">
        <f>COUNTIFS(Games[Team],Games[[#This Row],[Team]],Games[Season],Games[[#This Row],[Season]],Games[Date],"&lt;=" &amp; Games[[#This Row],[Date]])</f>
        <v>13</v>
      </c>
      <c r="D146" s="2" t="s">
        <v>83</v>
      </c>
      <c r="E146" s="2" t="s">
        <v>84</v>
      </c>
      <c r="F146" s="1" t="s">
        <v>71</v>
      </c>
      <c r="G146" s="1" t="s">
        <v>60</v>
      </c>
      <c r="H146" s="1" t="s">
        <v>85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1</v>
      </c>
      <c r="L146" s="2">
        <f>Games[[#This Row],[OppDaysOff]]-Games[[#This Row],[DaysOff]]</f>
        <v>-1</v>
      </c>
      <c r="M146" s="1">
        <f>MAX(-16, MIN(16, Games[[#This Row],[RestDiff]]*8))</f>
        <v>8</v>
      </c>
      <c r="N146" s="1">
        <f>MAX(-16, MIN(16, Games[[#This Row],[OppRestDiff]]*8))</f>
        <v>-8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1473.0249154933654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1449.2619088148172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0.43667965203790954</v>
      </c>
      <c r="R146" s="1">
        <v>57</v>
      </c>
      <c r="S146" s="1">
        <v>66</v>
      </c>
      <c r="T146" s="1">
        <v>0</v>
      </c>
      <c r="U146" s="1">
        <f>Games[[#This Row],[PointsFor]]-Games[[#This Row],[PointsAgainst]]</f>
        <v>-9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0.39808837979089007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74.05</v>
      </c>
      <c r="Z146" s="4">
        <f>Games[[#This Row],[K]]*Games[[#This Row],[POMult]]</f>
        <v>74.05</v>
      </c>
      <c r="AA146" s="4">
        <f>(Games[[#This Row],[Keff]]*Games[[#This Row],[MOVMult]])*(Games[[#This Row],[Result]]-Games[[#This Row],[ExpectedWin%]])</f>
        <v>-12.872636897147528</v>
      </c>
      <c r="AB146" s="4">
        <f>Games[[#This Row],[PreGmRate]]+Games[[#This Row],[RatingChange]]</f>
        <v>1460.1522785962179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41464</v>
      </c>
      <c r="B147" s="2">
        <v>2013</v>
      </c>
      <c r="C147" s="2">
        <f>COUNTIFS(Games[Team],Games[[#This Row],[Team]],Games[Season],Games[[#This Row],[Season]],Games[Date],"&lt;=" &amp; Games[[#This Row],[Date]])</f>
        <v>13</v>
      </c>
      <c r="D147" s="2" t="s">
        <v>83</v>
      </c>
      <c r="E147" s="2" t="s">
        <v>84</v>
      </c>
      <c r="F147" s="1" t="s">
        <v>60</v>
      </c>
      <c r="G147" s="1" t="s">
        <v>71</v>
      </c>
      <c r="H147" s="1" t="s">
        <v>86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-1</v>
      </c>
      <c r="L147" s="2">
        <f>Games[[#This Row],[OppDaysOff]]-Games[[#This Row],[DaysOff]]</f>
        <v>1</v>
      </c>
      <c r="M147" s="1">
        <f>MAX(-16, MIN(16, Games[[#This Row],[RestDiff]]*8))</f>
        <v>-8</v>
      </c>
      <c r="N147" s="1">
        <f>MAX(-16, MIN(16, Games[[#This Row],[OppRestDiff]]*8))</f>
        <v>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1449.2619088148172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1473.0249154933654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0.56332034796209041</v>
      </c>
      <c r="R147" s="1">
        <v>66</v>
      </c>
      <c r="S147" s="1">
        <v>57</v>
      </c>
      <c r="T147" s="1">
        <v>0</v>
      </c>
      <c r="U147" s="1">
        <f>Games[[#This Row],[PointsFor]]-Games[[#This Row],[PointsAgainst]]</f>
        <v>9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0.39808837979089007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12.87263689714753</v>
      </c>
      <c r="AB147" s="4">
        <f>Games[[#This Row],[PreGmRate]]+Games[[#This Row],[RatingChange]]</f>
        <v>1462.1345457119646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41465</v>
      </c>
      <c r="B148" s="2">
        <v>2013</v>
      </c>
      <c r="C148" s="2">
        <f>COUNTIFS(Games[Team],Games[[#This Row],[Team]],Games[Season],Games[[#This Row],[Season]],Games[Date],"&lt;=" &amp; Games[[#This Row],[Date]])</f>
        <v>13</v>
      </c>
      <c r="D148" s="2" t="s">
        <v>83</v>
      </c>
      <c r="E148" s="2" t="s">
        <v>84</v>
      </c>
      <c r="F148" s="1" t="s">
        <v>65</v>
      </c>
      <c r="G148" s="1" t="s">
        <v>77</v>
      </c>
      <c r="H148" s="1" t="s">
        <v>85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1</v>
      </c>
      <c r="L148" s="2">
        <f>Games[[#This Row],[OppDaysOff]]-Games[[#This Row],[DaysOff]]</f>
        <v>-1</v>
      </c>
      <c r="M148" s="1">
        <f>MAX(-16, MIN(16, Games[[#This Row],[RestDiff]]*8))</f>
        <v>8</v>
      </c>
      <c r="N148" s="1">
        <f>MAX(-16, MIN(16, Games[[#This Row],[OppRestDiff]]*8))</f>
        <v>-8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1414.2607468046867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1544.1521778220731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0.24247560249764019</v>
      </c>
      <c r="R148" s="1">
        <v>85</v>
      </c>
      <c r="S148" s="1">
        <v>89</v>
      </c>
      <c r="T148" s="1">
        <v>0</v>
      </c>
      <c r="U148" s="1">
        <f>Games[[#This Row],[PointsFor]]-Games[[#This Row],[PointsAgainst]]</f>
        <v>-4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0.28101488074011766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-5.0457116489773401</v>
      </c>
      <c r="AB148" s="4">
        <f>Games[[#This Row],[PreGmRate]]+Games[[#This Row],[RatingChange]]</f>
        <v>1409.2150351557093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41465</v>
      </c>
      <c r="B149" s="2">
        <v>2013</v>
      </c>
      <c r="C149" s="2">
        <f>COUNTIFS(Games[Team],Games[[#This Row],[Team]],Games[Season],Games[[#This Row],[Season]],Games[Date],"&lt;=" &amp; Games[[#This Row],[Date]])</f>
        <v>13</v>
      </c>
      <c r="D149" s="2" t="s">
        <v>83</v>
      </c>
      <c r="E149" s="2" t="s">
        <v>84</v>
      </c>
      <c r="F149" s="1" t="s">
        <v>77</v>
      </c>
      <c r="G149" s="1" t="s">
        <v>65</v>
      </c>
      <c r="H149" s="1" t="s">
        <v>86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9" s="2">
        <f>Games[[#This Row],[DaysOff]]-Games[[#This Row],[OppDaysOff]]</f>
        <v>-1</v>
      </c>
      <c r="L149" s="2">
        <f>Games[[#This Row],[OppDaysOff]]-Games[[#This Row],[DaysOff]]</f>
        <v>1</v>
      </c>
      <c r="M149" s="1">
        <f>MAX(-16, MIN(16, Games[[#This Row],[RestDiff]]*8))</f>
        <v>-8</v>
      </c>
      <c r="N149" s="1">
        <f>MAX(-16, MIN(16, Games[[#This Row],[OppRestDiff]]*8))</f>
        <v>8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1544.1521778220731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1414.2607468046867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0.75752439750235978</v>
      </c>
      <c r="R149" s="1">
        <v>89</v>
      </c>
      <c r="S149" s="1">
        <v>85</v>
      </c>
      <c r="T149" s="1">
        <v>0</v>
      </c>
      <c r="U149" s="1">
        <f>Games[[#This Row],[PointsFor]]-Games[[#This Row],[PointsAgainst]]</f>
        <v>4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0.28101488074011766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5.045711648977341</v>
      </c>
      <c r="AB149" s="4">
        <f>Games[[#This Row],[PreGmRate]]+Games[[#This Row],[RatingChange]]</f>
        <v>1549.1978894710505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41465</v>
      </c>
      <c r="B150" s="2">
        <v>2013</v>
      </c>
      <c r="C150" s="2">
        <f>COUNTIFS(Games[Team],Games[[#This Row],[Team]],Games[Season],Games[[#This Row],[Season]],Games[Date],"&lt;=" &amp; Games[[#This Row],[Date]])</f>
        <v>12</v>
      </c>
      <c r="D150" s="2" t="s">
        <v>83</v>
      </c>
      <c r="E150" s="2" t="s">
        <v>84</v>
      </c>
      <c r="F150" s="1" t="s">
        <v>74</v>
      </c>
      <c r="G150" s="1" t="s">
        <v>40</v>
      </c>
      <c r="H150" s="1" t="s">
        <v>85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1</v>
      </c>
      <c r="L150" s="2">
        <f>Games[[#This Row],[OppDaysOff]]-Games[[#This Row],[DaysOff]]</f>
        <v>-1</v>
      </c>
      <c r="M150" s="1">
        <f>MAX(-16, MIN(16, Games[[#This Row],[RestDiff]]*8))</f>
        <v>8</v>
      </c>
      <c r="N150" s="1">
        <f>MAX(-16, MIN(16, Games[[#This Row],[OppRestDiff]]*8))</f>
        <v>-8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1446.5220348405333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1485.1380690240921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0.35120852505129024</v>
      </c>
      <c r="R150" s="1">
        <v>88</v>
      </c>
      <c r="S150" s="1">
        <v>80</v>
      </c>
      <c r="T150" s="1">
        <v>0</v>
      </c>
      <c r="U150" s="1">
        <f>Games[[#This Row],[PointsFor]]-Games[[#This Row],[PointsAgainst]]</f>
        <v>8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0.37620911496657572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18.110829980852856</v>
      </c>
      <c r="AB150" s="4">
        <f>Games[[#This Row],[PreGmRate]]+Games[[#This Row],[RatingChange]]</f>
        <v>1464.6328648213862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41465</v>
      </c>
      <c r="B151" s="2">
        <v>2013</v>
      </c>
      <c r="C151" s="2">
        <f>COUNTIFS(Games[Team],Games[[#This Row],[Team]],Games[Season],Games[[#This Row],[Season]],Games[Date],"&lt;=" &amp; Games[[#This Row],[Date]])</f>
        <v>14</v>
      </c>
      <c r="D151" s="2" t="s">
        <v>83</v>
      </c>
      <c r="E151" s="2" t="s">
        <v>84</v>
      </c>
      <c r="F151" s="1" t="s">
        <v>40</v>
      </c>
      <c r="G151" s="1" t="s">
        <v>74</v>
      </c>
      <c r="H151" s="1" t="s">
        <v>86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1" s="2">
        <f>Games[[#This Row],[DaysOff]]-Games[[#This Row],[OppDaysOff]]</f>
        <v>-1</v>
      </c>
      <c r="L151" s="2">
        <f>Games[[#This Row],[OppDaysOff]]-Games[[#This Row],[DaysOff]]</f>
        <v>1</v>
      </c>
      <c r="M151" s="1">
        <f>MAX(-16, MIN(16, Games[[#This Row],[RestDiff]]*8))</f>
        <v>-8</v>
      </c>
      <c r="N151" s="1">
        <f>MAX(-16, MIN(16, Games[[#This Row],[OppRestDiff]]*8))</f>
        <v>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1485.1380690240921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1446.5220348405333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0.6487914749487097</v>
      </c>
      <c r="R151" s="1">
        <v>80</v>
      </c>
      <c r="S151" s="1">
        <v>88</v>
      </c>
      <c r="T151" s="1">
        <v>0</v>
      </c>
      <c r="U151" s="1">
        <f>Games[[#This Row],[PointsFor]]-Games[[#This Row],[PointsAgainst]]</f>
        <v>-8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0.37620911496657572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73.900000000000006</v>
      </c>
      <c r="Z151" s="4">
        <f>Games[[#This Row],[K]]*Games[[#This Row],[POMult]]</f>
        <v>73.900000000000006</v>
      </c>
      <c r="AA151" s="4">
        <f>(Games[[#This Row],[Keff]]*Games[[#This Row],[MOVMult]])*(Games[[#This Row],[Result]]-Games[[#This Row],[ExpectedWin%]])</f>
        <v>-18.037605600876358</v>
      </c>
      <c r="AB151" s="4">
        <f>Games[[#This Row],[PreGmRate]]+Games[[#This Row],[RatingChange]]</f>
        <v>1467.1004634232158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41466</v>
      </c>
      <c r="B152" s="2">
        <v>2013</v>
      </c>
      <c r="C152" s="2">
        <f>COUNTIFS(Games[Team],Games[[#This Row],[Team]],Games[Season],Games[[#This Row],[Season]],Games[Date],"&lt;=" &amp; Games[[#This Row],[Date]])</f>
        <v>13</v>
      </c>
      <c r="D152" s="2" t="s">
        <v>83</v>
      </c>
      <c r="E152" s="2" t="s">
        <v>84</v>
      </c>
      <c r="F152" s="1" t="s">
        <v>67</v>
      </c>
      <c r="G152" s="1" t="s">
        <v>69</v>
      </c>
      <c r="H152" s="1" t="s">
        <v>85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2" s="2">
        <f>Games[[#This Row],[DaysOff]]-Games[[#This Row],[OppDaysOff]]</f>
        <v>-3</v>
      </c>
      <c r="L152" s="2">
        <f>Games[[#This Row],[OppDaysOff]]-Games[[#This Row],[DaysOff]]</f>
        <v>3</v>
      </c>
      <c r="M152" s="1">
        <f>MAX(-16, MIN(16, Games[[#This Row],[RestDiff]]*8))</f>
        <v>-16</v>
      </c>
      <c r="N152" s="1">
        <f>MAX(-16, MIN(16, Games[[#This Row],[OppRestDiff]]*8))</f>
        <v>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1624.9422063304487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1517.9333498725293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0.48706359203437272</v>
      </c>
      <c r="R152" s="1">
        <v>69</v>
      </c>
      <c r="S152" s="1">
        <v>62</v>
      </c>
      <c r="T152" s="1">
        <v>0</v>
      </c>
      <c r="U152" s="1">
        <f>Games[[#This Row],[PointsFor]]-Games[[#This Row],[PointsAgainst]]</f>
        <v>7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0.33980535387357813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12.906806711012921</v>
      </c>
      <c r="AB152" s="4">
        <f>Games[[#This Row],[PreGmRate]]+Games[[#This Row],[RatingChange]]</f>
        <v>1637.8490130414616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41466</v>
      </c>
      <c r="B153" s="2">
        <v>2013</v>
      </c>
      <c r="C153" s="2">
        <f>COUNTIFS(Games[Team],Games[[#This Row],[Team]],Games[Season],Games[[#This Row],[Season]],Games[Date],"&lt;=" &amp; Games[[#This Row],[Date]])</f>
        <v>12</v>
      </c>
      <c r="D153" s="2" t="s">
        <v>83</v>
      </c>
      <c r="E153" s="2" t="s">
        <v>84</v>
      </c>
      <c r="F153" s="1" t="s">
        <v>69</v>
      </c>
      <c r="G153" s="1" t="s">
        <v>67</v>
      </c>
      <c r="H153" s="1" t="s">
        <v>86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3</v>
      </c>
      <c r="L153" s="2">
        <f>Games[[#This Row],[OppDaysOff]]-Games[[#This Row],[DaysOff]]</f>
        <v>-3</v>
      </c>
      <c r="M153" s="1">
        <f>MAX(-16, MIN(16, Games[[#This Row],[RestDiff]]*8))</f>
        <v>16</v>
      </c>
      <c r="N153" s="1">
        <f>MAX(-16, MIN(16, Games[[#This Row],[OppRestDiff]]*8))</f>
        <v>-16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1517.9333498725293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1624.9422063304487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0.51293640796562723</v>
      </c>
      <c r="R153" s="1">
        <v>62</v>
      </c>
      <c r="S153" s="1">
        <v>69</v>
      </c>
      <c r="T153" s="1">
        <v>0</v>
      </c>
      <c r="U153" s="1">
        <f>Games[[#This Row],[PointsFor]]-Games[[#This Row],[PointsAgainst]]</f>
        <v>-7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0.33980535387357813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-12.932951491656429</v>
      </c>
      <c r="AB153" s="4">
        <f>Games[[#This Row],[PreGmRate]]+Games[[#This Row],[RatingChange]]</f>
        <v>1505.0003983808729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41466</v>
      </c>
      <c r="B154" s="2">
        <v>2013</v>
      </c>
      <c r="C154" s="2">
        <f>COUNTIFS(Games[Team],Games[[#This Row],[Team]],Games[Season],Games[[#This Row],[Season]],Games[Date],"&lt;=" &amp; Games[[#This Row],[Date]])</f>
        <v>13</v>
      </c>
      <c r="D154" s="2" t="s">
        <v>83</v>
      </c>
      <c r="E154" s="2" t="s">
        <v>84</v>
      </c>
      <c r="F154" s="1" t="s">
        <v>63</v>
      </c>
      <c r="G154" s="1" t="s">
        <v>81</v>
      </c>
      <c r="H154" s="1" t="s">
        <v>85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54" s="2">
        <f>Games[[#This Row],[DaysOff]]-Games[[#This Row],[OppDaysOff]]</f>
        <v>-4</v>
      </c>
      <c r="L154" s="2">
        <f>Games[[#This Row],[OppDaysOff]]-Games[[#This Row],[DaysOff]]</f>
        <v>4</v>
      </c>
      <c r="M154" s="1">
        <f>MAX(-16, MIN(16, Games[[#This Row],[RestDiff]]*8))</f>
        <v>-16</v>
      </c>
      <c r="N154" s="1">
        <f>MAX(-16, MIN(16, Games[[#This Row],[OppRestDiff]]*8))</f>
        <v>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1603.8554957652275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1377.922340571715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0.65312999780066083</v>
      </c>
      <c r="R154" s="1">
        <v>94</v>
      </c>
      <c r="S154" s="1">
        <v>78</v>
      </c>
      <c r="T154" s="1">
        <v>0</v>
      </c>
      <c r="U154" s="1">
        <f>Games[[#This Row],[PointsFor]]-Games[[#This Row],[PointsAgainst]]</f>
        <v>16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0.4357449972132475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11.192425585893639</v>
      </c>
      <c r="AB154" s="4">
        <f>Games[[#This Row],[PreGmRate]]+Games[[#This Row],[RatingChange]]</f>
        <v>1615.0479213511212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41466</v>
      </c>
      <c r="B155" s="2">
        <v>2013</v>
      </c>
      <c r="C155" s="2">
        <f>COUNTIFS(Games[Team],Games[[#This Row],[Team]],Games[Season],Games[[#This Row],[Season]],Games[Date],"&lt;=" &amp; Games[[#This Row],[Date]])</f>
        <v>15</v>
      </c>
      <c r="D155" s="2" t="s">
        <v>83</v>
      </c>
      <c r="E155" s="2" t="s">
        <v>84</v>
      </c>
      <c r="F155" s="1" t="s">
        <v>81</v>
      </c>
      <c r="G155" s="1" t="s">
        <v>63</v>
      </c>
      <c r="H155" s="1" t="s">
        <v>86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8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5" s="2">
        <f>Games[[#This Row],[DaysOff]]-Games[[#This Row],[OppDaysOff]]</f>
        <v>4</v>
      </c>
      <c r="L155" s="2">
        <f>Games[[#This Row],[OppDaysOff]]-Games[[#This Row],[DaysOff]]</f>
        <v>-4</v>
      </c>
      <c r="M155" s="1">
        <f>MAX(-16, MIN(16, Games[[#This Row],[RestDiff]]*8))</f>
        <v>16</v>
      </c>
      <c r="N155" s="1">
        <f>MAX(-16, MIN(16, Games[[#This Row],[OppRestDiff]]*8))</f>
        <v>-16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1377.922340571715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1603.8554957652275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0.34687000219933917</v>
      </c>
      <c r="R155" s="1">
        <v>78</v>
      </c>
      <c r="S155" s="1">
        <v>94</v>
      </c>
      <c r="T155" s="1">
        <v>0</v>
      </c>
      <c r="U155" s="1">
        <f>Games[[#This Row],[PointsFor]]-Games[[#This Row],[PointsAgainst]]</f>
        <v>-16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0.4357449972132475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73.75</v>
      </c>
      <c r="Z155" s="4">
        <f>Games[[#This Row],[K]]*Games[[#This Row],[POMult]]</f>
        <v>73.75</v>
      </c>
      <c r="AA155" s="4">
        <f>(Games[[#This Row],[Keff]]*Games[[#This Row],[MOVMult]])*(Games[[#This Row],[Result]]-Games[[#This Row],[ExpectedWin%]])</f>
        <v>-11.147081525451126</v>
      </c>
      <c r="AB155" s="4">
        <f>Games[[#This Row],[PreGmRate]]+Games[[#This Row],[RatingChange]]</f>
        <v>1366.775259046264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41467</v>
      </c>
      <c r="B156" s="2">
        <v>2013</v>
      </c>
      <c r="C156" s="2">
        <f>COUNTIFS(Games[Team],Games[[#This Row],[Team]],Games[Season],Games[[#This Row],[Season]],Games[Date],"&lt;=" &amp; Games[[#This Row],[Date]])</f>
        <v>14</v>
      </c>
      <c r="D156" s="2" t="s">
        <v>83</v>
      </c>
      <c r="E156" s="2" t="s">
        <v>84</v>
      </c>
      <c r="F156" s="1" t="s">
        <v>77</v>
      </c>
      <c r="G156" s="1" t="s">
        <v>76</v>
      </c>
      <c r="H156" s="1" t="s">
        <v>85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6" s="2">
        <f>Games[[#This Row],[DaysOff]]-Games[[#This Row],[OppDaysOff]]</f>
        <v>-4</v>
      </c>
      <c r="L156" s="2">
        <f>Games[[#This Row],[OppDaysOff]]-Games[[#This Row],[DaysOff]]</f>
        <v>4</v>
      </c>
      <c r="M156" s="1">
        <f>MAX(-16, MIN(16, Games[[#This Row],[RestDiff]]*8))</f>
        <v>-16</v>
      </c>
      <c r="N156" s="1">
        <f>MAX(-16, MIN(16, Games[[#This Row],[OppRestDiff]]*8))</f>
        <v>16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1549.1978894710505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1467.4363845627606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0.45088573094205109</v>
      </c>
      <c r="R156" s="1">
        <v>83</v>
      </c>
      <c r="S156" s="1">
        <v>70</v>
      </c>
      <c r="T156" s="1">
        <v>0</v>
      </c>
      <c r="U156" s="1">
        <f>Games[[#This Row],[PointsFor]]-Games[[#This Row],[PointsAgainst]]</f>
        <v>13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0.44193284367474489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17.933433488567005</v>
      </c>
      <c r="AB156" s="4">
        <f>Games[[#This Row],[PreGmRate]]+Games[[#This Row],[RatingChange]]</f>
        <v>1567.1313229596176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41467</v>
      </c>
      <c r="B157" s="2">
        <v>2013</v>
      </c>
      <c r="C157" s="2">
        <f>COUNTIFS(Games[Team],Games[[#This Row],[Team]],Games[Season],Games[[#This Row],[Season]],Games[Date],"&lt;=" &amp; Games[[#This Row],[Date]])</f>
        <v>12</v>
      </c>
      <c r="D157" s="2" t="s">
        <v>83</v>
      </c>
      <c r="E157" s="2" t="s">
        <v>84</v>
      </c>
      <c r="F157" s="1" t="s">
        <v>76</v>
      </c>
      <c r="G157" s="1" t="s">
        <v>77</v>
      </c>
      <c r="H157" s="1" t="s">
        <v>86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4</v>
      </c>
      <c r="L157" s="2">
        <f>Games[[#This Row],[OppDaysOff]]-Games[[#This Row],[DaysOff]]</f>
        <v>-4</v>
      </c>
      <c r="M157" s="1">
        <f>MAX(-16, MIN(16, Games[[#This Row],[RestDiff]]*8))</f>
        <v>16</v>
      </c>
      <c r="N157" s="1">
        <f>MAX(-16, MIN(16, Games[[#This Row],[OppRestDiff]]*8))</f>
        <v>-16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1467.4363845627606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1549.1978894710505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0.54911426905794891</v>
      </c>
      <c r="R157" s="1">
        <v>70</v>
      </c>
      <c r="S157" s="1">
        <v>83</v>
      </c>
      <c r="T157" s="1">
        <v>0</v>
      </c>
      <c r="U157" s="1">
        <f>Games[[#This Row],[PointsFor]]-Games[[#This Row],[PointsAgainst]]</f>
        <v>-13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0.44193284367474489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74.2</v>
      </c>
      <c r="Z157" s="4">
        <f>Games[[#This Row],[K]]*Games[[#This Row],[POMult]]</f>
        <v>74.2</v>
      </c>
      <c r="AA157" s="4">
        <f>(Games[[#This Row],[Keff]]*Games[[#This Row],[MOVMult]])*(Games[[#This Row],[Result]]-Games[[#This Row],[ExpectedWin%]])</f>
        <v>-18.006234977695151</v>
      </c>
      <c r="AB157" s="4">
        <f>Games[[#This Row],[PreGmRate]]+Games[[#This Row],[RatingChange]]</f>
        <v>1449.4301495850655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41467</v>
      </c>
      <c r="B158" s="2">
        <v>2013</v>
      </c>
      <c r="C158" s="2">
        <f>COUNTIFS(Games[Team],Games[[#This Row],[Team]],Games[Season],Games[[#This Row],[Season]],Games[Date],"&lt;=" &amp; Games[[#This Row],[Date]])</f>
        <v>14</v>
      </c>
      <c r="D158" s="2" t="s">
        <v>83</v>
      </c>
      <c r="E158" s="2" t="s">
        <v>84</v>
      </c>
      <c r="F158" s="1" t="s">
        <v>65</v>
      </c>
      <c r="G158" s="1" t="s">
        <v>74</v>
      </c>
      <c r="H158" s="1" t="s">
        <v>85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1409.2150351557093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1464.6328648213862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0.30947955690006451</v>
      </c>
      <c r="R158" s="1">
        <v>83</v>
      </c>
      <c r="S158" s="1">
        <v>73</v>
      </c>
      <c r="T158" s="1">
        <v>0</v>
      </c>
      <c r="U158" s="1">
        <f>Games[[#This Row],[PointsFor]]-Games[[#This Row],[PointsAgainst]]</f>
        <v>10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0.40445151183965439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20.638942546712016</v>
      </c>
      <c r="AB158" s="4">
        <f>Games[[#This Row],[PreGmRate]]+Games[[#This Row],[RatingChange]]</f>
        <v>1429.8539777024214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41467</v>
      </c>
      <c r="B159" s="2">
        <v>2013</v>
      </c>
      <c r="C159" s="2">
        <f>COUNTIFS(Games[Team],Games[[#This Row],[Team]],Games[Season],Games[[#This Row],[Season]],Games[Date],"&lt;=" &amp; Games[[#This Row],[Date]])</f>
        <v>13</v>
      </c>
      <c r="D159" s="2" t="s">
        <v>83</v>
      </c>
      <c r="E159" s="2" t="s">
        <v>84</v>
      </c>
      <c r="F159" s="1" t="s">
        <v>74</v>
      </c>
      <c r="G159" s="1" t="s">
        <v>65</v>
      </c>
      <c r="H159" s="1" t="s">
        <v>86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1464.6328648213862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1409.2150351557093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0.69052044309993543</v>
      </c>
      <c r="R159" s="1">
        <v>73</v>
      </c>
      <c r="S159" s="1">
        <v>83</v>
      </c>
      <c r="T159" s="1">
        <v>0</v>
      </c>
      <c r="U159" s="1">
        <f>Games[[#This Row],[PointsFor]]-Games[[#This Row],[PointsAgainst]]</f>
        <v>-10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0.40445151183965439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-20.680834852287209</v>
      </c>
      <c r="AB159" s="4">
        <f>Games[[#This Row],[PreGmRate]]+Games[[#This Row],[RatingChange]]</f>
        <v>1443.9520299690989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41468</v>
      </c>
      <c r="B160" s="2">
        <v>2013</v>
      </c>
      <c r="C160" s="2">
        <f>COUNTIFS(Games[Team],Games[[#This Row],[Team]],Games[Season],Games[[#This Row],[Season]],Games[Date],"&lt;=" &amp; Games[[#This Row],[Date]])</f>
        <v>13</v>
      </c>
      <c r="D160" s="2" t="s">
        <v>83</v>
      </c>
      <c r="E160" s="2" t="s">
        <v>84</v>
      </c>
      <c r="F160" s="1" t="s">
        <v>69</v>
      </c>
      <c r="G160" s="1" t="s">
        <v>60</v>
      </c>
      <c r="H160" s="1" t="s">
        <v>85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0" s="2">
        <f>Games[[#This Row],[DaysOff]]-Games[[#This Row],[OppDaysOff]]</f>
        <v>-2</v>
      </c>
      <c r="L160" s="2">
        <f>Games[[#This Row],[OppDaysOff]]-Games[[#This Row],[DaysOff]]</f>
        <v>2</v>
      </c>
      <c r="M160" s="1">
        <f>MAX(-16, MIN(16, Games[[#This Row],[RestDiff]]*8))</f>
        <v>-16</v>
      </c>
      <c r="N160" s="1">
        <f>MAX(-16, MIN(16, Games[[#This Row],[OppRestDiff]]*8))</f>
        <v>16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1505.0003983808729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1462.1345457119646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0.39627892068410925</v>
      </c>
      <c r="R160" s="1">
        <v>74</v>
      </c>
      <c r="S160" s="1">
        <v>53</v>
      </c>
      <c r="T160" s="1">
        <v>0</v>
      </c>
      <c r="U160" s="1">
        <f>Games[[#This Row],[PointsFor]]-Games[[#This Row],[PointsAgainst]]</f>
        <v>21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0.56827657289658939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25.405114426787716</v>
      </c>
      <c r="AB160" s="4">
        <f>Games[[#This Row],[PreGmRate]]+Games[[#This Row],[RatingChange]]</f>
        <v>1530.4055128076607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41468</v>
      </c>
      <c r="B161" s="2">
        <v>2013</v>
      </c>
      <c r="C161" s="2">
        <f>COUNTIFS(Games[Team],Games[[#This Row],[Team]],Games[Season],Games[[#This Row],[Season]],Games[Date],"&lt;=" &amp; Games[[#This Row],[Date]])</f>
        <v>14</v>
      </c>
      <c r="D161" s="2" t="s">
        <v>83</v>
      </c>
      <c r="E161" s="2" t="s">
        <v>84</v>
      </c>
      <c r="F161" s="1" t="s">
        <v>60</v>
      </c>
      <c r="G161" s="1" t="s">
        <v>69</v>
      </c>
      <c r="H161" s="1" t="s">
        <v>86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2</v>
      </c>
      <c r="L161" s="2">
        <f>Games[[#This Row],[OppDaysOff]]-Games[[#This Row],[DaysOff]]</f>
        <v>-2</v>
      </c>
      <c r="M161" s="1">
        <f>MAX(-16, MIN(16, Games[[#This Row],[RestDiff]]*8))</f>
        <v>16</v>
      </c>
      <c r="N161" s="1">
        <f>MAX(-16, MIN(16, Games[[#This Row],[OppRestDiff]]*8))</f>
        <v>-16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1462.1345457119646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1505.0003983808729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0.60372107931589081</v>
      </c>
      <c r="R161" s="1">
        <v>53</v>
      </c>
      <c r="S161" s="1">
        <v>74</v>
      </c>
      <c r="T161" s="1">
        <v>0</v>
      </c>
      <c r="U161" s="1">
        <f>Games[[#This Row],[PointsFor]]-Games[[#This Row],[PointsAgainst]]</f>
        <v>-21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0.56827657289658939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-25.353652344896865</v>
      </c>
      <c r="AB161" s="4">
        <f>Games[[#This Row],[PreGmRate]]+Games[[#This Row],[RatingChange]]</f>
        <v>1436.7808933670678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41468</v>
      </c>
      <c r="B162" s="2">
        <v>2013</v>
      </c>
      <c r="C162" s="2">
        <f>COUNTIFS(Games[Team],Games[[#This Row],[Team]],Games[Season],Games[[#This Row],[Season]],Games[Date],"&lt;=" &amp; Games[[#This Row],[Date]])</f>
        <v>14</v>
      </c>
      <c r="D162" s="2" t="s">
        <v>83</v>
      </c>
      <c r="E162" s="2" t="s">
        <v>84</v>
      </c>
      <c r="F162" s="1" t="s">
        <v>67</v>
      </c>
      <c r="G162" s="1" t="s">
        <v>81</v>
      </c>
      <c r="H162" s="1" t="s">
        <v>85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1637.8490130414616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1366.775259046264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0.74590368459562728</v>
      </c>
      <c r="R162" s="1">
        <v>86</v>
      </c>
      <c r="S162" s="1">
        <v>75</v>
      </c>
      <c r="T162" s="1">
        <v>0</v>
      </c>
      <c r="U162" s="1">
        <f>Games[[#This Row],[PointsFor]]-Games[[#This Row],[PointsAgainst]]</f>
        <v>11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0.35878769699733265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73.900000000000006</v>
      </c>
      <c r="Z162" s="4">
        <f>Games[[#This Row],[K]]*Games[[#This Row],[POMult]]</f>
        <v>73.900000000000006</v>
      </c>
      <c r="AA162" s="4">
        <f>(Games[[#This Row],[Keff]]*Games[[#This Row],[MOVMult]])*(Games[[#This Row],[Result]]-Games[[#This Row],[ExpectedWin%]])</f>
        <v>6.7372140914568197</v>
      </c>
      <c r="AB162" s="4">
        <f>Games[[#This Row],[PreGmRate]]+Games[[#This Row],[RatingChange]]</f>
        <v>1644.5862271329183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41468</v>
      </c>
      <c r="B163" s="2">
        <v>2013</v>
      </c>
      <c r="C163" s="2">
        <f>COUNTIFS(Games[Team],Games[[#This Row],[Team]],Games[Season],Games[[#This Row],[Season]],Games[Date],"&lt;=" &amp; Games[[#This Row],[Date]])</f>
        <v>16</v>
      </c>
      <c r="D163" s="2" t="s">
        <v>83</v>
      </c>
      <c r="E163" s="2" t="s">
        <v>84</v>
      </c>
      <c r="F163" s="1" t="s">
        <v>81</v>
      </c>
      <c r="G163" s="1" t="s">
        <v>67</v>
      </c>
      <c r="H163" s="1" t="s">
        <v>86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1366.775259046264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1637.8490130414616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0.25409631540437272</v>
      </c>
      <c r="R163" s="1">
        <v>75</v>
      </c>
      <c r="S163" s="1">
        <v>86</v>
      </c>
      <c r="T163" s="1">
        <v>0</v>
      </c>
      <c r="U163" s="1">
        <f>Games[[#This Row],[PointsFor]]-Games[[#This Row],[PointsAgainst]]</f>
        <v>-11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0.35878769699733265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73.599999999999994</v>
      </c>
      <c r="Z163" s="4">
        <f>Games[[#This Row],[K]]*Games[[#This Row],[POMult]]</f>
        <v>73.599999999999994</v>
      </c>
      <c r="AA163" s="4">
        <f>(Games[[#This Row],[Keff]]*Games[[#This Row],[MOVMult]])*(Games[[#This Row],[Result]]-Games[[#This Row],[ExpectedWin%]])</f>
        <v>-6.7098641019109859</v>
      </c>
      <c r="AB163" s="4">
        <f>Games[[#This Row],[PreGmRate]]+Games[[#This Row],[RatingChange]]</f>
        <v>1360.0653949443529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41469</v>
      </c>
      <c r="B164" s="2">
        <v>2013</v>
      </c>
      <c r="C164" s="2">
        <f>COUNTIFS(Games[Team],Games[[#This Row],[Team]],Games[Season],Games[[#This Row],[Season]],Games[Date],"&lt;=" &amp; Games[[#This Row],[Date]])</f>
        <v>14</v>
      </c>
      <c r="D164" s="2" t="s">
        <v>83</v>
      </c>
      <c r="E164" s="2" t="s">
        <v>84</v>
      </c>
      <c r="F164" s="1" t="s">
        <v>74</v>
      </c>
      <c r="G164" s="1" t="s">
        <v>76</v>
      </c>
      <c r="H164" s="1" t="s">
        <v>85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1443.9520299690989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1449.4301495850655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0.37400400651257687</v>
      </c>
      <c r="R164" s="1">
        <v>84</v>
      </c>
      <c r="S164" s="1">
        <v>86</v>
      </c>
      <c r="T164" s="1">
        <v>0</v>
      </c>
      <c r="U164" s="1">
        <f>Games[[#This Row],[PointsFor]]-Games[[#This Row],[PointsAgainst]]</f>
        <v>-2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0.26662415496516556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-7.3691973118411553</v>
      </c>
      <c r="AB164" s="4">
        <f>Games[[#This Row],[PreGmRate]]+Games[[#This Row],[RatingChange]]</f>
        <v>1436.5828326572578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41469</v>
      </c>
      <c r="B165" s="2">
        <v>2013</v>
      </c>
      <c r="C165" s="2">
        <f>COUNTIFS(Games[Team],Games[[#This Row],[Team]],Games[Season],Games[[#This Row],[Season]],Games[Date],"&lt;=" &amp; Games[[#This Row],[Date]])</f>
        <v>13</v>
      </c>
      <c r="D165" s="2" t="s">
        <v>83</v>
      </c>
      <c r="E165" s="2" t="s">
        <v>84</v>
      </c>
      <c r="F165" s="1" t="s">
        <v>76</v>
      </c>
      <c r="G165" s="1" t="s">
        <v>74</v>
      </c>
      <c r="H165" s="1" t="s">
        <v>86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1449.4301495850655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1443.9520299690989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0.62599599348742307</v>
      </c>
      <c r="R165" s="1">
        <v>86</v>
      </c>
      <c r="S165" s="1">
        <v>84</v>
      </c>
      <c r="T165" s="1">
        <v>0</v>
      </c>
      <c r="U165" s="1">
        <f>Games[[#This Row],[PointsFor]]-Games[[#This Row],[PointsAgainst]]</f>
        <v>2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0.26662415496516556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74.05</v>
      </c>
      <c r="Z165" s="4">
        <f>Games[[#This Row],[K]]*Games[[#This Row],[POMult]]</f>
        <v>74.05</v>
      </c>
      <c r="AA165" s="4">
        <f>(Games[[#This Row],[Keff]]*Games[[#This Row],[MOVMult]])*(Games[[#This Row],[Result]]-Games[[#This Row],[ExpectedWin%]])</f>
        <v>7.3841550871696553</v>
      </c>
      <c r="AB165" s="4">
        <f>Games[[#This Row],[PreGmRate]]+Games[[#This Row],[RatingChange]]</f>
        <v>1456.814304672235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41469</v>
      </c>
      <c r="B166" s="2">
        <v>2013</v>
      </c>
      <c r="C166" s="2">
        <f>COUNTIFS(Games[Team],Games[[#This Row],[Team]],Games[Season],Games[[#This Row],[Season]],Games[Date],"&lt;=" &amp; Games[[#This Row],[Date]])</f>
        <v>14</v>
      </c>
      <c r="D166" s="2" t="s">
        <v>83</v>
      </c>
      <c r="E166" s="2" t="s">
        <v>84</v>
      </c>
      <c r="F166" s="1" t="s">
        <v>63</v>
      </c>
      <c r="G166" s="1" t="s">
        <v>40</v>
      </c>
      <c r="H166" s="1" t="s">
        <v>85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1615.0479213511212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1467.1004634232158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0.5685672012902393</v>
      </c>
      <c r="R166" s="1">
        <v>88</v>
      </c>
      <c r="S166" s="1">
        <v>76</v>
      </c>
      <c r="T166" s="1">
        <v>0</v>
      </c>
      <c r="U166" s="1">
        <f>Games[[#This Row],[PointsFor]]-Games[[#This Row],[PointsAgainst]]</f>
        <v>12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0.40606577687624085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12.94654798931197</v>
      </c>
      <c r="AB166" s="4">
        <f>Games[[#This Row],[PreGmRate]]+Games[[#This Row],[RatingChange]]</f>
        <v>1627.9944693404332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41469</v>
      </c>
      <c r="B167" s="2">
        <v>2013</v>
      </c>
      <c r="C167" s="2">
        <f>COUNTIFS(Games[Team],Games[[#This Row],[Team]],Games[Season],Games[[#This Row],[Season]],Games[Date],"&lt;=" &amp; Games[[#This Row],[Date]])</f>
        <v>15</v>
      </c>
      <c r="D167" s="2" t="s">
        <v>83</v>
      </c>
      <c r="E167" s="2" t="s">
        <v>84</v>
      </c>
      <c r="F167" s="1" t="s">
        <v>40</v>
      </c>
      <c r="G167" s="1" t="s">
        <v>63</v>
      </c>
      <c r="H167" s="1" t="s">
        <v>86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1467.1004634232158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1615.0479213511212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0.4314327987097607</v>
      </c>
      <c r="R167" s="1">
        <v>76</v>
      </c>
      <c r="S167" s="1">
        <v>88</v>
      </c>
      <c r="T167" s="1">
        <v>0</v>
      </c>
      <c r="U167" s="1">
        <f>Games[[#This Row],[PointsFor]]-Games[[#This Row],[PointsAgainst]]</f>
        <v>-12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0.40606577687624085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73.75</v>
      </c>
      <c r="Z167" s="4">
        <f>Games[[#This Row],[K]]*Games[[#This Row],[POMult]]</f>
        <v>73.75</v>
      </c>
      <c r="AA167" s="4">
        <f>(Games[[#This Row],[Keff]]*Games[[#This Row],[MOVMult]])*(Games[[#This Row],[Result]]-Games[[#This Row],[ExpectedWin%]])</f>
        <v>-12.920269475125275</v>
      </c>
      <c r="AB167" s="4">
        <f>Games[[#This Row],[PreGmRate]]+Games[[#This Row],[RatingChange]]</f>
        <v>1454.1801939480906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41469</v>
      </c>
      <c r="B168" s="2">
        <v>2013</v>
      </c>
      <c r="C168" s="2">
        <f>COUNTIFS(Games[Team],Games[[#This Row],[Team]],Games[Season],Games[[#This Row],[Season]],Games[Date],"&lt;=" &amp; Games[[#This Row],[Date]])</f>
        <v>13</v>
      </c>
      <c r="D168" s="2" t="s">
        <v>83</v>
      </c>
      <c r="E168" s="2" t="s">
        <v>84</v>
      </c>
      <c r="F168" s="1" t="s">
        <v>79</v>
      </c>
      <c r="G168" s="1" t="s">
        <v>71</v>
      </c>
      <c r="H168" s="1" t="s">
        <v>85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1599.9966400973137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1460.1522785962179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0.57968148251654394</v>
      </c>
      <c r="R168" s="1">
        <v>65</v>
      </c>
      <c r="S168" s="1">
        <v>73</v>
      </c>
      <c r="T168" s="1">
        <v>0</v>
      </c>
      <c r="U168" s="1">
        <f>Games[[#This Row],[PointsFor]]-Games[[#This Row],[PointsAgainst]]</f>
        <v>-8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0.34778564988066751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74.05</v>
      </c>
      <c r="Z168" s="4">
        <f>Games[[#This Row],[K]]*Games[[#This Row],[POMult]]</f>
        <v>74.05</v>
      </c>
      <c r="AA168" s="4">
        <f>(Games[[#This Row],[Keff]]*Games[[#This Row],[MOVMult]])*(Games[[#This Row],[Result]]-Games[[#This Row],[ExpectedWin%]])</f>
        <v>-14.928842927995612</v>
      </c>
      <c r="AB168" s="4">
        <f>Games[[#This Row],[PreGmRate]]+Games[[#This Row],[RatingChange]]</f>
        <v>1585.0677971693181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41469</v>
      </c>
      <c r="B169" s="2">
        <v>2013</v>
      </c>
      <c r="C169" s="2">
        <f>COUNTIFS(Games[Team],Games[[#This Row],[Team]],Games[Season],Games[[#This Row],[Season]],Games[Date],"&lt;=" &amp; Games[[#This Row],[Date]])</f>
        <v>14</v>
      </c>
      <c r="D169" s="2" t="s">
        <v>83</v>
      </c>
      <c r="E169" s="2" t="s">
        <v>84</v>
      </c>
      <c r="F169" s="1" t="s">
        <v>71</v>
      </c>
      <c r="G169" s="1" t="s">
        <v>79</v>
      </c>
      <c r="H169" s="1" t="s">
        <v>86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1460.1522785962179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1599.9966400973137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0.420318517483456</v>
      </c>
      <c r="R169" s="1">
        <v>73</v>
      </c>
      <c r="S169" s="1">
        <v>65</v>
      </c>
      <c r="T169" s="1">
        <v>0</v>
      </c>
      <c r="U169" s="1">
        <f>Games[[#This Row],[PointsFor]]-Games[[#This Row],[PointsAgainst]]</f>
        <v>8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0.34778564988066751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14.898602192827493</v>
      </c>
      <c r="AB169" s="4">
        <f>Games[[#This Row],[PreGmRate]]+Games[[#This Row],[RatingChange]]</f>
        <v>1475.0508807890453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41471</v>
      </c>
      <c r="B170" s="2">
        <v>2013</v>
      </c>
      <c r="C170" s="2">
        <f>COUNTIFS(Games[Team],Games[[#This Row],[Team]],Games[Season],Games[[#This Row],[Season]],Games[Date],"&lt;=" &amp; Games[[#This Row],[Date]])</f>
        <v>15</v>
      </c>
      <c r="D170" s="2" t="s">
        <v>83</v>
      </c>
      <c r="E170" s="2" t="s">
        <v>84</v>
      </c>
      <c r="F170" s="1" t="s">
        <v>74</v>
      </c>
      <c r="G170" s="1" t="s">
        <v>65</v>
      </c>
      <c r="H170" s="1" t="s">
        <v>85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0" s="2">
        <f>Games[[#This Row],[DaysOff]]-Games[[#This Row],[OppDaysOff]]</f>
        <v>-2</v>
      </c>
      <c r="L170" s="2">
        <f>Games[[#This Row],[OppDaysOff]]-Games[[#This Row],[DaysOff]]</f>
        <v>2</v>
      </c>
      <c r="M170" s="1">
        <f>MAX(-16, MIN(16, Games[[#This Row],[RestDiff]]*8))</f>
        <v>-16</v>
      </c>
      <c r="N170" s="1">
        <f>MAX(-16, MIN(16, Games[[#This Row],[OppRestDiff]]*8))</f>
        <v>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1436.5828326572578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1429.8539777024214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0.3477338549106358</v>
      </c>
      <c r="R170" s="1">
        <v>64</v>
      </c>
      <c r="S170" s="1">
        <v>86</v>
      </c>
      <c r="T170" s="1">
        <v>0</v>
      </c>
      <c r="U170" s="1">
        <f>Games[[#This Row],[PointsFor]]-Games[[#This Row],[PointsAgainst]]</f>
        <v>-22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0.59869903882529352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-15.353859446773365</v>
      </c>
      <c r="AB170" s="4">
        <f>Games[[#This Row],[PreGmRate]]+Games[[#This Row],[RatingChange]]</f>
        <v>1421.2289732104844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41471</v>
      </c>
      <c r="B171" s="2">
        <v>2013</v>
      </c>
      <c r="C171" s="2">
        <f>COUNTIFS(Games[Team],Games[[#This Row],[Team]],Games[Season],Games[[#This Row],[Season]],Games[Date],"&lt;=" &amp; Games[[#This Row],[Date]])</f>
        <v>15</v>
      </c>
      <c r="D171" s="2" t="s">
        <v>83</v>
      </c>
      <c r="E171" s="2" t="s">
        <v>84</v>
      </c>
      <c r="F171" s="1" t="s">
        <v>65</v>
      </c>
      <c r="G171" s="1" t="s">
        <v>74</v>
      </c>
      <c r="H171" s="1" t="s">
        <v>86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2</v>
      </c>
      <c r="L171" s="2">
        <f>Games[[#This Row],[OppDaysOff]]-Games[[#This Row],[DaysOff]]</f>
        <v>-2</v>
      </c>
      <c r="M171" s="1">
        <f>MAX(-16, MIN(16, Games[[#This Row],[RestDiff]]*8))</f>
        <v>16</v>
      </c>
      <c r="N171" s="1">
        <f>MAX(-16, MIN(16, Games[[#This Row],[OppRestDiff]]*8))</f>
        <v>-16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1429.8539777024214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1436.5828326572578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0.6522661450893642</v>
      </c>
      <c r="R171" s="1">
        <v>86</v>
      </c>
      <c r="S171" s="1">
        <v>64</v>
      </c>
      <c r="T171" s="1">
        <v>0</v>
      </c>
      <c r="U171" s="1">
        <f>Games[[#This Row],[PointsFor]]-Games[[#This Row],[PointsAgainst]]</f>
        <v>22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0.59869903882529352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73.75</v>
      </c>
      <c r="Z171" s="4">
        <f>Games[[#This Row],[K]]*Games[[#This Row],[POMult]]</f>
        <v>73.75</v>
      </c>
      <c r="AA171" s="4">
        <f>(Games[[#This Row],[Keff]]*Games[[#This Row],[MOVMult]])*(Games[[#This Row],[Result]]-Games[[#This Row],[ExpectedWin%]])</f>
        <v>15.353859446773365</v>
      </c>
      <c r="AB171" s="4">
        <f>Games[[#This Row],[PreGmRate]]+Games[[#This Row],[RatingChange]]</f>
        <v>1445.2078371491948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41472</v>
      </c>
      <c r="B172" s="2">
        <v>2013</v>
      </c>
      <c r="C172" s="2">
        <f>COUNTIFS(Games[Team],Games[[#This Row],[Team]],Games[Season],Games[[#This Row],[Season]],Games[Date],"&lt;=" &amp; Games[[#This Row],[Date]])</f>
        <v>14</v>
      </c>
      <c r="D172" s="2" t="s">
        <v>83</v>
      </c>
      <c r="E172" s="2" t="s">
        <v>84</v>
      </c>
      <c r="F172" s="1" t="s">
        <v>79</v>
      </c>
      <c r="G172" s="1" t="s">
        <v>63</v>
      </c>
      <c r="H172" s="1" t="s">
        <v>85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1585.0677971693181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1627.9944693404332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0.32505240000340063</v>
      </c>
      <c r="R172" s="1">
        <v>73</v>
      </c>
      <c r="S172" s="1">
        <v>77</v>
      </c>
      <c r="T172" s="1">
        <v>0</v>
      </c>
      <c r="U172" s="1">
        <f>Games[[#This Row],[PointsFor]]-Games[[#This Row],[PointsAgainst]]</f>
        <v>-4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0.30067685427640806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-7.2226706766826192</v>
      </c>
      <c r="AB172" s="4">
        <f>Games[[#This Row],[PreGmRate]]+Games[[#This Row],[RatingChange]]</f>
        <v>1577.8451264926355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41472</v>
      </c>
      <c r="B173" s="2">
        <v>2013</v>
      </c>
      <c r="C173" s="2">
        <f>COUNTIFS(Games[Team],Games[[#This Row],[Team]],Games[Season],Games[[#This Row],[Season]],Games[Date],"&lt;=" &amp; Games[[#This Row],[Date]])</f>
        <v>15</v>
      </c>
      <c r="D173" s="2" t="s">
        <v>83</v>
      </c>
      <c r="E173" s="2" t="s">
        <v>84</v>
      </c>
      <c r="F173" s="1" t="s">
        <v>63</v>
      </c>
      <c r="G173" s="1" t="s">
        <v>79</v>
      </c>
      <c r="H173" s="1" t="s">
        <v>86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1627.9944693404332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1585.0677971693181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0.67494759999659937</v>
      </c>
      <c r="R173" s="1">
        <v>77</v>
      </c>
      <c r="S173" s="1">
        <v>73</v>
      </c>
      <c r="T173" s="1">
        <v>0</v>
      </c>
      <c r="U173" s="1">
        <f>Games[[#This Row],[PointsFor]]-Games[[#This Row],[PointsAgainst]]</f>
        <v>4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0.30067685427640806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7.2080103167164156</v>
      </c>
      <c r="AB173" s="4">
        <f>Games[[#This Row],[PreGmRate]]+Games[[#This Row],[RatingChange]]</f>
        <v>1635.2024796571495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41472</v>
      </c>
      <c r="B174" s="2">
        <v>2013</v>
      </c>
      <c r="C174" s="2">
        <f>COUNTIFS(Games[Team],Games[[#This Row],[Team]],Games[Season],Games[[#This Row],[Season]],Games[Date],"&lt;=" &amp; Games[[#This Row],[Date]])</f>
        <v>17</v>
      </c>
      <c r="D174" s="2" t="s">
        <v>83</v>
      </c>
      <c r="E174" s="2" t="s">
        <v>84</v>
      </c>
      <c r="F174" s="1" t="s">
        <v>81</v>
      </c>
      <c r="G174" s="1" t="s">
        <v>71</v>
      </c>
      <c r="H174" s="1" t="s">
        <v>85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1360.0653949443529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1475.0508807890453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0.25858249474931316</v>
      </c>
      <c r="R174" s="1">
        <v>86</v>
      </c>
      <c r="S174" s="1">
        <v>59</v>
      </c>
      <c r="T174" s="1">
        <v>0</v>
      </c>
      <c r="U174" s="1">
        <f>Games[[#This Row],[PointsFor]]-Games[[#This Row],[PointsAgainst]]</f>
        <v>27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0.60837173384169541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73.45</v>
      </c>
      <c r="Z174" s="4">
        <f>Games[[#This Row],[K]]*Games[[#This Row],[POMult]]</f>
        <v>73.45</v>
      </c>
      <c r="AA174" s="4">
        <f>(Games[[#This Row],[Keff]]*Games[[#This Row],[MOVMult]])*(Games[[#This Row],[Result]]-Games[[#This Row],[ExpectedWin%]])</f>
        <v>33.130169935332432</v>
      </c>
      <c r="AB174" s="4">
        <f>Games[[#This Row],[PreGmRate]]+Games[[#This Row],[RatingChange]]</f>
        <v>1393.1955648796852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41472</v>
      </c>
      <c r="B175" s="2">
        <v>2013</v>
      </c>
      <c r="C175" s="2">
        <f>COUNTIFS(Games[Team],Games[[#This Row],[Team]],Games[Season],Games[[#This Row],[Season]],Games[Date],"&lt;=" &amp; Games[[#This Row],[Date]])</f>
        <v>15</v>
      </c>
      <c r="D175" s="2" t="s">
        <v>83</v>
      </c>
      <c r="E175" s="2" t="s">
        <v>84</v>
      </c>
      <c r="F175" s="1" t="s">
        <v>71</v>
      </c>
      <c r="G175" s="1" t="s">
        <v>81</v>
      </c>
      <c r="H175" s="1" t="s">
        <v>86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1475.0508807890453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1360.0653949443529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0.74141750525068684</v>
      </c>
      <c r="R175" s="1">
        <v>59</v>
      </c>
      <c r="S175" s="1">
        <v>86</v>
      </c>
      <c r="T175" s="1">
        <v>0</v>
      </c>
      <c r="U175" s="1">
        <f>Games[[#This Row],[PointsFor]]-Games[[#This Row],[PointsAgainst]]</f>
        <v>-27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0.60837173384169541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73.75</v>
      </c>
      <c r="Z175" s="4">
        <f>Games[[#This Row],[K]]*Games[[#This Row],[POMult]]</f>
        <v>73.75</v>
      </c>
      <c r="AA175" s="4">
        <f>(Games[[#This Row],[Keff]]*Games[[#This Row],[MOVMult]])*(Games[[#This Row],[Result]]-Games[[#This Row],[ExpectedWin%]])</f>
        <v>-33.265487171283418</v>
      </c>
      <c r="AB175" s="4">
        <f>Games[[#This Row],[PreGmRate]]+Games[[#This Row],[RatingChange]]</f>
        <v>1441.7853936177619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41473</v>
      </c>
      <c r="B176" s="2">
        <v>2013</v>
      </c>
      <c r="C176" s="2">
        <f>COUNTIFS(Games[Team],Games[[#This Row],[Team]],Games[Season],Games[[#This Row],[Season]],Games[Date],"&lt;=" &amp; Games[[#This Row],[Date]])</f>
        <v>16</v>
      </c>
      <c r="D176" s="2" t="s">
        <v>83</v>
      </c>
      <c r="E176" s="2" t="s">
        <v>84</v>
      </c>
      <c r="F176" s="1" t="s">
        <v>40</v>
      </c>
      <c r="G176" s="1" t="s">
        <v>63</v>
      </c>
      <c r="H176" s="1" t="s">
        <v>85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6" s="2">
        <f>Games[[#This Row],[DaysOff]]-Games[[#This Row],[OppDaysOff]]</f>
        <v>3</v>
      </c>
      <c r="L176" s="2">
        <f>Games[[#This Row],[OppDaysOff]]-Games[[#This Row],[DaysOff]]</f>
        <v>-3</v>
      </c>
      <c r="M176" s="1">
        <f>MAX(-16, MIN(16, Games[[#This Row],[RestDiff]]*8))</f>
        <v>16</v>
      </c>
      <c r="N176" s="1">
        <f>MAX(-16, MIN(16, Games[[#This Row],[OppRestDiff]]*8))</f>
        <v>-16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1454.1801939480906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1635.2024796571495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0.20728253538766922</v>
      </c>
      <c r="R176" s="1">
        <v>90</v>
      </c>
      <c r="S176" s="1">
        <v>84</v>
      </c>
      <c r="T176" s="1">
        <v>0</v>
      </c>
      <c r="U176" s="1">
        <f>Games[[#This Row],[PointsFor]]-Games[[#This Row],[PointsAgainst]]</f>
        <v>6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0.3052354170322169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73.599999999999994</v>
      </c>
      <c r="Z176" s="4">
        <f>Games[[#This Row],[K]]*Games[[#This Row],[POMult]]</f>
        <v>73.599999999999994</v>
      </c>
      <c r="AA176" s="4">
        <f>(Games[[#This Row],[Keff]]*Games[[#This Row],[MOVMult]])*(Games[[#This Row],[Result]]-Games[[#This Row],[ExpectedWin%]])</f>
        <v>17.808656818215447</v>
      </c>
      <c r="AB176" s="4">
        <f>Games[[#This Row],[PreGmRate]]+Games[[#This Row],[RatingChange]]</f>
        <v>1471.9888507663061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41473</v>
      </c>
      <c r="B177" s="2">
        <v>2013</v>
      </c>
      <c r="C177" s="2">
        <f>COUNTIFS(Games[Team],Games[[#This Row],[Team]],Games[Season],Games[[#This Row],[Season]],Games[Date],"&lt;=" &amp; Games[[#This Row],[Date]])</f>
        <v>16</v>
      </c>
      <c r="D177" s="2" t="s">
        <v>83</v>
      </c>
      <c r="E177" s="2" t="s">
        <v>84</v>
      </c>
      <c r="F177" s="1" t="s">
        <v>63</v>
      </c>
      <c r="G177" s="1" t="s">
        <v>40</v>
      </c>
      <c r="H177" s="1" t="s">
        <v>86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7" s="2">
        <f>Games[[#This Row],[DaysOff]]-Games[[#This Row],[OppDaysOff]]</f>
        <v>-3</v>
      </c>
      <c r="L177" s="2">
        <f>Games[[#This Row],[OppDaysOff]]-Games[[#This Row],[DaysOff]]</f>
        <v>3</v>
      </c>
      <c r="M177" s="1">
        <f>MAX(-16, MIN(16, Games[[#This Row],[RestDiff]]*8))</f>
        <v>-16</v>
      </c>
      <c r="N177" s="1">
        <f>MAX(-16, MIN(16, Games[[#This Row],[OppRestDiff]]*8))</f>
        <v>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1635.2024796571495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1454.1801939480906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0.79271746461233072</v>
      </c>
      <c r="R177" s="1">
        <v>84</v>
      </c>
      <c r="S177" s="1">
        <v>90</v>
      </c>
      <c r="T177" s="1">
        <v>0</v>
      </c>
      <c r="U177" s="1">
        <f>Games[[#This Row],[PointsFor]]-Games[[#This Row],[PointsAgainst]]</f>
        <v>-6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0.3052354170322169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-17.808656818215447</v>
      </c>
      <c r="AB177" s="4">
        <f>Games[[#This Row],[PreGmRate]]+Games[[#This Row],[RatingChange]]</f>
        <v>1617.3938228389341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41473</v>
      </c>
      <c r="B178" s="2">
        <v>2013</v>
      </c>
      <c r="C178" s="2">
        <f>COUNTIFS(Games[Team],Games[[#This Row],[Team]],Games[Season],Games[[#This Row],[Season]],Games[Date],"&lt;=" &amp; Games[[#This Row],[Date]])</f>
        <v>15</v>
      </c>
      <c r="D178" s="2" t="s">
        <v>83</v>
      </c>
      <c r="E178" s="2" t="s">
        <v>84</v>
      </c>
      <c r="F178" s="1" t="s">
        <v>77</v>
      </c>
      <c r="G178" s="1" t="s">
        <v>60</v>
      </c>
      <c r="H178" s="1" t="s">
        <v>85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8" s="2">
        <f>Games[[#This Row],[DaysOff]]-Games[[#This Row],[OppDaysOff]]</f>
        <v>1</v>
      </c>
      <c r="L178" s="2">
        <f>Games[[#This Row],[OppDaysOff]]-Games[[#This Row],[DaysOff]]</f>
        <v>-1</v>
      </c>
      <c r="M178" s="1">
        <f>MAX(-16, MIN(16, Games[[#This Row],[RestDiff]]*8))</f>
        <v>8</v>
      </c>
      <c r="N178" s="1">
        <f>MAX(-16, MIN(16, Games[[#This Row],[OppRestDiff]]*8))</f>
        <v>-8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1567.1313229596176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1436.7808933670678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0.5887784688315999</v>
      </c>
      <c r="R178" s="1">
        <v>75</v>
      </c>
      <c r="S178" s="1">
        <v>55</v>
      </c>
      <c r="T178" s="1">
        <v>0</v>
      </c>
      <c r="U178" s="1">
        <f>Games[[#This Row],[PointsFor]]-Games[[#This Row],[PointsAgainst]]</f>
        <v>20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0.51855873113213802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15.726635511996413</v>
      </c>
      <c r="AB178" s="4">
        <f>Games[[#This Row],[PreGmRate]]+Games[[#This Row],[RatingChange]]</f>
        <v>1582.857958471614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41473</v>
      </c>
      <c r="B179" s="2">
        <v>2013</v>
      </c>
      <c r="C179" s="2">
        <f>COUNTIFS(Games[Team],Games[[#This Row],[Team]],Games[Season],Games[[#This Row],[Season]],Games[Date],"&lt;=" &amp; Games[[#This Row],[Date]])</f>
        <v>15</v>
      </c>
      <c r="D179" s="2" t="s">
        <v>83</v>
      </c>
      <c r="E179" s="2" t="s">
        <v>84</v>
      </c>
      <c r="F179" s="1" t="s">
        <v>60</v>
      </c>
      <c r="G179" s="1" t="s">
        <v>77</v>
      </c>
      <c r="H179" s="1" t="s">
        <v>86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79" s="2">
        <f>Games[[#This Row],[DaysOff]]-Games[[#This Row],[OppDaysOff]]</f>
        <v>-1</v>
      </c>
      <c r="L179" s="2">
        <f>Games[[#This Row],[OppDaysOff]]-Games[[#This Row],[DaysOff]]</f>
        <v>1</v>
      </c>
      <c r="M179" s="1">
        <f>MAX(-16, MIN(16, Games[[#This Row],[RestDiff]]*8))</f>
        <v>-8</v>
      </c>
      <c r="N179" s="1">
        <f>MAX(-16, MIN(16, Games[[#This Row],[OppRestDiff]]*8))</f>
        <v>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1436.7808933670678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1567.1313229596176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0.41122153116840016</v>
      </c>
      <c r="R179" s="1">
        <v>55</v>
      </c>
      <c r="S179" s="1">
        <v>75</v>
      </c>
      <c r="T179" s="1">
        <v>0</v>
      </c>
      <c r="U179" s="1">
        <f>Games[[#This Row],[PointsFor]]-Games[[#This Row],[PointsAgainst]]</f>
        <v>-20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0.51855873113213802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-15.726635511996415</v>
      </c>
      <c r="AB179" s="4">
        <f>Games[[#This Row],[PreGmRate]]+Games[[#This Row],[RatingChange]]</f>
        <v>1421.0542578550715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41474</v>
      </c>
      <c r="B180" s="2">
        <v>2013</v>
      </c>
      <c r="C180" s="2">
        <f>COUNTIFS(Games[Team],Games[[#This Row],[Team]],Games[Season],Games[[#This Row],[Season]],Games[Date],"&lt;=" &amp; Games[[#This Row],[Date]])</f>
        <v>16</v>
      </c>
      <c r="D180" s="2" t="s">
        <v>83</v>
      </c>
      <c r="E180" s="2" t="s">
        <v>84</v>
      </c>
      <c r="F180" s="1" t="s">
        <v>65</v>
      </c>
      <c r="G180" s="1" t="s">
        <v>69</v>
      </c>
      <c r="H180" s="1" t="s">
        <v>85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0" s="2">
        <f>Games[[#This Row],[DaysOff]]-Games[[#This Row],[OppDaysOff]]</f>
        <v>-3</v>
      </c>
      <c r="L180" s="2">
        <f>Games[[#This Row],[OppDaysOff]]-Games[[#This Row],[DaysOff]]</f>
        <v>3</v>
      </c>
      <c r="M180" s="1">
        <f>MAX(-16, MIN(16, Games[[#This Row],[RestDiff]]*8))</f>
        <v>-16</v>
      </c>
      <c r="N180" s="1">
        <f>MAX(-16, MIN(16, Games[[#This Row],[OppRestDiff]]*8))</f>
        <v>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1445.2078371491948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1530.4055128076607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0.23899688699833094</v>
      </c>
      <c r="R180" s="1">
        <v>70</v>
      </c>
      <c r="S180" s="1">
        <v>77</v>
      </c>
      <c r="T180" s="1">
        <v>0</v>
      </c>
      <c r="U180" s="1">
        <f>Games[[#This Row],[PointsFor]]-Games[[#This Row],[PointsAgainst]]</f>
        <v>-7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0.34557221460662579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73.599999999999994</v>
      </c>
      <c r="Z180" s="4">
        <f>Games[[#This Row],[K]]*Games[[#This Row],[POMult]]</f>
        <v>73.599999999999994</v>
      </c>
      <c r="AA180" s="4">
        <f>(Games[[#This Row],[Keff]]*Games[[#This Row],[MOVMult]])*(Games[[#This Row],[Result]]-Games[[#This Row],[ExpectedWin%]])</f>
        <v>-6.0786743073739595</v>
      </c>
      <c r="AB180" s="4">
        <f>Games[[#This Row],[PreGmRate]]+Games[[#This Row],[RatingChange]]</f>
        <v>1439.1291628418207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41474</v>
      </c>
      <c r="B181" s="2">
        <v>2013</v>
      </c>
      <c r="C181" s="2">
        <f>COUNTIFS(Games[Team],Games[[#This Row],[Team]],Games[Season],Games[[#This Row],[Season]],Games[Date],"&lt;=" &amp; Games[[#This Row],[Date]])</f>
        <v>14</v>
      </c>
      <c r="D181" s="2" t="s">
        <v>83</v>
      </c>
      <c r="E181" s="2" t="s">
        <v>84</v>
      </c>
      <c r="F181" s="1" t="s">
        <v>69</v>
      </c>
      <c r="G181" s="1" t="s">
        <v>65</v>
      </c>
      <c r="H181" s="1" t="s">
        <v>86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3</v>
      </c>
      <c r="L181" s="2">
        <f>Games[[#This Row],[OppDaysOff]]-Games[[#This Row],[DaysOff]]</f>
        <v>-3</v>
      </c>
      <c r="M181" s="1">
        <f>MAX(-16, MIN(16, Games[[#This Row],[RestDiff]]*8))</f>
        <v>16</v>
      </c>
      <c r="N181" s="1">
        <f>MAX(-16, MIN(16, Games[[#This Row],[OppRestDiff]]*8))</f>
        <v>-16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1530.4055128076607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1445.2078371491948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0.76100311300166901</v>
      </c>
      <c r="R181" s="1">
        <v>77</v>
      </c>
      <c r="S181" s="1">
        <v>70</v>
      </c>
      <c r="T181" s="1">
        <v>0</v>
      </c>
      <c r="U181" s="1">
        <f>Games[[#This Row],[PointsFor]]-Games[[#This Row],[PointsAgainst]]</f>
        <v>7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0.34557221460662579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73.900000000000006</v>
      </c>
      <c r="Z181" s="4">
        <f>Games[[#This Row],[K]]*Games[[#This Row],[POMult]]</f>
        <v>73.900000000000006</v>
      </c>
      <c r="AA181" s="4">
        <f>(Games[[#This Row],[Keff]]*Games[[#This Row],[MOVMult]])*(Games[[#This Row],[Result]]-Games[[#This Row],[ExpectedWin%]])</f>
        <v>6.1034515124311923</v>
      </c>
      <c r="AB181" s="4">
        <f>Games[[#This Row],[PreGmRate]]+Games[[#This Row],[RatingChange]]</f>
        <v>1536.5089643200918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41474</v>
      </c>
      <c r="B182" s="2">
        <v>2013</v>
      </c>
      <c r="C182" s="2">
        <f>COUNTIFS(Games[Team],Games[[#This Row],[Team]],Games[Season],Games[[#This Row],[Season]],Games[Date],"&lt;=" &amp; Games[[#This Row],[Date]])</f>
        <v>15</v>
      </c>
      <c r="D182" s="2" t="s">
        <v>83</v>
      </c>
      <c r="E182" s="2" t="s">
        <v>84</v>
      </c>
      <c r="F182" s="1" t="s">
        <v>67</v>
      </c>
      <c r="G182" s="1" t="s">
        <v>74</v>
      </c>
      <c r="H182" s="1" t="s">
        <v>85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2" s="2">
        <f>Games[[#This Row],[DaysOff]]-Games[[#This Row],[OppDaysOff]]</f>
        <v>3</v>
      </c>
      <c r="L182" s="2">
        <f>Games[[#This Row],[OppDaysOff]]-Games[[#This Row],[DaysOff]]</f>
        <v>-3</v>
      </c>
      <c r="M182" s="1">
        <f>MAX(-16, MIN(16, Games[[#This Row],[RestDiff]]*8))</f>
        <v>16</v>
      </c>
      <c r="N182" s="1">
        <f>MAX(-16, MIN(16, Games[[#This Row],[OppRestDiff]]*8))</f>
        <v>-16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1644.5862271329183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1421.2289732104844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0.72837857291678887</v>
      </c>
      <c r="R182" s="1">
        <v>87</v>
      </c>
      <c r="S182" s="1">
        <v>71</v>
      </c>
      <c r="T182" s="1">
        <v>0</v>
      </c>
      <c r="U182" s="1">
        <f>Games[[#This Row],[PointsFor]]-Games[[#This Row],[PointsAgainst]]</f>
        <v>16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0.43653358074636572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73.75</v>
      </c>
      <c r="Z182" s="4">
        <f>Games[[#This Row],[K]]*Games[[#This Row],[POMult]]</f>
        <v>73.75</v>
      </c>
      <c r="AA182" s="4">
        <f>(Games[[#This Row],[Keff]]*Games[[#This Row],[MOVMult]])*(Games[[#This Row],[Result]]-Games[[#This Row],[ExpectedWin%]])</f>
        <v>8.7446757201903118</v>
      </c>
      <c r="AB182" s="4">
        <f>Games[[#This Row],[PreGmRate]]+Games[[#This Row],[RatingChange]]</f>
        <v>1653.3309028531087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41474</v>
      </c>
      <c r="B183" s="2">
        <v>2013</v>
      </c>
      <c r="C183" s="2">
        <f>COUNTIFS(Games[Team],Games[[#This Row],[Team]],Games[Season],Games[[#This Row],[Season]],Games[Date],"&lt;=" &amp; Games[[#This Row],[Date]])</f>
        <v>16</v>
      </c>
      <c r="D183" s="2" t="s">
        <v>83</v>
      </c>
      <c r="E183" s="2" t="s">
        <v>84</v>
      </c>
      <c r="F183" s="1" t="s">
        <v>74</v>
      </c>
      <c r="G183" s="1" t="s">
        <v>67</v>
      </c>
      <c r="H183" s="1" t="s">
        <v>86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3" s="2">
        <f>Games[[#This Row],[DaysOff]]-Games[[#This Row],[OppDaysOff]]</f>
        <v>-3</v>
      </c>
      <c r="L183" s="2">
        <f>Games[[#This Row],[OppDaysOff]]-Games[[#This Row],[DaysOff]]</f>
        <v>3</v>
      </c>
      <c r="M183" s="1">
        <f>MAX(-16, MIN(16, Games[[#This Row],[RestDiff]]*8))</f>
        <v>-16</v>
      </c>
      <c r="N183" s="1">
        <f>MAX(-16, MIN(16, Games[[#This Row],[OppRestDiff]]*8))</f>
        <v>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1421.2289732104844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1644.5862271329183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0.27162142708321108</v>
      </c>
      <c r="R183" s="1">
        <v>71</v>
      </c>
      <c r="S183" s="1">
        <v>87</v>
      </c>
      <c r="T183" s="1">
        <v>0</v>
      </c>
      <c r="U183" s="1">
        <f>Games[[#This Row],[PointsFor]]-Games[[#This Row],[PointsAgainst]]</f>
        <v>-16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0.43653358074636572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-8.7268899390644989</v>
      </c>
      <c r="AB183" s="4">
        <f>Games[[#This Row],[PreGmRate]]+Games[[#This Row],[RatingChange]]</f>
        <v>1412.5020832714199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41474</v>
      </c>
      <c r="B184" s="2">
        <v>2013</v>
      </c>
      <c r="C184" s="2">
        <f>COUNTIFS(Games[Team],Games[[#This Row],[Team]],Games[Season],Games[[#This Row],[Season]],Games[Date],"&lt;=" &amp; Games[[#This Row],[Date]])</f>
        <v>14</v>
      </c>
      <c r="D184" s="2" t="s">
        <v>83</v>
      </c>
      <c r="E184" s="2" t="s">
        <v>84</v>
      </c>
      <c r="F184" s="1" t="s">
        <v>76</v>
      </c>
      <c r="G184" s="1" t="s">
        <v>81</v>
      </c>
      <c r="H184" s="1" t="s">
        <v>85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3</v>
      </c>
      <c r="L184" s="2">
        <f>Games[[#This Row],[OppDaysOff]]-Games[[#This Row],[DaysOff]]</f>
        <v>-3</v>
      </c>
      <c r="M184" s="1">
        <f>MAX(-16, MIN(16, Games[[#This Row],[RestDiff]]*8))</f>
        <v>16</v>
      </c>
      <c r="N184" s="1">
        <f>MAX(-16, MIN(16, Games[[#This Row],[OppRestDiff]]*8))</f>
        <v>-16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1456.814304672235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1393.1955648796852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0.51671448035724865</v>
      </c>
      <c r="R184" s="1">
        <v>58</v>
      </c>
      <c r="S184" s="1">
        <v>64</v>
      </c>
      <c r="T184" s="1">
        <v>0</v>
      </c>
      <c r="U184" s="1">
        <f>Games[[#This Row],[PointsFor]]-Games[[#This Row],[PointsAgainst]]</f>
        <v>-6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0.333595015675689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-12.738392425405296</v>
      </c>
      <c r="AB184" s="4">
        <f>Games[[#This Row],[PreGmRate]]+Games[[#This Row],[RatingChange]]</f>
        <v>1444.0759122468298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41474</v>
      </c>
      <c r="B185" s="2">
        <v>2013</v>
      </c>
      <c r="C185" s="2">
        <f>COUNTIFS(Games[Team],Games[[#This Row],[Team]],Games[Season],Games[[#This Row],[Season]],Games[Date],"&lt;=" &amp; Games[[#This Row],[Date]])</f>
        <v>18</v>
      </c>
      <c r="D185" s="2" t="s">
        <v>83</v>
      </c>
      <c r="E185" s="2" t="s">
        <v>84</v>
      </c>
      <c r="F185" s="1" t="s">
        <v>81</v>
      </c>
      <c r="G185" s="1" t="s">
        <v>76</v>
      </c>
      <c r="H185" s="1" t="s">
        <v>86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5" s="2">
        <f>Games[[#This Row],[DaysOff]]-Games[[#This Row],[OppDaysOff]]</f>
        <v>-3</v>
      </c>
      <c r="L185" s="2">
        <f>Games[[#This Row],[OppDaysOff]]-Games[[#This Row],[DaysOff]]</f>
        <v>3</v>
      </c>
      <c r="M185" s="1">
        <f>MAX(-16, MIN(16, Games[[#This Row],[RestDiff]]*8))</f>
        <v>-16</v>
      </c>
      <c r="N185" s="1">
        <f>MAX(-16, MIN(16, Games[[#This Row],[OppRestDiff]]*8))</f>
        <v>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1393.1955648796852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1456.814304672235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0.48328551964275135</v>
      </c>
      <c r="R185" s="1">
        <v>64</v>
      </c>
      <c r="S185" s="1">
        <v>58</v>
      </c>
      <c r="T185" s="1">
        <v>0</v>
      </c>
      <c r="U185" s="1">
        <f>Games[[#This Row],[PointsFor]]-Games[[#This Row],[PointsAgainst]]</f>
        <v>6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0.333595015675689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73.3</v>
      </c>
      <c r="Z185" s="4">
        <f>Games[[#This Row],[K]]*Games[[#This Row],[POMult]]</f>
        <v>73.3</v>
      </c>
      <c r="AA185" s="4">
        <f>(Games[[#This Row],[Keff]]*Games[[#This Row],[MOVMult]])*(Games[[#This Row],[Result]]-Games[[#This Row],[ExpectedWin%]])</f>
        <v>12.634968400300515</v>
      </c>
      <c r="AB185" s="4">
        <f>Games[[#This Row],[PreGmRate]]+Games[[#This Row],[RatingChange]]</f>
        <v>1405.8305332799857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41475</v>
      </c>
      <c r="B186" s="2">
        <v>2013</v>
      </c>
      <c r="C186" s="2">
        <f>COUNTIFS(Games[Team],Games[[#This Row],[Team]],Games[Season],Games[[#This Row],[Season]],Games[Date],"&lt;=" &amp; Games[[#This Row],[Date]])</f>
        <v>16</v>
      </c>
      <c r="D186" s="2" t="s">
        <v>83</v>
      </c>
      <c r="E186" s="2" t="s">
        <v>84</v>
      </c>
      <c r="F186" s="1" t="s">
        <v>60</v>
      </c>
      <c r="G186" s="1" t="s">
        <v>77</v>
      </c>
      <c r="H186" s="1" t="s">
        <v>85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1421.0542578550715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1582.857958471614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0.19545293752167087</v>
      </c>
      <c r="R186" s="1">
        <v>69</v>
      </c>
      <c r="S186" s="1">
        <v>80</v>
      </c>
      <c r="T186" s="1">
        <v>0</v>
      </c>
      <c r="U186" s="1">
        <f>Games[[#This Row],[PointsFor]]-Games[[#This Row],[PointsAgainst]]</f>
        <v>-11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0.387576538432228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-5.5754188091979957</v>
      </c>
      <c r="AB186" s="4">
        <f>Games[[#This Row],[PreGmRate]]+Games[[#This Row],[RatingChange]]</f>
        <v>1415.4788390458734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41475</v>
      </c>
      <c r="B187" s="2">
        <v>2013</v>
      </c>
      <c r="C187" s="2">
        <f>COUNTIFS(Games[Team],Games[[#This Row],[Team]],Games[Season],Games[[#This Row],[Season]],Games[Date],"&lt;=" &amp; Games[[#This Row],[Date]])</f>
        <v>16</v>
      </c>
      <c r="D187" s="2" t="s">
        <v>83</v>
      </c>
      <c r="E187" s="2" t="s">
        <v>84</v>
      </c>
      <c r="F187" s="1" t="s">
        <v>77</v>
      </c>
      <c r="G187" s="1" t="s">
        <v>60</v>
      </c>
      <c r="H187" s="1" t="s">
        <v>86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1582.857958471614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1421.0542578550715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0.80454706247832908</v>
      </c>
      <c r="R187" s="1">
        <v>80</v>
      </c>
      <c r="S187" s="1">
        <v>69</v>
      </c>
      <c r="T187" s="1">
        <v>0</v>
      </c>
      <c r="U187" s="1">
        <f>Games[[#This Row],[PointsFor]]-Games[[#This Row],[PointsAgainst]]</f>
        <v>11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0.387576538432228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5.5754188091979975</v>
      </c>
      <c r="AB187" s="4">
        <f>Games[[#This Row],[PreGmRate]]+Games[[#This Row],[RatingChange]]</f>
        <v>1588.433377280812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41475</v>
      </c>
      <c r="B188" s="2">
        <v>2013</v>
      </c>
      <c r="C188" s="2">
        <f>COUNTIFS(Games[Team],Games[[#This Row],[Team]],Games[Season],Games[[#This Row],[Season]],Games[Date],"&lt;=" &amp; Games[[#This Row],[Date]])</f>
        <v>15</v>
      </c>
      <c r="D188" s="2" t="s">
        <v>83</v>
      </c>
      <c r="E188" s="2" t="s">
        <v>84</v>
      </c>
      <c r="F188" s="1" t="s">
        <v>76</v>
      </c>
      <c r="G188" s="1" t="s">
        <v>74</v>
      </c>
      <c r="H188" s="1" t="s">
        <v>85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1444.0759122468298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1412.5020832714199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0.42512013237394136</v>
      </c>
      <c r="R188" s="1">
        <v>52</v>
      </c>
      <c r="S188" s="1">
        <v>60</v>
      </c>
      <c r="T188" s="1">
        <v>0</v>
      </c>
      <c r="U188" s="1">
        <f>Games[[#This Row],[PointsFor]]-Games[[#This Row],[PointsAgainst]]</f>
        <v>-8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0.37836029886350442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73.75</v>
      </c>
      <c r="Z188" s="4">
        <f>Games[[#This Row],[K]]*Games[[#This Row],[POMult]]</f>
        <v>73.75</v>
      </c>
      <c r="AA188" s="4">
        <f>(Games[[#This Row],[Keff]]*Games[[#This Row],[MOVMult]])*(Games[[#This Row],[Result]]-Games[[#This Row],[ExpectedWin%]])</f>
        <v>-11.862582799919904</v>
      </c>
      <c r="AB188" s="4">
        <f>Games[[#This Row],[PreGmRate]]+Games[[#This Row],[RatingChange]]</f>
        <v>1432.2133294469099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41475</v>
      </c>
      <c r="B189" s="2">
        <v>2013</v>
      </c>
      <c r="C189" s="2">
        <f>COUNTIFS(Games[Team],Games[[#This Row],[Team]],Games[Season],Games[[#This Row],[Season]],Games[Date],"&lt;=" &amp; Games[[#This Row],[Date]])</f>
        <v>17</v>
      </c>
      <c r="D189" s="2" t="s">
        <v>83</v>
      </c>
      <c r="E189" s="2" t="s">
        <v>84</v>
      </c>
      <c r="F189" s="1" t="s">
        <v>74</v>
      </c>
      <c r="G189" s="1" t="s">
        <v>76</v>
      </c>
      <c r="H189" s="1" t="s">
        <v>86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1412.5020832714199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1444.0759122468298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0.57487986762605858</v>
      </c>
      <c r="R189" s="1">
        <v>60</v>
      </c>
      <c r="S189" s="1">
        <v>52</v>
      </c>
      <c r="T189" s="1">
        <v>0</v>
      </c>
      <c r="U189" s="1">
        <f>Games[[#This Row],[PointsFor]]-Games[[#This Row],[PointsAgainst]]</f>
        <v>8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0.37836029886350442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73.45</v>
      </c>
      <c r="Z189" s="4">
        <f>Games[[#This Row],[K]]*Games[[#This Row],[POMult]]</f>
        <v>73.45</v>
      </c>
      <c r="AA189" s="4">
        <f>(Games[[#This Row],[Keff]]*Games[[#This Row],[MOVMult]])*(Games[[#This Row],[Result]]-Games[[#This Row],[ExpectedWin%]])</f>
        <v>11.814328225818539</v>
      </c>
      <c r="AB189" s="4">
        <f>Games[[#This Row],[PreGmRate]]+Games[[#This Row],[RatingChange]]</f>
        <v>1424.3164114972385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41475</v>
      </c>
      <c r="B190" s="2">
        <v>2013</v>
      </c>
      <c r="C190" s="2">
        <f>COUNTIFS(Games[Team],Games[[#This Row],[Team]],Games[Season],Games[[#This Row],[Season]],Games[Date],"&lt;=" &amp; Games[[#This Row],[Date]])</f>
        <v>17</v>
      </c>
      <c r="D190" s="2" t="s">
        <v>83</v>
      </c>
      <c r="E190" s="2" t="s">
        <v>84</v>
      </c>
      <c r="F190" s="1" t="s">
        <v>63</v>
      </c>
      <c r="G190" s="1" t="s">
        <v>71</v>
      </c>
      <c r="H190" s="1" t="s">
        <v>85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-1</v>
      </c>
      <c r="L190" s="2">
        <f>Games[[#This Row],[OppDaysOff]]-Games[[#This Row],[DaysOff]]</f>
        <v>1</v>
      </c>
      <c r="M190" s="1">
        <f>MAX(-16, MIN(16, Games[[#This Row],[RestDiff]]*8))</f>
        <v>-8</v>
      </c>
      <c r="N190" s="1">
        <f>MAX(-16, MIN(16, Games[[#This Row],[OppRestDiff]]*8))</f>
        <v>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1617.3938228389341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1441.7853936177619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0.60712354488797737</v>
      </c>
      <c r="R190" s="1">
        <v>65</v>
      </c>
      <c r="S190" s="1">
        <v>64</v>
      </c>
      <c r="T190" s="1">
        <v>0</v>
      </c>
      <c r="U190" s="1">
        <f>Games[[#This Row],[PointsFor]]-Games[[#This Row],[PointsAgainst]]</f>
        <v>1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0.21300800353793173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73.45</v>
      </c>
      <c r="Z190" s="4">
        <f>Games[[#This Row],[K]]*Games[[#This Row],[POMult]]</f>
        <v>73.45</v>
      </c>
      <c r="AA190" s="4">
        <f>(Games[[#This Row],[Keff]]*Games[[#This Row],[MOVMult]])*(Games[[#This Row],[Result]]-Games[[#This Row],[ExpectedWin%]])</f>
        <v>6.1467241650576536</v>
      </c>
      <c r="AB190" s="4">
        <f>Games[[#This Row],[PreGmRate]]+Games[[#This Row],[RatingChange]]</f>
        <v>1623.5405470039916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41475</v>
      </c>
      <c r="B191" s="2">
        <v>2013</v>
      </c>
      <c r="C191" s="2">
        <f>COUNTIFS(Games[Team],Games[[#This Row],[Team]],Games[Season],Games[[#This Row],[Season]],Games[Date],"&lt;=" &amp; Games[[#This Row],[Date]])</f>
        <v>16</v>
      </c>
      <c r="D191" s="2" t="s">
        <v>83</v>
      </c>
      <c r="E191" s="2" t="s">
        <v>84</v>
      </c>
      <c r="F191" s="1" t="s">
        <v>71</v>
      </c>
      <c r="G191" s="1" t="s">
        <v>63</v>
      </c>
      <c r="H191" s="1" t="s">
        <v>86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1</v>
      </c>
      <c r="L191" s="2">
        <f>Games[[#This Row],[OppDaysOff]]-Games[[#This Row],[DaysOff]]</f>
        <v>-1</v>
      </c>
      <c r="M191" s="1">
        <f>MAX(-16, MIN(16, Games[[#This Row],[RestDiff]]*8))</f>
        <v>8</v>
      </c>
      <c r="N191" s="1">
        <f>MAX(-16, MIN(16, Games[[#This Row],[OppRestDiff]]*8))</f>
        <v>-8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1441.7853936177619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1617.3938228389341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0.39287645511202263</v>
      </c>
      <c r="R191" s="1">
        <v>64</v>
      </c>
      <c r="S191" s="1">
        <v>65</v>
      </c>
      <c r="T191" s="1">
        <v>0</v>
      </c>
      <c r="U191" s="1">
        <f>Games[[#This Row],[PointsFor]]-Games[[#This Row],[PointsAgainst]]</f>
        <v>-1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0.21300800353793173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-6.1592770394587228</v>
      </c>
      <c r="AB191" s="4">
        <f>Games[[#This Row],[PreGmRate]]+Games[[#This Row],[RatingChange]]</f>
        <v>1435.6261165783033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41476</v>
      </c>
      <c r="B192" s="2">
        <v>2013</v>
      </c>
      <c r="C192" s="2">
        <f>COUNTIFS(Games[Team],Games[[#This Row],[Team]],Games[Season],Games[[#This Row],[Season]],Games[Date],"&lt;=" &amp; Games[[#This Row],[Date]])</f>
        <v>16</v>
      </c>
      <c r="D192" s="2" t="s">
        <v>83</v>
      </c>
      <c r="E192" s="2" t="s">
        <v>84</v>
      </c>
      <c r="F192" s="1" t="s">
        <v>67</v>
      </c>
      <c r="G192" s="1" t="s">
        <v>40</v>
      </c>
      <c r="H192" s="1" t="s">
        <v>85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-1</v>
      </c>
      <c r="L192" s="2">
        <f>Games[[#This Row],[OppDaysOff]]-Games[[#This Row],[DaysOff]]</f>
        <v>1</v>
      </c>
      <c r="M192" s="1">
        <f>MAX(-16, MIN(16, Games[[#This Row],[RestDiff]]*8))</f>
        <v>-8</v>
      </c>
      <c r="N192" s="1">
        <f>MAX(-16, MIN(16, Games[[#This Row],[OppRestDiff]]*8))</f>
        <v>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1653.3309028531087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1471.9888507663061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0.61496769341557012</v>
      </c>
      <c r="R192" s="1">
        <v>82</v>
      </c>
      <c r="S192" s="1">
        <v>77</v>
      </c>
      <c r="T192" s="1">
        <v>0</v>
      </c>
      <c r="U192" s="1">
        <f>Games[[#This Row],[PointsFor]]-Games[[#This Row],[PointsAgainst]]</f>
        <v>5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0.28820317889553432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8.1672105565042905</v>
      </c>
      <c r="AB192" s="4">
        <f>Games[[#This Row],[PreGmRate]]+Games[[#This Row],[RatingChange]]</f>
        <v>1661.4981134096129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41476</v>
      </c>
      <c r="B193" s="2">
        <v>2013</v>
      </c>
      <c r="C193" s="2">
        <f>COUNTIFS(Games[Team],Games[[#This Row],[Team]],Games[Season],Games[[#This Row],[Season]],Games[Date],"&lt;=" &amp; Games[[#This Row],[Date]])</f>
        <v>17</v>
      </c>
      <c r="D193" s="2" t="s">
        <v>83</v>
      </c>
      <c r="E193" s="2" t="s">
        <v>84</v>
      </c>
      <c r="F193" s="1" t="s">
        <v>40</v>
      </c>
      <c r="G193" s="1" t="s">
        <v>67</v>
      </c>
      <c r="H193" s="1" t="s">
        <v>86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1</v>
      </c>
      <c r="L193" s="2">
        <f>Games[[#This Row],[OppDaysOff]]-Games[[#This Row],[DaysOff]]</f>
        <v>-1</v>
      </c>
      <c r="M193" s="1">
        <f>MAX(-16, MIN(16, Games[[#This Row],[RestDiff]]*8))</f>
        <v>8</v>
      </c>
      <c r="N193" s="1">
        <f>MAX(-16, MIN(16, Games[[#This Row],[OppRestDiff]]*8))</f>
        <v>-8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1471.9888507663061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1653.3309028531087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0.38503230658442988</v>
      </c>
      <c r="R193" s="1">
        <v>77</v>
      </c>
      <c r="S193" s="1">
        <v>82</v>
      </c>
      <c r="T193" s="1">
        <v>0</v>
      </c>
      <c r="U193" s="1">
        <f>Games[[#This Row],[PointsFor]]-Games[[#This Row],[PointsAgainst]]</f>
        <v>-5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0.28820317889553432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73.45</v>
      </c>
      <c r="Z193" s="4">
        <f>Games[[#This Row],[K]]*Games[[#This Row],[POMult]]</f>
        <v>73.45</v>
      </c>
      <c r="AA193" s="4">
        <f>(Games[[#This Row],[Keff]]*Games[[#This Row],[MOVMult]])*(Games[[#This Row],[Result]]-Games[[#This Row],[ExpectedWin%]])</f>
        <v>-8.1505654262940261</v>
      </c>
      <c r="AB193" s="4">
        <f>Games[[#This Row],[PreGmRate]]+Games[[#This Row],[RatingChange]]</f>
        <v>1463.8382853400121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41476</v>
      </c>
      <c r="B194" s="2">
        <v>2013</v>
      </c>
      <c r="C194" s="2">
        <f>COUNTIFS(Games[Team],Games[[#This Row],[Team]],Games[Season],Games[[#This Row],[Season]],Games[Date],"&lt;=" &amp; Games[[#This Row],[Date]])</f>
        <v>15</v>
      </c>
      <c r="D194" s="2" t="s">
        <v>83</v>
      </c>
      <c r="E194" s="2" t="s">
        <v>84</v>
      </c>
      <c r="F194" s="1" t="s">
        <v>79</v>
      </c>
      <c r="G194" s="1" t="s">
        <v>81</v>
      </c>
      <c r="H194" s="1" t="s">
        <v>85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2</v>
      </c>
      <c r="L194" s="2">
        <f>Games[[#This Row],[OppDaysOff]]-Games[[#This Row],[DaysOff]]</f>
        <v>-2</v>
      </c>
      <c r="M194" s="1">
        <f>MAX(-16, MIN(16, Games[[#This Row],[RestDiff]]*8))</f>
        <v>16</v>
      </c>
      <c r="N194" s="1">
        <f>MAX(-16, MIN(16, Games[[#This Row],[OppRestDiff]]*8))</f>
        <v>-16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1577.8451264926355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1405.8305332799857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0.66615810690378352</v>
      </c>
      <c r="R194" s="1">
        <v>63</v>
      </c>
      <c r="S194" s="1">
        <v>90</v>
      </c>
      <c r="T194" s="1">
        <v>0</v>
      </c>
      <c r="U194" s="1">
        <f>Games[[#This Row],[PointsFor]]-Games[[#This Row],[PointsAgainst]]</f>
        <v>-27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0.58308417706167004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73.75</v>
      </c>
      <c r="Z194" s="4">
        <f>Games[[#This Row],[K]]*Games[[#This Row],[POMult]]</f>
        <v>73.75</v>
      </c>
      <c r="AA194" s="4">
        <f>(Games[[#This Row],[Keff]]*Games[[#This Row],[MOVMult]])*(Games[[#This Row],[Result]]-Games[[#This Row],[ExpectedWin%]])</f>
        <v>-28.646436052325257</v>
      </c>
      <c r="AB194" s="4">
        <f>Games[[#This Row],[PreGmRate]]+Games[[#This Row],[RatingChange]]</f>
        <v>1549.1986904403102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41476</v>
      </c>
      <c r="B195" s="2">
        <v>2013</v>
      </c>
      <c r="C195" s="2">
        <f>COUNTIFS(Games[Team],Games[[#This Row],[Team]],Games[Season],Games[[#This Row],[Season]],Games[Date],"&lt;=" &amp; Games[[#This Row],[Date]])</f>
        <v>19</v>
      </c>
      <c r="D195" s="2" t="s">
        <v>83</v>
      </c>
      <c r="E195" s="2" t="s">
        <v>84</v>
      </c>
      <c r="F195" s="1" t="s">
        <v>81</v>
      </c>
      <c r="G195" s="1" t="s">
        <v>79</v>
      </c>
      <c r="H195" s="1" t="s">
        <v>86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5" s="2">
        <f>Games[[#This Row],[DaysOff]]-Games[[#This Row],[OppDaysOff]]</f>
        <v>-2</v>
      </c>
      <c r="L195" s="2">
        <f>Games[[#This Row],[OppDaysOff]]-Games[[#This Row],[DaysOff]]</f>
        <v>2</v>
      </c>
      <c r="M195" s="1">
        <f>MAX(-16, MIN(16, Games[[#This Row],[RestDiff]]*8))</f>
        <v>-16</v>
      </c>
      <c r="N195" s="1">
        <f>MAX(-16, MIN(16, Games[[#This Row],[OppRestDiff]]*8))</f>
        <v>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1405.8305332799857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1577.8451264926355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0.33384189309621642</v>
      </c>
      <c r="R195" s="1">
        <v>90</v>
      </c>
      <c r="S195" s="1">
        <v>63</v>
      </c>
      <c r="T195" s="1">
        <v>0</v>
      </c>
      <c r="U195" s="1">
        <f>Games[[#This Row],[PointsFor]]-Games[[#This Row],[PointsAgainst]]</f>
        <v>27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0.58308417706167004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73.150000000000006</v>
      </c>
      <c r="Z195" s="4">
        <f>Games[[#This Row],[K]]*Games[[#This Row],[POMult]]</f>
        <v>73.150000000000006</v>
      </c>
      <c r="AA195" s="4">
        <f>(Games[[#This Row],[Keff]]*Games[[#This Row],[MOVMult]])*(Games[[#This Row],[Result]]-Games[[#This Row],[ExpectedWin%]])</f>
        <v>28.413380301391093</v>
      </c>
      <c r="AB195" s="4">
        <f>Games[[#This Row],[PreGmRate]]+Games[[#This Row],[RatingChange]]</f>
        <v>1434.2439135813768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41476</v>
      </c>
      <c r="B196" s="2">
        <v>2013</v>
      </c>
      <c r="C196" s="2">
        <f>COUNTIFS(Games[Team],Games[[#This Row],[Team]],Games[Season],Games[[#This Row],[Season]],Games[Date],"&lt;=" &amp; Games[[#This Row],[Date]])</f>
        <v>15</v>
      </c>
      <c r="D196" s="2" t="s">
        <v>83</v>
      </c>
      <c r="E196" s="2" t="s">
        <v>84</v>
      </c>
      <c r="F196" s="1" t="s">
        <v>69</v>
      </c>
      <c r="G196" s="1" t="s">
        <v>65</v>
      </c>
      <c r="H196" s="1" t="s">
        <v>85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1536.5089643200918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1439.1291628418207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0.51924556914845887</v>
      </c>
      <c r="R196" s="1">
        <v>65</v>
      </c>
      <c r="S196" s="1">
        <v>52</v>
      </c>
      <c r="T196" s="1">
        <v>0</v>
      </c>
      <c r="U196" s="1">
        <f>Games[[#This Row],[PointsFor]]-Games[[#This Row],[PointsAgainst]]</f>
        <v>13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0.4366127067274434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15.480382632741088</v>
      </c>
      <c r="AB196" s="4">
        <f>Games[[#This Row],[PreGmRate]]+Games[[#This Row],[RatingChange]]</f>
        <v>1551.9893469528329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41476</v>
      </c>
      <c r="B197" s="2">
        <v>2013</v>
      </c>
      <c r="C197" s="2">
        <f>COUNTIFS(Games[Team],Games[[#This Row],[Team]],Games[Season],Games[[#This Row],[Season]],Games[Date],"&lt;=" &amp; Games[[#This Row],[Date]])</f>
        <v>17</v>
      </c>
      <c r="D197" s="2" t="s">
        <v>83</v>
      </c>
      <c r="E197" s="2" t="s">
        <v>84</v>
      </c>
      <c r="F197" s="1" t="s">
        <v>65</v>
      </c>
      <c r="G197" s="1" t="s">
        <v>69</v>
      </c>
      <c r="H197" s="1" t="s">
        <v>86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1439.1291628418207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1536.5089643200918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0.48075443085154113</v>
      </c>
      <c r="R197" s="1">
        <v>52</v>
      </c>
      <c r="S197" s="1">
        <v>65</v>
      </c>
      <c r="T197" s="1">
        <v>0</v>
      </c>
      <c r="U197" s="1">
        <f>Games[[#This Row],[PointsFor]]-Games[[#This Row],[PointsAgainst]]</f>
        <v>-13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0.4366127067274434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-15.417411584743499</v>
      </c>
      <c r="AB197" s="4">
        <f>Games[[#This Row],[PreGmRate]]+Games[[#This Row],[RatingChange]]</f>
        <v>1423.7117512570771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41478</v>
      </c>
      <c r="B198" s="2">
        <v>2013</v>
      </c>
      <c r="C198" s="2">
        <f>COUNTIFS(Games[Team],Games[[#This Row],[Team]],Games[Season],Games[[#This Row],[Season]],Games[Date],"&lt;=" &amp; Games[[#This Row],[Date]])</f>
        <v>17</v>
      </c>
      <c r="D198" s="2" t="s">
        <v>83</v>
      </c>
      <c r="E198" s="2" t="s">
        <v>84</v>
      </c>
      <c r="F198" s="1" t="s">
        <v>60</v>
      </c>
      <c r="G198" s="1" t="s">
        <v>69</v>
      </c>
      <c r="H198" s="1" t="s">
        <v>85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1</v>
      </c>
      <c r="L198" s="2">
        <f>Games[[#This Row],[OppDaysOff]]-Games[[#This Row],[DaysOff]]</f>
        <v>-1</v>
      </c>
      <c r="M198" s="1">
        <f>MAX(-16, MIN(16, Games[[#This Row],[RestDiff]]*8))</f>
        <v>8</v>
      </c>
      <c r="N198" s="1">
        <f>MAX(-16, MIN(16, Games[[#This Row],[OppRestDiff]]*8))</f>
        <v>-8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1415.4788390458734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1551.9893469528329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0.23554573222244299</v>
      </c>
      <c r="R198" s="1">
        <v>77</v>
      </c>
      <c r="S198" s="1">
        <v>72</v>
      </c>
      <c r="T198" s="1">
        <v>0</v>
      </c>
      <c r="U198" s="1">
        <f>Games[[#This Row],[PointsFor]]-Games[[#This Row],[PointsAgainst]]</f>
        <v>5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0.29787058777184811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16.725185069865123</v>
      </c>
      <c r="AB198" s="4">
        <f>Games[[#This Row],[PreGmRate]]+Games[[#This Row],[RatingChange]]</f>
        <v>1432.2040241157385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41478</v>
      </c>
      <c r="B199" s="2">
        <v>2013</v>
      </c>
      <c r="C199" s="2">
        <f>COUNTIFS(Games[Team],Games[[#This Row],[Team]],Games[Season],Games[[#This Row],[Season]],Games[Date],"&lt;=" &amp; Games[[#This Row],[Date]])</f>
        <v>16</v>
      </c>
      <c r="D199" s="2" t="s">
        <v>83</v>
      </c>
      <c r="E199" s="2" t="s">
        <v>84</v>
      </c>
      <c r="F199" s="1" t="s">
        <v>69</v>
      </c>
      <c r="G199" s="1" t="s">
        <v>60</v>
      </c>
      <c r="H199" s="1" t="s">
        <v>86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-1</v>
      </c>
      <c r="L199" s="2">
        <f>Games[[#This Row],[OppDaysOff]]-Games[[#This Row],[DaysOff]]</f>
        <v>1</v>
      </c>
      <c r="M199" s="1">
        <f>MAX(-16, MIN(16, Games[[#This Row],[RestDiff]]*8))</f>
        <v>-8</v>
      </c>
      <c r="N199" s="1">
        <f>MAX(-16, MIN(16, Games[[#This Row],[OppRestDiff]]*8))</f>
        <v>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1551.9893469528329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1415.4788390458734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0.76445426777755698</v>
      </c>
      <c r="R199" s="1">
        <v>72</v>
      </c>
      <c r="S199" s="1">
        <v>77</v>
      </c>
      <c r="T199" s="1">
        <v>0</v>
      </c>
      <c r="U199" s="1">
        <f>Games[[#This Row],[PointsFor]]-Games[[#This Row],[PointsAgainst]]</f>
        <v>-5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0.29787058777184811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-16.759341336175261</v>
      </c>
      <c r="AB199" s="4">
        <f>Games[[#This Row],[PreGmRate]]+Games[[#This Row],[RatingChange]]</f>
        <v>1535.2300056166575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41479</v>
      </c>
      <c r="B200" s="2">
        <v>2013</v>
      </c>
      <c r="C200" s="2">
        <f>COUNTIFS(Games[Team],Games[[#This Row],[Team]],Games[Season],Games[[#This Row],[Season]],Games[Date],"&lt;=" &amp; Games[[#This Row],[Date]])</f>
        <v>16</v>
      </c>
      <c r="D200" s="2" t="s">
        <v>83</v>
      </c>
      <c r="E200" s="2" t="s">
        <v>84</v>
      </c>
      <c r="F200" s="1" t="s">
        <v>76</v>
      </c>
      <c r="G200" s="1" t="s">
        <v>79</v>
      </c>
      <c r="H200" s="1" t="s">
        <v>85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1432.2133294469099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1549.1986904403102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0.25638154353187226</v>
      </c>
      <c r="R200" s="1">
        <v>65</v>
      </c>
      <c r="S200" s="1">
        <v>74</v>
      </c>
      <c r="T200" s="1">
        <v>0</v>
      </c>
      <c r="U200" s="1">
        <f>Games[[#This Row],[PointsFor]]-Games[[#This Row],[PointsAgainst]]</f>
        <v>-9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0.36990983119905213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-6.9800807368954487</v>
      </c>
      <c r="AB200" s="4">
        <f>Games[[#This Row],[PreGmRate]]+Games[[#This Row],[RatingChange]]</f>
        <v>1425.2332487100145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41479</v>
      </c>
      <c r="B201" s="2">
        <v>2013</v>
      </c>
      <c r="C201" s="2">
        <f>COUNTIFS(Games[Team],Games[[#This Row],[Team]],Games[Season],Games[[#This Row],[Season]],Games[Date],"&lt;=" &amp; Games[[#This Row],[Date]])</f>
        <v>16</v>
      </c>
      <c r="D201" s="2" t="s">
        <v>83</v>
      </c>
      <c r="E201" s="2" t="s">
        <v>84</v>
      </c>
      <c r="F201" s="1" t="s">
        <v>79</v>
      </c>
      <c r="G201" s="1" t="s">
        <v>76</v>
      </c>
      <c r="H201" s="1" t="s">
        <v>86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1549.1986904403102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1432.2133294469099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0.74361845646812785</v>
      </c>
      <c r="R201" s="1">
        <v>74</v>
      </c>
      <c r="S201" s="1">
        <v>65</v>
      </c>
      <c r="T201" s="1">
        <v>0</v>
      </c>
      <c r="U201" s="1">
        <f>Games[[#This Row],[PointsFor]]-Games[[#This Row],[PointsAgainst]]</f>
        <v>9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0.36990983119905213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6.9800807368954461</v>
      </c>
      <c r="AB201" s="4">
        <f>Games[[#This Row],[PreGmRate]]+Games[[#This Row],[RatingChange]]</f>
        <v>1556.1787711772056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41479</v>
      </c>
      <c r="B202" s="2">
        <v>2013</v>
      </c>
      <c r="C202" s="2">
        <f>COUNTIFS(Games[Team],Games[[#This Row],[Team]],Games[Season],Games[[#This Row],[Season]],Games[Date],"&lt;=" &amp; Games[[#This Row],[Date]])</f>
        <v>18</v>
      </c>
      <c r="D202" s="2" t="s">
        <v>83</v>
      </c>
      <c r="E202" s="2" t="s">
        <v>84</v>
      </c>
      <c r="F202" s="1" t="s">
        <v>40</v>
      </c>
      <c r="G202" s="1" t="s">
        <v>67</v>
      </c>
      <c r="H202" s="1" t="s">
        <v>85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1463.8382853400121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1661.4981134096129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0.16501680199347371</v>
      </c>
      <c r="R202" s="1">
        <v>69</v>
      </c>
      <c r="S202" s="1">
        <v>81</v>
      </c>
      <c r="T202" s="1">
        <v>0</v>
      </c>
      <c r="U202" s="1">
        <f>Games[[#This Row],[PointsFor]]-Games[[#This Row],[PointsAgainst]]</f>
        <v>-12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0.39162271154908779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73.3</v>
      </c>
      <c r="Z202" s="4">
        <f>Games[[#This Row],[K]]*Games[[#This Row],[POMult]]</f>
        <v>73.3</v>
      </c>
      <c r="AA202" s="4">
        <f>(Games[[#This Row],[Keff]]*Games[[#This Row],[MOVMult]])*(Games[[#This Row],[Result]]-Games[[#This Row],[ExpectedWin%]])</f>
        <v>-4.7369632019268986</v>
      </c>
      <c r="AB202" s="4">
        <f>Games[[#This Row],[PreGmRate]]+Games[[#This Row],[RatingChange]]</f>
        <v>1459.1013221380852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41479</v>
      </c>
      <c r="B203" s="2">
        <v>2013</v>
      </c>
      <c r="C203" s="2">
        <f>COUNTIFS(Games[Team],Games[[#This Row],[Team]],Games[Season],Games[[#This Row],[Season]],Games[Date],"&lt;=" &amp; Games[[#This Row],[Date]])</f>
        <v>17</v>
      </c>
      <c r="D203" s="2" t="s">
        <v>83</v>
      </c>
      <c r="E203" s="2" t="s">
        <v>84</v>
      </c>
      <c r="F203" s="1" t="s">
        <v>67</v>
      </c>
      <c r="G203" s="1" t="s">
        <v>40</v>
      </c>
      <c r="H203" s="1" t="s">
        <v>86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1661.4981134096129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1463.8382853400121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0.83498319800652632</v>
      </c>
      <c r="R203" s="1">
        <v>81</v>
      </c>
      <c r="S203" s="1">
        <v>69</v>
      </c>
      <c r="T203" s="1">
        <v>0</v>
      </c>
      <c r="U203" s="1">
        <f>Games[[#This Row],[PointsFor]]-Games[[#This Row],[PointsAgainst]]</f>
        <v>12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0.39162271154908779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4.7466568510440741</v>
      </c>
      <c r="AB203" s="4">
        <f>Games[[#This Row],[PreGmRate]]+Games[[#This Row],[RatingChange]]</f>
        <v>1666.2447702606569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41479</v>
      </c>
      <c r="B204" s="2">
        <v>2013</v>
      </c>
      <c r="C204" s="2">
        <f>COUNTIFS(Games[Team],Games[[#This Row],[Team]],Games[Season],Games[[#This Row],[Season]],Games[Date],"&lt;=" &amp; Games[[#This Row],[Date]])</f>
        <v>17</v>
      </c>
      <c r="D204" s="2" t="s">
        <v>83</v>
      </c>
      <c r="E204" s="2" t="s">
        <v>84</v>
      </c>
      <c r="F204" s="1" t="s">
        <v>77</v>
      </c>
      <c r="G204" s="1" t="s">
        <v>65</v>
      </c>
      <c r="H204" s="1" t="s">
        <v>85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4" s="2">
        <f>Games[[#This Row],[DaysOff]]-Games[[#This Row],[OppDaysOff]]</f>
        <v>1</v>
      </c>
      <c r="L204" s="2">
        <f>Games[[#This Row],[OppDaysOff]]-Games[[#This Row],[DaysOff]]</f>
        <v>-1</v>
      </c>
      <c r="M204" s="1">
        <f>MAX(-16, MIN(16, Games[[#This Row],[RestDiff]]*8))</f>
        <v>8</v>
      </c>
      <c r="N204" s="1">
        <f>MAX(-16, MIN(16, Games[[#This Row],[OppRestDiff]]*8))</f>
        <v>-8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1588.433377280812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1423.7117512570771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0.63570587894075781</v>
      </c>
      <c r="R204" s="1">
        <v>78</v>
      </c>
      <c r="S204" s="1">
        <v>82</v>
      </c>
      <c r="T204" s="1">
        <v>0</v>
      </c>
      <c r="U204" s="1">
        <f>Games[[#This Row],[PointsFor]]-Games[[#This Row],[PointsAgainst]]</f>
        <v>-4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0.27384286638259486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-12.786434548803921</v>
      </c>
      <c r="AB204" s="4">
        <f>Games[[#This Row],[PreGmRate]]+Games[[#This Row],[RatingChange]]</f>
        <v>1575.646942732008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41479</v>
      </c>
      <c r="B205" s="2">
        <v>2013</v>
      </c>
      <c r="C205" s="2">
        <f>COUNTIFS(Games[Team],Games[[#This Row],[Team]],Games[Season],Games[[#This Row],[Season]],Games[Date],"&lt;=" &amp; Games[[#This Row],[Date]])</f>
        <v>18</v>
      </c>
      <c r="D205" s="2" t="s">
        <v>83</v>
      </c>
      <c r="E205" s="2" t="s">
        <v>84</v>
      </c>
      <c r="F205" s="1" t="s">
        <v>65</v>
      </c>
      <c r="G205" s="1" t="s">
        <v>77</v>
      </c>
      <c r="H205" s="1" t="s">
        <v>86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5" s="2">
        <f>Games[[#This Row],[DaysOff]]-Games[[#This Row],[OppDaysOff]]</f>
        <v>-1</v>
      </c>
      <c r="L205" s="2">
        <f>Games[[#This Row],[OppDaysOff]]-Games[[#This Row],[DaysOff]]</f>
        <v>1</v>
      </c>
      <c r="M205" s="1">
        <f>MAX(-16, MIN(16, Games[[#This Row],[RestDiff]]*8))</f>
        <v>-8</v>
      </c>
      <c r="N205" s="1">
        <f>MAX(-16, MIN(16, Games[[#This Row],[OppRestDiff]]*8))</f>
        <v>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1423.7117512570771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1588.433377280812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0.36429412105924225</v>
      </c>
      <c r="R205" s="1">
        <v>82</v>
      </c>
      <c r="S205" s="1">
        <v>78</v>
      </c>
      <c r="T205" s="1">
        <v>0</v>
      </c>
      <c r="U205" s="1">
        <f>Games[[#This Row],[PointsFor]]-Games[[#This Row],[PointsAgainst]]</f>
        <v>4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0.27384286638259486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12.760322020794106</v>
      </c>
      <c r="AB205" s="4">
        <f>Games[[#This Row],[PreGmRate]]+Games[[#This Row],[RatingChange]]</f>
        <v>1436.4720732778712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41480</v>
      </c>
      <c r="B206" s="2">
        <v>2013</v>
      </c>
      <c r="C206" s="2">
        <f>COUNTIFS(Games[Team],Games[[#This Row],[Team]],Games[Season],Games[[#This Row],[Season]],Games[Date],"&lt;=" &amp; Games[[#This Row],[Date]])</f>
        <v>17</v>
      </c>
      <c r="D206" s="2" t="s">
        <v>83</v>
      </c>
      <c r="E206" s="2" t="s">
        <v>84</v>
      </c>
      <c r="F206" s="1" t="s">
        <v>71</v>
      </c>
      <c r="G206" s="1" t="s">
        <v>63</v>
      </c>
      <c r="H206" s="1" t="s">
        <v>85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1435.6261165783033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1623.5405470039916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0.17289241065894781</v>
      </c>
      <c r="R206" s="1">
        <v>73</v>
      </c>
      <c r="S206" s="1">
        <v>66</v>
      </c>
      <c r="T206" s="1">
        <v>0</v>
      </c>
      <c r="U206" s="1">
        <f>Games[[#This Row],[PointsFor]]-Games[[#This Row],[PointsAgainst]]</f>
        <v>7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0.31999711023133104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19.440161223384152</v>
      </c>
      <c r="AB206" s="4">
        <f>Games[[#This Row],[PreGmRate]]+Games[[#This Row],[RatingChange]]</f>
        <v>1455.0662778016874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41480</v>
      </c>
      <c r="B207" s="2">
        <v>2013</v>
      </c>
      <c r="C207" s="2">
        <f>COUNTIFS(Games[Team],Games[[#This Row],[Team]],Games[Season],Games[[#This Row],[Season]],Games[Date],"&lt;=" &amp; Games[[#This Row],[Date]])</f>
        <v>18</v>
      </c>
      <c r="D207" s="2" t="s">
        <v>83</v>
      </c>
      <c r="E207" s="2" t="s">
        <v>84</v>
      </c>
      <c r="F207" s="1" t="s">
        <v>63</v>
      </c>
      <c r="G207" s="1" t="s">
        <v>71</v>
      </c>
      <c r="H207" s="1" t="s">
        <v>86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1623.5405470039916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1435.6261165783033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0.82710758934105222</v>
      </c>
      <c r="R207" s="1">
        <v>66</v>
      </c>
      <c r="S207" s="1">
        <v>73</v>
      </c>
      <c r="T207" s="1">
        <v>0</v>
      </c>
      <c r="U207" s="1">
        <f>Games[[#This Row],[PointsFor]]-Games[[#This Row],[PointsAgainst]]</f>
        <v>-7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0.31999711023133104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73.3</v>
      </c>
      <c r="Z207" s="4">
        <f>Games[[#This Row],[K]]*Games[[#This Row],[POMult]]</f>
        <v>73.3</v>
      </c>
      <c r="AA207" s="4">
        <f>(Games[[#This Row],[Keff]]*Games[[#This Row],[MOVMult]])*(Games[[#This Row],[Result]]-Games[[#This Row],[ExpectedWin%]])</f>
        <v>-19.40046041761822</v>
      </c>
      <c r="AB207" s="4">
        <f>Games[[#This Row],[PreGmRate]]+Games[[#This Row],[RatingChange]]</f>
        <v>1604.1400865863734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41480</v>
      </c>
      <c r="B208" s="2">
        <v>2013</v>
      </c>
      <c r="C208" s="2">
        <f>COUNTIFS(Games[Team],Games[[#This Row],[Team]],Games[Season],Games[[#This Row],[Season]],Games[Date],"&lt;=" &amp; Games[[#This Row],[Date]])</f>
        <v>18</v>
      </c>
      <c r="D208" s="2" t="s">
        <v>83</v>
      </c>
      <c r="E208" s="2" t="s">
        <v>84</v>
      </c>
      <c r="F208" s="1" t="s">
        <v>60</v>
      </c>
      <c r="G208" s="1" t="s">
        <v>74</v>
      </c>
      <c r="H208" s="1" t="s">
        <v>85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8" s="2">
        <f>Games[[#This Row],[DaysOff]]-Games[[#This Row],[OppDaysOff]]</f>
        <v>-3</v>
      </c>
      <c r="L208" s="2">
        <f>Games[[#This Row],[OppDaysOff]]-Games[[#This Row],[DaysOff]]</f>
        <v>3</v>
      </c>
      <c r="M208" s="1">
        <f>MAX(-16, MIN(16, Games[[#This Row],[RestDiff]]*8))</f>
        <v>-16</v>
      </c>
      <c r="N208" s="1">
        <f>MAX(-16, MIN(16, Games[[#This Row],[OppRestDiff]]*8))</f>
        <v>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1432.2040241157385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1424.3164114972385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0.3492483220019692</v>
      </c>
      <c r="R208" s="1">
        <v>53</v>
      </c>
      <c r="S208" s="1">
        <v>65</v>
      </c>
      <c r="T208" s="1">
        <v>0</v>
      </c>
      <c r="U208" s="1">
        <f>Games[[#This Row],[PointsFor]]-Games[[#This Row],[PointsAgainst]]</f>
        <v>-12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0.45315087759305128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-11.600618058839709</v>
      </c>
      <c r="AB208" s="4">
        <f>Games[[#This Row],[PreGmRate]]+Games[[#This Row],[RatingChange]]</f>
        <v>1420.6034060568988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41480</v>
      </c>
      <c r="B209" s="2">
        <v>2013</v>
      </c>
      <c r="C209" s="2">
        <f>COUNTIFS(Games[Team],Games[[#This Row],[Team]],Games[Season],Games[[#This Row],[Season]],Games[Date],"&lt;=" &amp; Games[[#This Row],[Date]])</f>
        <v>18</v>
      </c>
      <c r="D209" s="2" t="s">
        <v>83</v>
      </c>
      <c r="E209" s="2" t="s">
        <v>84</v>
      </c>
      <c r="F209" s="1" t="s">
        <v>74</v>
      </c>
      <c r="G209" s="1" t="s">
        <v>60</v>
      </c>
      <c r="H209" s="1" t="s">
        <v>86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3</v>
      </c>
      <c r="L209" s="2">
        <f>Games[[#This Row],[OppDaysOff]]-Games[[#This Row],[DaysOff]]</f>
        <v>-3</v>
      </c>
      <c r="M209" s="1">
        <f>MAX(-16, MIN(16, Games[[#This Row],[RestDiff]]*8))</f>
        <v>16</v>
      </c>
      <c r="N209" s="1">
        <f>MAX(-16, MIN(16, Games[[#This Row],[OppRestDiff]]*8))</f>
        <v>-16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1424.3164114972385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1432.2040241157385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0.6507516779980308</v>
      </c>
      <c r="R209" s="1">
        <v>65</v>
      </c>
      <c r="S209" s="1">
        <v>53</v>
      </c>
      <c r="T209" s="1">
        <v>0</v>
      </c>
      <c r="U209" s="1">
        <f>Games[[#This Row],[PointsFor]]-Games[[#This Row],[PointsAgainst]]</f>
        <v>12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0.45315087759305128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11.600618058839709</v>
      </c>
      <c r="AB209" s="4">
        <f>Games[[#This Row],[PreGmRate]]+Games[[#This Row],[RatingChange]]</f>
        <v>1435.9170295560782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41480</v>
      </c>
      <c r="B210" s="2">
        <v>2013</v>
      </c>
      <c r="C210" s="2">
        <f>COUNTIFS(Games[Team],Games[[#This Row],[Team]],Games[Season],Games[[#This Row],[Season]],Games[Date],"&lt;=" &amp; Games[[#This Row],[Date]])</f>
        <v>17</v>
      </c>
      <c r="D210" s="2" t="s">
        <v>83</v>
      </c>
      <c r="E210" s="2" t="s">
        <v>84</v>
      </c>
      <c r="F210" s="1" t="s">
        <v>69</v>
      </c>
      <c r="G210" s="1" t="s">
        <v>81</v>
      </c>
      <c r="H210" s="1" t="s">
        <v>85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0" s="2">
        <f>Games[[#This Row],[DaysOff]]-Games[[#This Row],[OppDaysOff]]</f>
        <v>-2</v>
      </c>
      <c r="L210" s="2">
        <f>Games[[#This Row],[OppDaysOff]]-Games[[#This Row],[DaysOff]]</f>
        <v>2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1535.2300056166575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1434.2439135813768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0.47840668907415995</v>
      </c>
      <c r="R210" s="1">
        <v>71</v>
      </c>
      <c r="S210" s="1">
        <v>60</v>
      </c>
      <c r="T210" s="1">
        <v>0</v>
      </c>
      <c r="U210" s="1">
        <f>Games[[#This Row],[PointsFor]]-Games[[#This Row],[PointsAgainst]]</f>
        <v>11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0.4056947015347836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73.45</v>
      </c>
      <c r="Z210" s="4">
        <f>Games[[#This Row],[K]]*Games[[#This Row],[POMult]]</f>
        <v>73.45</v>
      </c>
      <c r="AA210" s="4">
        <f>(Games[[#This Row],[Keff]]*Games[[#This Row],[MOVMult]])*(Games[[#This Row],[Result]]-Games[[#This Row],[ExpectedWin%]])</f>
        <v>15.542581348867042</v>
      </c>
      <c r="AB210" s="4">
        <f>Games[[#This Row],[PreGmRate]]+Games[[#This Row],[RatingChange]]</f>
        <v>1550.7725869655246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41480</v>
      </c>
      <c r="B211" s="2">
        <v>2013</v>
      </c>
      <c r="C211" s="2">
        <f>COUNTIFS(Games[Team],Games[[#This Row],[Team]],Games[Season],Games[[#This Row],[Season]],Games[Date],"&lt;=" &amp; Games[[#This Row],[Date]])</f>
        <v>20</v>
      </c>
      <c r="D211" s="2" t="s">
        <v>83</v>
      </c>
      <c r="E211" s="2" t="s">
        <v>84</v>
      </c>
      <c r="F211" s="1" t="s">
        <v>81</v>
      </c>
      <c r="G211" s="1" t="s">
        <v>69</v>
      </c>
      <c r="H211" s="1" t="s">
        <v>86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2</v>
      </c>
      <c r="L211" s="2">
        <f>Games[[#This Row],[OppDaysOff]]-Games[[#This Row],[DaysOff]]</f>
        <v>-2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1434.2439135813768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1535.2300056166575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0.52159331092584005</v>
      </c>
      <c r="R211" s="1">
        <v>60</v>
      </c>
      <c r="S211" s="1">
        <v>71</v>
      </c>
      <c r="T211" s="1">
        <v>0</v>
      </c>
      <c r="U211" s="1">
        <f>Games[[#This Row],[PointsFor]]-Games[[#This Row],[PointsAgainst]]</f>
        <v>-11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0.4056947015347836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</v>
      </c>
      <c r="Z211" s="4">
        <f>Games[[#This Row],[K]]*Games[[#This Row],[POMult]]</f>
        <v>73</v>
      </c>
      <c r="AA211" s="4">
        <f>(Games[[#This Row],[Keff]]*Games[[#This Row],[MOVMult]])*(Games[[#This Row],[Result]]-Games[[#This Row],[ExpectedWin%]])</f>
        <v>-15.447357909697674</v>
      </c>
      <c r="AB211" s="4">
        <f>Games[[#This Row],[PreGmRate]]+Games[[#This Row],[RatingChange]]</f>
        <v>1418.796555671679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41486</v>
      </c>
      <c r="B212" s="2">
        <v>2013</v>
      </c>
      <c r="C212" s="2">
        <f>COUNTIFS(Games[Team],Games[[#This Row],[Team]],Games[Season],Games[[#This Row],[Season]],Games[Date],"&lt;=" &amp; Games[[#This Row],[Date]])</f>
        <v>19</v>
      </c>
      <c r="D212" s="2" t="s">
        <v>83</v>
      </c>
      <c r="E212" s="2" t="s">
        <v>84</v>
      </c>
      <c r="F212" s="1" t="s">
        <v>60</v>
      </c>
      <c r="G212" s="1" t="s">
        <v>65</v>
      </c>
      <c r="H212" s="1" t="s">
        <v>85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2" s="2">
        <f>Games[[#This Row],[DaysOff]]-Games[[#This Row],[OppDaysOff]]</f>
        <v>-1</v>
      </c>
      <c r="L212" s="2">
        <f>Games[[#This Row],[OppDaysOff]]-Games[[#This Row],[DaysOff]]</f>
        <v>1</v>
      </c>
      <c r="M212" s="1">
        <f>MAX(-16, MIN(16, Games[[#This Row],[RestDiff]]*8))</f>
        <v>-8</v>
      </c>
      <c r="N212" s="1">
        <f>MAX(-16, MIN(16, Games[[#This Row],[OppRestDiff]]*8))</f>
        <v>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1420.6034060568988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1436.4720732778712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0.33917033605755159</v>
      </c>
      <c r="R212" s="1">
        <v>88</v>
      </c>
      <c r="S212" s="1">
        <v>78</v>
      </c>
      <c r="T212" s="1">
        <v>0</v>
      </c>
      <c r="U212" s="1">
        <f>Games[[#This Row],[PointsFor]]-Games[[#This Row],[PointsAgainst]]</f>
        <v>10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0.41760730651878952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73.150000000000006</v>
      </c>
      <c r="Z212" s="4">
        <f>Games[[#This Row],[K]]*Games[[#This Row],[POMult]]</f>
        <v>73.150000000000006</v>
      </c>
      <c r="AA212" s="4">
        <f>(Games[[#This Row],[Keff]]*Games[[#This Row],[MOVMult]])*(Games[[#This Row],[Result]]-Games[[#This Row],[ExpectedWin%]])</f>
        <v>20.187007704354773</v>
      </c>
      <c r="AB212" s="4">
        <f>Games[[#This Row],[PreGmRate]]+Games[[#This Row],[RatingChange]]</f>
        <v>1440.7904137612536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41486</v>
      </c>
      <c r="B213" s="2">
        <v>2013</v>
      </c>
      <c r="C213" s="2">
        <f>COUNTIFS(Games[Team],Games[[#This Row],[Team]],Games[Season],Games[[#This Row],[Season]],Games[Date],"&lt;=" &amp; Games[[#This Row],[Date]])</f>
        <v>19</v>
      </c>
      <c r="D213" s="2" t="s">
        <v>83</v>
      </c>
      <c r="E213" s="2" t="s">
        <v>84</v>
      </c>
      <c r="F213" s="1" t="s">
        <v>65</v>
      </c>
      <c r="G213" s="1" t="s">
        <v>60</v>
      </c>
      <c r="H213" s="1" t="s">
        <v>86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3" s="2">
        <f>Games[[#This Row],[DaysOff]]-Games[[#This Row],[OppDaysOff]]</f>
        <v>1</v>
      </c>
      <c r="L213" s="2">
        <f>Games[[#This Row],[OppDaysOff]]-Games[[#This Row],[DaysOff]]</f>
        <v>-1</v>
      </c>
      <c r="M213" s="1">
        <f>MAX(-16, MIN(16, Games[[#This Row],[RestDiff]]*8))</f>
        <v>8</v>
      </c>
      <c r="N213" s="1">
        <f>MAX(-16, MIN(16, Games[[#This Row],[OppRestDiff]]*8))</f>
        <v>-8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1436.4720732778712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1420.6034060568988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0.66082966394244846</v>
      </c>
      <c r="R213" s="1">
        <v>78</v>
      </c>
      <c r="S213" s="1">
        <v>88</v>
      </c>
      <c r="T213" s="1">
        <v>0</v>
      </c>
      <c r="U213" s="1">
        <f>Games[[#This Row],[PointsFor]]-Games[[#This Row],[PointsAgainst]]</f>
        <v>-10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0.41760730651878952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73.150000000000006</v>
      </c>
      <c r="Z213" s="4">
        <f>Games[[#This Row],[K]]*Games[[#This Row],[POMult]]</f>
        <v>73.150000000000006</v>
      </c>
      <c r="AA213" s="4">
        <f>(Games[[#This Row],[Keff]]*Games[[#This Row],[MOVMult]])*(Games[[#This Row],[Result]]-Games[[#This Row],[ExpectedWin%]])</f>
        <v>-20.187007704354773</v>
      </c>
      <c r="AB213" s="4">
        <f>Games[[#This Row],[PreGmRate]]+Games[[#This Row],[RatingChange]]</f>
        <v>1416.2850655735165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41487</v>
      </c>
      <c r="B214" s="2">
        <v>2013</v>
      </c>
      <c r="C214" s="2">
        <f>COUNTIFS(Games[Team],Games[[#This Row],[Team]],Games[Season],Games[[#This Row],[Season]],Games[Date],"&lt;=" &amp; Games[[#This Row],[Date]])</f>
        <v>18</v>
      </c>
      <c r="D214" s="2" t="s">
        <v>83</v>
      </c>
      <c r="E214" s="2" t="s">
        <v>84</v>
      </c>
      <c r="F214" s="1" t="s">
        <v>69</v>
      </c>
      <c r="G214" s="1" t="s">
        <v>76</v>
      </c>
      <c r="H214" s="1" t="s">
        <v>85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14" s="2">
        <f>Games[[#This Row],[DaysOff]]-Games[[#This Row],[OppDaysOff]]</f>
        <v>-1</v>
      </c>
      <c r="L214" s="2">
        <f>Games[[#This Row],[OppDaysOff]]-Games[[#This Row],[DaysOff]]</f>
        <v>1</v>
      </c>
      <c r="M214" s="1">
        <f>MAX(-16, MIN(16, Games[[#This Row],[RestDiff]]*8))</f>
        <v>-8</v>
      </c>
      <c r="N214" s="1">
        <f>MAX(-16, MIN(16, Games[[#This Row],[OppRestDiff]]*8))</f>
        <v>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1550.7725869655246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1425.2332487100145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0.53668800547988493</v>
      </c>
      <c r="R214" s="1">
        <v>64</v>
      </c>
      <c r="S214" s="1">
        <v>70</v>
      </c>
      <c r="T214" s="1">
        <v>0</v>
      </c>
      <c r="U214" s="1">
        <f>Games[[#This Row],[PointsFor]]-Games[[#This Row],[PointsAgainst]]</f>
        <v>-6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0.31801162073692818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-12.510332545784934</v>
      </c>
      <c r="AB214" s="4">
        <f>Games[[#This Row],[PreGmRate]]+Games[[#This Row],[RatingChange]]</f>
        <v>1538.2622544197397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41487</v>
      </c>
      <c r="B215" s="2">
        <v>2013</v>
      </c>
      <c r="C215" s="2">
        <f>COUNTIFS(Games[Team],Games[[#This Row],[Team]],Games[Season],Games[[#This Row],[Season]],Games[Date],"&lt;=" &amp; Games[[#This Row],[Date]])</f>
        <v>17</v>
      </c>
      <c r="D215" s="2" t="s">
        <v>83</v>
      </c>
      <c r="E215" s="2" t="s">
        <v>84</v>
      </c>
      <c r="F215" s="1" t="s">
        <v>76</v>
      </c>
      <c r="G215" s="1" t="s">
        <v>69</v>
      </c>
      <c r="H215" s="1" t="s">
        <v>86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7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5" s="2">
        <f>Games[[#This Row],[DaysOff]]-Games[[#This Row],[OppDaysOff]]</f>
        <v>1</v>
      </c>
      <c r="L215" s="2">
        <f>Games[[#This Row],[OppDaysOff]]-Games[[#This Row],[DaysOff]]</f>
        <v>-1</v>
      </c>
      <c r="M215" s="1">
        <f>MAX(-16, MIN(16, Games[[#This Row],[RestDiff]]*8))</f>
        <v>8</v>
      </c>
      <c r="N215" s="1">
        <f>MAX(-16, MIN(16, Games[[#This Row],[OppRestDiff]]*8))</f>
        <v>-8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1425.2332487100145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1550.7725869655246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0.46331199452011512</v>
      </c>
      <c r="R215" s="1">
        <v>70</v>
      </c>
      <c r="S215" s="1">
        <v>64</v>
      </c>
      <c r="T215" s="1">
        <v>0</v>
      </c>
      <c r="U215" s="1">
        <f>Games[[#This Row],[PointsFor]]-Games[[#This Row],[PointsAgainst]]</f>
        <v>6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0.31801162073692818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73.45</v>
      </c>
      <c r="Z215" s="4">
        <f>Games[[#This Row],[K]]*Games[[#This Row],[POMult]]</f>
        <v>73.45</v>
      </c>
      <c r="AA215" s="4">
        <f>(Games[[#This Row],[Keff]]*Games[[#This Row],[MOVMult]])*(Games[[#This Row],[Result]]-Games[[#This Row],[ExpectedWin%]])</f>
        <v>12.53593349915284</v>
      </c>
      <c r="AB215" s="4">
        <f>Games[[#This Row],[PreGmRate]]+Games[[#This Row],[RatingChange]]</f>
        <v>1437.7691822091674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41487</v>
      </c>
      <c r="B216" s="2">
        <v>2013</v>
      </c>
      <c r="C216" s="2">
        <f>COUNTIFS(Games[Team],Games[[#This Row],[Team]],Games[Season],Games[[#This Row],[Season]],Games[Date],"&lt;=" &amp; Games[[#This Row],[Date]])</f>
        <v>19</v>
      </c>
      <c r="D216" s="2" t="s">
        <v>83</v>
      </c>
      <c r="E216" s="2" t="s">
        <v>84</v>
      </c>
      <c r="F216" s="1" t="s">
        <v>40</v>
      </c>
      <c r="G216" s="1" t="s">
        <v>71</v>
      </c>
      <c r="H216" s="1" t="s">
        <v>85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7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6" s="2">
        <f>Games[[#This Row],[DaysOff]]-Games[[#This Row],[OppDaysOff]]</f>
        <v>1</v>
      </c>
      <c r="L216" s="2">
        <f>Games[[#This Row],[OppDaysOff]]-Games[[#This Row],[DaysOff]]</f>
        <v>-1</v>
      </c>
      <c r="M216" s="1">
        <f>MAX(-16, MIN(16, Games[[#This Row],[RestDiff]]*8))</f>
        <v>8</v>
      </c>
      <c r="N216" s="1">
        <f>MAX(-16, MIN(16, Games[[#This Row],[OppRestDiff]]*8))</f>
        <v>-8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1459.1013221380852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1455.0662778016874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0.40897316412033186</v>
      </c>
      <c r="R216" s="1">
        <v>79</v>
      </c>
      <c r="S216" s="1">
        <v>88</v>
      </c>
      <c r="T216" s="1">
        <v>0</v>
      </c>
      <c r="U216" s="1">
        <f>Games[[#This Row],[PointsFor]]-Games[[#This Row],[PointsAgainst]]</f>
        <v>-9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0.40461100768474079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73.150000000000006</v>
      </c>
      <c r="Z216" s="4">
        <f>Games[[#This Row],[K]]*Games[[#This Row],[POMult]]</f>
        <v>73.150000000000006</v>
      </c>
      <c r="AA216" s="4">
        <f>(Games[[#This Row],[Keff]]*Games[[#This Row],[MOVMult]])*(Games[[#This Row],[Result]]-Games[[#This Row],[ExpectedWin%]])</f>
        <v>-12.10449947231195</v>
      </c>
      <c r="AB216" s="4">
        <f>Games[[#This Row],[PreGmRate]]+Games[[#This Row],[RatingChange]]</f>
        <v>1446.9968226657732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41487</v>
      </c>
      <c r="B217" s="2">
        <v>2013</v>
      </c>
      <c r="C217" s="2">
        <f>COUNTIFS(Games[Team],Games[[#This Row],[Team]],Games[Season],Games[[#This Row],[Season]],Games[Date],"&lt;=" &amp; Games[[#This Row],[Date]])</f>
        <v>18</v>
      </c>
      <c r="D217" s="2" t="s">
        <v>83</v>
      </c>
      <c r="E217" s="2" t="s">
        <v>84</v>
      </c>
      <c r="F217" s="1" t="s">
        <v>71</v>
      </c>
      <c r="G217" s="1" t="s">
        <v>40</v>
      </c>
      <c r="H217" s="1" t="s">
        <v>86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17" s="2">
        <f>Games[[#This Row],[DaysOff]]-Games[[#This Row],[OppDaysOff]]</f>
        <v>-1</v>
      </c>
      <c r="L217" s="2">
        <f>Games[[#This Row],[OppDaysOff]]-Games[[#This Row],[DaysOff]]</f>
        <v>1</v>
      </c>
      <c r="M217" s="1">
        <f>MAX(-16, MIN(16, Games[[#This Row],[RestDiff]]*8))</f>
        <v>-8</v>
      </c>
      <c r="N217" s="1">
        <f>MAX(-16, MIN(16, Games[[#This Row],[OppRestDiff]]*8))</f>
        <v>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1455.0662778016874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1459.1013221380852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0.5910268358796682</v>
      </c>
      <c r="R217" s="1">
        <v>88</v>
      </c>
      <c r="S217" s="1">
        <v>79</v>
      </c>
      <c r="T217" s="1">
        <v>0</v>
      </c>
      <c r="U217" s="1">
        <f>Games[[#This Row],[PointsFor]]-Games[[#This Row],[PointsAgainst]]</f>
        <v>9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0.40461100768474079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73.3</v>
      </c>
      <c r="Z217" s="4">
        <f>Games[[#This Row],[K]]*Games[[#This Row],[POMult]]</f>
        <v>73.3</v>
      </c>
      <c r="AA217" s="4">
        <f>(Games[[#This Row],[Keff]]*Games[[#This Row],[MOVMult]])*(Games[[#This Row],[Result]]-Games[[#This Row],[ExpectedWin%]])</f>
        <v>12.129320728919557</v>
      </c>
      <c r="AB217" s="4">
        <f>Games[[#This Row],[PreGmRate]]+Games[[#This Row],[RatingChange]]</f>
        <v>1467.195598530607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41488</v>
      </c>
      <c r="B218" s="2">
        <v>2013</v>
      </c>
      <c r="C218" s="2">
        <f>COUNTIFS(Games[Team],Games[[#This Row],[Team]],Games[Season],Games[[#This Row],[Season]],Games[Date],"&lt;=" &amp; Games[[#This Row],[Date]])</f>
        <v>20</v>
      </c>
      <c r="D218" s="2" t="s">
        <v>83</v>
      </c>
      <c r="E218" s="2" t="s">
        <v>84</v>
      </c>
      <c r="F218" s="1" t="s">
        <v>65</v>
      </c>
      <c r="G218" s="1" t="s">
        <v>77</v>
      </c>
      <c r="H218" s="1" t="s">
        <v>85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18" s="2">
        <f>Games[[#This Row],[DaysOff]]-Games[[#This Row],[OppDaysOff]]</f>
        <v>-7</v>
      </c>
      <c r="L218" s="2">
        <f>Games[[#This Row],[OppDaysOff]]-Games[[#This Row],[DaysOff]]</f>
        <v>7</v>
      </c>
      <c r="M218" s="1">
        <f>MAX(-16, MIN(16, Games[[#This Row],[RestDiff]]*8))</f>
        <v>-16</v>
      </c>
      <c r="N218" s="1">
        <f>MAX(-16, MIN(16, Games[[#This Row],[OppRestDiff]]*8))</f>
        <v>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1416.2850655735165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1575.646942732008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0.17007294419867225</v>
      </c>
      <c r="R218" s="1">
        <v>78</v>
      </c>
      <c r="S218" s="1">
        <v>85</v>
      </c>
      <c r="T218" s="1">
        <v>0</v>
      </c>
      <c r="U218" s="1">
        <f>Games[[#This Row],[PointsFor]]-Games[[#This Row],[PointsAgainst]]</f>
        <v>-7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0.32671845109630204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</v>
      </c>
      <c r="Z218" s="4">
        <f>Games[[#This Row],[K]]*Games[[#This Row],[POMult]]</f>
        <v>73</v>
      </c>
      <c r="AA218" s="4">
        <f>(Games[[#This Row],[Keff]]*Games[[#This Row],[MOVMult]])*(Games[[#This Row],[Result]]-Games[[#This Row],[ExpectedWin%]])</f>
        <v>-4.0563157298443944</v>
      </c>
      <c r="AB218" s="4">
        <f>Games[[#This Row],[PreGmRate]]+Games[[#This Row],[RatingChange]]</f>
        <v>1412.2287498436722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41488</v>
      </c>
      <c r="B219" s="2">
        <v>2013</v>
      </c>
      <c r="C219" s="2">
        <f>COUNTIFS(Games[Team],Games[[#This Row],[Team]],Games[Season],Games[[#This Row],[Season]],Games[Date],"&lt;=" &amp; Games[[#This Row],[Date]])</f>
        <v>18</v>
      </c>
      <c r="D219" s="2" t="s">
        <v>83</v>
      </c>
      <c r="E219" s="2" t="s">
        <v>84</v>
      </c>
      <c r="F219" s="1" t="s">
        <v>77</v>
      </c>
      <c r="G219" s="1" t="s">
        <v>65</v>
      </c>
      <c r="H219" s="1" t="s">
        <v>86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8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7</v>
      </c>
      <c r="L219" s="2">
        <f>Games[[#This Row],[OppDaysOff]]-Games[[#This Row],[DaysOff]]</f>
        <v>-7</v>
      </c>
      <c r="M219" s="1">
        <f>MAX(-16, MIN(16, Games[[#This Row],[RestDiff]]*8))</f>
        <v>16</v>
      </c>
      <c r="N219" s="1">
        <f>MAX(-16, MIN(16, Games[[#This Row],[OppRestDiff]]*8))</f>
        <v>-16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1575.646942732008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1416.2850655735165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0.82992705580132775</v>
      </c>
      <c r="R219" s="1">
        <v>85</v>
      </c>
      <c r="S219" s="1">
        <v>78</v>
      </c>
      <c r="T219" s="1">
        <v>0</v>
      </c>
      <c r="U219" s="1">
        <f>Games[[#This Row],[PointsFor]]-Games[[#This Row],[PointsAgainst]]</f>
        <v>7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0.32671845109630204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4.0729855205149876</v>
      </c>
      <c r="AB219" s="4">
        <f>Games[[#This Row],[PreGmRate]]+Games[[#This Row],[RatingChange]]</f>
        <v>1579.719928252523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41488</v>
      </c>
      <c r="B220" s="2">
        <v>2013</v>
      </c>
      <c r="C220" s="2">
        <f>COUNTIFS(Games[Team],Games[[#This Row],[Team]],Games[Season],Games[[#This Row],[Season]],Games[Date],"&lt;=" &amp; Games[[#This Row],[Date]])</f>
        <v>19</v>
      </c>
      <c r="D220" s="2" t="s">
        <v>83</v>
      </c>
      <c r="E220" s="2" t="s">
        <v>84</v>
      </c>
      <c r="F220" s="1" t="s">
        <v>74</v>
      </c>
      <c r="G220" s="1" t="s">
        <v>67</v>
      </c>
      <c r="H220" s="1" t="s">
        <v>85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20" s="2">
        <f>Games[[#This Row],[DaysOff]]-Games[[#This Row],[OppDaysOff]]</f>
        <v>-1</v>
      </c>
      <c r="L220" s="2">
        <f>Games[[#This Row],[OppDaysOff]]-Games[[#This Row],[DaysOff]]</f>
        <v>1</v>
      </c>
      <c r="M220" s="1">
        <f>MAX(-16, MIN(16, Games[[#This Row],[RestDiff]]*8))</f>
        <v>-8</v>
      </c>
      <c r="N220" s="1">
        <f>MAX(-16, MIN(16, Games[[#This Row],[OppRestDiff]]*8))</f>
        <v>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1435.9170295560782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1666.2447702606569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0.1299366129442919</v>
      </c>
      <c r="R220" s="1">
        <v>63</v>
      </c>
      <c r="S220" s="1">
        <v>85</v>
      </c>
      <c r="T220" s="1">
        <v>0</v>
      </c>
      <c r="U220" s="1">
        <f>Games[[#This Row],[PointsFor]]-Games[[#This Row],[PointsAgainst]]</f>
        <v>-22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0.50510619700930959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-4.8009653226715043</v>
      </c>
      <c r="AB220" s="4">
        <f>Games[[#This Row],[PreGmRate]]+Games[[#This Row],[RatingChange]]</f>
        <v>1431.1160642334066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41488</v>
      </c>
      <c r="B221" s="2">
        <v>2013</v>
      </c>
      <c r="C221" s="2">
        <f>COUNTIFS(Games[Team],Games[[#This Row],[Team]],Games[Season],Games[[#This Row],[Season]],Games[Date],"&lt;=" &amp; Games[[#This Row],[Date]])</f>
        <v>18</v>
      </c>
      <c r="D221" s="2" t="s">
        <v>83</v>
      </c>
      <c r="E221" s="2" t="s">
        <v>84</v>
      </c>
      <c r="F221" s="1" t="s">
        <v>67</v>
      </c>
      <c r="G221" s="1" t="s">
        <v>74</v>
      </c>
      <c r="H221" s="1" t="s">
        <v>86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8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1" s="2">
        <f>Games[[#This Row],[DaysOff]]-Games[[#This Row],[OppDaysOff]]</f>
        <v>1</v>
      </c>
      <c r="L221" s="2">
        <f>Games[[#This Row],[OppDaysOff]]-Games[[#This Row],[DaysOff]]</f>
        <v>-1</v>
      </c>
      <c r="M221" s="1">
        <f>MAX(-16, MIN(16, Games[[#This Row],[RestDiff]]*8))</f>
        <v>8</v>
      </c>
      <c r="N221" s="1">
        <f>MAX(-16, MIN(16, Games[[#This Row],[OppRestDiff]]*8))</f>
        <v>-8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1666.2447702606569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1435.9170295560782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0.87006338705570807</v>
      </c>
      <c r="R221" s="1">
        <v>85</v>
      </c>
      <c r="S221" s="1">
        <v>63</v>
      </c>
      <c r="T221" s="1">
        <v>0</v>
      </c>
      <c r="U221" s="1">
        <f>Games[[#This Row],[PointsFor]]-Games[[#This Row],[PointsAgainst]]</f>
        <v>22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0.50510619700930959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4.8108100909339893</v>
      </c>
      <c r="AB221" s="4">
        <f>Games[[#This Row],[PreGmRate]]+Games[[#This Row],[RatingChange]]</f>
        <v>1671.0555803515908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41488</v>
      </c>
      <c r="B222" s="2">
        <v>2013</v>
      </c>
      <c r="C222" s="2">
        <f>COUNTIFS(Games[Team],Games[[#This Row],[Team]],Games[Season],Games[[#This Row],[Season]],Games[Date],"&lt;=" &amp; Games[[#This Row],[Date]])</f>
        <v>19</v>
      </c>
      <c r="D222" s="2" t="s">
        <v>83</v>
      </c>
      <c r="E222" s="2" t="s">
        <v>84</v>
      </c>
      <c r="F222" s="1" t="s">
        <v>63</v>
      </c>
      <c r="G222" s="1" t="s">
        <v>81</v>
      </c>
      <c r="H222" s="1" t="s">
        <v>85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1604.1400865863734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1418.796555671679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0.6418448324092848</v>
      </c>
      <c r="R222" s="1">
        <v>89</v>
      </c>
      <c r="S222" s="1">
        <v>96</v>
      </c>
      <c r="T222" s="1">
        <v>0</v>
      </c>
      <c r="U222" s="1">
        <f>Games[[#This Row],[PointsFor]]-Games[[#This Row],[PointsAgainst]]</f>
        <v>-7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0.32059095601460041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-15.052049783029291</v>
      </c>
      <c r="AB222" s="4">
        <f>Games[[#This Row],[PreGmRate]]+Games[[#This Row],[RatingChange]]</f>
        <v>1589.088036803344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41488</v>
      </c>
      <c r="B223" s="2">
        <v>2013</v>
      </c>
      <c r="C223" s="2">
        <f>COUNTIFS(Games[Team],Games[[#This Row],[Team]],Games[Season],Games[[#This Row],[Season]],Games[Date],"&lt;=" &amp; Games[[#This Row],[Date]])</f>
        <v>21</v>
      </c>
      <c r="D223" s="2" t="s">
        <v>83</v>
      </c>
      <c r="E223" s="2" t="s">
        <v>84</v>
      </c>
      <c r="F223" s="1" t="s">
        <v>81</v>
      </c>
      <c r="G223" s="1" t="s">
        <v>63</v>
      </c>
      <c r="H223" s="1" t="s">
        <v>86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1418.796555671679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1604.1400865863734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0.35815516759071508</v>
      </c>
      <c r="R223" s="1">
        <v>96</v>
      </c>
      <c r="S223" s="1">
        <v>89</v>
      </c>
      <c r="T223" s="1">
        <v>0</v>
      </c>
      <c r="U223" s="1">
        <f>Games[[#This Row],[PointsFor]]-Games[[#This Row],[PointsAgainst]]</f>
        <v>7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0.32059095601460041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72.849999999999994</v>
      </c>
      <c r="Z223" s="4">
        <f>Games[[#This Row],[K]]*Games[[#This Row],[POMult]]</f>
        <v>72.849999999999994</v>
      </c>
      <c r="AA223" s="4">
        <f>(Games[[#This Row],[Keff]]*Games[[#This Row],[MOVMult]])*(Games[[#This Row],[Result]]-Games[[#This Row],[ExpectedWin%]])</f>
        <v>14.990318888498756</v>
      </c>
      <c r="AB223" s="4">
        <f>Games[[#This Row],[PreGmRate]]+Games[[#This Row],[RatingChange]]</f>
        <v>1433.7868745601777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41489</v>
      </c>
      <c r="B224" s="2">
        <v>2013</v>
      </c>
      <c r="C224" s="2">
        <f>COUNTIFS(Games[Team],Games[[#This Row],[Team]],Games[Season],Games[[#This Row],[Season]],Games[Date],"&lt;=" &amp; Games[[#This Row],[Date]])</f>
        <v>19</v>
      </c>
      <c r="D224" s="2" t="s">
        <v>83</v>
      </c>
      <c r="E224" s="2" t="s">
        <v>84</v>
      </c>
      <c r="F224" s="1" t="s">
        <v>77</v>
      </c>
      <c r="G224" s="1" t="s">
        <v>69</v>
      </c>
      <c r="H224" s="1" t="s">
        <v>85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1579.719928252523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1538.2622544197397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0.41653919392041344</v>
      </c>
      <c r="R224" s="1">
        <v>58</v>
      </c>
      <c r="S224" s="1">
        <v>79</v>
      </c>
      <c r="T224" s="1">
        <v>0</v>
      </c>
      <c r="U224" s="1">
        <f>Games[[#This Row],[PointsFor]]-Games[[#This Row],[PointsAgainst]]</f>
        <v>-21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0.56892116599056741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-17.334938058258903</v>
      </c>
      <c r="AB224" s="4">
        <f>Games[[#This Row],[PreGmRate]]+Games[[#This Row],[RatingChange]]</f>
        <v>1562.384990194264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41489</v>
      </c>
      <c r="B225" s="2">
        <v>2013</v>
      </c>
      <c r="C225" s="2">
        <f>COUNTIFS(Games[Team],Games[[#This Row],[Team]],Games[Season],Games[[#This Row],[Season]],Games[Date],"&lt;=" &amp; Games[[#This Row],[Date]])</f>
        <v>19</v>
      </c>
      <c r="D225" s="2" t="s">
        <v>83</v>
      </c>
      <c r="E225" s="2" t="s">
        <v>84</v>
      </c>
      <c r="F225" s="1" t="s">
        <v>69</v>
      </c>
      <c r="G225" s="1" t="s">
        <v>77</v>
      </c>
      <c r="H225" s="1" t="s">
        <v>86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1538.2622544197397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1579.719928252523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0.58346080607958661</v>
      </c>
      <c r="R225" s="1">
        <v>79</v>
      </c>
      <c r="S225" s="1">
        <v>58</v>
      </c>
      <c r="T225" s="1">
        <v>0</v>
      </c>
      <c r="U225" s="1">
        <f>Games[[#This Row],[PointsFor]]-Games[[#This Row],[PointsAgainst]]</f>
        <v>21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0.56892116599056741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73.150000000000006</v>
      </c>
      <c r="Z225" s="4">
        <f>Games[[#This Row],[K]]*Games[[#This Row],[POMult]]</f>
        <v>73.150000000000006</v>
      </c>
      <c r="AA225" s="4">
        <f>(Games[[#This Row],[Keff]]*Games[[#This Row],[MOVMult]])*(Games[[#This Row],[Result]]-Games[[#This Row],[ExpectedWin%]])</f>
        <v>17.334938058258899</v>
      </c>
      <c r="AB225" s="4">
        <f>Games[[#This Row],[PreGmRate]]+Games[[#This Row],[RatingChange]]</f>
        <v>1555.5971924779988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41489</v>
      </c>
      <c r="B226" s="2">
        <v>2013</v>
      </c>
      <c r="C226" s="2">
        <f>COUNTIFS(Games[Team],Games[[#This Row],[Team]],Games[Season],Games[[#This Row],[Season]],Games[Date],"&lt;=" &amp; Games[[#This Row],[Date]])</f>
        <v>18</v>
      </c>
      <c r="D226" s="2" t="s">
        <v>83</v>
      </c>
      <c r="E226" s="2" t="s">
        <v>84</v>
      </c>
      <c r="F226" s="1" t="s">
        <v>76</v>
      </c>
      <c r="G226" s="1" t="s">
        <v>60</v>
      </c>
      <c r="H226" s="1" t="s">
        <v>85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6" s="2">
        <f>Games[[#This Row],[DaysOff]]-Games[[#This Row],[OppDaysOff]]</f>
        <v>-1</v>
      </c>
      <c r="L226" s="2">
        <f>Games[[#This Row],[OppDaysOff]]-Games[[#This Row],[DaysOff]]</f>
        <v>1</v>
      </c>
      <c r="M226" s="1">
        <f>MAX(-16, MIN(16, Games[[#This Row],[RestDiff]]*8))</f>
        <v>-8</v>
      </c>
      <c r="N226" s="1">
        <f>MAX(-16, MIN(16, Games[[#This Row],[OppRestDiff]]*8))</f>
        <v>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1437.7691822091674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1440.7904137612536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0.35593812752883192</v>
      </c>
      <c r="R226" s="1">
        <v>88</v>
      </c>
      <c r="S226" s="1">
        <v>66</v>
      </c>
      <c r="T226" s="1">
        <v>0</v>
      </c>
      <c r="U226" s="1">
        <f>Games[[#This Row],[PointsFor]]-Games[[#This Row],[PointsAgainst]]</f>
        <v>22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0.60054418545224786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73.3</v>
      </c>
      <c r="Z226" s="4">
        <f>Games[[#This Row],[K]]*Games[[#This Row],[POMult]]</f>
        <v>73.3</v>
      </c>
      <c r="AA226" s="4">
        <f>(Games[[#This Row],[Keff]]*Games[[#This Row],[MOVMult]])*(Games[[#This Row],[Result]]-Games[[#This Row],[ExpectedWin%]])</f>
        <v>28.351532002410661</v>
      </c>
      <c r="AB226" s="4">
        <f>Games[[#This Row],[PreGmRate]]+Games[[#This Row],[RatingChange]]</f>
        <v>1466.1207142115782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41489</v>
      </c>
      <c r="B227" s="2">
        <v>2013</v>
      </c>
      <c r="C227" s="2">
        <f>COUNTIFS(Games[Team],Games[[#This Row],[Team]],Games[Season],Games[[#This Row],[Season]],Games[Date],"&lt;=" &amp; Games[[#This Row],[Date]])</f>
        <v>20</v>
      </c>
      <c r="D227" s="2" t="s">
        <v>83</v>
      </c>
      <c r="E227" s="2" t="s">
        <v>84</v>
      </c>
      <c r="F227" s="1" t="s">
        <v>60</v>
      </c>
      <c r="G227" s="1" t="s">
        <v>76</v>
      </c>
      <c r="H227" s="1" t="s">
        <v>86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1</v>
      </c>
      <c r="L227" s="2">
        <f>Games[[#This Row],[OppDaysOff]]-Games[[#This Row],[DaysOff]]</f>
        <v>-1</v>
      </c>
      <c r="M227" s="1">
        <f>MAX(-16, MIN(16, Games[[#This Row],[RestDiff]]*8))</f>
        <v>8</v>
      </c>
      <c r="N227" s="1">
        <f>MAX(-16, MIN(16, Games[[#This Row],[OppRestDiff]]*8))</f>
        <v>-8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1440.7904137612536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1437.7691822091674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0.6440618724711682</v>
      </c>
      <c r="R227" s="1">
        <v>66</v>
      </c>
      <c r="S227" s="1">
        <v>88</v>
      </c>
      <c r="T227" s="1">
        <v>0</v>
      </c>
      <c r="U227" s="1">
        <f>Games[[#This Row],[PointsFor]]-Games[[#This Row],[PointsAgainst]]</f>
        <v>-22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0.60054418545224786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</v>
      </c>
      <c r="Z227" s="4">
        <f>Games[[#This Row],[K]]*Games[[#This Row],[POMult]]</f>
        <v>73</v>
      </c>
      <c r="AA227" s="4">
        <f>(Games[[#This Row],[Keff]]*Games[[#This Row],[MOVMult]])*(Games[[#This Row],[Result]]-Games[[#This Row],[ExpectedWin%]])</f>
        <v>-28.235495718635448</v>
      </c>
      <c r="AB227" s="4">
        <f>Games[[#This Row],[PreGmRate]]+Games[[#This Row],[RatingChange]]</f>
        <v>1412.5549180426181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41489</v>
      </c>
      <c r="B228" s="2">
        <v>2013</v>
      </c>
      <c r="C228" s="2">
        <f>COUNTIFS(Games[Team],Games[[#This Row],[Team]],Games[Season],Games[[#This Row],[Season]],Games[Date],"&lt;=" &amp; Games[[#This Row],[Date]])</f>
        <v>17</v>
      </c>
      <c r="D228" s="2" t="s">
        <v>83</v>
      </c>
      <c r="E228" s="2" t="s">
        <v>84</v>
      </c>
      <c r="F228" s="1" t="s">
        <v>79</v>
      </c>
      <c r="G228" s="1" t="s">
        <v>40</v>
      </c>
      <c r="H228" s="1" t="s">
        <v>85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9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8</v>
      </c>
      <c r="L228" s="2">
        <f>Games[[#This Row],[OppDaysOff]]-Games[[#This Row],[DaysOff]]</f>
        <v>-8</v>
      </c>
      <c r="M228" s="1">
        <f>MAX(-16, MIN(16, Games[[#This Row],[RestDiff]]*8))</f>
        <v>16</v>
      </c>
      <c r="N228" s="1">
        <f>MAX(-16, MIN(16, Games[[#This Row],[OppRestDiff]]*8))</f>
        <v>-16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1556.1787711772056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1446.9968226657732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0.58155637848855934</v>
      </c>
      <c r="R228" s="1">
        <v>76</v>
      </c>
      <c r="S228" s="1">
        <v>82</v>
      </c>
      <c r="T228" s="1">
        <v>0</v>
      </c>
      <c r="U228" s="1">
        <f>Games[[#This Row],[PointsFor]]-Games[[#This Row],[PointsAgainst]]</f>
        <v>-6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0.32198497220992572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73.45</v>
      </c>
      <c r="Z228" s="4">
        <f>Games[[#This Row],[K]]*Games[[#This Row],[POMult]]</f>
        <v>73.45</v>
      </c>
      <c r="AA228" s="4">
        <f>(Games[[#This Row],[Keff]]*Games[[#This Row],[MOVMult]])*(Games[[#This Row],[Result]]-Games[[#This Row],[ExpectedWin%]])</f>
        <v>-13.753689835193263</v>
      </c>
      <c r="AB228" s="4">
        <f>Games[[#This Row],[PreGmRate]]+Games[[#This Row],[RatingChange]]</f>
        <v>1542.4250813420124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41489</v>
      </c>
      <c r="B229" s="2">
        <v>2013</v>
      </c>
      <c r="C229" s="2">
        <f>COUNTIFS(Games[Team],Games[[#This Row],[Team]],Games[Season],Games[[#This Row],[Season]],Games[Date],"&lt;=" &amp; Games[[#This Row],[Date]])</f>
        <v>20</v>
      </c>
      <c r="D229" s="2" t="s">
        <v>83</v>
      </c>
      <c r="E229" s="2" t="s">
        <v>84</v>
      </c>
      <c r="F229" s="1" t="s">
        <v>40</v>
      </c>
      <c r="G229" s="1" t="s">
        <v>79</v>
      </c>
      <c r="H229" s="1" t="s">
        <v>86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229" s="2">
        <f>Games[[#This Row],[DaysOff]]-Games[[#This Row],[OppDaysOff]]</f>
        <v>-8</v>
      </c>
      <c r="L229" s="2">
        <f>Games[[#This Row],[OppDaysOff]]-Games[[#This Row],[DaysOff]]</f>
        <v>8</v>
      </c>
      <c r="M229" s="1">
        <f>MAX(-16, MIN(16, Games[[#This Row],[RestDiff]]*8))</f>
        <v>-16</v>
      </c>
      <c r="N229" s="1">
        <f>MAX(-16, MIN(16, Games[[#This Row],[OppRestDiff]]*8))</f>
        <v>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1446.9968226657732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1556.1787711772056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0.4184436215114406</v>
      </c>
      <c r="R229" s="1">
        <v>82</v>
      </c>
      <c r="S229" s="1">
        <v>76</v>
      </c>
      <c r="T229" s="1">
        <v>0</v>
      </c>
      <c r="U229" s="1">
        <f>Games[[#This Row],[PointsFor]]-Games[[#This Row],[PointsAgainst]]</f>
        <v>6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0.32198497220992572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</v>
      </c>
      <c r="Z229" s="4">
        <f>Games[[#This Row],[K]]*Games[[#This Row],[POMult]]</f>
        <v>73</v>
      </c>
      <c r="AA229" s="4">
        <f>(Games[[#This Row],[Keff]]*Games[[#This Row],[MOVMult]])*(Games[[#This Row],[Result]]-Games[[#This Row],[ExpectedWin%]])</f>
        <v>13.669426248728501</v>
      </c>
      <c r="AB229" s="4">
        <f>Games[[#This Row],[PreGmRate]]+Games[[#This Row],[RatingChange]]</f>
        <v>1460.6662489145017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41490</v>
      </c>
      <c r="B230" s="2">
        <v>2013</v>
      </c>
      <c r="C230" s="2">
        <f>COUNTIFS(Games[Team],Games[[#This Row],[Team]],Games[Season],Games[[#This Row],[Season]],Games[Date],"&lt;=" &amp; Games[[#This Row],[Date]])</f>
        <v>19</v>
      </c>
      <c r="D230" s="2" t="s">
        <v>83</v>
      </c>
      <c r="E230" s="2" t="s">
        <v>84</v>
      </c>
      <c r="F230" s="1" t="s">
        <v>71</v>
      </c>
      <c r="G230" s="1" t="s">
        <v>67</v>
      </c>
      <c r="H230" s="1" t="s">
        <v>85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1</v>
      </c>
      <c r="L230" s="2">
        <f>Games[[#This Row],[OppDaysOff]]-Games[[#This Row],[DaysOff]]</f>
        <v>-1</v>
      </c>
      <c r="M230" s="1">
        <f>MAX(-16, MIN(16, Games[[#This Row],[RestDiff]]*8))</f>
        <v>8</v>
      </c>
      <c r="N230" s="1">
        <f>MAX(-16, MIN(16, Games[[#This Row],[OppRestDiff]]*8))</f>
        <v>-8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1467.195598530607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1671.0555803515908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0.17293723613526671</v>
      </c>
      <c r="R230" s="1">
        <v>72</v>
      </c>
      <c r="S230" s="1">
        <v>90</v>
      </c>
      <c r="T230" s="1">
        <v>0</v>
      </c>
      <c r="U230" s="1">
        <f>Games[[#This Row],[PointsFor]]-Games[[#This Row],[PointsAgainst]]</f>
        <v>-18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0.46742604465468851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-5.9131071882352098</v>
      </c>
      <c r="AB230" s="4">
        <f>Games[[#This Row],[PreGmRate]]+Games[[#This Row],[RatingChange]]</f>
        <v>1461.2824913423717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41490</v>
      </c>
      <c r="B231" s="2">
        <v>2013</v>
      </c>
      <c r="C231" s="2">
        <f>COUNTIFS(Games[Team],Games[[#This Row],[Team]],Games[Season],Games[[#This Row],[Season]],Games[Date],"&lt;=" &amp; Games[[#This Row],[Date]])</f>
        <v>19</v>
      </c>
      <c r="D231" s="2" t="s">
        <v>83</v>
      </c>
      <c r="E231" s="2" t="s">
        <v>84</v>
      </c>
      <c r="F231" s="1" t="s">
        <v>67</v>
      </c>
      <c r="G231" s="1" t="s">
        <v>71</v>
      </c>
      <c r="H231" s="1" t="s">
        <v>86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1" s="2">
        <f>Games[[#This Row],[DaysOff]]-Games[[#This Row],[OppDaysOff]]</f>
        <v>-1</v>
      </c>
      <c r="L231" s="2">
        <f>Games[[#This Row],[OppDaysOff]]-Games[[#This Row],[DaysOff]]</f>
        <v>1</v>
      </c>
      <c r="M231" s="1">
        <f>MAX(-16, MIN(16, Games[[#This Row],[RestDiff]]*8))</f>
        <v>-8</v>
      </c>
      <c r="N231" s="1">
        <f>MAX(-16, MIN(16, Games[[#This Row],[OppRestDiff]]*8))</f>
        <v>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1671.0555803515908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1467.195598530607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0.82706276386473332</v>
      </c>
      <c r="R231" s="1">
        <v>90</v>
      </c>
      <c r="S231" s="1">
        <v>72</v>
      </c>
      <c r="T231" s="1">
        <v>0</v>
      </c>
      <c r="U231" s="1">
        <f>Games[[#This Row],[PointsFor]]-Games[[#This Row],[PointsAgainst]]</f>
        <v>18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0.46742604465468851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5.9131071882352089</v>
      </c>
      <c r="AB231" s="4">
        <f>Games[[#This Row],[PreGmRate]]+Games[[#This Row],[RatingChange]]</f>
        <v>1676.9686875398261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41490</v>
      </c>
      <c r="B232" s="2">
        <v>2013</v>
      </c>
      <c r="C232" s="2">
        <f>COUNTIFS(Games[Team],Games[[#This Row],[Team]],Games[Season],Games[[#This Row],[Season]],Games[Date],"&lt;=" &amp; Games[[#This Row],[Date]])</f>
        <v>22</v>
      </c>
      <c r="D232" s="2" t="s">
        <v>83</v>
      </c>
      <c r="E232" s="2" t="s">
        <v>84</v>
      </c>
      <c r="F232" s="1" t="s">
        <v>81</v>
      </c>
      <c r="G232" s="1" t="s">
        <v>74</v>
      </c>
      <c r="H232" s="1" t="s">
        <v>85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1433.7868745601777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1431.1160642334066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0.38504983857934338</v>
      </c>
      <c r="R232" s="1">
        <v>65</v>
      </c>
      <c r="S232" s="1">
        <v>69</v>
      </c>
      <c r="T232" s="1">
        <v>0</v>
      </c>
      <c r="U232" s="1">
        <f>Games[[#This Row],[PointsFor]]-Games[[#This Row],[PointsAgainst]]</f>
        <v>-4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0.31074112606351029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72.7</v>
      </c>
      <c r="Z232" s="4">
        <f>Games[[#This Row],[K]]*Games[[#This Row],[POMult]]</f>
        <v>72.7</v>
      </c>
      <c r="AA232" s="4">
        <f>(Games[[#This Row],[Keff]]*Games[[#This Row],[MOVMult]])*(Games[[#This Row],[Result]]-Games[[#This Row],[ExpectedWin%]])</f>
        <v>-8.6986146453132012</v>
      </c>
      <c r="AB232" s="4">
        <f>Games[[#This Row],[PreGmRate]]+Games[[#This Row],[RatingChange]]</f>
        <v>1425.0882599148645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41490</v>
      </c>
      <c r="B233" s="2">
        <v>2013</v>
      </c>
      <c r="C233" s="2">
        <f>COUNTIFS(Games[Team],Games[[#This Row],[Team]],Games[Season],Games[[#This Row],[Season]],Games[Date],"&lt;=" &amp; Games[[#This Row],[Date]])</f>
        <v>20</v>
      </c>
      <c r="D233" s="2" t="s">
        <v>83</v>
      </c>
      <c r="E233" s="2" t="s">
        <v>84</v>
      </c>
      <c r="F233" s="1" t="s">
        <v>74</v>
      </c>
      <c r="G233" s="1" t="s">
        <v>81</v>
      </c>
      <c r="H233" s="1" t="s">
        <v>86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1431.1160642334066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1433.7868745601777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0.6149501614206565</v>
      </c>
      <c r="R233" s="1">
        <v>69</v>
      </c>
      <c r="S233" s="1">
        <v>65</v>
      </c>
      <c r="T233" s="1">
        <v>0</v>
      </c>
      <c r="U233" s="1">
        <f>Games[[#This Row],[PointsFor]]-Games[[#This Row],[PointsAgainst]]</f>
        <v>4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0.31074112606351029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8.7345098914424177</v>
      </c>
      <c r="AB233" s="4">
        <f>Games[[#This Row],[PreGmRate]]+Games[[#This Row],[RatingChange]]</f>
        <v>1439.8505741248491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41490</v>
      </c>
      <c r="B234" s="2">
        <v>2013</v>
      </c>
      <c r="C234" s="2">
        <f>COUNTIFS(Games[Team],Games[[#This Row],[Team]],Games[Season],Games[[#This Row],[Season]],Games[Date],"&lt;=" &amp; Games[[#This Row],[Date]])</f>
        <v>20</v>
      </c>
      <c r="D234" s="2" t="s">
        <v>83</v>
      </c>
      <c r="E234" s="2" t="s">
        <v>84</v>
      </c>
      <c r="F234" s="1" t="s">
        <v>63</v>
      </c>
      <c r="G234" s="1" t="s">
        <v>65</v>
      </c>
      <c r="H234" s="1" t="s">
        <v>85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1589.088036803344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1412.2287498436722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0.63054160969458584</v>
      </c>
      <c r="R234" s="1">
        <v>75</v>
      </c>
      <c r="S234" s="1">
        <v>57</v>
      </c>
      <c r="T234" s="1">
        <v>0</v>
      </c>
      <c r="U234" s="1">
        <f>Games[[#This Row],[PointsFor]]-Games[[#This Row],[PointsAgainst]]</f>
        <v>18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0.47659243378499694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12.85391835950996</v>
      </c>
      <c r="AB234" s="4">
        <f>Games[[#This Row],[PreGmRate]]+Games[[#This Row],[RatingChange]]</f>
        <v>1601.9419551628539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41490</v>
      </c>
      <c r="B235" s="2">
        <v>2013</v>
      </c>
      <c r="C235" s="2">
        <f>COUNTIFS(Games[Team],Games[[#This Row],[Team]],Games[Season],Games[[#This Row],[Season]],Games[Date],"&lt;=" &amp; Games[[#This Row],[Date]])</f>
        <v>21</v>
      </c>
      <c r="D235" s="2" t="s">
        <v>83</v>
      </c>
      <c r="E235" s="2" t="s">
        <v>84</v>
      </c>
      <c r="F235" s="1" t="s">
        <v>65</v>
      </c>
      <c r="G235" s="1" t="s">
        <v>63</v>
      </c>
      <c r="H235" s="1" t="s">
        <v>86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1412.2287498436722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1589.088036803344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0.36945839030541405</v>
      </c>
      <c r="R235" s="1">
        <v>57</v>
      </c>
      <c r="S235" s="1">
        <v>75</v>
      </c>
      <c r="T235" s="1">
        <v>0</v>
      </c>
      <c r="U235" s="1">
        <f>Games[[#This Row],[PointsFor]]-Games[[#This Row],[PointsAgainst]]</f>
        <v>-18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0.47659243378499694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72.849999999999994</v>
      </c>
      <c r="Z235" s="4">
        <f>Games[[#This Row],[K]]*Games[[#This Row],[POMult]]</f>
        <v>72.849999999999994</v>
      </c>
      <c r="AA235" s="4">
        <f>(Games[[#This Row],[Keff]]*Games[[#This Row],[MOVMult]])*(Games[[#This Row],[Result]]-Games[[#This Row],[ExpectedWin%]])</f>
        <v>-12.827506198497264</v>
      </c>
      <c r="AB235" s="4">
        <f>Games[[#This Row],[PreGmRate]]+Games[[#This Row],[RatingChange]]</f>
        <v>1399.4012436451749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41492</v>
      </c>
      <c r="B236" s="2">
        <v>2013</v>
      </c>
      <c r="C236" s="2">
        <f>COUNTIFS(Games[Team],Games[[#This Row],[Team]],Games[Season],Games[[#This Row],[Season]],Games[Date],"&lt;=" &amp; Games[[#This Row],[Date]])</f>
        <v>20</v>
      </c>
      <c r="D236" s="2" t="s">
        <v>83</v>
      </c>
      <c r="E236" s="2" t="s">
        <v>84</v>
      </c>
      <c r="F236" s="1" t="s">
        <v>69</v>
      </c>
      <c r="G236" s="1" t="s">
        <v>77</v>
      </c>
      <c r="H236" s="1" t="s">
        <v>85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1555.5971924779988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1562.384990194264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0.37224059498130674</v>
      </c>
      <c r="R236" s="1">
        <v>64</v>
      </c>
      <c r="S236" s="1">
        <v>58</v>
      </c>
      <c r="T236" s="1">
        <v>0</v>
      </c>
      <c r="U236" s="1">
        <f>Games[[#This Row],[PointsFor]]-Games[[#This Row],[PointsAgainst]]</f>
        <v>6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0.34930491848435141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16.007399689242291</v>
      </c>
      <c r="AB236" s="4">
        <f>Games[[#This Row],[PreGmRate]]+Games[[#This Row],[RatingChange]]</f>
        <v>1571.604592167241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41492</v>
      </c>
      <c r="B237" s="2">
        <v>2013</v>
      </c>
      <c r="C237" s="2">
        <f>COUNTIFS(Games[Team],Games[[#This Row],[Team]],Games[Season],Games[[#This Row],[Season]],Games[Date],"&lt;=" &amp; Games[[#This Row],[Date]])</f>
        <v>20</v>
      </c>
      <c r="D237" s="2" t="s">
        <v>83</v>
      </c>
      <c r="E237" s="2" t="s">
        <v>84</v>
      </c>
      <c r="F237" s="1" t="s">
        <v>77</v>
      </c>
      <c r="G237" s="1" t="s">
        <v>69</v>
      </c>
      <c r="H237" s="1" t="s">
        <v>86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1562.384990194264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1555.5971924779988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0.62775940501869332</v>
      </c>
      <c r="R237" s="1">
        <v>58</v>
      </c>
      <c r="S237" s="1">
        <v>64</v>
      </c>
      <c r="T237" s="1">
        <v>0</v>
      </c>
      <c r="U237" s="1">
        <f>Games[[#This Row],[PointsFor]]-Games[[#This Row],[PointsAgainst]]</f>
        <v>-6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0.34930491848435141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</v>
      </c>
      <c r="Z237" s="4">
        <f>Games[[#This Row],[K]]*Games[[#This Row],[POMult]]</f>
        <v>73</v>
      </c>
      <c r="AA237" s="4">
        <f>(Games[[#This Row],[Keff]]*Games[[#This Row],[MOVMult]])*(Games[[#This Row],[Result]]-Games[[#This Row],[ExpectedWin%]])</f>
        <v>-16.007399689242291</v>
      </c>
      <c r="AB237" s="4">
        <f>Games[[#This Row],[PreGmRate]]+Games[[#This Row],[RatingChange]]</f>
        <v>1546.3775905050218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41492</v>
      </c>
      <c r="B238" s="2">
        <v>2013</v>
      </c>
      <c r="C238" s="2">
        <f>COUNTIFS(Games[Team],Games[[#This Row],[Team]],Games[Season],Games[[#This Row],[Season]],Games[Date],"&lt;=" &amp; Games[[#This Row],[Date]])</f>
        <v>21</v>
      </c>
      <c r="D238" s="2" t="s">
        <v>83</v>
      </c>
      <c r="E238" s="2" t="s">
        <v>84</v>
      </c>
      <c r="F238" s="1" t="s">
        <v>63</v>
      </c>
      <c r="G238" s="1" t="s">
        <v>76</v>
      </c>
      <c r="H238" s="1" t="s">
        <v>85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-1</v>
      </c>
      <c r="L238" s="2">
        <f>Games[[#This Row],[OppDaysOff]]-Games[[#This Row],[DaysOff]]</f>
        <v>1</v>
      </c>
      <c r="M238" s="1">
        <f>MAX(-16, MIN(16, Games[[#This Row],[RestDiff]]*8))</f>
        <v>-8</v>
      </c>
      <c r="N238" s="1">
        <f>MAX(-16, MIN(16, Games[[#This Row],[OppRestDiff]]*8))</f>
        <v>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1601.9419551628539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1466.1207142115782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0.55136902119019071</v>
      </c>
      <c r="R238" s="1">
        <v>74</v>
      </c>
      <c r="S238" s="1">
        <v>72</v>
      </c>
      <c r="T238" s="1">
        <v>0</v>
      </c>
      <c r="U238" s="1">
        <f>Games[[#This Row],[PointsFor]]-Games[[#This Row],[PointsAgainst]]</f>
        <v>2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0.24060823044161136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72.849999999999994</v>
      </c>
      <c r="Z238" s="4">
        <f>Games[[#This Row],[K]]*Games[[#This Row],[POMult]]</f>
        <v>72.849999999999994</v>
      </c>
      <c r="AA238" s="4">
        <f>(Games[[#This Row],[Keff]]*Games[[#This Row],[MOVMult]])*(Games[[#This Row],[Result]]-Games[[#This Row],[ExpectedWin%]])</f>
        <v>7.8637426871983793</v>
      </c>
      <c r="AB238" s="4">
        <f>Games[[#This Row],[PreGmRate]]+Games[[#This Row],[RatingChange]]</f>
        <v>1609.8056978500522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41492</v>
      </c>
      <c r="B239" s="2">
        <v>2013</v>
      </c>
      <c r="C239" s="2">
        <f>COUNTIFS(Games[Team],Games[[#This Row],[Team]],Games[Season],Games[[#This Row],[Season]],Games[Date],"&lt;=" &amp; Games[[#This Row],[Date]])</f>
        <v>19</v>
      </c>
      <c r="D239" s="2" t="s">
        <v>83</v>
      </c>
      <c r="E239" s="2" t="s">
        <v>84</v>
      </c>
      <c r="F239" s="1" t="s">
        <v>76</v>
      </c>
      <c r="G239" s="1" t="s">
        <v>63</v>
      </c>
      <c r="H239" s="1" t="s">
        <v>86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1</v>
      </c>
      <c r="L239" s="2">
        <f>Games[[#This Row],[OppDaysOff]]-Games[[#This Row],[DaysOff]]</f>
        <v>-1</v>
      </c>
      <c r="M239" s="1">
        <f>MAX(-16, MIN(16, Games[[#This Row],[RestDiff]]*8))</f>
        <v>8</v>
      </c>
      <c r="N239" s="1">
        <f>MAX(-16, MIN(16, Games[[#This Row],[OppRestDiff]]*8))</f>
        <v>-8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1466.1207142115782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1601.9419551628539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0.44863097880980929</v>
      </c>
      <c r="R239" s="1">
        <v>72</v>
      </c>
      <c r="S239" s="1">
        <v>74</v>
      </c>
      <c r="T239" s="1">
        <v>0</v>
      </c>
      <c r="U239" s="1">
        <f>Games[[#This Row],[PointsFor]]-Games[[#This Row],[PointsAgainst]]</f>
        <v>-2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0.24060823044161136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-7.896125978978195</v>
      </c>
      <c r="AB239" s="4">
        <f>Games[[#This Row],[PreGmRate]]+Games[[#This Row],[RatingChange]]</f>
        <v>1458.2245882325999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41492</v>
      </c>
      <c r="B240" s="2">
        <v>2013</v>
      </c>
      <c r="C240" s="2">
        <f>COUNTIFS(Games[Team],Games[[#This Row],[Team]],Games[Season],Games[[#This Row],[Season]],Games[Date],"&lt;=" &amp; Games[[#This Row],[Date]])</f>
        <v>22</v>
      </c>
      <c r="D240" s="2" t="s">
        <v>83</v>
      </c>
      <c r="E240" s="2" t="s">
        <v>84</v>
      </c>
      <c r="F240" s="1" t="s">
        <v>65</v>
      </c>
      <c r="G240" s="1" t="s">
        <v>60</v>
      </c>
      <c r="H240" s="1" t="s">
        <v>85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-1</v>
      </c>
      <c r="L240" s="2">
        <f>Games[[#This Row],[OppDaysOff]]-Games[[#This Row],[DaysOff]]</f>
        <v>1</v>
      </c>
      <c r="M240" s="1">
        <f>MAX(-16, MIN(16, Games[[#This Row],[RestDiff]]*8))</f>
        <v>-8</v>
      </c>
      <c r="N240" s="1">
        <f>MAX(-16, MIN(16, Games[[#This Row],[OppRestDiff]]*8))</f>
        <v>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1399.4012436451749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1412.5549180426181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0.34268202399152664</v>
      </c>
      <c r="R240" s="1">
        <v>88</v>
      </c>
      <c r="S240" s="1">
        <v>93</v>
      </c>
      <c r="T240" s="1">
        <v>0</v>
      </c>
      <c r="U240" s="1">
        <f>Games[[#This Row],[PointsFor]]-Games[[#This Row],[PointsAgainst]]</f>
        <v>-5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0.32815889606997373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72.7</v>
      </c>
      <c r="Z240" s="4">
        <f>Games[[#This Row],[K]]*Games[[#This Row],[POMult]]</f>
        <v>72.7</v>
      </c>
      <c r="AA240" s="4">
        <f>(Games[[#This Row],[Keff]]*Games[[#This Row],[MOVMult]])*(Games[[#This Row],[Result]]-Games[[#This Row],[ExpectedWin%]])</f>
        <v>-8.1754170464052809</v>
      </c>
      <c r="AB240" s="4">
        <f>Games[[#This Row],[PreGmRate]]+Games[[#This Row],[RatingChange]]</f>
        <v>1391.2258265987696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41492</v>
      </c>
      <c r="B241" s="2">
        <v>2013</v>
      </c>
      <c r="C241" s="2">
        <f>COUNTIFS(Games[Team],Games[[#This Row],[Team]],Games[Season],Games[[#This Row],[Season]],Games[Date],"&lt;=" &amp; Games[[#This Row],[Date]])</f>
        <v>21</v>
      </c>
      <c r="D241" s="2" t="s">
        <v>83</v>
      </c>
      <c r="E241" s="2" t="s">
        <v>84</v>
      </c>
      <c r="F241" s="1" t="s">
        <v>60</v>
      </c>
      <c r="G241" s="1" t="s">
        <v>65</v>
      </c>
      <c r="H241" s="1" t="s">
        <v>86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1</v>
      </c>
      <c r="L241" s="2">
        <f>Games[[#This Row],[OppDaysOff]]-Games[[#This Row],[DaysOff]]</f>
        <v>-1</v>
      </c>
      <c r="M241" s="1">
        <f>MAX(-16, MIN(16, Games[[#This Row],[RestDiff]]*8))</f>
        <v>8</v>
      </c>
      <c r="N241" s="1">
        <f>MAX(-16, MIN(16, Games[[#This Row],[OppRestDiff]]*8))</f>
        <v>-8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1412.5549180426181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1399.4012436451749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0.6573179760084733</v>
      </c>
      <c r="R241" s="1">
        <v>93</v>
      </c>
      <c r="S241" s="1">
        <v>88</v>
      </c>
      <c r="T241" s="1">
        <v>0</v>
      </c>
      <c r="U241" s="1">
        <f>Games[[#This Row],[PointsFor]]-Games[[#This Row],[PointsAgainst]]</f>
        <v>5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0.32815889606997373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72.849999999999994</v>
      </c>
      <c r="Z241" s="4">
        <f>Games[[#This Row],[K]]*Games[[#This Row],[POMult]]</f>
        <v>72.849999999999994</v>
      </c>
      <c r="AA241" s="4">
        <f>(Games[[#This Row],[Keff]]*Games[[#This Row],[MOVMult]])*(Games[[#This Row],[Result]]-Games[[#This Row],[ExpectedWin%]])</f>
        <v>8.1922851696096934</v>
      </c>
      <c r="AB241" s="4">
        <f>Games[[#This Row],[PreGmRate]]+Games[[#This Row],[RatingChange]]</f>
        <v>1420.7472032122278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41492</v>
      </c>
      <c r="B242" s="2">
        <v>2013</v>
      </c>
      <c r="C242" s="2">
        <f>COUNTIFS(Games[Team],Games[[#This Row],[Team]],Games[Season],Games[[#This Row],[Season]],Games[Date],"&lt;=" &amp; Games[[#This Row],[Date]])</f>
        <v>20</v>
      </c>
      <c r="D242" s="2" t="s">
        <v>83</v>
      </c>
      <c r="E242" s="2" t="s">
        <v>84</v>
      </c>
      <c r="F242" s="1" t="s">
        <v>71</v>
      </c>
      <c r="G242" s="1" t="s">
        <v>40</v>
      </c>
      <c r="H242" s="1" t="s">
        <v>85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1461.2824913423717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1460.6662489145017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0.3607526565878566</v>
      </c>
      <c r="R242" s="1">
        <v>80</v>
      </c>
      <c r="S242" s="1">
        <v>65</v>
      </c>
      <c r="T242" s="1">
        <v>0</v>
      </c>
      <c r="U242" s="1">
        <f>Games[[#This Row],[PointsFor]]-Games[[#This Row],[PointsAgainst]]</f>
        <v>15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0.50258993034634714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23.453387279370549</v>
      </c>
      <c r="AB242" s="4">
        <f>Games[[#This Row],[PreGmRate]]+Games[[#This Row],[RatingChange]]</f>
        <v>1484.7358786217424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41492</v>
      </c>
      <c r="B243" s="2">
        <v>2013</v>
      </c>
      <c r="C243" s="2">
        <f>COUNTIFS(Games[Team],Games[[#This Row],[Team]],Games[Season],Games[[#This Row],[Season]],Games[Date],"&lt;=" &amp; Games[[#This Row],[Date]])</f>
        <v>21</v>
      </c>
      <c r="D243" s="2" t="s">
        <v>83</v>
      </c>
      <c r="E243" s="2" t="s">
        <v>84</v>
      </c>
      <c r="F243" s="1" t="s">
        <v>40</v>
      </c>
      <c r="G243" s="1" t="s">
        <v>71</v>
      </c>
      <c r="H243" s="1" t="s">
        <v>86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1460.6662489145017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1461.2824913423717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0.6392473434121434</v>
      </c>
      <c r="R243" s="1">
        <v>65</v>
      </c>
      <c r="S243" s="1">
        <v>80</v>
      </c>
      <c r="T243" s="1">
        <v>0</v>
      </c>
      <c r="U243" s="1">
        <f>Games[[#This Row],[PointsFor]]-Games[[#This Row],[PointsAgainst]]</f>
        <v>-15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0.50258993034634714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-23.405195387700608</v>
      </c>
      <c r="AB243" s="4">
        <f>Games[[#This Row],[PreGmRate]]+Games[[#This Row],[RatingChange]]</f>
        <v>1437.2610535268011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41492</v>
      </c>
      <c r="B244" s="2">
        <v>2013</v>
      </c>
      <c r="C244" s="2">
        <f>COUNTIFS(Games[Team],Games[[#This Row],[Team]],Games[Season],Games[[#This Row],[Season]],Games[Date],"&lt;=" &amp; Games[[#This Row],[Date]])</f>
        <v>20</v>
      </c>
      <c r="D244" s="2" t="s">
        <v>83</v>
      </c>
      <c r="E244" s="2" t="s">
        <v>84</v>
      </c>
      <c r="F244" s="1" t="s">
        <v>67</v>
      </c>
      <c r="G244" s="1" t="s">
        <v>74</v>
      </c>
      <c r="H244" s="1" t="s">
        <v>85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1676.9686875398261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1439.8505741248491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0.70711612710795801</v>
      </c>
      <c r="R244" s="1">
        <v>93</v>
      </c>
      <c r="S244" s="1">
        <v>80</v>
      </c>
      <c r="T244" s="1">
        <v>0</v>
      </c>
      <c r="U244" s="1">
        <f>Games[[#This Row],[PointsFor]]-Games[[#This Row],[PointsAgainst]]</f>
        <v>13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0.39415863003138862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8.4273175451112685</v>
      </c>
      <c r="AB244" s="4">
        <f>Games[[#This Row],[PreGmRate]]+Games[[#This Row],[RatingChange]]</f>
        <v>1685.3960050849373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41492</v>
      </c>
      <c r="B245" s="2">
        <v>2013</v>
      </c>
      <c r="C245" s="2">
        <f>COUNTIFS(Games[Team],Games[[#This Row],[Team]],Games[Season],Games[[#This Row],[Season]],Games[Date],"&lt;=" &amp; Games[[#This Row],[Date]])</f>
        <v>21</v>
      </c>
      <c r="D245" s="2" t="s">
        <v>83</v>
      </c>
      <c r="E245" s="2" t="s">
        <v>84</v>
      </c>
      <c r="F245" s="1" t="s">
        <v>74</v>
      </c>
      <c r="G245" s="1" t="s">
        <v>67</v>
      </c>
      <c r="H245" s="1" t="s">
        <v>86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1439.8505741248491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1676.9686875398261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0.29288387289204199</v>
      </c>
      <c r="R245" s="1">
        <v>80</v>
      </c>
      <c r="S245" s="1">
        <v>93</v>
      </c>
      <c r="T245" s="1">
        <v>0</v>
      </c>
      <c r="U245" s="1">
        <f>Games[[#This Row],[PointsFor]]-Games[[#This Row],[PointsAgainst]]</f>
        <v>-13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0.39415863003138862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-8.4100011391966554</v>
      </c>
      <c r="AB245" s="4">
        <f>Games[[#This Row],[PreGmRate]]+Games[[#This Row],[RatingChange]]</f>
        <v>1431.4405729856524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41494</v>
      </c>
      <c r="B246" s="2">
        <v>2013</v>
      </c>
      <c r="C246" s="2">
        <f>COUNTIFS(Games[Team],Games[[#This Row],[Team]],Games[Season],Games[[#This Row],[Season]],Games[Date],"&lt;=" &amp; Games[[#This Row],[Date]])</f>
        <v>22</v>
      </c>
      <c r="D246" s="2" t="s">
        <v>83</v>
      </c>
      <c r="E246" s="2" t="s">
        <v>84</v>
      </c>
      <c r="F246" s="1" t="s">
        <v>63</v>
      </c>
      <c r="G246" s="1" t="s">
        <v>69</v>
      </c>
      <c r="H246" s="1" t="s">
        <v>85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1609.8056978500522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1571.604592167241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0.43446921835551405</v>
      </c>
      <c r="R246" s="1">
        <v>74</v>
      </c>
      <c r="S246" s="1">
        <v>64</v>
      </c>
      <c r="T246" s="1">
        <v>0</v>
      </c>
      <c r="U246" s="1">
        <f>Games[[#This Row],[PointsFor]]-Games[[#This Row],[PointsAgainst]]</f>
        <v>10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0.41007525907412007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72.7</v>
      </c>
      <c r="Z246" s="4">
        <f>Games[[#This Row],[K]]*Games[[#This Row],[POMult]]</f>
        <v>72.7</v>
      </c>
      <c r="AA246" s="4">
        <f>(Games[[#This Row],[Keff]]*Games[[#This Row],[MOVMult]])*(Games[[#This Row],[Result]]-Games[[#This Row],[ExpectedWin%]])</f>
        <v>16.859870216660234</v>
      </c>
      <c r="AB246" s="4">
        <f>Games[[#This Row],[PreGmRate]]+Games[[#This Row],[RatingChange]]</f>
        <v>1626.6655680667125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41494</v>
      </c>
      <c r="B247" s="2">
        <v>2013</v>
      </c>
      <c r="C247" s="2">
        <f>COUNTIFS(Games[Team],Games[[#This Row],[Team]],Games[Season],Games[[#This Row],[Season]],Games[Date],"&lt;=" &amp; Games[[#This Row],[Date]])</f>
        <v>21</v>
      </c>
      <c r="D247" s="2" t="s">
        <v>83</v>
      </c>
      <c r="E247" s="2" t="s">
        <v>84</v>
      </c>
      <c r="F247" s="1" t="s">
        <v>69</v>
      </c>
      <c r="G247" s="1" t="s">
        <v>63</v>
      </c>
      <c r="H247" s="1" t="s">
        <v>86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1571.604592167241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1609.8056978500522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0.565530781644486</v>
      </c>
      <c r="R247" s="1">
        <v>64</v>
      </c>
      <c r="S247" s="1">
        <v>74</v>
      </c>
      <c r="T247" s="1">
        <v>0</v>
      </c>
      <c r="U247" s="1">
        <f>Games[[#This Row],[PointsFor]]-Games[[#This Row],[PointsAgainst]]</f>
        <v>-10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0.41007525907412007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-16.894656743929822</v>
      </c>
      <c r="AB247" s="4">
        <f>Games[[#This Row],[PreGmRate]]+Games[[#This Row],[RatingChange]]</f>
        <v>1554.7099354233112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41494</v>
      </c>
      <c r="B248" s="2">
        <v>2013</v>
      </c>
      <c r="C248" s="2">
        <f>COUNTIFS(Games[Team],Games[[#This Row],[Team]],Games[Season],Games[[#This Row],[Season]],Games[Date],"&lt;=" &amp; Games[[#This Row],[Date]])</f>
        <v>23</v>
      </c>
      <c r="D248" s="2" t="s">
        <v>83</v>
      </c>
      <c r="E248" s="2" t="s">
        <v>84</v>
      </c>
      <c r="F248" s="1" t="s">
        <v>65</v>
      </c>
      <c r="G248" s="1" t="s">
        <v>67</v>
      </c>
      <c r="H248" s="1" t="s">
        <v>85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1391.2258265987696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1685.3960050849373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0.10184207936646311</v>
      </c>
      <c r="R248" s="1">
        <v>79</v>
      </c>
      <c r="S248" s="1">
        <v>75</v>
      </c>
      <c r="T248" s="1">
        <v>0</v>
      </c>
      <c r="U248" s="1">
        <f>Games[[#This Row],[PointsFor]]-Games[[#This Row],[PointsAgainst]]</f>
        <v>4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0.25011828456065982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72.55</v>
      </c>
      <c r="Z248" s="4">
        <f>Games[[#This Row],[K]]*Games[[#This Row],[POMult]]</f>
        <v>72.55</v>
      </c>
      <c r="AA248" s="4">
        <f>(Games[[#This Row],[Keff]]*Games[[#This Row],[MOVMult]])*(Games[[#This Row],[Result]]-Games[[#This Row],[ExpectedWin%]])</f>
        <v>16.298046867992309</v>
      </c>
      <c r="AB248" s="4">
        <f>Games[[#This Row],[PreGmRate]]+Games[[#This Row],[RatingChange]]</f>
        <v>1407.5238734667619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41494</v>
      </c>
      <c r="B249" s="2">
        <v>2013</v>
      </c>
      <c r="C249" s="2">
        <f>COUNTIFS(Games[Team],Games[[#This Row],[Team]],Games[Season],Games[[#This Row],[Season]],Games[Date],"&lt;=" &amp; Games[[#This Row],[Date]])</f>
        <v>21</v>
      </c>
      <c r="D249" s="2" t="s">
        <v>83</v>
      </c>
      <c r="E249" s="2" t="s">
        <v>84</v>
      </c>
      <c r="F249" s="1" t="s">
        <v>67</v>
      </c>
      <c r="G249" s="1" t="s">
        <v>65</v>
      </c>
      <c r="H249" s="1" t="s">
        <v>86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1685.3960050849373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1391.2258265987696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0.89815792063353694</v>
      </c>
      <c r="R249" s="1">
        <v>75</v>
      </c>
      <c r="S249" s="1">
        <v>79</v>
      </c>
      <c r="T249" s="1">
        <v>0</v>
      </c>
      <c r="U249" s="1">
        <f>Games[[#This Row],[PointsFor]]-Games[[#This Row],[PointsAgainst]]</f>
        <v>-4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0.25011828456065982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72.849999999999994</v>
      </c>
      <c r="Z249" s="4">
        <f>Games[[#This Row],[K]]*Games[[#This Row],[POMult]]</f>
        <v>72.849999999999994</v>
      </c>
      <c r="AA249" s="4">
        <f>(Games[[#This Row],[Keff]]*Games[[#This Row],[MOVMult]])*(Games[[#This Row],[Result]]-Games[[#This Row],[ExpectedWin%]])</f>
        <v>-16.365440583504338</v>
      </c>
      <c r="AB249" s="4">
        <f>Games[[#This Row],[PreGmRate]]+Games[[#This Row],[RatingChange]]</f>
        <v>1669.030564501433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41495</v>
      </c>
      <c r="B250" s="2">
        <v>2013</v>
      </c>
      <c r="C250" s="2">
        <f>COUNTIFS(Games[Team],Games[[#This Row],[Team]],Games[Season],Games[[#This Row],[Season]],Games[Date],"&lt;=" &amp; Games[[#This Row],[Date]])</f>
        <v>21</v>
      </c>
      <c r="D250" s="2" t="s">
        <v>83</v>
      </c>
      <c r="E250" s="2" t="s">
        <v>84</v>
      </c>
      <c r="F250" s="1" t="s">
        <v>77</v>
      </c>
      <c r="G250" s="1" t="s">
        <v>76</v>
      </c>
      <c r="H250" s="1" t="s">
        <v>85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1546.3775905050218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1458.2245882325999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0.50597636606777951</v>
      </c>
      <c r="R250" s="1">
        <v>77</v>
      </c>
      <c r="S250" s="1">
        <v>61</v>
      </c>
      <c r="T250" s="1">
        <v>0</v>
      </c>
      <c r="U250" s="1">
        <f>Games[[#This Row],[PointsFor]]-Games[[#This Row],[PointsAgainst]]</f>
        <v>16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0.48235204796322095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17.35966774783364</v>
      </c>
      <c r="AB250" s="4">
        <f>Games[[#This Row],[PreGmRate]]+Games[[#This Row],[RatingChange]]</f>
        <v>1563.7372582528553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41495</v>
      </c>
      <c r="B251" s="2">
        <v>2013</v>
      </c>
      <c r="C251" s="2">
        <f>COUNTIFS(Games[Team],Games[[#This Row],[Team]],Games[Season],Games[[#This Row],[Season]],Games[Date],"&lt;=" &amp; Games[[#This Row],[Date]])</f>
        <v>20</v>
      </c>
      <c r="D251" s="2" t="s">
        <v>83</v>
      </c>
      <c r="E251" s="2" t="s">
        <v>84</v>
      </c>
      <c r="F251" s="1" t="s">
        <v>76</v>
      </c>
      <c r="G251" s="1" t="s">
        <v>77</v>
      </c>
      <c r="H251" s="1" t="s">
        <v>86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1458.2245882325999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1546.3775905050218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0.49402363393222043</v>
      </c>
      <c r="R251" s="1">
        <v>61</v>
      </c>
      <c r="S251" s="1">
        <v>77</v>
      </c>
      <c r="T251" s="1">
        <v>0</v>
      </c>
      <c r="U251" s="1">
        <f>Games[[#This Row],[PointsFor]]-Games[[#This Row],[PointsAgainst]]</f>
        <v>-16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0.48235204796322095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</v>
      </c>
      <c r="Z251" s="4">
        <f>Games[[#This Row],[K]]*Games[[#This Row],[POMult]]</f>
        <v>73</v>
      </c>
      <c r="AA251" s="4">
        <f>(Games[[#This Row],[Keff]]*Games[[#This Row],[MOVMult]])*(Games[[#This Row],[Result]]-Games[[#This Row],[ExpectedWin%]])</f>
        <v>-17.395411744569056</v>
      </c>
      <c r="AB251" s="4">
        <f>Games[[#This Row],[PreGmRate]]+Games[[#This Row],[RatingChange]]</f>
        <v>1440.829176488031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41495</v>
      </c>
      <c r="B252" s="2">
        <v>2013</v>
      </c>
      <c r="C252" s="2">
        <f>COUNTIFS(Games[Team],Games[[#This Row],[Team]],Games[Season],Games[[#This Row],[Season]],Games[Date],"&lt;=" &amp; Games[[#This Row],[Date]])</f>
        <v>23</v>
      </c>
      <c r="D252" s="2" t="s">
        <v>83</v>
      </c>
      <c r="E252" s="2" t="s">
        <v>84</v>
      </c>
      <c r="F252" s="1" t="s">
        <v>81</v>
      </c>
      <c r="G252" s="1" t="s">
        <v>40</v>
      </c>
      <c r="H252" s="1" t="s">
        <v>85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2</v>
      </c>
      <c r="L252" s="2">
        <f>Games[[#This Row],[OppDaysOff]]-Games[[#This Row],[DaysOff]]</f>
        <v>-2</v>
      </c>
      <c r="M252" s="1">
        <f>MAX(-16, MIN(16, Games[[#This Row],[RestDiff]]*8))</f>
        <v>16</v>
      </c>
      <c r="N252" s="1">
        <f>MAX(-16, MIN(16, Games[[#This Row],[OppRestDiff]]*8))</f>
        <v>-16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1425.0882599148645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1437.2610535268011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0.40868400612186401</v>
      </c>
      <c r="R252" s="1">
        <v>67</v>
      </c>
      <c r="S252" s="1">
        <v>70</v>
      </c>
      <c r="T252" s="1">
        <v>0</v>
      </c>
      <c r="U252" s="1">
        <f>Games[[#This Row],[PointsFor]]-Games[[#This Row],[PointsAgainst]]</f>
        <v>-3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0.28726946121340552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72.55</v>
      </c>
      <c r="Z252" s="4">
        <f>Games[[#This Row],[K]]*Games[[#This Row],[POMult]]</f>
        <v>72.55</v>
      </c>
      <c r="AA252" s="4">
        <f>(Games[[#This Row],[Keff]]*Games[[#This Row],[MOVMult]])*(Games[[#This Row],[Result]]-Games[[#This Row],[ExpectedWin%]])</f>
        <v>-8.5175466044866468</v>
      </c>
      <c r="AB252" s="4">
        <f>Games[[#This Row],[PreGmRate]]+Games[[#This Row],[RatingChange]]</f>
        <v>1416.5707133103779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41495</v>
      </c>
      <c r="B253" s="2">
        <v>2013</v>
      </c>
      <c r="C253" s="2">
        <f>COUNTIFS(Games[Team],Games[[#This Row],[Team]],Games[Season],Games[[#This Row],[Season]],Games[Date],"&lt;=" &amp; Games[[#This Row],[Date]])</f>
        <v>22</v>
      </c>
      <c r="D253" s="2" t="s">
        <v>83</v>
      </c>
      <c r="E253" s="2" t="s">
        <v>84</v>
      </c>
      <c r="F253" s="1" t="s">
        <v>40</v>
      </c>
      <c r="G253" s="1" t="s">
        <v>81</v>
      </c>
      <c r="H253" s="1" t="s">
        <v>86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3" s="2">
        <f>Games[[#This Row],[DaysOff]]-Games[[#This Row],[OppDaysOff]]</f>
        <v>-2</v>
      </c>
      <c r="L253" s="2">
        <f>Games[[#This Row],[OppDaysOff]]-Games[[#This Row],[DaysOff]]</f>
        <v>2</v>
      </c>
      <c r="M253" s="1">
        <f>MAX(-16, MIN(16, Games[[#This Row],[RestDiff]]*8))</f>
        <v>-16</v>
      </c>
      <c r="N253" s="1">
        <f>MAX(-16, MIN(16, Games[[#This Row],[OppRestDiff]]*8))</f>
        <v>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1437.2610535268011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1425.0882599148645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0.59131599387813594</v>
      </c>
      <c r="R253" s="1">
        <v>70</v>
      </c>
      <c r="S253" s="1">
        <v>67</v>
      </c>
      <c r="T253" s="1">
        <v>0</v>
      </c>
      <c r="U253" s="1">
        <f>Games[[#This Row],[PointsFor]]-Games[[#This Row],[PointsAgainst]]</f>
        <v>3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0.28726946121340552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72.7</v>
      </c>
      <c r="Z253" s="4">
        <f>Games[[#This Row],[K]]*Games[[#This Row],[POMult]]</f>
        <v>72.7</v>
      </c>
      <c r="AA253" s="4">
        <f>(Games[[#This Row],[Keff]]*Games[[#This Row],[MOVMult]])*(Games[[#This Row],[Result]]-Games[[#This Row],[ExpectedWin%]])</f>
        <v>8.535156969623424</v>
      </c>
      <c r="AB253" s="4">
        <f>Games[[#This Row],[PreGmRate]]+Games[[#This Row],[RatingChange]]</f>
        <v>1445.7962104964245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41495</v>
      </c>
      <c r="B254" s="2">
        <v>2013</v>
      </c>
      <c r="C254" s="2">
        <f>COUNTIFS(Games[Team],Games[[#This Row],[Team]],Games[Season],Games[[#This Row],[Season]],Games[Date],"&lt;=" &amp; Games[[#This Row],[Date]])</f>
        <v>22</v>
      </c>
      <c r="D254" s="2" t="s">
        <v>83</v>
      </c>
      <c r="E254" s="2" t="s">
        <v>84</v>
      </c>
      <c r="F254" s="1" t="s">
        <v>74</v>
      </c>
      <c r="G254" s="1" t="s">
        <v>71</v>
      </c>
      <c r="H254" s="1" t="s">
        <v>85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1431.4405729856524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1484.7358786217424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0.31209667634162125</v>
      </c>
      <c r="R254" s="1">
        <v>77</v>
      </c>
      <c r="S254" s="1">
        <v>56</v>
      </c>
      <c r="T254" s="1">
        <v>0</v>
      </c>
      <c r="U254" s="1">
        <f>Games[[#This Row],[PointsFor]]-Games[[#This Row],[PointsAgainst]]</f>
        <v>21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0.56354758862390975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72.7</v>
      </c>
      <c r="Z254" s="4">
        <f>Games[[#This Row],[K]]*Games[[#This Row],[POMult]]</f>
        <v>72.7</v>
      </c>
      <c r="AA254" s="4">
        <f>(Games[[#This Row],[Keff]]*Games[[#This Row],[MOVMult]])*(Games[[#This Row],[Result]]-Games[[#This Row],[ExpectedWin%]])</f>
        <v>28.183337047769598</v>
      </c>
      <c r="AB254" s="4">
        <f>Games[[#This Row],[PreGmRate]]+Games[[#This Row],[RatingChange]]</f>
        <v>1459.6239100334219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41495</v>
      </c>
      <c r="B255" s="2">
        <v>2013</v>
      </c>
      <c r="C255" s="2">
        <f>COUNTIFS(Games[Team],Games[[#This Row],[Team]],Games[Season],Games[[#This Row],[Season]],Games[Date],"&lt;=" &amp; Games[[#This Row],[Date]])</f>
        <v>21</v>
      </c>
      <c r="D255" s="2" t="s">
        <v>83</v>
      </c>
      <c r="E255" s="2" t="s">
        <v>84</v>
      </c>
      <c r="F255" s="1" t="s">
        <v>71</v>
      </c>
      <c r="G255" s="1" t="s">
        <v>74</v>
      </c>
      <c r="H255" s="1" t="s">
        <v>86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1484.7358786217424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1431.4405729856524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0.68790332365837881</v>
      </c>
      <c r="R255" s="1">
        <v>56</v>
      </c>
      <c r="S255" s="1">
        <v>77</v>
      </c>
      <c r="T255" s="1">
        <v>0</v>
      </c>
      <c r="U255" s="1">
        <f>Games[[#This Row],[PointsFor]]-Games[[#This Row],[PointsAgainst]]</f>
        <v>-21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0.56354758862390975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72.849999999999994</v>
      </c>
      <c r="Z255" s="4">
        <f>Games[[#This Row],[K]]*Games[[#This Row],[POMult]]</f>
        <v>72.849999999999994</v>
      </c>
      <c r="AA255" s="4">
        <f>(Games[[#This Row],[Keff]]*Games[[#This Row],[MOVMult]])*(Games[[#This Row],[Result]]-Games[[#This Row],[ExpectedWin%]])</f>
        <v>-28.241486986657709</v>
      </c>
      <c r="AB255" s="4">
        <f>Games[[#This Row],[PreGmRate]]+Games[[#This Row],[RatingChange]]</f>
        <v>1456.4943916350846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41496</v>
      </c>
      <c r="B256" s="2">
        <v>2013</v>
      </c>
      <c r="C256" s="2">
        <f>COUNTIFS(Games[Team],Games[[#This Row],[Team]],Games[Season],Games[[#This Row],[Season]],Games[Date],"&lt;=" &amp; Games[[#This Row],[Date]])</f>
        <v>18</v>
      </c>
      <c r="D256" s="2" t="s">
        <v>83</v>
      </c>
      <c r="E256" s="2" t="s">
        <v>84</v>
      </c>
      <c r="F256" s="1" t="s">
        <v>79</v>
      </c>
      <c r="G256" s="1" t="s">
        <v>69</v>
      </c>
      <c r="H256" s="1" t="s">
        <v>85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5</v>
      </c>
      <c r="L256" s="2">
        <f>Games[[#This Row],[OppDaysOff]]-Games[[#This Row],[DaysOff]]</f>
        <v>-5</v>
      </c>
      <c r="M256" s="1">
        <f>MAX(-16, MIN(16, Games[[#This Row],[RestDiff]]*8))</f>
        <v>16</v>
      </c>
      <c r="N256" s="1">
        <f>MAX(-16, MIN(16, Games[[#This Row],[OppRestDiff]]*8))</f>
        <v>-16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1542.4250813420124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1554.7099354233112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0.40852812633411373</v>
      </c>
      <c r="R256" s="1">
        <v>66</v>
      </c>
      <c r="S256" s="1">
        <v>80</v>
      </c>
      <c r="T256" s="1">
        <v>0</v>
      </c>
      <c r="U256" s="1">
        <f>Games[[#This Row],[PointsFor]]-Games[[#This Row],[PointsAgainst]]</f>
        <v>-14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0.48266686024411987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73.3</v>
      </c>
      <c r="Z256" s="4">
        <f>Games[[#This Row],[K]]*Games[[#This Row],[POMult]]</f>
        <v>73.3</v>
      </c>
      <c r="AA256" s="4">
        <f>(Games[[#This Row],[Keff]]*Games[[#This Row],[MOVMult]])*(Games[[#This Row],[Result]]-Games[[#This Row],[ExpectedWin%]])</f>
        <v>-14.453513024732016</v>
      </c>
      <c r="AB256" s="4">
        <f>Games[[#This Row],[PreGmRate]]+Games[[#This Row],[RatingChange]]</f>
        <v>1527.9715683172803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41496</v>
      </c>
      <c r="B257" s="2">
        <v>2013</v>
      </c>
      <c r="C257" s="2">
        <f>COUNTIFS(Games[Team],Games[[#This Row],[Team]],Games[Season],Games[[#This Row],[Season]],Games[Date],"&lt;=" &amp; Games[[#This Row],[Date]])</f>
        <v>22</v>
      </c>
      <c r="D257" s="2" t="s">
        <v>83</v>
      </c>
      <c r="E257" s="2" t="s">
        <v>84</v>
      </c>
      <c r="F257" s="1" t="s">
        <v>69</v>
      </c>
      <c r="G257" s="1" t="s">
        <v>79</v>
      </c>
      <c r="H257" s="1" t="s">
        <v>86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57" s="2">
        <f>Games[[#This Row],[DaysOff]]-Games[[#This Row],[OppDaysOff]]</f>
        <v>-5</v>
      </c>
      <c r="L257" s="2">
        <f>Games[[#This Row],[OppDaysOff]]-Games[[#This Row],[DaysOff]]</f>
        <v>5</v>
      </c>
      <c r="M257" s="1">
        <f>MAX(-16, MIN(16, Games[[#This Row],[RestDiff]]*8))</f>
        <v>-16</v>
      </c>
      <c r="N257" s="1">
        <f>MAX(-16, MIN(16, Games[[#This Row],[OppRestDiff]]*8))</f>
        <v>16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1554.7099354233112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1542.4250813420124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0.59147187366588627</v>
      </c>
      <c r="R257" s="1">
        <v>80</v>
      </c>
      <c r="S257" s="1">
        <v>66</v>
      </c>
      <c r="T257" s="1">
        <v>0</v>
      </c>
      <c r="U257" s="1">
        <f>Games[[#This Row],[PointsFor]]-Games[[#This Row],[PointsAgainst]]</f>
        <v>14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0.48266686024411987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14.335203231896557</v>
      </c>
      <c r="AB257" s="4">
        <f>Games[[#This Row],[PreGmRate]]+Games[[#This Row],[RatingChange]]</f>
        <v>1569.0451386552077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41496</v>
      </c>
      <c r="B258" s="2">
        <v>2013</v>
      </c>
      <c r="C258" s="2">
        <f>COUNTIFS(Games[Team],Games[[#This Row],[Team]],Games[Season],Games[[#This Row],[Season]],Games[Date],"&lt;=" &amp; Games[[#This Row],[Date]])</f>
        <v>23</v>
      </c>
      <c r="D258" s="2" t="s">
        <v>83</v>
      </c>
      <c r="E258" s="2" t="s">
        <v>84</v>
      </c>
      <c r="F258" s="1" t="s">
        <v>63</v>
      </c>
      <c r="G258" s="1" t="s">
        <v>60</v>
      </c>
      <c r="H258" s="1" t="s">
        <v>85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8" s="2">
        <f>Games[[#This Row],[DaysOff]]-Games[[#This Row],[OppDaysOff]]</f>
        <v>-2</v>
      </c>
      <c r="L258" s="2">
        <f>Games[[#This Row],[OppDaysOff]]-Games[[#This Row],[DaysOff]]</f>
        <v>2</v>
      </c>
      <c r="M258" s="1">
        <f>MAX(-16, MIN(16, Games[[#This Row],[RestDiff]]*8))</f>
        <v>-16</v>
      </c>
      <c r="N258" s="1">
        <f>MAX(-16, MIN(16, Games[[#This Row],[OppRestDiff]]*8))</f>
        <v>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1626.6655680667125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1420.7472032122278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0.62658913632443303</v>
      </c>
      <c r="R258" s="1">
        <v>85</v>
      </c>
      <c r="S258" s="1">
        <v>67</v>
      </c>
      <c r="T258" s="1">
        <v>0</v>
      </c>
      <c r="U258" s="1">
        <f>Games[[#This Row],[PointsFor]]-Games[[#This Row],[PointsAgainst]]</f>
        <v>18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0.46674169351184447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72.55</v>
      </c>
      <c r="Z258" s="4">
        <f>Games[[#This Row],[K]]*Games[[#This Row],[POMult]]</f>
        <v>72.55</v>
      </c>
      <c r="AA258" s="4">
        <f>(Games[[#This Row],[Keff]]*Games[[#This Row],[MOVMult]])*(Games[[#This Row],[Result]]-Games[[#This Row],[ExpectedWin%]])</f>
        <v>12.644479690299342</v>
      </c>
      <c r="AB258" s="4">
        <f>Games[[#This Row],[PreGmRate]]+Games[[#This Row],[RatingChange]]</f>
        <v>1639.3100477570117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41496</v>
      </c>
      <c r="B259" s="2">
        <v>2013</v>
      </c>
      <c r="C259" s="2">
        <f>COUNTIFS(Games[Team],Games[[#This Row],[Team]],Games[Season],Games[[#This Row],[Season]],Games[Date],"&lt;=" &amp; Games[[#This Row],[Date]])</f>
        <v>22</v>
      </c>
      <c r="D259" s="2" t="s">
        <v>83</v>
      </c>
      <c r="E259" s="2" t="s">
        <v>84</v>
      </c>
      <c r="F259" s="1" t="s">
        <v>60</v>
      </c>
      <c r="G259" s="1" t="s">
        <v>63</v>
      </c>
      <c r="H259" s="1" t="s">
        <v>86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2</v>
      </c>
      <c r="L259" s="2">
        <f>Games[[#This Row],[OppDaysOff]]-Games[[#This Row],[DaysOff]]</f>
        <v>-2</v>
      </c>
      <c r="M259" s="1">
        <f>MAX(-16, MIN(16, Games[[#This Row],[RestDiff]]*8))</f>
        <v>16</v>
      </c>
      <c r="N259" s="1">
        <f>MAX(-16, MIN(16, Games[[#This Row],[OppRestDiff]]*8))</f>
        <v>-16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1420.7472032122278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1626.6655680667125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0.37341086367556708</v>
      </c>
      <c r="R259" s="1">
        <v>67</v>
      </c>
      <c r="S259" s="1">
        <v>85</v>
      </c>
      <c r="T259" s="1">
        <v>0</v>
      </c>
      <c r="U259" s="1">
        <f>Games[[#This Row],[PointsFor]]-Games[[#This Row],[PointsAgainst]]</f>
        <v>-18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0.46674169351184447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-12.670622653132495</v>
      </c>
      <c r="AB259" s="4">
        <f>Games[[#This Row],[PreGmRate]]+Games[[#This Row],[RatingChange]]</f>
        <v>1408.0765805590952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41497</v>
      </c>
      <c r="B260" s="2">
        <v>2013</v>
      </c>
      <c r="C260" s="2">
        <f>COUNTIFS(Games[Team],Games[[#This Row],[Team]],Games[Season],Games[[#This Row],[Season]],Games[Date],"&lt;=" &amp; Games[[#This Row],[Date]])</f>
        <v>23</v>
      </c>
      <c r="D260" s="2" t="s">
        <v>83</v>
      </c>
      <c r="E260" s="2" t="s">
        <v>84</v>
      </c>
      <c r="F260" s="1" t="s">
        <v>60</v>
      </c>
      <c r="G260" s="1" t="s">
        <v>79</v>
      </c>
      <c r="H260" s="1" t="s">
        <v>85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1408.0765805590952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1527.9715683172803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0.23618433587616855</v>
      </c>
      <c r="R260" s="1">
        <v>88</v>
      </c>
      <c r="S260" s="1">
        <v>82</v>
      </c>
      <c r="T260" s="1">
        <v>0</v>
      </c>
      <c r="U260" s="1">
        <f>Games[[#This Row],[PointsFor]]-Games[[#This Row],[PointsAgainst]]</f>
        <v>6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0.3193715539636694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72.55</v>
      </c>
      <c r="Z260" s="4">
        <f>Games[[#This Row],[K]]*Games[[#This Row],[POMult]]</f>
        <v>72.55</v>
      </c>
      <c r="AA260" s="4">
        <f>(Games[[#This Row],[Keff]]*Games[[#This Row],[MOVMult]])*(Games[[#This Row],[Result]]-Games[[#This Row],[ExpectedWin%]])</f>
        <v>17.697919230273616</v>
      </c>
      <c r="AB260" s="4">
        <f>Games[[#This Row],[PreGmRate]]+Games[[#This Row],[RatingChange]]</f>
        <v>1425.7744997893687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41497</v>
      </c>
      <c r="B261" s="2">
        <v>2013</v>
      </c>
      <c r="C261" s="2">
        <f>COUNTIFS(Games[Team],Games[[#This Row],[Team]],Games[Season],Games[[#This Row],[Season]],Games[Date],"&lt;=" &amp; Games[[#This Row],[Date]])</f>
        <v>19</v>
      </c>
      <c r="D261" s="2" t="s">
        <v>83</v>
      </c>
      <c r="E261" s="2" t="s">
        <v>84</v>
      </c>
      <c r="F261" s="1" t="s">
        <v>79</v>
      </c>
      <c r="G261" s="1" t="s">
        <v>60</v>
      </c>
      <c r="H261" s="1" t="s">
        <v>86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1527.9715683172803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1408.0765805590952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0.76381566412383151</v>
      </c>
      <c r="R261" s="1">
        <v>82</v>
      </c>
      <c r="S261" s="1">
        <v>88</v>
      </c>
      <c r="T261" s="1">
        <v>0</v>
      </c>
      <c r="U261" s="1">
        <f>Games[[#This Row],[PointsFor]]-Games[[#This Row],[PointsAgainst]]</f>
        <v>-6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0.3193715539636694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73.150000000000006</v>
      </c>
      <c r="Z261" s="4">
        <f>Games[[#This Row],[K]]*Games[[#This Row],[POMult]]</f>
        <v>73.150000000000006</v>
      </c>
      <c r="AA261" s="4">
        <f>(Games[[#This Row],[Keff]]*Games[[#This Row],[MOVMult]])*(Games[[#This Row],[Result]]-Games[[#This Row],[ExpectedWin%]])</f>
        <v>-17.844283827629432</v>
      </c>
      <c r="AB261" s="4">
        <f>Games[[#This Row],[PreGmRate]]+Games[[#This Row],[RatingChange]]</f>
        <v>1510.1272844896509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41497</v>
      </c>
      <c r="B262" s="2">
        <v>2013</v>
      </c>
      <c r="C262" s="2">
        <f>COUNTIFS(Games[Team],Games[[#This Row],[Team]],Games[Season],Games[[#This Row],[Season]],Games[Date],"&lt;=" &amp; Games[[#This Row],[Date]])</f>
        <v>22</v>
      </c>
      <c r="D262" s="2" t="s">
        <v>83</v>
      </c>
      <c r="E262" s="2" t="s">
        <v>84</v>
      </c>
      <c r="F262" s="1" t="s">
        <v>67</v>
      </c>
      <c r="G262" s="1" t="s">
        <v>77</v>
      </c>
      <c r="H262" s="1" t="s">
        <v>85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1</v>
      </c>
      <c r="L262" s="2">
        <f>Games[[#This Row],[OppDaysOff]]-Games[[#This Row],[DaysOff]]</f>
        <v>-1</v>
      </c>
      <c r="M262" s="1">
        <f>MAX(-16, MIN(16, Games[[#This Row],[RestDiff]]*8))</f>
        <v>8</v>
      </c>
      <c r="N262" s="1">
        <f>MAX(-16, MIN(16, Games[[#This Row],[OppRestDiff]]*8))</f>
        <v>-8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1669.030564501433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1563.7372582528553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0.55346420818566644</v>
      </c>
      <c r="R262" s="1">
        <v>86</v>
      </c>
      <c r="S262" s="1">
        <v>94</v>
      </c>
      <c r="T262" s="1">
        <v>1</v>
      </c>
      <c r="U262" s="1">
        <f>Games[[#This Row],[PointsFor]]-Games[[#This Row],[PointsAgainst]]</f>
        <v>-8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0.32129236838619002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-12.927792169462601</v>
      </c>
      <c r="AB262" s="4">
        <f>Games[[#This Row],[PreGmRate]]+Games[[#This Row],[RatingChange]]</f>
        <v>1656.1027723319703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41497</v>
      </c>
      <c r="B263" s="2">
        <v>2013</v>
      </c>
      <c r="C263" s="2">
        <f>COUNTIFS(Games[Team],Games[[#This Row],[Team]],Games[Season],Games[[#This Row],[Season]],Games[Date],"&lt;=" &amp; Games[[#This Row],[Date]])</f>
        <v>22</v>
      </c>
      <c r="D263" s="2" t="s">
        <v>83</v>
      </c>
      <c r="E263" s="2" t="s">
        <v>84</v>
      </c>
      <c r="F263" s="1" t="s">
        <v>77</v>
      </c>
      <c r="G263" s="1" t="s">
        <v>67</v>
      </c>
      <c r="H263" s="1" t="s">
        <v>86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3" s="2">
        <f>Games[[#This Row],[DaysOff]]-Games[[#This Row],[OppDaysOff]]</f>
        <v>-1</v>
      </c>
      <c r="L263" s="2">
        <f>Games[[#This Row],[OppDaysOff]]-Games[[#This Row],[DaysOff]]</f>
        <v>1</v>
      </c>
      <c r="M263" s="1">
        <f>MAX(-16, MIN(16, Games[[#This Row],[RestDiff]]*8))</f>
        <v>-8</v>
      </c>
      <c r="N263" s="1">
        <f>MAX(-16, MIN(16, Games[[#This Row],[OppRestDiff]]*8))</f>
        <v>8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1563.7372582528553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1669.030564501433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0.4465357918143335</v>
      </c>
      <c r="R263" s="1">
        <v>94</v>
      </c>
      <c r="S263" s="1">
        <v>86</v>
      </c>
      <c r="T263" s="1">
        <v>1</v>
      </c>
      <c r="U263" s="1">
        <f>Games[[#This Row],[PointsFor]]-Games[[#This Row],[PointsAgainst]]</f>
        <v>8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0.32129236838619002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12.927792169462601</v>
      </c>
      <c r="AB263" s="4">
        <f>Games[[#This Row],[PreGmRate]]+Games[[#This Row],[RatingChange]]</f>
        <v>1576.665050422318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41497</v>
      </c>
      <c r="B264" s="2">
        <v>2013</v>
      </c>
      <c r="C264" s="2">
        <f>COUNTIFS(Games[Team],Games[[#This Row],[Team]],Games[Season],Games[[#This Row],[Season]],Games[Date],"&lt;=" &amp; Games[[#This Row],[Date]])</f>
        <v>24</v>
      </c>
      <c r="D264" s="2" t="s">
        <v>83</v>
      </c>
      <c r="E264" s="2" t="s">
        <v>84</v>
      </c>
      <c r="F264" s="1" t="s">
        <v>81</v>
      </c>
      <c r="G264" s="1" t="s">
        <v>40</v>
      </c>
      <c r="H264" s="1" t="s">
        <v>85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1416.5707133103779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1445.7962104964245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0.34258890108120282</v>
      </c>
      <c r="R264" s="1">
        <v>56</v>
      </c>
      <c r="S264" s="1">
        <v>77</v>
      </c>
      <c r="T264" s="1">
        <v>0</v>
      </c>
      <c r="U264" s="1">
        <f>Games[[#This Row],[PointsFor]]-Games[[#This Row],[PointsAgainst]]</f>
        <v>-21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0.57458257166136983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72.400000000000006</v>
      </c>
      <c r="Z264" s="4">
        <f>Games[[#This Row],[K]]*Games[[#This Row],[POMult]]</f>
        <v>72.400000000000006</v>
      </c>
      <c r="AA264" s="4">
        <f>(Games[[#This Row],[Keff]]*Games[[#This Row],[MOVMult]])*(Games[[#This Row],[Result]]-Games[[#This Row],[ExpectedWin%]])</f>
        <v>-14.251622294745726</v>
      </c>
      <c r="AB264" s="4">
        <f>Games[[#This Row],[PreGmRate]]+Games[[#This Row],[RatingChange]]</f>
        <v>1402.3190910156322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41497</v>
      </c>
      <c r="B265" s="2">
        <v>2013</v>
      </c>
      <c r="C265" s="2">
        <f>COUNTIFS(Games[Team],Games[[#This Row],[Team]],Games[Season],Games[[#This Row],[Season]],Games[Date],"&lt;=" &amp; Games[[#This Row],[Date]])</f>
        <v>23</v>
      </c>
      <c r="D265" s="2" t="s">
        <v>83</v>
      </c>
      <c r="E265" s="2" t="s">
        <v>84</v>
      </c>
      <c r="F265" s="1" t="s">
        <v>40</v>
      </c>
      <c r="G265" s="1" t="s">
        <v>81</v>
      </c>
      <c r="H265" s="1" t="s">
        <v>86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1445.7962104964245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1416.5707133103779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0.65741109891879712</v>
      </c>
      <c r="R265" s="1">
        <v>77</v>
      </c>
      <c r="S265" s="1">
        <v>56</v>
      </c>
      <c r="T265" s="1">
        <v>0</v>
      </c>
      <c r="U265" s="1">
        <f>Games[[#This Row],[PointsFor]]-Games[[#This Row],[PointsAgainst]]</f>
        <v>21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0.57458257166136983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14.281149136516607</v>
      </c>
      <c r="AB265" s="4">
        <f>Games[[#This Row],[PreGmRate]]+Games[[#This Row],[RatingChange]]</f>
        <v>1460.0773596329411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41497</v>
      </c>
      <c r="B266" s="2">
        <v>2013</v>
      </c>
      <c r="C266" s="2">
        <f>COUNTIFS(Games[Team],Games[[#This Row],[Team]],Games[Season],Games[[#This Row],[Season]],Games[Date],"&lt;=" &amp; Games[[#This Row],[Date]])</f>
        <v>23</v>
      </c>
      <c r="D266" s="2" t="s">
        <v>83</v>
      </c>
      <c r="E266" s="2" t="s">
        <v>84</v>
      </c>
      <c r="F266" s="1" t="s">
        <v>74</v>
      </c>
      <c r="G266" s="1" t="s">
        <v>71</v>
      </c>
      <c r="H266" s="1" t="s">
        <v>85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1459.6239100334219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1456.4943916350846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0.38567527120733452</v>
      </c>
      <c r="R266" s="1">
        <v>63</v>
      </c>
      <c r="S266" s="1">
        <v>69</v>
      </c>
      <c r="T266" s="1">
        <v>0</v>
      </c>
      <c r="U266" s="1">
        <f>Games[[#This Row],[PointsFor]]-Games[[#This Row],[PointsAgainst]]</f>
        <v>-6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0.35036702770817213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72.55</v>
      </c>
      <c r="Z266" s="4">
        <f>Games[[#This Row],[K]]*Games[[#This Row],[POMult]]</f>
        <v>72.55</v>
      </c>
      <c r="AA266" s="4">
        <f>(Games[[#This Row],[Keff]]*Games[[#This Row],[MOVMult]])*(Games[[#This Row],[Result]]-Games[[#This Row],[ExpectedWin%]])</f>
        <v>-9.8035290313473045</v>
      </c>
      <c r="AB266" s="4">
        <f>Games[[#This Row],[PreGmRate]]+Games[[#This Row],[RatingChange]]</f>
        <v>1449.8203810020746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41497</v>
      </c>
      <c r="B267" s="2">
        <v>2013</v>
      </c>
      <c r="C267" s="2">
        <f>COUNTIFS(Games[Team],Games[[#This Row],[Team]],Games[Season],Games[[#This Row],[Season]],Games[Date],"&lt;=" &amp; Games[[#This Row],[Date]])</f>
        <v>22</v>
      </c>
      <c r="D267" s="2" t="s">
        <v>83</v>
      </c>
      <c r="E267" s="2" t="s">
        <v>84</v>
      </c>
      <c r="F267" s="1" t="s">
        <v>71</v>
      </c>
      <c r="G267" s="1" t="s">
        <v>74</v>
      </c>
      <c r="H267" s="1" t="s">
        <v>86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1456.4943916350846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1459.6239100334219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0.61432472879266542</v>
      </c>
      <c r="R267" s="1">
        <v>69</v>
      </c>
      <c r="S267" s="1">
        <v>63</v>
      </c>
      <c r="T267" s="1">
        <v>0</v>
      </c>
      <c r="U267" s="1">
        <f>Games[[#This Row],[PointsFor]]-Games[[#This Row],[PointsAgainst]]</f>
        <v>6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0.35036702770817213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9.8237982161123245</v>
      </c>
      <c r="AB267" s="4">
        <f>Games[[#This Row],[PreGmRate]]+Games[[#This Row],[RatingChange]]</f>
        <v>1466.3181898511971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41497</v>
      </c>
      <c r="B268" s="2">
        <v>2013</v>
      </c>
      <c r="C268" s="2">
        <f>COUNTIFS(Games[Team],Games[[#This Row],[Team]],Games[Season],Games[[#This Row],[Season]],Games[Date],"&lt;=" &amp; Games[[#This Row],[Date]])</f>
        <v>21</v>
      </c>
      <c r="D268" s="2" t="s">
        <v>83</v>
      </c>
      <c r="E268" s="2" t="s">
        <v>84</v>
      </c>
      <c r="F268" s="1" t="s">
        <v>76</v>
      </c>
      <c r="G268" s="1" t="s">
        <v>65</v>
      </c>
      <c r="H268" s="1" t="s">
        <v>85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1440.829176488031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1407.5238734667619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0.40518045510763612</v>
      </c>
      <c r="R268" s="1">
        <v>63</v>
      </c>
      <c r="S268" s="1">
        <v>74</v>
      </c>
      <c r="T268" s="1">
        <v>0</v>
      </c>
      <c r="U268" s="1">
        <f>Games[[#This Row],[PointsFor]]-Games[[#This Row],[PointsAgainst]]</f>
        <v>-11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0.42795823792874377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72.849999999999994</v>
      </c>
      <c r="Z268" s="4">
        <f>Games[[#This Row],[K]]*Games[[#This Row],[POMult]]</f>
        <v>72.849999999999994</v>
      </c>
      <c r="AA268" s="4">
        <f>(Games[[#This Row],[Keff]]*Games[[#This Row],[MOVMult]])*(Games[[#This Row],[Result]]-Games[[#This Row],[ExpectedWin%]])</f>
        <v>-12.632212846563565</v>
      </c>
      <c r="AB268" s="4">
        <f>Games[[#This Row],[PreGmRate]]+Games[[#This Row],[RatingChange]]</f>
        <v>1428.1969636414674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41497</v>
      </c>
      <c r="B269" s="2">
        <v>2013</v>
      </c>
      <c r="C269" s="2">
        <f>COUNTIFS(Games[Team],Games[[#This Row],[Team]],Games[Season],Games[[#This Row],[Season]],Games[Date],"&lt;=" &amp; Games[[#This Row],[Date]])</f>
        <v>24</v>
      </c>
      <c r="D269" s="2" t="s">
        <v>83</v>
      </c>
      <c r="E269" s="2" t="s">
        <v>84</v>
      </c>
      <c r="F269" s="1" t="s">
        <v>65</v>
      </c>
      <c r="G269" s="1" t="s">
        <v>76</v>
      </c>
      <c r="H269" s="1" t="s">
        <v>86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1407.5238734667619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1440.829176488031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0.59481954489236388</v>
      </c>
      <c r="R269" s="1">
        <v>74</v>
      </c>
      <c r="S269" s="1">
        <v>63</v>
      </c>
      <c r="T269" s="1">
        <v>0</v>
      </c>
      <c r="U269" s="1">
        <f>Games[[#This Row],[PointsFor]]-Games[[#This Row],[PointsAgainst]]</f>
        <v>11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0.42795823792874377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72.400000000000006</v>
      </c>
      <c r="Z269" s="4">
        <f>Games[[#This Row],[K]]*Games[[#This Row],[POMult]]</f>
        <v>72.400000000000006</v>
      </c>
      <c r="AA269" s="4">
        <f>(Games[[#This Row],[Keff]]*Games[[#This Row],[MOVMult]])*(Games[[#This Row],[Result]]-Games[[#This Row],[ExpectedWin%]])</f>
        <v>12.554182705438604</v>
      </c>
      <c r="AB269" s="4">
        <f>Games[[#This Row],[PreGmRate]]+Games[[#This Row],[RatingChange]]</f>
        <v>1420.0780561722004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41499</v>
      </c>
      <c r="B270" s="2">
        <v>2013</v>
      </c>
      <c r="C270" s="2">
        <f>COUNTIFS(Games[Team],Games[[#This Row],[Team]],Games[Season],Games[[#This Row],[Season]],Games[Date],"&lt;=" &amp; Games[[#This Row],[Date]])</f>
        <v>23</v>
      </c>
      <c r="D270" s="2" t="s">
        <v>83</v>
      </c>
      <c r="E270" s="2" t="s">
        <v>84</v>
      </c>
      <c r="F270" s="1" t="s">
        <v>77</v>
      </c>
      <c r="G270" s="1" t="s">
        <v>63</v>
      </c>
      <c r="H270" s="1" t="s">
        <v>85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1576.665050422318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1639.3100477570117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0.28165645098780595</v>
      </c>
      <c r="R270" s="1">
        <v>76</v>
      </c>
      <c r="S270" s="1">
        <v>80</v>
      </c>
      <c r="T270" s="1">
        <v>0</v>
      </c>
      <c r="U270" s="1">
        <f>Games[[#This Row],[PointsFor]]-Games[[#This Row],[PointsAgainst]]</f>
        <v>-4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0.29598127951525249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72.55</v>
      </c>
      <c r="Z270" s="4">
        <f>Games[[#This Row],[K]]*Games[[#This Row],[POMult]]</f>
        <v>72.55</v>
      </c>
      <c r="AA270" s="4">
        <f>(Games[[#This Row],[Keff]]*Games[[#This Row],[MOVMult]])*(Games[[#This Row],[Result]]-Games[[#This Row],[ExpectedWin%]])</f>
        <v>-6.048133416001801</v>
      </c>
      <c r="AB270" s="4">
        <f>Games[[#This Row],[PreGmRate]]+Games[[#This Row],[RatingChange]]</f>
        <v>1570.6169170063163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41499</v>
      </c>
      <c r="B271" s="2">
        <v>2013</v>
      </c>
      <c r="C271" s="2">
        <f>COUNTIFS(Games[Team],Games[[#This Row],[Team]],Games[Season],Games[[#This Row],[Season]],Games[Date],"&lt;=" &amp; Games[[#This Row],[Date]])</f>
        <v>24</v>
      </c>
      <c r="D271" s="2" t="s">
        <v>83</v>
      </c>
      <c r="E271" s="2" t="s">
        <v>84</v>
      </c>
      <c r="F271" s="1" t="s">
        <v>63</v>
      </c>
      <c r="G271" s="1" t="s">
        <v>77</v>
      </c>
      <c r="H271" s="1" t="s">
        <v>86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1639.3100477570117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1576.665050422318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0.71834354901219399</v>
      </c>
      <c r="R271" s="1">
        <v>80</v>
      </c>
      <c r="S271" s="1">
        <v>76</v>
      </c>
      <c r="T271" s="1">
        <v>0</v>
      </c>
      <c r="U271" s="1">
        <f>Games[[#This Row],[PointsFor]]-Games[[#This Row],[PointsAgainst]]</f>
        <v>4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0.29598127951525249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72.400000000000006</v>
      </c>
      <c r="Z271" s="4">
        <f>Games[[#This Row],[K]]*Games[[#This Row],[POMult]]</f>
        <v>72.400000000000006</v>
      </c>
      <c r="AA271" s="4">
        <f>(Games[[#This Row],[Keff]]*Games[[#This Row],[MOVMult]])*(Games[[#This Row],[Result]]-Games[[#This Row],[ExpectedWin%]])</f>
        <v>6.0356286604897385</v>
      </c>
      <c r="AB271" s="4">
        <f>Games[[#This Row],[PreGmRate]]+Games[[#This Row],[RatingChange]]</f>
        <v>1645.3456764175014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41500</v>
      </c>
      <c r="B272" s="2">
        <v>2013</v>
      </c>
      <c r="C272" s="2">
        <f>COUNTIFS(Games[Team],Games[[#This Row],[Team]],Games[Season],Games[[#This Row],[Season]],Games[Date],"&lt;=" &amp; Games[[#This Row],[Date]])</f>
        <v>20</v>
      </c>
      <c r="D272" s="2" t="s">
        <v>83</v>
      </c>
      <c r="E272" s="2" t="s">
        <v>84</v>
      </c>
      <c r="F272" s="1" t="s">
        <v>79</v>
      </c>
      <c r="G272" s="1" t="s">
        <v>76</v>
      </c>
      <c r="H272" s="1" t="s">
        <v>85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1510.1272844896509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1428.1969636414674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0.49702152750489959</v>
      </c>
      <c r="R272" s="1">
        <v>86</v>
      </c>
      <c r="S272" s="1">
        <v>88</v>
      </c>
      <c r="T272" s="1">
        <v>0</v>
      </c>
      <c r="U272" s="1">
        <f>Games[[#This Row],[PointsFor]]-Games[[#This Row],[PointsAgainst]]</f>
        <v>-2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0.25072313193976453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</v>
      </c>
      <c r="Z272" s="4">
        <f>Games[[#This Row],[K]]*Games[[#This Row],[POMult]]</f>
        <v>73</v>
      </c>
      <c r="AA272" s="4">
        <f>(Games[[#This Row],[Keff]]*Games[[#This Row],[MOVMult]])*(Games[[#This Row],[Result]]-Games[[#This Row],[ExpectedWin%]])</f>
        <v>-9.0968799632785409</v>
      </c>
      <c r="AB272" s="4">
        <f>Games[[#This Row],[PreGmRate]]+Games[[#This Row],[RatingChange]]</f>
        <v>1501.0304045263724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41500</v>
      </c>
      <c r="B273" s="2">
        <v>2013</v>
      </c>
      <c r="C273" s="2">
        <f>COUNTIFS(Games[Team],Games[[#This Row],[Team]],Games[Season],Games[[#This Row],[Season]],Games[Date],"&lt;=" &amp; Games[[#This Row],[Date]])</f>
        <v>22</v>
      </c>
      <c r="D273" s="2" t="s">
        <v>83</v>
      </c>
      <c r="E273" s="2" t="s">
        <v>84</v>
      </c>
      <c r="F273" s="1" t="s">
        <v>76</v>
      </c>
      <c r="G273" s="1" t="s">
        <v>79</v>
      </c>
      <c r="H273" s="1" t="s">
        <v>86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1428.1969636414674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1510.1272844896509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0.5029784724951003</v>
      </c>
      <c r="R273" s="1">
        <v>88</v>
      </c>
      <c r="S273" s="1">
        <v>86</v>
      </c>
      <c r="T273" s="1">
        <v>0</v>
      </c>
      <c r="U273" s="1">
        <f>Games[[#This Row],[PointsFor]]-Games[[#This Row],[PointsAgainst]]</f>
        <v>2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0.25072313193976453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72.7</v>
      </c>
      <c r="Z273" s="4">
        <f>Games[[#This Row],[K]]*Games[[#This Row],[POMult]]</f>
        <v>72.7</v>
      </c>
      <c r="AA273" s="4">
        <f>(Games[[#This Row],[Keff]]*Games[[#This Row],[MOVMult]])*(Games[[#This Row],[Result]]-Games[[#This Row],[ExpectedWin%]])</f>
        <v>9.059495525073288</v>
      </c>
      <c r="AB273" s="4">
        <f>Games[[#This Row],[PreGmRate]]+Games[[#This Row],[RatingChange]]</f>
        <v>1437.2564591665407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41500</v>
      </c>
      <c r="B274" s="2">
        <v>2013</v>
      </c>
      <c r="C274" s="2">
        <f>COUNTIFS(Games[Team],Games[[#This Row],[Team]],Games[Season],Games[[#This Row],[Season]],Games[Date],"&lt;=" &amp; Games[[#This Row],[Date]])</f>
        <v>23</v>
      </c>
      <c r="D274" s="2" t="s">
        <v>83</v>
      </c>
      <c r="E274" s="2" t="s">
        <v>84</v>
      </c>
      <c r="F274" s="1" t="s">
        <v>69</v>
      </c>
      <c r="G274" s="1" t="s">
        <v>40</v>
      </c>
      <c r="H274" s="1" t="s">
        <v>85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1</v>
      </c>
      <c r="L274" s="2">
        <f>Games[[#This Row],[OppDaysOff]]-Games[[#This Row],[DaysOff]]</f>
        <v>-1</v>
      </c>
      <c r="M274" s="1">
        <f>MAX(-16, MIN(16, Games[[#This Row],[RestDiff]]*8))</f>
        <v>8</v>
      </c>
      <c r="N274" s="1">
        <f>MAX(-16, MIN(16, Games[[#This Row],[OppRestDiff]]*8))</f>
        <v>-8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1569.0451386552077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1460.0773596329411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0.55868563889825029</v>
      </c>
      <c r="R274" s="1">
        <v>58</v>
      </c>
      <c r="S274" s="1">
        <v>75</v>
      </c>
      <c r="T274" s="1">
        <v>0</v>
      </c>
      <c r="U274" s="1">
        <f>Games[[#This Row],[PointsFor]]-Games[[#This Row],[PointsAgainst]]</f>
        <v>-17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0.48811780789260212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-19.784704899074658</v>
      </c>
      <c r="AB274" s="4">
        <f>Games[[#This Row],[PreGmRate]]+Games[[#This Row],[RatingChange]]</f>
        <v>1549.2604337561329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41500</v>
      </c>
      <c r="B275" s="2">
        <v>2013</v>
      </c>
      <c r="C275" s="2">
        <f>COUNTIFS(Games[Team],Games[[#This Row],[Team]],Games[Season],Games[[#This Row],[Season]],Games[Date],"&lt;=" &amp; Games[[#This Row],[Date]])</f>
        <v>24</v>
      </c>
      <c r="D275" s="2" t="s">
        <v>83</v>
      </c>
      <c r="E275" s="2" t="s">
        <v>84</v>
      </c>
      <c r="F275" s="1" t="s">
        <v>40</v>
      </c>
      <c r="G275" s="1" t="s">
        <v>69</v>
      </c>
      <c r="H275" s="1" t="s">
        <v>86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5" s="2">
        <f>Games[[#This Row],[DaysOff]]-Games[[#This Row],[OppDaysOff]]</f>
        <v>-1</v>
      </c>
      <c r="L275" s="2">
        <f>Games[[#This Row],[OppDaysOff]]-Games[[#This Row],[DaysOff]]</f>
        <v>1</v>
      </c>
      <c r="M275" s="1">
        <f>MAX(-16, MIN(16, Games[[#This Row],[RestDiff]]*8))</f>
        <v>-8</v>
      </c>
      <c r="N275" s="1">
        <f>MAX(-16, MIN(16, Games[[#This Row],[OppRestDiff]]*8))</f>
        <v>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1460.0773596329411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1569.0451386552077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0.44131436110174965</v>
      </c>
      <c r="R275" s="1">
        <v>75</v>
      </c>
      <c r="S275" s="1">
        <v>58</v>
      </c>
      <c r="T275" s="1">
        <v>0</v>
      </c>
      <c r="U275" s="1">
        <f>Games[[#This Row],[PointsFor]]-Games[[#This Row],[PointsAgainst]]</f>
        <v>17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0.48811780789260212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19.743799237670654</v>
      </c>
      <c r="AB275" s="4">
        <f>Games[[#This Row],[PreGmRate]]+Games[[#This Row],[RatingChange]]</f>
        <v>1479.8211588706117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41501</v>
      </c>
      <c r="B276" s="2">
        <v>2013</v>
      </c>
      <c r="C276" s="2">
        <f>COUNTIFS(Games[Team],Games[[#This Row],[Team]],Games[Season],Games[[#This Row],[Season]],Games[Date],"&lt;=" &amp; Games[[#This Row],[Date]])</f>
        <v>24</v>
      </c>
      <c r="D276" s="2" t="s">
        <v>83</v>
      </c>
      <c r="E276" s="2" t="s">
        <v>84</v>
      </c>
      <c r="F276" s="1" t="s">
        <v>77</v>
      </c>
      <c r="G276" s="1" t="s">
        <v>71</v>
      </c>
      <c r="H276" s="1" t="s">
        <v>85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6" s="2">
        <f>Games[[#This Row],[DaysOff]]-Games[[#This Row],[OppDaysOff]]</f>
        <v>-2</v>
      </c>
      <c r="L276" s="2">
        <f>Games[[#This Row],[OppDaysOff]]-Games[[#This Row],[DaysOff]]</f>
        <v>2</v>
      </c>
      <c r="M276" s="1">
        <f>MAX(-16, MIN(16, Games[[#This Row],[RestDiff]]*8))</f>
        <v>-16</v>
      </c>
      <c r="N276" s="1">
        <f>MAX(-16, MIN(16, Games[[#This Row],[OppRestDiff]]*8))</f>
        <v>16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1570.6169170063163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1466.3181898511971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0.48316687870721003</v>
      </c>
      <c r="R276" s="1">
        <v>79</v>
      </c>
      <c r="S276" s="1">
        <v>66</v>
      </c>
      <c r="T276" s="1">
        <v>0</v>
      </c>
      <c r="U276" s="1">
        <f>Games[[#This Row],[PointsFor]]-Games[[#This Row],[PointsAgainst]]</f>
        <v>13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0.4342966032117988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72.400000000000006</v>
      </c>
      <c r="Z276" s="4">
        <f>Games[[#This Row],[K]]*Games[[#This Row],[POMult]]</f>
        <v>72.400000000000006</v>
      </c>
      <c r="AA276" s="4">
        <f>(Games[[#This Row],[Keff]]*Games[[#This Row],[MOVMult]])*(Games[[#This Row],[Result]]-Games[[#This Row],[ExpectedWin%]])</f>
        <v>16.250822115948264</v>
      </c>
      <c r="AB276" s="4">
        <f>Games[[#This Row],[PreGmRate]]+Games[[#This Row],[RatingChange]]</f>
        <v>1586.8677391222645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41501</v>
      </c>
      <c r="B277" s="2">
        <v>2013</v>
      </c>
      <c r="C277" s="2">
        <f>COUNTIFS(Games[Team],Games[[#This Row],[Team]],Games[Season],Games[[#This Row],[Season]],Games[Date],"&lt;=" &amp; Games[[#This Row],[Date]])</f>
        <v>23</v>
      </c>
      <c r="D277" s="2" t="s">
        <v>83</v>
      </c>
      <c r="E277" s="2" t="s">
        <v>84</v>
      </c>
      <c r="F277" s="1" t="s">
        <v>71</v>
      </c>
      <c r="G277" s="1" t="s">
        <v>77</v>
      </c>
      <c r="H277" s="1" t="s">
        <v>86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2</v>
      </c>
      <c r="L277" s="2">
        <f>Games[[#This Row],[OppDaysOff]]-Games[[#This Row],[DaysOff]]</f>
        <v>-2</v>
      </c>
      <c r="M277" s="1">
        <f>MAX(-16, MIN(16, Games[[#This Row],[RestDiff]]*8))</f>
        <v>16</v>
      </c>
      <c r="N277" s="1">
        <f>MAX(-16, MIN(16, Games[[#This Row],[OppRestDiff]]*8))</f>
        <v>-16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1466.3181898511971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1570.6169170063163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0.51683312129278991</v>
      </c>
      <c r="R277" s="1">
        <v>66</v>
      </c>
      <c r="S277" s="1">
        <v>79</v>
      </c>
      <c r="T277" s="1">
        <v>0</v>
      </c>
      <c r="U277" s="1">
        <f>Games[[#This Row],[PointsFor]]-Games[[#This Row],[PointsAgainst]]</f>
        <v>-13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0.4342966032117988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-16.284490946298984</v>
      </c>
      <c r="AB277" s="4">
        <f>Games[[#This Row],[PreGmRate]]+Games[[#This Row],[RatingChange]]</f>
        <v>1450.0336989048981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41502</v>
      </c>
      <c r="B278" s="2">
        <v>2013</v>
      </c>
      <c r="C278" s="2">
        <f>COUNTIFS(Games[Team],Games[[#This Row],[Team]],Games[Season],Games[[#This Row],[Season]],Games[Date],"&lt;=" &amp; Games[[#This Row],[Date]])</f>
        <v>23</v>
      </c>
      <c r="D278" s="2" t="s">
        <v>83</v>
      </c>
      <c r="E278" s="2" t="s">
        <v>84</v>
      </c>
      <c r="F278" s="1" t="s">
        <v>76</v>
      </c>
      <c r="G278" s="1" t="s">
        <v>79</v>
      </c>
      <c r="H278" s="1" t="s">
        <v>85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1437.2564591665407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1501.0304045263724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0.29929543048806828</v>
      </c>
      <c r="R278" s="1">
        <v>57</v>
      </c>
      <c r="S278" s="1">
        <v>88</v>
      </c>
      <c r="T278" s="1">
        <v>0</v>
      </c>
      <c r="U278" s="1">
        <f>Games[[#This Row],[PointsFor]]-Games[[#This Row],[PointsAgainst]]</f>
        <v>-31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0.67937897581730167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-14.751955920955799</v>
      </c>
      <c r="AB278" s="4">
        <f>Games[[#This Row],[PreGmRate]]+Games[[#This Row],[RatingChange]]</f>
        <v>1422.5045032455848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41502</v>
      </c>
      <c r="B279" s="2">
        <v>2013</v>
      </c>
      <c r="C279" s="2">
        <f>COUNTIFS(Games[Team],Games[[#This Row],[Team]],Games[Season],Games[[#This Row],[Season]],Games[Date],"&lt;=" &amp; Games[[#This Row],[Date]])</f>
        <v>21</v>
      </c>
      <c r="D279" s="2" t="s">
        <v>83</v>
      </c>
      <c r="E279" s="2" t="s">
        <v>84</v>
      </c>
      <c r="F279" s="1" t="s">
        <v>79</v>
      </c>
      <c r="G279" s="1" t="s">
        <v>76</v>
      </c>
      <c r="H279" s="1" t="s">
        <v>86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1501.0304045263724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1437.2564591665407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0.70070456951193172</v>
      </c>
      <c r="R279" s="1">
        <v>88</v>
      </c>
      <c r="S279" s="1">
        <v>57</v>
      </c>
      <c r="T279" s="1">
        <v>0</v>
      </c>
      <c r="U279" s="1">
        <f>Games[[#This Row],[PointsFor]]-Games[[#This Row],[PointsAgainst]]</f>
        <v>31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0.67937897581730167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72.849999999999994</v>
      </c>
      <c r="Z279" s="4">
        <f>Games[[#This Row],[K]]*Games[[#This Row],[POMult]]</f>
        <v>72.849999999999994</v>
      </c>
      <c r="AA279" s="4">
        <f>(Games[[#This Row],[Keff]]*Games[[#This Row],[MOVMult]])*(Games[[#This Row],[Result]]-Games[[#This Row],[ExpectedWin%]])</f>
        <v>14.812956427865336</v>
      </c>
      <c r="AB279" s="4">
        <f>Games[[#This Row],[PreGmRate]]+Games[[#This Row],[RatingChange]]</f>
        <v>1515.8433609542378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41502</v>
      </c>
      <c r="B280" s="2">
        <v>2013</v>
      </c>
      <c r="C280" s="2">
        <f>COUNTIFS(Games[Team],Games[[#This Row],[Team]],Games[Season],Games[[#This Row],[Season]],Games[Date],"&lt;=" &amp; Games[[#This Row],[Date]])</f>
        <v>24</v>
      </c>
      <c r="D280" s="2" t="s">
        <v>83</v>
      </c>
      <c r="E280" s="2" t="s">
        <v>84</v>
      </c>
      <c r="F280" s="1" t="s">
        <v>69</v>
      </c>
      <c r="G280" s="1" t="s">
        <v>63</v>
      </c>
      <c r="H280" s="1" t="s">
        <v>85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-1</v>
      </c>
      <c r="L280" s="2">
        <f>Games[[#This Row],[OppDaysOff]]-Games[[#This Row],[DaysOff]]</f>
        <v>1</v>
      </c>
      <c r="M280" s="1">
        <f>MAX(-16, MIN(16, Games[[#This Row],[RestDiff]]*8))</f>
        <v>-8</v>
      </c>
      <c r="N280" s="1">
        <f>MAX(-16, MIN(16, Games[[#This Row],[OppRestDiff]]*8))</f>
        <v>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1549.2604337561329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1645.3456764175014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0.24439049274815999</v>
      </c>
      <c r="R280" s="1">
        <v>72</v>
      </c>
      <c r="S280" s="1">
        <v>94</v>
      </c>
      <c r="T280" s="1">
        <v>0</v>
      </c>
      <c r="U280" s="1">
        <f>Games[[#This Row],[PointsFor]]-Games[[#This Row],[PointsAgainst]]</f>
        <v>-22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0.5574227541551976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-9.8629666807286238</v>
      </c>
      <c r="AB280" s="4">
        <f>Games[[#This Row],[PreGmRate]]+Games[[#This Row],[RatingChange]]</f>
        <v>1539.3974670754042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41502</v>
      </c>
      <c r="B281" s="2">
        <v>2013</v>
      </c>
      <c r="C281" s="2">
        <f>COUNTIFS(Games[Team],Games[[#This Row],[Team]],Games[Season],Games[[#This Row],[Season]],Games[Date],"&lt;=" &amp; Games[[#This Row],[Date]])</f>
        <v>25</v>
      </c>
      <c r="D281" s="2" t="s">
        <v>83</v>
      </c>
      <c r="E281" s="2" t="s">
        <v>84</v>
      </c>
      <c r="F281" s="1" t="s">
        <v>63</v>
      </c>
      <c r="G281" s="1" t="s">
        <v>69</v>
      </c>
      <c r="H281" s="1" t="s">
        <v>86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1</v>
      </c>
      <c r="L281" s="2">
        <f>Games[[#This Row],[OppDaysOff]]-Games[[#This Row],[DaysOff]]</f>
        <v>-1</v>
      </c>
      <c r="M281" s="1">
        <f>MAX(-16, MIN(16, Games[[#This Row],[RestDiff]]*8))</f>
        <v>8</v>
      </c>
      <c r="N281" s="1">
        <f>MAX(-16, MIN(16, Games[[#This Row],[OppRestDiff]]*8))</f>
        <v>-8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1645.3456764175014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1549.2604337561329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0.75560950725184006</v>
      </c>
      <c r="R281" s="1">
        <v>94</v>
      </c>
      <c r="S281" s="1">
        <v>72</v>
      </c>
      <c r="T281" s="1">
        <v>0</v>
      </c>
      <c r="U281" s="1">
        <f>Games[[#This Row],[PointsFor]]-Games[[#This Row],[PointsAgainst]]</f>
        <v>22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0.5574227541551976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72.25</v>
      </c>
      <c r="Z281" s="4">
        <f>Games[[#This Row],[K]]*Games[[#This Row],[POMult]]</f>
        <v>72.25</v>
      </c>
      <c r="AA281" s="4">
        <f>(Games[[#This Row],[Keff]]*Games[[#This Row],[MOVMult]])*(Games[[#This Row],[Result]]-Games[[#This Row],[ExpectedWin%]])</f>
        <v>9.8425323574950685</v>
      </c>
      <c r="AB281" s="4">
        <f>Games[[#This Row],[PreGmRate]]+Games[[#This Row],[RatingChange]]</f>
        <v>1655.1882087749964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41502</v>
      </c>
      <c r="B282" s="2">
        <v>2013</v>
      </c>
      <c r="C282" s="2">
        <f>COUNTIFS(Games[Team],Games[[#This Row],[Team]],Games[Season],Games[[#This Row],[Season]],Games[Date],"&lt;=" &amp; Games[[#This Row],[Date]])</f>
        <v>25</v>
      </c>
      <c r="D282" s="2" t="s">
        <v>83</v>
      </c>
      <c r="E282" s="2" t="s">
        <v>84</v>
      </c>
      <c r="F282" s="1" t="s">
        <v>81</v>
      </c>
      <c r="G282" s="1" t="s">
        <v>67</v>
      </c>
      <c r="H282" s="1" t="s">
        <v>85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1402.3190910156322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1656.1027723319703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0.12516097675915722</v>
      </c>
      <c r="R282" s="1">
        <v>83</v>
      </c>
      <c r="S282" s="1">
        <v>77</v>
      </c>
      <c r="T282" s="1">
        <v>0</v>
      </c>
      <c r="U282" s="1">
        <f>Games[[#This Row],[PointsFor]]-Games[[#This Row],[PointsAgainst]]</f>
        <v>6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0.28995848469526542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72.25</v>
      </c>
      <c r="Z282" s="4">
        <f>Games[[#This Row],[K]]*Games[[#This Row],[POMult]]</f>
        <v>72.25</v>
      </c>
      <c r="AA282" s="4">
        <f>(Games[[#This Row],[Keff]]*Games[[#This Row],[MOVMult]])*(Games[[#This Row],[Result]]-Games[[#This Row],[ExpectedWin%]])</f>
        <v>18.327440571629261</v>
      </c>
      <c r="AB282" s="4">
        <f>Games[[#This Row],[PreGmRate]]+Games[[#This Row],[RatingChange]]</f>
        <v>1420.6465315872615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41502</v>
      </c>
      <c r="B283" s="2">
        <v>2013</v>
      </c>
      <c r="C283" s="2">
        <f>COUNTIFS(Games[Team],Games[[#This Row],[Team]],Games[Season],Games[[#This Row],[Season]],Games[Date],"&lt;=" &amp; Games[[#This Row],[Date]])</f>
        <v>23</v>
      </c>
      <c r="D283" s="2" t="s">
        <v>83</v>
      </c>
      <c r="E283" s="2" t="s">
        <v>84</v>
      </c>
      <c r="F283" s="1" t="s">
        <v>67</v>
      </c>
      <c r="G283" s="1" t="s">
        <v>81</v>
      </c>
      <c r="H283" s="1" t="s">
        <v>86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1656.1027723319703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1402.3190910156322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0.87483902324084273</v>
      </c>
      <c r="R283" s="1">
        <v>77</v>
      </c>
      <c r="S283" s="1">
        <v>83</v>
      </c>
      <c r="T283" s="1">
        <v>0</v>
      </c>
      <c r="U283" s="1">
        <f>Games[[#This Row],[PointsFor]]-Games[[#This Row],[PointsAgainst]]</f>
        <v>-6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0.28995848469526542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72.55</v>
      </c>
      <c r="Z283" s="4">
        <f>Games[[#This Row],[K]]*Games[[#This Row],[POMult]]</f>
        <v>72.55</v>
      </c>
      <c r="AA283" s="4">
        <f>(Games[[#This Row],[Keff]]*Games[[#This Row],[MOVMult]])*(Games[[#This Row],[Result]]-Games[[#This Row],[ExpectedWin%]])</f>
        <v>-18.403540670888621</v>
      </c>
      <c r="AB283" s="4">
        <f>Games[[#This Row],[PreGmRate]]+Games[[#This Row],[RatingChange]]</f>
        <v>1637.6992316610817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41502</v>
      </c>
      <c r="B284" s="2">
        <v>2013</v>
      </c>
      <c r="C284" s="2">
        <f>COUNTIFS(Games[Team],Games[[#This Row],[Team]],Games[Season],Games[[#This Row],[Season]],Games[Date],"&lt;=" &amp; Games[[#This Row],[Date]])</f>
        <v>25</v>
      </c>
      <c r="D284" s="2" t="s">
        <v>83</v>
      </c>
      <c r="E284" s="2" t="s">
        <v>84</v>
      </c>
      <c r="F284" s="1" t="s">
        <v>65</v>
      </c>
      <c r="G284" s="1" t="s">
        <v>60</v>
      </c>
      <c r="H284" s="1" t="s">
        <v>85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1420.0780561722004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1425.7744997893687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0.37370981091737632</v>
      </c>
      <c r="R284" s="1">
        <v>66</v>
      </c>
      <c r="S284" s="1">
        <v>57</v>
      </c>
      <c r="T284" s="1">
        <v>0</v>
      </c>
      <c r="U284" s="1">
        <f>Games[[#This Row],[PointsFor]]-Games[[#This Row],[PointsAgainst]]</f>
        <v>9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0.4040534706357447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72.25</v>
      </c>
      <c r="Z284" s="4">
        <f>Games[[#This Row],[K]]*Games[[#This Row],[POMult]]</f>
        <v>72.25</v>
      </c>
      <c r="AA284" s="4">
        <f>(Games[[#This Row],[Keff]]*Games[[#This Row],[MOVMult]])*(Games[[#This Row],[Result]]-Games[[#This Row],[ExpectedWin%]])</f>
        <v>18.283203846855454</v>
      </c>
      <c r="AB284" s="4">
        <f>Games[[#This Row],[PreGmRate]]+Games[[#This Row],[RatingChange]]</f>
        <v>1438.3612600190559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41502</v>
      </c>
      <c r="B285" s="2">
        <v>2013</v>
      </c>
      <c r="C285" s="2">
        <f>COUNTIFS(Games[Team],Games[[#This Row],[Team]],Games[Season],Games[[#This Row],[Season]],Games[Date],"&lt;=" &amp; Games[[#This Row],[Date]])</f>
        <v>24</v>
      </c>
      <c r="D285" s="2" t="s">
        <v>83</v>
      </c>
      <c r="E285" s="2" t="s">
        <v>84</v>
      </c>
      <c r="F285" s="1" t="s">
        <v>60</v>
      </c>
      <c r="G285" s="1" t="s">
        <v>65</v>
      </c>
      <c r="H285" s="1" t="s">
        <v>86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1425.7744997893687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1420.0780561722004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0.62629018908262379</v>
      </c>
      <c r="R285" s="1">
        <v>57</v>
      </c>
      <c r="S285" s="1">
        <v>66</v>
      </c>
      <c r="T285" s="1">
        <v>0</v>
      </c>
      <c r="U285" s="1">
        <f>Games[[#This Row],[PointsFor]]-Games[[#This Row],[PointsAgainst]]</f>
        <v>-9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0.4040534706357447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-18.32116205553405</v>
      </c>
      <c r="AB285" s="4">
        <f>Games[[#This Row],[PreGmRate]]+Games[[#This Row],[RatingChange]]</f>
        <v>1407.4533377338346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41503</v>
      </c>
      <c r="B286" s="2">
        <v>2013</v>
      </c>
      <c r="C286" s="2">
        <f>COUNTIFS(Games[Team],Games[[#This Row],[Team]],Games[Season],Games[[#This Row],[Season]],Games[Date],"&lt;=" &amp; Games[[#This Row],[Date]])</f>
        <v>25</v>
      </c>
      <c r="D286" s="2" t="s">
        <v>83</v>
      </c>
      <c r="E286" s="2" t="s">
        <v>84</v>
      </c>
      <c r="F286" s="1" t="s">
        <v>40</v>
      </c>
      <c r="G286" s="1" t="s">
        <v>74</v>
      </c>
      <c r="H286" s="1" t="s">
        <v>85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6" s="2">
        <f>Games[[#This Row],[DaysOff]]-Games[[#This Row],[OppDaysOff]]</f>
        <v>-3</v>
      </c>
      <c r="L286" s="2">
        <f>Games[[#This Row],[OppDaysOff]]-Games[[#This Row],[DaysOff]]</f>
        <v>3</v>
      </c>
      <c r="M286" s="1">
        <f>MAX(-16, MIN(16, Games[[#This Row],[RestDiff]]*8))</f>
        <v>-16</v>
      </c>
      <c r="N286" s="1">
        <f>MAX(-16, MIN(16, Games[[#This Row],[OppRestDiff]]*8))</f>
        <v>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1479.8211588706117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1449.8203810020746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0.37870433043995055</v>
      </c>
      <c r="R286" s="1">
        <v>82</v>
      </c>
      <c r="S286" s="1">
        <v>88</v>
      </c>
      <c r="T286" s="1">
        <v>0</v>
      </c>
      <c r="U286" s="1">
        <f>Games[[#This Row],[PointsFor]]-Games[[#This Row],[PointsAgainst]]</f>
        <v>-6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0.34271272091361554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72.25</v>
      </c>
      <c r="Z286" s="4">
        <f>Games[[#This Row],[K]]*Games[[#This Row],[POMult]]</f>
        <v>72.25</v>
      </c>
      <c r="AA286" s="4">
        <f>(Games[[#This Row],[Keff]]*Games[[#This Row],[MOVMult]])*(Games[[#This Row],[Result]]-Games[[#This Row],[ExpectedWin%]])</f>
        <v>-9.3770956863695094</v>
      </c>
      <c r="AB286" s="4">
        <f>Games[[#This Row],[PreGmRate]]+Games[[#This Row],[RatingChange]]</f>
        <v>1470.4440631842422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41503</v>
      </c>
      <c r="B287" s="2">
        <v>2013</v>
      </c>
      <c r="C287" s="2">
        <f>COUNTIFS(Games[Team],Games[[#This Row],[Team]],Games[Season],Games[[#This Row],[Season]],Games[Date],"&lt;=" &amp; Games[[#This Row],[Date]])</f>
        <v>24</v>
      </c>
      <c r="D287" s="2" t="s">
        <v>83</v>
      </c>
      <c r="E287" s="2" t="s">
        <v>84</v>
      </c>
      <c r="F287" s="1" t="s">
        <v>74</v>
      </c>
      <c r="G287" s="1" t="s">
        <v>40</v>
      </c>
      <c r="H287" s="1" t="s">
        <v>86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3</v>
      </c>
      <c r="L287" s="2">
        <f>Games[[#This Row],[OppDaysOff]]-Games[[#This Row],[DaysOff]]</f>
        <v>-3</v>
      </c>
      <c r="M287" s="1">
        <f>MAX(-16, MIN(16, Games[[#This Row],[RestDiff]]*8))</f>
        <v>16</v>
      </c>
      <c r="N287" s="1">
        <f>MAX(-16, MIN(16, Games[[#This Row],[OppRestDiff]]*8))</f>
        <v>-16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1449.8203810020746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1479.8211588706117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0.62129566956004945</v>
      </c>
      <c r="R287" s="1">
        <v>88</v>
      </c>
      <c r="S287" s="1">
        <v>82</v>
      </c>
      <c r="T287" s="1">
        <v>0</v>
      </c>
      <c r="U287" s="1">
        <f>Games[[#This Row],[PointsFor]]-Games[[#This Row],[PointsAgainst]]</f>
        <v>6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0.34271272091361554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9.3965637050955362</v>
      </c>
      <c r="AB287" s="4">
        <f>Games[[#This Row],[PreGmRate]]+Games[[#This Row],[RatingChange]]</f>
        <v>1459.2169447071701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41503</v>
      </c>
      <c r="B288" s="2">
        <v>2013</v>
      </c>
      <c r="C288" s="2">
        <f>COUNTIFS(Games[Team],Games[[#This Row],[Team]],Games[Season],Games[[#This Row],[Season]],Games[Date],"&lt;=" &amp; Games[[#This Row],[Date]])</f>
        <v>25</v>
      </c>
      <c r="D288" s="2" t="s">
        <v>83</v>
      </c>
      <c r="E288" s="2" t="s">
        <v>84</v>
      </c>
      <c r="F288" s="1" t="s">
        <v>69</v>
      </c>
      <c r="G288" s="1" t="s">
        <v>71</v>
      </c>
      <c r="H288" s="1" t="s">
        <v>85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-1</v>
      </c>
      <c r="L288" s="2">
        <f>Games[[#This Row],[OppDaysOff]]-Games[[#This Row],[DaysOff]]</f>
        <v>1</v>
      </c>
      <c r="M288" s="1">
        <f>MAX(-16, MIN(16, Games[[#This Row],[RestDiff]]*8))</f>
        <v>-8</v>
      </c>
      <c r="N288" s="1">
        <f>MAX(-16, MIN(16, Games[[#This Row],[OppRestDiff]]*8))</f>
        <v>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1539.3974670754042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1450.0336989048981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0.48469801194909212</v>
      </c>
      <c r="R288" s="1">
        <v>70</v>
      </c>
      <c r="S288" s="1">
        <v>77</v>
      </c>
      <c r="T288" s="1">
        <v>0</v>
      </c>
      <c r="U288" s="1">
        <f>Games[[#This Row],[PointsFor]]-Games[[#This Row],[PointsAgainst]]</f>
        <v>-7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0.34445562838698618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72.25</v>
      </c>
      <c r="Z288" s="4">
        <f>Games[[#This Row],[K]]*Games[[#This Row],[POMult]]</f>
        <v>72.25</v>
      </c>
      <c r="AA288" s="4">
        <f>(Games[[#This Row],[Keff]]*Games[[#This Row],[MOVMult]])*(Games[[#This Row],[Result]]-Games[[#This Row],[ExpectedWin%]])</f>
        <v>-12.062640236007979</v>
      </c>
      <c r="AB288" s="4">
        <f>Games[[#This Row],[PreGmRate]]+Games[[#This Row],[RatingChange]]</f>
        <v>1527.3348268393961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41503</v>
      </c>
      <c r="B289" s="2">
        <v>2013</v>
      </c>
      <c r="C289" s="2">
        <f>COUNTIFS(Games[Team],Games[[#This Row],[Team]],Games[Season],Games[[#This Row],[Season]],Games[Date],"&lt;=" &amp; Games[[#This Row],[Date]])</f>
        <v>24</v>
      </c>
      <c r="D289" s="2" t="s">
        <v>83</v>
      </c>
      <c r="E289" s="2" t="s">
        <v>84</v>
      </c>
      <c r="F289" s="1" t="s">
        <v>71</v>
      </c>
      <c r="G289" s="1" t="s">
        <v>69</v>
      </c>
      <c r="H289" s="1" t="s">
        <v>86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9" s="2">
        <f>Games[[#This Row],[DaysOff]]-Games[[#This Row],[OppDaysOff]]</f>
        <v>1</v>
      </c>
      <c r="L289" s="2">
        <f>Games[[#This Row],[OppDaysOff]]-Games[[#This Row],[DaysOff]]</f>
        <v>-1</v>
      </c>
      <c r="M289" s="1">
        <f>MAX(-16, MIN(16, Games[[#This Row],[RestDiff]]*8))</f>
        <v>8</v>
      </c>
      <c r="N289" s="1">
        <f>MAX(-16, MIN(16, Games[[#This Row],[OppRestDiff]]*8))</f>
        <v>-8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1450.0336989048981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1539.3974670754042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0.51530198805090799</v>
      </c>
      <c r="R289" s="1">
        <v>77</v>
      </c>
      <c r="S289" s="1">
        <v>70</v>
      </c>
      <c r="T289" s="1">
        <v>0</v>
      </c>
      <c r="U289" s="1">
        <f>Games[[#This Row],[PointsFor]]-Games[[#This Row],[PointsAgainst]]</f>
        <v>7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0.34445562838698618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12.087683779750556</v>
      </c>
      <c r="AB289" s="4">
        <f>Games[[#This Row],[PreGmRate]]+Games[[#This Row],[RatingChange]]</f>
        <v>1462.1213826846486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41504</v>
      </c>
      <c r="B290" s="2">
        <v>2013</v>
      </c>
      <c r="C290" s="2">
        <f>COUNTIFS(Games[Team],Games[[#This Row],[Team]],Games[Season],Games[[#This Row],[Season]],Games[Date],"&lt;=" &amp; Games[[#This Row],[Date]])</f>
        <v>26</v>
      </c>
      <c r="D290" s="2" t="s">
        <v>83</v>
      </c>
      <c r="E290" s="2" t="s">
        <v>84</v>
      </c>
      <c r="F290" s="1" t="s">
        <v>65</v>
      </c>
      <c r="G290" s="1" t="s">
        <v>79</v>
      </c>
      <c r="H290" s="1" t="s">
        <v>85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1438.3612600190559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1515.8433609542378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0.28301283367995372</v>
      </c>
      <c r="R290" s="1">
        <v>58</v>
      </c>
      <c r="S290" s="1">
        <v>76</v>
      </c>
      <c r="T290" s="1">
        <v>0</v>
      </c>
      <c r="U290" s="1">
        <f>Games[[#This Row],[PointsFor]]-Games[[#This Row],[PointsAgainst]]</f>
        <v>-18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0.51366725065753416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72.099999999999994</v>
      </c>
      <c r="Z290" s="4">
        <f>Games[[#This Row],[K]]*Games[[#This Row],[POMult]]</f>
        <v>72.099999999999994</v>
      </c>
      <c r="AA290" s="4">
        <f>(Games[[#This Row],[Keff]]*Games[[#This Row],[MOVMult]])*(Games[[#This Row],[Result]]-Games[[#This Row],[ExpectedWin%]])</f>
        <v>-10.481495983174664</v>
      </c>
      <c r="AB290" s="4">
        <f>Games[[#This Row],[PreGmRate]]+Games[[#This Row],[RatingChange]]</f>
        <v>1427.8797640358812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41504</v>
      </c>
      <c r="B291" s="2">
        <v>2013</v>
      </c>
      <c r="C291" s="2">
        <f>COUNTIFS(Games[Team],Games[[#This Row],[Team]],Games[Season],Games[[#This Row],[Season]],Games[Date],"&lt;=" &amp; Games[[#This Row],[Date]])</f>
        <v>22</v>
      </c>
      <c r="D291" s="2" t="s">
        <v>83</v>
      </c>
      <c r="E291" s="2" t="s">
        <v>84</v>
      </c>
      <c r="F291" s="1" t="s">
        <v>79</v>
      </c>
      <c r="G291" s="1" t="s">
        <v>65</v>
      </c>
      <c r="H291" s="1" t="s">
        <v>86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1515.8433609542378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1438.3612600190559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0.71698716632004622</v>
      </c>
      <c r="R291" s="1">
        <v>76</v>
      </c>
      <c r="S291" s="1">
        <v>58</v>
      </c>
      <c r="T291" s="1">
        <v>0</v>
      </c>
      <c r="U291" s="1">
        <f>Games[[#This Row],[PointsFor]]-Games[[#This Row],[PointsAgainst]]</f>
        <v>18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0.51366725065753416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72.7</v>
      </c>
      <c r="Z291" s="4">
        <f>Games[[#This Row],[K]]*Games[[#This Row],[POMult]]</f>
        <v>72.7</v>
      </c>
      <c r="AA291" s="4">
        <f>(Games[[#This Row],[Keff]]*Games[[#This Row],[MOVMult]])*(Games[[#This Row],[Result]]-Games[[#This Row],[ExpectedWin%]])</f>
        <v>10.568720637680974</v>
      </c>
      <c r="AB291" s="4">
        <f>Games[[#This Row],[PreGmRate]]+Games[[#This Row],[RatingChange]]</f>
        <v>1526.4120815919189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41504</v>
      </c>
      <c r="B292" s="2">
        <v>2013</v>
      </c>
      <c r="C292" s="2">
        <f>COUNTIFS(Games[Team],Games[[#This Row],[Team]],Games[Season],Games[[#This Row],[Season]],Games[Date],"&lt;=" &amp; Games[[#This Row],[Date]])</f>
        <v>24</v>
      </c>
      <c r="D292" s="2" t="s">
        <v>83</v>
      </c>
      <c r="E292" s="2" t="s">
        <v>84</v>
      </c>
      <c r="F292" s="1" t="s">
        <v>76</v>
      </c>
      <c r="G292" s="1" t="s">
        <v>77</v>
      </c>
      <c r="H292" s="1" t="s">
        <v>85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1422.5045032455848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1586.8677391222645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0.17919703749032126</v>
      </c>
      <c r="R292" s="1">
        <v>78</v>
      </c>
      <c r="S292" s="1">
        <v>89</v>
      </c>
      <c r="T292" s="1">
        <v>0</v>
      </c>
      <c r="U292" s="1">
        <f>Games[[#This Row],[PointsFor]]-Games[[#This Row],[PointsAgainst]]</f>
        <v>-11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0.38684944773523938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-5.0189327091979363</v>
      </c>
      <c r="AB292" s="4">
        <f>Games[[#This Row],[PreGmRate]]+Games[[#This Row],[RatingChange]]</f>
        <v>1417.4855705363868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41504</v>
      </c>
      <c r="B293" s="2">
        <v>2013</v>
      </c>
      <c r="C293" s="2">
        <f>COUNTIFS(Games[Team],Games[[#This Row],[Team]],Games[Season],Games[[#This Row],[Season]],Games[Date],"&lt;=" &amp; Games[[#This Row],[Date]])</f>
        <v>25</v>
      </c>
      <c r="D293" s="2" t="s">
        <v>83</v>
      </c>
      <c r="E293" s="2" t="s">
        <v>84</v>
      </c>
      <c r="F293" s="1" t="s">
        <v>77</v>
      </c>
      <c r="G293" s="1" t="s">
        <v>76</v>
      </c>
      <c r="H293" s="1" t="s">
        <v>86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1586.8677391222645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1422.5045032455848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0.82080296250967877</v>
      </c>
      <c r="R293" s="1">
        <v>89</v>
      </c>
      <c r="S293" s="1">
        <v>78</v>
      </c>
      <c r="T293" s="1">
        <v>0</v>
      </c>
      <c r="U293" s="1">
        <f>Games[[#This Row],[PointsFor]]-Games[[#This Row],[PointsAgainst]]</f>
        <v>11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0.38684944773523938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72.25</v>
      </c>
      <c r="Z293" s="4">
        <f>Games[[#This Row],[K]]*Games[[#This Row],[POMult]]</f>
        <v>72.25</v>
      </c>
      <c r="AA293" s="4">
        <f>(Games[[#This Row],[Keff]]*Games[[#This Row],[MOVMult]])*(Games[[#This Row],[Result]]-Games[[#This Row],[ExpectedWin%]])</f>
        <v>5.0085343679495971</v>
      </c>
      <c r="AB293" s="4">
        <f>Games[[#This Row],[PreGmRate]]+Games[[#This Row],[RatingChange]]</f>
        <v>1591.8762734902141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41504</v>
      </c>
      <c r="B294" s="2">
        <v>2013</v>
      </c>
      <c r="C294" s="2">
        <f>COUNTIFS(Games[Team],Games[[#This Row],[Team]],Games[Season],Games[[#This Row],[Season]],Games[Date],"&lt;=" &amp; Games[[#This Row],[Date]])</f>
        <v>25</v>
      </c>
      <c r="D294" s="2" t="s">
        <v>83</v>
      </c>
      <c r="E294" s="2" t="s">
        <v>84</v>
      </c>
      <c r="F294" s="1" t="s">
        <v>60</v>
      </c>
      <c r="G294" s="1" t="s">
        <v>67</v>
      </c>
      <c r="H294" s="1" t="s">
        <v>85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1407.4533377338346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1637.6992316610817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0.14076570731674054</v>
      </c>
      <c r="R294" s="1">
        <v>57</v>
      </c>
      <c r="S294" s="1">
        <v>88</v>
      </c>
      <c r="T294" s="1">
        <v>0</v>
      </c>
      <c r="U294" s="1">
        <f>Games[[#This Row],[PointsFor]]-Games[[#This Row],[PointsAgainst]]</f>
        <v>-31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0.60030338301172348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-6.1052789152065472</v>
      </c>
      <c r="AB294" s="4">
        <f>Games[[#This Row],[PreGmRate]]+Games[[#This Row],[RatingChange]]</f>
        <v>1401.348058818628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41504</v>
      </c>
      <c r="B295" s="2">
        <v>2013</v>
      </c>
      <c r="C295" s="2">
        <f>COUNTIFS(Games[Team],Games[[#This Row],[Team]],Games[Season],Games[[#This Row],[Season]],Games[Date],"&lt;=" &amp; Games[[#This Row],[Date]])</f>
        <v>24</v>
      </c>
      <c r="D295" s="2" t="s">
        <v>83</v>
      </c>
      <c r="E295" s="2" t="s">
        <v>84</v>
      </c>
      <c r="F295" s="1" t="s">
        <v>67</v>
      </c>
      <c r="G295" s="1" t="s">
        <v>60</v>
      </c>
      <c r="H295" s="1" t="s">
        <v>86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1637.6992316610817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1407.4533377338346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0.85923429268325946</v>
      </c>
      <c r="R295" s="1">
        <v>88</v>
      </c>
      <c r="S295" s="1">
        <v>57</v>
      </c>
      <c r="T295" s="1">
        <v>0</v>
      </c>
      <c r="U295" s="1">
        <f>Games[[#This Row],[PointsFor]]-Games[[#This Row],[PointsAgainst]]</f>
        <v>31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0.60030338301172348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72.400000000000006</v>
      </c>
      <c r="Z295" s="4">
        <f>Games[[#This Row],[K]]*Games[[#This Row],[POMult]]</f>
        <v>72.400000000000006</v>
      </c>
      <c r="AA295" s="4">
        <f>(Games[[#This Row],[Keff]]*Games[[#This Row],[MOVMult]])*(Games[[#This Row],[Result]]-Games[[#This Row],[ExpectedWin%]])</f>
        <v>6.1179542347536895</v>
      </c>
      <c r="AB295" s="4">
        <f>Games[[#This Row],[PreGmRate]]+Games[[#This Row],[RatingChange]]</f>
        <v>1643.8171858958353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41506</v>
      </c>
      <c r="B296" s="2">
        <v>2013</v>
      </c>
      <c r="C296" s="2">
        <f>COUNTIFS(Games[Team],Games[[#This Row],[Team]],Games[Season],Games[[#This Row],[Season]],Games[Date],"&lt;=" &amp; Games[[#This Row],[Date]])</f>
        <v>25</v>
      </c>
      <c r="D296" s="2" t="s">
        <v>83</v>
      </c>
      <c r="E296" s="2" t="s">
        <v>84</v>
      </c>
      <c r="F296" s="1" t="s">
        <v>67</v>
      </c>
      <c r="G296" s="1" t="s">
        <v>79</v>
      </c>
      <c r="H296" s="1" t="s">
        <v>85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1643.8171858958353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1526.4120815919189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0.54792621795719509</v>
      </c>
      <c r="R296" s="1">
        <v>75</v>
      </c>
      <c r="S296" s="1">
        <v>88</v>
      </c>
      <c r="T296" s="1">
        <v>0</v>
      </c>
      <c r="U296" s="1">
        <f>Games[[#This Row],[PointsFor]]-Games[[#This Row],[PointsAgainst]]</f>
        <v>-13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0.42997594659862831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-17.021745558287382</v>
      </c>
      <c r="AB296" s="4">
        <f>Games[[#This Row],[PreGmRate]]+Games[[#This Row],[RatingChange]]</f>
        <v>1626.7954403375479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41506</v>
      </c>
      <c r="B297" s="2">
        <v>2013</v>
      </c>
      <c r="C297" s="2">
        <f>COUNTIFS(Games[Team],Games[[#This Row],[Team]],Games[Season],Games[[#This Row],[Season]],Games[Date],"&lt;=" &amp; Games[[#This Row],[Date]])</f>
        <v>23</v>
      </c>
      <c r="D297" s="2" t="s">
        <v>83</v>
      </c>
      <c r="E297" s="2" t="s">
        <v>84</v>
      </c>
      <c r="F297" s="1" t="s">
        <v>79</v>
      </c>
      <c r="G297" s="1" t="s">
        <v>67</v>
      </c>
      <c r="H297" s="1" t="s">
        <v>86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1526.4120815919189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1643.8171858958353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0.45207378204280485</v>
      </c>
      <c r="R297" s="1">
        <v>88</v>
      </c>
      <c r="S297" s="1">
        <v>75</v>
      </c>
      <c r="T297" s="1">
        <v>0</v>
      </c>
      <c r="U297" s="1">
        <f>Games[[#This Row],[PointsFor]]-Games[[#This Row],[PointsAgainst]]</f>
        <v>13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0.42997594659862831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72.55</v>
      </c>
      <c r="Z297" s="4">
        <f>Games[[#This Row],[K]]*Games[[#This Row],[POMult]]</f>
        <v>72.55</v>
      </c>
      <c r="AA297" s="4">
        <f>(Games[[#This Row],[Keff]]*Games[[#This Row],[MOVMult]])*(Games[[#This Row],[Result]]-Games[[#This Row],[ExpectedWin%]])</f>
        <v>17.092424086557084</v>
      </c>
      <c r="AB297" s="4">
        <f>Games[[#This Row],[PreGmRate]]+Games[[#This Row],[RatingChange]]</f>
        <v>1543.5045056784759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41506</v>
      </c>
      <c r="B298" s="2">
        <v>2013</v>
      </c>
      <c r="C298" s="2">
        <f>COUNTIFS(Games[Team],Games[[#This Row],[Team]],Games[Season],Games[[#This Row],[Season]],Games[Date],"&lt;=" &amp; Games[[#This Row],[Date]])</f>
        <v>26</v>
      </c>
      <c r="D298" s="2" t="s">
        <v>83</v>
      </c>
      <c r="E298" s="2" t="s">
        <v>84</v>
      </c>
      <c r="F298" s="1" t="s">
        <v>63</v>
      </c>
      <c r="G298" s="1" t="s">
        <v>71</v>
      </c>
      <c r="H298" s="1" t="s">
        <v>85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1</v>
      </c>
      <c r="L298" s="2">
        <f>Games[[#This Row],[OppDaysOff]]-Games[[#This Row],[DaysOff]]</f>
        <v>-1</v>
      </c>
      <c r="M298" s="1">
        <f>MAX(-16, MIN(16, Games[[#This Row],[RestDiff]]*8))</f>
        <v>8</v>
      </c>
      <c r="N298" s="1">
        <f>MAX(-16, MIN(16, Games[[#This Row],[OppRestDiff]]*8))</f>
        <v>-8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1655.1882087749964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1462.1213826846486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0.6725943602160761</v>
      </c>
      <c r="R298" s="1">
        <v>57</v>
      </c>
      <c r="S298" s="1">
        <v>77</v>
      </c>
      <c r="T298" s="1">
        <v>0</v>
      </c>
      <c r="U298" s="1">
        <f>Games[[#This Row],[PointsFor]]-Games[[#This Row],[PointsAgainst]]</f>
        <v>-20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0.49521302051726973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72.099999999999994</v>
      </c>
      <c r="Z298" s="4">
        <f>Games[[#This Row],[K]]*Games[[#This Row],[POMult]]</f>
        <v>72.099999999999994</v>
      </c>
      <c r="AA298" s="4">
        <f>(Games[[#This Row],[Keff]]*Games[[#This Row],[MOVMult]])*(Games[[#This Row],[Result]]-Games[[#This Row],[ExpectedWin%]])</f>
        <v>-24.014886647265364</v>
      </c>
      <c r="AB298" s="4">
        <f>Games[[#This Row],[PreGmRate]]+Games[[#This Row],[RatingChange]]</f>
        <v>1631.1733221277311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41506</v>
      </c>
      <c r="B299" s="2">
        <v>2013</v>
      </c>
      <c r="C299" s="2">
        <f>COUNTIFS(Games[Team],Games[[#This Row],[Team]],Games[Season],Games[[#This Row],[Season]],Games[Date],"&lt;=" &amp; Games[[#This Row],[Date]])</f>
        <v>25</v>
      </c>
      <c r="D299" s="2" t="s">
        <v>83</v>
      </c>
      <c r="E299" s="2" t="s">
        <v>84</v>
      </c>
      <c r="F299" s="1" t="s">
        <v>71</v>
      </c>
      <c r="G299" s="1" t="s">
        <v>63</v>
      </c>
      <c r="H299" s="1" t="s">
        <v>86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9" s="2">
        <f>Games[[#This Row],[DaysOff]]-Games[[#This Row],[OppDaysOff]]</f>
        <v>-1</v>
      </c>
      <c r="L299" s="2">
        <f>Games[[#This Row],[OppDaysOff]]-Games[[#This Row],[DaysOff]]</f>
        <v>1</v>
      </c>
      <c r="M299" s="1">
        <f>MAX(-16, MIN(16, Games[[#This Row],[RestDiff]]*8))</f>
        <v>-8</v>
      </c>
      <c r="N299" s="1">
        <f>MAX(-16, MIN(16, Games[[#This Row],[OppRestDiff]]*8))</f>
        <v>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1462.1213826846486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1655.1882087749964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0.3274056397839239</v>
      </c>
      <c r="R299" s="1">
        <v>77</v>
      </c>
      <c r="S299" s="1">
        <v>57</v>
      </c>
      <c r="T299" s="1">
        <v>0</v>
      </c>
      <c r="U299" s="1">
        <f>Games[[#This Row],[PointsFor]]-Games[[#This Row],[PointsAgainst]]</f>
        <v>20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0.49521302051726973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72.25</v>
      </c>
      <c r="Z299" s="4">
        <f>Games[[#This Row],[K]]*Games[[#This Row],[POMult]]</f>
        <v>72.25</v>
      </c>
      <c r="AA299" s="4">
        <f>(Games[[#This Row],[Keff]]*Games[[#This Row],[MOVMult]])*(Games[[#This Row],[Result]]-Games[[#This Row],[ExpectedWin%]])</f>
        <v>24.06484826997119</v>
      </c>
      <c r="AB299" s="4">
        <f>Games[[#This Row],[PreGmRate]]+Games[[#This Row],[RatingChange]]</f>
        <v>1486.1862309546198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41506</v>
      </c>
      <c r="B300" s="2">
        <v>2013</v>
      </c>
      <c r="C300" s="2">
        <f>COUNTIFS(Games[Team],Games[[#This Row],[Team]],Games[Season],Games[[#This Row],[Season]],Games[Date],"&lt;=" &amp; Games[[#This Row],[Date]])</f>
        <v>26</v>
      </c>
      <c r="D300" s="2" t="s">
        <v>83</v>
      </c>
      <c r="E300" s="2" t="s">
        <v>84</v>
      </c>
      <c r="F300" s="1" t="s">
        <v>40</v>
      </c>
      <c r="G300" s="1" t="s">
        <v>81</v>
      </c>
      <c r="H300" s="1" t="s">
        <v>85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0" s="2">
        <f>Games[[#This Row],[DaysOff]]-Games[[#This Row],[OppDaysOff]]</f>
        <v>-1</v>
      </c>
      <c r="L300" s="2">
        <f>Games[[#This Row],[OppDaysOff]]-Games[[#This Row],[DaysOff]]</f>
        <v>1</v>
      </c>
      <c r="M300" s="1">
        <f>MAX(-16, MIN(16, Games[[#This Row],[RestDiff]]*8))</f>
        <v>-8</v>
      </c>
      <c r="N300" s="1">
        <f>MAX(-16, MIN(16, Games[[#This Row],[OppRestDiff]]*8))</f>
        <v>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1470.4440631842422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1420.6465315872615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0.42825148313198197</v>
      </c>
      <c r="R300" s="1">
        <v>89</v>
      </c>
      <c r="S300" s="1">
        <v>86</v>
      </c>
      <c r="T300" s="1">
        <v>0</v>
      </c>
      <c r="U300" s="1">
        <f>Games[[#This Row],[PointsFor]]-Games[[#This Row],[PointsAgainst]]</f>
        <v>3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0.27862130986408395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72.099999999999994</v>
      </c>
      <c r="Z300" s="4">
        <f>Games[[#This Row],[K]]*Games[[#This Row],[POMult]]</f>
        <v>72.099999999999994</v>
      </c>
      <c r="AA300" s="4">
        <f>(Games[[#This Row],[Keff]]*Games[[#This Row],[MOVMult]])*(Games[[#This Row],[Result]]-Games[[#This Row],[ExpectedWin%]])</f>
        <v>11.485625221216504</v>
      </c>
      <c r="AB300" s="4">
        <f>Games[[#This Row],[PreGmRate]]+Games[[#This Row],[RatingChange]]</f>
        <v>1481.9296884054586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41506</v>
      </c>
      <c r="B301" s="2">
        <v>2013</v>
      </c>
      <c r="C301" s="2">
        <f>COUNTIFS(Games[Team],Games[[#This Row],[Team]],Games[Season],Games[[#This Row],[Season]],Games[Date],"&lt;=" &amp; Games[[#This Row],[Date]])</f>
        <v>26</v>
      </c>
      <c r="D301" s="2" t="s">
        <v>83</v>
      </c>
      <c r="E301" s="2" t="s">
        <v>84</v>
      </c>
      <c r="F301" s="1" t="s">
        <v>81</v>
      </c>
      <c r="G301" s="1" t="s">
        <v>40</v>
      </c>
      <c r="H301" s="1" t="s">
        <v>86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1" s="2">
        <f>Games[[#This Row],[DaysOff]]-Games[[#This Row],[OppDaysOff]]</f>
        <v>1</v>
      </c>
      <c r="L301" s="2">
        <f>Games[[#This Row],[OppDaysOff]]-Games[[#This Row],[DaysOff]]</f>
        <v>-1</v>
      </c>
      <c r="M301" s="1">
        <f>MAX(-16, MIN(16, Games[[#This Row],[RestDiff]]*8))</f>
        <v>8</v>
      </c>
      <c r="N301" s="1">
        <f>MAX(-16, MIN(16, Games[[#This Row],[OppRestDiff]]*8))</f>
        <v>-8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1420.6465315872615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1470.4440631842422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0.57174851686801809</v>
      </c>
      <c r="R301" s="1">
        <v>86</v>
      </c>
      <c r="S301" s="1">
        <v>89</v>
      </c>
      <c r="T301" s="1">
        <v>0</v>
      </c>
      <c r="U301" s="1">
        <f>Games[[#This Row],[PointsFor]]-Games[[#This Row],[PointsAgainst]]</f>
        <v>-3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0.27862130986408395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72.099999999999994</v>
      </c>
      <c r="Z301" s="4">
        <f>Games[[#This Row],[K]]*Games[[#This Row],[POMult]]</f>
        <v>72.099999999999994</v>
      </c>
      <c r="AA301" s="4">
        <f>(Games[[#This Row],[Keff]]*Games[[#This Row],[MOVMult]])*(Games[[#This Row],[Result]]-Games[[#This Row],[ExpectedWin%]])</f>
        <v>-11.485625221216504</v>
      </c>
      <c r="AB301" s="4">
        <f>Games[[#This Row],[PreGmRate]]+Games[[#This Row],[RatingChange]]</f>
        <v>1409.1609063660451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41506</v>
      </c>
      <c r="B302" s="2">
        <v>2013</v>
      </c>
      <c r="C302" s="2">
        <f>COUNTIFS(Games[Team],Games[[#This Row],[Team]],Games[Season],Games[[#This Row],[Season]],Games[Date],"&lt;=" &amp; Games[[#This Row],[Date]])</f>
        <v>26</v>
      </c>
      <c r="D302" s="2" t="s">
        <v>83</v>
      </c>
      <c r="E302" s="2" t="s">
        <v>84</v>
      </c>
      <c r="F302" s="1" t="s">
        <v>77</v>
      </c>
      <c r="G302" s="1" t="s">
        <v>65</v>
      </c>
      <c r="H302" s="1" t="s">
        <v>85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1591.8762734902141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1427.8797640358812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0.61313205403500171</v>
      </c>
      <c r="R302" s="1">
        <v>79</v>
      </c>
      <c r="S302" s="1">
        <v>73</v>
      </c>
      <c r="T302" s="1">
        <v>0</v>
      </c>
      <c r="U302" s="1">
        <f>Games[[#This Row],[PointsFor]]-Games[[#This Row],[PointsAgainst]]</f>
        <v>6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0.30904544871440026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72.099999999999994</v>
      </c>
      <c r="Z302" s="4">
        <f>Games[[#This Row],[K]]*Games[[#This Row],[POMult]]</f>
        <v>72.099999999999994</v>
      </c>
      <c r="AA302" s="4">
        <f>(Games[[#This Row],[Keff]]*Games[[#This Row],[MOVMult]])*(Games[[#This Row],[Result]]-Games[[#This Row],[ExpectedWin%]])</f>
        <v>8.6202599904813262</v>
      </c>
      <c r="AB302" s="4">
        <f>Games[[#This Row],[PreGmRate]]+Games[[#This Row],[RatingChange]]</f>
        <v>1600.4965334806955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41506</v>
      </c>
      <c r="B303" s="2">
        <v>2013</v>
      </c>
      <c r="C303" s="2">
        <f>COUNTIFS(Games[Team],Games[[#This Row],[Team]],Games[Season],Games[[#This Row],[Season]],Games[Date],"&lt;=" &amp; Games[[#This Row],[Date]])</f>
        <v>27</v>
      </c>
      <c r="D303" s="2" t="s">
        <v>83</v>
      </c>
      <c r="E303" s="2" t="s">
        <v>84</v>
      </c>
      <c r="F303" s="1" t="s">
        <v>65</v>
      </c>
      <c r="G303" s="1" t="s">
        <v>77</v>
      </c>
      <c r="H303" s="1" t="s">
        <v>86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1427.8797640358812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1591.8762734902141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0.38686794596499835</v>
      </c>
      <c r="R303" s="1">
        <v>73</v>
      </c>
      <c r="S303" s="1">
        <v>79</v>
      </c>
      <c r="T303" s="1">
        <v>0</v>
      </c>
      <c r="U303" s="1">
        <f>Games[[#This Row],[PointsFor]]-Games[[#This Row],[PointsAgainst]]</f>
        <v>-6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0.30904544871440026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71.95</v>
      </c>
      <c r="Z303" s="4">
        <f>Games[[#This Row],[K]]*Games[[#This Row],[POMult]]</f>
        <v>71.95</v>
      </c>
      <c r="AA303" s="4">
        <f>(Games[[#This Row],[Keff]]*Games[[#This Row],[MOVMult]])*(Games[[#This Row],[Result]]-Games[[#This Row],[ExpectedWin%]])</f>
        <v>-8.6023260237882333</v>
      </c>
      <c r="AB303" s="4">
        <f>Games[[#This Row],[PreGmRate]]+Games[[#This Row],[RatingChange]]</f>
        <v>1419.2774380120929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41507</v>
      </c>
      <c r="B304" s="2">
        <v>2013</v>
      </c>
      <c r="C304" s="2">
        <f>COUNTIFS(Games[Team],Games[[#This Row],[Team]],Games[Season],Games[[#This Row],[Season]],Games[Date],"&lt;=" &amp; Games[[#This Row],[Date]])</f>
        <v>25</v>
      </c>
      <c r="D304" s="2" t="s">
        <v>83</v>
      </c>
      <c r="E304" s="2" t="s">
        <v>84</v>
      </c>
      <c r="F304" s="1" t="s">
        <v>74</v>
      </c>
      <c r="G304" s="1" t="s">
        <v>69</v>
      </c>
      <c r="H304" s="1" t="s">
        <v>85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1459.2169447071701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1527.3348268393961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0.29407774924280639</v>
      </c>
      <c r="R304" s="1">
        <v>63</v>
      </c>
      <c r="S304" s="1">
        <v>80</v>
      </c>
      <c r="T304" s="1">
        <v>0</v>
      </c>
      <c r="U304" s="1">
        <f>Games[[#This Row],[PointsFor]]-Games[[#This Row],[PointsAgainst]]</f>
        <v>-17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0.50384155282479948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-10.705180615197094</v>
      </c>
      <c r="AB304" s="4">
        <f>Games[[#This Row],[PreGmRate]]+Games[[#This Row],[RatingChange]]</f>
        <v>1448.511764091973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41507</v>
      </c>
      <c r="B305" s="2">
        <v>2013</v>
      </c>
      <c r="C305" s="2">
        <f>COUNTIFS(Games[Team],Games[[#This Row],[Team]],Games[Season],Games[[#This Row],[Season]],Games[Date],"&lt;=" &amp; Games[[#This Row],[Date]])</f>
        <v>26</v>
      </c>
      <c r="D305" s="2" t="s">
        <v>83</v>
      </c>
      <c r="E305" s="2" t="s">
        <v>84</v>
      </c>
      <c r="F305" s="1" t="s">
        <v>69</v>
      </c>
      <c r="G305" s="1" t="s">
        <v>74</v>
      </c>
      <c r="H305" s="1" t="s">
        <v>86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1527.3348268393961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1459.2169447071701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0.7059222507571935</v>
      </c>
      <c r="R305" s="1">
        <v>80</v>
      </c>
      <c r="S305" s="1">
        <v>63</v>
      </c>
      <c r="T305" s="1">
        <v>0</v>
      </c>
      <c r="U305" s="1">
        <f>Games[[#This Row],[PointsFor]]-Games[[#This Row],[PointsAgainst]]</f>
        <v>17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0.50384155282479948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72.099999999999994</v>
      </c>
      <c r="Z305" s="4">
        <f>Games[[#This Row],[K]]*Games[[#This Row],[POMult]]</f>
        <v>72.099999999999994</v>
      </c>
      <c r="AA305" s="4">
        <f>(Games[[#This Row],[Keff]]*Games[[#This Row],[MOVMult]])*(Games[[#This Row],[Result]]-Games[[#This Row],[ExpectedWin%]])</f>
        <v>10.68295532672264</v>
      </c>
      <c r="AB305" s="4">
        <f>Games[[#This Row],[PreGmRate]]+Games[[#This Row],[RatingChange]]</f>
        <v>1538.0177821661186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41508</v>
      </c>
      <c r="B306" s="2">
        <v>2013</v>
      </c>
      <c r="C306" s="2">
        <f>COUNTIFS(Games[Team],Games[[#This Row],[Team]],Games[Season],Games[[#This Row],[Season]],Games[Date],"&lt;=" &amp; Games[[#This Row],[Date]])</f>
        <v>26</v>
      </c>
      <c r="D306" s="2" t="s">
        <v>83</v>
      </c>
      <c r="E306" s="2" t="s">
        <v>84</v>
      </c>
      <c r="F306" s="1" t="s">
        <v>67</v>
      </c>
      <c r="G306" s="1" t="s">
        <v>76</v>
      </c>
      <c r="H306" s="1" t="s">
        <v>85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6" s="2">
        <f>Games[[#This Row],[DaysOff]]-Games[[#This Row],[OppDaysOff]]</f>
        <v>-2</v>
      </c>
      <c r="L306" s="2">
        <f>Games[[#This Row],[OppDaysOff]]-Games[[#This Row],[DaysOff]]</f>
        <v>2</v>
      </c>
      <c r="M306" s="1">
        <f>MAX(-16, MIN(16, Games[[#This Row],[RestDiff]]*8))</f>
        <v>-16</v>
      </c>
      <c r="N306" s="1">
        <f>MAX(-16, MIN(16, Games[[#This Row],[OppRestDiff]]*8))</f>
        <v>16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1626.7954403375479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1417.4855705363868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0.63114564505576864</v>
      </c>
      <c r="R306" s="1">
        <v>91</v>
      </c>
      <c r="S306" s="1">
        <v>77</v>
      </c>
      <c r="T306" s="1">
        <v>0</v>
      </c>
      <c r="U306" s="1">
        <f>Games[[#This Row],[PointsFor]]-Games[[#This Row],[PointsAgainst]]</f>
        <v>14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0.41518883588282629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11.041697558275608</v>
      </c>
      <c r="AB306" s="4">
        <f>Games[[#This Row],[PreGmRate]]+Games[[#This Row],[RatingChange]]</f>
        <v>1637.8371378958236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41508</v>
      </c>
      <c r="B307" s="2">
        <v>2013</v>
      </c>
      <c r="C307" s="2">
        <f>COUNTIFS(Games[Team],Games[[#This Row],[Team]],Games[Season],Games[[#This Row],[Season]],Games[Date],"&lt;=" &amp; Games[[#This Row],[Date]])</f>
        <v>25</v>
      </c>
      <c r="D307" s="2" t="s">
        <v>83</v>
      </c>
      <c r="E307" s="2" t="s">
        <v>84</v>
      </c>
      <c r="F307" s="1" t="s">
        <v>76</v>
      </c>
      <c r="G307" s="1" t="s">
        <v>67</v>
      </c>
      <c r="H307" s="1" t="s">
        <v>86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2</v>
      </c>
      <c r="L307" s="2">
        <f>Games[[#This Row],[OppDaysOff]]-Games[[#This Row],[DaysOff]]</f>
        <v>-2</v>
      </c>
      <c r="M307" s="1">
        <f>MAX(-16, MIN(16, Games[[#This Row],[RestDiff]]*8))</f>
        <v>16</v>
      </c>
      <c r="N307" s="1">
        <f>MAX(-16, MIN(16, Games[[#This Row],[OppRestDiff]]*8))</f>
        <v>-16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1417.4855705363868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1626.7954403375479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0.3688543549442313</v>
      </c>
      <c r="R307" s="1">
        <v>77</v>
      </c>
      <c r="S307" s="1">
        <v>91</v>
      </c>
      <c r="T307" s="1">
        <v>0</v>
      </c>
      <c r="U307" s="1">
        <f>Games[[#This Row],[PointsFor]]-Games[[#This Row],[PointsAgainst]]</f>
        <v>-14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0.41518883588282629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-11.064669189811548</v>
      </c>
      <c r="AB307" s="4">
        <f>Games[[#This Row],[PreGmRate]]+Games[[#This Row],[RatingChange]]</f>
        <v>1406.4209013465752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41509</v>
      </c>
      <c r="B308" s="2">
        <v>2013</v>
      </c>
      <c r="C308" s="2">
        <f>COUNTIFS(Games[Team],Games[[#This Row],[Team]],Games[Season],Games[[#This Row],[Season]],Games[Date],"&lt;=" &amp; Games[[#This Row],[Date]])</f>
        <v>26</v>
      </c>
      <c r="D308" s="2" t="s">
        <v>83</v>
      </c>
      <c r="E308" s="2" t="s">
        <v>84</v>
      </c>
      <c r="F308" s="1" t="s">
        <v>60</v>
      </c>
      <c r="G308" s="1" t="s">
        <v>77</v>
      </c>
      <c r="H308" s="1" t="s">
        <v>85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2</v>
      </c>
      <c r="L308" s="2">
        <f>Games[[#This Row],[OppDaysOff]]-Games[[#This Row],[DaysOff]]</f>
        <v>-2</v>
      </c>
      <c r="M308" s="1">
        <f>MAX(-16, MIN(16, Games[[#This Row],[RestDiff]]*8))</f>
        <v>16</v>
      </c>
      <c r="N308" s="1">
        <f>MAX(-16, MIN(16, Games[[#This Row],[OppRestDiff]]*8))</f>
        <v>-16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1401.348058818628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1600.4965334806955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0.19066008161878545</v>
      </c>
      <c r="R308" s="1">
        <v>64</v>
      </c>
      <c r="S308" s="1">
        <v>82</v>
      </c>
      <c r="T308" s="1">
        <v>0</v>
      </c>
      <c r="U308" s="1">
        <f>Games[[#This Row],[PointsFor]]-Games[[#This Row],[PointsAgainst]]</f>
        <v>-18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0.46900005999011352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-6.447152418590675</v>
      </c>
      <c r="AB308" s="4">
        <f>Games[[#This Row],[PreGmRate]]+Games[[#This Row],[RatingChange]]</f>
        <v>1394.9009064000375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41509</v>
      </c>
      <c r="B309" s="2">
        <v>2013</v>
      </c>
      <c r="C309" s="2">
        <f>COUNTIFS(Games[Team],Games[[#This Row],[Team]],Games[Season],Games[[#This Row],[Season]],Games[Date],"&lt;=" &amp; Games[[#This Row],[Date]])</f>
        <v>27</v>
      </c>
      <c r="D309" s="2" t="s">
        <v>83</v>
      </c>
      <c r="E309" s="2" t="s">
        <v>84</v>
      </c>
      <c r="F309" s="1" t="s">
        <v>77</v>
      </c>
      <c r="G309" s="1" t="s">
        <v>60</v>
      </c>
      <c r="H309" s="1" t="s">
        <v>86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9" s="2">
        <f>Games[[#This Row],[DaysOff]]-Games[[#This Row],[OppDaysOff]]</f>
        <v>-2</v>
      </c>
      <c r="L309" s="2">
        <f>Games[[#This Row],[OppDaysOff]]-Games[[#This Row],[DaysOff]]</f>
        <v>2</v>
      </c>
      <c r="M309" s="1">
        <f>MAX(-16, MIN(16, Games[[#This Row],[RestDiff]]*8))</f>
        <v>-16</v>
      </c>
      <c r="N309" s="1">
        <f>MAX(-16, MIN(16, Games[[#This Row],[OppRestDiff]]*8))</f>
        <v>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1600.4965334806955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1401.348058818628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0.80933991838121455</v>
      </c>
      <c r="R309" s="1">
        <v>82</v>
      </c>
      <c r="S309" s="1">
        <v>64</v>
      </c>
      <c r="T309" s="1">
        <v>0</v>
      </c>
      <c r="U309" s="1">
        <f>Games[[#This Row],[PointsFor]]-Games[[#This Row],[PointsAgainst]]</f>
        <v>18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0.46900005999011352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71.95</v>
      </c>
      <c r="Z309" s="4">
        <f>Games[[#This Row],[K]]*Games[[#This Row],[POMult]]</f>
        <v>71.95</v>
      </c>
      <c r="AA309" s="4">
        <f>(Games[[#This Row],[Keff]]*Games[[#This Row],[MOVMult]])*(Games[[#This Row],[Result]]-Games[[#This Row],[ExpectedWin%]])</f>
        <v>6.4337394801331369</v>
      </c>
      <c r="AB309" s="4">
        <f>Games[[#This Row],[PreGmRate]]+Games[[#This Row],[RatingChange]]</f>
        <v>1606.9302729608287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41509</v>
      </c>
      <c r="B310" s="2">
        <v>2013</v>
      </c>
      <c r="C310" s="2">
        <f>COUNTIFS(Games[Team],Games[[#This Row],[Team]],Games[Season],Games[[#This Row],[Season]],Games[Date],"&lt;=" &amp; Games[[#This Row],[Date]])</f>
        <v>26</v>
      </c>
      <c r="D310" s="2" t="s">
        <v>83</v>
      </c>
      <c r="E310" s="2" t="s">
        <v>84</v>
      </c>
      <c r="F310" s="1" t="s">
        <v>71</v>
      </c>
      <c r="G310" s="1" t="s">
        <v>40</v>
      </c>
      <c r="H310" s="1" t="s">
        <v>85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1486.1862309546198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1481.9296884054586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0.38721353005977222</v>
      </c>
      <c r="R310" s="1">
        <v>81</v>
      </c>
      <c r="S310" s="1">
        <v>73</v>
      </c>
      <c r="T310" s="1">
        <v>0</v>
      </c>
      <c r="U310" s="1">
        <f>Games[[#This Row],[PointsFor]]-Games[[#This Row],[PointsAgainst]]</f>
        <v>8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0.38694300220883709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17.095878763836311</v>
      </c>
      <c r="AB310" s="4">
        <f>Games[[#This Row],[PreGmRate]]+Games[[#This Row],[RatingChange]]</f>
        <v>1503.282109718456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41509</v>
      </c>
      <c r="B311" s="2">
        <v>2013</v>
      </c>
      <c r="C311" s="2">
        <f>COUNTIFS(Games[Team],Games[[#This Row],[Team]],Games[Season],Games[[#This Row],[Season]],Games[Date],"&lt;=" &amp; Games[[#This Row],[Date]])</f>
        <v>27</v>
      </c>
      <c r="D311" s="2" t="s">
        <v>83</v>
      </c>
      <c r="E311" s="2" t="s">
        <v>84</v>
      </c>
      <c r="F311" s="1" t="s">
        <v>40</v>
      </c>
      <c r="G311" s="1" t="s">
        <v>71</v>
      </c>
      <c r="H311" s="1" t="s">
        <v>86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1481.9296884054586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1486.1862309546198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0.61278646994022778</v>
      </c>
      <c r="R311" s="1">
        <v>73</v>
      </c>
      <c r="S311" s="1">
        <v>81</v>
      </c>
      <c r="T311" s="1">
        <v>0</v>
      </c>
      <c r="U311" s="1">
        <f>Games[[#This Row],[PointsFor]]-Games[[#This Row],[PointsAgainst]]</f>
        <v>-8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0.38694300220883709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71.95</v>
      </c>
      <c r="Z311" s="4">
        <f>Games[[#This Row],[K]]*Games[[#This Row],[POMult]]</f>
        <v>71.95</v>
      </c>
      <c r="AA311" s="4">
        <f>(Games[[#This Row],[Keff]]*Games[[#This Row],[MOVMult]])*(Games[[#This Row],[Result]]-Games[[#This Row],[ExpectedWin%]])</f>
        <v>-17.060311748377568</v>
      </c>
      <c r="AB311" s="4">
        <f>Games[[#This Row],[PreGmRate]]+Games[[#This Row],[RatingChange]]</f>
        <v>1464.8693766570809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41509</v>
      </c>
      <c r="B312" s="2">
        <v>2013</v>
      </c>
      <c r="C312" s="2">
        <f>COUNTIFS(Games[Team],Games[[#This Row],[Team]],Games[Season],Games[[#This Row],[Season]],Games[Date],"&lt;=" &amp; Games[[#This Row],[Date]])</f>
        <v>26</v>
      </c>
      <c r="D312" s="2" t="s">
        <v>83</v>
      </c>
      <c r="E312" s="2" t="s">
        <v>84</v>
      </c>
      <c r="F312" s="1" t="s">
        <v>74</v>
      </c>
      <c r="G312" s="1" t="s">
        <v>81</v>
      </c>
      <c r="H312" s="1" t="s">
        <v>85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-1</v>
      </c>
      <c r="L312" s="2">
        <f>Games[[#This Row],[OppDaysOff]]-Games[[#This Row],[DaysOff]]</f>
        <v>1</v>
      </c>
      <c r="M312" s="1">
        <f>MAX(-16, MIN(16, Games[[#This Row],[RestDiff]]*8))</f>
        <v>-8</v>
      </c>
      <c r="N312" s="1">
        <f>MAX(-16, MIN(16, Games[[#This Row],[OppRestDiff]]*8))</f>
        <v>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1448.511764091973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1409.1609063660451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0.41359473702868593</v>
      </c>
      <c r="R312" s="1">
        <v>67</v>
      </c>
      <c r="S312" s="1">
        <v>73</v>
      </c>
      <c r="T312" s="1">
        <v>0</v>
      </c>
      <c r="U312" s="1">
        <f>Games[[#This Row],[PointsFor]]-Games[[#This Row],[PointsAgainst]]</f>
        <v>-6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0.34012718083938209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-10.14265393911278</v>
      </c>
      <c r="AB312" s="4">
        <f>Games[[#This Row],[PreGmRate]]+Games[[#This Row],[RatingChange]]</f>
        <v>1438.3691101528602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41509</v>
      </c>
      <c r="B313" s="2">
        <v>2013</v>
      </c>
      <c r="C313" s="2">
        <f>COUNTIFS(Games[Team],Games[[#This Row],[Team]],Games[Season],Games[[#This Row],[Season]],Games[Date],"&lt;=" &amp; Games[[#This Row],[Date]])</f>
        <v>27</v>
      </c>
      <c r="D313" s="2" t="s">
        <v>83</v>
      </c>
      <c r="E313" s="2" t="s">
        <v>84</v>
      </c>
      <c r="F313" s="1" t="s">
        <v>81</v>
      </c>
      <c r="G313" s="1" t="s">
        <v>74</v>
      </c>
      <c r="H313" s="1" t="s">
        <v>86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1</v>
      </c>
      <c r="L313" s="2">
        <f>Games[[#This Row],[OppDaysOff]]-Games[[#This Row],[DaysOff]]</f>
        <v>-1</v>
      </c>
      <c r="M313" s="1">
        <f>MAX(-16, MIN(16, Games[[#This Row],[RestDiff]]*8))</f>
        <v>8</v>
      </c>
      <c r="N313" s="1">
        <f>MAX(-16, MIN(16, Games[[#This Row],[OppRestDiff]]*8))</f>
        <v>-8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1409.1609063660451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1448.511764091973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0.58640526297131401</v>
      </c>
      <c r="R313" s="1">
        <v>73</v>
      </c>
      <c r="S313" s="1">
        <v>67</v>
      </c>
      <c r="T313" s="1">
        <v>0</v>
      </c>
      <c r="U313" s="1">
        <f>Games[[#This Row],[PointsFor]]-Games[[#This Row],[PointsAgainst]]</f>
        <v>6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0.34012718083938209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71.95</v>
      </c>
      <c r="Z313" s="4">
        <f>Games[[#This Row],[K]]*Games[[#This Row],[POMult]]</f>
        <v>71.95</v>
      </c>
      <c r="AA313" s="4">
        <f>(Games[[#This Row],[Keff]]*Games[[#This Row],[MOVMult]])*(Games[[#This Row],[Result]]-Games[[#This Row],[ExpectedWin%]])</f>
        <v>10.121552717325446</v>
      </c>
      <c r="AB313" s="4">
        <f>Games[[#This Row],[PreGmRate]]+Games[[#This Row],[RatingChange]]</f>
        <v>1419.2824590833704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41509</v>
      </c>
      <c r="B314" s="2">
        <v>2013</v>
      </c>
      <c r="C314" s="2">
        <f>COUNTIFS(Games[Team],Games[[#This Row],[Team]],Games[Season],Games[[#This Row],[Season]],Games[Date],"&lt;=" &amp; Games[[#This Row],[Date]])</f>
        <v>24</v>
      </c>
      <c r="D314" s="2" t="s">
        <v>83</v>
      </c>
      <c r="E314" s="2" t="s">
        <v>84</v>
      </c>
      <c r="F314" s="1" t="s">
        <v>79</v>
      </c>
      <c r="G314" s="1" t="s">
        <v>65</v>
      </c>
      <c r="H314" s="1" t="s">
        <v>85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1543.5045056784759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1419.2774380120929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0.55763409284727083</v>
      </c>
      <c r="R314" s="1">
        <v>64</v>
      </c>
      <c r="S314" s="1">
        <v>74</v>
      </c>
      <c r="T314" s="1">
        <v>0</v>
      </c>
      <c r="U314" s="1">
        <f>Games[[#This Row],[PointsFor]]-Games[[#This Row],[PointsAgainst]]</f>
        <v>-10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0.38343547839837794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72.400000000000006</v>
      </c>
      <c r="Z314" s="4">
        <f>Games[[#This Row],[K]]*Games[[#This Row],[POMult]]</f>
        <v>72.400000000000006</v>
      </c>
      <c r="AA314" s="4">
        <f>(Games[[#This Row],[Keff]]*Games[[#This Row],[MOVMult]])*(Games[[#This Row],[Result]]-Games[[#This Row],[ExpectedWin%]])</f>
        <v>-15.480328729738849</v>
      </c>
      <c r="AB314" s="4">
        <f>Games[[#This Row],[PreGmRate]]+Games[[#This Row],[RatingChange]]</f>
        <v>1528.024176948737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41509</v>
      </c>
      <c r="B315" s="2">
        <v>2013</v>
      </c>
      <c r="C315" s="2">
        <f>COUNTIFS(Games[Team],Games[[#This Row],[Team]],Games[Season],Games[[#This Row],[Season]],Games[Date],"&lt;=" &amp; Games[[#This Row],[Date]])</f>
        <v>28</v>
      </c>
      <c r="D315" s="2" t="s">
        <v>83</v>
      </c>
      <c r="E315" s="2" t="s">
        <v>84</v>
      </c>
      <c r="F315" s="1" t="s">
        <v>65</v>
      </c>
      <c r="G315" s="1" t="s">
        <v>79</v>
      </c>
      <c r="H315" s="1" t="s">
        <v>86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1419.2774380120929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1543.5045056784759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0.44236590715272922</v>
      </c>
      <c r="R315" s="1">
        <v>74</v>
      </c>
      <c r="S315" s="1">
        <v>64</v>
      </c>
      <c r="T315" s="1">
        <v>0</v>
      </c>
      <c r="U315" s="1">
        <f>Games[[#This Row],[PointsFor]]-Games[[#This Row],[PointsAgainst]]</f>
        <v>10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0.38343547839837794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71.8</v>
      </c>
      <c r="Z315" s="4">
        <f>Games[[#This Row],[K]]*Games[[#This Row],[POMult]]</f>
        <v>71.8</v>
      </c>
      <c r="AA315" s="4">
        <f>(Games[[#This Row],[Keff]]*Games[[#This Row],[MOVMult]])*(Games[[#This Row],[Result]]-Games[[#This Row],[ExpectedWin%]])</f>
        <v>15.352038712641562</v>
      </c>
      <c r="AB315" s="4">
        <f>Games[[#This Row],[PreGmRate]]+Games[[#This Row],[RatingChange]]</f>
        <v>1434.6294767247346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41510</v>
      </c>
      <c r="B316" s="2">
        <v>2013</v>
      </c>
      <c r="C316" s="2">
        <f>COUNTIFS(Games[Team],Games[[#This Row],[Team]],Games[Season],Games[[#This Row],[Season]],Games[Date],"&lt;=" &amp; Games[[#This Row],[Date]])</f>
        <v>28</v>
      </c>
      <c r="D316" s="2" t="s">
        <v>83</v>
      </c>
      <c r="E316" s="2" t="s">
        <v>84</v>
      </c>
      <c r="F316" s="1" t="s">
        <v>77</v>
      </c>
      <c r="G316" s="1" t="s">
        <v>79</v>
      </c>
      <c r="H316" s="1" t="s">
        <v>85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1606.9302729608287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1528.024176948737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0.49266980810211131</v>
      </c>
      <c r="R316" s="1">
        <v>67</v>
      </c>
      <c r="S316" s="1">
        <v>56</v>
      </c>
      <c r="T316" s="1">
        <v>0</v>
      </c>
      <c r="U316" s="1">
        <f>Games[[#This Row],[PointsFor]]-Games[[#This Row],[PointsAgainst]]</f>
        <v>11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0.41269891976820122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71.8</v>
      </c>
      <c r="Z316" s="4">
        <f>Games[[#This Row],[K]]*Games[[#This Row],[POMult]]</f>
        <v>71.8</v>
      </c>
      <c r="AA316" s="4">
        <f>(Games[[#This Row],[Keff]]*Games[[#This Row],[MOVMult]])*(Games[[#This Row],[Result]]-Games[[#This Row],[ExpectedWin%]])</f>
        <v>15.0330978712354</v>
      </c>
      <c r="AB316" s="4">
        <f>Games[[#This Row],[PreGmRate]]+Games[[#This Row],[RatingChange]]</f>
        <v>1621.9633708320641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41510</v>
      </c>
      <c r="B317" s="2">
        <v>2013</v>
      </c>
      <c r="C317" s="2">
        <f>COUNTIFS(Games[Team],Games[[#This Row],[Team]],Games[Season],Games[[#This Row],[Season]],Games[Date],"&lt;=" &amp; Games[[#This Row],[Date]])</f>
        <v>25</v>
      </c>
      <c r="D317" s="2" t="s">
        <v>83</v>
      </c>
      <c r="E317" s="2" t="s">
        <v>84</v>
      </c>
      <c r="F317" s="1" t="s">
        <v>79</v>
      </c>
      <c r="G317" s="1" t="s">
        <v>77</v>
      </c>
      <c r="H317" s="1" t="s">
        <v>86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1528.024176948737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1606.9302729608287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0.50733019189788875</v>
      </c>
      <c r="R317" s="1">
        <v>56</v>
      </c>
      <c r="S317" s="1">
        <v>67</v>
      </c>
      <c r="T317" s="1">
        <v>0</v>
      </c>
      <c r="U317" s="1">
        <f>Games[[#This Row],[PointsFor]]-Games[[#This Row],[PointsAgainst]]</f>
        <v>-11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0.41269891976820122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72.25</v>
      </c>
      <c r="Z317" s="4">
        <f>Games[[#This Row],[K]]*Games[[#This Row],[POMult]]</f>
        <v>72.25</v>
      </c>
      <c r="AA317" s="4">
        <f>(Games[[#This Row],[Keff]]*Games[[#This Row],[MOVMult]])*(Games[[#This Row],[Result]]-Games[[#This Row],[ExpectedWin%]])</f>
        <v>-15.127316451208323</v>
      </c>
      <c r="AB317" s="4">
        <f>Games[[#This Row],[PreGmRate]]+Games[[#This Row],[RatingChange]]</f>
        <v>1512.8968604975287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41510</v>
      </c>
      <c r="B318" s="2">
        <v>2013</v>
      </c>
      <c r="C318" s="2">
        <f>COUNTIFS(Games[Team],Games[[#This Row],[Team]],Games[Season],Games[[#This Row],[Season]],Games[Date],"&lt;=" &amp; Games[[#This Row],[Date]])</f>
        <v>27</v>
      </c>
      <c r="D318" s="2" t="s">
        <v>83</v>
      </c>
      <c r="E318" s="2" t="s">
        <v>84</v>
      </c>
      <c r="F318" s="1" t="s">
        <v>69</v>
      </c>
      <c r="G318" s="1" t="s">
        <v>67</v>
      </c>
      <c r="H318" s="1" t="s">
        <v>85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1</v>
      </c>
      <c r="L318" s="2">
        <f>Games[[#This Row],[OppDaysOff]]-Games[[#This Row],[DaysOff]]</f>
        <v>-1</v>
      </c>
      <c r="M318" s="1">
        <f>MAX(-16, MIN(16, Games[[#This Row],[RestDiff]]*8))</f>
        <v>8</v>
      </c>
      <c r="N318" s="1">
        <f>MAX(-16, MIN(16, Games[[#This Row],[OppRestDiff]]*8))</f>
        <v>-8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1538.0177821661186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1637.8371378958236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0.27566934594486375</v>
      </c>
      <c r="R318" s="1">
        <v>77</v>
      </c>
      <c r="S318" s="1">
        <v>84</v>
      </c>
      <c r="T318" s="1">
        <v>0</v>
      </c>
      <c r="U318" s="1">
        <f>Games[[#This Row],[PointsFor]]-Games[[#This Row],[PointsAgainst]]</f>
        <v>-7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0.34168486953731725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71.95</v>
      </c>
      <c r="Z318" s="4">
        <f>Games[[#This Row],[K]]*Games[[#This Row],[POMult]]</f>
        <v>71.95</v>
      </c>
      <c r="AA318" s="4">
        <f>(Games[[#This Row],[Keff]]*Games[[#This Row],[MOVMult]])*(Games[[#This Row],[Result]]-Games[[#This Row],[ExpectedWin%]])</f>
        <v>-6.7771176021065713</v>
      </c>
      <c r="AB318" s="4">
        <f>Games[[#This Row],[PreGmRate]]+Games[[#This Row],[RatingChange]]</f>
        <v>1531.2406645640121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41510</v>
      </c>
      <c r="B319" s="2">
        <v>2013</v>
      </c>
      <c r="C319" s="2">
        <f>COUNTIFS(Games[Team],Games[[#This Row],[Team]],Games[Season],Games[[#This Row],[Season]],Games[Date],"&lt;=" &amp; Games[[#This Row],[Date]])</f>
        <v>27</v>
      </c>
      <c r="D319" s="2" t="s">
        <v>83</v>
      </c>
      <c r="E319" s="2" t="s">
        <v>84</v>
      </c>
      <c r="F319" s="1" t="s">
        <v>67</v>
      </c>
      <c r="G319" s="1" t="s">
        <v>69</v>
      </c>
      <c r="H319" s="1" t="s">
        <v>86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-1</v>
      </c>
      <c r="L319" s="2">
        <f>Games[[#This Row],[OppDaysOff]]-Games[[#This Row],[DaysOff]]</f>
        <v>1</v>
      </c>
      <c r="M319" s="1">
        <f>MAX(-16, MIN(16, Games[[#This Row],[RestDiff]]*8))</f>
        <v>-8</v>
      </c>
      <c r="N319" s="1">
        <f>MAX(-16, MIN(16, Games[[#This Row],[OppRestDiff]]*8))</f>
        <v>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1637.8371378958236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1538.0177821661186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0.72433065405513619</v>
      </c>
      <c r="R319" s="1">
        <v>84</v>
      </c>
      <c r="S319" s="1">
        <v>77</v>
      </c>
      <c r="T319" s="1">
        <v>0</v>
      </c>
      <c r="U319" s="1">
        <f>Games[[#This Row],[PointsFor]]-Games[[#This Row],[PointsAgainst]]</f>
        <v>7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0.34168486953731725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6.7771176021065731</v>
      </c>
      <c r="AB319" s="4">
        <f>Games[[#This Row],[PreGmRate]]+Games[[#This Row],[RatingChange]]</f>
        <v>1644.6142554979301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41511</v>
      </c>
      <c r="B320" s="2">
        <v>2013</v>
      </c>
      <c r="C320" s="2">
        <f>COUNTIFS(Games[Team],Games[[#This Row],[Team]],Games[Season],Games[[#This Row],[Season]],Games[Date],"&lt;=" &amp; Games[[#This Row],[Date]])</f>
        <v>27</v>
      </c>
      <c r="D320" s="2" t="s">
        <v>83</v>
      </c>
      <c r="E320" s="2" t="s">
        <v>84</v>
      </c>
      <c r="F320" s="1" t="s">
        <v>60</v>
      </c>
      <c r="G320" s="1" t="s">
        <v>76</v>
      </c>
      <c r="H320" s="1" t="s">
        <v>85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0" s="2">
        <f>Games[[#This Row],[DaysOff]]-Games[[#This Row],[OppDaysOff]]</f>
        <v>-1</v>
      </c>
      <c r="L320" s="2">
        <f>Games[[#This Row],[OppDaysOff]]-Games[[#This Row],[DaysOff]]</f>
        <v>1</v>
      </c>
      <c r="M320" s="1">
        <f>MAX(-16, MIN(16, Games[[#This Row],[RestDiff]]*8))</f>
        <v>-8</v>
      </c>
      <c r="N320" s="1">
        <f>MAX(-16, MIN(16, Games[[#This Row],[OppRestDiff]]*8))</f>
        <v>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1394.9009064000375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1406.4209013465752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0.34480345623084768</v>
      </c>
      <c r="R320" s="1">
        <v>74</v>
      </c>
      <c r="S320" s="1">
        <v>66</v>
      </c>
      <c r="T320" s="1">
        <v>0</v>
      </c>
      <c r="U320" s="1">
        <f>Games[[#This Row],[PointsFor]]-Games[[#This Row],[PointsAgainst]]</f>
        <v>8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0.38462315434106342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18.131670631136593</v>
      </c>
      <c r="AB320" s="4">
        <f>Games[[#This Row],[PreGmRate]]+Games[[#This Row],[RatingChange]]</f>
        <v>1413.032577031174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41511</v>
      </c>
      <c r="B321" s="2">
        <v>2013</v>
      </c>
      <c r="C321" s="2">
        <f>COUNTIFS(Games[Team],Games[[#This Row],[Team]],Games[Season],Games[[#This Row],[Season]],Games[Date],"&lt;=" &amp; Games[[#This Row],[Date]])</f>
        <v>26</v>
      </c>
      <c r="D321" s="2" t="s">
        <v>83</v>
      </c>
      <c r="E321" s="2" t="s">
        <v>84</v>
      </c>
      <c r="F321" s="1" t="s">
        <v>76</v>
      </c>
      <c r="G321" s="1" t="s">
        <v>60</v>
      </c>
      <c r="H321" s="1" t="s">
        <v>86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1</v>
      </c>
      <c r="L321" s="2">
        <f>Games[[#This Row],[OppDaysOff]]-Games[[#This Row],[DaysOff]]</f>
        <v>-1</v>
      </c>
      <c r="M321" s="1">
        <f>MAX(-16, MIN(16, Games[[#This Row],[RestDiff]]*8))</f>
        <v>8</v>
      </c>
      <c r="N321" s="1">
        <f>MAX(-16, MIN(16, Games[[#This Row],[OppRestDiff]]*8))</f>
        <v>-8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1406.4209013465752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1394.9009064000375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0.65519654376915226</v>
      </c>
      <c r="R321" s="1">
        <v>66</v>
      </c>
      <c r="S321" s="1">
        <v>74</v>
      </c>
      <c r="T321" s="1">
        <v>0</v>
      </c>
      <c r="U321" s="1">
        <f>Games[[#This Row],[PointsFor]]-Games[[#This Row],[PointsAgainst]]</f>
        <v>-8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0.38462315434106342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72.099999999999994</v>
      </c>
      <c r="Z321" s="4">
        <f>Games[[#This Row],[K]]*Games[[#This Row],[POMult]]</f>
        <v>72.099999999999994</v>
      </c>
      <c r="AA321" s="4">
        <f>(Games[[#This Row],[Keff]]*Games[[#This Row],[MOVMult]])*(Games[[#This Row],[Result]]-Games[[#This Row],[ExpectedWin%]])</f>
        <v>-18.16947119534327</v>
      </c>
      <c r="AB321" s="4">
        <f>Games[[#This Row],[PreGmRate]]+Games[[#This Row],[RatingChange]]</f>
        <v>1388.2514301512319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41511</v>
      </c>
      <c r="B322" s="2">
        <v>2013</v>
      </c>
      <c r="C322" s="2">
        <f>COUNTIFS(Games[Team],Games[[#This Row],[Team]],Games[Season],Games[[#This Row],[Season]],Games[Date],"&lt;=" &amp; Games[[#This Row],[Date]])</f>
        <v>28</v>
      </c>
      <c r="D322" s="2" t="s">
        <v>83</v>
      </c>
      <c r="E322" s="2" t="s">
        <v>84</v>
      </c>
      <c r="F322" s="1" t="s">
        <v>81</v>
      </c>
      <c r="G322" s="1" t="s">
        <v>63</v>
      </c>
      <c r="H322" s="1" t="s">
        <v>85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2" s="2">
        <f>Games[[#This Row],[DaysOff]]-Games[[#This Row],[OppDaysOff]]</f>
        <v>-3</v>
      </c>
      <c r="L322" s="2">
        <f>Games[[#This Row],[OppDaysOff]]-Games[[#This Row],[DaysOff]]</f>
        <v>3</v>
      </c>
      <c r="M322" s="1">
        <f>MAX(-16, MIN(16, Games[[#This Row],[RestDiff]]*8))</f>
        <v>-16</v>
      </c>
      <c r="N322" s="1">
        <f>MAX(-16, MIN(16, Games[[#This Row],[OppRestDiff]]*8))</f>
        <v>16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1419.2824590833704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1631.1733221277311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0.13153074784781923</v>
      </c>
      <c r="R322" s="1">
        <v>88</v>
      </c>
      <c r="S322" s="1">
        <v>90</v>
      </c>
      <c r="T322" s="1">
        <v>1</v>
      </c>
      <c r="U322" s="1">
        <f>Games[[#This Row],[PointsFor]]-Games[[#This Row],[PointsAgainst]]</f>
        <v>-2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0.20488030204453192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-1.9348706611292739</v>
      </c>
      <c r="AB322" s="4">
        <f>Games[[#This Row],[PreGmRate]]+Games[[#This Row],[RatingChange]]</f>
        <v>1417.3475884222412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41511</v>
      </c>
      <c r="B323" s="2">
        <v>2013</v>
      </c>
      <c r="C323" s="2">
        <f>COUNTIFS(Games[Team],Games[[#This Row],[Team]],Games[Season],Games[[#This Row],[Season]],Games[Date],"&lt;=" &amp; Games[[#This Row],[Date]])</f>
        <v>27</v>
      </c>
      <c r="D323" s="2" t="s">
        <v>83</v>
      </c>
      <c r="E323" s="2" t="s">
        <v>84</v>
      </c>
      <c r="F323" s="1" t="s">
        <v>63</v>
      </c>
      <c r="G323" s="1" t="s">
        <v>81</v>
      </c>
      <c r="H323" s="1" t="s">
        <v>86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3</v>
      </c>
      <c r="L323" s="2">
        <f>Games[[#This Row],[OppDaysOff]]-Games[[#This Row],[DaysOff]]</f>
        <v>-3</v>
      </c>
      <c r="M323" s="1">
        <f>MAX(-16, MIN(16, Games[[#This Row],[RestDiff]]*8))</f>
        <v>16</v>
      </c>
      <c r="N323" s="1">
        <f>MAX(-16, MIN(16, Games[[#This Row],[OppRestDiff]]*8))</f>
        <v>-16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1631.1733221277311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1419.2824590833704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0.86846925215218085</v>
      </c>
      <c r="R323" s="1">
        <v>90</v>
      </c>
      <c r="S323" s="1">
        <v>88</v>
      </c>
      <c r="T323" s="1">
        <v>1</v>
      </c>
      <c r="U323" s="1">
        <f>Games[[#This Row],[PointsFor]]-Games[[#This Row],[PointsAgainst]]</f>
        <v>2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0.20488030204453192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1.9389128700313534</v>
      </c>
      <c r="AB323" s="4">
        <f>Games[[#This Row],[PreGmRate]]+Games[[#This Row],[RatingChange]]</f>
        <v>1633.1122349977625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41511</v>
      </c>
      <c r="B324" s="2">
        <v>2013</v>
      </c>
      <c r="C324" s="2">
        <f>COUNTIFS(Games[Team],Games[[#This Row],[Team]],Games[Season],Games[[#This Row],[Season]],Games[Date],"&lt;=" &amp; Games[[#This Row],[Date]])</f>
        <v>27</v>
      </c>
      <c r="D324" s="2" t="s">
        <v>83</v>
      </c>
      <c r="E324" s="2" t="s">
        <v>84</v>
      </c>
      <c r="F324" s="1" t="s">
        <v>71</v>
      </c>
      <c r="G324" s="1" t="s">
        <v>74</v>
      </c>
      <c r="H324" s="1" t="s">
        <v>85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1503.282109718456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1438.3691101528602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0.47255919870334057</v>
      </c>
      <c r="R324" s="1">
        <v>64</v>
      </c>
      <c r="S324" s="1">
        <v>70</v>
      </c>
      <c r="T324" s="1">
        <v>0</v>
      </c>
      <c r="U324" s="1">
        <f>Games[[#This Row],[PointsFor]]-Games[[#This Row],[PointsAgainst]]</f>
        <v>-6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0.33325368104680464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-11.330836553965979</v>
      </c>
      <c r="AB324" s="4">
        <f>Games[[#This Row],[PreGmRate]]+Games[[#This Row],[RatingChange]]</f>
        <v>1491.95127316449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41511</v>
      </c>
      <c r="B325" s="2">
        <v>2013</v>
      </c>
      <c r="C325" s="2">
        <f>COUNTIFS(Games[Team],Games[[#This Row],[Team]],Games[Season],Games[[#This Row],[Season]],Games[Date],"&lt;=" &amp; Games[[#This Row],[Date]])</f>
        <v>27</v>
      </c>
      <c r="D325" s="2" t="s">
        <v>83</v>
      </c>
      <c r="E325" s="2" t="s">
        <v>84</v>
      </c>
      <c r="F325" s="1" t="s">
        <v>74</v>
      </c>
      <c r="G325" s="1" t="s">
        <v>71</v>
      </c>
      <c r="H325" s="1" t="s">
        <v>86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1438.3691101528602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1503.282109718456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0.52744080129665949</v>
      </c>
      <c r="R325" s="1">
        <v>70</v>
      </c>
      <c r="S325" s="1">
        <v>64</v>
      </c>
      <c r="T325" s="1">
        <v>0</v>
      </c>
      <c r="U325" s="1">
        <f>Games[[#This Row],[PointsFor]]-Games[[#This Row],[PointsAgainst]]</f>
        <v>6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0.33325368104680464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71.95</v>
      </c>
      <c r="Z325" s="4">
        <f>Games[[#This Row],[K]]*Games[[#This Row],[POMult]]</f>
        <v>71.95</v>
      </c>
      <c r="AA325" s="4">
        <f>(Games[[#This Row],[Keff]]*Games[[#This Row],[MOVMult]])*(Games[[#This Row],[Result]]-Games[[#This Row],[ExpectedWin%]])</f>
        <v>11.330836553965977</v>
      </c>
      <c r="AB325" s="4">
        <f>Games[[#This Row],[PreGmRate]]+Games[[#This Row],[RatingChange]]</f>
        <v>1449.6999467068263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41513</v>
      </c>
      <c r="B326" s="2">
        <v>2013</v>
      </c>
      <c r="C326" s="2">
        <f>COUNTIFS(Games[Team],Games[[#This Row],[Team]],Games[Season],Games[[#This Row],[Season]],Games[Date],"&lt;=" &amp; Games[[#This Row],[Date]])</f>
        <v>27</v>
      </c>
      <c r="D326" s="2" t="s">
        <v>83</v>
      </c>
      <c r="E326" s="2" t="s">
        <v>84</v>
      </c>
      <c r="F326" s="1" t="s">
        <v>76</v>
      </c>
      <c r="G326" s="1" t="s">
        <v>63</v>
      </c>
      <c r="H326" s="1" t="s">
        <v>85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1388.2514301512319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1633.1122349977625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0.13089426102315388</v>
      </c>
      <c r="R326" s="1">
        <v>78</v>
      </c>
      <c r="S326" s="1">
        <v>91</v>
      </c>
      <c r="T326" s="1">
        <v>0</v>
      </c>
      <c r="U326" s="1">
        <f>Games[[#This Row],[PointsFor]]-Games[[#This Row],[PointsAgainst]]</f>
        <v>-13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0.39204642058036049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-3.6922312772965671</v>
      </c>
      <c r="AB326" s="4">
        <f>Games[[#This Row],[PreGmRate]]+Games[[#This Row],[RatingChange]]</f>
        <v>1384.5591988739354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41513</v>
      </c>
      <c r="B327" s="2">
        <v>2013</v>
      </c>
      <c r="C327" s="2">
        <f>COUNTIFS(Games[Team],Games[[#This Row],[Team]],Games[Season],Games[[#This Row],[Season]],Games[Date],"&lt;=" &amp; Games[[#This Row],[Date]])</f>
        <v>28</v>
      </c>
      <c r="D327" s="2" t="s">
        <v>83</v>
      </c>
      <c r="E327" s="2" t="s">
        <v>84</v>
      </c>
      <c r="F327" s="1" t="s">
        <v>63</v>
      </c>
      <c r="G327" s="1" t="s">
        <v>76</v>
      </c>
      <c r="H327" s="1" t="s">
        <v>86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1633.1122349977625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1388.2514301512319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0.86910573897684607</v>
      </c>
      <c r="R327" s="1">
        <v>91</v>
      </c>
      <c r="S327" s="1">
        <v>78</v>
      </c>
      <c r="T327" s="1">
        <v>0</v>
      </c>
      <c r="U327" s="1">
        <f>Games[[#This Row],[PointsFor]]-Games[[#This Row],[PointsAgainst]]</f>
        <v>13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0.39204642058036049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3.6845337833202723</v>
      </c>
      <c r="AB327" s="4">
        <f>Games[[#This Row],[PreGmRate]]+Games[[#This Row],[RatingChange]]</f>
        <v>1636.7967687810828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41513</v>
      </c>
      <c r="B328" s="2">
        <v>2013</v>
      </c>
      <c r="C328" s="2">
        <f>COUNTIFS(Games[Team],Games[[#This Row],[Team]],Games[Season],Games[[#This Row],[Season]],Games[Date],"&lt;=" &amp; Games[[#This Row],[Date]])</f>
        <v>28</v>
      </c>
      <c r="D328" s="2" t="s">
        <v>83</v>
      </c>
      <c r="E328" s="2" t="s">
        <v>84</v>
      </c>
      <c r="F328" s="1" t="s">
        <v>67</v>
      </c>
      <c r="G328" s="1" t="s">
        <v>60</v>
      </c>
      <c r="H328" s="1" t="s">
        <v>85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1</v>
      </c>
      <c r="L328" s="2">
        <f>Games[[#This Row],[OppDaysOff]]-Games[[#This Row],[DaysOff]]</f>
        <v>-1</v>
      </c>
      <c r="M328" s="1">
        <f>MAX(-16, MIN(16, Games[[#This Row],[RestDiff]]*8))</f>
        <v>8</v>
      </c>
      <c r="N328" s="1">
        <f>MAX(-16, MIN(16, Games[[#This Row],[OppRestDiff]]*8))</f>
        <v>-8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1644.6142554979301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1413.032577031174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0.71943319976252573</v>
      </c>
      <c r="R328" s="1">
        <v>73</v>
      </c>
      <c r="S328" s="1">
        <v>47</v>
      </c>
      <c r="T328" s="1">
        <v>0</v>
      </c>
      <c r="U328" s="1">
        <f>Games[[#This Row],[PointsFor]]-Games[[#This Row],[PointsAgainst]]</f>
        <v>26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0.54827808180728288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11.044895422406082</v>
      </c>
      <c r="AB328" s="4">
        <f>Games[[#This Row],[PreGmRate]]+Games[[#This Row],[RatingChange]]</f>
        <v>1655.6591509203363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41513</v>
      </c>
      <c r="B329" s="2">
        <v>2013</v>
      </c>
      <c r="C329" s="2">
        <f>COUNTIFS(Games[Team],Games[[#This Row],[Team]],Games[Season],Games[[#This Row],[Season]],Games[Date],"&lt;=" &amp; Games[[#This Row],[Date]])</f>
        <v>28</v>
      </c>
      <c r="D329" s="2" t="s">
        <v>83</v>
      </c>
      <c r="E329" s="2" t="s">
        <v>84</v>
      </c>
      <c r="F329" s="1" t="s">
        <v>60</v>
      </c>
      <c r="G329" s="1" t="s">
        <v>67</v>
      </c>
      <c r="H329" s="1" t="s">
        <v>86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9" s="2">
        <f>Games[[#This Row],[DaysOff]]-Games[[#This Row],[OppDaysOff]]</f>
        <v>-1</v>
      </c>
      <c r="L329" s="2">
        <f>Games[[#This Row],[OppDaysOff]]-Games[[#This Row],[DaysOff]]</f>
        <v>1</v>
      </c>
      <c r="M329" s="1">
        <f>MAX(-16, MIN(16, Games[[#This Row],[RestDiff]]*8))</f>
        <v>-8</v>
      </c>
      <c r="N329" s="1">
        <f>MAX(-16, MIN(16, Games[[#This Row],[OppRestDiff]]*8))</f>
        <v>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1413.032577031174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1644.6142554979301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0.28056680023747427</v>
      </c>
      <c r="R329" s="1">
        <v>47</v>
      </c>
      <c r="S329" s="1">
        <v>73</v>
      </c>
      <c r="T329" s="1">
        <v>0</v>
      </c>
      <c r="U329" s="1">
        <f>Games[[#This Row],[PointsFor]]-Games[[#This Row],[PointsAgainst]]</f>
        <v>-26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0.54827808180728288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-11.044895422406082</v>
      </c>
      <c r="AB329" s="4">
        <f>Games[[#This Row],[PreGmRate]]+Games[[#This Row],[RatingChange]]</f>
        <v>1401.9876816087678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41513</v>
      </c>
      <c r="B330" s="2">
        <v>2013</v>
      </c>
      <c r="C330" s="2">
        <f>COUNTIFS(Games[Team],Games[[#This Row],[Team]],Games[Season],Games[[#This Row],[Season]],Games[Date],"&lt;=" &amp; Games[[#This Row],[Date]])</f>
        <v>28</v>
      </c>
      <c r="D330" s="2" t="s">
        <v>83</v>
      </c>
      <c r="E330" s="2" t="s">
        <v>84</v>
      </c>
      <c r="F330" s="1" t="s">
        <v>71</v>
      </c>
      <c r="G330" s="1" t="s">
        <v>74</v>
      </c>
      <c r="H330" s="1" t="s">
        <v>85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1491.95127316449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1449.6999467068263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0.44020633917047192</v>
      </c>
      <c r="R330" s="1">
        <v>72</v>
      </c>
      <c r="S330" s="1">
        <v>71</v>
      </c>
      <c r="T330" s="1">
        <v>0</v>
      </c>
      <c r="U330" s="1">
        <f>Games[[#This Row],[PointsFor]]-Games[[#This Row],[PointsAgainst]]</f>
        <v>1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0.23587465669600008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9.4805536774371149</v>
      </c>
      <c r="AB330" s="4">
        <f>Games[[#This Row],[PreGmRate]]+Games[[#This Row],[RatingChange]]</f>
        <v>1501.431826841927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41513</v>
      </c>
      <c r="B331" s="2">
        <v>2013</v>
      </c>
      <c r="C331" s="2">
        <f>COUNTIFS(Games[Team],Games[[#This Row],[Team]],Games[Season],Games[[#This Row],[Season]],Games[Date],"&lt;=" &amp; Games[[#This Row],[Date]])</f>
        <v>28</v>
      </c>
      <c r="D331" s="2" t="s">
        <v>83</v>
      </c>
      <c r="E331" s="2" t="s">
        <v>84</v>
      </c>
      <c r="F331" s="1" t="s">
        <v>74</v>
      </c>
      <c r="G331" s="1" t="s">
        <v>71</v>
      </c>
      <c r="H331" s="1" t="s">
        <v>86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1449.6999467068263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1491.95127316449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0.55979366082952808</v>
      </c>
      <c r="R331" s="1">
        <v>71</v>
      </c>
      <c r="S331" s="1">
        <v>72</v>
      </c>
      <c r="T331" s="1">
        <v>0</v>
      </c>
      <c r="U331" s="1">
        <f>Games[[#This Row],[PointsFor]]-Games[[#This Row],[PointsAgainst]]</f>
        <v>-1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0.23587465669600008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-9.4805536774371149</v>
      </c>
      <c r="AB331" s="4">
        <f>Games[[#This Row],[PreGmRate]]+Games[[#This Row],[RatingChange]]</f>
        <v>1440.2193930293893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41514</v>
      </c>
      <c r="B332" s="2">
        <v>2013</v>
      </c>
      <c r="C332" s="2">
        <f>COUNTIFS(Games[Team],Games[[#This Row],[Team]],Games[Season],Games[[#This Row],[Season]],Games[Date],"&lt;=" &amp; Games[[#This Row],[Date]])</f>
        <v>29</v>
      </c>
      <c r="D332" s="2" t="s">
        <v>83</v>
      </c>
      <c r="E332" s="2" t="s">
        <v>84</v>
      </c>
      <c r="F332" s="1" t="s">
        <v>65</v>
      </c>
      <c r="G332" s="1" t="s">
        <v>79</v>
      </c>
      <c r="H332" s="1" t="s">
        <v>85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2" s="2">
        <f>Games[[#This Row],[DaysOff]]-Games[[#This Row],[OppDaysOff]]</f>
        <v>1</v>
      </c>
      <c r="L332" s="2">
        <f>Games[[#This Row],[OppDaysOff]]-Games[[#This Row],[DaysOff]]</f>
        <v>-1</v>
      </c>
      <c r="M332" s="1">
        <f>MAX(-16, MIN(16, Games[[#This Row],[RestDiff]]*8))</f>
        <v>8</v>
      </c>
      <c r="N332" s="1">
        <f>MAX(-16, MIN(16, Games[[#This Row],[OppRestDiff]]*8))</f>
        <v>-8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1434.6294767247346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1512.8968604975287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0.30111735966032321</v>
      </c>
      <c r="R332" s="1">
        <v>85</v>
      </c>
      <c r="S332" s="1">
        <v>80</v>
      </c>
      <c r="T332" s="1">
        <v>1</v>
      </c>
      <c r="U332" s="1">
        <f>Games[[#This Row],[PointsFor]]-Games[[#This Row],[PointsAgainst]]</f>
        <v>5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0.2802985181712444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71.650000000000006</v>
      </c>
      <c r="Z332" s="4">
        <f>Games[[#This Row],[K]]*Games[[#This Row],[POMult]]</f>
        <v>71.650000000000006</v>
      </c>
      <c r="AA332" s="4">
        <f>(Games[[#This Row],[Keff]]*Games[[#This Row],[MOVMult]])*(Games[[#This Row],[Result]]-Games[[#This Row],[ExpectedWin%]])</f>
        <v>14.035931810360923</v>
      </c>
      <c r="AB332" s="4">
        <f>Games[[#This Row],[PreGmRate]]+Games[[#This Row],[RatingChange]]</f>
        <v>1448.6654085350956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41514</v>
      </c>
      <c r="B333" s="2">
        <v>2013</v>
      </c>
      <c r="C333" s="2">
        <f>COUNTIFS(Games[Team],Games[[#This Row],[Team]],Games[Season],Games[[#This Row],[Season]],Games[Date],"&lt;=" &amp; Games[[#This Row],[Date]])</f>
        <v>26</v>
      </c>
      <c r="D333" s="2" t="s">
        <v>83</v>
      </c>
      <c r="E333" s="2" t="s">
        <v>84</v>
      </c>
      <c r="F333" s="1" t="s">
        <v>79</v>
      </c>
      <c r="G333" s="1" t="s">
        <v>65</v>
      </c>
      <c r="H333" s="1" t="s">
        <v>86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3" s="2">
        <f>Games[[#This Row],[DaysOff]]-Games[[#This Row],[OppDaysOff]]</f>
        <v>-1</v>
      </c>
      <c r="L333" s="2">
        <f>Games[[#This Row],[OppDaysOff]]-Games[[#This Row],[DaysOff]]</f>
        <v>1</v>
      </c>
      <c r="M333" s="1">
        <f>MAX(-16, MIN(16, Games[[#This Row],[RestDiff]]*8))</f>
        <v>-8</v>
      </c>
      <c r="N333" s="1">
        <f>MAX(-16, MIN(16, Games[[#This Row],[OppRestDiff]]*8))</f>
        <v>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1512.8968604975287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1434.6294767247346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0.69888264033967673</v>
      </c>
      <c r="R333" s="1">
        <v>80</v>
      </c>
      <c r="S333" s="1">
        <v>85</v>
      </c>
      <c r="T333" s="1">
        <v>1</v>
      </c>
      <c r="U333" s="1">
        <f>Games[[#This Row],[PointsFor]]-Games[[#This Row],[PointsAgainst]]</f>
        <v>-5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0.2802985181712444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72.099999999999994</v>
      </c>
      <c r="Z333" s="4">
        <f>Games[[#This Row],[K]]*Games[[#This Row],[POMult]]</f>
        <v>72.099999999999994</v>
      </c>
      <c r="AA333" s="4">
        <f>(Games[[#This Row],[Keff]]*Games[[#This Row],[MOVMult]])*(Games[[#This Row],[Result]]-Games[[#This Row],[ExpectedWin%]])</f>
        <v>-14.124084906169188</v>
      </c>
      <c r="AB333" s="4">
        <f>Games[[#This Row],[PreGmRate]]+Games[[#This Row],[RatingChange]]</f>
        <v>1498.7727755913595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41515</v>
      </c>
      <c r="B334" s="2">
        <v>2013</v>
      </c>
      <c r="C334" s="2">
        <f>COUNTIFS(Games[Team],Games[[#This Row],[Team]],Games[Season],Games[[#This Row],[Season]],Games[Date],"&lt;=" &amp; Games[[#This Row],[Date]])</f>
        <v>28</v>
      </c>
      <c r="D334" s="2" t="s">
        <v>83</v>
      </c>
      <c r="E334" s="2" t="s">
        <v>84</v>
      </c>
      <c r="F334" s="1" t="s">
        <v>76</v>
      </c>
      <c r="G334" s="1" t="s">
        <v>71</v>
      </c>
      <c r="H334" s="1" t="s">
        <v>85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1384.5591988739354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1501.431826841927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0.23933736846784867</v>
      </c>
      <c r="R334" s="1">
        <v>65</v>
      </c>
      <c r="S334" s="1">
        <v>78</v>
      </c>
      <c r="T334" s="1">
        <v>0</v>
      </c>
      <c r="U334" s="1">
        <f>Games[[#This Row],[PointsFor]]-Games[[#This Row],[PointsAgainst]]</f>
        <v>-13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0.4301498070098162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71.8</v>
      </c>
      <c r="Z334" s="4">
        <f>Games[[#This Row],[K]]*Games[[#This Row],[POMult]]</f>
        <v>71.8</v>
      </c>
      <c r="AA334" s="4">
        <f>(Games[[#This Row],[Keff]]*Games[[#This Row],[MOVMult]])*(Games[[#This Row],[Result]]-Games[[#This Row],[ExpectedWin%]])</f>
        <v>-7.3918762611097941</v>
      </c>
      <c r="AB334" s="4">
        <f>Games[[#This Row],[PreGmRate]]+Games[[#This Row],[RatingChange]]</f>
        <v>1377.1673226128257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41515</v>
      </c>
      <c r="B335" s="2">
        <v>2013</v>
      </c>
      <c r="C335" s="2">
        <f>COUNTIFS(Games[Team],Games[[#This Row],[Team]],Games[Season],Games[[#This Row],[Season]],Games[Date],"&lt;=" &amp; Games[[#This Row],[Date]])</f>
        <v>29</v>
      </c>
      <c r="D335" s="2" t="s">
        <v>83</v>
      </c>
      <c r="E335" s="2" t="s">
        <v>84</v>
      </c>
      <c r="F335" s="1" t="s">
        <v>71</v>
      </c>
      <c r="G335" s="1" t="s">
        <v>76</v>
      </c>
      <c r="H335" s="1" t="s">
        <v>86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1501.431826841927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1384.5591988739354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0.7606626315321513</v>
      </c>
      <c r="R335" s="1">
        <v>78</v>
      </c>
      <c r="S335" s="1">
        <v>65</v>
      </c>
      <c r="T335" s="1">
        <v>0</v>
      </c>
      <c r="U335" s="1">
        <f>Games[[#This Row],[PointsFor]]-Games[[#This Row],[PointsAgainst]]</f>
        <v>13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0.4301498070098162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71.650000000000006</v>
      </c>
      <c r="Z335" s="4">
        <f>Games[[#This Row],[K]]*Games[[#This Row],[POMult]]</f>
        <v>71.650000000000006</v>
      </c>
      <c r="AA335" s="4">
        <f>(Games[[#This Row],[Keff]]*Games[[#This Row],[MOVMult]])*(Games[[#This Row],[Result]]-Games[[#This Row],[ExpectedWin%]])</f>
        <v>7.3764336226812937</v>
      </c>
      <c r="AB335" s="4">
        <f>Games[[#This Row],[PreGmRate]]+Games[[#This Row],[RatingChange]]</f>
        <v>1508.8082604646083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41516</v>
      </c>
      <c r="B336" s="2">
        <v>2013</v>
      </c>
      <c r="C336" s="2">
        <f>COUNTIFS(Games[Team],Games[[#This Row],[Team]],Games[Season],Games[[#This Row],[Season]],Games[Date],"&lt;=" &amp; Games[[#This Row],[Date]])</f>
        <v>28</v>
      </c>
      <c r="D336" s="2" t="s">
        <v>83</v>
      </c>
      <c r="E336" s="2" t="s">
        <v>84</v>
      </c>
      <c r="F336" s="1" t="s">
        <v>69</v>
      </c>
      <c r="G336" s="1" t="s">
        <v>60</v>
      </c>
      <c r="H336" s="1" t="s">
        <v>85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6" s="2">
        <f>Games[[#This Row],[DaysOff]]-Games[[#This Row],[OppDaysOff]]</f>
        <v>3</v>
      </c>
      <c r="L336" s="2">
        <f>Games[[#This Row],[OppDaysOff]]-Games[[#This Row],[DaysOff]]</f>
        <v>-3</v>
      </c>
      <c r="M336" s="1">
        <f>MAX(-16, MIN(16, Games[[#This Row],[RestDiff]]*8))</f>
        <v>16</v>
      </c>
      <c r="N336" s="1">
        <f>MAX(-16, MIN(16, Games[[#This Row],[OppRestDiff]]*8))</f>
        <v>-16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1531.2406645640121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1401.9876816087678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0.60937930753331571</v>
      </c>
      <c r="R336" s="1">
        <v>73</v>
      </c>
      <c r="S336" s="1">
        <v>67</v>
      </c>
      <c r="T336" s="1">
        <v>0</v>
      </c>
      <c r="U336" s="1">
        <f>Games[[#This Row],[PointsFor]]-Games[[#This Row],[PointsAgainst]]</f>
        <v>6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0.3171231652021676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8.8942156938941146</v>
      </c>
      <c r="AB336" s="4">
        <f>Games[[#This Row],[PreGmRate]]+Games[[#This Row],[RatingChange]]</f>
        <v>1540.1348802579062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41516</v>
      </c>
      <c r="B337" s="2">
        <v>2013</v>
      </c>
      <c r="C337" s="2">
        <f>COUNTIFS(Games[Team],Games[[#This Row],[Team]],Games[Season],Games[[#This Row],[Season]],Games[Date],"&lt;=" &amp; Games[[#This Row],[Date]])</f>
        <v>29</v>
      </c>
      <c r="D337" s="2" t="s">
        <v>83</v>
      </c>
      <c r="E337" s="2" t="s">
        <v>84</v>
      </c>
      <c r="F337" s="1" t="s">
        <v>60</v>
      </c>
      <c r="G337" s="1" t="s">
        <v>69</v>
      </c>
      <c r="H337" s="1" t="s">
        <v>86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7" s="2">
        <f>Games[[#This Row],[DaysOff]]-Games[[#This Row],[OppDaysOff]]</f>
        <v>-3</v>
      </c>
      <c r="L337" s="2">
        <f>Games[[#This Row],[OppDaysOff]]-Games[[#This Row],[DaysOff]]</f>
        <v>3</v>
      </c>
      <c r="M337" s="1">
        <f>MAX(-16, MIN(16, Games[[#This Row],[RestDiff]]*8))</f>
        <v>-16</v>
      </c>
      <c r="N337" s="1">
        <f>MAX(-16, MIN(16, Games[[#This Row],[OppRestDiff]]*8))</f>
        <v>16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1401.9876816087678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1531.2406645640121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0.39062069246668429</v>
      </c>
      <c r="R337" s="1">
        <v>67</v>
      </c>
      <c r="S337" s="1">
        <v>73</v>
      </c>
      <c r="T337" s="1">
        <v>0</v>
      </c>
      <c r="U337" s="1">
        <f>Games[[#This Row],[PointsFor]]-Games[[#This Row],[PointsAgainst]]</f>
        <v>-6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0.3171231652021676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71.650000000000006</v>
      </c>
      <c r="Z337" s="4">
        <f>Games[[#This Row],[K]]*Games[[#This Row],[POMult]]</f>
        <v>71.650000000000006</v>
      </c>
      <c r="AA337" s="4">
        <f>(Games[[#This Row],[Keff]]*Games[[#This Row],[MOVMult]])*(Games[[#This Row],[Result]]-Games[[#This Row],[ExpectedWin%]])</f>
        <v>-8.8756344633358406</v>
      </c>
      <c r="AB337" s="4">
        <f>Games[[#This Row],[PreGmRate]]+Games[[#This Row],[RatingChange]]</f>
        <v>1393.1120471454319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41516</v>
      </c>
      <c r="B338" s="2">
        <v>2013</v>
      </c>
      <c r="C338" s="2">
        <f>COUNTIFS(Games[Team],Games[[#This Row],[Team]],Games[Season],Games[[#This Row],[Season]],Games[Date],"&lt;=" &amp; Games[[#This Row],[Date]])</f>
        <v>29</v>
      </c>
      <c r="D338" s="2" t="s">
        <v>83</v>
      </c>
      <c r="E338" s="2" t="s">
        <v>84</v>
      </c>
      <c r="F338" s="1" t="s">
        <v>74</v>
      </c>
      <c r="G338" s="1" t="s">
        <v>81</v>
      </c>
      <c r="H338" s="1" t="s">
        <v>85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8" s="2">
        <f>Games[[#This Row],[DaysOff]]-Games[[#This Row],[OppDaysOff]]</f>
        <v>-2</v>
      </c>
      <c r="L338" s="2">
        <f>Games[[#This Row],[OppDaysOff]]-Games[[#This Row],[DaysOff]]</f>
        <v>2</v>
      </c>
      <c r="M338" s="1">
        <f>MAX(-16, MIN(16, Games[[#This Row],[RestDiff]]*8))</f>
        <v>-16</v>
      </c>
      <c r="N338" s="1">
        <f>MAX(-16, MIN(16, Games[[#This Row],[OppRestDiff]]*8))</f>
        <v>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1440.2193930293893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1417.3475884222412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0.36909785187204297</v>
      </c>
      <c r="R338" s="1">
        <v>74</v>
      </c>
      <c r="S338" s="1">
        <v>65</v>
      </c>
      <c r="T338" s="1">
        <v>0</v>
      </c>
      <c r="U338" s="1">
        <f>Games[[#This Row],[PointsFor]]-Games[[#This Row],[PointsAgainst]]</f>
        <v>9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0.39837849784523827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18.008356956695078</v>
      </c>
      <c r="AB338" s="4">
        <f>Games[[#This Row],[PreGmRate]]+Games[[#This Row],[RatingChange]]</f>
        <v>1458.2277499860843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41516</v>
      </c>
      <c r="B339" s="2">
        <v>2013</v>
      </c>
      <c r="C339" s="2">
        <f>COUNTIFS(Games[Team],Games[[#This Row],[Team]],Games[Season],Games[[#This Row],[Season]],Games[Date],"&lt;=" &amp; Games[[#This Row],[Date]])</f>
        <v>29</v>
      </c>
      <c r="D339" s="2" t="s">
        <v>83</v>
      </c>
      <c r="E339" s="2" t="s">
        <v>84</v>
      </c>
      <c r="F339" s="1" t="s">
        <v>81</v>
      </c>
      <c r="G339" s="1" t="s">
        <v>74</v>
      </c>
      <c r="H339" s="1" t="s">
        <v>86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9" s="2">
        <f>Games[[#This Row],[DaysOff]]-Games[[#This Row],[OppDaysOff]]</f>
        <v>2</v>
      </c>
      <c r="L339" s="2">
        <f>Games[[#This Row],[OppDaysOff]]-Games[[#This Row],[DaysOff]]</f>
        <v>-2</v>
      </c>
      <c r="M339" s="1">
        <f>MAX(-16, MIN(16, Games[[#This Row],[RestDiff]]*8))</f>
        <v>16</v>
      </c>
      <c r="N339" s="1">
        <f>MAX(-16, MIN(16, Games[[#This Row],[OppRestDiff]]*8))</f>
        <v>-16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1417.3475884222412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1440.2193930293893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0.63090214812795709</v>
      </c>
      <c r="R339" s="1">
        <v>65</v>
      </c>
      <c r="S339" s="1">
        <v>74</v>
      </c>
      <c r="T339" s="1">
        <v>0</v>
      </c>
      <c r="U339" s="1">
        <f>Games[[#This Row],[PointsFor]]-Games[[#This Row],[PointsAgainst]]</f>
        <v>-9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0.39837849784523827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71.650000000000006</v>
      </c>
      <c r="Z339" s="4">
        <f>Games[[#This Row],[K]]*Games[[#This Row],[POMult]]</f>
        <v>71.650000000000006</v>
      </c>
      <c r="AA339" s="4">
        <f>(Games[[#This Row],[Keff]]*Games[[#This Row],[MOVMult]])*(Games[[#This Row],[Result]]-Games[[#This Row],[ExpectedWin%]])</f>
        <v>-18.008356956695078</v>
      </c>
      <c r="AB339" s="4">
        <f>Games[[#This Row],[PreGmRate]]+Games[[#This Row],[RatingChange]]</f>
        <v>1399.3392314655462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41517</v>
      </c>
      <c r="B340" s="2">
        <v>2013</v>
      </c>
      <c r="C340" s="2">
        <f>COUNTIFS(Games[Team],Games[[#This Row],[Team]],Games[Season],Games[[#This Row],[Season]],Games[Date],"&lt;=" &amp; Games[[#This Row],[Date]])</f>
        <v>27</v>
      </c>
      <c r="D340" s="2" t="s">
        <v>83</v>
      </c>
      <c r="E340" s="2" t="s">
        <v>84</v>
      </c>
      <c r="F340" s="1" t="s">
        <v>79</v>
      </c>
      <c r="G340" s="1" t="s">
        <v>77</v>
      </c>
      <c r="H340" s="1" t="s">
        <v>85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40" s="2">
        <f>Games[[#This Row],[DaysOff]]-Games[[#This Row],[OppDaysOff]]</f>
        <v>-4</v>
      </c>
      <c r="L340" s="2">
        <f>Games[[#This Row],[OppDaysOff]]-Games[[#This Row],[DaysOff]]</f>
        <v>4</v>
      </c>
      <c r="M340" s="1">
        <f>MAX(-16, MIN(16, Games[[#This Row],[RestDiff]]*8))</f>
        <v>-16</v>
      </c>
      <c r="N340" s="1">
        <f>MAX(-16, MIN(16, Games[[#This Row],[OppRestDiff]]*8))</f>
        <v>16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1498.7727755913595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1621.9633708320641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0.20150866268168649</v>
      </c>
      <c r="R340" s="1">
        <v>68</v>
      </c>
      <c r="S340" s="1">
        <v>85</v>
      </c>
      <c r="T340" s="1">
        <v>0</v>
      </c>
      <c r="U340" s="1">
        <f>Games[[#This Row],[PointsFor]]-Games[[#This Row],[PointsAgainst]]</f>
        <v>-17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0.48287108841048515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71.95</v>
      </c>
      <c r="Z340" s="4">
        <f>Games[[#This Row],[K]]*Games[[#This Row],[POMult]]</f>
        <v>71.95</v>
      </c>
      <c r="AA340" s="4">
        <f>(Games[[#This Row],[Keff]]*Games[[#This Row],[MOVMult]])*(Games[[#This Row],[Result]]-Games[[#This Row],[ExpectedWin%]])</f>
        <v>-7.0009297883101418</v>
      </c>
      <c r="AB340" s="4">
        <f>Games[[#This Row],[PreGmRate]]+Games[[#This Row],[RatingChange]]</f>
        <v>1491.7718458030495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41517</v>
      </c>
      <c r="B341" s="2">
        <v>2013</v>
      </c>
      <c r="C341" s="2">
        <f>COUNTIFS(Games[Team],Games[[#This Row],[Team]],Games[Season],Games[[#This Row],[Season]],Games[Date],"&lt;=" &amp; Games[[#This Row],[Date]])</f>
        <v>29</v>
      </c>
      <c r="D341" s="2" t="s">
        <v>83</v>
      </c>
      <c r="E341" s="2" t="s">
        <v>84</v>
      </c>
      <c r="F341" s="1" t="s">
        <v>77</v>
      </c>
      <c r="G341" s="1" t="s">
        <v>79</v>
      </c>
      <c r="H341" s="1" t="s">
        <v>86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6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1" s="2">
        <f>Games[[#This Row],[DaysOff]]-Games[[#This Row],[OppDaysOff]]</f>
        <v>4</v>
      </c>
      <c r="L341" s="2">
        <f>Games[[#This Row],[OppDaysOff]]-Games[[#This Row],[DaysOff]]</f>
        <v>-4</v>
      </c>
      <c r="M341" s="1">
        <f>MAX(-16, MIN(16, Games[[#This Row],[RestDiff]]*8))</f>
        <v>16</v>
      </c>
      <c r="N341" s="1">
        <f>MAX(-16, MIN(16, Games[[#This Row],[OppRestDiff]]*8))</f>
        <v>-16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1621.9633708320641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1498.7727755913595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0.79849133731831345</v>
      </c>
      <c r="R341" s="1">
        <v>85</v>
      </c>
      <c r="S341" s="1">
        <v>68</v>
      </c>
      <c r="T341" s="1">
        <v>0</v>
      </c>
      <c r="U341" s="1">
        <f>Games[[#This Row],[PointsFor]]-Games[[#This Row],[PointsAgainst]]</f>
        <v>17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0.48287108841048515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71.650000000000006</v>
      </c>
      <c r="Z341" s="4">
        <f>Games[[#This Row],[K]]*Games[[#This Row],[POMult]]</f>
        <v>71.650000000000006</v>
      </c>
      <c r="AA341" s="4">
        <f>(Games[[#This Row],[Keff]]*Games[[#This Row],[MOVMult]])*(Games[[#This Row],[Result]]-Games[[#This Row],[ExpectedWin%]])</f>
        <v>6.9717389761281687</v>
      </c>
      <c r="AB341" s="4">
        <f>Games[[#This Row],[PreGmRate]]+Games[[#This Row],[RatingChange]]</f>
        <v>1628.9351098081922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41517</v>
      </c>
      <c r="B342" s="2">
        <v>2013</v>
      </c>
      <c r="C342" s="2">
        <f>COUNTIFS(Games[Team],Games[[#This Row],[Team]],Games[Season],Games[[#This Row],[Season]],Games[Date],"&lt;=" &amp; Games[[#This Row],[Date]])</f>
        <v>30</v>
      </c>
      <c r="D342" s="2" t="s">
        <v>83</v>
      </c>
      <c r="E342" s="2" t="s">
        <v>84</v>
      </c>
      <c r="F342" s="1" t="s">
        <v>71</v>
      </c>
      <c r="G342" s="1" t="s">
        <v>67</v>
      </c>
      <c r="H342" s="1" t="s">
        <v>85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2" s="2">
        <f>Games[[#This Row],[DaysOff]]-Games[[#This Row],[OppDaysOff]]</f>
        <v>-2</v>
      </c>
      <c r="L342" s="2">
        <f>Games[[#This Row],[OppDaysOff]]-Games[[#This Row],[DaysOff]]</f>
        <v>2</v>
      </c>
      <c r="M342" s="1">
        <f>MAX(-16, MIN(16, Games[[#This Row],[RestDiff]]*8))</f>
        <v>-16</v>
      </c>
      <c r="N342" s="1">
        <f>MAX(-16, MIN(16, Games[[#This Row],[OppRestDiff]]*8))</f>
        <v>16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1508.8082604646083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1655.6591509203363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0.18048110628651048</v>
      </c>
      <c r="R342" s="1">
        <v>74</v>
      </c>
      <c r="S342" s="1">
        <v>97</v>
      </c>
      <c r="T342" s="1">
        <v>0</v>
      </c>
      <c r="U342" s="1">
        <f>Games[[#This Row],[PointsFor]]-Games[[#This Row],[PointsAgainst]]</f>
        <v>-23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0.54824578452368333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71.5</v>
      </c>
      <c r="Z342" s="4">
        <f>Games[[#This Row],[K]]*Games[[#This Row],[POMult]]</f>
        <v>71.5</v>
      </c>
      <c r="AA342" s="4">
        <f>(Games[[#This Row],[Keff]]*Games[[#This Row],[MOVMult]])*(Games[[#This Row],[Result]]-Games[[#This Row],[ExpectedWin%]])</f>
        <v>-7.0747824081041406</v>
      </c>
      <c r="AB342" s="4">
        <f>Games[[#This Row],[PreGmRate]]+Games[[#This Row],[RatingChange]]</f>
        <v>1501.7334780565043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41517</v>
      </c>
      <c r="B343" s="2">
        <v>2013</v>
      </c>
      <c r="C343" s="2">
        <f>COUNTIFS(Games[Team],Games[[#This Row],[Team]],Games[Season],Games[[#This Row],[Season]],Games[Date],"&lt;=" &amp; Games[[#This Row],[Date]])</f>
        <v>29</v>
      </c>
      <c r="D343" s="2" t="s">
        <v>83</v>
      </c>
      <c r="E343" s="2" t="s">
        <v>84</v>
      </c>
      <c r="F343" s="1" t="s">
        <v>67</v>
      </c>
      <c r="G343" s="1" t="s">
        <v>71</v>
      </c>
      <c r="H343" s="1" t="s">
        <v>86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2</v>
      </c>
      <c r="L343" s="2">
        <f>Games[[#This Row],[OppDaysOff]]-Games[[#This Row],[DaysOff]]</f>
        <v>-2</v>
      </c>
      <c r="M343" s="1">
        <f>MAX(-16, MIN(16, Games[[#This Row],[RestDiff]]*8))</f>
        <v>16</v>
      </c>
      <c r="N343" s="1">
        <f>MAX(-16, MIN(16, Games[[#This Row],[OppRestDiff]]*8))</f>
        <v>-16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1655.6591509203363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1508.8082604646083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0.81951889371348952</v>
      </c>
      <c r="R343" s="1">
        <v>97</v>
      </c>
      <c r="S343" s="1">
        <v>74</v>
      </c>
      <c r="T343" s="1">
        <v>0</v>
      </c>
      <c r="U343" s="1">
        <f>Games[[#This Row],[PointsFor]]-Games[[#This Row],[PointsAgainst]]</f>
        <v>23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0.54824578452368333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71.650000000000006</v>
      </c>
      <c r="Z343" s="4">
        <f>Games[[#This Row],[K]]*Games[[#This Row],[POMult]]</f>
        <v>71.650000000000006</v>
      </c>
      <c r="AA343" s="4">
        <f>(Games[[#This Row],[Keff]]*Games[[#This Row],[MOVMult]])*(Games[[#This Row],[Result]]-Games[[#This Row],[ExpectedWin%]])</f>
        <v>7.0896246089603032</v>
      </c>
      <c r="AB343" s="4">
        <f>Games[[#This Row],[PreGmRate]]+Games[[#This Row],[RatingChange]]</f>
        <v>1662.7487755292966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41517</v>
      </c>
      <c r="B344" s="2">
        <v>2013</v>
      </c>
      <c r="C344" s="2">
        <f>COUNTIFS(Games[Team],Games[[#This Row],[Team]],Games[Season],Games[[#This Row],[Season]],Games[Date],"&lt;=" &amp; Games[[#This Row],[Date]])</f>
        <v>29</v>
      </c>
      <c r="D344" s="2" t="s">
        <v>83</v>
      </c>
      <c r="E344" s="2" t="s">
        <v>84</v>
      </c>
      <c r="F344" s="1" t="s">
        <v>76</v>
      </c>
      <c r="G344" s="1" t="s">
        <v>40</v>
      </c>
      <c r="H344" s="1" t="s">
        <v>85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44" s="2">
        <f>Games[[#This Row],[DaysOff]]-Games[[#This Row],[OppDaysOff]]</f>
        <v>-6</v>
      </c>
      <c r="L344" s="2">
        <f>Games[[#This Row],[OppDaysOff]]-Games[[#This Row],[DaysOff]]</f>
        <v>6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1377.1673226128257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1464.8693766570809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0.23638475109386944</v>
      </c>
      <c r="R344" s="1">
        <v>68</v>
      </c>
      <c r="S344" s="1">
        <v>76</v>
      </c>
      <c r="T344" s="1">
        <v>0</v>
      </c>
      <c r="U344" s="1">
        <f>Games[[#This Row],[PointsFor]]-Games[[#This Row],[PointsAgainst]]</f>
        <v>-8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0.36186836896013219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-6.1289527739138618</v>
      </c>
      <c r="AB344" s="4">
        <f>Games[[#This Row],[PreGmRate]]+Games[[#This Row],[RatingChange]]</f>
        <v>1371.0383698389119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41517</v>
      </c>
      <c r="B345" s="2">
        <v>2013</v>
      </c>
      <c r="C345" s="2">
        <f>COUNTIFS(Games[Team],Games[[#This Row],[Team]],Games[Season],Games[[#This Row],[Season]],Games[Date],"&lt;=" &amp; Games[[#This Row],[Date]])</f>
        <v>28</v>
      </c>
      <c r="D345" s="2" t="s">
        <v>83</v>
      </c>
      <c r="E345" s="2" t="s">
        <v>84</v>
      </c>
      <c r="F345" s="1" t="s">
        <v>40</v>
      </c>
      <c r="G345" s="1" t="s">
        <v>76</v>
      </c>
      <c r="H345" s="1" t="s">
        <v>86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7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6</v>
      </c>
      <c r="L345" s="2">
        <f>Games[[#This Row],[OppDaysOff]]-Games[[#This Row],[DaysOff]]</f>
        <v>-6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1464.8693766570809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1377.1673226128257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0.76361524890613064</v>
      </c>
      <c r="R345" s="1">
        <v>76</v>
      </c>
      <c r="S345" s="1">
        <v>68</v>
      </c>
      <c r="T345" s="1">
        <v>0</v>
      </c>
      <c r="U345" s="1">
        <f>Games[[#This Row],[PointsFor]]-Games[[#This Row],[PointsAgainst]]</f>
        <v>8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0.36186836896013219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71.8</v>
      </c>
      <c r="Z345" s="4">
        <f>Games[[#This Row],[K]]*Games[[#This Row],[POMult]]</f>
        <v>71.8</v>
      </c>
      <c r="AA345" s="4">
        <f>(Games[[#This Row],[Keff]]*Games[[#This Row],[MOVMult]])*(Games[[#This Row],[Result]]-Games[[#This Row],[ExpectedWin%]])</f>
        <v>6.1417837985626669</v>
      </c>
      <c r="AB345" s="4">
        <f>Games[[#This Row],[PreGmRate]]+Games[[#This Row],[RatingChange]]</f>
        <v>1471.0111604556437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41517</v>
      </c>
      <c r="B346" s="2">
        <v>2013</v>
      </c>
      <c r="C346" s="2">
        <f>COUNTIFS(Games[Team],Games[[#This Row],[Team]],Games[Season],Games[[#This Row],[Season]],Games[Date],"&lt;=" &amp; Games[[#This Row],[Date]])</f>
        <v>29</v>
      </c>
      <c r="D346" s="2" t="s">
        <v>83</v>
      </c>
      <c r="E346" s="2" t="s">
        <v>84</v>
      </c>
      <c r="F346" s="1" t="s">
        <v>63</v>
      </c>
      <c r="G346" s="1" t="s">
        <v>74</v>
      </c>
      <c r="H346" s="1" t="s">
        <v>85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6" s="2">
        <f>Games[[#This Row],[DaysOff]]-Games[[#This Row],[OppDaysOff]]</f>
        <v>3</v>
      </c>
      <c r="L346" s="2">
        <f>Games[[#This Row],[OppDaysOff]]-Games[[#This Row],[DaysOff]]</f>
        <v>-3</v>
      </c>
      <c r="M346" s="1">
        <f>MAX(-16, MIN(16, Games[[#This Row],[RestDiff]]*8))</f>
        <v>16</v>
      </c>
      <c r="N346" s="1">
        <f>MAX(-16, MIN(16, Games[[#This Row],[OppRestDiff]]*8))</f>
        <v>-16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1636.7967687810828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1458.2277499860843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0.67449574638077614</v>
      </c>
      <c r="R346" s="1">
        <v>80</v>
      </c>
      <c r="S346" s="1">
        <v>67</v>
      </c>
      <c r="T346" s="1">
        <v>0</v>
      </c>
      <c r="U346" s="1">
        <f>Games[[#This Row],[PointsFor]]-Games[[#This Row],[PointsAgainst]]</f>
        <v>13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0.41089890970571419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71.650000000000006</v>
      </c>
      <c r="Z346" s="4">
        <f>Games[[#This Row],[K]]*Games[[#This Row],[POMult]]</f>
        <v>71.650000000000006</v>
      </c>
      <c r="AA346" s="4">
        <f>(Games[[#This Row],[Keff]]*Games[[#This Row],[MOVMult]])*(Games[[#This Row],[Result]]-Games[[#This Row],[ExpectedWin%]])</f>
        <v>9.5831404199823691</v>
      </c>
      <c r="AB346" s="4">
        <f>Games[[#This Row],[PreGmRate]]+Games[[#This Row],[RatingChange]]</f>
        <v>1646.3799092010652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41517</v>
      </c>
      <c r="B347" s="2">
        <v>2013</v>
      </c>
      <c r="C347" s="2">
        <f>COUNTIFS(Games[Team],Games[[#This Row],[Team]],Games[Season],Games[[#This Row],[Season]],Games[Date],"&lt;=" &amp; Games[[#This Row],[Date]])</f>
        <v>30</v>
      </c>
      <c r="D347" s="2" t="s">
        <v>83</v>
      </c>
      <c r="E347" s="2" t="s">
        <v>84</v>
      </c>
      <c r="F347" s="1" t="s">
        <v>74</v>
      </c>
      <c r="G347" s="1" t="s">
        <v>63</v>
      </c>
      <c r="H347" s="1" t="s">
        <v>86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7" s="2">
        <f>Games[[#This Row],[DaysOff]]-Games[[#This Row],[OppDaysOff]]</f>
        <v>-3</v>
      </c>
      <c r="L347" s="2">
        <f>Games[[#This Row],[OppDaysOff]]-Games[[#This Row],[DaysOff]]</f>
        <v>3</v>
      </c>
      <c r="M347" s="1">
        <f>MAX(-16, MIN(16, Games[[#This Row],[RestDiff]]*8))</f>
        <v>-16</v>
      </c>
      <c r="N347" s="1">
        <f>MAX(-16, MIN(16, Games[[#This Row],[OppRestDiff]]*8))</f>
        <v>16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1458.2277499860843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1636.7967687810828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0.32550425361922386</v>
      </c>
      <c r="R347" s="1">
        <v>67</v>
      </c>
      <c r="S347" s="1">
        <v>80</v>
      </c>
      <c r="T347" s="1">
        <v>0</v>
      </c>
      <c r="U347" s="1">
        <f>Games[[#This Row],[PointsFor]]-Games[[#This Row],[PointsAgainst]]</f>
        <v>-13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0.41089890970571419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71.5</v>
      </c>
      <c r="Z347" s="4">
        <f>Games[[#This Row],[K]]*Games[[#This Row],[POMult]]</f>
        <v>71.5</v>
      </c>
      <c r="AA347" s="4">
        <f>(Games[[#This Row],[Keff]]*Games[[#This Row],[MOVMult]])*(Games[[#This Row],[Result]]-Games[[#This Row],[ExpectedWin%]])</f>
        <v>-9.5630780185448625</v>
      </c>
      <c r="AB347" s="4">
        <f>Games[[#This Row],[PreGmRate]]+Games[[#This Row],[RatingChange]]</f>
        <v>1448.6646719675393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41518</v>
      </c>
      <c r="B348" s="2">
        <v>2013</v>
      </c>
      <c r="C348" s="2">
        <f>COUNTIFS(Games[Team],Games[[#This Row],[Team]],Games[Season],Games[[#This Row],[Season]],Games[Date],"&lt;=" &amp; Games[[#This Row],[Date]])</f>
        <v>30</v>
      </c>
      <c r="D348" s="2" t="s">
        <v>83</v>
      </c>
      <c r="E348" s="2" t="s">
        <v>84</v>
      </c>
      <c r="F348" s="1" t="s">
        <v>60</v>
      </c>
      <c r="G348" s="1" t="s">
        <v>81</v>
      </c>
      <c r="H348" s="1" t="s">
        <v>85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1393.1120471454319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1399.3392314655462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0.37299501785799982</v>
      </c>
      <c r="R348" s="1">
        <v>88</v>
      </c>
      <c r="S348" s="1">
        <v>93</v>
      </c>
      <c r="T348" s="1">
        <v>0</v>
      </c>
      <c r="U348" s="1">
        <f>Games[[#This Row],[PointsFor]]-Games[[#This Row],[PointsAgainst]]</f>
        <v>-5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0.33004327520432147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71.5</v>
      </c>
      <c r="Z348" s="4">
        <f>Games[[#This Row],[K]]*Games[[#This Row],[POMult]]</f>
        <v>71.5</v>
      </c>
      <c r="AA348" s="4">
        <f>(Games[[#This Row],[Keff]]*Games[[#This Row],[MOVMult]])*(Games[[#This Row],[Result]]-Games[[#This Row],[ExpectedWin%]])</f>
        <v>-8.8019715590055281</v>
      </c>
      <c r="AB348" s="4">
        <f>Games[[#This Row],[PreGmRate]]+Games[[#This Row],[RatingChange]]</f>
        <v>1384.3100755864264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41518</v>
      </c>
      <c r="B349" s="2">
        <v>2013</v>
      </c>
      <c r="C349" s="2">
        <f>COUNTIFS(Games[Team],Games[[#This Row],[Team]],Games[Season],Games[[#This Row],[Season]],Games[Date],"&lt;=" &amp; Games[[#This Row],[Date]])</f>
        <v>30</v>
      </c>
      <c r="D349" s="2" t="s">
        <v>83</v>
      </c>
      <c r="E349" s="2" t="s">
        <v>84</v>
      </c>
      <c r="F349" s="1" t="s">
        <v>81</v>
      </c>
      <c r="G349" s="1" t="s">
        <v>60</v>
      </c>
      <c r="H349" s="1" t="s">
        <v>86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1399.3392314655462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1393.1120471454319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0.62700498214200018</v>
      </c>
      <c r="R349" s="1">
        <v>93</v>
      </c>
      <c r="S349" s="1">
        <v>88</v>
      </c>
      <c r="T349" s="1">
        <v>0</v>
      </c>
      <c r="U349" s="1">
        <f>Games[[#This Row],[PointsFor]]-Games[[#This Row],[PointsAgainst]]</f>
        <v>5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0.33004327520432147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71.5</v>
      </c>
      <c r="Z349" s="4">
        <f>Games[[#This Row],[K]]*Games[[#This Row],[POMult]]</f>
        <v>71.5</v>
      </c>
      <c r="AA349" s="4">
        <f>(Games[[#This Row],[Keff]]*Games[[#This Row],[MOVMult]])*(Games[[#This Row],[Result]]-Games[[#This Row],[ExpectedWin%]])</f>
        <v>8.8019715590055281</v>
      </c>
      <c r="AB349" s="4">
        <f>Games[[#This Row],[PreGmRate]]+Games[[#This Row],[RatingChange]]</f>
        <v>1408.1412030245517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41519</v>
      </c>
      <c r="B350" s="2">
        <v>2013</v>
      </c>
      <c r="C350" s="2">
        <f>COUNTIFS(Games[Team],Games[[#This Row],[Team]],Games[Season],Games[[#This Row],[Season]],Games[Date],"&lt;=" &amp; Games[[#This Row],[Date]])</f>
        <v>30</v>
      </c>
      <c r="D350" s="2" t="s">
        <v>83</v>
      </c>
      <c r="E350" s="2" t="s">
        <v>84</v>
      </c>
      <c r="F350" s="1" t="s">
        <v>63</v>
      </c>
      <c r="G350" s="1" t="s">
        <v>79</v>
      </c>
      <c r="H350" s="1" t="s">
        <v>85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1646.3799092010652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1491.7718458030495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0.60023699516494011</v>
      </c>
      <c r="R350" s="1">
        <v>82</v>
      </c>
      <c r="S350" s="1">
        <v>92</v>
      </c>
      <c r="T350" s="1">
        <v>0</v>
      </c>
      <c r="U350" s="1">
        <f>Games[[#This Row],[PointsFor]]-Games[[#This Row],[PointsAgainst]]</f>
        <v>-10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0.37483583105584262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71.5</v>
      </c>
      <c r="Z350" s="4">
        <f>Games[[#This Row],[K]]*Games[[#This Row],[POMult]]</f>
        <v>71.5</v>
      </c>
      <c r="AA350" s="4">
        <f>(Games[[#This Row],[Keff]]*Games[[#This Row],[MOVMult]])*(Games[[#This Row],[Result]]-Games[[#This Row],[ExpectedWin%]])</f>
        <v>-16.086808803287514</v>
      </c>
      <c r="AB350" s="4">
        <f>Games[[#This Row],[PreGmRate]]+Games[[#This Row],[RatingChange]]</f>
        <v>1630.2931003977776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41519</v>
      </c>
      <c r="B351" s="2">
        <v>2013</v>
      </c>
      <c r="C351" s="2">
        <f>COUNTIFS(Games[Team],Games[[#This Row],[Team]],Games[Season],Games[[#This Row],[Season]],Games[Date],"&lt;=" &amp; Games[[#This Row],[Date]])</f>
        <v>28</v>
      </c>
      <c r="D351" s="2" t="s">
        <v>83</v>
      </c>
      <c r="E351" s="2" t="s">
        <v>84</v>
      </c>
      <c r="F351" s="1" t="s">
        <v>79</v>
      </c>
      <c r="G351" s="1" t="s">
        <v>63</v>
      </c>
      <c r="H351" s="1" t="s">
        <v>86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1491.7718458030495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1646.3799092010652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0.39976300483505989</v>
      </c>
      <c r="R351" s="1">
        <v>92</v>
      </c>
      <c r="S351" s="1">
        <v>82</v>
      </c>
      <c r="T351" s="1">
        <v>0</v>
      </c>
      <c r="U351" s="1">
        <f>Games[[#This Row],[PointsFor]]-Games[[#This Row],[PointsAgainst]]</f>
        <v>10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0.37483583105584262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71.8</v>
      </c>
      <c r="Z351" s="4">
        <f>Games[[#This Row],[K]]*Games[[#This Row],[POMult]]</f>
        <v>71.8</v>
      </c>
      <c r="AA351" s="4">
        <f>(Games[[#This Row],[Keff]]*Games[[#This Row],[MOVMult]])*(Games[[#This Row],[Result]]-Games[[#This Row],[ExpectedWin%]])</f>
        <v>16.15430590316145</v>
      </c>
      <c r="AB351" s="4">
        <f>Games[[#This Row],[PreGmRate]]+Games[[#This Row],[RatingChange]]</f>
        <v>1507.9261517062109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41521</v>
      </c>
      <c r="B352" s="2">
        <v>2013</v>
      </c>
      <c r="C352" s="2">
        <f>COUNTIFS(Games[Team],Games[[#This Row],[Team]],Games[Season],Games[[#This Row],[Season]],Games[Date],"&lt;=" &amp; Games[[#This Row],[Date]])</f>
        <v>29</v>
      </c>
      <c r="D352" s="2" t="s">
        <v>83</v>
      </c>
      <c r="E352" s="2" t="s">
        <v>84</v>
      </c>
      <c r="F352" s="1" t="s">
        <v>69</v>
      </c>
      <c r="G352" s="1" t="s">
        <v>79</v>
      </c>
      <c r="H352" s="1" t="s">
        <v>85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3</v>
      </c>
      <c r="L352" s="2">
        <f>Games[[#This Row],[OppDaysOff]]-Games[[#This Row],[DaysOff]]</f>
        <v>-3</v>
      </c>
      <c r="M352" s="1">
        <f>MAX(-16, MIN(16, Games[[#This Row],[RestDiff]]*8))</f>
        <v>16</v>
      </c>
      <c r="N352" s="1">
        <f>MAX(-16, MIN(16, Games[[#This Row],[OppRestDiff]]*8))</f>
        <v>-16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1540.1348802579062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1507.9261517062109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0.47154883776145207</v>
      </c>
      <c r="R352" s="1">
        <v>80</v>
      </c>
      <c r="S352" s="1">
        <v>89</v>
      </c>
      <c r="T352" s="1">
        <v>1</v>
      </c>
      <c r="U352" s="1">
        <f>Games[[#This Row],[PointsFor]]-Games[[#This Row],[PointsAgainst]]</f>
        <v>-9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0.35582384636599973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71.650000000000006</v>
      </c>
      <c r="Z352" s="4">
        <f>Games[[#This Row],[K]]*Games[[#This Row],[POMult]]</f>
        <v>71.650000000000006</v>
      </c>
      <c r="AA352" s="4">
        <f>(Games[[#This Row],[Keff]]*Games[[#This Row],[MOVMult]])*(Games[[#This Row],[Result]]-Games[[#This Row],[ExpectedWin%]])</f>
        <v>-12.022033214101565</v>
      </c>
      <c r="AB352" s="4">
        <f>Games[[#This Row],[PreGmRate]]+Games[[#This Row],[RatingChange]]</f>
        <v>1528.1128470438045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41521</v>
      </c>
      <c r="B353" s="2">
        <v>2013</v>
      </c>
      <c r="C353" s="2">
        <f>COUNTIFS(Games[Team],Games[[#This Row],[Team]],Games[Season],Games[[#This Row],[Season]],Games[Date],"&lt;=" &amp; Games[[#This Row],[Date]])</f>
        <v>29</v>
      </c>
      <c r="D353" s="2" t="s">
        <v>83</v>
      </c>
      <c r="E353" s="2" t="s">
        <v>84</v>
      </c>
      <c r="F353" s="1" t="s">
        <v>79</v>
      </c>
      <c r="G353" s="1" t="s">
        <v>69</v>
      </c>
      <c r="H353" s="1" t="s">
        <v>86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3" s="2">
        <f>Games[[#This Row],[DaysOff]]-Games[[#This Row],[OppDaysOff]]</f>
        <v>-3</v>
      </c>
      <c r="L353" s="2">
        <f>Games[[#This Row],[OppDaysOff]]-Games[[#This Row],[DaysOff]]</f>
        <v>3</v>
      </c>
      <c r="M353" s="1">
        <f>MAX(-16, MIN(16, Games[[#This Row],[RestDiff]]*8))</f>
        <v>-16</v>
      </c>
      <c r="N353" s="1">
        <f>MAX(-16, MIN(16, Games[[#This Row],[OppRestDiff]]*8))</f>
        <v>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1507.9261517062109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1540.1348802579062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0.52845116223854804</v>
      </c>
      <c r="R353" s="1">
        <v>89</v>
      </c>
      <c r="S353" s="1">
        <v>80</v>
      </c>
      <c r="T353" s="1">
        <v>1</v>
      </c>
      <c r="U353" s="1">
        <f>Games[[#This Row],[PointsFor]]-Games[[#This Row],[PointsAgainst]]</f>
        <v>9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0.35582384636599973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12.022033214101564</v>
      </c>
      <c r="AB353" s="4">
        <f>Games[[#This Row],[PreGmRate]]+Games[[#This Row],[RatingChange]]</f>
        <v>1519.9481849203125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41521</v>
      </c>
      <c r="B354" s="2">
        <v>2013</v>
      </c>
      <c r="C354" s="2">
        <f>COUNTIFS(Games[Team],Games[[#This Row],[Team]],Games[Season],Games[[#This Row],[Season]],Games[Date],"&lt;=" &amp; Games[[#This Row],[Date]])</f>
        <v>31</v>
      </c>
      <c r="D354" s="2" t="s">
        <v>83</v>
      </c>
      <c r="E354" s="2" t="s">
        <v>84</v>
      </c>
      <c r="F354" s="1" t="s">
        <v>63</v>
      </c>
      <c r="G354" s="1" t="s">
        <v>67</v>
      </c>
      <c r="H354" s="1" t="s">
        <v>85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-2</v>
      </c>
      <c r="L354" s="2">
        <f>Games[[#This Row],[OppDaysOff]]-Games[[#This Row],[DaysOff]]</f>
        <v>2</v>
      </c>
      <c r="M354" s="1">
        <f>MAX(-16, MIN(16, Games[[#This Row],[RestDiff]]*8))</f>
        <v>-16</v>
      </c>
      <c r="N354" s="1">
        <f>MAX(-16, MIN(16, Games[[#This Row],[OppRestDiff]]*8))</f>
        <v>16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1630.2931003977776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1662.7487755292966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0.29847307327562567</v>
      </c>
      <c r="R354" s="1">
        <v>74</v>
      </c>
      <c r="S354" s="1">
        <v>83</v>
      </c>
      <c r="T354" s="1">
        <v>0</v>
      </c>
      <c r="U354" s="1">
        <f>Games[[#This Row],[PointsFor]]-Games[[#This Row],[PointsAgainst]]</f>
        <v>-9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0.39528061122742159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71.349999999999994</v>
      </c>
      <c r="Z354" s="4">
        <f>Games[[#This Row],[K]]*Games[[#This Row],[POMult]]</f>
        <v>71.349999999999994</v>
      </c>
      <c r="AA354" s="4">
        <f>(Games[[#This Row],[Keff]]*Games[[#This Row],[MOVMult]])*(Games[[#This Row],[Result]]-Games[[#This Row],[ExpectedWin%]])</f>
        <v>-8.4179171541852167</v>
      </c>
      <c r="AB354" s="4">
        <f>Games[[#This Row],[PreGmRate]]+Games[[#This Row],[RatingChange]]</f>
        <v>1621.8751832435923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41521</v>
      </c>
      <c r="B355" s="2">
        <v>2013</v>
      </c>
      <c r="C355" s="2">
        <f>COUNTIFS(Games[Team],Games[[#This Row],[Team]],Games[Season],Games[[#This Row],[Season]],Games[Date],"&lt;=" &amp; Games[[#This Row],[Date]])</f>
        <v>30</v>
      </c>
      <c r="D355" s="2" t="s">
        <v>83</v>
      </c>
      <c r="E355" s="2" t="s">
        <v>84</v>
      </c>
      <c r="F355" s="1" t="s">
        <v>67</v>
      </c>
      <c r="G355" s="1" t="s">
        <v>63</v>
      </c>
      <c r="H355" s="1" t="s">
        <v>86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2</v>
      </c>
      <c r="L355" s="2">
        <f>Games[[#This Row],[OppDaysOff]]-Games[[#This Row],[DaysOff]]</f>
        <v>-2</v>
      </c>
      <c r="M355" s="1">
        <f>MAX(-16, MIN(16, Games[[#This Row],[RestDiff]]*8))</f>
        <v>16</v>
      </c>
      <c r="N355" s="1">
        <f>MAX(-16, MIN(16, Games[[#This Row],[OppRestDiff]]*8))</f>
        <v>-16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1662.7487755292966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1630.2931003977776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0.70152692672437433</v>
      </c>
      <c r="R355" s="1">
        <v>83</v>
      </c>
      <c r="S355" s="1">
        <v>74</v>
      </c>
      <c r="T355" s="1">
        <v>0</v>
      </c>
      <c r="U355" s="1">
        <f>Games[[#This Row],[PointsFor]]-Games[[#This Row],[PointsAgainst]]</f>
        <v>9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0.39528061122742159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8.4356142470111166</v>
      </c>
      <c r="AB355" s="4">
        <f>Games[[#This Row],[PreGmRate]]+Games[[#This Row],[RatingChange]]</f>
        <v>1671.1843897763076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41523</v>
      </c>
      <c r="B356" s="2">
        <v>2013</v>
      </c>
      <c r="C356" s="2">
        <f>COUNTIFS(Games[Team],Games[[#This Row],[Team]],Games[Season],Games[[#This Row],[Season]],Games[Date],"&lt;=" &amp; Games[[#This Row],[Date]])</f>
        <v>30</v>
      </c>
      <c r="D356" s="2" t="s">
        <v>83</v>
      </c>
      <c r="E356" s="2" t="s">
        <v>84</v>
      </c>
      <c r="F356" s="1" t="s">
        <v>69</v>
      </c>
      <c r="G356" s="1" t="s">
        <v>77</v>
      </c>
      <c r="H356" s="1" t="s">
        <v>85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6" s="2">
        <f>Games[[#This Row],[DaysOff]]-Games[[#This Row],[OppDaysOff]]</f>
        <v>-4</v>
      </c>
      <c r="L356" s="2">
        <f>Games[[#This Row],[OppDaysOff]]-Games[[#This Row],[DaysOff]]</f>
        <v>4</v>
      </c>
      <c r="M356" s="1">
        <f>MAX(-16, MIN(16, Games[[#This Row],[RestDiff]]*8))</f>
        <v>-16</v>
      </c>
      <c r="N356" s="1">
        <f>MAX(-16, MIN(16, Games[[#This Row],[OppRestDiff]]*8))</f>
        <v>16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1528.1128470438045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1628.9351098081922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0.223024138228201</v>
      </c>
      <c r="R356" s="1">
        <v>82</v>
      </c>
      <c r="S356" s="1">
        <v>77</v>
      </c>
      <c r="T356" s="1">
        <v>0</v>
      </c>
      <c r="U356" s="1">
        <f>Games[[#This Row],[PointsFor]]-Games[[#This Row],[PointsAgainst]]</f>
        <v>5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0.30604271002210293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17.001827582625616</v>
      </c>
      <c r="AB356" s="4">
        <f>Games[[#This Row],[PreGmRate]]+Games[[#This Row],[RatingChange]]</f>
        <v>1545.1146746264301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41523</v>
      </c>
      <c r="B357" s="2">
        <v>2013</v>
      </c>
      <c r="C357" s="2">
        <f>COUNTIFS(Games[Team],Games[[#This Row],[Team]],Games[Season],Games[[#This Row],[Season]],Games[Date],"&lt;=" &amp; Games[[#This Row],[Date]])</f>
        <v>30</v>
      </c>
      <c r="D357" s="2" t="s">
        <v>83</v>
      </c>
      <c r="E357" s="2" t="s">
        <v>84</v>
      </c>
      <c r="F357" s="1" t="s">
        <v>77</v>
      </c>
      <c r="G357" s="1" t="s">
        <v>69</v>
      </c>
      <c r="H357" s="1" t="s">
        <v>86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4</v>
      </c>
      <c r="L357" s="2">
        <f>Games[[#This Row],[OppDaysOff]]-Games[[#This Row],[DaysOff]]</f>
        <v>-4</v>
      </c>
      <c r="M357" s="1">
        <f>MAX(-16, MIN(16, Games[[#This Row],[RestDiff]]*8))</f>
        <v>16</v>
      </c>
      <c r="N357" s="1">
        <f>MAX(-16, MIN(16, Games[[#This Row],[OppRestDiff]]*8))</f>
        <v>-16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1628.9351098081922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1528.1128470438045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0.77697586177179911</v>
      </c>
      <c r="R357" s="1">
        <v>77</v>
      </c>
      <c r="S357" s="1">
        <v>82</v>
      </c>
      <c r="T357" s="1">
        <v>0</v>
      </c>
      <c r="U357" s="1">
        <f>Games[[#This Row],[PointsFor]]-Games[[#This Row],[PointsAgainst]]</f>
        <v>-5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0.30604271002210293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-17.001827582625616</v>
      </c>
      <c r="AB357" s="4">
        <f>Games[[#This Row],[PreGmRate]]+Games[[#This Row],[RatingChange]]</f>
        <v>1611.9332822255667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41523</v>
      </c>
      <c r="B358" s="2">
        <v>2013</v>
      </c>
      <c r="C358" s="2">
        <f>COUNTIFS(Games[Team],Games[[#This Row],[Team]],Games[Season],Games[[#This Row],[Season]],Games[Date],"&lt;=" &amp; Games[[#This Row],[Date]])</f>
        <v>30</v>
      </c>
      <c r="D358" s="2" t="s">
        <v>83</v>
      </c>
      <c r="E358" s="2" t="s">
        <v>84</v>
      </c>
      <c r="F358" s="1" t="s">
        <v>65</v>
      </c>
      <c r="G358" s="1" t="s">
        <v>76</v>
      </c>
      <c r="H358" s="1" t="s">
        <v>85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8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8" s="2">
        <f>Games[[#This Row],[DaysOff]]-Games[[#This Row],[OppDaysOff]]</f>
        <v>3</v>
      </c>
      <c r="L358" s="2">
        <f>Games[[#This Row],[OppDaysOff]]-Games[[#This Row],[DaysOff]]</f>
        <v>-3</v>
      </c>
      <c r="M358" s="1">
        <f>MAX(-16, MIN(16, Games[[#This Row],[RestDiff]]*8))</f>
        <v>16</v>
      </c>
      <c r="N358" s="1">
        <f>MAX(-16, MIN(16, Games[[#This Row],[OppRestDiff]]*8))</f>
        <v>-16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1448.6654085350956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1371.0383698389119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0.53681353470641757</v>
      </c>
      <c r="R358" s="1">
        <v>70</v>
      </c>
      <c r="S358" s="1">
        <v>77</v>
      </c>
      <c r="T358" s="1">
        <v>0</v>
      </c>
      <c r="U358" s="1">
        <f>Games[[#This Row],[PointsFor]]-Games[[#This Row],[PointsAgainst]]</f>
        <v>-7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0.34761991843708673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-13.34240601626569</v>
      </c>
      <c r="AB358" s="4">
        <f>Games[[#This Row],[PreGmRate]]+Games[[#This Row],[RatingChange]]</f>
        <v>1435.32300251883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41523</v>
      </c>
      <c r="B359" s="2">
        <v>2013</v>
      </c>
      <c r="C359" s="2">
        <f>COUNTIFS(Games[Team],Games[[#This Row],[Team]],Games[Season],Games[[#This Row],[Season]],Games[Date],"&lt;=" &amp; Games[[#This Row],[Date]])</f>
        <v>30</v>
      </c>
      <c r="D359" s="2" t="s">
        <v>83</v>
      </c>
      <c r="E359" s="2" t="s">
        <v>84</v>
      </c>
      <c r="F359" s="1" t="s">
        <v>76</v>
      </c>
      <c r="G359" s="1" t="s">
        <v>65</v>
      </c>
      <c r="H359" s="1" t="s">
        <v>86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59" s="2">
        <f>Games[[#This Row],[DaysOff]]-Games[[#This Row],[OppDaysOff]]</f>
        <v>-3</v>
      </c>
      <c r="L359" s="2">
        <f>Games[[#This Row],[OppDaysOff]]-Games[[#This Row],[DaysOff]]</f>
        <v>3</v>
      </c>
      <c r="M359" s="1">
        <f>MAX(-16, MIN(16, Games[[#This Row],[RestDiff]]*8))</f>
        <v>-16</v>
      </c>
      <c r="N359" s="1">
        <f>MAX(-16, MIN(16, Games[[#This Row],[OppRestDiff]]*8))</f>
        <v>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1371.0383698389119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1448.6654085350956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0.46318646529358243</v>
      </c>
      <c r="R359" s="1">
        <v>77</v>
      </c>
      <c r="S359" s="1">
        <v>70</v>
      </c>
      <c r="T359" s="1">
        <v>0</v>
      </c>
      <c r="U359" s="1">
        <f>Games[[#This Row],[PointsFor]]-Games[[#This Row],[PointsAgainst]]</f>
        <v>7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0.34761991843708673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13.34240601626569</v>
      </c>
      <c r="AB359" s="4">
        <f>Games[[#This Row],[PreGmRate]]+Games[[#This Row],[RatingChange]]</f>
        <v>1384.3807758551775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41523</v>
      </c>
      <c r="B360" s="2">
        <v>2013</v>
      </c>
      <c r="C360" s="2">
        <f>COUNTIFS(Games[Team],Games[[#This Row],[Team]],Games[Season],Games[[#This Row],[Season]],Games[Date],"&lt;=" &amp; Games[[#This Row],[Date]])</f>
        <v>30</v>
      </c>
      <c r="D360" s="2" t="s">
        <v>83</v>
      </c>
      <c r="E360" s="2" t="s">
        <v>84</v>
      </c>
      <c r="F360" s="1" t="s">
        <v>79</v>
      </c>
      <c r="G360" s="1" t="s">
        <v>60</v>
      </c>
      <c r="H360" s="1" t="s">
        <v>85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0" s="2">
        <f>Games[[#This Row],[DaysOff]]-Games[[#This Row],[OppDaysOff]]</f>
        <v>-3</v>
      </c>
      <c r="L360" s="2">
        <f>Games[[#This Row],[OppDaysOff]]-Games[[#This Row],[DaysOff]]</f>
        <v>3</v>
      </c>
      <c r="M360" s="1">
        <f>MAX(-16, MIN(16, Games[[#This Row],[RestDiff]]*8))</f>
        <v>-16</v>
      </c>
      <c r="N360" s="1">
        <f>MAX(-16, MIN(16, Games[[#This Row],[OppRestDiff]]*8))</f>
        <v>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1519.9481849203125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1384.3100755864264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0.52823145242636083</v>
      </c>
      <c r="R360" s="1">
        <v>70</v>
      </c>
      <c r="S360" s="1">
        <v>57</v>
      </c>
      <c r="T360" s="1">
        <v>0</v>
      </c>
      <c r="U360" s="1">
        <f>Games[[#This Row],[PointsFor]]-Games[[#This Row],[PointsAgainst]]</f>
        <v>13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0.42410627760497505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14.30572018608316</v>
      </c>
      <c r="AB360" s="4">
        <f>Games[[#This Row],[PreGmRate]]+Games[[#This Row],[RatingChange]]</f>
        <v>1534.2539051063957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41523</v>
      </c>
      <c r="B361" s="2">
        <v>2013</v>
      </c>
      <c r="C361" s="2">
        <f>COUNTIFS(Games[Team],Games[[#This Row],[Team]],Games[Season],Games[[#This Row],[Season]],Games[Date],"&lt;=" &amp; Games[[#This Row],[Date]])</f>
        <v>31</v>
      </c>
      <c r="D361" s="2" t="s">
        <v>83</v>
      </c>
      <c r="E361" s="2" t="s">
        <v>84</v>
      </c>
      <c r="F361" s="1" t="s">
        <v>60</v>
      </c>
      <c r="G361" s="1" t="s">
        <v>79</v>
      </c>
      <c r="H361" s="1" t="s">
        <v>86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3</v>
      </c>
      <c r="L361" s="2">
        <f>Games[[#This Row],[OppDaysOff]]-Games[[#This Row],[DaysOff]]</f>
        <v>-3</v>
      </c>
      <c r="M361" s="1">
        <f>MAX(-16, MIN(16, Games[[#This Row],[RestDiff]]*8))</f>
        <v>16</v>
      </c>
      <c r="N361" s="1">
        <f>MAX(-16, MIN(16, Games[[#This Row],[OppRestDiff]]*8))</f>
        <v>-16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1384.3100755864264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1519.9481849203125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0.47176854757363929</v>
      </c>
      <c r="R361" s="1">
        <v>57</v>
      </c>
      <c r="S361" s="1">
        <v>70</v>
      </c>
      <c r="T361" s="1">
        <v>0</v>
      </c>
      <c r="U361" s="1">
        <f>Games[[#This Row],[PointsFor]]-Games[[#This Row],[PointsAgainst]]</f>
        <v>-13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0.42410627760497505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71.349999999999994</v>
      </c>
      <c r="Z361" s="4">
        <f>Games[[#This Row],[K]]*Games[[#This Row],[POMult]]</f>
        <v>71.349999999999994</v>
      </c>
      <c r="AA361" s="4">
        <f>(Games[[#This Row],[Keff]]*Games[[#This Row],[MOVMult]])*(Games[[#This Row],[Result]]-Games[[#This Row],[ExpectedWin%]])</f>
        <v>-14.275708185692778</v>
      </c>
      <c r="AB361" s="4">
        <f>Games[[#This Row],[PreGmRate]]+Games[[#This Row],[RatingChange]]</f>
        <v>1370.0343674007336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41523</v>
      </c>
      <c r="B362" s="2">
        <v>2013</v>
      </c>
      <c r="C362" s="2">
        <f>COUNTIFS(Games[Team],Games[[#This Row],[Team]],Games[Season],Games[[#This Row],[Season]],Games[Date],"&lt;=" &amp; Games[[#This Row],[Date]])</f>
        <v>31</v>
      </c>
      <c r="D362" s="2" t="s">
        <v>83</v>
      </c>
      <c r="E362" s="2" t="s">
        <v>84</v>
      </c>
      <c r="F362" s="1" t="s">
        <v>74</v>
      </c>
      <c r="G362" s="1" t="s">
        <v>40</v>
      </c>
      <c r="H362" s="1" t="s">
        <v>85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1448.6646719675393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1471.0111604556437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0.35156216268148416</v>
      </c>
      <c r="R362" s="1">
        <v>80</v>
      </c>
      <c r="S362" s="1">
        <v>83</v>
      </c>
      <c r="T362" s="1">
        <v>0</v>
      </c>
      <c r="U362" s="1">
        <f>Games[[#This Row],[PointsFor]]-Games[[#This Row],[PointsAgainst]]</f>
        <v>-3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0.28487849279884314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-7.1458808057764367</v>
      </c>
      <c r="AB362" s="4">
        <f>Games[[#This Row],[PreGmRate]]+Games[[#This Row],[RatingChange]]</f>
        <v>1441.5187911617629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41523</v>
      </c>
      <c r="B363" s="2">
        <v>2013</v>
      </c>
      <c r="C363" s="2">
        <f>COUNTIFS(Games[Team],Games[[#This Row],[Team]],Games[Season],Games[[#This Row],[Season]],Games[Date],"&lt;=" &amp; Games[[#This Row],[Date]])</f>
        <v>29</v>
      </c>
      <c r="D363" s="2" t="s">
        <v>83</v>
      </c>
      <c r="E363" s="2" t="s">
        <v>84</v>
      </c>
      <c r="F363" s="1" t="s">
        <v>40</v>
      </c>
      <c r="G363" s="1" t="s">
        <v>74</v>
      </c>
      <c r="H363" s="1" t="s">
        <v>86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1471.0111604556437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1448.6646719675393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0.64843783731851579</v>
      </c>
      <c r="R363" s="1">
        <v>83</v>
      </c>
      <c r="S363" s="1">
        <v>80</v>
      </c>
      <c r="T363" s="1">
        <v>0</v>
      </c>
      <c r="U363" s="1">
        <f>Games[[#This Row],[PointsFor]]-Games[[#This Row],[PointsAgainst]]</f>
        <v>3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0.28487849279884314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71.650000000000006</v>
      </c>
      <c r="Z363" s="4">
        <f>Games[[#This Row],[K]]*Games[[#This Row],[POMult]]</f>
        <v>71.650000000000006</v>
      </c>
      <c r="AA363" s="4">
        <f>(Games[[#This Row],[Keff]]*Games[[#This Row],[MOVMult]])*(Games[[#This Row],[Result]]-Games[[#This Row],[ExpectedWin%]])</f>
        <v>7.1759265554853799</v>
      </c>
      <c r="AB363" s="4">
        <f>Games[[#This Row],[PreGmRate]]+Games[[#This Row],[RatingChange]]</f>
        <v>1478.1870870111291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41523</v>
      </c>
      <c r="B364" s="2">
        <v>2013</v>
      </c>
      <c r="C364" s="2">
        <f>COUNTIFS(Games[Team],Games[[#This Row],[Team]],Games[Season],Games[[#This Row],[Season]],Games[Date],"&lt;=" &amp; Games[[#This Row],[Date]])</f>
        <v>32</v>
      </c>
      <c r="D364" s="2" t="s">
        <v>83</v>
      </c>
      <c r="E364" s="2" t="s">
        <v>84</v>
      </c>
      <c r="F364" s="1" t="s">
        <v>63</v>
      </c>
      <c r="G364" s="1" t="s">
        <v>81</v>
      </c>
      <c r="H364" s="1" t="s">
        <v>85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4" s="2">
        <f>Games[[#This Row],[DaysOff]]-Games[[#This Row],[OppDaysOff]]</f>
        <v>-3</v>
      </c>
      <c r="L364" s="2">
        <f>Games[[#This Row],[OppDaysOff]]-Games[[#This Row],[DaysOff]]</f>
        <v>3</v>
      </c>
      <c r="M364" s="1">
        <f>MAX(-16, MIN(16, Games[[#This Row],[RestDiff]]*8))</f>
        <v>-16</v>
      </c>
      <c r="N364" s="1">
        <f>MAX(-16, MIN(16, Games[[#This Row],[OppRestDiff]]*8))</f>
        <v>16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1621.8751832435923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1408.1412030245517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0.63705438228053179</v>
      </c>
      <c r="R364" s="1">
        <v>74</v>
      </c>
      <c r="S364" s="1">
        <v>70</v>
      </c>
      <c r="T364" s="1">
        <v>0</v>
      </c>
      <c r="U364" s="1">
        <f>Games[[#This Row],[PointsFor]]-Games[[#This Row],[PointsAgainst]]</f>
        <v>4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0.26434908342993352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71.2</v>
      </c>
      <c r="Z364" s="4">
        <f>Games[[#This Row],[K]]*Games[[#This Row],[POMult]]</f>
        <v>71.2</v>
      </c>
      <c r="AA364" s="4">
        <f>(Games[[#This Row],[Keff]]*Games[[#This Row],[MOVMult]])*(Games[[#This Row],[Result]]-Games[[#This Row],[ExpectedWin%]])</f>
        <v>6.831237106188536</v>
      </c>
      <c r="AB364" s="4">
        <f>Games[[#This Row],[PreGmRate]]+Games[[#This Row],[RatingChange]]</f>
        <v>1628.706420349781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41523</v>
      </c>
      <c r="B365" s="2">
        <v>2013</v>
      </c>
      <c r="C365" s="2">
        <f>COUNTIFS(Games[Team],Games[[#This Row],[Team]],Games[Season],Games[[#This Row],[Season]],Games[Date],"&lt;=" &amp; Games[[#This Row],[Date]])</f>
        <v>31</v>
      </c>
      <c r="D365" s="2" t="s">
        <v>83</v>
      </c>
      <c r="E365" s="2" t="s">
        <v>84</v>
      </c>
      <c r="F365" s="1" t="s">
        <v>81</v>
      </c>
      <c r="G365" s="1" t="s">
        <v>63</v>
      </c>
      <c r="H365" s="1" t="s">
        <v>86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3</v>
      </c>
      <c r="L365" s="2">
        <f>Games[[#This Row],[OppDaysOff]]-Games[[#This Row],[DaysOff]]</f>
        <v>-3</v>
      </c>
      <c r="M365" s="1">
        <f>MAX(-16, MIN(16, Games[[#This Row],[RestDiff]]*8))</f>
        <v>16</v>
      </c>
      <c r="N365" s="1">
        <f>MAX(-16, MIN(16, Games[[#This Row],[OppRestDiff]]*8))</f>
        <v>-16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1408.1412030245517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1621.8751832435923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0.36294561771946821</v>
      </c>
      <c r="R365" s="1">
        <v>70</v>
      </c>
      <c r="S365" s="1">
        <v>74</v>
      </c>
      <c r="T365" s="1">
        <v>0</v>
      </c>
      <c r="U365" s="1">
        <f>Games[[#This Row],[PointsFor]]-Games[[#This Row],[PointsAgainst]]</f>
        <v>-4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0.26434908342993352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-6.8456287573953913</v>
      </c>
      <c r="AB365" s="4">
        <f>Games[[#This Row],[PreGmRate]]+Games[[#This Row],[RatingChange]]</f>
        <v>1401.2955742671563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41524</v>
      </c>
      <c r="B366" s="2">
        <v>2013</v>
      </c>
      <c r="C366" s="2">
        <f>COUNTIFS(Games[Team],Games[[#This Row],[Team]],Games[Season],Games[[#This Row],[Season]],Games[Date],"&lt;=" &amp; Games[[#This Row],[Date]])</f>
        <v>31</v>
      </c>
      <c r="D366" s="2" t="s">
        <v>83</v>
      </c>
      <c r="E366" s="2" t="s">
        <v>84</v>
      </c>
      <c r="F366" s="1" t="s">
        <v>76</v>
      </c>
      <c r="G366" s="1" t="s">
        <v>69</v>
      </c>
      <c r="H366" s="1" t="s">
        <v>85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1384.3807758551775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1545.1146746264301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0.19642314942297148</v>
      </c>
      <c r="R366" s="1">
        <v>60</v>
      </c>
      <c r="S366" s="1">
        <v>69</v>
      </c>
      <c r="T366" s="1">
        <v>0</v>
      </c>
      <c r="U366" s="1">
        <f>Games[[#This Row],[PointsFor]]-Games[[#This Row],[PointsAgainst]]</f>
        <v>-9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0.35801697379377689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-5.0175333168401215</v>
      </c>
      <c r="AB366" s="4">
        <f>Games[[#This Row],[PreGmRate]]+Games[[#This Row],[RatingChange]]</f>
        <v>1379.3632425383373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41524</v>
      </c>
      <c r="B367" s="2">
        <v>2013</v>
      </c>
      <c r="C367" s="2">
        <f>COUNTIFS(Games[Team],Games[[#This Row],[Team]],Games[Season],Games[[#This Row],[Season]],Games[Date],"&lt;=" &amp; Games[[#This Row],[Date]])</f>
        <v>31</v>
      </c>
      <c r="D367" s="2" t="s">
        <v>83</v>
      </c>
      <c r="E367" s="2" t="s">
        <v>84</v>
      </c>
      <c r="F367" s="1" t="s">
        <v>69</v>
      </c>
      <c r="G367" s="1" t="s">
        <v>76</v>
      </c>
      <c r="H367" s="1" t="s">
        <v>86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1545.1146746264301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1384.3807758551775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0.80357685057702843</v>
      </c>
      <c r="R367" s="1">
        <v>69</v>
      </c>
      <c r="S367" s="1">
        <v>60</v>
      </c>
      <c r="T367" s="1">
        <v>0</v>
      </c>
      <c r="U367" s="1">
        <f>Games[[#This Row],[PointsFor]]-Games[[#This Row],[PointsAgainst]]</f>
        <v>9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0.35801697379377689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5.0175333168401233</v>
      </c>
      <c r="AB367" s="4">
        <f>Games[[#This Row],[PreGmRate]]+Games[[#This Row],[RatingChange]]</f>
        <v>1550.1322079432703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41524</v>
      </c>
      <c r="B368" s="2">
        <v>2013</v>
      </c>
      <c r="C368" s="2">
        <f>COUNTIFS(Games[Team],Games[[#This Row],[Team]],Games[Season],Games[[#This Row],[Season]],Games[Date],"&lt;=" &amp; Games[[#This Row],[Date]])</f>
        <v>31</v>
      </c>
      <c r="D368" s="2" t="s">
        <v>83</v>
      </c>
      <c r="E368" s="2" t="s">
        <v>84</v>
      </c>
      <c r="F368" s="1" t="s">
        <v>67</v>
      </c>
      <c r="G368" s="1" t="s">
        <v>71</v>
      </c>
      <c r="H368" s="1" t="s">
        <v>85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68" s="2">
        <f>Games[[#This Row],[DaysOff]]-Games[[#This Row],[OppDaysOff]]</f>
        <v>-4</v>
      </c>
      <c r="L368" s="2">
        <f>Games[[#This Row],[OppDaysOff]]-Games[[#This Row],[DaysOff]]</f>
        <v>4</v>
      </c>
      <c r="M368" s="1">
        <f>MAX(-16, MIN(16, Games[[#This Row],[RestDiff]]*8))</f>
        <v>-16</v>
      </c>
      <c r="N368" s="1">
        <f>MAX(-16, MIN(16, Games[[#This Row],[OppRestDiff]]*8))</f>
        <v>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1671.1843897763076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1501.7334780565043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0.57632087235332574</v>
      </c>
      <c r="R368" s="1">
        <v>75</v>
      </c>
      <c r="S368" s="1">
        <v>60</v>
      </c>
      <c r="T368" s="1">
        <v>0</v>
      </c>
      <c r="U368" s="1">
        <f>Games[[#This Row],[PointsFor]]-Games[[#This Row],[PointsAgainst]]</f>
        <v>15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0.44062742847549285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13.319949386052079</v>
      </c>
      <c r="AB368" s="4">
        <f>Games[[#This Row],[PreGmRate]]+Games[[#This Row],[RatingChange]]</f>
        <v>1684.5043391623597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41524</v>
      </c>
      <c r="B369" s="2">
        <v>2013</v>
      </c>
      <c r="C369" s="2">
        <f>COUNTIFS(Games[Team],Games[[#This Row],[Team]],Games[Season],Games[[#This Row],[Season]],Games[Date],"&lt;=" &amp; Games[[#This Row],[Date]])</f>
        <v>31</v>
      </c>
      <c r="D369" s="2" t="s">
        <v>83</v>
      </c>
      <c r="E369" s="2" t="s">
        <v>84</v>
      </c>
      <c r="F369" s="1" t="s">
        <v>71</v>
      </c>
      <c r="G369" s="1" t="s">
        <v>67</v>
      </c>
      <c r="H369" s="1" t="s">
        <v>86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6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9" s="2">
        <f>Games[[#This Row],[DaysOff]]-Games[[#This Row],[OppDaysOff]]</f>
        <v>4</v>
      </c>
      <c r="L369" s="2">
        <f>Games[[#This Row],[OppDaysOff]]-Games[[#This Row],[DaysOff]]</f>
        <v>-4</v>
      </c>
      <c r="M369" s="1">
        <f>MAX(-16, MIN(16, Games[[#This Row],[RestDiff]]*8))</f>
        <v>16</v>
      </c>
      <c r="N369" s="1">
        <f>MAX(-16, MIN(16, Games[[#This Row],[OppRestDiff]]*8))</f>
        <v>-16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1501.7334780565043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1671.1843897763076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0.42367912764667426</v>
      </c>
      <c r="R369" s="1">
        <v>60</v>
      </c>
      <c r="S369" s="1">
        <v>75</v>
      </c>
      <c r="T369" s="1">
        <v>0</v>
      </c>
      <c r="U369" s="1">
        <f>Games[[#This Row],[PointsFor]]-Games[[#This Row],[PointsAgainst]]</f>
        <v>-15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0.44062742847549285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-13.319949386052079</v>
      </c>
      <c r="AB369" s="4">
        <f>Games[[#This Row],[PreGmRate]]+Games[[#This Row],[RatingChange]]</f>
        <v>1488.4135286704523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41525</v>
      </c>
      <c r="B370" s="2">
        <v>2013</v>
      </c>
      <c r="C370" s="2">
        <f>COUNTIFS(Games[Team],Games[[#This Row],[Team]],Games[Season],Games[[#This Row],[Season]],Games[Date],"&lt;=" &amp; Games[[#This Row],[Date]])</f>
        <v>30</v>
      </c>
      <c r="D370" s="2" t="s">
        <v>83</v>
      </c>
      <c r="E370" s="2" t="s">
        <v>84</v>
      </c>
      <c r="F370" s="1" t="s">
        <v>40</v>
      </c>
      <c r="G370" s="1" t="s">
        <v>79</v>
      </c>
      <c r="H370" s="1" t="s">
        <v>85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1478.1870870111291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1534.2539051063957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0.30868176127630192</v>
      </c>
      <c r="R370" s="1">
        <v>79</v>
      </c>
      <c r="S370" s="1">
        <v>71</v>
      </c>
      <c r="T370" s="1">
        <v>0</v>
      </c>
      <c r="U370" s="1">
        <f>Games[[#This Row],[PointsFor]]-Games[[#This Row],[PointsAgainst]]</f>
        <v>8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0.37098236757040448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71.5</v>
      </c>
      <c r="Z370" s="4">
        <f>Games[[#This Row],[K]]*Games[[#This Row],[POMult]]</f>
        <v>71.5</v>
      </c>
      <c r="AA370" s="4">
        <f>(Games[[#This Row],[Keff]]*Games[[#This Row],[MOVMult]])*(Games[[#This Row],[Result]]-Games[[#This Row],[ExpectedWin%]])</f>
        <v>18.337381701661847</v>
      </c>
      <c r="AB370" s="4">
        <f>Games[[#This Row],[PreGmRate]]+Games[[#This Row],[RatingChange]]</f>
        <v>1496.5244687127908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41525</v>
      </c>
      <c r="B371" s="2">
        <v>2013</v>
      </c>
      <c r="C371" s="2">
        <f>COUNTIFS(Games[Team],Games[[#This Row],[Team]],Games[Season],Games[[#This Row],[Season]],Games[Date],"&lt;=" &amp; Games[[#This Row],[Date]])</f>
        <v>31</v>
      </c>
      <c r="D371" s="2" t="s">
        <v>83</v>
      </c>
      <c r="E371" s="2" t="s">
        <v>84</v>
      </c>
      <c r="F371" s="1" t="s">
        <v>79</v>
      </c>
      <c r="G371" s="1" t="s">
        <v>40</v>
      </c>
      <c r="H371" s="1" t="s">
        <v>86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1534.2539051063957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1478.1870870111291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0.69131823872369802</v>
      </c>
      <c r="R371" s="1">
        <v>71</v>
      </c>
      <c r="S371" s="1">
        <v>79</v>
      </c>
      <c r="T371" s="1">
        <v>0</v>
      </c>
      <c r="U371" s="1">
        <f>Games[[#This Row],[PointsFor]]-Games[[#This Row],[PointsAgainst]]</f>
        <v>-8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0.37098236757040448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-18.298911670119899</v>
      </c>
      <c r="AB371" s="4">
        <f>Games[[#This Row],[PreGmRate]]+Games[[#This Row],[RatingChange]]</f>
        <v>1515.9549934362758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41525</v>
      </c>
      <c r="B372" s="2">
        <v>2013</v>
      </c>
      <c r="C372" s="2">
        <f>COUNTIFS(Games[Team],Games[[#This Row],[Team]],Games[Season],Games[[#This Row],[Season]],Games[Date],"&lt;=" &amp; Games[[#This Row],[Date]])</f>
        <v>32</v>
      </c>
      <c r="D372" s="2" t="s">
        <v>83</v>
      </c>
      <c r="E372" s="2" t="s">
        <v>84</v>
      </c>
      <c r="F372" s="1" t="s">
        <v>81</v>
      </c>
      <c r="G372" s="1" t="s">
        <v>74</v>
      </c>
      <c r="H372" s="1" t="s">
        <v>85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1401.2955742671563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1441.5187911617629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0.3284759253878895</v>
      </c>
      <c r="R372" s="1">
        <v>98</v>
      </c>
      <c r="S372" s="1">
        <v>65</v>
      </c>
      <c r="T372" s="1">
        <v>0</v>
      </c>
      <c r="U372" s="1">
        <f>Games[[#This Row],[PointsFor]]-Games[[#This Row],[PointsAgainst]]</f>
        <v>33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0.71510580072054342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71.2</v>
      </c>
      <c r="Z372" s="4">
        <f>Games[[#This Row],[K]]*Games[[#This Row],[POMult]]</f>
        <v>71.2</v>
      </c>
      <c r="AA372" s="4">
        <f>(Games[[#This Row],[Keff]]*Games[[#This Row],[MOVMult]])*(Games[[#This Row],[Result]]-Games[[#This Row],[ExpectedWin%]])</f>
        <v>34.191006188797402</v>
      </c>
      <c r="AB372" s="4">
        <f>Games[[#This Row],[PreGmRate]]+Games[[#This Row],[RatingChange]]</f>
        <v>1435.4865804559538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41525</v>
      </c>
      <c r="B373" s="2">
        <v>2013</v>
      </c>
      <c r="C373" s="2">
        <f>COUNTIFS(Games[Team],Games[[#This Row],[Team]],Games[Season],Games[[#This Row],[Season]],Games[Date],"&lt;=" &amp; Games[[#This Row],[Date]])</f>
        <v>32</v>
      </c>
      <c r="D373" s="2" t="s">
        <v>83</v>
      </c>
      <c r="E373" s="2" t="s">
        <v>84</v>
      </c>
      <c r="F373" s="1" t="s">
        <v>74</v>
      </c>
      <c r="G373" s="1" t="s">
        <v>81</v>
      </c>
      <c r="H373" s="1" t="s">
        <v>86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1441.5187911617629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1401.2955742671563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0.6715240746121105</v>
      </c>
      <c r="R373" s="1">
        <v>65</v>
      </c>
      <c r="S373" s="1">
        <v>98</v>
      </c>
      <c r="T373" s="1">
        <v>0</v>
      </c>
      <c r="U373" s="1">
        <f>Games[[#This Row],[PointsFor]]-Games[[#This Row],[PointsAgainst]]</f>
        <v>-33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0.71510580072054342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-34.191006188797402</v>
      </c>
      <c r="AB373" s="4">
        <f>Games[[#This Row],[PreGmRate]]+Games[[#This Row],[RatingChange]]</f>
        <v>1407.3277849729654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41525</v>
      </c>
      <c r="B374" s="2">
        <v>2013</v>
      </c>
      <c r="C374" s="2">
        <f>COUNTIFS(Games[Team],Games[[#This Row],[Team]],Games[Season],Games[[#This Row],[Season]],Games[Date],"&lt;=" &amp; Games[[#This Row],[Date]])</f>
        <v>31</v>
      </c>
      <c r="D374" s="2" t="s">
        <v>83</v>
      </c>
      <c r="E374" s="2" t="s">
        <v>84</v>
      </c>
      <c r="F374" s="1" t="s">
        <v>77</v>
      </c>
      <c r="G374" s="1" t="s">
        <v>65</v>
      </c>
      <c r="H374" s="1" t="s">
        <v>85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0</v>
      </c>
      <c r="L374" s="2">
        <f>Games[[#This Row],[OppDaysOff]]-Games[[#This Row],[DaysOff]]</f>
        <v>0</v>
      </c>
      <c r="M374" s="1">
        <f>MAX(-16, MIN(16, Games[[#This Row],[RestDiff]]*8))</f>
        <v>0</v>
      </c>
      <c r="N374" s="1">
        <f>MAX(-16, MIN(16, Games[[#This Row],[OppRestDiff]]*8))</f>
        <v>0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1611.9332822255667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1435.32300251883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0.63020762376022432</v>
      </c>
      <c r="R374" s="1">
        <v>93</v>
      </c>
      <c r="S374" s="1">
        <v>79</v>
      </c>
      <c r="T374" s="1">
        <v>0</v>
      </c>
      <c r="U374" s="1">
        <f>Games[[#This Row],[PointsFor]]-Games[[#This Row],[PointsAgainst]]</f>
        <v>14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0.42505110768573762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11.214840029243556</v>
      </c>
      <c r="AB374" s="4">
        <f>Games[[#This Row],[PreGmRate]]+Games[[#This Row],[RatingChange]]</f>
        <v>1623.1481222548102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41525</v>
      </c>
      <c r="B375" s="2">
        <v>2013</v>
      </c>
      <c r="C375" s="2">
        <f>COUNTIFS(Games[Team],Games[[#This Row],[Team]],Games[Season],Games[[#This Row],[Season]],Games[Date],"&lt;=" &amp; Games[[#This Row],[Date]])</f>
        <v>31</v>
      </c>
      <c r="D375" s="2" t="s">
        <v>83</v>
      </c>
      <c r="E375" s="2" t="s">
        <v>84</v>
      </c>
      <c r="F375" s="1" t="s">
        <v>65</v>
      </c>
      <c r="G375" s="1" t="s">
        <v>77</v>
      </c>
      <c r="H375" s="1" t="s">
        <v>86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0</v>
      </c>
      <c r="L375" s="2">
        <f>Games[[#This Row],[OppDaysOff]]-Games[[#This Row],[DaysOff]]</f>
        <v>0</v>
      </c>
      <c r="M375" s="1">
        <f>MAX(-16, MIN(16, Games[[#This Row],[RestDiff]]*8))</f>
        <v>0</v>
      </c>
      <c r="N375" s="1">
        <f>MAX(-16, MIN(16, Games[[#This Row],[OppRestDiff]]*8))</f>
        <v>0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1435.32300251883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1611.9332822255667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0.36979237623977573</v>
      </c>
      <c r="R375" s="1">
        <v>79</v>
      </c>
      <c r="S375" s="1">
        <v>93</v>
      </c>
      <c r="T375" s="1">
        <v>0</v>
      </c>
      <c r="U375" s="1">
        <f>Games[[#This Row],[PointsFor]]-Games[[#This Row],[PointsAgainst]]</f>
        <v>-14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0.42505110768573762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-11.214840029243557</v>
      </c>
      <c r="AB375" s="4">
        <f>Games[[#This Row],[PreGmRate]]+Games[[#This Row],[RatingChange]]</f>
        <v>1424.1081624895864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41527</v>
      </c>
      <c r="B376" s="2">
        <v>2013</v>
      </c>
      <c r="C376" s="2">
        <f>COUNTIFS(Games[Team],Games[[#This Row],[Team]],Games[Season],Games[[#This Row],[Season]],Games[Date],"&lt;=" &amp; Games[[#This Row],[Date]])</f>
        <v>32</v>
      </c>
      <c r="D376" s="2" t="s">
        <v>83</v>
      </c>
      <c r="E376" s="2" t="s">
        <v>84</v>
      </c>
      <c r="F376" s="1" t="s">
        <v>65</v>
      </c>
      <c r="G376" s="1" t="s">
        <v>69</v>
      </c>
      <c r="H376" s="1" t="s">
        <v>85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-1</v>
      </c>
      <c r="L376" s="2">
        <f>Games[[#This Row],[OppDaysOff]]-Games[[#This Row],[DaysOff]]</f>
        <v>1</v>
      </c>
      <c r="M376" s="1">
        <f>MAX(-16, MIN(16, Games[[#This Row],[RestDiff]]*8))</f>
        <v>-8</v>
      </c>
      <c r="N376" s="1">
        <f>MAX(-16, MIN(16, Games[[#This Row],[OppRestDiff]]*8))</f>
        <v>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1424.1081624895864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1550.1322079432703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0.2139801161181458</v>
      </c>
      <c r="R376" s="1">
        <v>69</v>
      </c>
      <c r="S376" s="1">
        <v>67</v>
      </c>
      <c r="T376" s="1">
        <v>0</v>
      </c>
      <c r="U376" s="1">
        <f>Games[[#This Row],[PointsFor]]-Games[[#This Row],[PointsAgainst]]</f>
        <v>2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0.24238594018982307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13.565036001657035</v>
      </c>
      <c r="AB376" s="4">
        <f>Games[[#This Row],[PreGmRate]]+Games[[#This Row],[RatingChange]]</f>
        <v>1437.6731984912435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41527</v>
      </c>
      <c r="B377" s="2">
        <v>2013</v>
      </c>
      <c r="C377" s="2">
        <f>COUNTIFS(Games[Team],Games[[#This Row],[Team]],Games[Season],Games[[#This Row],[Season]],Games[Date],"&lt;=" &amp; Games[[#This Row],[Date]])</f>
        <v>32</v>
      </c>
      <c r="D377" s="2" t="s">
        <v>83</v>
      </c>
      <c r="E377" s="2" t="s">
        <v>84</v>
      </c>
      <c r="F377" s="1" t="s">
        <v>69</v>
      </c>
      <c r="G377" s="1" t="s">
        <v>65</v>
      </c>
      <c r="H377" s="1" t="s">
        <v>86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1</v>
      </c>
      <c r="L377" s="2">
        <f>Games[[#This Row],[OppDaysOff]]-Games[[#This Row],[DaysOff]]</f>
        <v>-1</v>
      </c>
      <c r="M377" s="1">
        <f>MAX(-16, MIN(16, Games[[#This Row],[RestDiff]]*8))</f>
        <v>8</v>
      </c>
      <c r="N377" s="1">
        <f>MAX(-16, MIN(16, Games[[#This Row],[OppRestDiff]]*8))</f>
        <v>-8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1550.1322079432703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1424.1081624895864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0.78601988388185418</v>
      </c>
      <c r="R377" s="1">
        <v>67</v>
      </c>
      <c r="S377" s="1">
        <v>69</v>
      </c>
      <c r="T377" s="1">
        <v>0</v>
      </c>
      <c r="U377" s="1">
        <f>Games[[#This Row],[PointsFor]]-Games[[#This Row],[PointsAgainst]]</f>
        <v>-2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0.24238594018982307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-13.565036001657035</v>
      </c>
      <c r="AB377" s="4">
        <f>Games[[#This Row],[PreGmRate]]+Games[[#This Row],[RatingChange]]</f>
        <v>1536.5671719416132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41527</v>
      </c>
      <c r="B378" s="2">
        <v>2013</v>
      </c>
      <c r="C378" s="2">
        <f>COUNTIFS(Games[Team],Games[[#This Row],[Team]],Games[Season],Games[[#This Row],[Season]],Games[Date],"&lt;=" &amp; Games[[#This Row],[Date]])</f>
        <v>31</v>
      </c>
      <c r="D378" s="2" t="s">
        <v>83</v>
      </c>
      <c r="E378" s="2" t="s">
        <v>84</v>
      </c>
      <c r="F378" s="1" t="s">
        <v>40</v>
      </c>
      <c r="G378" s="1" t="s">
        <v>60</v>
      </c>
      <c r="H378" s="1" t="s">
        <v>85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8" s="2">
        <f>Games[[#This Row],[DaysOff]]-Games[[#This Row],[OppDaysOff]]</f>
        <v>-2</v>
      </c>
      <c r="L378" s="2">
        <f>Games[[#This Row],[OppDaysOff]]-Games[[#This Row],[DaysOff]]</f>
        <v>2</v>
      </c>
      <c r="M378" s="1">
        <f>MAX(-16, MIN(16, Games[[#This Row],[RestDiff]]*8))</f>
        <v>-16</v>
      </c>
      <c r="N378" s="1">
        <f>MAX(-16, MIN(16, Games[[#This Row],[OppRestDiff]]*8))</f>
        <v>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1496.5244687127908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1370.0343674007336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0.51509188360590263</v>
      </c>
      <c r="R378" s="1">
        <v>80</v>
      </c>
      <c r="S378" s="1">
        <v>76</v>
      </c>
      <c r="T378" s="1">
        <v>0</v>
      </c>
      <c r="U378" s="1">
        <f>Games[[#This Row],[PointsFor]]-Games[[#This Row],[PointsAgainst]]</f>
        <v>4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0.28173544718878957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9.7475376880175073</v>
      </c>
      <c r="AB378" s="4">
        <f>Games[[#This Row],[PreGmRate]]+Games[[#This Row],[RatingChange]]</f>
        <v>1506.2720064008083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41527</v>
      </c>
      <c r="B379" s="2">
        <v>2013</v>
      </c>
      <c r="C379" s="2">
        <f>COUNTIFS(Games[Team],Games[[#This Row],[Team]],Games[Season],Games[[#This Row],[Season]],Games[Date],"&lt;=" &amp; Games[[#This Row],[Date]])</f>
        <v>32</v>
      </c>
      <c r="D379" s="2" t="s">
        <v>83</v>
      </c>
      <c r="E379" s="2" t="s">
        <v>84</v>
      </c>
      <c r="F379" s="1" t="s">
        <v>60</v>
      </c>
      <c r="G379" s="1" t="s">
        <v>40</v>
      </c>
      <c r="H379" s="1" t="s">
        <v>86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2</v>
      </c>
      <c r="L379" s="2">
        <f>Games[[#This Row],[OppDaysOff]]-Games[[#This Row],[DaysOff]]</f>
        <v>-2</v>
      </c>
      <c r="M379" s="1">
        <f>MAX(-16, MIN(16, Games[[#This Row],[RestDiff]]*8))</f>
        <v>16</v>
      </c>
      <c r="N379" s="1">
        <f>MAX(-16, MIN(16, Games[[#This Row],[OppRestDiff]]*8))</f>
        <v>-16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1370.0343674007336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1496.5244687127908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0.48490811639409742</v>
      </c>
      <c r="R379" s="1">
        <v>76</v>
      </c>
      <c r="S379" s="1">
        <v>80</v>
      </c>
      <c r="T379" s="1">
        <v>0</v>
      </c>
      <c r="U379" s="1">
        <f>Games[[#This Row],[PointsFor]]-Games[[#This Row],[PointsAgainst]]</f>
        <v>-4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0.28173544718878957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-9.7270453172648441</v>
      </c>
      <c r="AB379" s="4">
        <f>Games[[#This Row],[PreGmRate]]+Games[[#This Row],[RatingChange]]</f>
        <v>1360.3073220834688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41527</v>
      </c>
      <c r="B380" s="2">
        <v>2013</v>
      </c>
      <c r="C380" s="2">
        <f>COUNTIFS(Games[Team],Games[[#This Row],[Team]],Games[Season],Games[[#This Row],[Season]],Games[Date],"&lt;=" &amp; Games[[#This Row],[Date]])</f>
        <v>32</v>
      </c>
      <c r="D380" s="2" t="s">
        <v>83</v>
      </c>
      <c r="E380" s="2" t="s">
        <v>84</v>
      </c>
      <c r="F380" s="1" t="s">
        <v>67</v>
      </c>
      <c r="G380" s="1" t="s">
        <v>71</v>
      </c>
      <c r="H380" s="1" t="s">
        <v>85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1684.5043391623597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1488.4135286704523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0.65593849078434574</v>
      </c>
      <c r="R380" s="1">
        <v>73</v>
      </c>
      <c r="S380" s="1">
        <v>60</v>
      </c>
      <c r="T380" s="1">
        <v>0</v>
      </c>
      <c r="U380" s="1">
        <f>Games[[#This Row],[PointsFor]]-Games[[#This Row],[PointsAgainst]]</f>
        <v>13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0.40574187761994768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9.9395315889329687</v>
      </c>
      <c r="AB380" s="4">
        <f>Games[[#This Row],[PreGmRate]]+Games[[#This Row],[RatingChange]]</f>
        <v>1694.4438707512927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41527</v>
      </c>
      <c r="B381" s="2">
        <v>2013</v>
      </c>
      <c r="C381" s="2">
        <f>COUNTIFS(Games[Team],Games[[#This Row],[Team]],Games[Season],Games[[#This Row],[Season]],Games[Date],"&lt;=" &amp; Games[[#This Row],[Date]])</f>
        <v>32</v>
      </c>
      <c r="D381" s="2" t="s">
        <v>83</v>
      </c>
      <c r="E381" s="2" t="s">
        <v>84</v>
      </c>
      <c r="F381" s="1" t="s">
        <v>71</v>
      </c>
      <c r="G381" s="1" t="s">
        <v>67</v>
      </c>
      <c r="H381" s="1" t="s">
        <v>86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1488.4135286704523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1684.5043391623597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0.34406150921565426</v>
      </c>
      <c r="R381" s="1">
        <v>60</v>
      </c>
      <c r="S381" s="1">
        <v>73</v>
      </c>
      <c r="T381" s="1">
        <v>0</v>
      </c>
      <c r="U381" s="1">
        <f>Games[[#This Row],[PointsFor]]-Games[[#This Row],[PointsAgainst]]</f>
        <v>-13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0.40574187761994768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-9.9395315889329687</v>
      </c>
      <c r="AB381" s="4">
        <f>Games[[#This Row],[PreGmRate]]+Games[[#This Row],[RatingChange]]</f>
        <v>1478.4739970815192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41528</v>
      </c>
      <c r="B382" s="2">
        <v>2013</v>
      </c>
      <c r="C382" s="2">
        <f>COUNTIFS(Games[Team],Games[[#This Row],[Team]],Games[Season],Games[[#This Row],[Season]],Games[Date],"&lt;=" &amp; Games[[#This Row],[Date]])</f>
        <v>32</v>
      </c>
      <c r="D382" s="2" t="s">
        <v>83</v>
      </c>
      <c r="E382" s="2" t="s">
        <v>84</v>
      </c>
      <c r="F382" s="1" t="s">
        <v>40</v>
      </c>
      <c r="G382" s="1" t="s">
        <v>77</v>
      </c>
      <c r="H382" s="1" t="s">
        <v>85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2" s="2">
        <f>Games[[#This Row],[DaysOff]]-Games[[#This Row],[OppDaysOff]]</f>
        <v>-2</v>
      </c>
      <c r="L382" s="2">
        <f>Games[[#This Row],[OppDaysOff]]-Games[[#This Row],[DaysOff]]</f>
        <v>2</v>
      </c>
      <c r="M382" s="1">
        <f>MAX(-16, MIN(16, Games[[#This Row],[RestDiff]]*8))</f>
        <v>-16</v>
      </c>
      <c r="N382" s="1">
        <f>MAX(-16, MIN(16, Games[[#This Row],[OppRestDiff]]*8))</f>
        <v>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1506.2720064008083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1623.1481222548102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0.20742082883601554</v>
      </c>
      <c r="R382" s="1">
        <v>68</v>
      </c>
      <c r="S382" s="1">
        <v>70</v>
      </c>
      <c r="T382" s="1">
        <v>0</v>
      </c>
      <c r="U382" s="1">
        <f>Games[[#This Row],[PointsFor]]-Games[[#This Row],[PointsAgainst]]</f>
        <v>-2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0.24406972007626385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-3.6045102265978981</v>
      </c>
      <c r="AB382" s="4">
        <f>Games[[#This Row],[PreGmRate]]+Games[[#This Row],[RatingChange]]</f>
        <v>1502.6674961742103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41528</v>
      </c>
      <c r="B383" s="2">
        <v>2013</v>
      </c>
      <c r="C383" s="2">
        <f>COUNTIFS(Games[Team],Games[[#This Row],[Team]],Games[Season],Games[[#This Row],[Season]],Games[Date],"&lt;=" &amp; Games[[#This Row],[Date]])</f>
        <v>32</v>
      </c>
      <c r="D383" s="2" t="s">
        <v>83</v>
      </c>
      <c r="E383" s="2" t="s">
        <v>84</v>
      </c>
      <c r="F383" s="1" t="s">
        <v>77</v>
      </c>
      <c r="G383" s="1" t="s">
        <v>40</v>
      </c>
      <c r="H383" s="1" t="s">
        <v>86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3" s="2">
        <f>Games[[#This Row],[DaysOff]]-Games[[#This Row],[OppDaysOff]]</f>
        <v>2</v>
      </c>
      <c r="L383" s="2">
        <f>Games[[#This Row],[OppDaysOff]]-Games[[#This Row],[DaysOff]]</f>
        <v>-2</v>
      </c>
      <c r="M383" s="1">
        <f>MAX(-16, MIN(16, Games[[#This Row],[RestDiff]]*8))</f>
        <v>16</v>
      </c>
      <c r="N383" s="1">
        <f>MAX(-16, MIN(16, Games[[#This Row],[OppRestDiff]]*8))</f>
        <v>-16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1623.1481222548102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1506.2720064008083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0.79257917116398446</v>
      </c>
      <c r="R383" s="1">
        <v>70</v>
      </c>
      <c r="S383" s="1">
        <v>68</v>
      </c>
      <c r="T383" s="1">
        <v>0</v>
      </c>
      <c r="U383" s="1">
        <f>Games[[#This Row],[PointsFor]]-Games[[#This Row],[PointsAgainst]]</f>
        <v>2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0.24406972007626385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3.6045102265978981</v>
      </c>
      <c r="AB383" s="4">
        <f>Games[[#This Row],[PreGmRate]]+Games[[#This Row],[RatingChange]]</f>
        <v>1626.7526324814082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41528</v>
      </c>
      <c r="B384" s="2">
        <v>2013</v>
      </c>
      <c r="C384" s="2">
        <f>COUNTIFS(Games[Team],Games[[#This Row],[Team]],Games[Season],Games[[#This Row],[Season]],Games[Date],"&lt;=" &amp; Games[[#This Row],[Date]])</f>
        <v>32</v>
      </c>
      <c r="D384" s="2" t="s">
        <v>83</v>
      </c>
      <c r="E384" s="2" t="s">
        <v>84</v>
      </c>
      <c r="F384" s="1" t="s">
        <v>79</v>
      </c>
      <c r="G384" s="1" t="s">
        <v>76</v>
      </c>
      <c r="H384" s="1" t="s">
        <v>85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4" s="2">
        <f>Games[[#This Row],[DaysOff]]-Games[[#This Row],[OppDaysOff]]</f>
        <v>-1</v>
      </c>
      <c r="L384" s="2">
        <f>Games[[#This Row],[OppDaysOff]]-Games[[#This Row],[DaysOff]]</f>
        <v>1</v>
      </c>
      <c r="M384" s="1">
        <f>MAX(-16, MIN(16, Games[[#This Row],[RestDiff]]*8))</f>
        <v>-8</v>
      </c>
      <c r="N384" s="1">
        <f>MAX(-16, MIN(16, Games[[#This Row],[OppRestDiff]]*8))</f>
        <v>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1515.9549934362758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1379.3632425383373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0.55246591836040415</v>
      </c>
      <c r="R384" s="1">
        <v>77</v>
      </c>
      <c r="S384" s="1">
        <v>78</v>
      </c>
      <c r="T384" s="1">
        <v>0</v>
      </c>
      <c r="U384" s="1">
        <f>Games[[#This Row],[PointsFor]]-Games[[#This Row],[PointsAgainst]]</f>
        <v>-1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0.2192259565880911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-8.6233787037633025</v>
      </c>
      <c r="AB384" s="4">
        <f>Games[[#This Row],[PreGmRate]]+Games[[#This Row],[RatingChange]]</f>
        <v>1507.3316147325124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41528</v>
      </c>
      <c r="B385" s="2">
        <v>2013</v>
      </c>
      <c r="C385" s="2">
        <f>COUNTIFS(Games[Team],Games[[#This Row],[Team]],Games[Season],Games[[#This Row],[Season]],Games[Date],"&lt;=" &amp; Games[[#This Row],[Date]])</f>
        <v>32</v>
      </c>
      <c r="D385" s="2" t="s">
        <v>83</v>
      </c>
      <c r="E385" s="2" t="s">
        <v>84</v>
      </c>
      <c r="F385" s="1" t="s">
        <v>76</v>
      </c>
      <c r="G385" s="1" t="s">
        <v>79</v>
      </c>
      <c r="H385" s="1" t="s">
        <v>86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5" s="2">
        <f>Games[[#This Row],[DaysOff]]-Games[[#This Row],[OppDaysOff]]</f>
        <v>1</v>
      </c>
      <c r="L385" s="2">
        <f>Games[[#This Row],[OppDaysOff]]-Games[[#This Row],[DaysOff]]</f>
        <v>-1</v>
      </c>
      <c r="M385" s="1">
        <f>MAX(-16, MIN(16, Games[[#This Row],[RestDiff]]*8))</f>
        <v>8</v>
      </c>
      <c r="N385" s="1">
        <f>MAX(-16, MIN(16, Games[[#This Row],[OppRestDiff]]*8))</f>
        <v>-8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1379.3632425383373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1515.9549934362758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0.44753408163959579</v>
      </c>
      <c r="R385" s="1">
        <v>78</v>
      </c>
      <c r="S385" s="1">
        <v>77</v>
      </c>
      <c r="T385" s="1">
        <v>0</v>
      </c>
      <c r="U385" s="1">
        <f>Games[[#This Row],[PointsFor]]-Games[[#This Row],[PointsAgainst]]</f>
        <v>1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0.2192259565880911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8.6233787037633025</v>
      </c>
      <c r="AB385" s="4">
        <f>Games[[#This Row],[PreGmRate]]+Games[[#This Row],[RatingChange]]</f>
        <v>1387.9866212421007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41529</v>
      </c>
      <c r="B386" s="2">
        <v>2013</v>
      </c>
      <c r="C386" s="2">
        <f>COUNTIFS(Games[Team],Games[[#This Row],[Team]],Games[Season],Games[[#This Row],[Season]],Games[Date],"&lt;=" &amp; Games[[#This Row],[Date]])</f>
        <v>33</v>
      </c>
      <c r="D386" s="2" t="s">
        <v>83</v>
      </c>
      <c r="E386" s="2" t="s">
        <v>84</v>
      </c>
      <c r="F386" s="1" t="s">
        <v>67</v>
      </c>
      <c r="G386" s="1" t="s">
        <v>63</v>
      </c>
      <c r="H386" s="1" t="s">
        <v>85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6" s="2">
        <f>Games[[#This Row],[DaysOff]]-Games[[#This Row],[OppDaysOff]]</f>
        <v>-4</v>
      </c>
      <c r="L386" s="2">
        <f>Games[[#This Row],[OppDaysOff]]-Games[[#This Row],[DaysOff]]</f>
        <v>4</v>
      </c>
      <c r="M386" s="1">
        <f>MAX(-16, MIN(16, Games[[#This Row],[RestDiff]]*8))</f>
        <v>-16</v>
      </c>
      <c r="N386" s="1">
        <f>MAX(-16, MIN(16, Games[[#This Row],[OppRestDiff]]*8))</f>
        <v>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1694.4438707512927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1628.706420349781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0.42816680185388351</v>
      </c>
      <c r="R386" s="1">
        <v>84</v>
      </c>
      <c r="S386" s="1">
        <v>85</v>
      </c>
      <c r="T386" s="1">
        <v>0</v>
      </c>
      <c r="U386" s="1">
        <f>Games[[#This Row],[PointsFor]]-Games[[#This Row],[PointsAgainst]]</f>
        <v>-1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0.23149793431916152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-7.0424568288069809</v>
      </c>
      <c r="AB386" s="4">
        <f>Games[[#This Row],[PreGmRate]]+Games[[#This Row],[RatingChange]]</f>
        <v>1687.4014139224857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41529</v>
      </c>
      <c r="B387" s="2">
        <v>2013</v>
      </c>
      <c r="C387" s="2">
        <f>COUNTIFS(Games[Team],Games[[#This Row],[Team]],Games[Season],Games[[#This Row],[Season]],Games[Date],"&lt;=" &amp; Games[[#This Row],[Date]])</f>
        <v>33</v>
      </c>
      <c r="D387" s="2" t="s">
        <v>83</v>
      </c>
      <c r="E387" s="2" t="s">
        <v>84</v>
      </c>
      <c r="F387" s="1" t="s">
        <v>63</v>
      </c>
      <c r="G387" s="1" t="s">
        <v>67</v>
      </c>
      <c r="H387" s="1" t="s">
        <v>86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4</v>
      </c>
      <c r="L387" s="2">
        <f>Games[[#This Row],[OppDaysOff]]-Games[[#This Row],[DaysOff]]</f>
        <v>-4</v>
      </c>
      <c r="M387" s="1">
        <f>MAX(-16, MIN(16, Games[[#This Row],[RestDiff]]*8))</f>
        <v>16</v>
      </c>
      <c r="N387" s="1">
        <f>MAX(-16, MIN(16, Games[[#This Row],[OppRestDiff]]*8))</f>
        <v>-16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1628.706420349781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1694.4438707512927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0.57183319814611655</v>
      </c>
      <c r="R387" s="1">
        <v>85</v>
      </c>
      <c r="S387" s="1">
        <v>84</v>
      </c>
      <c r="T387" s="1">
        <v>0</v>
      </c>
      <c r="U387" s="1">
        <f>Games[[#This Row],[PointsFor]]-Games[[#This Row],[PointsAgainst]]</f>
        <v>1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0.23149793431916152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7.04245682880698</v>
      </c>
      <c r="AB387" s="4">
        <f>Games[[#This Row],[PreGmRate]]+Games[[#This Row],[RatingChange]]</f>
        <v>1635.7488771785879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41529</v>
      </c>
      <c r="B388" s="2">
        <v>2013</v>
      </c>
      <c r="C388" s="2">
        <f>COUNTIFS(Games[Team],Games[[#This Row],[Team]],Games[Season],Games[[#This Row],[Season]],Games[Date],"&lt;=" &amp; Games[[#This Row],[Date]])</f>
        <v>33</v>
      </c>
      <c r="D388" s="2" t="s">
        <v>83</v>
      </c>
      <c r="E388" s="2" t="s">
        <v>84</v>
      </c>
      <c r="F388" s="1" t="s">
        <v>71</v>
      </c>
      <c r="G388" s="1" t="s">
        <v>81</v>
      </c>
      <c r="H388" s="1" t="s">
        <v>85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8" s="2">
        <f>Games[[#This Row],[DaysOff]]-Games[[#This Row],[OppDaysOff]]</f>
        <v>-2</v>
      </c>
      <c r="L388" s="2">
        <f>Games[[#This Row],[OppDaysOff]]-Games[[#This Row],[DaysOff]]</f>
        <v>2</v>
      </c>
      <c r="M388" s="1">
        <f>MAX(-16, MIN(16, Games[[#This Row],[RestDiff]]*8))</f>
        <v>-16</v>
      </c>
      <c r="N388" s="1">
        <f>MAX(-16, MIN(16, Games[[#This Row],[OppRestDiff]]*8))</f>
        <v>16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1478.4739970815192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1435.4865804559538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0.39644634916658988</v>
      </c>
      <c r="R388" s="1">
        <v>76</v>
      </c>
      <c r="S388" s="1">
        <v>67</v>
      </c>
      <c r="T388" s="1">
        <v>0</v>
      </c>
      <c r="U388" s="1">
        <f>Games[[#This Row],[PointsFor]]-Games[[#This Row],[PointsAgainst]]</f>
        <v>9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0.39193142751134064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16.806994302705736</v>
      </c>
      <c r="AB388" s="4">
        <f>Games[[#This Row],[PreGmRate]]+Games[[#This Row],[RatingChange]]</f>
        <v>1495.280991384225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41529</v>
      </c>
      <c r="B389" s="2">
        <v>2013</v>
      </c>
      <c r="C389" s="2">
        <f>COUNTIFS(Games[Team],Games[[#This Row],[Team]],Games[Season],Games[[#This Row],[Season]],Games[Date],"&lt;=" &amp; Games[[#This Row],[Date]])</f>
        <v>33</v>
      </c>
      <c r="D389" s="2" t="s">
        <v>83</v>
      </c>
      <c r="E389" s="2" t="s">
        <v>84</v>
      </c>
      <c r="F389" s="1" t="s">
        <v>81</v>
      </c>
      <c r="G389" s="1" t="s">
        <v>71</v>
      </c>
      <c r="H389" s="1" t="s">
        <v>86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2</v>
      </c>
      <c r="L389" s="2">
        <f>Games[[#This Row],[OppDaysOff]]-Games[[#This Row],[DaysOff]]</f>
        <v>-2</v>
      </c>
      <c r="M389" s="1">
        <f>MAX(-16, MIN(16, Games[[#This Row],[RestDiff]]*8))</f>
        <v>16</v>
      </c>
      <c r="N389" s="1">
        <f>MAX(-16, MIN(16, Games[[#This Row],[OppRestDiff]]*8))</f>
        <v>-16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1435.4865804559538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1478.4739970815192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0.60355365083341006</v>
      </c>
      <c r="R389" s="1">
        <v>67</v>
      </c>
      <c r="S389" s="1">
        <v>76</v>
      </c>
      <c r="T389" s="1">
        <v>0</v>
      </c>
      <c r="U389" s="1">
        <f>Games[[#This Row],[PointsFor]]-Games[[#This Row],[PointsAgainst]]</f>
        <v>-9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0.39193142751134064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-16.806994302705736</v>
      </c>
      <c r="AB389" s="4">
        <f>Games[[#This Row],[PreGmRate]]+Games[[#This Row],[RatingChange]]</f>
        <v>1418.679586153248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41530</v>
      </c>
      <c r="B390" s="2">
        <v>2013</v>
      </c>
      <c r="C390" s="2">
        <f>COUNTIFS(Games[Team],Games[[#This Row],[Team]],Games[Season],Games[[#This Row],[Season]],Games[Date],"&lt;=" &amp; Games[[#This Row],[Date]])</f>
        <v>33</v>
      </c>
      <c r="D390" s="2" t="s">
        <v>83</v>
      </c>
      <c r="E390" s="2" t="s">
        <v>84</v>
      </c>
      <c r="F390" s="1" t="s">
        <v>79</v>
      </c>
      <c r="G390" s="1" t="s">
        <v>77</v>
      </c>
      <c r="H390" s="1" t="s">
        <v>85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1507.3316147325124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1626.7526324814082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0.23667689532666092</v>
      </c>
      <c r="R390" s="1">
        <v>82</v>
      </c>
      <c r="S390" s="1">
        <v>87</v>
      </c>
      <c r="T390" s="1">
        <v>0</v>
      </c>
      <c r="U390" s="1">
        <f>Games[[#This Row],[PointsFor]]-Games[[#This Row],[PointsAgainst]]</f>
        <v>-5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0.30172868644515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-5.073837430893847</v>
      </c>
      <c r="AB390" s="4">
        <f>Games[[#This Row],[PreGmRate]]+Games[[#This Row],[RatingChange]]</f>
        <v>1502.2577773016185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41530</v>
      </c>
      <c r="B391" s="2">
        <v>2013</v>
      </c>
      <c r="C391" s="2">
        <f>COUNTIFS(Games[Team],Games[[#This Row],[Team]],Games[Season],Games[[#This Row],[Season]],Games[Date],"&lt;=" &amp; Games[[#This Row],[Date]])</f>
        <v>33</v>
      </c>
      <c r="D391" s="2" t="s">
        <v>83</v>
      </c>
      <c r="E391" s="2" t="s">
        <v>84</v>
      </c>
      <c r="F391" s="1" t="s">
        <v>77</v>
      </c>
      <c r="G391" s="1" t="s">
        <v>79</v>
      </c>
      <c r="H391" s="1" t="s">
        <v>86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1626.7526324814082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1507.3316147325124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0.76332310467333908</v>
      </c>
      <c r="R391" s="1">
        <v>87</v>
      </c>
      <c r="S391" s="1">
        <v>82</v>
      </c>
      <c r="T391" s="1">
        <v>0</v>
      </c>
      <c r="U391" s="1">
        <f>Games[[#This Row],[PointsFor]]-Games[[#This Row],[PointsAgainst]]</f>
        <v>5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0.30172868644515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5.073837430893847</v>
      </c>
      <c r="AB391" s="4">
        <f>Games[[#This Row],[PreGmRate]]+Games[[#This Row],[RatingChange]]</f>
        <v>1631.8264699123022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41530</v>
      </c>
      <c r="B392" s="2">
        <v>2013</v>
      </c>
      <c r="C392" s="2">
        <f>COUNTIFS(Games[Team],Games[[#This Row],[Team]],Games[Season],Games[[#This Row],[Season]],Games[Date],"&lt;=" &amp; Games[[#This Row],[Date]])</f>
        <v>33</v>
      </c>
      <c r="D392" s="2" t="s">
        <v>83</v>
      </c>
      <c r="E392" s="2" t="s">
        <v>84</v>
      </c>
      <c r="F392" s="1" t="s">
        <v>60</v>
      </c>
      <c r="G392" s="1" t="s">
        <v>69</v>
      </c>
      <c r="H392" s="1" t="s">
        <v>85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1360.3073220834688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1536.5671719416132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0.18269770564883411</v>
      </c>
      <c r="R392" s="1">
        <v>63</v>
      </c>
      <c r="S392" s="1">
        <v>66</v>
      </c>
      <c r="T392" s="1">
        <v>0</v>
      </c>
      <c r="U392" s="1">
        <f>Games[[#This Row],[PointsFor]]-Games[[#This Row],[PointsAgainst]]</f>
        <v>-3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0.25301924295353223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-3.2843597990143154</v>
      </c>
      <c r="AB392" s="4">
        <f>Games[[#This Row],[PreGmRate]]+Games[[#This Row],[RatingChange]]</f>
        <v>1357.0229622844545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41530</v>
      </c>
      <c r="B393" s="2">
        <v>2013</v>
      </c>
      <c r="C393" s="2">
        <f>COUNTIFS(Games[Team],Games[[#This Row],[Team]],Games[Season],Games[[#This Row],[Season]],Games[Date],"&lt;=" &amp; Games[[#This Row],[Date]])</f>
        <v>33</v>
      </c>
      <c r="D393" s="2" t="s">
        <v>83</v>
      </c>
      <c r="E393" s="2" t="s">
        <v>84</v>
      </c>
      <c r="F393" s="1" t="s">
        <v>69</v>
      </c>
      <c r="G393" s="1" t="s">
        <v>60</v>
      </c>
      <c r="H393" s="1" t="s">
        <v>86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1536.5671719416132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1360.3073220834688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0.81730229435116597</v>
      </c>
      <c r="R393" s="1">
        <v>66</v>
      </c>
      <c r="S393" s="1">
        <v>63</v>
      </c>
      <c r="T393" s="1">
        <v>0</v>
      </c>
      <c r="U393" s="1">
        <f>Games[[#This Row],[PointsFor]]-Games[[#This Row],[PointsAgainst]]</f>
        <v>3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0.25301924295353223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3.2843597990143141</v>
      </c>
      <c r="AB393" s="4">
        <f>Games[[#This Row],[PreGmRate]]+Games[[#This Row],[RatingChange]]</f>
        <v>1539.8515317406275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41530</v>
      </c>
      <c r="B394" s="2">
        <v>2013</v>
      </c>
      <c r="C394" s="2">
        <f>COUNTIFS(Games[Team],Games[[#This Row],[Team]],Games[Season],Games[[#This Row],[Season]],Games[Date],"&lt;=" &amp; Games[[#This Row],[Date]])</f>
        <v>33</v>
      </c>
      <c r="D394" s="2" t="s">
        <v>83</v>
      </c>
      <c r="E394" s="2" t="s">
        <v>84</v>
      </c>
      <c r="F394" s="1" t="s">
        <v>74</v>
      </c>
      <c r="G394" s="1" t="s">
        <v>40</v>
      </c>
      <c r="H394" s="1" t="s">
        <v>85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3</v>
      </c>
      <c r="L394" s="2">
        <f>Games[[#This Row],[OppDaysOff]]-Games[[#This Row],[DaysOff]]</f>
        <v>-3</v>
      </c>
      <c r="M394" s="1">
        <f>MAX(-16, MIN(16, Games[[#This Row],[RestDiff]]*8))</f>
        <v>16</v>
      </c>
      <c r="N394" s="1">
        <f>MAX(-16, MIN(16, Games[[#This Row],[OppRestDiff]]*8))</f>
        <v>-16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1407.3277849729654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1502.6674961742103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0.29981991470957697</v>
      </c>
      <c r="R394" s="1">
        <v>61</v>
      </c>
      <c r="S394" s="1">
        <v>82</v>
      </c>
      <c r="T394" s="1">
        <v>0</v>
      </c>
      <c r="U394" s="1">
        <f>Games[[#This Row],[PointsFor]]-Games[[#This Row],[PointsAgainst]]</f>
        <v>-21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0.54525584386654746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-11.615151730840781</v>
      </c>
      <c r="AB394" s="4">
        <f>Games[[#This Row],[PreGmRate]]+Games[[#This Row],[RatingChange]]</f>
        <v>1395.7126332421246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41530</v>
      </c>
      <c r="B395" s="2">
        <v>2013</v>
      </c>
      <c r="C395" s="2">
        <f>COUNTIFS(Games[Team],Games[[#This Row],[Team]],Games[Season],Games[[#This Row],[Season]],Games[Date],"&lt;=" &amp; Games[[#This Row],[Date]])</f>
        <v>33</v>
      </c>
      <c r="D395" s="2" t="s">
        <v>83</v>
      </c>
      <c r="E395" s="2" t="s">
        <v>84</v>
      </c>
      <c r="F395" s="1" t="s">
        <v>40</v>
      </c>
      <c r="G395" s="1" t="s">
        <v>74</v>
      </c>
      <c r="H395" s="1" t="s">
        <v>86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5" s="2">
        <f>Games[[#This Row],[DaysOff]]-Games[[#This Row],[OppDaysOff]]</f>
        <v>-3</v>
      </c>
      <c r="L395" s="2">
        <f>Games[[#This Row],[OppDaysOff]]-Games[[#This Row],[DaysOff]]</f>
        <v>3</v>
      </c>
      <c r="M395" s="1">
        <f>MAX(-16, MIN(16, Games[[#This Row],[RestDiff]]*8))</f>
        <v>-16</v>
      </c>
      <c r="N395" s="1">
        <f>MAX(-16, MIN(16, Games[[#This Row],[OppRestDiff]]*8))</f>
        <v>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1502.6674961742103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1407.3277849729654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0.70018008529042308</v>
      </c>
      <c r="R395" s="1">
        <v>82</v>
      </c>
      <c r="S395" s="1">
        <v>61</v>
      </c>
      <c r="T395" s="1">
        <v>0</v>
      </c>
      <c r="U395" s="1">
        <f>Games[[#This Row],[PointsFor]]-Games[[#This Row],[PointsAgainst]]</f>
        <v>21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0.54525584386654746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11.615151730840779</v>
      </c>
      <c r="AB395" s="4">
        <f>Games[[#This Row],[PreGmRate]]+Games[[#This Row],[RatingChange]]</f>
        <v>1514.2826479050511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41530</v>
      </c>
      <c r="B396" s="2">
        <v>2013</v>
      </c>
      <c r="C396" s="2">
        <f>COUNTIFS(Games[Team],Games[[#This Row],[Team]],Games[Season],Games[[#This Row],[Season]],Games[Date],"&lt;=" &amp; Games[[#This Row],[Date]])</f>
        <v>33</v>
      </c>
      <c r="D396" s="2" t="s">
        <v>83</v>
      </c>
      <c r="E396" s="2" t="s">
        <v>84</v>
      </c>
      <c r="F396" s="1" t="s">
        <v>76</v>
      </c>
      <c r="G396" s="1" t="s">
        <v>65</v>
      </c>
      <c r="H396" s="1" t="s">
        <v>85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-1</v>
      </c>
      <c r="L396" s="2">
        <f>Games[[#This Row],[OppDaysOff]]-Games[[#This Row],[DaysOff]]</f>
        <v>1</v>
      </c>
      <c r="M396" s="1">
        <f>MAX(-16, MIN(16, Games[[#This Row],[RestDiff]]*8))</f>
        <v>-8</v>
      </c>
      <c r="N396" s="1">
        <f>MAX(-16, MIN(16, Games[[#This Row],[OppRestDiff]]*8))</f>
        <v>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1387.9866212421007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1437.6731984912435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0.29699155437318653</v>
      </c>
      <c r="R396" s="1">
        <v>56</v>
      </c>
      <c r="S396" s="1">
        <v>82</v>
      </c>
      <c r="T396" s="1">
        <v>0</v>
      </c>
      <c r="U396" s="1">
        <f>Games[[#This Row],[PointsFor]]-Games[[#This Row],[PointsAgainst]]</f>
        <v>-26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0.62808136928858238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-13.253301954894631</v>
      </c>
      <c r="AB396" s="4">
        <f>Games[[#This Row],[PreGmRate]]+Games[[#This Row],[RatingChange]]</f>
        <v>1374.7333192872061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41530</v>
      </c>
      <c r="B397" s="2">
        <v>2013</v>
      </c>
      <c r="C397" s="2">
        <f>COUNTIFS(Games[Team],Games[[#This Row],[Team]],Games[Season],Games[[#This Row],[Season]],Games[Date],"&lt;=" &amp; Games[[#This Row],[Date]])</f>
        <v>33</v>
      </c>
      <c r="D397" s="2" t="s">
        <v>83</v>
      </c>
      <c r="E397" s="2" t="s">
        <v>84</v>
      </c>
      <c r="F397" s="1" t="s">
        <v>65</v>
      </c>
      <c r="G397" s="1" t="s">
        <v>76</v>
      </c>
      <c r="H397" s="1" t="s">
        <v>86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1</v>
      </c>
      <c r="L397" s="2">
        <f>Games[[#This Row],[OppDaysOff]]-Games[[#This Row],[DaysOff]]</f>
        <v>-1</v>
      </c>
      <c r="M397" s="1">
        <f>MAX(-16, MIN(16, Games[[#This Row],[RestDiff]]*8))</f>
        <v>8</v>
      </c>
      <c r="N397" s="1">
        <f>MAX(-16, MIN(16, Games[[#This Row],[OppRestDiff]]*8))</f>
        <v>-8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1437.6731984912435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1387.9866212421007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0.70300844562681342</v>
      </c>
      <c r="R397" s="1">
        <v>82</v>
      </c>
      <c r="S397" s="1">
        <v>56</v>
      </c>
      <c r="T397" s="1">
        <v>0</v>
      </c>
      <c r="U397" s="1">
        <f>Games[[#This Row],[PointsFor]]-Games[[#This Row],[PointsAgainst]]</f>
        <v>26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0.62808136928858238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13.253301954894633</v>
      </c>
      <c r="AB397" s="4">
        <f>Games[[#This Row],[PreGmRate]]+Games[[#This Row],[RatingChange]]</f>
        <v>1450.9265004461381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41531</v>
      </c>
      <c r="B398" s="2">
        <v>2013</v>
      </c>
      <c r="C398" s="2">
        <f>COUNTIFS(Games[Team],Games[[#This Row],[Team]],Games[Season],Games[[#This Row],[Season]],Games[Date],"&lt;=" &amp; Games[[#This Row],[Date]])</f>
        <v>34</v>
      </c>
      <c r="D398" s="2" t="s">
        <v>83</v>
      </c>
      <c r="E398" s="2" t="s">
        <v>84</v>
      </c>
      <c r="F398" s="1" t="s">
        <v>77</v>
      </c>
      <c r="G398" s="1" t="s">
        <v>67</v>
      </c>
      <c r="H398" s="1" t="s">
        <v>85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1631.8264699123022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1687.4014139224857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0.28996349112047365</v>
      </c>
      <c r="R398" s="1">
        <v>66</v>
      </c>
      <c r="S398" s="1">
        <v>79</v>
      </c>
      <c r="T398" s="1">
        <v>0</v>
      </c>
      <c r="U398" s="1">
        <f>Games[[#This Row],[PointsFor]]-Games[[#This Row],[PointsAgainst]]</f>
        <v>-13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0.4511498970883786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-9.2749252417477575</v>
      </c>
      <c r="AB398" s="4">
        <f>Games[[#This Row],[PreGmRate]]+Games[[#This Row],[RatingChange]]</f>
        <v>1622.5515446705544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41531</v>
      </c>
      <c r="B399" s="2">
        <v>2013</v>
      </c>
      <c r="C399" s="2">
        <f>COUNTIFS(Games[Team],Games[[#This Row],[Team]],Games[Season],Games[[#This Row],[Season]],Games[Date],"&lt;=" &amp; Games[[#This Row],[Date]])</f>
        <v>34</v>
      </c>
      <c r="D399" s="2" t="s">
        <v>83</v>
      </c>
      <c r="E399" s="2" t="s">
        <v>84</v>
      </c>
      <c r="F399" s="1" t="s">
        <v>67</v>
      </c>
      <c r="G399" s="1" t="s">
        <v>77</v>
      </c>
      <c r="H399" s="1" t="s">
        <v>86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1687.4014139224857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1631.8264699123022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0.7100365088795263</v>
      </c>
      <c r="R399" s="1">
        <v>79</v>
      </c>
      <c r="S399" s="1">
        <v>66</v>
      </c>
      <c r="T399" s="1">
        <v>0</v>
      </c>
      <c r="U399" s="1">
        <f>Games[[#This Row],[PointsFor]]-Games[[#This Row],[PointsAgainst]]</f>
        <v>13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0.4511498970883786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9.2749252417477592</v>
      </c>
      <c r="AB399" s="4">
        <f>Games[[#This Row],[PreGmRate]]+Games[[#This Row],[RatingChange]]</f>
        <v>1696.6763391642335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41531</v>
      </c>
      <c r="B400" s="2">
        <v>2013</v>
      </c>
      <c r="C400" s="2">
        <f>COUNTIFS(Games[Team],Games[[#This Row],[Team]],Games[Season],Games[[#This Row],[Season]],Games[Date],"&lt;=" &amp; Games[[#This Row],[Date]])</f>
        <v>34</v>
      </c>
      <c r="D400" s="2" t="s">
        <v>83</v>
      </c>
      <c r="E400" s="2" t="s">
        <v>84</v>
      </c>
      <c r="F400" s="1" t="s">
        <v>81</v>
      </c>
      <c r="G400" s="1" t="s">
        <v>71</v>
      </c>
      <c r="H400" s="1" t="s">
        <v>85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1418.679586153248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1495.280991384225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0.28404268888457357</v>
      </c>
      <c r="R400" s="1">
        <v>73</v>
      </c>
      <c r="S400" s="1">
        <v>85</v>
      </c>
      <c r="T400" s="1">
        <v>0</v>
      </c>
      <c r="U400" s="1">
        <f>Games[[#This Row],[PointsFor]]-Games[[#This Row],[PointsAgainst]]</f>
        <v>-12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0.42875977532925813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-8.6346330344278304</v>
      </c>
      <c r="AB400" s="4">
        <f>Games[[#This Row],[PreGmRate]]+Games[[#This Row],[RatingChange]]</f>
        <v>1410.0449531188201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41531</v>
      </c>
      <c r="B401" s="2">
        <v>2013</v>
      </c>
      <c r="C401" s="2">
        <f>COUNTIFS(Games[Team],Games[[#This Row],[Team]],Games[Season],Games[[#This Row],[Season]],Games[Date],"&lt;=" &amp; Games[[#This Row],[Date]])</f>
        <v>34</v>
      </c>
      <c r="D401" s="2" t="s">
        <v>83</v>
      </c>
      <c r="E401" s="2" t="s">
        <v>84</v>
      </c>
      <c r="F401" s="1" t="s">
        <v>71</v>
      </c>
      <c r="G401" s="1" t="s">
        <v>81</v>
      </c>
      <c r="H401" s="1" t="s">
        <v>86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1495.280991384225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1418.679586153248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0.71595731111542649</v>
      </c>
      <c r="R401" s="1">
        <v>85</v>
      </c>
      <c r="S401" s="1">
        <v>73</v>
      </c>
      <c r="T401" s="1">
        <v>0</v>
      </c>
      <c r="U401" s="1">
        <f>Games[[#This Row],[PointsFor]]-Games[[#This Row],[PointsAgainst]]</f>
        <v>12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0.42875977532925813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8.6346330344278286</v>
      </c>
      <c r="AB401" s="4">
        <f>Games[[#This Row],[PreGmRate]]+Games[[#This Row],[RatingChange]]</f>
        <v>1503.9156244186529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41532</v>
      </c>
      <c r="B402" s="2">
        <v>2013</v>
      </c>
      <c r="C402" s="2">
        <f>COUNTIFS(Games[Team],Games[[#This Row],[Team]],Games[Season],Games[[#This Row],[Season]],Games[Date],"&lt;=" &amp; Games[[#This Row],[Date]])</f>
        <v>34</v>
      </c>
      <c r="D402" s="2" t="s">
        <v>83</v>
      </c>
      <c r="E402" s="2" t="s">
        <v>84</v>
      </c>
      <c r="F402" s="1" t="s">
        <v>69</v>
      </c>
      <c r="G402" s="1" t="s">
        <v>76</v>
      </c>
      <c r="H402" s="1" t="s">
        <v>85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1539.8515317406275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1374.7333192872061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0.61466254829064515</v>
      </c>
      <c r="R402" s="1">
        <v>80</v>
      </c>
      <c r="S402" s="1">
        <v>82</v>
      </c>
      <c r="T402" s="1">
        <v>1</v>
      </c>
      <c r="U402" s="1">
        <f>Games[[#This Row],[PointsFor]]-Games[[#This Row],[PointsAgainst]]</f>
        <v>-2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0.21190005659258132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-9.2345143396602722</v>
      </c>
      <c r="AB402" s="4">
        <f>Games[[#This Row],[PreGmRate]]+Games[[#This Row],[RatingChange]]</f>
        <v>1530.6170174009671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41532</v>
      </c>
      <c r="B403" s="2">
        <v>2013</v>
      </c>
      <c r="C403" s="2">
        <f>COUNTIFS(Games[Team],Games[[#This Row],[Team]],Games[Season],Games[[#This Row],[Season]],Games[Date],"&lt;=" &amp; Games[[#This Row],[Date]])</f>
        <v>34</v>
      </c>
      <c r="D403" s="2" t="s">
        <v>83</v>
      </c>
      <c r="E403" s="2" t="s">
        <v>84</v>
      </c>
      <c r="F403" s="1" t="s">
        <v>76</v>
      </c>
      <c r="G403" s="1" t="s">
        <v>69</v>
      </c>
      <c r="H403" s="1" t="s">
        <v>86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1374.7333192872061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1539.8515317406275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0.38533745170935479</v>
      </c>
      <c r="R403" s="1">
        <v>82</v>
      </c>
      <c r="S403" s="1">
        <v>80</v>
      </c>
      <c r="T403" s="1">
        <v>1</v>
      </c>
      <c r="U403" s="1">
        <f>Games[[#This Row],[PointsFor]]-Games[[#This Row],[PointsAgainst]]</f>
        <v>2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0.21190005659258132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9.2345143396602722</v>
      </c>
      <c r="AB403" s="4">
        <f>Games[[#This Row],[PreGmRate]]+Games[[#This Row],[RatingChange]]</f>
        <v>1383.9678336268664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41532</v>
      </c>
      <c r="B404" s="2">
        <v>2013</v>
      </c>
      <c r="C404" s="2">
        <f>COUNTIFS(Games[Team],Games[[#This Row],[Team]],Games[Season],Games[[#This Row],[Season]],Games[Date],"&lt;=" &amp; Games[[#This Row],[Date]])</f>
        <v>34</v>
      </c>
      <c r="D404" s="2" t="s">
        <v>83</v>
      </c>
      <c r="E404" s="2" t="s">
        <v>84</v>
      </c>
      <c r="F404" s="1" t="s">
        <v>40</v>
      </c>
      <c r="G404" s="1" t="s">
        <v>63</v>
      </c>
      <c r="H404" s="1" t="s">
        <v>85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-1</v>
      </c>
      <c r="L404" s="2">
        <f>Games[[#This Row],[OppDaysOff]]-Games[[#This Row],[DaysOff]]</f>
        <v>1</v>
      </c>
      <c r="M404" s="1">
        <f>MAX(-16, MIN(16, Games[[#This Row],[RestDiff]]*8))</f>
        <v>-8</v>
      </c>
      <c r="N404" s="1">
        <f>MAX(-16, MIN(16, Games[[#This Row],[OppRestDiff]]*8))</f>
        <v>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1514.2826479050511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1635.7488771785879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0.21842607773672715</v>
      </c>
      <c r="R404" s="1">
        <v>55</v>
      </c>
      <c r="S404" s="1">
        <v>89</v>
      </c>
      <c r="T404" s="1">
        <v>0</v>
      </c>
      <c r="U404" s="1">
        <f>Games[[#This Row],[PointsFor]]-Games[[#This Row],[PointsAgainst]]</f>
        <v>-34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0.68168336359096815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-10.556827316759611</v>
      </c>
      <c r="AB404" s="4">
        <f>Games[[#This Row],[PreGmRate]]+Games[[#This Row],[RatingChange]]</f>
        <v>1503.7258205882915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41532</v>
      </c>
      <c r="B405" s="2">
        <v>2013</v>
      </c>
      <c r="C405" s="2">
        <f>COUNTIFS(Games[Team],Games[[#This Row],[Team]],Games[Season],Games[[#This Row],[Season]],Games[Date],"&lt;=" &amp; Games[[#This Row],[Date]])</f>
        <v>34</v>
      </c>
      <c r="D405" s="2" t="s">
        <v>83</v>
      </c>
      <c r="E405" s="2" t="s">
        <v>84</v>
      </c>
      <c r="F405" s="1" t="s">
        <v>63</v>
      </c>
      <c r="G405" s="1" t="s">
        <v>40</v>
      </c>
      <c r="H405" s="1" t="s">
        <v>86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1</v>
      </c>
      <c r="L405" s="2">
        <f>Games[[#This Row],[OppDaysOff]]-Games[[#This Row],[DaysOff]]</f>
        <v>-1</v>
      </c>
      <c r="M405" s="1">
        <f>MAX(-16, MIN(16, Games[[#This Row],[RestDiff]]*8))</f>
        <v>8</v>
      </c>
      <c r="N405" s="1">
        <f>MAX(-16, MIN(16, Games[[#This Row],[OppRestDiff]]*8))</f>
        <v>-8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1635.7488771785879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1514.2826479050511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0.78157392226327282</v>
      </c>
      <c r="R405" s="1">
        <v>89</v>
      </c>
      <c r="S405" s="1">
        <v>55</v>
      </c>
      <c r="T405" s="1">
        <v>0</v>
      </c>
      <c r="U405" s="1">
        <f>Games[[#This Row],[PointsFor]]-Games[[#This Row],[PointsAgainst]]</f>
        <v>34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0.68168336359096815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10.556827316759613</v>
      </c>
      <c r="AB405" s="4">
        <f>Games[[#This Row],[PreGmRate]]+Games[[#This Row],[RatingChange]]</f>
        <v>1646.3057044953475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41532</v>
      </c>
      <c r="B406" s="2">
        <v>2013</v>
      </c>
      <c r="C406" s="2">
        <f>COUNTIFS(Games[Team],Games[[#This Row],[Team]],Games[Season],Games[[#This Row],[Season]],Games[Date],"&lt;=" &amp; Games[[#This Row],[Date]])</f>
        <v>34</v>
      </c>
      <c r="D406" s="2" t="s">
        <v>83</v>
      </c>
      <c r="E406" s="2" t="s">
        <v>84</v>
      </c>
      <c r="F406" s="1" t="s">
        <v>79</v>
      </c>
      <c r="G406" s="1" t="s">
        <v>74</v>
      </c>
      <c r="H406" s="1" t="s">
        <v>85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1502.2577773016185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1395.7126332421246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0.53239960781720053</v>
      </c>
      <c r="R406" s="1">
        <v>68</v>
      </c>
      <c r="S406" s="1">
        <v>97</v>
      </c>
      <c r="T406" s="1">
        <v>0</v>
      </c>
      <c r="U406" s="1">
        <f>Games[[#This Row],[PointsFor]]-Games[[#This Row],[PointsAgainst]]</f>
        <v>-29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0.63498421603360344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-23.968833143875973</v>
      </c>
      <c r="AB406" s="4">
        <f>Games[[#This Row],[PreGmRate]]+Games[[#This Row],[RatingChange]]</f>
        <v>1478.2889441577424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41532</v>
      </c>
      <c r="B407" s="2">
        <v>2013</v>
      </c>
      <c r="C407" s="2">
        <f>COUNTIFS(Games[Team],Games[[#This Row],[Team]],Games[Season],Games[[#This Row],[Season]],Games[Date],"&lt;=" &amp; Games[[#This Row],[Date]])</f>
        <v>34</v>
      </c>
      <c r="D407" s="2" t="s">
        <v>83</v>
      </c>
      <c r="E407" s="2" t="s">
        <v>84</v>
      </c>
      <c r="F407" s="1" t="s">
        <v>74</v>
      </c>
      <c r="G407" s="1" t="s">
        <v>79</v>
      </c>
      <c r="H407" s="1" t="s">
        <v>86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1395.7126332421246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1502.2577773016185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0.46760039218279947</v>
      </c>
      <c r="R407" s="1">
        <v>97</v>
      </c>
      <c r="S407" s="1">
        <v>68</v>
      </c>
      <c r="T407" s="1">
        <v>0</v>
      </c>
      <c r="U407" s="1">
        <f>Games[[#This Row],[PointsFor]]-Games[[#This Row],[PointsAgainst]]</f>
        <v>29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0.63498421603360344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23.968833143875973</v>
      </c>
      <c r="AB407" s="4">
        <f>Games[[#This Row],[PreGmRate]]+Games[[#This Row],[RatingChange]]</f>
        <v>1419.6814663860007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41532</v>
      </c>
      <c r="B408" s="2">
        <v>2013</v>
      </c>
      <c r="C408" s="2">
        <f>COUNTIFS(Games[Team],Games[[#This Row],[Team]],Games[Season],Games[[#This Row],[Season]],Games[Date],"&lt;=" &amp; Games[[#This Row],[Date]])</f>
        <v>34</v>
      </c>
      <c r="D408" s="2" t="s">
        <v>83</v>
      </c>
      <c r="E408" s="2" t="s">
        <v>84</v>
      </c>
      <c r="F408" s="1" t="s">
        <v>60</v>
      </c>
      <c r="G408" s="1" t="s">
        <v>65</v>
      </c>
      <c r="H408" s="1" t="s">
        <v>85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1357.0229622844545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1450.9265004461381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0.26423049507234481</v>
      </c>
      <c r="R408" s="1">
        <v>52</v>
      </c>
      <c r="S408" s="1">
        <v>70</v>
      </c>
      <c r="T408" s="1">
        <v>0</v>
      </c>
      <c r="U408" s="1">
        <f>Games[[#This Row],[PointsFor]]-Games[[#This Row],[PointsAgainst]]</f>
        <v>-18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0.50714809813711781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-9.5008831069450057</v>
      </c>
      <c r="AB408" s="4">
        <f>Games[[#This Row],[PreGmRate]]+Games[[#This Row],[RatingChange]]</f>
        <v>1347.5220791775096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41532</v>
      </c>
      <c r="B409" s="2">
        <v>2013</v>
      </c>
      <c r="C409" s="2">
        <f>COUNTIFS(Games[Team],Games[[#This Row],[Team]],Games[Season],Games[[#This Row],[Season]],Games[Date],"&lt;=" &amp; Games[[#This Row],[Date]])</f>
        <v>34</v>
      </c>
      <c r="D409" s="2" t="s">
        <v>83</v>
      </c>
      <c r="E409" s="2" t="s">
        <v>84</v>
      </c>
      <c r="F409" s="1" t="s">
        <v>65</v>
      </c>
      <c r="G409" s="1" t="s">
        <v>60</v>
      </c>
      <c r="H409" s="1" t="s">
        <v>86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1450.9265004461381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1357.0229622844545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0.73576950492765525</v>
      </c>
      <c r="R409" s="1">
        <v>70</v>
      </c>
      <c r="S409" s="1">
        <v>52</v>
      </c>
      <c r="T409" s="1">
        <v>0</v>
      </c>
      <c r="U409" s="1">
        <f>Games[[#This Row],[PointsFor]]-Games[[#This Row],[PointsAgainst]]</f>
        <v>18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0.50714809813711781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9.5008831069450022</v>
      </c>
      <c r="AB409" s="4">
        <f>Games[[#This Row],[PreGmRate]]+Games[[#This Row],[RatingChange]]</f>
        <v>1460.427383553083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41536</v>
      </c>
      <c r="B410" s="2">
        <v>2013</v>
      </c>
      <c r="C410" s="2">
        <f>COUNTIFS(Games[Team],Games[[#This Row],[Team]],Games[Season],Games[[#This Row],[Season]],Games[Date],"&lt;=" &amp; Games[[#This Row],[Date]])</f>
        <v>35</v>
      </c>
      <c r="D410" s="2" t="s">
        <v>87</v>
      </c>
      <c r="E410" s="2">
        <v>1</v>
      </c>
      <c r="F410" s="1" t="s">
        <v>65</v>
      </c>
      <c r="G410" s="1" t="s">
        <v>79</v>
      </c>
      <c r="H410" s="1" t="s">
        <v>85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1460.427383553083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1478.2889441577424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0.35746995136733534</v>
      </c>
      <c r="R410" s="1">
        <v>71</v>
      </c>
      <c r="S410" s="1">
        <v>56</v>
      </c>
      <c r="T410" s="1">
        <v>0</v>
      </c>
      <c r="U410" s="1">
        <f>Games[[#This Row],[PointsFor]]-Games[[#This Row],[PointsAgainst]]</f>
        <v>15</v>
      </c>
      <c r="V410" s="1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0.49547309248755966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0" s="9">
        <f>MAX(kmin, kmax - 0.15 * MIN(Games[[#This Row],[GamesPlayed]], 82))</f>
        <v>70.75</v>
      </c>
      <c r="Z410" s="4">
        <f>Games[[#This Row],[K]]*Games[[#This Row],[POMult]]</f>
        <v>77.825000000000003</v>
      </c>
      <c r="AA410" s="4">
        <f>(Games[[#This Row],[Keff]]*Games[[#This Row],[MOVMult]])*(Games[[#This Row],[Result]]-Games[[#This Row],[ExpectedWin%]])</f>
        <v>24.776082955265124</v>
      </c>
      <c r="AB410" s="4">
        <f>Games[[#This Row],[PreGmRate]]+Games[[#This Row],[RatingChange]]</f>
        <v>1485.2034665083481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1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41536</v>
      </c>
      <c r="B411" s="2">
        <v>2013</v>
      </c>
      <c r="C411" s="2">
        <f>COUNTIFS(Games[Team],Games[[#This Row],[Team]],Games[Season],Games[[#This Row],[Season]],Games[Date],"&lt;=" &amp; Games[[#This Row],[Date]])</f>
        <v>35</v>
      </c>
      <c r="D411" s="2" t="s">
        <v>87</v>
      </c>
      <c r="E411" s="2">
        <v>1</v>
      </c>
      <c r="F411" s="1" t="s">
        <v>79</v>
      </c>
      <c r="G411" s="1" t="s">
        <v>65</v>
      </c>
      <c r="H411" s="1" t="s">
        <v>86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1478.2889441577424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1460.427383553083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0.64253004863266461</v>
      </c>
      <c r="R411" s="1">
        <v>56</v>
      </c>
      <c r="S411" s="1">
        <v>71</v>
      </c>
      <c r="T411" s="1">
        <v>0</v>
      </c>
      <c r="U411" s="1">
        <f>Games[[#This Row],[PointsFor]]-Games[[#This Row],[PointsAgainst]]</f>
        <v>-15</v>
      </c>
      <c r="V411" s="1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0.49547309248755966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1" s="9">
        <f>MAX(kmin, kmax - 0.15 * MIN(Games[[#This Row],[GamesPlayed]], 82))</f>
        <v>70.75</v>
      </c>
      <c r="Z411" s="4">
        <f>Games[[#This Row],[K]]*Games[[#This Row],[POMult]]</f>
        <v>77.825000000000003</v>
      </c>
      <c r="AA411" s="4">
        <f>(Games[[#This Row],[Keff]]*Games[[#This Row],[MOVMult]])*(Games[[#This Row],[Result]]-Games[[#This Row],[ExpectedWin%]])</f>
        <v>-24.776082955265124</v>
      </c>
      <c r="AB411" s="4">
        <f>Games[[#This Row],[PreGmRate]]+Games[[#This Row],[RatingChange]]</f>
        <v>1453.5128612024773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1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41536</v>
      </c>
      <c r="B412" s="2">
        <v>2013</v>
      </c>
      <c r="C412" s="2">
        <f>COUNTIFS(Games[Team],Games[[#This Row],[Team]],Games[Season],Games[[#This Row],[Season]],Games[Date],"&lt;=" &amp; Games[[#This Row],[Date]])</f>
        <v>35</v>
      </c>
      <c r="D412" s="2" t="s">
        <v>87</v>
      </c>
      <c r="E412" s="2">
        <v>1</v>
      </c>
      <c r="F412" s="1" t="s">
        <v>40</v>
      </c>
      <c r="G412" s="1" t="s">
        <v>63</v>
      </c>
      <c r="H412" s="1" t="s">
        <v>85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1503.7258205882915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1646.3057044953475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0.21344244885247424</v>
      </c>
      <c r="R412" s="1">
        <v>86</v>
      </c>
      <c r="S412" s="1">
        <v>75</v>
      </c>
      <c r="T412" s="1">
        <v>0</v>
      </c>
      <c r="U412" s="1">
        <f>Games[[#This Row],[PointsFor]]-Games[[#This Row],[PointsAgainst]]</f>
        <v>11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0.39312607810955136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2" s="9">
        <f>MAX(kmin, kmax - 0.15 * MIN(Games[[#This Row],[GamesPlayed]], 82))</f>
        <v>70.75</v>
      </c>
      <c r="Z412" s="4">
        <f>Games[[#This Row],[K]]*Games[[#This Row],[POMult]]</f>
        <v>77.825000000000003</v>
      </c>
      <c r="AA412" s="4">
        <f>(Games[[#This Row],[Keff]]*Games[[#This Row],[MOVMult]])*(Games[[#This Row],[Result]]-Games[[#This Row],[ExpectedWin%]])</f>
        <v>24.064757402700451</v>
      </c>
      <c r="AB412" s="4">
        <f>Games[[#This Row],[PreGmRate]]+Games[[#This Row],[RatingChange]]</f>
        <v>1527.790577990992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1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41536</v>
      </c>
      <c r="B413" s="2">
        <v>2013</v>
      </c>
      <c r="C413" s="2">
        <f>COUNTIFS(Games[Team],Games[[#This Row],[Team]],Games[Season],Games[[#This Row],[Season]],Games[Date],"&lt;=" &amp; Games[[#This Row],[Date]])</f>
        <v>35</v>
      </c>
      <c r="D413" s="2" t="s">
        <v>87</v>
      </c>
      <c r="E413" s="2">
        <v>1</v>
      </c>
      <c r="F413" s="1" t="s">
        <v>63</v>
      </c>
      <c r="G413" s="1" t="s">
        <v>40</v>
      </c>
      <c r="H413" s="1" t="s">
        <v>86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1646.3057044953475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1503.7258205882915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0.78655755114752579</v>
      </c>
      <c r="R413" s="1">
        <v>75</v>
      </c>
      <c r="S413" s="1">
        <v>86</v>
      </c>
      <c r="T413" s="1">
        <v>0</v>
      </c>
      <c r="U413" s="1">
        <f>Games[[#This Row],[PointsFor]]-Games[[#This Row],[PointsAgainst]]</f>
        <v>-11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0.39312607810955136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3" s="9">
        <f>MAX(kmin, kmax - 0.15 * MIN(Games[[#This Row],[GamesPlayed]], 82))</f>
        <v>70.75</v>
      </c>
      <c r="Z413" s="4">
        <f>Games[[#This Row],[K]]*Games[[#This Row],[POMult]]</f>
        <v>77.825000000000003</v>
      </c>
      <c r="AA413" s="4">
        <f>(Games[[#This Row],[Keff]]*Games[[#This Row],[MOVMult]])*(Games[[#This Row],[Result]]-Games[[#This Row],[ExpectedWin%]])</f>
        <v>-24.064757402700451</v>
      </c>
      <c r="AB413" s="4">
        <f>Games[[#This Row],[PreGmRate]]+Games[[#This Row],[RatingChange]]</f>
        <v>1622.240947092647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1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41537</v>
      </c>
      <c r="B414" s="2">
        <v>2013</v>
      </c>
      <c r="C414" s="2">
        <f>COUNTIFS(Games[Team],Games[[#This Row],[Team]],Games[Season],Games[[#This Row],[Season]],Games[Date],"&lt;=" &amp; Games[[#This Row],[Date]])</f>
        <v>35</v>
      </c>
      <c r="D414" s="2" t="s">
        <v>87</v>
      </c>
      <c r="E414" s="2">
        <v>1</v>
      </c>
      <c r="F414" s="1" t="s">
        <v>69</v>
      </c>
      <c r="G414" s="1" t="s">
        <v>77</v>
      </c>
      <c r="H414" s="1" t="s">
        <v>85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4" s="2">
        <f>Games[[#This Row],[DaysOff]]-Games[[#This Row],[OppDaysOff]]</f>
        <v>-1</v>
      </c>
      <c r="L414" s="2">
        <f>Games[[#This Row],[OppDaysOff]]-Games[[#This Row],[DaysOff]]</f>
        <v>1</v>
      </c>
      <c r="M414" s="1">
        <f>MAX(-16, MIN(16, Games[[#This Row],[RestDiff]]*8))</f>
        <v>-8</v>
      </c>
      <c r="N414" s="1">
        <f>MAX(-16, MIN(16, Games[[#This Row],[OppRestDiff]]*8))</f>
        <v>8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1530.6170174009671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1622.5515446705544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0.24882964585784612</v>
      </c>
      <c r="R414" s="1">
        <v>85</v>
      </c>
      <c r="S414" s="1">
        <v>72</v>
      </c>
      <c r="T414" s="1">
        <v>0</v>
      </c>
      <c r="U414" s="1">
        <f>Games[[#This Row],[PointsFor]]-Games[[#This Row],[PointsAgainst]]</f>
        <v>13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0.43845295161674996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70.75</v>
      </c>
      <c r="Z414" s="4">
        <f>Games[[#This Row],[K]]*Games[[#This Row],[POMult]]</f>
        <v>77.825000000000003</v>
      </c>
      <c r="AA414" s="4">
        <f>(Games[[#This Row],[Keff]]*Games[[#This Row],[MOVMult]])*(Games[[#This Row],[Result]]-Games[[#This Row],[ExpectedWin%]])</f>
        <v>25.631886247054279</v>
      </c>
      <c r="AB414" s="4">
        <f>Games[[#This Row],[PreGmRate]]+Games[[#This Row],[RatingChange]]</f>
        <v>1556.2489036480215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41537</v>
      </c>
      <c r="B415" s="2">
        <v>2013</v>
      </c>
      <c r="C415" s="2">
        <f>COUNTIFS(Games[Team],Games[[#This Row],[Team]],Games[Season],Games[[#This Row],[Season]],Games[Date],"&lt;=" &amp; Games[[#This Row],[Date]])</f>
        <v>35</v>
      </c>
      <c r="D415" s="2" t="s">
        <v>87</v>
      </c>
      <c r="E415" s="2">
        <v>1</v>
      </c>
      <c r="F415" s="1" t="s">
        <v>77</v>
      </c>
      <c r="G415" s="1" t="s">
        <v>69</v>
      </c>
      <c r="H415" s="1" t="s">
        <v>86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5" s="2">
        <f>Games[[#This Row],[DaysOff]]-Games[[#This Row],[OppDaysOff]]</f>
        <v>1</v>
      </c>
      <c r="L415" s="2">
        <f>Games[[#This Row],[OppDaysOff]]-Games[[#This Row],[DaysOff]]</f>
        <v>-1</v>
      </c>
      <c r="M415" s="1">
        <f>MAX(-16, MIN(16, Games[[#This Row],[RestDiff]]*8))</f>
        <v>8</v>
      </c>
      <c r="N415" s="1">
        <f>MAX(-16, MIN(16, Games[[#This Row],[OppRestDiff]]*8))</f>
        <v>-8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1622.5515446705544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1530.6170174009671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0.75117035414215383</v>
      </c>
      <c r="R415" s="1">
        <v>72</v>
      </c>
      <c r="S415" s="1">
        <v>85</v>
      </c>
      <c r="T415" s="1">
        <v>0</v>
      </c>
      <c r="U415" s="1">
        <f>Games[[#This Row],[PointsFor]]-Games[[#This Row],[PointsAgainst]]</f>
        <v>-13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0.43845295161674996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-25.631886247054275</v>
      </c>
      <c r="AB415" s="4">
        <f>Games[[#This Row],[PreGmRate]]+Games[[#This Row],[RatingChange]]</f>
        <v>1596.9196584235001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41537</v>
      </c>
      <c r="B416" s="2">
        <v>2013</v>
      </c>
      <c r="C416" s="2">
        <f>COUNTIFS(Games[Team],Games[[#This Row],[Team]],Games[Season],Games[[#This Row],[Season]],Games[Date],"&lt;=" &amp; Games[[#This Row],[Date]])</f>
        <v>35</v>
      </c>
      <c r="D416" s="2" t="s">
        <v>87</v>
      </c>
      <c r="E416" s="2">
        <v>1</v>
      </c>
      <c r="F416" s="1" t="s">
        <v>71</v>
      </c>
      <c r="G416" s="1" t="s">
        <v>67</v>
      </c>
      <c r="H416" s="1" t="s">
        <v>85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1503.9156244186529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1696.6763391642335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0.16893938671815106</v>
      </c>
      <c r="R416" s="1">
        <v>64</v>
      </c>
      <c r="S416" s="1">
        <v>80</v>
      </c>
      <c r="T416" s="1">
        <v>0</v>
      </c>
      <c r="U416" s="1">
        <f>Games[[#This Row],[PointsFor]]-Games[[#This Row],[PointsAgainst]]</f>
        <v>-16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0.4461234669801673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70.75</v>
      </c>
      <c r="Z416" s="4">
        <f>Games[[#This Row],[K]]*Games[[#This Row],[POMult]]</f>
        <v>77.825000000000003</v>
      </c>
      <c r="AA416" s="4">
        <f>(Games[[#This Row],[Keff]]*Games[[#This Row],[MOVMult]])*(Games[[#This Row],[Result]]-Games[[#This Row],[ExpectedWin%]])</f>
        <v>-5.8655009737923374</v>
      </c>
      <c r="AB416" s="4">
        <f>Games[[#This Row],[PreGmRate]]+Games[[#This Row],[RatingChange]]</f>
        <v>1498.0501234448604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41537</v>
      </c>
      <c r="B417" s="2">
        <v>2013</v>
      </c>
      <c r="C417" s="2">
        <f>COUNTIFS(Games[Team],Games[[#This Row],[Team]],Games[Season],Games[[#This Row],[Season]],Games[Date],"&lt;=" &amp; Games[[#This Row],[Date]])</f>
        <v>35</v>
      </c>
      <c r="D417" s="2" t="s">
        <v>87</v>
      </c>
      <c r="E417" s="2">
        <v>1</v>
      </c>
      <c r="F417" s="1" t="s">
        <v>67</v>
      </c>
      <c r="G417" s="1" t="s">
        <v>71</v>
      </c>
      <c r="H417" s="1" t="s">
        <v>86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1696.6763391642335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1503.9156244186529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0.83106061328184899</v>
      </c>
      <c r="R417" s="1">
        <v>80</v>
      </c>
      <c r="S417" s="1">
        <v>64</v>
      </c>
      <c r="T417" s="1">
        <v>0</v>
      </c>
      <c r="U417" s="1">
        <f>Games[[#This Row],[PointsFor]]-Games[[#This Row],[PointsAgainst]]</f>
        <v>16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0.4461234669801673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5.8655009737923356</v>
      </c>
      <c r="AB417" s="4">
        <f>Games[[#This Row],[PreGmRate]]+Games[[#This Row],[RatingChange]]</f>
        <v>1702.5418401380257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41538</v>
      </c>
      <c r="B418" s="2">
        <v>2013</v>
      </c>
      <c r="C418" s="2">
        <f>COUNTIFS(Games[Team],Games[[#This Row],[Team]],Games[Season],Games[[#This Row],[Season]],Games[Date],"&lt;=" &amp; Games[[#This Row],[Date]])</f>
        <v>36</v>
      </c>
      <c r="D418" s="2" t="s">
        <v>87</v>
      </c>
      <c r="E418" s="2">
        <v>1</v>
      </c>
      <c r="F418" s="1" t="s">
        <v>63</v>
      </c>
      <c r="G418" s="1" t="s">
        <v>40</v>
      </c>
      <c r="H418" s="1" t="s">
        <v>85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1622.240947092647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1527.790577990992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0.51503475625555983</v>
      </c>
      <c r="R418" s="1">
        <v>82</v>
      </c>
      <c r="S418" s="1">
        <v>73</v>
      </c>
      <c r="T418" s="1">
        <v>0</v>
      </c>
      <c r="U418" s="1">
        <f>Games[[#This Row],[PointsFor]]-Games[[#This Row],[PointsAgainst]]</f>
        <v>9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0.37634956442152601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8" s="9">
        <f>MAX(kmin, kmax - 0.15 * MIN(Games[[#This Row],[GamesPlayed]], 82))</f>
        <v>70.599999999999994</v>
      </c>
      <c r="Z418" s="4">
        <f>Games[[#This Row],[K]]*Games[[#This Row],[POMult]]</f>
        <v>77.66</v>
      </c>
      <c r="AA418" s="4">
        <f>(Games[[#This Row],[Keff]]*Games[[#This Row],[MOVMult]])*(Games[[#This Row],[Result]]-Games[[#This Row],[ExpectedWin%]])</f>
        <v>14.174228147135789</v>
      </c>
      <c r="AB418" s="4">
        <f>Games[[#This Row],[PreGmRate]]+Games[[#This Row],[RatingChange]]</f>
        <v>1636.4151752397829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1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41538</v>
      </c>
      <c r="B419" s="2">
        <v>2013</v>
      </c>
      <c r="C419" s="2">
        <f>COUNTIFS(Games[Team],Games[[#This Row],[Team]],Games[Season],Games[[#This Row],[Season]],Games[Date],"&lt;=" &amp; Games[[#This Row],[Date]])</f>
        <v>36</v>
      </c>
      <c r="D419" s="2" t="s">
        <v>87</v>
      </c>
      <c r="E419" s="2">
        <v>1</v>
      </c>
      <c r="F419" s="1" t="s">
        <v>40</v>
      </c>
      <c r="G419" s="1" t="s">
        <v>63</v>
      </c>
      <c r="H419" s="1" t="s">
        <v>86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1527.790577990992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1622.240947092647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0.48496524374444006</v>
      </c>
      <c r="R419" s="1">
        <v>73</v>
      </c>
      <c r="S419" s="1">
        <v>82</v>
      </c>
      <c r="T419" s="1">
        <v>0</v>
      </c>
      <c r="U419" s="1">
        <f>Games[[#This Row],[PointsFor]]-Games[[#This Row],[PointsAgainst]]</f>
        <v>-9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0.37634956442152601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9" s="9">
        <f>MAX(kmin, kmax - 0.15 * MIN(Games[[#This Row],[GamesPlayed]], 82))</f>
        <v>70.599999999999994</v>
      </c>
      <c r="Z419" s="4">
        <f>Games[[#This Row],[K]]*Games[[#This Row],[POMult]]</f>
        <v>77.66</v>
      </c>
      <c r="AA419" s="4">
        <f>(Games[[#This Row],[Keff]]*Games[[#This Row],[MOVMult]])*(Games[[#This Row],[Result]]-Games[[#This Row],[ExpectedWin%]])</f>
        <v>-14.174228147135786</v>
      </c>
      <c r="AB419" s="4">
        <f>Games[[#This Row],[PreGmRate]]+Games[[#This Row],[RatingChange]]</f>
        <v>1513.6163498438561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1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41538</v>
      </c>
      <c r="B420" s="2">
        <v>2013</v>
      </c>
      <c r="C420" s="2">
        <f>COUNTIFS(Games[Team],Games[[#This Row],[Team]],Games[Season],Games[[#This Row],[Season]],Games[Date],"&lt;=" &amp; Games[[#This Row],[Date]])</f>
        <v>36</v>
      </c>
      <c r="D420" s="2" t="s">
        <v>87</v>
      </c>
      <c r="E420" s="2">
        <v>1</v>
      </c>
      <c r="F420" s="1" t="s">
        <v>79</v>
      </c>
      <c r="G420" s="1" t="s">
        <v>65</v>
      </c>
      <c r="H420" s="1" t="s">
        <v>85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1453.5128612024773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1485.2034665083481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0.33940011260037573</v>
      </c>
      <c r="R420" s="1">
        <v>63</v>
      </c>
      <c r="S420" s="1">
        <v>45</v>
      </c>
      <c r="T420" s="1">
        <v>0</v>
      </c>
      <c r="U420" s="1">
        <f>Games[[#This Row],[PointsFor]]-Games[[#This Row],[PointsAgainst]]</f>
        <v>18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0.53276424755113594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0" s="9">
        <f>MAX(kmin, kmax - 0.15 * MIN(Games[[#This Row],[GamesPlayed]], 82))</f>
        <v>70.599999999999994</v>
      </c>
      <c r="Z420" s="4">
        <f>Games[[#This Row],[K]]*Games[[#This Row],[POMult]]</f>
        <v>77.66</v>
      </c>
      <c r="AA420" s="4">
        <f>(Games[[#This Row],[Keff]]*Games[[#This Row],[MOVMult]])*(Games[[#This Row],[Result]]-Games[[#This Row],[ExpectedWin%]])</f>
        <v>27.331971190879859</v>
      </c>
      <c r="AB420" s="4">
        <f>Games[[#This Row],[PreGmRate]]+Games[[#This Row],[RatingChange]]</f>
        <v>1480.8448323933571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1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41538</v>
      </c>
      <c r="B421" s="2">
        <v>2013</v>
      </c>
      <c r="C421" s="2">
        <f>COUNTIFS(Games[Team],Games[[#This Row],[Team]],Games[Season],Games[[#This Row],[Season]],Games[Date],"&lt;=" &amp; Games[[#This Row],[Date]])</f>
        <v>36</v>
      </c>
      <c r="D421" s="2" t="s">
        <v>87</v>
      </c>
      <c r="E421" s="2">
        <v>1</v>
      </c>
      <c r="F421" s="1" t="s">
        <v>65</v>
      </c>
      <c r="G421" s="1" t="s">
        <v>79</v>
      </c>
      <c r="H421" s="1" t="s">
        <v>86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1485.2034665083481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1453.5128612024773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0.66059988739962416</v>
      </c>
      <c r="R421" s="1">
        <v>45</v>
      </c>
      <c r="S421" s="1">
        <v>63</v>
      </c>
      <c r="T421" s="1">
        <v>0</v>
      </c>
      <c r="U421" s="1">
        <f>Games[[#This Row],[PointsFor]]-Games[[#This Row],[PointsAgainst]]</f>
        <v>-18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0.53276424755113594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1" s="9">
        <f>MAX(kmin, kmax - 0.15 * MIN(Games[[#This Row],[GamesPlayed]], 82))</f>
        <v>70.599999999999994</v>
      </c>
      <c r="Z421" s="4">
        <f>Games[[#This Row],[K]]*Games[[#This Row],[POMult]]</f>
        <v>77.66</v>
      </c>
      <c r="AA421" s="4">
        <f>(Games[[#This Row],[Keff]]*Games[[#This Row],[MOVMult]])*(Games[[#This Row],[Result]]-Games[[#This Row],[ExpectedWin%]])</f>
        <v>-27.331971190879855</v>
      </c>
      <c r="AB421" s="4">
        <f>Games[[#This Row],[PreGmRate]]+Games[[#This Row],[RatingChange]]</f>
        <v>1457.8714953174683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1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41539</v>
      </c>
      <c r="B422" s="2">
        <v>2013</v>
      </c>
      <c r="C422" s="2">
        <f>COUNTIFS(Games[Team],Games[[#This Row],[Team]],Games[Season],Games[[#This Row],[Season]],Games[Date],"&lt;=" &amp; Games[[#This Row],[Date]])</f>
        <v>36</v>
      </c>
      <c r="D422" s="2" t="s">
        <v>87</v>
      </c>
      <c r="E422" s="2">
        <v>1</v>
      </c>
      <c r="F422" s="1" t="s">
        <v>77</v>
      </c>
      <c r="G422" s="1" t="s">
        <v>69</v>
      </c>
      <c r="H422" s="1" t="s">
        <v>85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1596.9196584235001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1556.2489036480215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0.43796547794415491</v>
      </c>
      <c r="R422" s="1">
        <v>57</v>
      </c>
      <c r="S422" s="1">
        <v>79</v>
      </c>
      <c r="T422" s="1">
        <v>0</v>
      </c>
      <c r="U422" s="1">
        <f>Games[[#This Row],[PointsFor]]-Games[[#This Row],[PointsAgainst]]</f>
        <v>-22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0.58232000940084294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2" s="9">
        <f>MAX(kmin, kmax - 0.15 * MIN(Games[[#This Row],[GamesPlayed]], 82))</f>
        <v>70.599999999999994</v>
      </c>
      <c r="Z422" s="4">
        <f>Games[[#This Row],[K]]*Games[[#This Row],[POMult]]</f>
        <v>77.66</v>
      </c>
      <c r="AA422" s="4">
        <f>(Games[[#This Row],[Keff]]*Games[[#This Row],[MOVMult]])*(Games[[#This Row],[Result]]-Games[[#This Row],[ExpectedWin%]])</f>
        <v>-19.806100515407973</v>
      </c>
      <c r="AB422" s="4">
        <f>Games[[#This Row],[PreGmRate]]+Games[[#This Row],[RatingChange]]</f>
        <v>1577.1135579080922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1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41539</v>
      </c>
      <c r="B423" s="2">
        <v>2013</v>
      </c>
      <c r="C423" s="2">
        <f>COUNTIFS(Games[Team],Games[[#This Row],[Team]],Games[Season],Games[[#This Row],[Season]],Games[Date],"&lt;=" &amp; Games[[#This Row],[Date]])</f>
        <v>36</v>
      </c>
      <c r="D423" s="2" t="s">
        <v>87</v>
      </c>
      <c r="E423" s="2">
        <v>1</v>
      </c>
      <c r="F423" s="1" t="s">
        <v>69</v>
      </c>
      <c r="G423" s="1" t="s">
        <v>77</v>
      </c>
      <c r="H423" s="1" t="s">
        <v>86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1556.2489036480215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1596.9196584235001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0.56203452205584514</v>
      </c>
      <c r="R423" s="1">
        <v>79</v>
      </c>
      <c r="S423" s="1">
        <v>57</v>
      </c>
      <c r="T423" s="1">
        <v>0</v>
      </c>
      <c r="U423" s="1">
        <f>Games[[#This Row],[PointsFor]]-Games[[#This Row],[PointsAgainst]]</f>
        <v>22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0.58232000940084294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3" s="9">
        <f>MAX(kmin, kmax - 0.15 * MIN(Games[[#This Row],[GamesPlayed]], 82))</f>
        <v>70.599999999999994</v>
      </c>
      <c r="Z423" s="4">
        <f>Games[[#This Row],[K]]*Games[[#This Row],[POMult]]</f>
        <v>77.66</v>
      </c>
      <c r="AA423" s="4">
        <f>(Games[[#This Row],[Keff]]*Games[[#This Row],[MOVMult]])*(Games[[#This Row],[Result]]-Games[[#This Row],[ExpectedWin%]])</f>
        <v>19.806100515407973</v>
      </c>
      <c r="AB423" s="4">
        <f>Games[[#This Row],[PreGmRate]]+Games[[#This Row],[RatingChange]]</f>
        <v>1576.0550041634294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1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41539</v>
      </c>
      <c r="B424" s="2">
        <v>2013</v>
      </c>
      <c r="C424" s="2">
        <f>COUNTIFS(Games[Team],Games[[#This Row],[Team]],Games[Season],Games[[#This Row],[Season]],Games[Date],"&lt;=" &amp; Games[[#This Row],[Date]])</f>
        <v>36</v>
      </c>
      <c r="D424" s="2" t="s">
        <v>87</v>
      </c>
      <c r="E424" s="2">
        <v>1</v>
      </c>
      <c r="F424" s="1" t="s">
        <v>67</v>
      </c>
      <c r="G424" s="1" t="s">
        <v>71</v>
      </c>
      <c r="H424" s="1" t="s">
        <v>85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1702.5418401380257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1498.0501234448604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0.66676863578987411</v>
      </c>
      <c r="R424" s="1">
        <v>58</v>
      </c>
      <c r="S424" s="1">
        <v>55</v>
      </c>
      <c r="T424" s="1">
        <v>0</v>
      </c>
      <c r="U424" s="1">
        <f>Games[[#This Row],[PointsFor]]-Games[[#This Row],[PointsAgainst]]</f>
        <v>3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0.24793327093329109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4" s="9">
        <f>MAX(kmin, kmax - 0.15 * MIN(Games[[#This Row],[GamesPlayed]], 82))</f>
        <v>70.599999999999994</v>
      </c>
      <c r="Z424" s="4">
        <f>Games[[#This Row],[K]]*Games[[#This Row],[POMult]]</f>
        <v>77.66</v>
      </c>
      <c r="AA424" s="4">
        <f>(Games[[#This Row],[Keff]]*Games[[#This Row],[MOVMult]])*(Games[[#This Row],[Result]]-Games[[#This Row],[ExpectedWin%]])</f>
        <v>6.4162025759658876</v>
      </c>
      <c r="AB424" s="4">
        <f>Games[[#This Row],[PreGmRate]]+Games[[#This Row],[RatingChange]]</f>
        <v>1708.9580427139915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1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41539</v>
      </c>
      <c r="B425" s="2">
        <v>2013</v>
      </c>
      <c r="C425" s="2">
        <f>COUNTIFS(Games[Team],Games[[#This Row],[Team]],Games[Season],Games[[#This Row],[Season]],Games[Date],"&lt;=" &amp; Games[[#This Row],[Date]])</f>
        <v>36</v>
      </c>
      <c r="D425" s="2" t="s">
        <v>87</v>
      </c>
      <c r="E425" s="2">
        <v>1</v>
      </c>
      <c r="F425" s="1" t="s">
        <v>71</v>
      </c>
      <c r="G425" s="1" t="s">
        <v>67</v>
      </c>
      <c r="H425" s="1" t="s">
        <v>86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1498.0501234448604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1702.5418401380257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0.33323136421012589</v>
      </c>
      <c r="R425" s="1">
        <v>55</v>
      </c>
      <c r="S425" s="1">
        <v>58</v>
      </c>
      <c r="T425" s="1">
        <v>0</v>
      </c>
      <c r="U425" s="1">
        <f>Games[[#This Row],[PointsFor]]-Games[[#This Row],[PointsAgainst]]</f>
        <v>-3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0.24793327093329109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5" s="9">
        <f>MAX(kmin, kmax - 0.15 * MIN(Games[[#This Row],[GamesPlayed]], 82))</f>
        <v>70.599999999999994</v>
      </c>
      <c r="Z425" s="4">
        <f>Games[[#This Row],[K]]*Games[[#This Row],[POMult]]</f>
        <v>77.66</v>
      </c>
      <c r="AA425" s="4">
        <f>(Games[[#This Row],[Keff]]*Games[[#This Row],[MOVMult]])*(Games[[#This Row],[Result]]-Games[[#This Row],[ExpectedWin%]])</f>
        <v>-6.4162025759658876</v>
      </c>
      <c r="AB425" s="4">
        <f>Games[[#This Row],[PreGmRate]]+Games[[#This Row],[RatingChange]]</f>
        <v>1491.6339208688946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1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41540</v>
      </c>
      <c r="B426" s="2">
        <v>2013</v>
      </c>
      <c r="C426" s="2">
        <f>COUNTIFS(Games[Team],Games[[#This Row],[Team]],Games[Season],Games[[#This Row],[Season]],Games[Date],"&lt;=" &amp; Games[[#This Row],[Date]])</f>
        <v>37</v>
      </c>
      <c r="D426" s="2" t="s">
        <v>87</v>
      </c>
      <c r="E426" s="2">
        <v>1</v>
      </c>
      <c r="F426" s="1" t="s">
        <v>65</v>
      </c>
      <c r="G426" s="1" t="s">
        <v>79</v>
      </c>
      <c r="H426" s="1" t="s">
        <v>85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1457.8714953174683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1480.8448323933571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0.35074000371722103</v>
      </c>
      <c r="R426" s="1">
        <v>72</v>
      </c>
      <c r="S426" s="1">
        <v>80</v>
      </c>
      <c r="T426" s="1">
        <v>0</v>
      </c>
      <c r="U426" s="1">
        <f>Games[[#This Row],[PointsFor]]-Games[[#This Row],[PointsAgainst]]</f>
        <v>-8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0.38102109659868355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6" s="9">
        <f>MAX(kmin, kmax - 0.15 * MIN(Games[[#This Row],[GamesPlayed]], 82))</f>
        <v>70.45</v>
      </c>
      <c r="Z426" s="4">
        <f>Games[[#This Row],[K]]*Games[[#This Row],[POMult]]</f>
        <v>77.495000000000005</v>
      </c>
      <c r="AA426" s="4">
        <f>(Games[[#This Row],[Keff]]*Games[[#This Row],[MOVMult]])*(Games[[#This Row],[Result]]-Games[[#This Row],[ExpectedWin%]])</f>
        <v>-10.356380718191362</v>
      </c>
      <c r="AB426" s="4">
        <f>Games[[#This Row],[PreGmRate]]+Games[[#This Row],[RatingChange]]</f>
        <v>1447.515114599277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1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41540</v>
      </c>
      <c r="B427" s="2">
        <v>2013</v>
      </c>
      <c r="C427" s="2">
        <f>COUNTIFS(Games[Team],Games[[#This Row],[Team]],Games[Season],Games[[#This Row],[Season]],Games[Date],"&lt;=" &amp; Games[[#This Row],[Date]])</f>
        <v>37</v>
      </c>
      <c r="D427" s="2" t="s">
        <v>87</v>
      </c>
      <c r="E427" s="2">
        <v>1</v>
      </c>
      <c r="F427" s="1" t="s">
        <v>79</v>
      </c>
      <c r="G427" s="1" t="s">
        <v>65</v>
      </c>
      <c r="H427" s="1" t="s">
        <v>86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1480.8448323933571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1457.8714953174683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0.64925999628277897</v>
      </c>
      <c r="R427" s="1">
        <v>80</v>
      </c>
      <c r="S427" s="1">
        <v>72</v>
      </c>
      <c r="T427" s="1">
        <v>0</v>
      </c>
      <c r="U427" s="1">
        <f>Games[[#This Row],[PointsFor]]-Games[[#This Row],[PointsAgainst]]</f>
        <v>8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0.38102109659868355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7" s="9">
        <f>MAX(kmin, kmax - 0.15 * MIN(Games[[#This Row],[GamesPlayed]], 82))</f>
        <v>70.45</v>
      </c>
      <c r="Z427" s="4">
        <f>Games[[#This Row],[K]]*Games[[#This Row],[POMult]]</f>
        <v>77.495000000000005</v>
      </c>
      <c r="AA427" s="4">
        <f>(Games[[#This Row],[Keff]]*Games[[#This Row],[MOVMult]])*(Games[[#This Row],[Result]]-Games[[#This Row],[ExpectedWin%]])</f>
        <v>10.356380718191362</v>
      </c>
      <c r="AB427" s="4">
        <f>Games[[#This Row],[PreGmRate]]+Games[[#This Row],[RatingChange]]</f>
        <v>1491.2012131115484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1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41540</v>
      </c>
      <c r="B428" s="2">
        <v>2013</v>
      </c>
      <c r="C428" s="2">
        <f>COUNTIFS(Games[Team],Games[[#This Row],[Team]],Games[Season],Games[[#This Row],[Season]],Games[Date],"&lt;=" &amp; Games[[#This Row],[Date]])</f>
        <v>37</v>
      </c>
      <c r="D428" s="2" t="s">
        <v>87</v>
      </c>
      <c r="E428" s="2">
        <v>1</v>
      </c>
      <c r="F428" s="1" t="s">
        <v>40</v>
      </c>
      <c r="G428" s="1" t="s">
        <v>63</v>
      </c>
      <c r="H428" s="1" t="s">
        <v>85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1513.6163498438561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1636.4151752397829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0.23318208744215915</v>
      </c>
      <c r="R428" s="1">
        <v>78</v>
      </c>
      <c r="S428" s="1">
        <v>77</v>
      </c>
      <c r="T428" s="1">
        <v>0</v>
      </c>
      <c r="U428" s="1">
        <f>Games[[#This Row],[PointsFor]]-Games[[#This Row],[PointsAgainst]]</f>
        <v>1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0.22151184256657444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8" s="9">
        <f>MAX(kmin, kmax - 0.15 * MIN(Games[[#This Row],[GamesPlayed]], 82))</f>
        <v>70.45</v>
      </c>
      <c r="Z428" s="4">
        <f>Games[[#This Row],[K]]*Games[[#This Row],[POMult]]</f>
        <v>77.495000000000005</v>
      </c>
      <c r="AA428" s="4">
        <f>(Games[[#This Row],[Keff]]*Games[[#This Row],[MOVMult]])*(Games[[#This Row],[Result]]-Games[[#This Row],[ExpectedWin%]])</f>
        <v>13.163242479846362</v>
      </c>
      <c r="AB428" s="4">
        <f>Games[[#This Row],[PreGmRate]]+Games[[#This Row],[RatingChange]]</f>
        <v>1526.7795923237024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1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41540</v>
      </c>
      <c r="B429" s="2">
        <v>2013</v>
      </c>
      <c r="C429" s="2">
        <f>COUNTIFS(Games[Team],Games[[#This Row],[Team]],Games[Season],Games[[#This Row],[Season]],Games[Date],"&lt;=" &amp; Games[[#This Row],[Date]])</f>
        <v>37</v>
      </c>
      <c r="D429" s="2" t="s">
        <v>87</v>
      </c>
      <c r="E429" s="2">
        <v>1</v>
      </c>
      <c r="F429" s="1" t="s">
        <v>63</v>
      </c>
      <c r="G429" s="1" t="s">
        <v>40</v>
      </c>
      <c r="H429" s="1" t="s">
        <v>86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1636.4151752397829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1513.6163498438561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0.76681791255784093</v>
      </c>
      <c r="R429" s="1">
        <v>77</v>
      </c>
      <c r="S429" s="1">
        <v>78</v>
      </c>
      <c r="T429" s="1">
        <v>0</v>
      </c>
      <c r="U429" s="1">
        <f>Games[[#This Row],[PointsFor]]-Games[[#This Row],[PointsAgainst]]</f>
        <v>-1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0.22151184256657444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9" s="9">
        <f>MAX(kmin, kmax - 0.15 * MIN(Games[[#This Row],[GamesPlayed]], 82))</f>
        <v>70.45</v>
      </c>
      <c r="Z429" s="4">
        <f>Games[[#This Row],[K]]*Games[[#This Row],[POMult]]</f>
        <v>77.495000000000005</v>
      </c>
      <c r="AA429" s="4">
        <f>(Games[[#This Row],[Keff]]*Games[[#This Row],[MOVMult]])*(Games[[#This Row],[Result]]-Games[[#This Row],[ExpectedWin%]])</f>
        <v>-13.163242479846364</v>
      </c>
      <c r="AB429" s="4">
        <f>Games[[#This Row],[PreGmRate]]+Games[[#This Row],[RatingChange]]</f>
        <v>1623.2519327599366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1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41543</v>
      </c>
      <c r="B430" s="2">
        <v>2013</v>
      </c>
      <c r="C430" s="2">
        <f>COUNTIFS(Games[Team],Games[[#This Row],[Team]],Games[Season],Games[[#This Row],[Season]],Games[Date],"&lt;=" &amp; Games[[#This Row],[Date]])</f>
        <v>37</v>
      </c>
      <c r="D430" s="2" t="s">
        <v>87</v>
      </c>
      <c r="E430" s="2">
        <v>2</v>
      </c>
      <c r="F430" s="1" t="s">
        <v>69</v>
      </c>
      <c r="G430" s="1" t="s">
        <v>79</v>
      </c>
      <c r="H430" s="1" t="s">
        <v>85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0" s="2">
        <f>Games[[#This Row],[DaysOff]]-Games[[#This Row],[OppDaysOff]]</f>
        <v>1</v>
      </c>
      <c r="L430" s="2">
        <f>Games[[#This Row],[OppDaysOff]]-Games[[#This Row],[DaysOff]]</f>
        <v>-1</v>
      </c>
      <c r="M430" s="1">
        <f>MAX(-16, MIN(16, Games[[#This Row],[RestDiff]]*8))</f>
        <v>8</v>
      </c>
      <c r="N430" s="1">
        <f>MAX(-16, MIN(16, Games[[#This Row],[OppRestDiff]]*8))</f>
        <v>-8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1576.0550041634294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1491.2012131115484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0.52423554817547369</v>
      </c>
      <c r="R430" s="1">
        <v>79</v>
      </c>
      <c r="S430" s="1">
        <v>84</v>
      </c>
      <c r="T430" s="1">
        <v>0</v>
      </c>
      <c r="U430" s="1">
        <f>Games[[#This Row],[PointsFor]]-Games[[#This Row],[PointsAgainst]]</f>
        <v>-5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0.30984628237550349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0" s="9">
        <f>MAX(kmin, kmax - 0.15 * MIN(Games[[#This Row],[GamesPlayed]], 82))</f>
        <v>70.45</v>
      </c>
      <c r="Z430" s="4">
        <f>Games[[#This Row],[K]]*Games[[#This Row],[POMult]]</f>
        <v>84.54</v>
      </c>
      <c r="AA430" s="4">
        <f>(Games[[#This Row],[Keff]]*Games[[#This Row],[MOVMult]])*(Games[[#This Row],[Result]]-Games[[#This Row],[ExpectedWin%]])</f>
        <v>-13.732038113338673</v>
      </c>
      <c r="AB430" s="4">
        <f>Games[[#This Row],[PreGmRate]]+Games[[#This Row],[RatingChange]]</f>
        <v>1562.3229660500908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1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41543</v>
      </c>
      <c r="B431" s="2">
        <v>2013</v>
      </c>
      <c r="C431" s="2">
        <f>COUNTIFS(Games[Team],Games[[#This Row],[Team]],Games[Season],Games[[#This Row],[Season]],Games[Date],"&lt;=" &amp; Games[[#This Row],[Date]])</f>
        <v>38</v>
      </c>
      <c r="D431" s="2" t="s">
        <v>87</v>
      </c>
      <c r="E431" s="2">
        <v>2</v>
      </c>
      <c r="F431" s="1" t="s">
        <v>79</v>
      </c>
      <c r="G431" s="1" t="s">
        <v>69</v>
      </c>
      <c r="H431" s="1" t="s">
        <v>86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1" s="2">
        <f>Games[[#This Row],[DaysOff]]-Games[[#This Row],[OppDaysOff]]</f>
        <v>-1</v>
      </c>
      <c r="L431" s="2">
        <f>Games[[#This Row],[OppDaysOff]]-Games[[#This Row],[DaysOff]]</f>
        <v>1</v>
      </c>
      <c r="M431" s="1">
        <f>MAX(-16, MIN(16, Games[[#This Row],[RestDiff]]*8))</f>
        <v>-8</v>
      </c>
      <c r="N431" s="1">
        <f>MAX(-16, MIN(16, Games[[#This Row],[OppRestDiff]]*8))</f>
        <v>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1491.2012131115484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1576.0550041634294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0.4757644518245262</v>
      </c>
      <c r="R431" s="1">
        <v>84</v>
      </c>
      <c r="S431" s="1">
        <v>79</v>
      </c>
      <c r="T431" s="1">
        <v>0</v>
      </c>
      <c r="U431" s="1">
        <f>Games[[#This Row],[PointsFor]]-Games[[#This Row],[PointsAgainst]]</f>
        <v>5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0.30984628237550349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1" s="9">
        <f>MAX(kmin, kmax - 0.15 * MIN(Games[[#This Row],[GamesPlayed]], 82))</f>
        <v>70.3</v>
      </c>
      <c r="Z431" s="4">
        <f>Games[[#This Row],[K]]*Games[[#This Row],[POMult]]</f>
        <v>84.36</v>
      </c>
      <c r="AA431" s="4">
        <f>(Games[[#This Row],[Keff]]*Games[[#This Row],[MOVMult]])*(Games[[#This Row],[Result]]-Games[[#This Row],[ExpectedWin%]])</f>
        <v>13.702800274914248</v>
      </c>
      <c r="AB431" s="4">
        <f>Games[[#This Row],[PreGmRate]]+Games[[#This Row],[RatingChange]]</f>
        <v>1504.9040133864628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1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41543</v>
      </c>
      <c r="B432" s="2">
        <v>2013</v>
      </c>
      <c r="C432" s="2">
        <f>COUNTIFS(Games[Team],Games[[#This Row],[Team]],Games[Season],Games[[#This Row],[Season]],Games[Date],"&lt;=" &amp; Games[[#This Row],[Date]])</f>
        <v>38</v>
      </c>
      <c r="D432" s="2" t="s">
        <v>87</v>
      </c>
      <c r="E432" s="2">
        <v>2</v>
      </c>
      <c r="F432" s="1" t="s">
        <v>40</v>
      </c>
      <c r="G432" s="1" t="s">
        <v>67</v>
      </c>
      <c r="H432" s="1" t="s">
        <v>85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2" s="2">
        <f>Games[[#This Row],[DaysOff]]-Games[[#This Row],[OppDaysOff]]</f>
        <v>-1</v>
      </c>
      <c r="L432" s="2">
        <f>Games[[#This Row],[OppDaysOff]]-Games[[#This Row],[DaysOff]]</f>
        <v>1</v>
      </c>
      <c r="M432" s="1">
        <f>MAX(-16, MIN(16, Games[[#This Row],[RestDiff]]*8))</f>
        <v>-8</v>
      </c>
      <c r="N432" s="1">
        <f>MAX(-16, MIN(16, Games[[#This Row],[OppRestDiff]]*8))</f>
        <v>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1526.7795923237024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1708.9580427139915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0.16460586203313229</v>
      </c>
      <c r="R432" s="1">
        <v>62</v>
      </c>
      <c r="S432" s="1">
        <v>85</v>
      </c>
      <c r="T432" s="1">
        <v>0</v>
      </c>
      <c r="U432" s="1">
        <f>Games[[#This Row],[PointsFor]]-Games[[#This Row],[PointsAgainst]]</f>
        <v>-23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0.53423298769114569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2" s="9">
        <f>MAX(kmin, kmax - 0.15 * MIN(Games[[#This Row],[GamesPlayed]], 82))</f>
        <v>70.3</v>
      </c>
      <c r="Z432" s="4">
        <f>Games[[#This Row],[K]]*Games[[#This Row],[POMult]]</f>
        <v>84.36</v>
      </c>
      <c r="AA432" s="4">
        <f>(Games[[#This Row],[Keff]]*Games[[#This Row],[MOVMult]])*(Games[[#This Row],[Result]]-Games[[#This Row],[ExpectedWin%]])</f>
        <v>-7.418439680424247</v>
      </c>
      <c r="AB432" s="4">
        <f>Games[[#This Row],[PreGmRate]]+Games[[#This Row],[RatingChange]]</f>
        <v>1519.3611526432783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1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41543</v>
      </c>
      <c r="B433" s="2">
        <v>2013</v>
      </c>
      <c r="C433" s="2">
        <f>COUNTIFS(Games[Team],Games[[#This Row],[Team]],Games[Season],Games[[#This Row],[Season]],Games[Date],"&lt;=" &amp; Games[[#This Row],[Date]])</f>
        <v>37</v>
      </c>
      <c r="D433" s="2" t="s">
        <v>87</v>
      </c>
      <c r="E433" s="2">
        <v>2</v>
      </c>
      <c r="F433" s="1" t="s">
        <v>67</v>
      </c>
      <c r="G433" s="1" t="s">
        <v>40</v>
      </c>
      <c r="H433" s="1" t="s">
        <v>86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3" s="2">
        <f>Games[[#This Row],[DaysOff]]-Games[[#This Row],[OppDaysOff]]</f>
        <v>1</v>
      </c>
      <c r="L433" s="2">
        <f>Games[[#This Row],[OppDaysOff]]-Games[[#This Row],[DaysOff]]</f>
        <v>-1</v>
      </c>
      <c r="M433" s="1">
        <f>MAX(-16, MIN(16, Games[[#This Row],[RestDiff]]*8))</f>
        <v>8</v>
      </c>
      <c r="N433" s="1">
        <f>MAX(-16, MIN(16, Games[[#This Row],[OppRestDiff]]*8))</f>
        <v>-8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1708.9580427139915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1526.7795923237024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0.83539413796686768</v>
      </c>
      <c r="R433" s="1">
        <v>85</v>
      </c>
      <c r="S433" s="1">
        <v>62</v>
      </c>
      <c r="T433" s="1">
        <v>0</v>
      </c>
      <c r="U433" s="1">
        <f>Games[[#This Row],[PointsFor]]-Games[[#This Row],[PointsAgainst]]</f>
        <v>23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0.53423298769114569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3" s="9">
        <f>MAX(kmin, kmax - 0.15 * MIN(Games[[#This Row],[GamesPlayed]], 82))</f>
        <v>70.45</v>
      </c>
      <c r="Z433" s="4">
        <f>Games[[#This Row],[K]]*Games[[#This Row],[POMult]]</f>
        <v>84.54</v>
      </c>
      <c r="AA433" s="4">
        <f>(Games[[#This Row],[Keff]]*Games[[#This Row],[MOVMult]])*(Games[[#This Row],[Result]]-Games[[#This Row],[ExpectedWin%]])</f>
        <v>7.4342684990880272</v>
      </c>
      <c r="AB433" s="4">
        <f>Games[[#This Row],[PreGmRate]]+Games[[#This Row],[RatingChange]]</f>
        <v>1716.3923112130794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1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41546</v>
      </c>
      <c r="B434" s="2">
        <v>2013</v>
      </c>
      <c r="C434" s="2">
        <f>COUNTIFS(Games[Team],Games[[#This Row],[Team]],Games[Season],Games[[#This Row],[Season]],Games[Date],"&lt;=" &amp; Games[[#This Row],[Date]])</f>
        <v>39</v>
      </c>
      <c r="D434" s="2" t="s">
        <v>87</v>
      </c>
      <c r="E434" s="2">
        <v>2</v>
      </c>
      <c r="F434" s="1" t="s">
        <v>79</v>
      </c>
      <c r="G434" s="1" t="s">
        <v>69</v>
      </c>
      <c r="H434" s="1" t="s">
        <v>85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1504.9040133864628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1562.3229660500908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0.30702325862734614</v>
      </c>
      <c r="R434" s="1">
        <v>67</v>
      </c>
      <c r="S434" s="1">
        <v>53</v>
      </c>
      <c r="T434" s="1">
        <v>0</v>
      </c>
      <c r="U434" s="1">
        <f>Games[[#This Row],[PointsFor]]-Games[[#This Row],[PointsAgainst]]</f>
        <v>14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0.46534189977129248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4" s="9">
        <f>MAX(kmin, kmax - 0.15 * MIN(Games[[#This Row],[GamesPlayed]], 82))</f>
        <v>70.150000000000006</v>
      </c>
      <c r="Z434" s="4">
        <f>Games[[#This Row],[K]]*Games[[#This Row],[POMult]]</f>
        <v>84.18</v>
      </c>
      <c r="AA434" s="4">
        <f>(Games[[#This Row],[Keff]]*Games[[#This Row],[MOVMult]])*(Games[[#This Row],[Result]]-Games[[#This Row],[ExpectedWin%]])</f>
        <v>27.145618319923294</v>
      </c>
      <c r="AB434" s="4">
        <f>Games[[#This Row],[PreGmRate]]+Games[[#This Row],[RatingChange]]</f>
        <v>1532.049631706386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1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41546</v>
      </c>
      <c r="B435" s="2">
        <v>2013</v>
      </c>
      <c r="C435" s="2">
        <f>COUNTIFS(Games[Team],Games[[#This Row],[Team]],Games[Season],Games[[#This Row],[Season]],Games[Date],"&lt;=" &amp; Games[[#This Row],[Date]])</f>
        <v>38</v>
      </c>
      <c r="D435" s="2" t="s">
        <v>87</v>
      </c>
      <c r="E435" s="2">
        <v>2</v>
      </c>
      <c r="F435" s="1" t="s">
        <v>69</v>
      </c>
      <c r="G435" s="1" t="s">
        <v>79</v>
      </c>
      <c r="H435" s="1" t="s">
        <v>86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1562.3229660500908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1504.9040133864628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0.69297674137265386</v>
      </c>
      <c r="R435" s="1">
        <v>53</v>
      </c>
      <c r="S435" s="1">
        <v>67</v>
      </c>
      <c r="T435" s="1">
        <v>0</v>
      </c>
      <c r="U435" s="1">
        <f>Games[[#This Row],[PointsFor]]-Games[[#This Row],[PointsAgainst]]</f>
        <v>-14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0.46534189977129248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5" s="9">
        <f>MAX(kmin, kmax - 0.15 * MIN(Games[[#This Row],[GamesPlayed]], 82))</f>
        <v>70.3</v>
      </c>
      <c r="Z435" s="4">
        <f>Games[[#This Row],[K]]*Games[[#This Row],[POMult]]</f>
        <v>84.36</v>
      </c>
      <c r="AA435" s="4">
        <f>(Games[[#This Row],[Keff]]*Games[[#This Row],[MOVMult]])*(Games[[#This Row],[Result]]-Games[[#This Row],[ExpectedWin%]])</f>
        <v>-27.203663120322272</v>
      </c>
      <c r="AB435" s="4">
        <f>Games[[#This Row],[PreGmRate]]+Games[[#This Row],[RatingChange]]</f>
        <v>1535.1193029297685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1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41546</v>
      </c>
      <c r="B436" s="2">
        <v>2013</v>
      </c>
      <c r="C436" s="2">
        <f>COUNTIFS(Games[Team],Games[[#This Row],[Team]],Games[Season],Games[[#This Row],[Season]],Games[Date],"&lt;=" &amp; Games[[#This Row],[Date]])</f>
        <v>38</v>
      </c>
      <c r="D436" s="2" t="s">
        <v>87</v>
      </c>
      <c r="E436" s="2">
        <v>2</v>
      </c>
      <c r="F436" s="1" t="s">
        <v>67</v>
      </c>
      <c r="G436" s="1" t="s">
        <v>40</v>
      </c>
      <c r="H436" s="1" t="s">
        <v>85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1716.3923112130794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1519.3611526432783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0.65715909832544139</v>
      </c>
      <c r="R436" s="1">
        <v>72</v>
      </c>
      <c r="S436" s="1">
        <v>65</v>
      </c>
      <c r="T436" s="1">
        <v>0</v>
      </c>
      <c r="U436" s="1">
        <f>Games[[#This Row],[PointsFor]]-Games[[#This Row],[PointsAgainst]]</f>
        <v>7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0.31790887716438404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6" s="9">
        <f>MAX(kmin, kmax - 0.15 * MIN(Games[[#This Row],[GamesPlayed]], 82))</f>
        <v>70.3</v>
      </c>
      <c r="Z436" s="4">
        <f>Games[[#This Row],[K]]*Games[[#This Row],[POMult]]</f>
        <v>84.36</v>
      </c>
      <c r="AA436" s="4">
        <f>(Games[[#This Row],[Keff]]*Games[[#This Row],[MOVMult]])*(Games[[#This Row],[Result]]-Games[[#This Row],[ExpectedWin%]])</f>
        <v>9.1945791319753081</v>
      </c>
      <c r="AB436" s="4">
        <f>Games[[#This Row],[PreGmRate]]+Games[[#This Row],[RatingChange]]</f>
        <v>1725.5868903450548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1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41546</v>
      </c>
      <c r="B437" s="2">
        <v>2013</v>
      </c>
      <c r="C437" s="2">
        <f>COUNTIFS(Games[Team],Games[[#This Row],[Team]],Games[Season],Games[[#This Row],[Season]],Games[Date],"&lt;=" &amp; Games[[#This Row],[Date]])</f>
        <v>39</v>
      </c>
      <c r="D437" s="2" t="s">
        <v>87</v>
      </c>
      <c r="E437" s="2">
        <v>2</v>
      </c>
      <c r="F437" s="1" t="s">
        <v>40</v>
      </c>
      <c r="G437" s="1" t="s">
        <v>67</v>
      </c>
      <c r="H437" s="1" t="s">
        <v>86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1519.3611526432783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1716.3923112130794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0.34284090167455861</v>
      </c>
      <c r="R437" s="1">
        <v>65</v>
      </c>
      <c r="S437" s="1">
        <v>72</v>
      </c>
      <c r="T437" s="1">
        <v>0</v>
      </c>
      <c r="U437" s="1">
        <f>Games[[#This Row],[PointsFor]]-Games[[#This Row],[PointsAgainst]]</f>
        <v>-7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0.31790887716438404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7" s="9">
        <f>MAX(kmin, kmax - 0.15 * MIN(Games[[#This Row],[GamesPlayed]], 82))</f>
        <v>70.150000000000006</v>
      </c>
      <c r="Z437" s="4">
        <f>Games[[#This Row],[K]]*Games[[#This Row],[POMult]]</f>
        <v>84.18</v>
      </c>
      <c r="AA437" s="4">
        <f>(Games[[#This Row],[Keff]]*Games[[#This Row],[MOVMult]])*(Games[[#This Row],[Result]]-Games[[#This Row],[ExpectedWin%]])</f>
        <v>-9.1749605420777787</v>
      </c>
      <c r="AB437" s="4">
        <f>Games[[#This Row],[PreGmRate]]+Games[[#This Row],[RatingChange]]</f>
        <v>1510.1861921012005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1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41553</v>
      </c>
      <c r="B438" s="2">
        <v>2013</v>
      </c>
      <c r="C438" s="2">
        <f>COUNTIFS(Games[Team],Games[[#This Row],[Team]],Games[Season],Games[[#This Row],[Season]],Games[Date],"&lt;=" &amp; Games[[#This Row],[Date]])</f>
        <v>40</v>
      </c>
      <c r="D438" s="2" t="s">
        <v>87</v>
      </c>
      <c r="E438" s="2">
        <v>3</v>
      </c>
      <c r="F438" s="1" t="s">
        <v>79</v>
      </c>
      <c r="G438" s="1" t="s">
        <v>67</v>
      </c>
      <c r="H438" s="1" t="s">
        <v>85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1532.049631706386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1725.5868903450548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0.16831271172536116</v>
      </c>
      <c r="R438" s="1">
        <v>59</v>
      </c>
      <c r="S438" s="1">
        <v>84</v>
      </c>
      <c r="T438" s="1">
        <v>0</v>
      </c>
      <c r="U438" s="1">
        <f>Games[[#This Row],[PointsFor]]-Games[[#This Row],[PointsAgainst]]</f>
        <v>-25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0.55227345325839006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8" s="9">
        <f>MAX(kmin, kmax - 0.15 * MIN(Games[[#This Row],[GamesPlayed]], 82))</f>
        <v>70</v>
      </c>
      <c r="Z438" s="4">
        <f>Games[[#This Row],[K]]*Games[[#This Row],[POMult]]</f>
        <v>94.5</v>
      </c>
      <c r="AA438" s="4">
        <f>(Games[[#This Row],[Keff]]*Games[[#This Row],[MOVMult]])*(Games[[#This Row],[Result]]-Games[[#This Row],[ExpectedWin%]])</f>
        <v>-8.7842137192597427</v>
      </c>
      <c r="AB438" s="4">
        <f>Games[[#This Row],[PreGmRate]]+Games[[#This Row],[RatingChange]]</f>
        <v>1523.2654179871263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1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41553</v>
      </c>
      <c r="B439" s="2">
        <v>2013</v>
      </c>
      <c r="C439" s="2">
        <f>COUNTIFS(Games[Team],Games[[#This Row],[Team]],Games[Season],Games[[#This Row],[Season]],Games[Date],"&lt;=" &amp; Games[[#This Row],[Date]])</f>
        <v>39</v>
      </c>
      <c r="D439" s="2" t="s">
        <v>87</v>
      </c>
      <c r="E439" s="2">
        <v>3</v>
      </c>
      <c r="F439" s="1" t="s">
        <v>67</v>
      </c>
      <c r="G439" s="1" t="s">
        <v>79</v>
      </c>
      <c r="H439" s="1" t="s">
        <v>86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1725.5868903450548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1532.049631706386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0.83168728827463889</v>
      </c>
      <c r="R439" s="1">
        <v>84</v>
      </c>
      <c r="S439" s="1">
        <v>59</v>
      </c>
      <c r="T439" s="1">
        <v>0</v>
      </c>
      <c r="U439" s="1">
        <f>Games[[#This Row],[PointsFor]]-Games[[#This Row],[PointsAgainst]]</f>
        <v>25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0.55227345325839006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9" s="9">
        <f>MAX(kmin, kmax - 0.15 * MIN(Games[[#This Row],[GamesPlayed]], 82))</f>
        <v>70.150000000000006</v>
      </c>
      <c r="Z439" s="4">
        <f>Games[[#This Row],[K]]*Games[[#This Row],[POMult]]</f>
        <v>94.702500000000015</v>
      </c>
      <c r="AA439" s="4">
        <f>(Games[[#This Row],[Keff]]*Games[[#This Row],[MOVMult]])*(Games[[#This Row],[Result]]-Games[[#This Row],[ExpectedWin%]])</f>
        <v>8.8030370343724407</v>
      </c>
      <c r="AB439" s="4">
        <f>Games[[#This Row],[PreGmRate]]+Games[[#This Row],[RatingChange]]</f>
        <v>1734.3899273794273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1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41555</v>
      </c>
      <c r="B440" s="2">
        <v>2013</v>
      </c>
      <c r="C440" s="2">
        <f>COUNTIFS(Games[Team],Games[[#This Row],[Team]],Games[Season],Games[[#This Row],[Season]],Games[Date],"&lt;=" &amp; Games[[#This Row],[Date]])</f>
        <v>41</v>
      </c>
      <c r="D440" s="2" t="s">
        <v>87</v>
      </c>
      <c r="E440" s="2">
        <v>3</v>
      </c>
      <c r="F440" s="1" t="s">
        <v>79</v>
      </c>
      <c r="G440" s="1" t="s">
        <v>67</v>
      </c>
      <c r="H440" s="1" t="s">
        <v>85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1523.2654179871263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1734.3899273794273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0.15461248374814035</v>
      </c>
      <c r="R440" s="1">
        <v>63</v>
      </c>
      <c r="S440" s="1">
        <v>88</v>
      </c>
      <c r="T440" s="1">
        <v>0</v>
      </c>
      <c r="U440" s="1">
        <f>Games[[#This Row],[PointsFor]]-Games[[#This Row],[PointsAgainst]]</f>
        <v>-25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0.54539031031644469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0" s="9">
        <f>MAX(kmin, kmax - 0.15 * MIN(Games[[#This Row],[GamesPlayed]], 82))</f>
        <v>69.849999999999994</v>
      </c>
      <c r="Z440" s="4">
        <f>Games[[#This Row],[K]]*Games[[#This Row],[POMult]]</f>
        <v>94.297499999999999</v>
      </c>
      <c r="AA440" s="4">
        <f>(Games[[#This Row],[Keff]]*Games[[#This Row],[MOVMult]])*(Games[[#This Row],[Result]]-Games[[#This Row],[ExpectedWin%]])</f>
        <v>-7.9515565808491182</v>
      </c>
      <c r="AB440" s="4">
        <f>Games[[#This Row],[PreGmRate]]+Games[[#This Row],[RatingChange]]</f>
        <v>1515.3138614062771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1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41555</v>
      </c>
      <c r="B441" s="2">
        <v>2013</v>
      </c>
      <c r="C441" s="2">
        <f>COUNTIFS(Games[Team],Games[[#This Row],[Team]],Games[Season],Games[[#This Row],[Season]],Games[Date],"&lt;=" &amp; Games[[#This Row],[Date]])</f>
        <v>40</v>
      </c>
      <c r="D441" s="2" t="s">
        <v>87</v>
      </c>
      <c r="E441" s="2">
        <v>3</v>
      </c>
      <c r="F441" s="1" t="s">
        <v>67</v>
      </c>
      <c r="G441" s="1" t="s">
        <v>79</v>
      </c>
      <c r="H441" s="1" t="s">
        <v>86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1734.3899273794273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1523.2654179871263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0.84538751625185959</v>
      </c>
      <c r="R441" s="1">
        <v>88</v>
      </c>
      <c r="S441" s="1">
        <v>63</v>
      </c>
      <c r="T441" s="1">
        <v>0</v>
      </c>
      <c r="U441" s="1">
        <f>Games[[#This Row],[PointsFor]]-Games[[#This Row],[PointsAgainst]]</f>
        <v>25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0.54539031031644469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1" s="9">
        <f>MAX(kmin, kmax - 0.15 * MIN(Games[[#This Row],[GamesPlayed]], 82))</f>
        <v>70</v>
      </c>
      <c r="Z441" s="4">
        <f>Games[[#This Row],[K]]*Games[[#This Row],[POMult]]</f>
        <v>94.5</v>
      </c>
      <c r="AA441" s="4">
        <f>(Games[[#This Row],[Keff]]*Games[[#This Row],[MOVMult]])*(Games[[#This Row],[Result]]-Games[[#This Row],[ExpectedWin%]])</f>
        <v>7.9686322213233849</v>
      </c>
      <c r="AB441" s="4">
        <f>Games[[#This Row],[PreGmRate]]+Games[[#This Row],[RatingChange]]</f>
        <v>1742.3585596007506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1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41557</v>
      </c>
      <c r="B442" s="2">
        <v>2013</v>
      </c>
      <c r="C442" s="2">
        <f>COUNTIFS(Games[Team],Games[[#This Row],[Team]],Games[Season],Games[[#This Row],[Season]],Games[Date],"&lt;=" &amp; Games[[#This Row],[Date]])</f>
        <v>41</v>
      </c>
      <c r="D442" s="2" t="s">
        <v>87</v>
      </c>
      <c r="E442" s="2">
        <v>3</v>
      </c>
      <c r="F442" s="1" t="s">
        <v>67</v>
      </c>
      <c r="G442" s="1" t="s">
        <v>79</v>
      </c>
      <c r="H442" s="1" t="s">
        <v>85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">
        <f>MAX(-16, MIN(16, Games[[#This Row],[RestDiff]]*8))</f>
        <v>0</v>
      </c>
      <c r="N442" s="1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1742.3585596007506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1515.3138614062771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0.69496426095907871</v>
      </c>
      <c r="R442" s="1">
        <v>86</v>
      </c>
      <c r="S442" s="1">
        <v>77</v>
      </c>
      <c r="T442" s="1">
        <v>0</v>
      </c>
      <c r="U442" s="1">
        <f>Games[[#This Row],[PointsFor]]-Games[[#This Row],[PointsAgainst]]</f>
        <v>9</v>
      </c>
      <c r="V442" s="1">
        <f>IF(Games[[#This Row],[MOV]]&gt;0,1,IF(Games[[#This Row],[MOV]]=0,0.5,0))</f>
        <v>1</v>
      </c>
      <c r="W442" s="4">
        <f>((ABS(Games[[#This Row],[MOV]])+5)^0.6)/(12+0.01*(ABS(Games[[#This Row],[PreGmRate]]-Games[[#This Row],[OppPreGmRate]])))*IF(Games[[#This Row],[OT]]=1,0.9,1)</f>
        <v>0.34138092043862656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2" s="9">
        <f>MAX(kmin, kmax - 0.15 * MIN(Games[[#This Row],[GamesPlayed]], 82))</f>
        <v>69.849999999999994</v>
      </c>
      <c r="Z442" s="4">
        <f>Games[[#This Row],[K]]*Games[[#This Row],[POMult]]</f>
        <v>94.297499999999999</v>
      </c>
      <c r="AA442" s="4">
        <f>(Games[[#This Row],[Keff]]*Games[[#This Row],[MOVMult]])*(Games[[#This Row],[Result]]-Games[[#This Row],[ExpectedWin%]])</f>
        <v>9.8195175288385812</v>
      </c>
      <c r="AB442" s="4">
        <f>Games[[#This Row],[PreGmRate]]+Games[[#This Row],[RatingChange]]</f>
        <v>1752.1780771295892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1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41557</v>
      </c>
      <c r="B443" s="2">
        <v>2013</v>
      </c>
      <c r="C443" s="2">
        <f>COUNTIFS(Games[Team],Games[[#This Row],[Team]],Games[Season],Games[[#This Row],[Season]],Games[Date],"&lt;=" &amp; Games[[#This Row],[Date]])</f>
        <v>42</v>
      </c>
      <c r="D443" s="2" t="s">
        <v>87</v>
      </c>
      <c r="E443" s="2">
        <v>3</v>
      </c>
      <c r="F443" s="1" t="s">
        <v>79</v>
      </c>
      <c r="G443" s="1" t="s">
        <v>67</v>
      </c>
      <c r="H443" s="1" t="s">
        <v>86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">
        <f>MAX(-16, MIN(16, Games[[#This Row],[RestDiff]]*8))</f>
        <v>0</v>
      </c>
      <c r="N443" s="1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1515.3138614062771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1742.3585596007506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0.30503573904092129</v>
      </c>
      <c r="R443" s="1">
        <v>77</v>
      </c>
      <c r="S443" s="1">
        <v>86</v>
      </c>
      <c r="T443" s="1">
        <v>0</v>
      </c>
      <c r="U443" s="1">
        <f>Games[[#This Row],[PointsFor]]-Games[[#This Row],[PointsAgainst]]</f>
        <v>-9</v>
      </c>
      <c r="V443" s="1">
        <f>IF(Games[[#This Row],[MOV]]&gt;0,1,IF(Games[[#This Row],[MOV]]=0,0.5,0))</f>
        <v>0</v>
      </c>
      <c r="W443" s="4">
        <f>((ABS(Games[[#This Row],[MOV]])+5)^0.6)/(12+0.01*(ABS(Games[[#This Row],[PreGmRate]]-Games[[#This Row],[OppPreGmRate]])))*IF(Games[[#This Row],[OT]]=1,0.9,1)</f>
        <v>0.34138092043862656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3" s="9">
        <f>MAX(kmin, kmax - 0.15 * MIN(Games[[#This Row],[GamesPlayed]], 82))</f>
        <v>69.7</v>
      </c>
      <c r="Z443" s="4">
        <f>Games[[#This Row],[K]]*Games[[#This Row],[POMult]]</f>
        <v>94.095000000000013</v>
      </c>
      <c r="AA443" s="4">
        <f>(Games[[#This Row],[Keff]]*Games[[#This Row],[MOVMult]])*(Games[[#This Row],[Result]]-Games[[#This Row],[ExpectedWin%]])</f>
        <v>-9.7984305191130883</v>
      </c>
      <c r="AB443" s="4">
        <f>Games[[#This Row],[PreGmRate]]+Games[[#This Row],[RatingChange]]</f>
        <v>1505.515430887164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1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2026-07-28T21:41:11Z</dcterms:modified>
</cp:coreProperties>
</file>
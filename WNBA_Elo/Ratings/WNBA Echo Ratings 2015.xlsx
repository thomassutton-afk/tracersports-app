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\WNBA_Elo\Ratings\"/>
    </mc:Choice>
  </mc:AlternateContent>
  <xr:revisionPtr revIDLastSave="0" documentId="13_ncr:1_{1FAEAE2A-CA42-4BEE-BF8D-F87E9B6E7CB1}" xr6:coauthVersionLast="47" xr6:coauthVersionMax="47" xr10:uidLastSave="{00000000-0000-0000-0000-000000000000}"/>
  <bookViews>
    <workbookView xWindow="-110" yWindow="-110" windowWidth="19420" windowHeight="10300" activeTab="1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1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6" i="2" l="1"/>
  <c r="C447" i="2"/>
  <c r="C448" i="2"/>
  <c r="C449" i="2"/>
  <c r="C450" i="2"/>
  <c r="C451" i="2"/>
  <c r="I446" i="2" a="1"/>
  <c r="I447" i="2" a="1"/>
  <c r="I448" i="2" a="1"/>
  <c r="I449" i="2" a="1"/>
  <c r="I450" i="2" a="1"/>
  <c r="I451" i="2" a="1"/>
  <c r="J446" i="2" a="1"/>
  <c r="J447" i="2" a="1"/>
  <c r="J448" i="2" a="1"/>
  <c r="J449" i="2" a="1"/>
  <c r="J450" i="2" a="1"/>
  <c r="J451" i="2" a="1"/>
  <c r="K446" i="2"/>
  <c r="K447" i="2"/>
  <c r="K448" i="2"/>
  <c r="K449" i="2"/>
  <c r="K451" i="2"/>
  <c r="L446" i="2"/>
  <c r="L447" i="2"/>
  <c r="L448" i="2"/>
  <c r="L449" i="2"/>
  <c r="L451" i="2"/>
  <c r="M446" i="2"/>
  <c r="M447" i="2"/>
  <c r="M448" i="2"/>
  <c r="M449" i="2"/>
  <c r="M451" i="2"/>
  <c r="N446" i="2"/>
  <c r="N447" i="2"/>
  <c r="N448" i="2"/>
  <c r="N449" i="2"/>
  <c r="N451" i="2"/>
  <c r="U446" i="2"/>
  <c r="U447" i="2"/>
  <c r="U448" i="2"/>
  <c r="U449" i="2"/>
  <c r="U450" i="2"/>
  <c r="U451" i="2"/>
  <c r="V446" i="2"/>
  <c r="V447" i="2"/>
  <c r="V448" i="2"/>
  <c r="V449" i="2"/>
  <c r="V450" i="2"/>
  <c r="V451" i="2"/>
  <c r="X446" i="2" a="1"/>
  <c r="X447" i="2" a="1"/>
  <c r="X448" i="2" a="1"/>
  <c r="X449" i="2" a="1"/>
  <c r="X450" i="2" a="1"/>
  <c r="X451" i="2" a="1"/>
  <c r="Y446" i="2"/>
  <c r="Y447" i="2"/>
  <c r="Y448" i="2"/>
  <c r="Y449" i="2"/>
  <c r="Y450" i="2"/>
  <c r="Y451" i="2"/>
  <c r="Z446" i="2"/>
  <c r="Z447" i="2"/>
  <c r="Z448" i="2"/>
  <c r="Z449" i="2"/>
  <c r="Z450" i="2"/>
  <c r="Z451" i="2"/>
  <c r="AC446" i="2"/>
  <c r="AC447" i="2"/>
  <c r="AC448" i="2"/>
  <c r="AC449" i="2"/>
  <c r="AC450" i="2"/>
  <c r="AC451" i="2"/>
  <c r="AD446" i="2"/>
  <c r="AD447" i="2"/>
  <c r="AD448" i="2"/>
  <c r="AD449" i="2"/>
  <c r="AD450" i="2"/>
  <c r="AD451" i="2"/>
  <c r="AE446" i="2"/>
  <c r="AE447" i="2"/>
  <c r="AE448" i="2"/>
  <c r="AE449" i="2"/>
  <c r="AE450" i="2"/>
  <c r="AE451" i="2"/>
  <c r="AF446" i="2"/>
  <c r="AF447" i="2"/>
  <c r="AF448" i="2"/>
  <c r="AF449" i="2"/>
  <c r="AF450" i="2"/>
  <c r="AF451" i="2"/>
  <c r="AG446" i="2"/>
  <c r="AG447" i="2"/>
  <c r="AG448" i="2"/>
  <c r="AG449" i="2"/>
  <c r="AG450" i="2"/>
  <c r="AG451" i="2"/>
  <c r="AH446" i="2"/>
  <c r="AH447" i="2"/>
  <c r="AH448" i="2"/>
  <c r="AH449" i="2"/>
  <c r="AH450" i="2"/>
  <c r="AH451" i="2"/>
  <c r="AI446" i="2"/>
  <c r="AI447" i="2"/>
  <c r="AI448" i="2"/>
  <c r="AI449" i="2"/>
  <c r="AI450" i="2"/>
  <c r="AI451" i="2"/>
  <c r="AJ446" i="2"/>
  <c r="AJ447" i="2"/>
  <c r="AJ448" i="2"/>
  <c r="AJ449" i="2"/>
  <c r="AJ450" i="2"/>
  <c r="AJ451" i="2"/>
  <c r="AK446" i="2"/>
  <c r="AK447" i="2"/>
  <c r="AK448" i="2"/>
  <c r="AK449" i="2"/>
  <c r="AK450" i="2"/>
  <c r="AK451" i="2"/>
  <c r="AL446" i="2"/>
  <c r="AL447" i="2"/>
  <c r="AL448" i="2"/>
  <c r="AL449" i="2"/>
  <c r="AL450" i="2"/>
  <c r="AL451" i="2"/>
  <c r="C444" i="2"/>
  <c r="C445" i="2"/>
  <c r="I444" i="2" a="1"/>
  <c r="I445" i="2" a="1"/>
  <c r="J444" i="2" a="1"/>
  <c r="J445" i="2" a="1"/>
  <c r="U444" i="2"/>
  <c r="U445" i="2"/>
  <c r="V444" i="2"/>
  <c r="V445" i="2"/>
  <c r="X444" i="2" a="1"/>
  <c r="X445" i="2" a="1"/>
  <c r="Y444" i="2"/>
  <c r="Y445" i="2"/>
  <c r="AC444" i="2"/>
  <c r="AC445" i="2"/>
  <c r="AD444" i="2"/>
  <c r="AD445" i="2"/>
  <c r="AE444" i="2"/>
  <c r="AE445" i="2"/>
  <c r="AF444" i="2"/>
  <c r="AF445" i="2"/>
  <c r="AG444" i="2"/>
  <c r="AG445" i="2"/>
  <c r="AH444" i="2"/>
  <c r="AH445" i="2"/>
  <c r="AI444" i="2"/>
  <c r="AI445" i="2"/>
  <c r="AJ444" i="2"/>
  <c r="AJ445" i="2"/>
  <c r="AK444" i="2"/>
  <c r="AK445" i="2"/>
  <c r="AL444" i="2"/>
  <c r="AL445" i="2"/>
  <c r="C442" i="2"/>
  <c r="Y442" i="2" s="1"/>
  <c r="C443" i="2"/>
  <c r="Y443" i="2" s="1"/>
  <c r="I442" i="2" a="1"/>
  <c r="I443" i="2" a="1"/>
  <c r="J442" i="2" a="1"/>
  <c r="J443" i="2" a="1"/>
  <c r="U442" i="2"/>
  <c r="U443" i="2"/>
  <c r="V442" i="2"/>
  <c r="V443" i="2"/>
  <c r="X442" i="2" a="1"/>
  <c r="X443" i="2" a="1"/>
  <c r="AC442" i="2"/>
  <c r="AC443" i="2"/>
  <c r="AD442" i="2"/>
  <c r="AD443" i="2"/>
  <c r="AE442" i="2"/>
  <c r="AE443" i="2"/>
  <c r="AF442" i="2"/>
  <c r="AF443" i="2"/>
  <c r="AG442" i="2"/>
  <c r="AG443" i="2"/>
  <c r="AH442" i="2"/>
  <c r="AH443" i="2"/>
  <c r="AI442" i="2"/>
  <c r="AI443" i="2"/>
  <c r="AJ442" i="2"/>
  <c r="AJ443" i="2"/>
  <c r="AK442" i="2"/>
  <c r="AK443" i="2"/>
  <c r="AL442" i="2"/>
  <c r="AL443" i="2"/>
  <c r="H36" i="3"/>
  <c r="E25" i="3"/>
  <c r="D25" i="3"/>
  <c r="C25" i="3"/>
  <c r="B25" i="3"/>
  <c r="H35" i="3"/>
  <c r="E26" i="3"/>
  <c r="D26" i="3"/>
  <c r="C26" i="3"/>
  <c r="B26" i="3"/>
  <c r="H34" i="3"/>
  <c r="H33" i="3"/>
  <c r="H32" i="3"/>
  <c r="H31" i="3"/>
  <c r="H30" i="3"/>
  <c r="H29" i="3"/>
  <c r="H28" i="3"/>
  <c r="H27" i="3"/>
  <c r="H26" i="3"/>
  <c r="H25" i="3"/>
  <c r="C408" i="2"/>
  <c r="Y408" i="2" s="1"/>
  <c r="C409" i="2"/>
  <c r="Y409" i="2" s="1"/>
  <c r="C410" i="2"/>
  <c r="Y410" i="2" s="1"/>
  <c r="C411" i="2"/>
  <c r="Y411" i="2" s="1"/>
  <c r="C412" i="2"/>
  <c r="Y412" i="2" s="1"/>
  <c r="C413" i="2"/>
  <c r="Y413" i="2" s="1"/>
  <c r="C414" i="2"/>
  <c r="Y414" i="2" s="1"/>
  <c r="C415" i="2"/>
  <c r="Y415" i="2" s="1"/>
  <c r="C416" i="2"/>
  <c r="Y416" i="2" s="1"/>
  <c r="C417" i="2"/>
  <c r="Y417" i="2" s="1"/>
  <c r="C418" i="2"/>
  <c r="Y418" i="2" s="1"/>
  <c r="C419" i="2"/>
  <c r="Y419" i="2" s="1"/>
  <c r="C420" i="2"/>
  <c r="Y420" i="2" s="1"/>
  <c r="C421" i="2"/>
  <c r="Y421" i="2" s="1"/>
  <c r="C422" i="2"/>
  <c r="Y422" i="2" s="1"/>
  <c r="C423" i="2"/>
  <c r="Y423" i="2" s="1"/>
  <c r="C424" i="2"/>
  <c r="Y424" i="2" s="1"/>
  <c r="C425" i="2"/>
  <c r="Y425" i="2" s="1"/>
  <c r="C426" i="2"/>
  <c r="Y426" i="2" s="1"/>
  <c r="C427" i="2"/>
  <c r="Y427" i="2" s="1"/>
  <c r="C428" i="2"/>
  <c r="Y428" i="2" s="1"/>
  <c r="C429" i="2"/>
  <c r="Y429" i="2" s="1"/>
  <c r="C430" i="2"/>
  <c r="Y430" i="2" s="1"/>
  <c r="C431" i="2"/>
  <c r="Y431" i="2" s="1"/>
  <c r="C432" i="2"/>
  <c r="Y432" i="2" s="1"/>
  <c r="C433" i="2"/>
  <c r="Y433" i="2" s="1"/>
  <c r="C434" i="2"/>
  <c r="Y434" i="2" s="1"/>
  <c r="C435" i="2"/>
  <c r="Y435" i="2" s="1"/>
  <c r="C436" i="2"/>
  <c r="Y436" i="2" s="1"/>
  <c r="C437" i="2"/>
  <c r="Y437" i="2" s="1"/>
  <c r="C438" i="2"/>
  <c r="Y438" i="2" s="1"/>
  <c r="C439" i="2"/>
  <c r="Y439" i="2" s="1"/>
  <c r="C440" i="2"/>
  <c r="Y440" i="2" s="1"/>
  <c r="C441" i="2"/>
  <c r="Y441" i="2" s="1"/>
  <c r="I408" i="2" a="1"/>
  <c r="I409" i="2" a="1"/>
  <c r="I410" i="2" a="1"/>
  <c r="I411" i="2" a="1"/>
  <c r="I412" i="2" a="1"/>
  <c r="I413" i="2" a="1"/>
  <c r="I414" i="2" a="1"/>
  <c r="I415" i="2" a="1"/>
  <c r="I416" i="2" a="1"/>
  <c r="I417" i="2" a="1"/>
  <c r="I418" i="2" a="1"/>
  <c r="I419" i="2" a="1"/>
  <c r="I420" i="2" a="1"/>
  <c r="I421" i="2" a="1"/>
  <c r="I422" i="2" a="1"/>
  <c r="I423" i="2" a="1"/>
  <c r="I424" i="2" a="1"/>
  <c r="I425" i="2" a="1"/>
  <c r="I426" i="2" a="1"/>
  <c r="I427" i="2" a="1"/>
  <c r="I428" i="2" a="1"/>
  <c r="I429" i="2" a="1"/>
  <c r="I430" i="2" a="1"/>
  <c r="I431" i="2" a="1"/>
  <c r="I432" i="2" a="1"/>
  <c r="I433" i="2" a="1"/>
  <c r="I434" i="2" a="1"/>
  <c r="I435" i="2" a="1"/>
  <c r="I436" i="2" a="1"/>
  <c r="I437" i="2" a="1"/>
  <c r="I438" i="2" a="1"/>
  <c r="I439" i="2" a="1"/>
  <c r="I440" i="2" a="1"/>
  <c r="I441" i="2" a="1"/>
  <c r="J408" i="2" a="1"/>
  <c r="L408" i="2" s="1"/>
  <c r="N408" i="2" s="1"/>
  <c r="J409" i="2" a="1"/>
  <c r="L409" i="2" s="1"/>
  <c r="N409" i="2" s="1"/>
  <c r="J410" i="2" a="1"/>
  <c r="L410" i="2" s="1"/>
  <c r="N410" i="2" s="1"/>
  <c r="J411" i="2" a="1"/>
  <c r="L411" i="2" s="1"/>
  <c r="N411" i="2" s="1"/>
  <c r="J412" i="2" a="1"/>
  <c r="L412" i="2" s="1"/>
  <c r="N412" i="2" s="1"/>
  <c r="J413" i="2" a="1"/>
  <c r="L413" i="2" s="1"/>
  <c r="N413" i="2" s="1"/>
  <c r="J414" i="2" a="1"/>
  <c r="L414" i="2" s="1"/>
  <c r="N414" i="2" s="1"/>
  <c r="J415" i="2" a="1"/>
  <c r="L415" i="2" s="1"/>
  <c r="N415" i="2" s="1"/>
  <c r="J416" i="2" a="1"/>
  <c r="J417" i="2" a="1"/>
  <c r="L417" i="2" s="1"/>
  <c r="N417" i="2" s="1"/>
  <c r="J418" i="2" a="1"/>
  <c r="L418" i="2" s="1"/>
  <c r="N418" i="2" s="1"/>
  <c r="J419" i="2" a="1"/>
  <c r="L419" i="2" s="1"/>
  <c r="N419" i="2" s="1"/>
  <c r="J420" i="2" a="1"/>
  <c r="L420" i="2" s="1"/>
  <c r="N420" i="2" s="1"/>
  <c r="J421" i="2" a="1"/>
  <c r="L421" i="2" s="1"/>
  <c r="N421" i="2" s="1"/>
  <c r="J422" i="2" a="1"/>
  <c r="L422" i="2" s="1"/>
  <c r="N422" i="2" s="1"/>
  <c r="J423" i="2" a="1"/>
  <c r="L423" i="2" s="1"/>
  <c r="N423" i="2" s="1"/>
  <c r="J424" i="2" a="1"/>
  <c r="L424" i="2" s="1"/>
  <c r="N424" i="2" s="1"/>
  <c r="J425" i="2" a="1"/>
  <c r="L425" i="2" s="1"/>
  <c r="N425" i="2" s="1"/>
  <c r="J426" i="2" a="1"/>
  <c r="L426" i="2" s="1"/>
  <c r="N426" i="2" s="1"/>
  <c r="J427" i="2" a="1"/>
  <c r="L427" i="2" s="1"/>
  <c r="N427" i="2" s="1"/>
  <c r="J428" i="2" a="1"/>
  <c r="L428" i="2" s="1"/>
  <c r="N428" i="2" s="1"/>
  <c r="J429" i="2" a="1"/>
  <c r="L429" i="2" s="1"/>
  <c r="N429" i="2" s="1"/>
  <c r="J430" i="2" a="1"/>
  <c r="L430" i="2" s="1"/>
  <c r="N430" i="2" s="1"/>
  <c r="J431" i="2" a="1"/>
  <c r="L431" i="2" s="1"/>
  <c r="N431" i="2" s="1"/>
  <c r="J432" i="2" a="1"/>
  <c r="L432" i="2" s="1"/>
  <c r="N432" i="2" s="1"/>
  <c r="J433" i="2" a="1"/>
  <c r="L433" i="2" s="1"/>
  <c r="N433" i="2" s="1"/>
  <c r="J434" i="2" a="1"/>
  <c r="L434" i="2" s="1"/>
  <c r="N434" i="2" s="1"/>
  <c r="J435" i="2" a="1"/>
  <c r="L435" i="2" s="1"/>
  <c r="N435" i="2" s="1"/>
  <c r="J436" i="2" a="1"/>
  <c r="L436" i="2" s="1"/>
  <c r="N436" i="2" s="1"/>
  <c r="J437" i="2" a="1"/>
  <c r="L437" i="2" s="1"/>
  <c r="N437" i="2" s="1"/>
  <c r="J438" i="2" a="1"/>
  <c r="L438" i="2" s="1"/>
  <c r="N438" i="2" s="1"/>
  <c r="J439" i="2" a="1"/>
  <c r="J440" i="2" a="1"/>
  <c r="J441" i="2" a="1"/>
  <c r="K408" i="2"/>
  <c r="M408" i="2" s="1"/>
  <c r="K409" i="2"/>
  <c r="M409" i="2" s="1"/>
  <c r="K410" i="2"/>
  <c r="M410" i="2" s="1"/>
  <c r="K411" i="2"/>
  <c r="M411" i="2" s="1"/>
  <c r="K412" i="2"/>
  <c r="M412" i="2" s="1"/>
  <c r="K413" i="2"/>
  <c r="M413" i="2" s="1"/>
  <c r="K414" i="2"/>
  <c r="M414" i="2" s="1"/>
  <c r="K415" i="2"/>
  <c r="M415" i="2" s="1"/>
  <c r="K417" i="2"/>
  <c r="M417" i="2" s="1"/>
  <c r="K418" i="2"/>
  <c r="M418" i="2" s="1"/>
  <c r="K419" i="2"/>
  <c r="M419" i="2" s="1"/>
  <c r="K420" i="2"/>
  <c r="M420" i="2" s="1"/>
  <c r="K421" i="2"/>
  <c r="M421" i="2" s="1"/>
  <c r="K422" i="2"/>
  <c r="M422" i="2" s="1"/>
  <c r="K423" i="2"/>
  <c r="M423" i="2" s="1"/>
  <c r="K424" i="2"/>
  <c r="M424" i="2" s="1"/>
  <c r="K425" i="2"/>
  <c r="M425" i="2" s="1"/>
  <c r="K426" i="2"/>
  <c r="M426" i="2" s="1"/>
  <c r="K427" i="2"/>
  <c r="M427" i="2" s="1"/>
  <c r="K428" i="2"/>
  <c r="M428" i="2" s="1"/>
  <c r="K429" i="2"/>
  <c r="M429" i="2" s="1"/>
  <c r="K430" i="2"/>
  <c r="M430" i="2" s="1"/>
  <c r="K431" i="2"/>
  <c r="M431" i="2" s="1"/>
  <c r="K432" i="2"/>
  <c r="M432" i="2" s="1"/>
  <c r="K433" i="2"/>
  <c r="M433" i="2" s="1"/>
  <c r="K434" i="2"/>
  <c r="M434" i="2" s="1"/>
  <c r="K435" i="2"/>
  <c r="M435" i="2" s="1"/>
  <c r="K436" i="2"/>
  <c r="M436" i="2" s="1"/>
  <c r="K437" i="2"/>
  <c r="M437" i="2" s="1"/>
  <c r="K438" i="2"/>
  <c r="M438" i="2" s="1"/>
  <c r="U408" i="2"/>
  <c r="V408" i="2" s="1"/>
  <c r="U409" i="2"/>
  <c r="V409" i="2" s="1"/>
  <c r="U410" i="2"/>
  <c r="V410" i="2" s="1"/>
  <c r="U411" i="2"/>
  <c r="V411" i="2" s="1"/>
  <c r="U412" i="2"/>
  <c r="V412" i="2" s="1"/>
  <c r="U413" i="2"/>
  <c r="V413" i="2" s="1"/>
  <c r="U414" i="2"/>
  <c r="V414" i="2" s="1"/>
  <c r="U415" i="2"/>
  <c r="V415" i="2" s="1"/>
  <c r="U416" i="2"/>
  <c r="V416" i="2" s="1"/>
  <c r="U417" i="2"/>
  <c r="V417" i="2" s="1"/>
  <c r="U418" i="2"/>
  <c r="V418" i="2" s="1"/>
  <c r="U419" i="2"/>
  <c r="V419" i="2" s="1"/>
  <c r="U420" i="2"/>
  <c r="V420" i="2" s="1"/>
  <c r="U421" i="2"/>
  <c r="V421" i="2" s="1"/>
  <c r="U422" i="2"/>
  <c r="V422" i="2" s="1"/>
  <c r="U423" i="2"/>
  <c r="V423" i="2" s="1"/>
  <c r="U424" i="2"/>
  <c r="V424" i="2" s="1"/>
  <c r="U425" i="2"/>
  <c r="V425" i="2" s="1"/>
  <c r="U426" i="2"/>
  <c r="V426" i="2" s="1"/>
  <c r="U427" i="2"/>
  <c r="V427" i="2" s="1"/>
  <c r="U428" i="2"/>
  <c r="V428" i="2" s="1"/>
  <c r="U429" i="2"/>
  <c r="V429" i="2" s="1"/>
  <c r="U430" i="2"/>
  <c r="V430" i="2" s="1"/>
  <c r="U431" i="2"/>
  <c r="V431" i="2" s="1"/>
  <c r="U432" i="2"/>
  <c r="V432" i="2" s="1"/>
  <c r="U433" i="2"/>
  <c r="V433" i="2" s="1"/>
  <c r="U434" i="2"/>
  <c r="V434" i="2" s="1"/>
  <c r="U435" i="2"/>
  <c r="V435" i="2" s="1"/>
  <c r="U436" i="2"/>
  <c r="V436" i="2" s="1"/>
  <c r="U437" i="2"/>
  <c r="V437" i="2" s="1"/>
  <c r="U438" i="2"/>
  <c r="V438" i="2" s="1"/>
  <c r="U439" i="2"/>
  <c r="V439" i="2" s="1"/>
  <c r="U440" i="2"/>
  <c r="V440" i="2" s="1"/>
  <c r="U441" i="2"/>
  <c r="V441" i="2" s="1"/>
  <c r="X408" i="2" a="1"/>
  <c r="X409" i="2" a="1"/>
  <c r="X410" i="2" a="1"/>
  <c r="X411" i="2" a="1"/>
  <c r="X412" i="2" a="1"/>
  <c r="X413" i="2" a="1"/>
  <c r="X414" i="2" a="1"/>
  <c r="X415" i="2" a="1"/>
  <c r="X416" i="2" a="1"/>
  <c r="X417" i="2" a="1"/>
  <c r="X418" i="2" a="1"/>
  <c r="X419" i="2" a="1"/>
  <c r="X420" i="2" a="1"/>
  <c r="X421" i="2" a="1"/>
  <c r="X422" i="2" a="1"/>
  <c r="X423" i="2" a="1"/>
  <c r="X424" i="2" a="1"/>
  <c r="X425" i="2" a="1"/>
  <c r="X426" i="2" a="1"/>
  <c r="X427" i="2" a="1"/>
  <c r="X428" i="2" a="1"/>
  <c r="X429" i="2" a="1"/>
  <c r="X430" i="2" a="1"/>
  <c r="X431" i="2" a="1"/>
  <c r="X432" i="2" a="1"/>
  <c r="X433" i="2" a="1"/>
  <c r="X434" i="2" a="1"/>
  <c r="X435" i="2" a="1"/>
  <c r="X436" i="2" a="1"/>
  <c r="X437" i="2" a="1"/>
  <c r="X438" i="2" a="1"/>
  <c r="X439" i="2" a="1"/>
  <c r="X440" i="2" a="1"/>
  <c r="X441" i="2" a="1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E28" i="3"/>
  <c r="D28" i="3"/>
  <c r="C28" i="3"/>
  <c r="B28" i="3"/>
  <c r="E34" i="3"/>
  <c r="D34" i="3"/>
  <c r="C34" i="3"/>
  <c r="B34" i="3"/>
  <c r="C318" i="2"/>
  <c r="Y318" i="2" s="1"/>
  <c r="C319" i="2"/>
  <c r="Y319" i="2" s="1"/>
  <c r="C320" i="2"/>
  <c r="Y320" i="2" s="1"/>
  <c r="C321" i="2"/>
  <c r="Y321" i="2" s="1"/>
  <c r="C322" i="2"/>
  <c r="Y322" i="2" s="1"/>
  <c r="C323" i="2"/>
  <c r="Y323" i="2" s="1"/>
  <c r="C324" i="2"/>
  <c r="Y324" i="2" s="1"/>
  <c r="C325" i="2"/>
  <c r="Y325" i="2" s="1"/>
  <c r="C326" i="2"/>
  <c r="Y326" i="2" s="1"/>
  <c r="C327" i="2"/>
  <c r="Y327" i="2" s="1"/>
  <c r="C328" i="2"/>
  <c r="Y328" i="2" s="1"/>
  <c r="C329" i="2"/>
  <c r="Y329" i="2" s="1"/>
  <c r="C330" i="2"/>
  <c r="Y330" i="2" s="1"/>
  <c r="C331" i="2"/>
  <c r="Y331" i="2" s="1"/>
  <c r="C332" i="2"/>
  <c r="Y332" i="2" s="1"/>
  <c r="C333" i="2"/>
  <c r="Y333" i="2" s="1"/>
  <c r="C334" i="2"/>
  <c r="Y334" i="2" s="1"/>
  <c r="C335" i="2"/>
  <c r="Y335" i="2" s="1"/>
  <c r="C336" i="2"/>
  <c r="Y336" i="2" s="1"/>
  <c r="C337" i="2"/>
  <c r="Y337" i="2" s="1"/>
  <c r="C338" i="2"/>
  <c r="Y338" i="2" s="1"/>
  <c r="C339" i="2"/>
  <c r="Y339" i="2" s="1"/>
  <c r="C340" i="2"/>
  <c r="Y340" i="2" s="1"/>
  <c r="C341" i="2"/>
  <c r="Y341" i="2" s="1"/>
  <c r="C342" i="2"/>
  <c r="Y342" i="2" s="1"/>
  <c r="C343" i="2"/>
  <c r="Y343" i="2" s="1"/>
  <c r="C344" i="2"/>
  <c r="Y344" i="2" s="1"/>
  <c r="C345" i="2"/>
  <c r="Y345" i="2" s="1"/>
  <c r="C346" i="2"/>
  <c r="Y346" i="2" s="1"/>
  <c r="C347" i="2"/>
  <c r="Y347" i="2" s="1"/>
  <c r="C348" i="2"/>
  <c r="Y348" i="2" s="1"/>
  <c r="C349" i="2"/>
  <c r="Y349" i="2" s="1"/>
  <c r="C350" i="2"/>
  <c r="Y350" i="2" s="1"/>
  <c r="C351" i="2"/>
  <c r="Y351" i="2" s="1"/>
  <c r="C352" i="2"/>
  <c r="Y352" i="2" s="1"/>
  <c r="C353" i="2"/>
  <c r="Y353" i="2" s="1"/>
  <c r="C354" i="2"/>
  <c r="Y354" i="2" s="1"/>
  <c r="C355" i="2"/>
  <c r="Y355" i="2" s="1"/>
  <c r="C356" i="2"/>
  <c r="Y356" i="2" s="1"/>
  <c r="C357" i="2"/>
  <c r="Y357" i="2" s="1"/>
  <c r="C358" i="2"/>
  <c r="Y358" i="2" s="1"/>
  <c r="C359" i="2"/>
  <c r="Y359" i="2" s="1"/>
  <c r="C360" i="2"/>
  <c r="Y360" i="2" s="1"/>
  <c r="C361" i="2"/>
  <c r="Y361" i="2" s="1"/>
  <c r="C362" i="2"/>
  <c r="Y362" i="2" s="1"/>
  <c r="C363" i="2"/>
  <c r="Y363" i="2" s="1"/>
  <c r="C364" i="2"/>
  <c r="Y364" i="2" s="1"/>
  <c r="C365" i="2"/>
  <c r="Y365" i="2" s="1"/>
  <c r="C366" i="2"/>
  <c r="Y366" i="2" s="1"/>
  <c r="C367" i="2"/>
  <c r="Y367" i="2" s="1"/>
  <c r="C368" i="2"/>
  <c r="Y368" i="2" s="1"/>
  <c r="C369" i="2"/>
  <c r="Y369" i="2" s="1"/>
  <c r="C370" i="2"/>
  <c r="Y370" i="2" s="1"/>
  <c r="C371" i="2"/>
  <c r="Y371" i="2" s="1"/>
  <c r="C372" i="2"/>
  <c r="Y372" i="2" s="1"/>
  <c r="C373" i="2"/>
  <c r="Y373" i="2" s="1"/>
  <c r="C374" i="2"/>
  <c r="Y374" i="2" s="1"/>
  <c r="C375" i="2"/>
  <c r="Y375" i="2" s="1"/>
  <c r="C376" i="2"/>
  <c r="Y376" i="2" s="1"/>
  <c r="C377" i="2"/>
  <c r="Y377" i="2" s="1"/>
  <c r="C378" i="2"/>
  <c r="Y378" i="2" s="1"/>
  <c r="C379" i="2"/>
  <c r="Y379" i="2" s="1"/>
  <c r="C380" i="2"/>
  <c r="Y380" i="2" s="1"/>
  <c r="C381" i="2"/>
  <c r="Y381" i="2" s="1"/>
  <c r="C382" i="2"/>
  <c r="Y382" i="2" s="1"/>
  <c r="C383" i="2"/>
  <c r="Y383" i="2" s="1"/>
  <c r="C384" i="2"/>
  <c r="Y384" i="2" s="1"/>
  <c r="C385" i="2"/>
  <c r="Y385" i="2" s="1"/>
  <c r="C386" i="2"/>
  <c r="Y386" i="2" s="1"/>
  <c r="C387" i="2"/>
  <c r="Y387" i="2" s="1"/>
  <c r="C388" i="2"/>
  <c r="Y388" i="2" s="1"/>
  <c r="C389" i="2"/>
  <c r="Y389" i="2" s="1"/>
  <c r="C390" i="2"/>
  <c r="Y390" i="2" s="1"/>
  <c r="C391" i="2"/>
  <c r="Y391" i="2" s="1"/>
  <c r="C392" i="2"/>
  <c r="Y392" i="2" s="1"/>
  <c r="C393" i="2"/>
  <c r="Y393" i="2" s="1"/>
  <c r="C394" i="2"/>
  <c r="Y394" i="2" s="1"/>
  <c r="C395" i="2"/>
  <c r="Y395" i="2" s="1"/>
  <c r="C396" i="2"/>
  <c r="Y396" i="2" s="1"/>
  <c r="C397" i="2"/>
  <c r="Y397" i="2" s="1"/>
  <c r="C398" i="2"/>
  <c r="Y398" i="2" s="1"/>
  <c r="C399" i="2"/>
  <c r="Y399" i="2" s="1"/>
  <c r="C400" i="2"/>
  <c r="Y400" i="2" s="1"/>
  <c r="C401" i="2"/>
  <c r="Y401" i="2" s="1"/>
  <c r="C402" i="2"/>
  <c r="Y402" i="2" s="1"/>
  <c r="C403" i="2"/>
  <c r="Y403" i="2" s="1"/>
  <c r="C404" i="2"/>
  <c r="Y404" i="2" s="1"/>
  <c r="C405" i="2"/>
  <c r="Y405" i="2" s="1"/>
  <c r="C406" i="2"/>
  <c r="Y406" i="2" s="1"/>
  <c r="C407" i="2"/>
  <c r="Y407" i="2" s="1"/>
  <c r="I318" i="2" a="1"/>
  <c r="I319" i="2" a="1"/>
  <c r="I320" i="2" a="1"/>
  <c r="I321" i="2" a="1"/>
  <c r="I322" i="2" a="1"/>
  <c r="I323" i="2" a="1"/>
  <c r="I324" i="2" a="1"/>
  <c r="I325" i="2" a="1"/>
  <c r="I326" i="2" a="1"/>
  <c r="I327" i="2" a="1"/>
  <c r="I328" i="2" a="1"/>
  <c r="I329" i="2" a="1"/>
  <c r="I330" i="2" a="1"/>
  <c r="I331" i="2" a="1"/>
  <c r="I332" i="2" a="1"/>
  <c r="I333" i="2" a="1"/>
  <c r="I334" i="2" a="1"/>
  <c r="I335" i="2" a="1"/>
  <c r="I336" i="2" a="1"/>
  <c r="I337" i="2" a="1"/>
  <c r="I338" i="2" a="1"/>
  <c r="I339" i="2" a="1"/>
  <c r="I340" i="2" a="1"/>
  <c r="I341" i="2" a="1"/>
  <c r="I342" i="2" a="1"/>
  <c r="I343" i="2" a="1"/>
  <c r="I344" i="2" a="1"/>
  <c r="I345" i="2" a="1"/>
  <c r="I346" i="2" a="1"/>
  <c r="I347" i="2" a="1"/>
  <c r="I348" i="2" a="1"/>
  <c r="I349" i="2" a="1"/>
  <c r="I350" i="2" a="1"/>
  <c r="I351" i="2" a="1"/>
  <c r="I352" i="2" a="1"/>
  <c r="I353" i="2" a="1"/>
  <c r="I354" i="2" a="1"/>
  <c r="I355" i="2" a="1"/>
  <c r="I356" i="2" a="1"/>
  <c r="I357" i="2" a="1"/>
  <c r="I358" i="2" a="1"/>
  <c r="I359" i="2" a="1"/>
  <c r="I360" i="2" a="1"/>
  <c r="I361" i="2" a="1"/>
  <c r="I362" i="2" a="1"/>
  <c r="I363" i="2" a="1"/>
  <c r="I364" i="2" a="1"/>
  <c r="I365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I406" i="2" a="1"/>
  <c r="I407" i="2" a="1"/>
  <c r="J318" i="2" a="1"/>
  <c r="J319" i="2" a="1"/>
  <c r="J320" i="2" a="1"/>
  <c r="J321" i="2" a="1"/>
  <c r="J322" i="2" a="1"/>
  <c r="J323" i="2" a="1"/>
  <c r="J324" i="2" a="1"/>
  <c r="J325" i="2" a="1"/>
  <c r="L325" i="2" s="1"/>
  <c r="N325" i="2" s="1"/>
  <c r="J326" i="2" a="1"/>
  <c r="L326" i="2" s="1"/>
  <c r="N326" i="2" s="1"/>
  <c r="J327" i="2" a="1"/>
  <c r="L327" i="2" s="1"/>
  <c r="N327" i="2" s="1"/>
  <c r="J328" i="2" a="1"/>
  <c r="L328" i="2" s="1"/>
  <c r="N328" i="2" s="1"/>
  <c r="J329" i="2" a="1"/>
  <c r="L329" i="2" s="1"/>
  <c r="N329" i="2" s="1"/>
  <c r="J330" i="2" a="1"/>
  <c r="L330" i="2" s="1"/>
  <c r="N330" i="2" s="1"/>
  <c r="J331" i="2" a="1"/>
  <c r="L331" i="2" s="1"/>
  <c r="N331" i="2" s="1"/>
  <c r="J332" i="2" a="1"/>
  <c r="L332" i="2" s="1"/>
  <c r="N332" i="2" s="1"/>
  <c r="J333" i="2" a="1"/>
  <c r="L333" i="2" s="1"/>
  <c r="N333" i="2" s="1"/>
  <c r="J334" i="2" a="1"/>
  <c r="L334" i="2" s="1"/>
  <c r="N334" i="2" s="1"/>
  <c r="J335" i="2" a="1"/>
  <c r="L335" i="2" s="1"/>
  <c r="N335" i="2" s="1"/>
  <c r="J336" i="2" a="1"/>
  <c r="L336" i="2" s="1"/>
  <c r="N336" i="2" s="1"/>
  <c r="J337" i="2" a="1"/>
  <c r="L337" i="2" s="1"/>
  <c r="N337" i="2" s="1"/>
  <c r="J338" i="2" a="1"/>
  <c r="L338" i="2" s="1"/>
  <c r="N338" i="2" s="1"/>
  <c r="J339" i="2" a="1"/>
  <c r="L339" i="2" s="1"/>
  <c r="N339" i="2" s="1"/>
  <c r="J340" i="2" a="1"/>
  <c r="L340" i="2" s="1"/>
  <c r="N340" i="2" s="1"/>
  <c r="J341" i="2" a="1"/>
  <c r="L341" i="2" s="1"/>
  <c r="N341" i="2" s="1"/>
  <c r="J342" i="2" a="1"/>
  <c r="L342" i="2" s="1"/>
  <c r="N342" i="2" s="1"/>
  <c r="J343" i="2" a="1"/>
  <c r="L343" i="2" s="1"/>
  <c r="N343" i="2" s="1"/>
  <c r="J344" i="2" a="1"/>
  <c r="L344" i="2" s="1"/>
  <c r="N344" i="2" s="1"/>
  <c r="J345" i="2" a="1"/>
  <c r="J346" i="2" a="1"/>
  <c r="J347" i="2" a="1"/>
  <c r="J348" i="2" a="1"/>
  <c r="J349" i="2" a="1"/>
  <c r="J350" i="2" a="1"/>
  <c r="J351" i="2" a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4" i="2" a="1"/>
  <c r="J365" i="2" a="1"/>
  <c r="J366" i="2" a="1"/>
  <c r="J367" i="2" a="1"/>
  <c r="J368" i="2" a="1"/>
  <c r="J369" i="2" a="1"/>
  <c r="J370" i="2" a="1"/>
  <c r="J371" i="2" a="1"/>
  <c r="J372" i="2" a="1"/>
  <c r="J373" i="2" a="1"/>
  <c r="J374" i="2" a="1"/>
  <c r="J375" i="2" a="1"/>
  <c r="J376" i="2" a="1"/>
  <c r="J377" i="2" a="1"/>
  <c r="J378" i="2" a="1"/>
  <c r="J379" i="2" a="1"/>
  <c r="J380" i="2" a="1"/>
  <c r="J381" i="2" a="1"/>
  <c r="J382" i="2" a="1"/>
  <c r="J383" i="2" a="1"/>
  <c r="J384" i="2" a="1"/>
  <c r="J385" i="2" a="1"/>
  <c r="J386" i="2" a="1"/>
  <c r="J387" i="2" a="1"/>
  <c r="J388" i="2" a="1"/>
  <c r="J389" i="2" a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J400" i="2" a="1"/>
  <c r="J401" i="2" a="1"/>
  <c r="J402" i="2" a="1"/>
  <c r="J403" i="2" a="1"/>
  <c r="J404" i="2" a="1"/>
  <c r="J405" i="2" a="1"/>
  <c r="J406" i="2" a="1"/>
  <c r="J407" i="2" a="1"/>
  <c r="U318" i="2"/>
  <c r="V318" i="2" s="1"/>
  <c r="U319" i="2"/>
  <c r="V319" i="2" s="1"/>
  <c r="U320" i="2"/>
  <c r="V320" i="2" s="1"/>
  <c r="U321" i="2"/>
  <c r="V321" i="2" s="1"/>
  <c r="U322" i="2"/>
  <c r="V322" i="2" s="1"/>
  <c r="U323" i="2"/>
  <c r="V323" i="2" s="1"/>
  <c r="U324" i="2"/>
  <c r="V324" i="2" s="1"/>
  <c r="U325" i="2"/>
  <c r="V325" i="2" s="1"/>
  <c r="U326" i="2"/>
  <c r="V326" i="2" s="1"/>
  <c r="U327" i="2"/>
  <c r="V327" i="2" s="1"/>
  <c r="U328" i="2"/>
  <c r="V328" i="2" s="1"/>
  <c r="U329" i="2"/>
  <c r="V329" i="2" s="1"/>
  <c r="U330" i="2"/>
  <c r="V330" i="2" s="1"/>
  <c r="U331" i="2"/>
  <c r="V331" i="2" s="1"/>
  <c r="U332" i="2"/>
  <c r="V332" i="2" s="1"/>
  <c r="U333" i="2"/>
  <c r="V333" i="2" s="1"/>
  <c r="U334" i="2"/>
  <c r="V334" i="2" s="1"/>
  <c r="U335" i="2"/>
  <c r="V335" i="2" s="1"/>
  <c r="U336" i="2"/>
  <c r="V336" i="2" s="1"/>
  <c r="U337" i="2"/>
  <c r="V337" i="2" s="1"/>
  <c r="U338" i="2"/>
  <c r="V338" i="2" s="1"/>
  <c r="U339" i="2"/>
  <c r="V339" i="2" s="1"/>
  <c r="U340" i="2"/>
  <c r="V340" i="2" s="1"/>
  <c r="U341" i="2"/>
  <c r="V341" i="2" s="1"/>
  <c r="U342" i="2"/>
  <c r="V342" i="2" s="1"/>
  <c r="U343" i="2"/>
  <c r="V343" i="2" s="1"/>
  <c r="U344" i="2"/>
  <c r="V344" i="2" s="1"/>
  <c r="U345" i="2"/>
  <c r="V345" i="2" s="1"/>
  <c r="U346" i="2"/>
  <c r="V346" i="2" s="1"/>
  <c r="U347" i="2"/>
  <c r="V347" i="2" s="1"/>
  <c r="U348" i="2"/>
  <c r="V348" i="2" s="1"/>
  <c r="U349" i="2"/>
  <c r="V349" i="2" s="1"/>
  <c r="U350" i="2"/>
  <c r="V350" i="2" s="1"/>
  <c r="U351" i="2"/>
  <c r="V351" i="2" s="1"/>
  <c r="U352" i="2"/>
  <c r="V352" i="2" s="1"/>
  <c r="U353" i="2"/>
  <c r="V353" i="2" s="1"/>
  <c r="U354" i="2"/>
  <c r="V354" i="2" s="1"/>
  <c r="U355" i="2"/>
  <c r="V355" i="2" s="1"/>
  <c r="U356" i="2"/>
  <c r="V356" i="2" s="1"/>
  <c r="U357" i="2"/>
  <c r="V357" i="2" s="1"/>
  <c r="U358" i="2"/>
  <c r="V358" i="2" s="1"/>
  <c r="U359" i="2"/>
  <c r="V359" i="2" s="1"/>
  <c r="U360" i="2"/>
  <c r="V360" i="2" s="1"/>
  <c r="U361" i="2"/>
  <c r="V361" i="2" s="1"/>
  <c r="U362" i="2"/>
  <c r="V362" i="2" s="1"/>
  <c r="U363" i="2"/>
  <c r="V363" i="2" s="1"/>
  <c r="U364" i="2"/>
  <c r="V364" i="2" s="1"/>
  <c r="U365" i="2"/>
  <c r="V365" i="2" s="1"/>
  <c r="U366" i="2"/>
  <c r="V366" i="2" s="1"/>
  <c r="U367" i="2"/>
  <c r="V367" i="2" s="1"/>
  <c r="U368" i="2"/>
  <c r="V368" i="2" s="1"/>
  <c r="U369" i="2"/>
  <c r="V369" i="2" s="1"/>
  <c r="U370" i="2"/>
  <c r="V370" i="2" s="1"/>
  <c r="U371" i="2"/>
  <c r="V371" i="2" s="1"/>
  <c r="U372" i="2"/>
  <c r="V372" i="2" s="1"/>
  <c r="U373" i="2"/>
  <c r="V373" i="2" s="1"/>
  <c r="U374" i="2"/>
  <c r="V374" i="2" s="1"/>
  <c r="U375" i="2"/>
  <c r="V375" i="2" s="1"/>
  <c r="U376" i="2"/>
  <c r="V376" i="2" s="1"/>
  <c r="U377" i="2"/>
  <c r="V377" i="2" s="1"/>
  <c r="U378" i="2"/>
  <c r="V378" i="2" s="1"/>
  <c r="U379" i="2"/>
  <c r="V379" i="2" s="1"/>
  <c r="U380" i="2"/>
  <c r="V380" i="2" s="1"/>
  <c r="U381" i="2"/>
  <c r="V381" i="2" s="1"/>
  <c r="U382" i="2"/>
  <c r="V382" i="2" s="1"/>
  <c r="U383" i="2"/>
  <c r="V383" i="2" s="1"/>
  <c r="U384" i="2"/>
  <c r="V384" i="2" s="1"/>
  <c r="U385" i="2"/>
  <c r="V385" i="2" s="1"/>
  <c r="U386" i="2"/>
  <c r="V386" i="2" s="1"/>
  <c r="AC386" i="2" s="1"/>
  <c r="U387" i="2"/>
  <c r="V387" i="2" s="1"/>
  <c r="AC387" i="2" s="1"/>
  <c r="U388" i="2"/>
  <c r="V388" i="2" s="1"/>
  <c r="AC388" i="2" s="1"/>
  <c r="U389" i="2"/>
  <c r="V389" i="2" s="1"/>
  <c r="AC389" i="2" s="1"/>
  <c r="U390" i="2"/>
  <c r="V390" i="2" s="1"/>
  <c r="U391" i="2"/>
  <c r="V391" i="2" s="1"/>
  <c r="U392" i="2"/>
  <c r="V392" i="2" s="1"/>
  <c r="U393" i="2"/>
  <c r="V393" i="2" s="1"/>
  <c r="U394" i="2"/>
  <c r="V394" i="2" s="1"/>
  <c r="U395" i="2"/>
  <c r="V395" i="2" s="1"/>
  <c r="U396" i="2"/>
  <c r="V396" i="2" s="1"/>
  <c r="U397" i="2"/>
  <c r="V397" i="2" s="1"/>
  <c r="U398" i="2"/>
  <c r="V398" i="2" s="1"/>
  <c r="U399" i="2"/>
  <c r="V399" i="2" s="1"/>
  <c r="U400" i="2"/>
  <c r="V400" i="2" s="1"/>
  <c r="U401" i="2"/>
  <c r="V401" i="2" s="1"/>
  <c r="U402" i="2"/>
  <c r="V402" i="2" s="1"/>
  <c r="U403" i="2"/>
  <c r="V403" i="2" s="1"/>
  <c r="U404" i="2"/>
  <c r="V404" i="2" s="1"/>
  <c r="U405" i="2"/>
  <c r="V405" i="2" s="1"/>
  <c r="U406" i="2"/>
  <c r="V406" i="2" s="1"/>
  <c r="U407" i="2"/>
  <c r="V407" i="2" s="1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E30" i="3"/>
  <c r="D30" i="3"/>
  <c r="C30" i="3"/>
  <c r="B30" i="3"/>
  <c r="E27" i="3"/>
  <c r="D27" i="3"/>
  <c r="C27" i="3"/>
  <c r="B27" i="3"/>
  <c r="E35" i="3"/>
  <c r="D35" i="3"/>
  <c r="C35" i="3"/>
  <c r="B35" i="3"/>
  <c r="E36" i="3"/>
  <c r="D36" i="3"/>
  <c r="C36" i="3"/>
  <c r="B36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C296" i="2"/>
  <c r="Y296" i="2" s="1"/>
  <c r="C297" i="2"/>
  <c r="Y297" i="2" s="1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L248" i="2" s="1"/>
  <c r="N248" i="2" s="1"/>
  <c r="J249" i="2" a="1"/>
  <c r="L249" i="2" s="1"/>
  <c r="N249" i="2" s="1"/>
  <c r="J250" i="2" a="1"/>
  <c r="J251" i="2" a="1"/>
  <c r="L251" i="2" s="1"/>
  <c r="N251" i="2" s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U314" i="2"/>
  <c r="V314" i="2" s="1"/>
  <c r="U315" i="2"/>
  <c r="V315" i="2" s="1"/>
  <c r="U316" i="2"/>
  <c r="V316" i="2" s="1"/>
  <c r="U317" i="2"/>
  <c r="V317" i="2" s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C20" i="2"/>
  <c r="Y20" i="2" s="1"/>
  <c r="C21" i="2"/>
  <c r="Y21" i="2" s="1"/>
  <c r="C22" i="2"/>
  <c r="Y22" i="2" s="1"/>
  <c r="C23" i="2"/>
  <c r="Y23" i="2" s="1"/>
  <c r="C24" i="2"/>
  <c r="Y24" i="2" s="1"/>
  <c r="C25" i="2"/>
  <c r="Y25" i="2" s="1"/>
  <c r="C26" i="2"/>
  <c r="Y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K450" i="2" l="1"/>
  <c r="M450" i="2" s="1"/>
  <c r="L450" i="2"/>
  <c r="N450" i="2" s="1"/>
  <c r="Z444" i="2"/>
  <c r="Z445" i="2"/>
  <c r="K444" i="2"/>
  <c r="M444" i="2" s="1"/>
  <c r="L444" i="2"/>
  <c r="N444" i="2" s="1"/>
  <c r="K445" i="2"/>
  <c r="M445" i="2" s="1"/>
  <c r="L445" i="2"/>
  <c r="N445" i="2" s="1"/>
  <c r="Z442" i="2"/>
  <c r="Z443" i="2"/>
  <c r="L439" i="2"/>
  <c r="N439" i="2" s="1"/>
  <c r="K439" i="2"/>
  <c r="M439" i="2" s="1"/>
  <c r="K442" i="2"/>
  <c r="M442" i="2" s="1"/>
  <c r="L442" i="2"/>
  <c r="N442" i="2" s="1"/>
  <c r="K443" i="2"/>
  <c r="M443" i="2" s="1"/>
  <c r="L443" i="2"/>
  <c r="N443" i="2" s="1"/>
  <c r="L440" i="2"/>
  <c r="N440" i="2" s="1"/>
  <c r="K440" i="2"/>
  <c r="M440" i="2" s="1"/>
  <c r="F26" i="3"/>
  <c r="L416" i="2"/>
  <c r="N416" i="2" s="1"/>
  <c r="K416" i="2"/>
  <c r="M416" i="2" s="1"/>
  <c r="F28" i="3"/>
  <c r="AD318" i="2"/>
  <c r="AC318" i="2"/>
  <c r="AD319" i="2"/>
  <c r="AC319" i="2"/>
  <c r="AD320" i="2"/>
  <c r="AC320" i="2"/>
  <c r="AD321" i="2"/>
  <c r="AC321" i="2"/>
  <c r="AD322" i="2"/>
  <c r="AC322" i="2"/>
  <c r="AD323" i="2"/>
  <c r="AC323" i="2"/>
  <c r="AD324" i="2"/>
  <c r="AC324" i="2"/>
  <c r="AD325" i="2"/>
  <c r="AC325" i="2"/>
  <c r="AD326" i="2"/>
  <c r="AC326" i="2"/>
  <c r="AD327" i="2"/>
  <c r="AC327" i="2"/>
  <c r="AD328" i="2"/>
  <c r="AC328" i="2"/>
  <c r="AD329" i="2"/>
  <c r="AC329" i="2"/>
  <c r="L441" i="2"/>
  <c r="N441" i="2" s="1"/>
  <c r="K441" i="2"/>
  <c r="M441" i="2" s="1"/>
  <c r="Z19" i="2"/>
  <c r="Z20" i="2"/>
  <c r="Z21" i="2"/>
  <c r="Z22" i="2"/>
  <c r="Z23" i="2"/>
  <c r="Z24" i="2"/>
  <c r="Z25" i="2"/>
  <c r="Z26" i="2"/>
  <c r="F25" i="3"/>
  <c r="AD376" i="2"/>
  <c r="AC376" i="2"/>
  <c r="AD377" i="2"/>
  <c r="AC377" i="2"/>
  <c r="AD378" i="2"/>
  <c r="AC378" i="2"/>
  <c r="AD379" i="2"/>
  <c r="AC379" i="2"/>
  <c r="AD380" i="2"/>
  <c r="AC380" i="2"/>
  <c r="AD381" i="2"/>
  <c r="AC381" i="2"/>
  <c r="AD382" i="2"/>
  <c r="AC382" i="2"/>
  <c r="AD383" i="2"/>
  <c r="AC383" i="2"/>
  <c r="AD384" i="2"/>
  <c r="AC384" i="2"/>
  <c r="AD385" i="2"/>
  <c r="AC385" i="2"/>
  <c r="AD390" i="2"/>
  <c r="AC390" i="2"/>
  <c r="AD391" i="2"/>
  <c r="AC391" i="2"/>
  <c r="AD392" i="2"/>
  <c r="AC392" i="2"/>
  <c r="AD393" i="2"/>
  <c r="AC393" i="2"/>
  <c r="AD394" i="2"/>
  <c r="AC394" i="2"/>
  <c r="AD395" i="2"/>
  <c r="AC395" i="2"/>
  <c r="AD396" i="2"/>
  <c r="AC396" i="2"/>
  <c r="AD397" i="2"/>
  <c r="AC397" i="2"/>
  <c r="AD398" i="2"/>
  <c r="AC398" i="2"/>
  <c r="AD399" i="2"/>
  <c r="AC399" i="2"/>
  <c r="AD400" i="2"/>
  <c r="AC400" i="2"/>
  <c r="AD401" i="2"/>
  <c r="AC401" i="2"/>
  <c r="AD402" i="2"/>
  <c r="AC402" i="2"/>
  <c r="AD403" i="2"/>
  <c r="AC403" i="2"/>
  <c r="AD404" i="2"/>
  <c r="AC404" i="2"/>
  <c r="AD405" i="2"/>
  <c r="AC405" i="2"/>
  <c r="AD406" i="2"/>
  <c r="AC406" i="2"/>
  <c r="AD407" i="2"/>
  <c r="AC407" i="2"/>
  <c r="AC330" i="2"/>
  <c r="AD330" i="2"/>
  <c r="AC331" i="2"/>
  <c r="AD331" i="2"/>
  <c r="AC332" i="2"/>
  <c r="AD332" i="2"/>
  <c r="AC333" i="2"/>
  <c r="AD333" i="2"/>
  <c r="AC334" i="2"/>
  <c r="AD334" i="2"/>
  <c r="AC335" i="2"/>
  <c r="AD335" i="2"/>
  <c r="AC336" i="2"/>
  <c r="AD336" i="2"/>
  <c r="AD337" i="2"/>
  <c r="AC337" i="2"/>
  <c r="AD338" i="2"/>
  <c r="AC338" i="2"/>
  <c r="AD339" i="2"/>
  <c r="AC339" i="2"/>
  <c r="AC340" i="2"/>
  <c r="AD340" i="2"/>
  <c r="AC341" i="2"/>
  <c r="AD341" i="2"/>
  <c r="AC342" i="2"/>
  <c r="AD342" i="2"/>
  <c r="AC343" i="2"/>
  <c r="AD343" i="2"/>
  <c r="AC344" i="2"/>
  <c r="AD344" i="2"/>
  <c r="AD345" i="2"/>
  <c r="AC345" i="2"/>
  <c r="AC346" i="2"/>
  <c r="AD346" i="2"/>
  <c r="AD347" i="2"/>
  <c r="AC347" i="2"/>
  <c r="AD348" i="2"/>
  <c r="AC348" i="2"/>
  <c r="AD349" i="2"/>
  <c r="AC349" i="2"/>
  <c r="AC350" i="2"/>
  <c r="AD350" i="2"/>
  <c r="AD351" i="2"/>
  <c r="AC351" i="2"/>
  <c r="AD352" i="2"/>
  <c r="AC352" i="2"/>
  <c r="AD353" i="2"/>
  <c r="AC353" i="2"/>
  <c r="AD354" i="2"/>
  <c r="AC354" i="2"/>
  <c r="AD355" i="2"/>
  <c r="AC355" i="2"/>
  <c r="AD356" i="2"/>
  <c r="AC356" i="2"/>
  <c r="AD357" i="2"/>
  <c r="AC357" i="2"/>
  <c r="AD358" i="2"/>
  <c r="AC358" i="2"/>
  <c r="AD359" i="2"/>
  <c r="AC359" i="2"/>
  <c r="AD360" i="2"/>
  <c r="AC360" i="2"/>
  <c r="AD361" i="2"/>
  <c r="AC361" i="2"/>
  <c r="AD362" i="2"/>
  <c r="AC362" i="2"/>
  <c r="AD363" i="2"/>
  <c r="AC363" i="2"/>
  <c r="AD364" i="2"/>
  <c r="AC364" i="2"/>
  <c r="AD365" i="2"/>
  <c r="AC365" i="2"/>
  <c r="AD366" i="2"/>
  <c r="AC366" i="2"/>
  <c r="AD367" i="2"/>
  <c r="AC367" i="2"/>
  <c r="AD368" i="2"/>
  <c r="AC368" i="2"/>
  <c r="AD369" i="2"/>
  <c r="AC369" i="2"/>
  <c r="AD370" i="2"/>
  <c r="AC370" i="2"/>
  <c r="AD371" i="2"/>
  <c r="AC371" i="2"/>
  <c r="AD372" i="2"/>
  <c r="AC372" i="2"/>
  <c r="AD373" i="2"/>
  <c r="AC373" i="2"/>
  <c r="AD374" i="2"/>
  <c r="AC374" i="2"/>
  <c r="AD375" i="2"/>
  <c r="AC375" i="2"/>
  <c r="F35" i="3"/>
  <c r="AE386" i="2"/>
  <c r="AD386" i="2"/>
  <c r="AE387" i="2"/>
  <c r="AD387" i="2"/>
  <c r="AE388" i="2"/>
  <c r="AD388" i="2"/>
  <c r="AE389" i="2"/>
  <c r="AD389" i="2"/>
  <c r="F34" i="3"/>
  <c r="F36" i="3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L345" i="2"/>
  <c r="N345" i="2" s="1"/>
  <c r="L346" i="2"/>
  <c r="N346" i="2" s="1"/>
  <c r="K248" i="2"/>
  <c r="M248" i="2" s="1"/>
  <c r="K249" i="2"/>
  <c r="M249" i="2" s="1"/>
  <c r="K251" i="2"/>
  <c r="M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1" i="2"/>
  <c r="N361" i="2" s="1"/>
  <c r="L362" i="2"/>
  <c r="N362" i="2" s="1"/>
  <c r="L363" i="2"/>
  <c r="N363" i="2" s="1"/>
  <c r="L364" i="2"/>
  <c r="N364" i="2" s="1"/>
  <c r="L365" i="2"/>
  <c r="N365" i="2" s="1"/>
  <c r="L366" i="2"/>
  <c r="N366" i="2" s="1"/>
  <c r="L367" i="2"/>
  <c r="N367" i="2" s="1"/>
  <c r="L368" i="2"/>
  <c r="N368" i="2" s="1"/>
  <c r="L369" i="2"/>
  <c r="N369" i="2" s="1"/>
  <c r="L370" i="2"/>
  <c r="N370" i="2" s="1"/>
  <c r="L371" i="2"/>
  <c r="N371" i="2" s="1"/>
  <c r="L372" i="2"/>
  <c r="N372" i="2" s="1"/>
  <c r="L373" i="2"/>
  <c r="N373" i="2" s="1"/>
  <c r="L374" i="2"/>
  <c r="N374" i="2" s="1"/>
  <c r="L375" i="2"/>
  <c r="N375" i="2" s="1"/>
  <c r="L376" i="2"/>
  <c r="N376" i="2" s="1"/>
  <c r="L377" i="2"/>
  <c r="N377" i="2" s="1"/>
  <c r="L378" i="2"/>
  <c r="N378" i="2" s="1"/>
  <c r="L379" i="2"/>
  <c r="N379" i="2" s="1"/>
  <c r="L380" i="2"/>
  <c r="N380" i="2" s="1"/>
  <c r="L381" i="2"/>
  <c r="N381" i="2" s="1"/>
  <c r="L382" i="2"/>
  <c r="N382" i="2" s="1"/>
  <c r="L383" i="2"/>
  <c r="N383" i="2" s="1"/>
  <c r="L384" i="2"/>
  <c r="N384" i="2" s="1"/>
  <c r="L385" i="2"/>
  <c r="N385" i="2" s="1"/>
  <c r="L386" i="2"/>
  <c r="N386" i="2" s="1"/>
  <c r="L387" i="2"/>
  <c r="N387" i="2" s="1"/>
  <c r="L388" i="2"/>
  <c r="N388" i="2" s="1"/>
  <c r="L389" i="2"/>
  <c r="N389" i="2" s="1"/>
  <c r="L390" i="2"/>
  <c r="N390" i="2" s="1"/>
  <c r="L391" i="2"/>
  <c r="N391" i="2" s="1"/>
  <c r="L392" i="2"/>
  <c r="N392" i="2" s="1"/>
  <c r="L393" i="2"/>
  <c r="N393" i="2" s="1"/>
  <c r="L394" i="2"/>
  <c r="N394" i="2" s="1"/>
  <c r="L395" i="2"/>
  <c r="N395" i="2" s="1"/>
  <c r="L396" i="2"/>
  <c r="N396" i="2" s="1"/>
  <c r="L397" i="2"/>
  <c r="N397" i="2" s="1"/>
  <c r="L398" i="2"/>
  <c r="N398" i="2" s="1"/>
  <c r="L399" i="2"/>
  <c r="N399" i="2" s="1"/>
  <c r="L400" i="2"/>
  <c r="N400" i="2" s="1"/>
  <c r="L401" i="2"/>
  <c r="N401" i="2" s="1"/>
  <c r="L402" i="2"/>
  <c r="N402" i="2" s="1"/>
  <c r="L403" i="2"/>
  <c r="N403" i="2" s="1"/>
  <c r="L404" i="2"/>
  <c r="N404" i="2" s="1"/>
  <c r="L405" i="2"/>
  <c r="N405" i="2" s="1"/>
  <c r="L318" i="2"/>
  <c r="N318" i="2" s="1"/>
  <c r="K318" i="2"/>
  <c r="M318" i="2" s="1"/>
  <c r="L319" i="2"/>
  <c r="N319" i="2" s="1"/>
  <c r="K319" i="2"/>
  <c r="M319" i="2" s="1"/>
  <c r="L320" i="2"/>
  <c r="N320" i="2" s="1"/>
  <c r="K320" i="2"/>
  <c r="M320" i="2" s="1"/>
  <c r="L321" i="2"/>
  <c r="N321" i="2" s="1"/>
  <c r="K321" i="2"/>
  <c r="M321" i="2" s="1"/>
  <c r="L322" i="2"/>
  <c r="N322" i="2" s="1"/>
  <c r="K322" i="2"/>
  <c r="M322" i="2" s="1"/>
  <c r="L323" i="2"/>
  <c r="N323" i="2" s="1"/>
  <c r="K323" i="2"/>
  <c r="M323" i="2" s="1"/>
  <c r="L324" i="2"/>
  <c r="N324" i="2" s="1"/>
  <c r="K324" i="2"/>
  <c r="M324" i="2" s="1"/>
  <c r="K268" i="2"/>
  <c r="M268" i="2" s="1"/>
  <c r="L268" i="2"/>
  <c r="N268" i="2" s="1"/>
  <c r="K269" i="2"/>
  <c r="M269" i="2" s="1"/>
  <c r="L269" i="2"/>
  <c r="N269" i="2" s="1"/>
  <c r="K270" i="2"/>
  <c r="M270" i="2" s="1"/>
  <c r="L270" i="2"/>
  <c r="N270" i="2" s="1"/>
  <c r="K271" i="2"/>
  <c r="M271" i="2" s="1"/>
  <c r="L271" i="2"/>
  <c r="N271" i="2" s="1"/>
  <c r="K272" i="2"/>
  <c r="M272" i="2" s="1"/>
  <c r="L272" i="2"/>
  <c r="N272" i="2" s="1"/>
  <c r="K273" i="2"/>
  <c r="M273" i="2" s="1"/>
  <c r="L273" i="2"/>
  <c r="N273" i="2" s="1"/>
  <c r="K274" i="2"/>
  <c r="M274" i="2" s="1"/>
  <c r="L274" i="2"/>
  <c r="N274" i="2" s="1"/>
  <c r="K275" i="2"/>
  <c r="M275" i="2" s="1"/>
  <c r="L275" i="2"/>
  <c r="N275" i="2" s="1"/>
  <c r="K276" i="2"/>
  <c r="M276" i="2" s="1"/>
  <c r="L276" i="2"/>
  <c r="N276" i="2" s="1"/>
  <c r="K277" i="2"/>
  <c r="M277" i="2" s="1"/>
  <c r="L277" i="2"/>
  <c r="N277" i="2" s="1"/>
  <c r="K278" i="2"/>
  <c r="M278" i="2" s="1"/>
  <c r="L278" i="2"/>
  <c r="N278" i="2" s="1"/>
  <c r="K279" i="2"/>
  <c r="M279" i="2" s="1"/>
  <c r="L279" i="2"/>
  <c r="N279" i="2" s="1"/>
  <c r="K280" i="2"/>
  <c r="M280" i="2" s="1"/>
  <c r="L280" i="2"/>
  <c r="N280" i="2" s="1"/>
  <c r="K281" i="2"/>
  <c r="M281" i="2" s="1"/>
  <c r="L281" i="2"/>
  <c r="N281" i="2" s="1"/>
  <c r="K282" i="2"/>
  <c r="M282" i="2" s="1"/>
  <c r="L282" i="2"/>
  <c r="N282" i="2" s="1"/>
  <c r="K283" i="2"/>
  <c r="M283" i="2" s="1"/>
  <c r="L283" i="2"/>
  <c r="N283" i="2" s="1"/>
  <c r="K284" i="2"/>
  <c r="M284" i="2" s="1"/>
  <c r="L284" i="2"/>
  <c r="N284" i="2" s="1"/>
  <c r="AD408" i="2"/>
  <c r="AC408" i="2"/>
  <c r="AD409" i="2"/>
  <c r="AC409" i="2"/>
  <c r="AD410" i="2"/>
  <c r="AC410" i="2"/>
  <c r="AD411" i="2"/>
  <c r="AC411" i="2"/>
  <c r="AD412" i="2"/>
  <c r="AC412" i="2"/>
  <c r="AD413" i="2"/>
  <c r="AC413" i="2"/>
  <c r="AD414" i="2"/>
  <c r="AC414" i="2"/>
  <c r="AD415" i="2"/>
  <c r="AC415" i="2"/>
  <c r="AD416" i="2"/>
  <c r="AC416" i="2"/>
  <c r="AD417" i="2"/>
  <c r="AC417" i="2"/>
  <c r="AD418" i="2"/>
  <c r="AC418" i="2"/>
  <c r="AD419" i="2"/>
  <c r="AC419" i="2"/>
  <c r="AD420" i="2"/>
  <c r="AC420" i="2"/>
  <c r="AD421" i="2"/>
  <c r="AC421" i="2"/>
  <c r="AD422" i="2"/>
  <c r="AC422" i="2"/>
  <c r="AD423" i="2"/>
  <c r="AC423" i="2"/>
  <c r="AD424" i="2"/>
  <c r="AC424" i="2"/>
  <c r="AD425" i="2"/>
  <c r="AC425" i="2"/>
  <c r="AD426" i="2"/>
  <c r="AC426" i="2"/>
  <c r="AD427" i="2"/>
  <c r="AC427" i="2"/>
  <c r="AD428" i="2"/>
  <c r="AC428" i="2"/>
  <c r="AD429" i="2"/>
  <c r="AC429" i="2"/>
  <c r="AD430" i="2"/>
  <c r="AC430" i="2"/>
  <c r="AD431" i="2"/>
  <c r="AC431" i="2"/>
  <c r="AD432" i="2"/>
  <c r="AC432" i="2"/>
  <c r="AD433" i="2"/>
  <c r="AC433" i="2"/>
  <c r="AD434" i="2"/>
  <c r="AC434" i="2"/>
  <c r="AD435" i="2"/>
  <c r="AC435" i="2"/>
  <c r="AD436" i="2"/>
  <c r="AC436" i="2"/>
  <c r="AD437" i="2"/>
  <c r="AC437" i="2"/>
  <c r="AD438" i="2"/>
  <c r="AC438" i="2"/>
  <c r="AD439" i="2"/>
  <c r="AC439" i="2"/>
  <c r="AD440" i="2"/>
  <c r="AC440" i="2"/>
  <c r="AD441" i="2"/>
  <c r="AC441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K325" i="2"/>
  <c r="M325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M340" i="2" s="1"/>
  <c r="K341" i="2"/>
  <c r="M341" i="2" s="1"/>
  <c r="K342" i="2"/>
  <c r="M342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97" i="2"/>
  <c r="M397" i="2" s="1"/>
  <c r="K399" i="2"/>
  <c r="M399" i="2" s="1"/>
  <c r="K401" i="2"/>
  <c r="M401" i="2" s="1"/>
  <c r="K403" i="2"/>
  <c r="M403" i="2" s="1"/>
  <c r="K405" i="2"/>
  <c r="M405" i="2" s="1"/>
  <c r="K356" i="2"/>
  <c r="M356" i="2" s="1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4" i="2"/>
  <c r="M364" i="2" s="1"/>
  <c r="K365" i="2"/>
  <c r="M365" i="2" s="1"/>
  <c r="K366" i="2"/>
  <c r="M366" i="2" s="1"/>
  <c r="K367" i="2"/>
  <c r="M367" i="2" s="1"/>
  <c r="K368" i="2"/>
  <c r="M368" i="2" s="1"/>
  <c r="K369" i="2"/>
  <c r="M369" i="2" s="1"/>
  <c r="K370" i="2"/>
  <c r="M370" i="2" s="1"/>
  <c r="K371" i="2"/>
  <c r="M371" i="2" s="1"/>
  <c r="K372" i="2"/>
  <c r="M372" i="2" s="1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M380" i="2" s="1"/>
  <c r="K381" i="2"/>
  <c r="M381" i="2" s="1"/>
  <c r="K382" i="2"/>
  <c r="M382" i="2" s="1"/>
  <c r="K383" i="2"/>
  <c r="M383" i="2" s="1"/>
  <c r="K384" i="2"/>
  <c r="M384" i="2" s="1"/>
  <c r="K385" i="2"/>
  <c r="M385" i="2" s="1"/>
  <c r="K386" i="2"/>
  <c r="M386" i="2" s="1"/>
  <c r="K387" i="2"/>
  <c r="M387" i="2" s="1"/>
  <c r="K388" i="2"/>
  <c r="M388" i="2" s="1"/>
  <c r="K389" i="2"/>
  <c r="M389" i="2" s="1"/>
  <c r="K390" i="2"/>
  <c r="M390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M396" i="2" s="1"/>
  <c r="K398" i="2"/>
  <c r="M398" i="2" s="1"/>
  <c r="K400" i="2"/>
  <c r="M400" i="2" s="1"/>
  <c r="K402" i="2"/>
  <c r="M402" i="2" s="1"/>
  <c r="K404" i="2"/>
  <c r="M404" i="2" s="1"/>
  <c r="Z408" i="2"/>
  <c r="Z412" i="2"/>
  <c r="Z414" i="2"/>
  <c r="Z416" i="2"/>
  <c r="Z410" i="2"/>
  <c r="Z411" i="2"/>
  <c r="Z413" i="2"/>
  <c r="Z415" i="2"/>
  <c r="Z417" i="2"/>
  <c r="Z409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K406" i="2"/>
  <c r="M406" i="2" s="1"/>
  <c r="L406" i="2"/>
  <c r="N406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0" i="2"/>
  <c r="M250" i="2" s="1"/>
  <c r="L250" i="2"/>
  <c r="N250" i="2" s="1"/>
  <c r="F27" i="3"/>
  <c r="AD287" i="2"/>
  <c r="AC287" i="2"/>
  <c r="AD288" i="2"/>
  <c r="AC288" i="2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D296" i="2"/>
  <c r="AC296" i="2"/>
  <c r="AD297" i="2"/>
  <c r="AC297" i="2"/>
  <c r="AD298" i="2"/>
  <c r="AC298" i="2"/>
  <c r="AD299" i="2"/>
  <c r="AC299" i="2"/>
  <c r="AD300" i="2"/>
  <c r="AC300" i="2"/>
  <c r="AD301" i="2"/>
  <c r="AC301" i="2"/>
  <c r="AD302" i="2"/>
  <c r="AC302" i="2"/>
  <c r="AD303" i="2"/>
  <c r="AC303" i="2"/>
  <c r="AD304" i="2"/>
  <c r="AC304" i="2"/>
  <c r="AD305" i="2"/>
  <c r="AC305" i="2"/>
  <c r="AD306" i="2"/>
  <c r="AC306" i="2"/>
  <c r="AD307" i="2"/>
  <c r="AC307" i="2"/>
  <c r="AD308" i="2"/>
  <c r="AC308" i="2"/>
  <c r="AD309" i="2"/>
  <c r="AC309" i="2"/>
  <c r="AD310" i="2"/>
  <c r="AC310" i="2"/>
  <c r="AD311" i="2"/>
  <c r="AC311" i="2"/>
  <c r="AD312" i="2"/>
  <c r="AC312" i="2"/>
  <c r="AD313" i="2"/>
  <c r="AC313" i="2"/>
  <c r="AD314" i="2"/>
  <c r="AC314" i="2"/>
  <c r="AD315" i="2"/>
  <c r="AC315" i="2"/>
  <c r="AD316" i="2"/>
  <c r="AC316" i="2"/>
  <c r="AD317" i="2"/>
  <c r="AC317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D243" i="2"/>
  <c r="AC243" i="2"/>
  <c r="AC244" i="2"/>
  <c r="AD244" i="2"/>
  <c r="AC245" i="2"/>
  <c r="AD245" i="2"/>
  <c r="AC246" i="2"/>
  <c r="AD246" i="2"/>
  <c r="AC247" i="2"/>
  <c r="AD247" i="2"/>
  <c r="AD248" i="2"/>
  <c r="AC248" i="2"/>
  <c r="AD249" i="2"/>
  <c r="AC249" i="2"/>
  <c r="AD250" i="2"/>
  <c r="AC250" i="2"/>
  <c r="AD251" i="2"/>
  <c r="AC251" i="2"/>
  <c r="AD252" i="2"/>
  <c r="AC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D276" i="2"/>
  <c r="AC276" i="2"/>
  <c r="AD277" i="2"/>
  <c r="AC277" i="2"/>
  <c r="AD278" i="2"/>
  <c r="AC278" i="2"/>
  <c r="AD279" i="2"/>
  <c r="AC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407" i="2"/>
  <c r="M407" i="2" s="1"/>
  <c r="L407" i="2"/>
  <c r="N407" i="2" s="1"/>
  <c r="K285" i="2"/>
  <c r="M285" i="2" s="1"/>
  <c r="L285" i="2"/>
  <c r="N285" i="2" s="1"/>
  <c r="K286" i="2"/>
  <c r="M286" i="2" s="1"/>
  <c r="L286" i="2"/>
  <c r="N286" i="2" s="1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96" i="2"/>
  <c r="M296" i="2" s="1"/>
  <c r="L296" i="2"/>
  <c r="N296" i="2" s="1"/>
  <c r="K297" i="2"/>
  <c r="M297" i="2" s="1"/>
  <c r="L297" i="2"/>
  <c r="N297" i="2" s="1"/>
  <c r="K298" i="2"/>
  <c r="M298" i="2" s="1"/>
  <c r="L298" i="2"/>
  <c r="N298" i="2" s="1"/>
  <c r="K299" i="2"/>
  <c r="M299" i="2" s="1"/>
  <c r="L299" i="2"/>
  <c r="N299" i="2" s="1"/>
  <c r="K300" i="2"/>
  <c r="M300" i="2" s="1"/>
  <c r="L300" i="2"/>
  <c r="N300" i="2" s="1"/>
  <c r="K301" i="2"/>
  <c r="M301" i="2" s="1"/>
  <c r="L301" i="2"/>
  <c r="N301" i="2" s="1"/>
  <c r="K302" i="2"/>
  <c r="M302" i="2" s="1"/>
  <c r="L302" i="2"/>
  <c r="N302" i="2" s="1"/>
  <c r="L303" i="2"/>
  <c r="N303" i="2" s="1"/>
  <c r="K303" i="2"/>
  <c r="M303" i="2" s="1"/>
  <c r="L304" i="2"/>
  <c r="N304" i="2" s="1"/>
  <c r="K304" i="2"/>
  <c r="M304" i="2" s="1"/>
  <c r="L305" i="2"/>
  <c r="N305" i="2" s="1"/>
  <c r="K305" i="2"/>
  <c r="M305" i="2" s="1"/>
  <c r="L306" i="2"/>
  <c r="N306" i="2" s="1"/>
  <c r="K306" i="2"/>
  <c r="M306" i="2" s="1"/>
  <c r="L307" i="2"/>
  <c r="N307" i="2" s="1"/>
  <c r="K307" i="2"/>
  <c r="M307" i="2" s="1"/>
  <c r="K308" i="2"/>
  <c r="M308" i="2" s="1"/>
  <c r="L308" i="2"/>
  <c r="N308" i="2" s="1"/>
  <c r="L309" i="2"/>
  <c r="N309" i="2" s="1"/>
  <c r="K309" i="2"/>
  <c r="M309" i="2" s="1"/>
  <c r="K310" i="2"/>
  <c r="M310" i="2" s="1"/>
  <c r="L310" i="2"/>
  <c r="N310" i="2" s="1"/>
  <c r="K311" i="2"/>
  <c r="M311" i="2" s="1"/>
  <c r="L311" i="2"/>
  <c r="N311" i="2" s="1"/>
  <c r="L312" i="2"/>
  <c r="N312" i="2" s="1"/>
  <c r="K312" i="2"/>
  <c r="M312" i="2" s="1"/>
  <c r="L313" i="2"/>
  <c r="N313" i="2" s="1"/>
  <c r="K313" i="2"/>
  <c r="M313" i="2" s="1"/>
  <c r="L314" i="2"/>
  <c r="N314" i="2" s="1"/>
  <c r="K314" i="2"/>
  <c r="M314" i="2" s="1"/>
  <c r="L315" i="2"/>
  <c r="N315" i="2" s="1"/>
  <c r="K315" i="2"/>
  <c r="M315" i="2" s="1"/>
  <c r="K316" i="2"/>
  <c r="M316" i="2" s="1"/>
  <c r="L316" i="2"/>
  <c r="N316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L243" i="2"/>
  <c r="N243" i="2" s="1"/>
  <c r="K243" i="2"/>
  <c r="M243" i="2" s="1"/>
  <c r="L244" i="2"/>
  <c r="N244" i="2" s="1"/>
  <c r="K244" i="2"/>
  <c r="M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F30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96" i="2"/>
  <c r="Z298" i="2"/>
  <c r="Z300" i="2"/>
  <c r="Z302" i="2"/>
  <c r="Z304" i="2"/>
  <c r="Z305" i="2"/>
  <c r="Z307" i="2"/>
  <c r="Z309" i="2"/>
  <c r="Z311" i="2"/>
  <c r="Z313" i="2"/>
  <c r="Z314" i="2"/>
  <c r="Z316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Z297" i="2"/>
  <c r="Z299" i="2"/>
  <c r="Z301" i="2"/>
  <c r="Z303" i="2"/>
  <c r="Z306" i="2"/>
  <c r="Z308" i="2"/>
  <c r="Z310" i="2"/>
  <c r="Z312" i="2"/>
  <c r="Z315" i="2"/>
  <c r="Z317" i="2"/>
  <c r="L317" i="2"/>
  <c r="N317" i="2" s="1"/>
  <c r="K317" i="2"/>
  <c r="M317" i="2" s="1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Q2" i="2" l="1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7" i="2" a="1"/>
  <c r="O6" i="2" a="1"/>
  <c r="P6" i="2" a="1"/>
  <c r="O7" i="2" a="1"/>
  <c r="AA4" i="2"/>
  <c r="AB4" i="2" s="1"/>
  <c r="W6" i="2" l="1"/>
  <c r="W7" i="2"/>
  <c r="Q7" i="2"/>
  <c r="Q6" i="2"/>
  <c r="AA7" i="2" l="1"/>
  <c r="AB7" i="2" s="1"/>
  <c r="AA6" i="2"/>
  <c r="AB6" i="2" s="1"/>
  <c r="P8" i="2" l="1" a="1"/>
  <c r="O8" i="2" a="1"/>
  <c r="O9" i="2" a="1"/>
  <c r="P9" i="2" a="1"/>
  <c r="W8" i="2" l="1"/>
  <c r="W9" i="2"/>
  <c r="Q8" i="2"/>
  <c r="Q9" i="2"/>
  <c r="AA8" i="2" l="1"/>
  <c r="AB8" i="2" s="1"/>
  <c r="AA9" i="2"/>
  <c r="AB9" i="2" s="1"/>
  <c r="O10" i="2" a="1"/>
  <c r="P11" i="2" a="1"/>
  <c r="P10" i="2" a="1"/>
  <c r="O11" i="2" a="1"/>
  <c r="W10" i="2" l="1"/>
  <c r="W11" i="2"/>
  <c r="Q11" i="2"/>
  <c r="Q10" i="2"/>
  <c r="AA10" i="2" l="1"/>
  <c r="AB10" i="2" s="1"/>
  <c r="AA11" i="2"/>
  <c r="AB11" i="2" s="1"/>
  <c r="O13" i="2" l="1" a="1"/>
  <c r="P12" i="2" a="1"/>
  <c r="P13" i="2" a="1"/>
  <c r="O12" i="2" a="1"/>
  <c r="W12" i="2" l="1"/>
  <c r="W13" i="2"/>
  <c r="Q12" i="2"/>
  <c r="Q13" i="2"/>
  <c r="AY9" i="3"/>
  <c r="AY8" i="3"/>
  <c r="AY7" i="3"/>
  <c r="AY6" i="3"/>
  <c r="AY5" i="3"/>
  <c r="AY4" i="3"/>
  <c r="AY3" i="3"/>
  <c r="AY2" i="3"/>
  <c r="AA12" i="2" l="1"/>
  <c r="AB12" i="2" s="1"/>
  <c r="AA13" i="2"/>
  <c r="AB13" i="2" s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P14" i="2" l="1" a="1"/>
  <c r="P15" i="2" a="1"/>
  <c r="O14" i="2" a="1"/>
  <c r="O15" i="2" a="1"/>
  <c r="AV7" i="3"/>
  <c r="AV8" i="3"/>
  <c r="AV5" i="3"/>
  <c r="AW7" i="3"/>
  <c r="AW5" i="3"/>
  <c r="AW9" i="3"/>
  <c r="AW8" i="3"/>
  <c r="AV9" i="3"/>
  <c r="W14" i="2" l="1"/>
  <c r="Q15" i="2"/>
  <c r="Q14" i="2"/>
  <c r="W15" i="2"/>
  <c r="AZ9" i="3"/>
  <c r="AZ7" i="3"/>
  <c r="AZ8" i="3"/>
  <c r="AZ5" i="3"/>
  <c r="AA14" i="2" l="1"/>
  <c r="AB14" i="2" s="1"/>
  <c r="AA15" i="2"/>
  <c r="AB15" i="2" s="1"/>
  <c r="O17" i="2" l="1" a="1"/>
  <c r="O16" i="2" a="1"/>
  <c r="P16" i="2" a="1"/>
  <c r="P17" i="2" a="1"/>
  <c r="C32" i="3"/>
  <c r="B32" i="3"/>
  <c r="C33" i="3"/>
  <c r="B33" i="3"/>
  <c r="C29" i="3"/>
  <c r="B29" i="3"/>
  <c r="C31" i="3"/>
  <c r="B31" i="3"/>
  <c r="Q16" i="2" l="1"/>
  <c r="Q17" i="2"/>
  <c r="W16" i="2"/>
  <c r="W17" i="2"/>
  <c r="AA16" i="2" l="1"/>
  <c r="AB16" i="2" s="1"/>
  <c r="AA17" i="2"/>
  <c r="AB17" i="2" s="1"/>
  <c r="E32" i="3"/>
  <c r="D32" i="3"/>
  <c r="E33" i="3"/>
  <c r="D33" i="3"/>
  <c r="E29" i="3"/>
  <c r="D29" i="3"/>
  <c r="E31" i="3"/>
  <c r="D31" i="3"/>
  <c r="O19" i="2" l="1" a="1"/>
  <c r="O18" i="2" a="1"/>
  <c r="P19" i="2" a="1"/>
  <c r="P18" i="2" a="1"/>
  <c r="F29" i="3"/>
  <c r="F32" i="3"/>
  <c r="F33" i="3"/>
  <c r="F31" i="3"/>
  <c r="Q18" i="2" l="1"/>
  <c r="W19" i="2"/>
  <c r="Q19" i="2"/>
  <c r="W18" i="2"/>
  <c r="AA19" i="2" l="1"/>
  <c r="AB19" i="2" s="1"/>
  <c r="AA18" i="2"/>
  <c r="AB18" i="2" s="1"/>
  <c r="P21" i="2" l="1" a="1"/>
  <c r="O20" i="2" a="1"/>
  <c r="O21" i="2" a="1"/>
  <c r="P20" i="2" a="1"/>
  <c r="W20" i="2" l="1"/>
  <c r="Q21" i="2"/>
  <c r="W21" i="2"/>
  <c r="Q20" i="2"/>
  <c r="AA20" i="2" l="1"/>
  <c r="AB20" i="2" s="1"/>
  <c r="AA21" i="2"/>
  <c r="AB21" i="2" s="1"/>
  <c r="P23" i="2" a="1"/>
  <c r="O23" i="2" a="1"/>
  <c r="AW3" i="3"/>
  <c r="AV3" i="3"/>
  <c r="O22" i="2" l="1" a="1"/>
  <c r="P22" i="2" a="1"/>
  <c r="W23" i="2"/>
  <c r="Q23" i="2"/>
  <c r="AZ3" i="3"/>
  <c r="AV2" i="3"/>
  <c r="AW2" i="3"/>
  <c r="AV4" i="3"/>
  <c r="AW4" i="3"/>
  <c r="W22" i="2" l="1"/>
  <c r="Q22" i="2"/>
  <c r="AA23" i="2"/>
  <c r="AB23" i="2" s="1"/>
  <c r="AZ4" i="3"/>
  <c r="AZ2" i="3"/>
  <c r="AW6" i="3"/>
  <c r="AV6" i="3"/>
  <c r="AA22" i="2" l="1"/>
  <c r="AB22" i="2" s="1"/>
  <c r="P25" i="2" a="1"/>
  <c r="O24" i="2" a="1"/>
  <c r="P24" i="2" a="1"/>
  <c r="O25" i="2" a="1"/>
  <c r="AZ6" i="3"/>
  <c r="W25" i="2" l="1"/>
  <c r="W24" i="2"/>
  <c r="Q25" i="2"/>
  <c r="Q24" i="2"/>
  <c r="AA24" i="2" l="1"/>
  <c r="AB24" i="2" s="1"/>
  <c r="AA25" i="2"/>
  <c r="AB25" i="2" s="1"/>
  <c r="P26" i="2" l="1" a="1"/>
  <c r="P27" i="2" a="1"/>
  <c r="O26" i="2" a="1"/>
  <c r="O27" i="2" a="1"/>
  <c r="O29" i="2" a="1"/>
  <c r="P29" i="2" a="1"/>
  <c r="Q29" i="2" s="1"/>
  <c r="O28" i="2" a="1"/>
  <c r="P28" i="2" a="1"/>
  <c r="O30" i="2" a="1"/>
  <c r="P31" i="2" a="1"/>
  <c r="P30" i="2" a="1"/>
  <c r="O31" i="2" a="1"/>
  <c r="Q26" i="2" l="1"/>
  <c r="W28" i="2"/>
  <c r="Q27" i="2"/>
  <c r="W26" i="2"/>
  <c r="W27" i="2"/>
  <c r="W29" i="2"/>
  <c r="AA29" i="2" s="1"/>
  <c r="AB29" i="2" s="1"/>
  <c r="Q28" i="2"/>
  <c r="Q30" i="2"/>
  <c r="W30" i="2"/>
  <c r="Q31" i="2"/>
  <c r="W31" i="2"/>
  <c r="AA26" i="2" l="1"/>
  <c r="AB26" i="2" s="1"/>
  <c r="AA28" i="2"/>
  <c r="AB28" i="2" s="1"/>
  <c r="AA27" i="2"/>
  <c r="AB27" i="2" s="1"/>
  <c r="AA30" i="2"/>
  <c r="AB30" i="2" s="1"/>
  <c r="AA31" i="2"/>
  <c r="AB31" i="2" s="1"/>
  <c r="O33" i="2" l="1" a="1"/>
  <c r="P33" i="2" a="1"/>
  <c r="P32" i="2" a="1"/>
  <c r="O32" i="2" a="1"/>
  <c r="Q32" i="2" l="1"/>
  <c r="Q33" i="2"/>
  <c r="W33" i="2"/>
  <c r="W32" i="2"/>
  <c r="AA32" i="2" l="1"/>
  <c r="AB32" i="2" s="1"/>
  <c r="AA33" i="2"/>
  <c r="AB33" i="2" s="1"/>
  <c r="O34" i="2" a="1"/>
  <c r="O35" i="2" a="1"/>
  <c r="P34" i="2" a="1"/>
  <c r="P35" i="2" a="1"/>
  <c r="Q34" i="2" l="1"/>
  <c r="W34" i="2"/>
  <c r="W35" i="2"/>
  <c r="Q35" i="2"/>
  <c r="P36" i="2" a="1"/>
  <c r="O36" i="2" a="1"/>
  <c r="O37" i="2" a="1"/>
  <c r="P37" i="2" a="1"/>
  <c r="AA35" i="2" l="1"/>
  <c r="AB35" i="2" s="1"/>
  <c r="AA34" i="2"/>
  <c r="AB34" i="2" s="1"/>
  <c r="Q37" i="2"/>
  <c r="Q36" i="2"/>
  <c r="W36" i="2"/>
  <c r="W37" i="2"/>
  <c r="AA36" i="2" l="1"/>
  <c r="AB36" i="2" s="1"/>
  <c r="AA37" i="2"/>
  <c r="AB37" i="2" s="1"/>
  <c r="P39" i="2" a="1"/>
  <c r="P38" i="2" a="1"/>
  <c r="O38" i="2" a="1"/>
  <c r="O39" i="2" a="1"/>
  <c r="Q38" i="2" l="1"/>
  <c r="Q39" i="2"/>
  <c r="W38" i="2"/>
  <c r="W39" i="2"/>
  <c r="AA38" i="2" l="1"/>
  <c r="AB38" i="2" s="1"/>
  <c r="AA39" i="2"/>
  <c r="AB39" i="2" s="1"/>
  <c r="O41" i="2" l="1" a="1"/>
  <c r="P41" i="2" a="1"/>
  <c r="P40" i="2" a="1"/>
  <c r="O40" i="2" a="1"/>
  <c r="Q41" i="2" l="1"/>
  <c r="Q40" i="2"/>
  <c r="W41" i="2"/>
  <c r="W40" i="2"/>
  <c r="AA41" i="2" l="1"/>
  <c r="AB41" i="2" s="1"/>
  <c r="AA40" i="2"/>
  <c r="AB40" i="2" s="1"/>
  <c r="O43" i="2" l="1" a="1"/>
  <c r="O42" i="2" a="1"/>
  <c r="P43" i="2" a="1"/>
  <c r="P42" i="2" a="1"/>
  <c r="Q43" i="2" l="1"/>
  <c r="Q42" i="2"/>
  <c r="W43" i="2"/>
  <c r="W42" i="2"/>
  <c r="AA43" i="2" l="1"/>
  <c r="AB43" i="2" s="1"/>
  <c r="P45" i="2" a="1"/>
  <c r="O44" i="2" a="1"/>
  <c r="P44" i="2" a="1"/>
  <c r="O45" i="2" a="1"/>
  <c r="AA42" i="2"/>
  <c r="AB42" i="2" s="1"/>
  <c r="W44" i="2" l="1"/>
  <c r="W45" i="2"/>
  <c r="Q44" i="2"/>
  <c r="Q45" i="2"/>
  <c r="AA44" i="2" l="1"/>
  <c r="AB44" i="2" s="1"/>
  <c r="AA45" i="2"/>
  <c r="AB45" i="2" s="1"/>
  <c r="O46" i="2" a="1"/>
  <c r="P46" i="2" a="1"/>
  <c r="O47" i="2" a="1"/>
  <c r="P47" i="2" a="1"/>
  <c r="W46" i="2" l="1"/>
  <c r="Q47" i="2"/>
  <c r="Q46" i="2"/>
  <c r="W47" i="2"/>
  <c r="AA46" i="2" l="1"/>
  <c r="AB46" i="2" s="1"/>
  <c r="AA47" i="2"/>
  <c r="AB47" i="2" s="1"/>
  <c r="P49" i="2" a="1"/>
  <c r="O49" i="2" a="1"/>
  <c r="P48" i="2" a="1"/>
  <c r="O48" i="2" a="1"/>
  <c r="W48" i="2" l="1"/>
  <c r="Q49" i="2"/>
  <c r="W49" i="2"/>
  <c r="Q48" i="2"/>
  <c r="AA49" i="2" l="1"/>
  <c r="AB49" i="2" s="1"/>
  <c r="AA48" i="2"/>
  <c r="AB48" i="2" s="1"/>
  <c r="P50" i="2" a="1"/>
  <c r="P51" i="2" a="1"/>
  <c r="O51" i="2" a="1"/>
  <c r="O50" i="2" a="1"/>
  <c r="Q50" i="2" l="1"/>
  <c r="Q51" i="2"/>
  <c r="W51" i="2"/>
  <c r="AA51" i="2" s="1"/>
  <c r="AB51" i="2" s="1"/>
  <c r="W50" i="2"/>
  <c r="AA50" i="2" l="1"/>
  <c r="AB50" i="2" s="1"/>
  <c r="O53" i="2" a="1"/>
  <c r="P53" i="2" a="1"/>
  <c r="O52" i="2" a="1"/>
  <c r="P52" i="2" a="1"/>
  <c r="O54" i="2" a="1"/>
  <c r="O55" i="2" a="1"/>
  <c r="P54" i="2" a="1"/>
  <c r="P55" i="2" a="1"/>
  <c r="P57" i="2" a="1"/>
  <c r="O57" i="2" a="1"/>
  <c r="O56" i="2" a="1"/>
  <c r="P56" i="2" a="1"/>
  <c r="Q56" i="2" l="1"/>
  <c r="Q53" i="2"/>
  <c r="Q55" i="2"/>
  <c r="W52" i="2"/>
  <c r="Q54" i="2"/>
  <c r="Q57" i="2"/>
  <c r="Q52" i="2"/>
  <c r="W54" i="2"/>
  <c r="W55" i="2"/>
  <c r="W56" i="2"/>
  <c r="W57" i="2"/>
  <c r="W53" i="2"/>
  <c r="AA52" i="2" l="1"/>
  <c r="AB52" i="2" s="1"/>
  <c r="AA55" i="2"/>
  <c r="AB55" i="2" s="1"/>
  <c r="AA56" i="2"/>
  <c r="AB56" i="2" s="1"/>
  <c r="AA54" i="2"/>
  <c r="AB54" i="2" s="1"/>
  <c r="AA53" i="2"/>
  <c r="AB53" i="2" s="1"/>
  <c r="AA57" i="2"/>
  <c r="AB57" i="2" s="1"/>
  <c r="P60" i="2" l="1" a="1"/>
  <c r="O58" i="2" a="1"/>
  <c r="P59" i="2" a="1"/>
  <c r="O61" i="2" a="1"/>
  <c r="P58" i="2" a="1"/>
  <c r="Q58" i="2" s="1"/>
  <c r="O60" i="2" a="1"/>
  <c r="P61" i="2" a="1"/>
  <c r="O59" i="2" a="1"/>
  <c r="O62" i="2" a="1"/>
  <c r="O63" i="2" a="1"/>
  <c r="W63" i="2" s="1"/>
  <c r="P62" i="2" a="1"/>
  <c r="P63" i="2" a="1"/>
  <c r="P64" i="2" a="1"/>
  <c r="O64" i="2" a="1"/>
  <c r="P65" i="2" a="1"/>
  <c r="O65" i="2" a="1"/>
  <c r="P66" i="2" a="1"/>
  <c r="P67" i="2" a="1"/>
  <c r="O67" i="2" a="1"/>
  <c r="O66" i="2" a="1"/>
  <c r="Q60" i="2" l="1"/>
  <c r="Q59" i="2"/>
  <c r="Q61" i="2"/>
  <c r="W59" i="2"/>
  <c r="Q62" i="2"/>
  <c r="W58" i="2"/>
  <c r="AA58" i="2" s="1"/>
  <c r="AB58" i="2" s="1"/>
  <c r="W61" i="2"/>
  <c r="W60" i="2"/>
  <c r="W62" i="2"/>
  <c r="Q63" i="2"/>
  <c r="AA63" i="2" s="1"/>
  <c r="AB63" i="2" s="1"/>
  <c r="W64" i="2"/>
  <c r="Q65" i="2"/>
  <c r="Q64" i="2"/>
  <c r="W65" i="2"/>
  <c r="W66" i="2"/>
  <c r="Q67" i="2"/>
  <c r="Q66" i="2"/>
  <c r="W67" i="2"/>
  <c r="AA59" i="2" l="1"/>
  <c r="AB59" i="2" s="1"/>
  <c r="AA60" i="2"/>
  <c r="AB60" i="2" s="1"/>
  <c r="AA61" i="2"/>
  <c r="AB61" i="2" s="1"/>
  <c r="AA62" i="2"/>
  <c r="AB62" i="2" s="1"/>
  <c r="AA64" i="2"/>
  <c r="AB64" i="2" s="1"/>
  <c r="AA65" i="2"/>
  <c r="AB65" i="2" s="1"/>
  <c r="AA66" i="2"/>
  <c r="AB66" i="2" s="1"/>
  <c r="AA67" i="2"/>
  <c r="AB67" i="2" s="1"/>
  <c r="P68" i="2" l="1" a="1"/>
  <c r="P69" i="2" a="1"/>
  <c r="O69" i="2" a="1"/>
  <c r="O68" i="2" a="1"/>
  <c r="O71" i="2" a="1"/>
  <c r="O70" i="2" a="1"/>
  <c r="P71" i="2" a="1"/>
  <c r="Q71" i="2" s="1"/>
  <c r="P70" i="2" a="1"/>
  <c r="Q69" i="2" l="1"/>
  <c r="W70" i="2"/>
  <c r="W68" i="2"/>
  <c r="Q68" i="2"/>
  <c r="W69" i="2"/>
  <c r="AA69" i="2" s="1"/>
  <c r="AB69" i="2" s="1"/>
  <c r="W71" i="2"/>
  <c r="AA71" i="2" s="1"/>
  <c r="AB71" i="2" s="1"/>
  <c r="Q70" i="2"/>
  <c r="AA70" i="2" s="1"/>
  <c r="AB70" i="2" s="1"/>
  <c r="AA68" i="2" l="1"/>
  <c r="AB68" i="2" s="1"/>
  <c r="P72" i="2" a="1"/>
  <c r="O72" i="2" a="1"/>
  <c r="O73" i="2" a="1"/>
  <c r="P73" i="2" a="1"/>
  <c r="Q73" i="2" s="1"/>
  <c r="Q72" i="2" l="1"/>
  <c r="W72" i="2"/>
  <c r="AA72" i="2" s="1"/>
  <c r="AB72" i="2" s="1"/>
  <c r="W73" i="2"/>
  <c r="AA73" i="2" s="1"/>
  <c r="AB73" i="2" s="1"/>
  <c r="P74" i="2" a="1"/>
  <c r="O74" i="2" a="1"/>
  <c r="P75" i="2" a="1"/>
  <c r="O75" i="2" a="1"/>
  <c r="W74" i="2" l="1"/>
  <c r="Q75" i="2"/>
  <c r="Q74" i="2"/>
  <c r="W75" i="2"/>
  <c r="AA75" i="2" l="1"/>
  <c r="AB75" i="2" s="1"/>
  <c r="AA74" i="2"/>
  <c r="AB74" i="2" s="1"/>
  <c r="P76" i="2" a="1"/>
  <c r="P77" i="2" a="1"/>
  <c r="O77" i="2" a="1"/>
  <c r="O76" i="2" a="1"/>
  <c r="W76" i="2" l="1"/>
  <c r="W77" i="2"/>
  <c r="Q77" i="2"/>
  <c r="Q76" i="2"/>
  <c r="AA77" i="2" l="1"/>
  <c r="AB77" i="2" s="1"/>
  <c r="AA76" i="2"/>
  <c r="AB76" i="2" s="1"/>
  <c r="O78" i="2" a="1"/>
  <c r="P78" i="2" a="1"/>
  <c r="O79" i="2" a="1"/>
  <c r="P79" i="2" a="1"/>
  <c r="Q78" i="2" l="1"/>
  <c r="W79" i="2"/>
  <c r="W78" i="2"/>
  <c r="Q79" i="2"/>
  <c r="AA78" i="2" l="1"/>
  <c r="AB78" i="2" s="1"/>
  <c r="AA79" i="2"/>
  <c r="AB79" i="2" s="1"/>
  <c r="O80" i="2" a="1"/>
  <c r="P81" i="2" a="1"/>
  <c r="O81" i="2" a="1"/>
  <c r="P80" i="2" a="1"/>
  <c r="Q80" i="2" l="1"/>
  <c r="W81" i="2"/>
  <c r="W80" i="2"/>
  <c r="Q81" i="2"/>
  <c r="AA80" i="2" l="1"/>
  <c r="AB80" i="2" s="1"/>
  <c r="AA81" i="2"/>
  <c r="AB81" i="2" s="1"/>
  <c r="O82" i="2" l="1" a="1"/>
  <c r="P83" i="2" a="1"/>
  <c r="Q83" i="2" s="1"/>
  <c r="P82" i="2" a="1"/>
  <c r="O83" i="2" a="1"/>
  <c r="W82" i="2" l="1"/>
  <c r="Q82" i="2"/>
  <c r="AA82" i="2" s="1"/>
  <c r="AB82" i="2" s="1"/>
  <c r="W83" i="2"/>
  <c r="AA83" i="2" s="1"/>
  <c r="AB83" i="2" s="1"/>
  <c r="O86" i="2" l="1" a="1"/>
  <c r="O87" i="2" a="1"/>
  <c r="P87" i="2" a="1"/>
  <c r="P86" i="2" a="1"/>
  <c r="O85" i="2" a="1"/>
  <c r="P84" i="2" a="1"/>
  <c r="P85" i="2" a="1"/>
  <c r="O84" i="2" a="1"/>
  <c r="W86" i="2" l="1"/>
  <c r="W85" i="2"/>
  <c r="W84" i="2"/>
  <c r="Q87" i="2"/>
  <c r="Q86" i="2"/>
  <c r="AA86" i="2" s="1"/>
  <c r="AB86" i="2" s="1"/>
  <c r="Q84" i="2"/>
  <c r="AA84" i="2" s="1"/>
  <c r="AB84" i="2" s="1"/>
  <c r="Q85" i="2"/>
  <c r="W87" i="2"/>
  <c r="AA85" i="2" l="1"/>
  <c r="AB85" i="2" s="1"/>
  <c r="AA87" i="2"/>
  <c r="AB87" i="2" s="1"/>
  <c r="O92" i="2" a="1"/>
  <c r="P93" i="2" a="1"/>
  <c r="O90" i="2" a="1"/>
  <c r="W90" i="2" s="1"/>
  <c r="O91" i="2" a="1"/>
  <c r="P90" i="2" a="1"/>
  <c r="P92" i="2" a="1"/>
  <c r="P91" i="2" a="1"/>
  <c r="O93" i="2" a="1"/>
  <c r="P89" i="2" a="1"/>
  <c r="P88" i="2" a="1"/>
  <c r="Q88" i="2" s="1"/>
  <c r="O88" i="2" a="1"/>
  <c r="O89" i="2" a="1"/>
  <c r="P95" i="2" a="1"/>
  <c r="O95" i="2" a="1"/>
  <c r="P94" i="2" a="1"/>
  <c r="O94" i="2" a="1"/>
  <c r="Q93" i="2" l="1"/>
  <c r="W92" i="2"/>
  <c r="W91" i="2"/>
  <c r="Q89" i="2"/>
  <c r="Q90" i="2"/>
  <c r="AA90" i="2" s="1"/>
  <c r="AB90" i="2" s="1"/>
  <c r="Q91" i="2"/>
  <c r="Q92" i="2"/>
  <c r="W93" i="2"/>
  <c r="AA93" i="2" s="1"/>
  <c r="AB93" i="2" s="1"/>
  <c r="W88" i="2"/>
  <c r="AA88" i="2" s="1"/>
  <c r="AB88" i="2" s="1"/>
  <c r="W89" i="2"/>
  <c r="W94" i="2"/>
  <c r="W95" i="2"/>
  <c r="Q95" i="2"/>
  <c r="Q94" i="2"/>
  <c r="AA91" i="2" l="1"/>
  <c r="AB91" i="2" s="1"/>
  <c r="AA92" i="2"/>
  <c r="AB92" i="2" s="1"/>
  <c r="AA89" i="2"/>
  <c r="AB89" i="2" s="1"/>
  <c r="AA95" i="2"/>
  <c r="AB95" i="2" s="1"/>
  <c r="AA94" i="2"/>
  <c r="AB94" i="2" s="1"/>
  <c r="P99" i="2" a="1"/>
  <c r="O98" i="2" a="1"/>
  <c r="O99" i="2" a="1"/>
  <c r="P98" i="2" a="1"/>
  <c r="P97" i="2" l="1" a="1"/>
  <c r="O96" i="2" a="1"/>
  <c r="P96" i="2" a="1"/>
  <c r="Q96" i="2" s="1"/>
  <c r="O97" i="2" a="1"/>
  <c r="W99" i="2"/>
  <c r="W98" i="2"/>
  <c r="Q98" i="2"/>
  <c r="Q99" i="2"/>
  <c r="W97" i="2" l="1"/>
  <c r="W96" i="2"/>
  <c r="AA96" i="2" s="1"/>
  <c r="AB96" i="2" s="1"/>
  <c r="Q97" i="2"/>
  <c r="AA98" i="2"/>
  <c r="AB98" i="2" s="1"/>
  <c r="AA99" i="2"/>
  <c r="AB99" i="2" s="1"/>
  <c r="O104" i="2" a="1"/>
  <c r="P105" i="2" a="1"/>
  <c r="P104" i="2" a="1"/>
  <c r="O105" i="2" a="1"/>
  <c r="AA97" i="2" l="1"/>
  <c r="AB97" i="2" s="1"/>
  <c r="O103" i="2" a="1"/>
  <c r="O100" i="2" a="1"/>
  <c r="P101" i="2" a="1"/>
  <c r="O101" i="2" a="1"/>
  <c r="P102" i="2" a="1"/>
  <c r="P103" i="2" a="1"/>
  <c r="Q103" i="2" s="1"/>
  <c r="P100" i="2" a="1"/>
  <c r="O102" i="2" a="1"/>
  <c r="W102" i="2" s="1"/>
  <c r="W104" i="2"/>
  <c r="Q105" i="2"/>
  <c r="W105" i="2"/>
  <c r="Q104" i="2"/>
  <c r="W100" i="2" l="1"/>
  <c r="Q101" i="2"/>
  <c r="W103" i="2"/>
  <c r="AA103" i="2" s="1"/>
  <c r="AB103" i="2" s="1"/>
  <c r="W101" i="2"/>
  <c r="Q102" i="2"/>
  <c r="AA102" i="2" s="1"/>
  <c r="AB102" i="2" s="1"/>
  <c r="Q100" i="2"/>
  <c r="AA104" i="2"/>
  <c r="AB104" i="2" s="1"/>
  <c r="AA105" i="2"/>
  <c r="AB105" i="2" s="1"/>
  <c r="P106" i="2" a="1"/>
  <c r="O107" i="2" a="1"/>
  <c r="AA100" i="2" l="1"/>
  <c r="AB100" i="2" s="1"/>
  <c r="AA101" i="2"/>
  <c r="AB101" i="2" s="1"/>
  <c r="P107" i="2" a="1"/>
  <c r="O106" i="2" a="1"/>
  <c r="Q107" i="2" l="1"/>
  <c r="W107" i="2"/>
  <c r="Q106" i="2"/>
  <c r="W106" i="2"/>
  <c r="AA106" i="2" l="1"/>
  <c r="AB106" i="2" s="1"/>
  <c r="AA107" i="2"/>
  <c r="AB107" i="2" s="1"/>
  <c r="P111" i="2" l="1" a="1"/>
  <c r="P108" i="2" a="1"/>
  <c r="O110" i="2" a="1"/>
  <c r="P109" i="2" a="1"/>
  <c r="P110" i="2" a="1"/>
  <c r="P112" i="2" a="1"/>
  <c r="O111" i="2" a="1"/>
  <c r="W111" i="2" s="1"/>
  <c r="O109" i="2" a="1"/>
  <c r="O108" i="2" a="1"/>
  <c r="O112" i="2" a="1"/>
  <c r="P113" i="2" a="1"/>
  <c r="O113" i="2" a="1"/>
  <c r="W113" i="2" l="1"/>
  <c r="Q112" i="2"/>
  <c r="W110" i="2"/>
  <c r="W109" i="2"/>
  <c r="W108" i="2"/>
  <c r="Q111" i="2"/>
  <c r="AA111" i="2" s="1"/>
  <c r="AB111" i="2" s="1"/>
  <c r="Q108" i="2"/>
  <c r="Q109" i="2"/>
  <c r="Q110" i="2"/>
  <c r="W112" i="2"/>
  <c r="Q113" i="2"/>
  <c r="O119" i="2" a="1"/>
  <c r="P118" i="2" a="1"/>
  <c r="AA113" i="2" l="1"/>
  <c r="AB113" i="2" s="1"/>
  <c r="O116" i="2" a="1"/>
  <c r="O114" i="2" a="1"/>
  <c r="W114" i="2" s="1"/>
  <c r="O115" i="2" a="1"/>
  <c r="O117" i="2" a="1"/>
  <c r="P114" i="2" a="1"/>
  <c r="P115" i="2" a="1"/>
  <c r="P117" i="2" a="1"/>
  <c r="P116" i="2" a="1"/>
  <c r="Q116" i="2" s="1"/>
  <c r="AA110" i="2"/>
  <c r="AB110" i="2" s="1"/>
  <c r="AA108" i="2"/>
  <c r="AB108" i="2" s="1"/>
  <c r="AA112" i="2"/>
  <c r="AB112" i="2" s="1"/>
  <c r="AA109" i="2"/>
  <c r="AB109" i="2" s="1"/>
  <c r="Q117" i="2" l="1"/>
  <c r="Q115" i="2"/>
  <c r="W117" i="2"/>
  <c r="AA117" i="2" s="1"/>
  <c r="AB117" i="2" s="1"/>
  <c r="W116" i="2"/>
  <c r="AA116" i="2" s="1"/>
  <c r="AB116" i="2" s="1"/>
  <c r="W115" i="2"/>
  <c r="Q114" i="2"/>
  <c r="AA114" i="2" s="1"/>
  <c r="AB114" i="2" s="1"/>
  <c r="P119" i="2" a="1"/>
  <c r="O118" i="2" a="1"/>
  <c r="AA115" i="2" l="1"/>
  <c r="AB115" i="2" s="1"/>
  <c r="W119" i="2"/>
  <c r="Q119" i="2"/>
  <c r="W118" i="2"/>
  <c r="Q118" i="2"/>
  <c r="O121" i="2" a="1"/>
  <c r="P121" i="2" a="1"/>
  <c r="O120" i="2" a="1"/>
  <c r="P120" i="2" a="1"/>
  <c r="AA118" i="2" l="1"/>
  <c r="AB118" i="2" s="1"/>
  <c r="AA119" i="2"/>
  <c r="AB119" i="2" s="1"/>
  <c r="Q120" i="2"/>
  <c r="Q121" i="2"/>
  <c r="W121" i="2"/>
  <c r="W120" i="2"/>
  <c r="AA120" i="2" l="1"/>
  <c r="AB120" i="2" s="1"/>
  <c r="AA121" i="2"/>
  <c r="AB121" i="2" s="1"/>
  <c r="P122" i="2" l="1" a="1"/>
  <c r="P123" i="2" a="1"/>
  <c r="O123" i="2" a="1"/>
  <c r="W123" i="2" s="1"/>
  <c r="O122" i="2" a="1"/>
  <c r="P125" i="2" a="1"/>
  <c r="O125" i="2" a="1"/>
  <c r="O124" i="2" a="1"/>
  <c r="W124" i="2" s="1"/>
  <c r="P124" i="2" a="1"/>
  <c r="Q122" i="2" l="1"/>
  <c r="W125" i="2"/>
  <c r="Q123" i="2"/>
  <c r="AA123" i="2" s="1"/>
  <c r="AB123" i="2" s="1"/>
  <c r="W122" i="2"/>
  <c r="Q125" i="2"/>
  <c r="Q124" i="2"/>
  <c r="AA124" i="2" s="1"/>
  <c r="AB124" i="2" s="1"/>
  <c r="AA122" i="2" l="1"/>
  <c r="AB122" i="2" s="1"/>
  <c r="AA125" i="2"/>
  <c r="AB125" i="2" s="1"/>
  <c r="P128" i="2" a="1"/>
  <c r="O129" i="2" a="1"/>
  <c r="O128" i="2" a="1"/>
  <c r="P129" i="2" a="1"/>
  <c r="P127" i="2" a="1"/>
  <c r="O126" i="2" a="1"/>
  <c r="O127" i="2" a="1"/>
  <c r="W127" i="2" s="1"/>
  <c r="P126" i="2" a="1"/>
  <c r="Q128" i="2" l="1"/>
  <c r="W129" i="2"/>
  <c r="Q126" i="2"/>
  <c r="W128" i="2"/>
  <c r="AA128" i="2" s="1"/>
  <c r="AB128" i="2" s="1"/>
  <c r="Q127" i="2"/>
  <c r="AA127" i="2" s="1"/>
  <c r="AB127" i="2" s="1"/>
  <c r="Q129" i="2"/>
  <c r="W126" i="2"/>
  <c r="AA129" i="2" l="1"/>
  <c r="AB129" i="2" s="1"/>
  <c r="AA126" i="2"/>
  <c r="AB126" i="2" s="1"/>
  <c r="O131" i="2" a="1"/>
  <c r="P131" i="2" a="1"/>
  <c r="O130" i="2" a="1"/>
  <c r="P130" i="2" a="1"/>
  <c r="W130" i="2" l="1"/>
  <c r="Q131" i="2"/>
  <c r="W131" i="2"/>
  <c r="Q130" i="2"/>
  <c r="AA130" i="2" l="1"/>
  <c r="AB130" i="2" s="1"/>
  <c r="AA131" i="2"/>
  <c r="AB131" i="2" s="1"/>
  <c r="O133" i="2" a="1"/>
  <c r="P133" i="2" a="1"/>
  <c r="O132" i="2" a="1"/>
  <c r="P132" i="2" a="1"/>
  <c r="O135" i="2" a="1"/>
  <c r="O134" i="2" a="1"/>
  <c r="W134" i="2" s="1"/>
  <c r="P134" i="2" a="1"/>
  <c r="P135" i="2" a="1"/>
  <c r="Q135" i="2" s="1"/>
  <c r="Q133" i="2" l="1"/>
  <c r="W132" i="2"/>
  <c r="W133" i="2"/>
  <c r="Q132" i="2"/>
  <c r="AA132" i="2" s="1"/>
  <c r="AB132" i="2" s="1"/>
  <c r="W135" i="2"/>
  <c r="AA135" i="2" s="1"/>
  <c r="AB135" i="2" s="1"/>
  <c r="Q134" i="2"/>
  <c r="AA134" i="2" s="1"/>
  <c r="AB134" i="2" s="1"/>
  <c r="AA133" i="2" l="1"/>
  <c r="AB133" i="2" s="1"/>
  <c r="P137" i="2" a="1"/>
  <c r="O136" i="2" a="1"/>
  <c r="O137" i="2" a="1"/>
  <c r="P136" i="2" a="1"/>
  <c r="Q136" i="2" s="1"/>
  <c r="Q137" i="2" l="1"/>
  <c r="W136" i="2"/>
  <c r="AA136" i="2" s="1"/>
  <c r="AB136" i="2" s="1"/>
  <c r="W137" i="2"/>
  <c r="P142" i="2" a="1"/>
  <c r="P143" i="2" a="1"/>
  <c r="O143" i="2" a="1"/>
  <c r="O142" i="2" a="1"/>
  <c r="AA137" i="2" l="1"/>
  <c r="AB137" i="2" s="1"/>
  <c r="P141" i="2" a="1"/>
  <c r="P140" i="2" a="1"/>
  <c r="O140" i="2" a="1"/>
  <c r="O141" i="2" a="1"/>
  <c r="W141" i="2" s="1"/>
  <c r="O138" i="2" a="1"/>
  <c r="P139" i="2" a="1"/>
  <c r="P138" i="2" a="1"/>
  <c r="Q138" i="2" s="1"/>
  <c r="O139" i="2" a="1"/>
  <c r="W139" i="2" s="1"/>
  <c r="Q143" i="2"/>
  <c r="Q142" i="2"/>
  <c r="W143" i="2"/>
  <c r="W142" i="2"/>
  <c r="W138" i="2" l="1"/>
  <c r="Q140" i="2"/>
  <c r="Q141" i="2"/>
  <c r="AA141" i="2" s="1"/>
  <c r="AB141" i="2" s="1"/>
  <c r="AA138" i="2"/>
  <c r="AB138" i="2" s="1"/>
  <c r="Q139" i="2"/>
  <c r="AA139" i="2" s="1"/>
  <c r="AB139" i="2" s="1"/>
  <c r="AA143" i="2"/>
  <c r="AB143" i="2" s="1"/>
  <c r="W140" i="2"/>
  <c r="AA142" i="2"/>
  <c r="AB142" i="2" s="1"/>
  <c r="AA140" i="2" l="1"/>
  <c r="AB140" i="2" s="1"/>
  <c r="O145" i="2" a="1"/>
  <c r="P144" i="2" a="1"/>
  <c r="P145" i="2" a="1"/>
  <c r="O144" i="2" a="1"/>
  <c r="W145" i="2" l="1"/>
  <c r="Q144" i="2"/>
  <c r="Q145" i="2"/>
  <c r="W144" i="2"/>
  <c r="P153" i="2" a="1"/>
  <c r="O152" i="2" a="1"/>
  <c r="P152" i="2" a="1"/>
  <c r="O153" i="2" a="1"/>
  <c r="AA145" i="2" l="1"/>
  <c r="AB145" i="2" s="1"/>
  <c r="AA144" i="2"/>
  <c r="AB144" i="2" s="1"/>
  <c r="O148" i="2" a="1"/>
  <c r="O147" i="2" a="1"/>
  <c r="P149" i="2" a="1"/>
  <c r="P147" i="2" a="1"/>
  <c r="O146" i="2" a="1"/>
  <c r="P148" i="2" a="1"/>
  <c r="Q148" i="2" s="1"/>
  <c r="P146" i="2" a="1"/>
  <c r="Q146" i="2" s="1"/>
  <c r="O149" i="2" a="1"/>
  <c r="P150" i="2" a="1"/>
  <c r="O151" i="2" a="1"/>
  <c r="O150" i="2" a="1"/>
  <c r="W150" i="2" s="1"/>
  <c r="P151" i="2" a="1"/>
  <c r="Q153" i="2"/>
  <c r="W152" i="2"/>
  <c r="Q152" i="2"/>
  <c r="W153" i="2"/>
  <c r="Q149" i="2" l="1"/>
  <c r="W151" i="2"/>
  <c r="W147" i="2"/>
  <c r="W148" i="2"/>
  <c r="AA148" i="2" s="1"/>
  <c r="AB148" i="2" s="1"/>
  <c r="W146" i="2"/>
  <c r="AA146" i="2" s="1"/>
  <c r="AB146" i="2" s="1"/>
  <c r="Q147" i="2"/>
  <c r="W149" i="2"/>
  <c r="Q150" i="2"/>
  <c r="AA150" i="2" s="1"/>
  <c r="AB150" i="2" s="1"/>
  <c r="Q151" i="2"/>
  <c r="AA153" i="2"/>
  <c r="AB153" i="2" s="1"/>
  <c r="AA152" i="2"/>
  <c r="AB152" i="2" s="1"/>
  <c r="O155" i="2" a="1"/>
  <c r="P154" i="2" a="1"/>
  <c r="AA149" i="2" l="1"/>
  <c r="AB149" i="2" s="1"/>
  <c r="AA151" i="2"/>
  <c r="AB151" i="2" s="1"/>
  <c r="AA147" i="2"/>
  <c r="AB147" i="2" s="1"/>
  <c r="O154" i="2" l="1" a="1"/>
  <c r="P155" i="2" a="1"/>
  <c r="Q154" i="2" l="1"/>
  <c r="W154" i="2"/>
  <c r="W155" i="2"/>
  <c r="Q155" i="2"/>
  <c r="P156" i="2" a="1"/>
  <c r="O156" i="2" a="1"/>
  <c r="O157" i="2" a="1"/>
  <c r="P157" i="2" a="1"/>
  <c r="AA154" i="2" l="1"/>
  <c r="AB154" i="2" s="1"/>
  <c r="AA155" i="2"/>
  <c r="AB155" i="2" s="1"/>
  <c r="W156" i="2"/>
  <c r="Q157" i="2"/>
  <c r="Q156" i="2"/>
  <c r="W157" i="2"/>
  <c r="AA156" i="2" l="1"/>
  <c r="AB156" i="2" s="1"/>
  <c r="AA157" i="2"/>
  <c r="AB157" i="2" s="1"/>
  <c r="O160" i="2" a="1"/>
  <c r="P161" i="2" a="1"/>
  <c r="O161" i="2" a="1"/>
  <c r="P160" i="2" a="1"/>
  <c r="P158" i="2" l="1" a="1"/>
  <c r="P159" i="2" a="1"/>
  <c r="O158" i="2" a="1"/>
  <c r="W158" i="2" s="1"/>
  <c r="O159" i="2" a="1"/>
  <c r="W159" i="2" s="1"/>
  <c r="P163" i="2" a="1"/>
  <c r="O162" i="2" a="1"/>
  <c r="P162" i="2" a="1"/>
  <c r="O163" i="2" a="1"/>
  <c r="W160" i="2"/>
  <c r="W161" i="2"/>
  <c r="Q161" i="2"/>
  <c r="Q160" i="2"/>
  <c r="Q158" i="2" l="1"/>
  <c r="AA158" i="2" s="1"/>
  <c r="AB158" i="2" s="1"/>
  <c r="Q159" i="2"/>
  <c r="AA159" i="2" s="1"/>
  <c r="AB159" i="2" s="1"/>
  <c r="Q163" i="2"/>
  <c r="W162" i="2"/>
  <c r="Q162" i="2"/>
  <c r="W163" i="2"/>
  <c r="AA161" i="2"/>
  <c r="AB161" i="2" s="1"/>
  <c r="AA160" i="2"/>
  <c r="AB160" i="2" s="1"/>
  <c r="O164" i="2" a="1"/>
  <c r="O165" i="2" a="1"/>
  <c r="P164" i="2" a="1"/>
  <c r="P165" i="2" a="1"/>
  <c r="AA162" i="2" l="1"/>
  <c r="AB162" i="2" s="1"/>
  <c r="AA163" i="2"/>
  <c r="AB163" i="2" s="1"/>
  <c r="W164" i="2"/>
  <c r="Q165" i="2"/>
  <c r="W165" i="2"/>
  <c r="Q164" i="2"/>
  <c r="AA164" i="2" l="1"/>
  <c r="AB164" i="2" s="1"/>
  <c r="AA165" i="2"/>
  <c r="AB165" i="2" s="1"/>
  <c r="P166" i="2" l="1" a="1"/>
  <c r="O166" i="2" a="1"/>
  <c r="W166" i="2" s="1"/>
  <c r="O167" i="2" a="1"/>
  <c r="P167" i="2" a="1"/>
  <c r="Q167" i="2" s="1"/>
  <c r="O168" i="2" a="1"/>
  <c r="P168" i="2" a="1"/>
  <c r="O169" i="2" a="1"/>
  <c r="P169" i="2" a="1"/>
  <c r="Q166" i="2" l="1"/>
  <c r="AA166" i="2" s="1"/>
  <c r="AB166" i="2" s="1"/>
  <c r="W167" i="2"/>
  <c r="AA167" i="2" s="1"/>
  <c r="AB167" i="2" s="1"/>
  <c r="W168" i="2"/>
  <c r="W169" i="2"/>
  <c r="Q168" i="2"/>
  <c r="Q169" i="2"/>
  <c r="AA168" i="2" l="1"/>
  <c r="AB168" i="2" s="1"/>
  <c r="AA169" i="2"/>
  <c r="AB169" i="2" s="1"/>
  <c r="P171" i="2" a="1"/>
  <c r="O170" i="2" a="1"/>
  <c r="O171" i="2" a="1"/>
  <c r="P170" i="2" a="1"/>
  <c r="O174" i="2" l="1" a="1"/>
  <c r="O172" i="2" a="1"/>
  <c r="O173" i="2" a="1"/>
  <c r="W173" i="2" s="1"/>
  <c r="P172" i="2" a="1"/>
  <c r="Q172" i="2" s="1"/>
  <c r="P173" i="2" a="1"/>
  <c r="P174" i="2" a="1"/>
  <c r="O175" i="2" a="1"/>
  <c r="P175" i="2" a="1"/>
  <c r="Q175" i="2" s="1"/>
  <c r="W171" i="2"/>
  <c r="Q170" i="2"/>
  <c r="Q171" i="2"/>
  <c r="W170" i="2"/>
  <c r="Q173" i="2" l="1"/>
  <c r="AA173" i="2" s="1"/>
  <c r="AB173" i="2" s="1"/>
  <c r="Q174" i="2"/>
  <c r="W174" i="2"/>
  <c r="AA174" i="2" s="1"/>
  <c r="AB174" i="2" s="1"/>
  <c r="W175" i="2"/>
  <c r="AA175" i="2" s="1"/>
  <c r="AB175" i="2" s="1"/>
  <c r="W172" i="2"/>
  <c r="AA172" i="2" s="1"/>
  <c r="AB172" i="2" s="1"/>
  <c r="AA171" i="2"/>
  <c r="AB171" i="2" s="1"/>
  <c r="AA170" i="2"/>
  <c r="AB170" i="2" s="1"/>
  <c r="O177" i="2" l="1" a="1"/>
  <c r="P176" i="2" a="1"/>
  <c r="O176" i="2" a="1"/>
  <c r="P177" i="2" a="1"/>
  <c r="W177" i="2" l="1"/>
  <c r="W176" i="2"/>
  <c r="Q177" i="2"/>
  <c r="Q176" i="2"/>
  <c r="AA176" i="2" s="1"/>
  <c r="AB176" i="2" s="1"/>
  <c r="P179" i="2" a="1"/>
  <c r="O178" i="2" a="1"/>
  <c r="P178" i="2" a="1"/>
  <c r="O179" i="2" a="1"/>
  <c r="AA177" i="2" l="1"/>
  <c r="AB177" i="2" s="1"/>
  <c r="W178" i="2"/>
  <c r="W179" i="2"/>
  <c r="Q179" i="2"/>
  <c r="Q178" i="2"/>
  <c r="AA179" i="2" l="1"/>
  <c r="AB179" i="2" s="1"/>
  <c r="AA178" i="2"/>
  <c r="AB178" i="2" s="1"/>
  <c r="O182" i="2" a="1"/>
  <c r="P182" i="2" a="1"/>
  <c r="P184" i="2" a="1"/>
  <c r="P180" i="2" a="1"/>
  <c r="P183" i="2" a="1"/>
  <c r="O181" i="2" a="1"/>
  <c r="O185" i="2" a="1"/>
  <c r="P181" i="2" a="1"/>
  <c r="P185" i="2" a="1"/>
  <c r="O184" i="2" a="1"/>
  <c r="O180" i="2" a="1"/>
  <c r="O183" i="2" a="1"/>
  <c r="W185" i="2" l="1"/>
  <c r="W184" i="2"/>
  <c r="Q181" i="2"/>
  <c r="W180" i="2"/>
  <c r="W183" i="2"/>
  <c r="Q182" i="2"/>
  <c r="W182" i="2"/>
  <c r="Q184" i="2"/>
  <c r="W181" i="2"/>
  <c r="Q185" i="2"/>
  <c r="Q180" i="2"/>
  <c r="Q183" i="2"/>
  <c r="AA185" i="2" l="1"/>
  <c r="AB185" i="2" s="1"/>
  <c r="AA184" i="2"/>
  <c r="AB184" i="2" s="1"/>
  <c r="AA181" i="2"/>
  <c r="AB181" i="2" s="1"/>
  <c r="AA182" i="2"/>
  <c r="AB182" i="2" s="1"/>
  <c r="AA180" i="2"/>
  <c r="AB180" i="2" s="1"/>
  <c r="AA183" i="2"/>
  <c r="AB183" i="2" s="1"/>
  <c r="P191" i="2" a="1"/>
  <c r="O190" i="2" a="1"/>
  <c r="O191" i="2" a="1"/>
  <c r="P190" i="2" a="1"/>
  <c r="O186" i="2" l="1" a="1"/>
  <c r="P187" i="2" a="1"/>
  <c r="O189" i="2" a="1"/>
  <c r="P188" i="2" a="1"/>
  <c r="O188" i="2" a="1"/>
  <c r="W188" i="2" s="1"/>
  <c r="P189" i="2" a="1"/>
  <c r="P186" i="2" a="1"/>
  <c r="Q186" i="2" s="1"/>
  <c r="O187" i="2" a="1"/>
  <c r="O192" i="2" a="1"/>
  <c r="O195" i="2" a="1"/>
  <c r="P192" i="2" a="1"/>
  <c r="Q192" i="2" s="1"/>
  <c r="P193" i="2" a="1"/>
  <c r="P194" i="2" a="1"/>
  <c r="O193" i="2" a="1"/>
  <c r="P195" i="2" a="1"/>
  <c r="Q195" i="2" s="1"/>
  <c r="O194" i="2" a="1"/>
  <c r="Q190" i="2"/>
  <c r="W191" i="2"/>
  <c r="Q191" i="2"/>
  <c r="W190" i="2"/>
  <c r="Q189" i="2" l="1"/>
  <c r="W187" i="2"/>
  <c r="Q194" i="2"/>
  <c r="W193" i="2"/>
  <c r="AA190" i="2"/>
  <c r="AB190" i="2" s="1"/>
  <c r="Q187" i="2"/>
  <c r="Q188" i="2"/>
  <c r="AA188" i="2" s="1"/>
  <c r="AB188" i="2" s="1"/>
  <c r="W192" i="2"/>
  <c r="AA192" i="2" s="1"/>
  <c r="AB192" i="2" s="1"/>
  <c r="W195" i="2"/>
  <c r="AA195" i="2" s="1"/>
  <c r="AB195" i="2" s="1"/>
  <c r="Q193" i="2"/>
  <c r="W194" i="2"/>
  <c r="W186" i="2"/>
  <c r="AA186" i="2" s="1"/>
  <c r="AB186" i="2" s="1"/>
  <c r="W189" i="2"/>
  <c r="AA191" i="2"/>
  <c r="AB191" i="2" s="1"/>
  <c r="O198" i="2" a="1"/>
  <c r="P199" i="2" a="1"/>
  <c r="O199" i="2" a="1"/>
  <c r="P198" i="2" a="1"/>
  <c r="AA187" i="2" l="1"/>
  <c r="AB187" i="2" s="1"/>
  <c r="AA193" i="2"/>
  <c r="AB193" i="2" s="1"/>
  <c r="AA194" i="2"/>
  <c r="AB194" i="2" s="1"/>
  <c r="AA189" i="2"/>
  <c r="AB189" i="2" s="1"/>
  <c r="P196" i="2" a="1"/>
  <c r="O197" i="2" a="1"/>
  <c r="P197" i="2" a="1"/>
  <c r="O196" i="2" a="1"/>
  <c r="W196" i="2" s="1"/>
  <c r="Q198" i="2"/>
  <c r="W199" i="2"/>
  <c r="W198" i="2"/>
  <c r="Q199" i="2"/>
  <c r="W197" i="2" l="1"/>
  <c r="Q196" i="2"/>
  <c r="AA196" i="2" s="1"/>
  <c r="AB196" i="2" s="1"/>
  <c r="Q197" i="2"/>
  <c r="AA198" i="2"/>
  <c r="AB198" i="2" s="1"/>
  <c r="AA199" i="2"/>
  <c r="AB199" i="2" s="1"/>
  <c r="AA197" i="2" l="1"/>
  <c r="AB197" i="2" s="1"/>
  <c r="P201" i="2" a="1"/>
  <c r="O201" i="2" a="1"/>
  <c r="P200" i="2" a="1"/>
  <c r="O200" i="2" a="1"/>
  <c r="W200" i="2" l="1"/>
  <c r="W201" i="2"/>
  <c r="Q201" i="2"/>
  <c r="Q200" i="2"/>
  <c r="AA201" i="2" l="1"/>
  <c r="AB201" i="2" s="1"/>
  <c r="AA200" i="2"/>
  <c r="AB200" i="2" s="1"/>
  <c r="P203" i="2" l="1" a="1"/>
  <c r="O202" i="2" a="1"/>
  <c r="P202" i="2" a="1"/>
  <c r="O203" i="2" a="1"/>
  <c r="Q203" i="2" l="1"/>
  <c r="W202" i="2"/>
  <c r="Q202" i="2"/>
  <c r="AA202" i="2" s="1"/>
  <c r="AB202" i="2" s="1"/>
  <c r="W203" i="2"/>
  <c r="AA203" i="2" l="1"/>
  <c r="AB203" i="2" s="1"/>
  <c r="P211" i="2" a="1"/>
  <c r="O211" i="2" a="1"/>
  <c r="O210" i="2" a="1"/>
  <c r="P210" i="2" a="1"/>
  <c r="O205" i="2" l="1" a="1"/>
  <c r="P205" i="2" a="1"/>
  <c r="Q205" i="2" s="1"/>
  <c r="O204" i="2" a="1"/>
  <c r="P204" i="2" a="1"/>
  <c r="O207" i="2" a="1"/>
  <c r="W207" i="2" s="1"/>
  <c r="P207" i="2" a="1"/>
  <c r="P206" i="2" a="1"/>
  <c r="O206" i="2" a="1"/>
  <c r="O209" i="2" a="1"/>
  <c r="O208" i="2" a="1"/>
  <c r="P208" i="2" a="1"/>
  <c r="P209" i="2" a="1"/>
  <c r="W211" i="2"/>
  <c r="W210" i="2"/>
  <c r="Q210" i="2"/>
  <c r="Q211" i="2"/>
  <c r="W204" i="2" l="1"/>
  <c r="Q207" i="2"/>
  <c r="AA207" i="2" s="1"/>
  <c r="AB207" i="2" s="1"/>
  <c r="Q206" i="2"/>
  <c r="W205" i="2"/>
  <c r="AA205" i="2" s="1"/>
  <c r="AB205" i="2" s="1"/>
  <c r="Q204" i="2"/>
  <c r="W206" i="2"/>
  <c r="Q209" i="2"/>
  <c r="W209" i="2"/>
  <c r="W208" i="2"/>
  <c r="Q208" i="2"/>
  <c r="AA211" i="2"/>
  <c r="AB211" i="2" s="1"/>
  <c r="AA210" i="2"/>
  <c r="AB210" i="2" s="1"/>
  <c r="AA204" i="2" l="1"/>
  <c r="AB204" i="2" s="1"/>
  <c r="AA206" i="2"/>
  <c r="AB206" i="2" s="1"/>
  <c r="AA209" i="2"/>
  <c r="AB209" i="2" s="1"/>
  <c r="AA208" i="2"/>
  <c r="AB208" i="2" s="1"/>
  <c r="P213" i="2" a="1"/>
  <c r="O213" i="2" a="1"/>
  <c r="O212" i="2" a="1"/>
  <c r="P212" i="2" a="1"/>
  <c r="Q212" i="2" l="1"/>
  <c r="W213" i="2"/>
  <c r="Q213" i="2"/>
  <c r="W212" i="2"/>
  <c r="AA212" i="2" l="1"/>
  <c r="AB212" i="2" s="1"/>
  <c r="AA213" i="2"/>
  <c r="AB213" i="2" s="1"/>
  <c r="O214" i="2" l="1" a="1"/>
  <c r="P214" i="2" a="1"/>
  <c r="O215" i="2" a="1"/>
  <c r="P215" i="2" a="1"/>
  <c r="W215" i="2" l="1"/>
  <c r="Q214" i="2"/>
  <c r="W214" i="2"/>
  <c r="Q215" i="2"/>
  <c r="AA215" i="2" l="1"/>
  <c r="AB215" i="2" s="1"/>
  <c r="AA214" i="2"/>
  <c r="AB214" i="2" s="1"/>
  <c r="O216" i="2" l="1" a="1"/>
  <c r="P216" i="2" a="1"/>
  <c r="P217" i="2" a="1"/>
  <c r="O217" i="2" a="1"/>
  <c r="P218" i="2" a="1"/>
  <c r="O218" i="2" a="1"/>
  <c r="P219" i="2" a="1"/>
  <c r="O219" i="2" a="1"/>
  <c r="W216" i="2" l="1"/>
  <c r="W217" i="2"/>
  <c r="Q216" i="2"/>
  <c r="Q217" i="2"/>
  <c r="W219" i="2"/>
  <c r="W218" i="2"/>
  <c r="Q219" i="2"/>
  <c r="Q218" i="2"/>
  <c r="AA216" i="2" l="1"/>
  <c r="AB216" i="2" s="1"/>
  <c r="AA217" i="2"/>
  <c r="AB217" i="2" s="1"/>
  <c r="AA219" i="2"/>
  <c r="AB219" i="2" s="1"/>
  <c r="AA218" i="2"/>
  <c r="AB218" i="2" s="1"/>
  <c r="P220" i="2" l="1" a="1"/>
  <c r="O221" i="2" a="1"/>
  <c r="O220" i="2" a="1"/>
  <c r="P221" i="2" a="1"/>
  <c r="W221" i="2" l="1"/>
  <c r="W220" i="2"/>
  <c r="Q220" i="2"/>
  <c r="Q221" i="2"/>
  <c r="AA221" i="2" l="1"/>
  <c r="AB221" i="2" s="1"/>
  <c r="O223" i="2" a="1"/>
  <c r="O222" i="2" a="1"/>
  <c r="P223" i="2" a="1"/>
  <c r="P222" i="2" a="1"/>
  <c r="AA220" i="2"/>
  <c r="AB220" i="2" s="1"/>
  <c r="Q223" i="2" l="1"/>
  <c r="Q222" i="2"/>
  <c r="W223" i="2"/>
  <c r="W222" i="2"/>
  <c r="AA223" i="2" l="1"/>
  <c r="AB223" i="2" s="1"/>
  <c r="AA222" i="2"/>
  <c r="AB222" i="2" s="1"/>
  <c r="O226" i="2" a="1"/>
  <c r="O229" i="2" a="1"/>
  <c r="O224" i="2" a="1"/>
  <c r="O225" i="2" a="1"/>
  <c r="P224" i="2" a="1"/>
  <c r="P225" i="2" a="1"/>
  <c r="Q225" i="2" s="1"/>
  <c r="O231" i="2" a="1"/>
  <c r="O230" i="2" a="1"/>
  <c r="P228" i="2" a="1"/>
  <c r="O227" i="2" a="1"/>
  <c r="W227" i="2" s="1"/>
  <c r="P230" i="2" a="1"/>
  <c r="P227" i="2" a="1"/>
  <c r="P229" i="2" a="1"/>
  <c r="Q229" i="2" s="1"/>
  <c r="P231" i="2" a="1"/>
  <c r="O228" i="2" a="1"/>
  <c r="P226" i="2" a="1"/>
  <c r="Q226" i="2" s="1"/>
  <c r="P233" i="2" a="1"/>
  <c r="O233" i="2" a="1"/>
  <c r="P232" i="2" a="1"/>
  <c r="O232" i="2" a="1"/>
  <c r="W224" i="2" l="1"/>
  <c r="W231" i="2"/>
  <c r="W230" i="2"/>
  <c r="W228" i="2"/>
  <c r="W226" i="2"/>
  <c r="AA226" i="2" s="1"/>
  <c r="AB226" i="2" s="1"/>
  <c r="W229" i="2"/>
  <c r="AA229" i="2" s="1"/>
  <c r="AB229" i="2" s="1"/>
  <c r="W225" i="2"/>
  <c r="AA225" i="2" s="1"/>
  <c r="AB225" i="2" s="1"/>
  <c r="Q224" i="2"/>
  <c r="Q228" i="2"/>
  <c r="Q230" i="2"/>
  <c r="Q227" i="2"/>
  <c r="AA227" i="2" s="1"/>
  <c r="AB227" i="2" s="1"/>
  <c r="Q231" i="2"/>
  <c r="AA231" i="2" s="1"/>
  <c r="AB231" i="2" s="1"/>
  <c r="Q232" i="2"/>
  <c r="W233" i="2"/>
  <c r="W232" i="2"/>
  <c r="Q233" i="2"/>
  <c r="AA224" i="2" l="1"/>
  <c r="AB224" i="2" s="1"/>
  <c r="AA228" i="2"/>
  <c r="AB228" i="2" s="1"/>
  <c r="AA230" i="2"/>
  <c r="AB230" i="2" s="1"/>
  <c r="AA232" i="2"/>
  <c r="AB232" i="2" s="1"/>
  <c r="AA233" i="2"/>
  <c r="AB233" i="2" s="1"/>
  <c r="P240" i="2" a="1"/>
  <c r="O241" i="2" a="1"/>
  <c r="P241" i="2" a="1"/>
  <c r="O240" i="2" a="1"/>
  <c r="O239" i="2" a="1"/>
  <c r="P239" i="2" a="1"/>
  <c r="O238" i="2" a="1"/>
  <c r="P238" i="2" a="1"/>
  <c r="O235" i="2" l="1" a="1"/>
  <c r="W235" i="2" s="1"/>
  <c r="P235" i="2" a="1"/>
  <c r="O234" i="2" a="1"/>
  <c r="W234" i="2" s="1"/>
  <c r="P234" i="2" a="1"/>
  <c r="P237" i="2" a="1"/>
  <c r="P236" i="2" a="1"/>
  <c r="O237" i="2" a="1"/>
  <c r="O236" i="2" a="1"/>
  <c r="W236" i="2" s="1"/>
  <c r="W241" i="2"/>
  <c r="Q239" i="2"/>
  <c r="Q238" i="2"/>
  <c r="Q240" i="2"/>
  <c r="Q241" i="2"/>
  <c r="W240" i="2"/>
  <c r="W239" i="2"/>
  <c r="W238" i="2"/>
  <c r="Q237" i="2" l="1"/>
  <c r="Q236" i="2"/>
  <c r="AA236" i="2" s="1"/>
  <c r="AB236" i="2" s="1"/>
  <c r="Q234" i="2"/>
  <c r="AA234" i="2" s="1"/>
  <c r="AB234" i="2" s="1"/>
  <c r="W237" i="2"/>
  <c r="Q235" i="2"/>
  <c r="AA235" i="2" s="1"/>
  <c r="AB235" i="2" s="1"/>
  <c r="AA241" i="2"/>
  <c r="AB241" i="2" s="1"/>
  <c r="AA240" i="2"/>
  <c r="AB240" i="2" s="1"/>
  <c r="AA238" i="2"/>
  <c r="AB238" i="2" s="1"/>
  <c r="AA239" i="2"/>
  <c r="AB239" i="2" s="1"/>
  <c r="AA237" i="2" l="1"/>
  <c r="AB237" i="2" s="1"/>
  <c r="P242" i="2" a="1"/>
  <c r="O243" i="2" a="1"/>
  <c r="O242" i="2" a="1"/>
  <c r="P243" i="2" a="1"/>
  <c r="Q242" i="2" l="1"/>
  <c r="Q243" i="2"/>
  <c r="W243" i="2"/>
  <c r="W242" i="2"/>
  <c r="AA243" i="2" l="1"/>
  <c r="AB243" i="2" s="1"/>
  <c r="AA242" i="2"/>
  <c r="AB242" i="2" s="1"/>
  <c r="P245" i="2" l="1" a="1"/>
  <c r="O245" i="2" a="1"/>
  <c r="W245" i="2" s="1"/>
  <c r="P244" i="2" a="1"/>
  <c r="O244" i="2" a="1"/>
  <c r="Q244" i="2" l="1"/>
  <c r="W244" i="2"/>
  <c r="AA244" i="2" s="1"/>
  <c r="AB244" i="2" s="1"/>
  <c r="Q245" i="2"/>
  <c r="AA245" i="2" s="1"/>
  <c r="AB245" i="2" s="1"/>
  <c r="P250" i="2" a="1"/>
  <c r="O251" i="2" a="1"/>
  <c r="O253" i="2" a="1"/>
  <c r="P253" i="2" a="1"/>
  <c r="P251" i="2" a="1"/>
  <c r="O252" i="2" a="1"/>
  <c r="O250" i="2" a="1"/>
  <c r="P252" i="2" a="1"/>
  <c r="O248" i="2" l="1" a="1"/>
  <c r="P249" i="2" a="1"/>
  <c r="O249" i="2" a="1"/>
  <c r="P248" i="2" a="1"/>
  <c r="P246" i="2" a="1"/>
  <c r="P247" i="2" a="1"/>
  <c r="O246" i="2" a="1"/>
  <c r="O247" i="2" a="1"/>
  <c r="W247" i="2" s="1"/>
  <c r="Q253" i="2"/>
  <c r="Q251" i="2"/>
  <c r="W250" i="2"/>
  <c r="W251" i="2"/>
  <c r="Q252" i="2"/>
  <c r="Q250" i="2"/>
  <c r="W252" i="2"/>
  <c r="W253" i="2"/>
  <c r="W246" i="2" l="1"/>
  <c r="Q248" i="2"/>
  <c r="Q246" i="2"/>
  <c r="W249" i="2"/>
  <c r="Q247" i="2"/>
  <c r="AA247" i="2" s="1"/>
  <c r="AB247" i="2" s="1"/>
  <c r="W248" i="2"/>
  <c r="AA248" i="2" s="1"/>
  <c r="AB248" i="2" s="1"/>
  <c r="Q249" i="2"/>
  <c r="AA253" i="2"/>
  <c r="AB253" i="2" s="1"/>
  <c r="AA251" i="2"/>
  <c r="AB251" i="2" s="1"/>
  <c r="AA250" i="2"/>
  <c r="AB250" i="2" s="1"/>
  <c r="AA252" i="2"/>
  <c r="AB252" i="2" s="1"/>
  <c r="AA246" i="2" l="1"/>
  <c r="AB246" i="2" s="1"/>
  <c r="AA249" i="2"/>
  <c r="AB249" i="2" s="1"/>
  <c r="P254" i="2" a="1"/>
  <c r="P255" i="2" a="1"/>
  <c r="O254" i="2" a="1"/>
  <c r="O255" i="2" a="1"/>
  <c r="W254" i="2" l="1"/>
  <c r="Q255" i="2"/>
  <c r="Q254" i="2"/>
  <c r="W255" i="2"/>
  <c r="AA254" i="2" l="1"/>
  <c r="AB254" i="2" s="1"/>
  <c r="AA255" i="2"/>
  <c r="AB255" i="2" s="1"/>
  <c r="P257" i="2" l="1" a="1"/>
  <c r="O256" i="2" a="1"/>
  <c r="O257" i="2" a="1"/>
  <c r="P256" i="2" a="1"/>
  <c r="Q256" i="2" s="1"/>
  <c r="O258" i="2" a="1"/>
  <c r="P259" i="2" a="1"/>
  <c r="P258" i="2" a="1"/>
  <c r="O259" i="2" a="1"/>
  <c r="O263" i="2" a="1"/>
  <c r="P260" i="2" a="1"/>
  <c r="O260" i="2" a="1"/>
  <c r="P261" i="2" a="1"/>
  <c r="P262" i="2" a="1"/>
  <c r="Q262" i="2" s="1"/>
  <c r="O261" i="2" a="1"/>
  <c r="O262" i="2" a="1"/>
  <c r="P263" i="2" a="1"/>
  <c r="Q257" i="2" l="1"/>
  <c r="Q258" i="2"/>
  <c r="W261" i="2"/>
  <c r="Q263" i="2"/>
  <c r="W259" i="2"/>
  <c r="W260" i="2"/>
  <c r="W256" i="2"/>
  <c r="AA256" i="2" s="1"/>
  <c r="AB256" i="2" s="1"/>
  <c r="Q259" i="2"/>
  <c r="W257" i="2"/>
  <c r="W263" i="2"/>
  <c r="Q260" i="2"/>
  <c r="Q261" i="2"/>
  <c r="W262" i="2"/>
  <c r="AA262" i="2" s="1"/>
  <c r="AB262" i="2" s="1"/>
  <c r="W258" i="2"/>
  <c r="P265" i="2" a="1"/>
  <c r="O264" i="2" a="1"/>
  <c r="AA257" i="2" l="1"/>
  <c r="AB257" i="2" s="1"/>
  <c r="AA263" i="2"/>
  <c r="AB263" i="2" s="1"/>
  <c r="AA261" i="2"/>
  <c r="AB261" i="2" s="1"/>
  <c r="AA258" i="2"/>
  <c r="AB258" i="2" s="1"/>
  <c r="AA259" i="2"/>
  <c r="AB259" i="2" s="1"/>
  <c r="AA260" i="2"/>
  <c r="AB260" i="2" s="1"/>
  <c r="O269" i="2" a="1"/>
  <c r="O268" i="2" a="1"/>
  <c r="P268" i="2" a="1"/>
  <c r="P269" i="2" a="1"/>
  <c r="P267" i="2" a="1"/>
  <c r="O267" i="2" a="1"/>
  <c r="O266" i="2" a="1"/>
  <c r="P266" i="2" a="1"/>
  <c r="P264" i="2" l="1" a="1"/>
  <c r="O265" i="2" a="1"/>
  <c r="Q267" i="2"/>
  <c r="Q268" i="2"/>
  <c r="Q269" i="2"/>
  <c r="W266" i="2"/>
  <c r="W269" i="2"/>
  <c r="W268" i="2"/>
  <c r="W267" i="2"/>
  <c r="Q266" i="2"/>
  <c r="W264" i="2" l="1"/>
  <c r="AA264" i="2" s="1"/>
  <c r="AB264" i="2" s="1"/>
  <c r="Q264" i="2"/>
  <c r="W265" i="2"/>
  <c r="Q265" i="2"/>
  <c r="AA267" i="2"/>
  <c r="AB267" i="2" s="1"/>
  <c r="AA268" i="2"/>
  <c r="AB268" i="2" s="1"/>
  <c r="AA269" i="2"/>
  <c r="AB269" i="2" s="1"/>
  <c r="AA266" i="2"/>
  <c r="AB266" i="2" s="1"/>
  <c r="O271" i="2" a="1"/>
  <c r="O270" i="2" a="1"/>
  <c r="P270" i="2" a="1"/>
  <c r="P271" i="2" a="1"/>
  <c r="AA265" i="2" l="1"/>
  <c r="AB265" i="2" s="1"/>
  <c r="Q270" i="2"/>
  <c r="W271" i="2"/>
  <c r="W270" i="2"/>
  <c r="Q271" i="2"/>
  <c r="AA271" i="2" l="1"/>
  <c r="AB271" i="2" s="1"/>
  <c r="AA270" i="2"/>
  <c r="AB270" i="2" s="1"/>
  <c r="P272" i="2" a="1"/>
  <c r="O273" i="2" a="1"/>
  <c r="O272" i="2" a="1"/>
  <c r="P273" i="2" a="1"/>
  <c r="P275" i="2" a="1"/>
  <c r="P274" i="2" a="1"/>
  <c r="O275" i="2" a="1"/>
  <c r="W275" i="2" s="1"/>
  <c r="O274" i="2" a="1"/>
  <c r="W274" i="2" l="1"/>
  <c r="Q272" i="2"/>
  <c r="Q273" i="2"/>
  <c r="Q275" i="2"/>
  <c r="AA275" i="2" s="1"/>
  <c r="AB275" i="2" s="1"/>
  <c r="W272" i="2"/>
  <c r="Q274" i="2"/>
  <c r="W273" i="2"/>
  <c r="P277" i="2" a="1"/>
  <c r="P276" i="2" a="1"/>
  <c r="O276" i="2" a="1"/>
  <c r="O277" i="2" a="1"/>
  <c r="AA274" i="2" l="1"/>
  <c r="AB274" i="2" s="1"/>
  <c r="AA272" i="2"/>
  <c r="AB272" i="2" s="1"/>
  <c r="O279" i="2" s="1" a="1"/>
  <c r="W276" i="2"/>
  <c r="AA273" i="2"/>
  <c r="AB273" i="2" s="1"/>
  <c r="W277" i="2"/>
  <c r="Q277" i="2"/>
  <c r="AA277" i="2" s="1"/>
  <c r="AB277" i="2" s="1"/>
  <c r="Q276" i="2"/>
  <c r="P279" i="2" a="1"/>
  <c r="P278" i="2" a="1"/>
  <c r="O278" i="2" a="1"/>
  <c r="AA276" i="2" l="1"/>
  <c r="AB276" i="2" s="1"/>
  <c r="Q279" i="2"/>
  <c r="Q278" i="2"/>
  <c r="W278" i="2"/>
  <c r="W279" i="2"/>
  <c r="AA279" i="2" l="1"/>
  <c r="AB279" i="2" s="1"/>
  <c r="AA278" i="2"/>
  <c r="AB278" i="2" s="1"/>
  <c r="O280" i="2" l="1" a="1"/>
  <c r="P281" i="2" a="1"/>
  <c r="O281" i="2" a="1"/>
  <c r="P280" i="2" a="1"/>
  <c r="W281" i="2" l="1"/>
  <c r="Q280" i="2"/>
  <c r="W280" i="2"/>
  <c r="Q281" i="2"/>
  <c r="AA281" i="2" l="1"/>
  <c r="AB281" i="2" s="1"/>
  <c r="AA280" i="2"/>
  <c r="AB280" i="2" s="1"/>
  <c r="O283" i="2" l="1" a="1"/>
  <c r="P282" i="2" a="1"/>
  <c r="O282" i="2" a="1"/>
  <c r="P283" i="2" a="1"/>
  <c r="Q282" i="2" l="1"/>
  <c r="Q283" i="2"/>
  <c r="W283" i="2"/>
  <c r="W282" i="2"/>
  <c r="AA282" i="2" s="1"/>
  <c r="AB282" i="2" s="1"/>
  <c r="P292" i="2" a="1"/>
  <c r="O291" i="2" a="1"/>
  <c r="O290" i="2" a="1"/>
  <c r="AA283" i="2" l="1"/>
  <c r="AB283" i="2" s="1"/>
  <c r="P286" i="2" a="1"/>
  <c r="O287" i="2" a="1"/>
  <c r="O285" i="2" a="1"/>
  <c r="W285" i="2" s="1"/>
  <c r="P284" i="2" a="1"/>
  <c r="O284" i="2" a="1"/>
  <c r="P285" i="2" a="1"/>
  <c r="P287" i="2" a="1"/>
  <c r="Q287" i="2" s="1"/>
  <c r="O286" i="2" a="1"/>
  <c r="O289" i="2" a="1"/>
  <c r="O288" i="2" a="1"/>
  <c r="O293" i="2" a="1"/>
  <c r="W293" i="2" s="1"/>
  <c r="P288" i="2" a="1"/>
  <c r="P289" i="2" a="1"/>
  <c r="P290" i="2" a="1"/>
  <c r="P291" i="2" a="1"/>
  <c r="P293" i="2" a="1"/>
  <c r="O292" i="2" a="1"/>
  <c r="W286" i="2" l="1"/>
  <c r="Q284" i="2"/>
  <c r="Q293" i="2"/>
  <c r="AA293" i="2" s="1"/>
  <c r="AB293" i="2" s="1"/>
  <c r="W287" i="2"/>
  <c r="AA287" i="2" s="1"/>
  <c r="AB287" i="2" s="1"/>
  <c r="W284" i="2"/>
  <c r="AA284" i="2" s="1"/>
  <c r="AB284" i="2" s="1"/>
  <c r="Q285" i="2"/>
  <c r="AA285" i="2" s="1"/>
  <c r="AB285" i="2" s="1"/>
  <c r="Q286" i="2"/>
  <c r="AA286" i="2" s="1"/>
  <c r="AB286" i="2" s="1"/>
  <c r="W288" i="2"/>
  <c r="Q288" i="2"/>
  <c r="W289" i="2"/>
  <c r="Q289" i="2"/>
  <c r="AA289" i="2" s="1"/>
  <c r="AB289" i="2" s="1"/>
  <c r="W290" i="2"/>
  <c r="Q290" i="2"/>
  <c r="Q291" i="2"/>
  <c r="W291" i="2"/>
  <c r="Q292" i="2"/>
  <c r="W292" i="2"/>
  <c r="AA288" i="2" l="1"/>
  <c r="AB288" i="2" s="1"/>
  <c r="AA290" i="2"/>
  <c r="AB290" i="2" s="1"/>
  <c r="AA291" i="2"/>
  <c r="AB291" i="2" s="1"/>
  <c r="AA292" i="2"/>
  <c r="AB292" i="2" s="1"/>
  <c r="P295" i="2" a="1"/>
  <c r="P294" i="2" a="1"/>
  <c r="O295" i="2" a="1"/>
  <c r="O294" i="2" a="1"/>
  <c r="O297" i="2" a="1"/>
  <c r="P296" i="2" a="1"/>
  <c r="O296" i="2" a="1"/>
  <c r="P297" i="2" a="1"/>
  <c r="W295" i="2" l="1"/>
  <c r="W294" i="2"/>
  <c r="Q295" i="2"/>
  <c r="AA295" i="2" s="1"/>
  <c r="AB295" i="2" s="1"/>
  <c r="Q294" i="2"/>
  <c r="W296" i="2"/>
  <c r="Q297" i="2"/>
  <c r="Q296" i="2"/>
  <c r="W297" i="2"/>
  <c r="AA294" i="2" l="1"/>
  <c r="AB294" i="2" s="1"/>
  <c r="AA296" i="2"/>
  <c r="AB296" i="2" s="1"/>
  <c r="AA297" i="2"/>
  <c r="AB297" i="2" s="1"/>
  <c r="O298" i="2" l="1" a="1"/>
  <c r="O299" i="2" a="1"/>
  <c r="W299" i="2" s="1"/>
  <c r="P299" i="2" a="1"/>
  <c r="P298" i="2" a="1"/>
  <c r="Q298" i="2" l="1"/>
  <c r="Q299" i="2"/>
  <c r="AA299" i="2" s="1"/>
  <c r="AB299" i="2" s="1"/>
  <c r="W298" i="2"/>
  <c r="O301" i="2" a="1"/>
  <c r="P300" i="2" a="1"/>
  <c r="O300" i="2" a="1"/>
  <c r="P301" i="2" a="1"/>
  <c r="AA298" i="2" l="1"/>
  <c r="AB298" i="2" s="1"/>
  <c r="W300" i="2"/>
  <c r="W301" i="2"/>
  <c r="Q300" i="2"/>
  <c r="Q301" i="2"/>
  <c r="AA300" i="2" l="1"/>
  <c r="AB300" i="2" s="1"/>
  <c r="AA301" i="2"/>
  <c r="AB301" i="2" s="1"/>
  <c r="P303" i="2" a="1"/>
  <c r="O302" i="2" a="1"/>
  <c r="O303" i="2" a="1"/>
  <c r="P302" i="2" a="1"/>
  <c r="Q303" i="2" l="1"/>
  <c r="W302" i="2"/>
  <c r="W303" i="2"/>
  <c r="Q302" i="2"/>
  <c r="AA303" i="2" l="1"/>
  <c r="AB303" i="2" s="1"/>
  <c r="AA302" i="2"/>
  <c r="AB302" i="2" s="1"/>
  <c r="P304" i="2" l="1" a="1"/>
  <c r="O305" i="2" a="1"/>
  <c r="P305" i="2" a="1"/>
  <c r="O304" i="2" a="1"/>
  <c r="W305" i="2" l="1"/>
  <c r="W304" i="2"/>
  <c r="Q304" i="2"/>
  <c r="Q305" i="2"/>
  <c r="AA304" i="2" l="1"/>
  <c r="AB304" i="2" s="1"/>
  <c r="AA305" i="2"/>
  <c r="AB305" i="2" s="1"/>
  <c r="P306" i="2" a="1"/>
  <c r="O307" i="2" a="1"/>
  <c r="O306" i="2" a="1"/>
  <c r="P307" i="2" a="1"/>
  <c r="W306" i="2" l="1"/>
  <c r="Q307" i="2"/>
  <c r="W307" i="2"/>
  <c r="Q306" i="2"/>
  <c r="AA307" i="2" l="1"/>
  <c r="AB307" i="2" s="1"/>
  <c r="AA306" i="2"/>
  <c r="AB306" i="2" s="1"/>
  <c r="P311" i="2" a="1"/>
  <c r="P308" i="2" a="1"/>
  <c r="O311" i="2" a="1"/>
  <c r="O309" i="2" a="1"/>
  <c r="P310" i="2" a="1"/>
  <c r="P309" i="2" a="1"/>
  <c r="O310" i="2" a="1"/>
  <c r="O308" i="2" a="1"/>
  <c r="O313" i="2" a="1"/>
  <c r="P312" i="2" a="1"/>
  <c r="O312" i="2" a="1"/>
  <c r="P313" i="2" a="1"/>
  <c r="W312" i="2" l="1"/>
  <c r="W309" i="2"/>
  <c r="Q308" i="2"/>
  <c r="W311" i="2"/>
  <c r="Q310" i="2"/>
  <c r="W313" i="2"/>
  <c r="Q311" i="2"/>
  <c r="Q309" i="2"/>
  <c r="W310" i="2"/>
  <c r="W308" i="2"/>
  <c r="Q312" i="2"/>
  <c r="Q313" i="2"/>
  <c r="AA312" i="2" l="1"/>
  <c r="AB312" i="2" s="1"/>
  <c r="AA309" i="2"/>
  <c r="AB309" i="2" s="1"/>
  <c r="AA308" i="2"/>
  <c r="AB308" i="2" s="1"/>
  <c r="AA310" i="2"/>
  <c r="AB310" i="2" s="1"/>
  <c r="AA313" i="2"/>
  <c r="AB313" i="2" s="1"/>
  <c r="AA311" i="2"/>
  <c r="AB311" i="2" s="1"/>
  <c r="O317" i="2" a="1"/>
  <c r="P316" i="2" a="1"/>
  <c r="O316" i="2" a="1"/>
  <c r="P317" i="2" a="1"/>
  <c r="O314" i="2" l="1" a="1"/>
  <c r="O315" i="2" a="1"/>
  <c r="P314" i="2" a="1"/>
  <c r="P315" i="2" a="1"/>
  <c r="Q317" i="2"/>
  <c r="W316" i="2"/>
  <c r="W317" i="2"/>
  <c r="Q316" i="2"/>
  <c r="W314" i="2" l="1"/>
  <c r="W315" i="2"/>
  <c r="Q315" i="2"/>
  <c r="AA315" i="2" s="1"/>
  <c r="AB315" i="2" s="1"/>
  <c r="Q314" i="2"/>
  <c r="AA314" i="2" s="1"/>
  <c r="AB314" i="2" s="1"/>
  <c r="AA317" i="2"/>
  <c r="AB317" i="2" s="1"/>
  <c r="O318" i="2" a="1"/>
  <c r="P318" i="2" a="1"/>
  <c r="P319" i="2" a="1"/>
  <c r="O319" i="2" a="1"/>
  <c r="AA316" i="2"/>
  <c r="AB316" i="2" s="1"/>
  <c r="O321" i="2" a="1"/>
  <c r="P320" i="2" a="1"/>
  <c r="P321" i="2" a="1"/>
  <c r="O320" i="2" a="1"/>
  <c r="O322" i="2" a="1"/>
  <c r="P322" i="2" a="1"/>
  <c r="P323" i="2" a="1"/>
  <c r="O323" i="2" a="1"/>
  <c r="Q318" i="2" l="1"/>
  <c r="W319" i="2"/>
  <c r="Q319" i="2"/>
  <c r="AA319" i="2" s="1"/>
  <c r="AB319" i="2" s="1"/>
  <c r="Q321" i="2"/>
  <c r="W318" i="2"/>
  <c r="Q322" i="2"/>
  <c r="W320" i="2"/>
  <c r="Q323" i="2"/>
  <c r="W321" i="2"/>
  <c r="W322" i="2"/>
  <c r="W323" i="2"/>
  <c r="Q320" i="2"/>
  <c r="AA318" i="2" l="1"/>
  <c r="AB318" i="2" s="1"/>
  <c r="AA321" i="2"/>
  <c r="AB321" i="2" s="1"/>
  <c r="AA322" i="2"/>
  <c r="AB322" i="2" s="1"/>
  <c r="AA323" i="2"/>
  <c r="AB323" i="2" s="1"/>
  <c r="AA320" i="2"/>
  <c r="AB320" i="2" s="1"/>
  <c r="O325" i="2" l="1" a="1"/>
  <c r="P324" i="2" a="1"/>
  <c r="O324" i="2" a="1"/>
  <c r="W324" i="2" s="1"/>
  <c r="P325" i="2" a="1"/>
  <c r="Q324" i="2" l="1"/>
  <c r="AA324" i="2" s="1"/>
  <c r="AB324" i="2" s="1"/>
  <c r="W325" i="2"/>
  <c r="Q325" i="2"/>
  <c r="AA325" i="2" s="1"/>
  <c r="AB325" i="2" s="1"/>
  <c r="P326" i="2" l="1" a="1"/>
  <c r="P327" i="2" a="1"/>
  <c r="O327" i="2" a="1"/>
  <c r="W327" i="2" s="1"/>
  <c r="O326" i="2" a="1"/>
  <c r="W326" i="2" s="1"/>
  <c r="Q326" i="2" l="1"/>
  <c r="AA326" i="2" s="1"/>
  <c r="AB326" i="2" s="1"/>
  <c r="Q327" i="2"/>
  <c r="AA327" i="2" s="1"/>
  <c r="AB327" i="2" s="1"/>
  <c r="O328" i="2" a="1"/>
  <c r="P329" i="2" a="1"/>
  <c r="O329" i="2" a="1"/>
  <c r="P328" i="2" a="1"/>
  <c r="W328" i="2" l="1"/>
  <c r="W329" i="2"/>
  <c r="Q329" i="2"/>
  <c r="Q328" i="2"/>
  <c r="AA329" i="2" l="1"/>
  <c r="AB329" i="2" s="1"/>
  <c r="AA328" i="2"/>
  <c r="AB328" i="2" s="1"/>
  <c r="O335" i="2" a="1"/>
  <c r="O334" i="2" a="1"/>
  <c r="P335" i="2" a="1"/>
  <c r="O332" i="2" a="1"/>
  <c r="O333" i="2" a="1"/>
  <c r="P332" i="2" a="1"/>
  <c r="P333" i="2" a="1"/>
  <c r="P334" i="2" a="1"/>
  <c r="O330" i="2" l="1" a="1"/>
  <c r="W330" i="2" s="1"/>
  <c r="O331" i="2" a="1"/>
  <c r="P330" i="2" a="1"/>
  <c r="P331" i="2" a="1"/>
  <c r="P337" i="2" a="1"/>
  <c r="P338" i="2" a="1"/>
  <c r="P339" i="2" a="1"/>
  <c r="O339" i="2" a="1"/>
  <c r="P336" i="2" a="1"/>
  <c r="O338" i="2" a="1"/>
  <c r="O337" i="2" a="1"/>
  <c r="O336" i="2" a="1"/>
  <c r="W332" i="2"/>
  <c r="Q335" i="2"/>
  <c r="Q334" i="2"/>
  <c r="W335" i="2"/>
  <c r="W333" i="2"/>
  <c r="Q332" i="2"/>
  <c r="Q333" i="2"/>
  <c r="W334" i="2"/>
  <c r="W339" i="2" l="1"/>
  <c r="Q337" i="2"/>
  <c r="Q338" i="2"/>
  <c r="Q336" i="2"/>
  <c r="W331" i="2"/>
  <c r="Q330" i="2"/>
  <c r="AA330" i="2" s="1"/>
  <c r="AB330" i="2" s="1"/>
  <c r="Q331" i="2"/>
  <c r="AA331" i="2" s="1"/>
  <c r="AB331" i="2" s="1"/>
  <c r="Q339" i="2"/>
  <c r="AA339" i="2" s="1"/>
  <c r="AB339" i="2" s="1"/>
  <c r="W338" i="2"/>
  <c r="AA338" i="2" s="1"/>
  <c r="AB338" i="2" s="1"/>
  <c r="W337" i="2"/>
  <c r="AA337" i="2" s="1"/>
  <c r="AB337" i="2" s="1"/>
  <c r="W336" i="2"/>
  <c r="AA336" i="2" s="1"/>
  <c r="AB336" i="2" s="1"/>
  <c r="AA335" i="2"/>
  <c r="AB335" i="2" s="1"/>
  <c r="P343" i="2" a="1"/>
  <c r="O340" i="2" a="1"/>
  <c r="O342" i="2" a="1"/>
  <c r="P341" i="2" a="1"/>
  <c r="P340" i="2" a="1"/>
  <c r="O343" i="2" a="1"/>
  <c r="O341" i="2" a="1"/>
  <c r="W341" i="2" s="1"/>
  <c r="P342" i="2" a="1"/>
  <c r="Q342" i="2" s="1"/>
  <c r="AA332" i="2"/>
  <c r="AB332" i="2" s="1"/>
  <c r="AA334" i="2"/>
  <c r="AB334" i="2" s="1"/>
  <c r="AA333" i="2"/>
  <c r="AB333" i="2" s="1"/>
  <c r="Q343" i="2" l="1"/>
  <c r="Q340" i="2"/>
  <c r="W340" i="2"/>
  <c r="Q341" i="2"/>
  <c r="AA341" i="2" s="1"/>
  <c r="AB341" i="2" s="1"/>
  <c r="W343" i="2"/>
  <c r="W342" i="2"/>
  <c r="O346" i="2" a="1"/>
  <c r="P347" i="2" a="1"/>
  <c r="AA343" i="2"/>
  <c r="AB343" i="2" s="1"/>
  <c r="AA342" i="2"/>
  <c r="AB342" i="2" s="1"/>
  <c r="AA340" i="2"/>
  <c r="AB340" i="2" s="1"/>
  <c r="P348" i="2" a="1"/>
  <c r="O348" i="2" a="1"/>
  <c r="P349" i="2" a="1"/>
  <c r="O349" i="2" a="1"/>
  <c r="O344" i="2" l="1" a="1"/>
  <c r="P346" i="2" a="1"/>
  <c r="O345" i="2" a="1"/>
  <c r="O347" i="2" a="1"/>
  <c r="P344" i="2" a="1"/>
  <c r="P345" i="2" a="1"/>
  <c r="Q348" i="2"/>
  <c r="W349" i="2"/>
  <c r="W348" i="2"/>
  <c r="Q349" i="2"/>
  <c r="Q344" i="2" l="1"/>
  <c r="Q345" i="2"/>
  <c r="W344" i="2"/>
  <c r="W345" i="2"/>
  <c r="W346" i="2"/>
  <c r="Q346" i="2"/>
  <c r="Q347" i="2"/>
  <c r="AA347" i="2" s="1"/>
  <c r="AB347" i="2" s="1"/>
  <c r="W347" i="2"/>
  <c r="AA348" i="2"/>
  <c r="AB348" i="2" s="1"/>
  <c r="AA349" i="2"/>
  <c r="AB349" i="2" s="1"/>
  <c r="P350" i="2" a="1"/>
  <c r="P351" i="2" a="1"/>
  <c r="O351" i="2" a="1"/>
  <c r="O350" i="2" a="1"/>
  <c r="AA344" i="2" l="1"/>
  <c r="AB344" i="2" s="1"/>
  <c r="AA345" i="2"/>
  <c r="AB345" i="2" s="1"/>
  <c r="AA346" i="2"/>
  <c r="AB346" i="2" s="1"/>
  <c r="W350" i="2"/>
  <c r="W351" i="2"/>
  <c r="Q351" i="2"/>
  <c r="Q350" i="2"/>
  <c r="AA351" i="2" l="1"/>
  <c r="AB351" i="2" s="1"/>
  <c r="AA350" i="2"/>
  <c r="AB350" i="2" s="1"/>
  <c r="O352" i="2" a="1"/>
  <c r="P353" i="2" a="1"/>
  <c r="P352" i="2" a="1"/>
  <c r="O353" i="2" a="1"/>
  <c r="Q352" i="2" l="1"/>
  <c r="W353" i="2"/>
  <c r="W352" i="2"/>
  <c r="Q353" i="2"/>
  <c r="AA352" i="2" l="1"/>
  <c r="AB352" i="2" s="1"/>
  <c r="AA353" i="2"/>
  <c r="AB353" i="2" s="1"/>
  <c r="P357" i="2" a="1"/>
  <c r="O357" i="2" a="1"/>
  <c r="P356" i="2" a="1"/>
  <c r="O356" i="2" a="1"/>
  <c r="P354" i="2" l="1" a="1"/>
  <c r="O355" i="2" a="1"/>
  <c r="P355" i="2" a="1"/>
  <c r="O354" i="2" a="1"/>
  <c r="W354" i="2" s="1"/>
  <c r="W357" i="2"/>
  <c r="Q356" i="2"/>
  <c r="W356" i="2"/>
  <c r="Q357" i="2"/>
  <c r="W355" i="2" l="1"/>
  <c r="Q354" i="2"/>
  <c r="AA354" i="2" s="1"/>
  <c r="AB354" i="2" s="1"/>
  <c r="Q355" i="2"/>
  <c r="AA355" i="2" s="1"/>
  <c r="AB355" i="2" s="1"/>
  <c r="AA356" i="2"/>
  <c r="AB356" i="2" s="1"/>
  <c r="AA357" i="2"/>
  <c r="AB357" i="2" s="1"/>
  <c r="P358" i="2" l="1" a="1"/>
  <c r="O358" i="2" a="1"/>
  <c r="W358" i="2" s="1"/>
  <c r="O359" i="2" a="1"/>
  <c r="W359" i="2" s="1"/>
  <c r="P359" i="2" a="1"/>
  <c r="Q358" i="2" l="1"/>
  <c r="AA358" i="2" s="1"/>
  <c r="AB358" i="2" s="1"/>
  <c r="Q359" i="2"/>
  <c r="AA359" i="2" s="1"/>
  <c r="AB359" i="2" s="1"/>
  <c r="P360" i="2" l="1" a="1"/>
  <c r="P361" i="2" a="1"/>
  <c r="P363" i="2" a="1"/>
  <c r="O360" i="2" a="1"/>
  <c r="O362" i="2" a="1"/>
  <c r="P362" i="2" a="1"/>
  <c r="O363" i="2" a="1"/>
  <c r="O361" i="2" a="1"/>
  <c r="W361" i="2" s="1"/>
  <c r="P364" i="2" a="1"/>
  <c r="P365" i="2" a="1"/>
  <c r="O365" i="2" a="1"/>
  <c r="O364" i="2" a="1"/>
  <c r="W364" i="2" s="1"/>
  <c r="Q365" i="2" l="1"/>
  <c r="Q363" i="2"/>
  <c r="W360" i="2"/>
  <c r="W362" i="2"/>
  <c r="Q360" i="2"/>
  <c r="AA360" i="2" s="1"/>
  <c r="AB360" i="2" s="1"/>
  <c r="Q362" i="2"/>
  <c r="AA362" i="2" s="1"/>
  <c r="AB362" i="2" s="1"/>
  <c r="W363" i="2"/>
  <c r="Q364" i="2"/>
  <c r="AA364" i="2" s="1"/>
  <c r="AB364" i="2" s="1"/>
  <c r="W365" i="2"/>
  <c r="AA365" i="2" s="1"/>
  <c r="AB365" i="2" s="1"/>
  <c r="Q361" i="2"/>
  <c r="AA361" i="2" s="1"/>
  <c r="AB361" i="2" s="1"/>
  <c r="AA363" i="2" l="1"/>
  <c r="AB363" i="2" s="1"/>
  <c r="O366" i="2" a="1"/>
  <c r="O367" i="2" a="1"/>
  <c r="P369" i="2" a="1"/>
  <c r="O368" i="2" a="1"/>
  <c r="O369" i="2" a="1"/>
  <c r="P366" i="2" a="1"/>
  <c r="Q366" i="2" s="1"/>
  <c r="P368" i="2" a="1"/>
  <c r="P367" i="2" a="1"/>
  <c r="Q367" i="2" s="1"/>
  <c r="Q368" i="2" l="1"/>
  <c r="W369" i="2"/>
  <c r="W366" i="2"/>
  <c r="AA366" i="2" s="1"/>
  <c r="AB366" i="2" s="1"/>
  <c r="Q369" i="2"/>
  <c r="W368" i="2"/>
  <c r="AA368" i="2" s="1"/>
  <c r="AB368" i="2" s="1"/>
  <c r="W367" i="2"/>
  <c r="AA367" i="2" s="1"/>
  <c r="AB367" i="2" s="1"/>
  <c r="O370" i="2" a="1"/>
  <c r="P371" i="2" a="1"/>
  <c r="AA369" i="2" l="1"/>
  <c r="AB369" i="2" s="1"/>
  <c r="P370" i="2" l="1" a="1"/>
  <c r="O371" i="2" a="1"/>
  <c r="O377" i="2" a="1"/>
  <c r="P379" i="2" a="1"/>
  <c r="O379" i="2" a="1"/>
  <c r="W379" i="2" s="1"/>
  <c r="O376" i="2" a="1"/>
  <c r="O374" i="2" a="1"/>
  <c r="P373" i="2" a="1"/>
  <c r="O375" i="2" a="1"/>
  <c r="W375" i="2" s="1"/>
  <c r="P375" i="2" a="1"/>
  <c r="P374" i="2" a="1"/>
  <c r="Q374" i="2" s="1"/>
  <c r="O373" i="2" a="1"/>
  <c r="P372" i="2" a="1"/>
  <c r="O372" i="2" a="1"/>
  <c r="P377" i="2" a="1"/>
  <c r="O378" i="2" a="1"/>
  <c r="P376" i="2" a="1"/>
  <c r="P378" i="2" a="1"/>
  <c r="W376" i="2" l="1"/>
  <c r="W373" i="2"/>
  <c r="W372" i="2"/>
  <c r="W378" i="2"/>
  <c r="Q370" i="2"/>
  <c r="W370" i="2"/>
  <c r="Q371" i="2"/>
  <c r="W371" i="2"/>
  <c r="Q377" i="2"/>
  <c r="Q376" i="2"/>
  <c r="W377" i="2"/>
  <c r="AA377" i="2" s="1"/>
  <c r="AB377" i="2" s="1"/>
  <c r="Q373" i="2"/>
  <c r="W374" i="2"/>
  <c r="AA374" i="2" s="1"/>
  <c r="AB374" i="2" s="1"/>
  <c r="Q375" i="2"/>
  <c r="AA375" i="2" s="1"/>
  <c r="AB375" i="2" s="1"/>
  <c r="Q372" i="2"/>
  <c r="Q378" i="2"/>
  <c r="AA378" i="2" s="1"/>
  <c r="AB378" i="2" s="1"/>
  <c r="Q379" i="2"/>
  <c r="AA379" i="2" s="1"/>
  <c r="AB379" i="2" s="1"/>
  <c r="AA376" i="2" l="1"/>
  <c r="AB376" i="2" s="1"/>
  <c r="AA373" i="2"/>
  <c r="AB373" i="2" s="1"/>
  <c r="AA372" i="2"/>
  <c r="AB372" i="2" s="1"/>
  <c r="AA370" i="2"/>
  <c r="AB370" i="2" s="1"/>
  <c r="AA371" i="2"/>
  <c r="AB371" i="2" s="1"/>
  <c r="O383" i="2" a="1"/>
  <c r="P381" i="2" a="1"/>
  <c r="O381" i="2" a="1"/>
  <c r="O380" i="2" a="1"/>
  <c r="W380" i="2" s="1"/>
  <c r="P380" i="2" a="1"/>
  <c r="P382" i="2" a="1"/>
  <c r="O382" i="2" a="1"/>
  <c r="P383" i="2" a="1"/>
  <c r="P385" i="2" a="1"/>
  <c r="P384" i="2" a="1"/>
  <c r="O384" i="2" a="1"/>
  <c r="O385" i="2" a="1"/>
  <c r="W383" i="2" l="1"/>
  <c r="Q381" i="2"/>
  <c r="Q382" i="2"/>
  <c r="W381" i="2"/>
  <c r="Q380" i="2"/>
  <c r="AA380" i="2" s="1"/>
  <c r="AB380" i="2" s="1"/>
  <c r="W382" i="2"/>
  <c r="Q383" i="2"/>
  <c r="AA383" i="2" s="1"/>
  <c r="AB383" i="2" s="1"/>
  <c r="Q384" i="2"/>
  <c r="W385" i="2"/>
  <c r="Q385" i="2"/>
  <c r="W384" i="2"/>
  <c r="AA381" i="2" l="1"/>
  <c r="AB381" i="2" s="1"/>
  <c r="AA382" i="2"/>
  <c r="AB382" i="2" s="1"/>
  <c r="AA385" i="2"/>
  <c r="AB385" i="2" s="1"/>
  <c r="AA384" i="2"/>
  <c r="AB384" i="2" s="1"/>
  <c r="P388" i="2" a="1"/>
  <c r="P389" i="2" a="1"/>
  <c r="O388" i="2" a="1"/>
  <c r="P386" i="2" a="1"/>
  <c r="P387" i="2" a="1"/>
  <c r="O387" i="2" a="1"/>
  <c r="O389" i="2" a="1"/>
  <c r="O386" i="2" a="1"/>
  <c r="W389" i="2" l="1"/>
  <c r="W386" i="2"/>
  <c r="W388" i="2"/>
  <c r="Q387" i="2"/>
  <c r="Q388" i="2"/>
  <c r="AA388" i="2" s="1"/>
  <c r="AB388" i="2" s="1"/>
  <c r="Q386" i="2"/>
  <c r="W387" i="2"/>
  <c r="Q389" i="2"/>
  <c r="P399" i="2" a="1"/>
  <c r="P398" i="2" a="1"/>
  <c r="O399" i="2" a="1"/>
  <c r="O398" i="2" a="1"/>
  <c r="AA389" i="2" l="1"/>
  <c r="AB389" i="2" s="1"/>
  <c r="P390" i="2" a="1"/>
  <c r="O390" i="2" a="1"/>
  <c r="W390" i="2" s="1"/>
  <c r="O391" i="2" a="1"/>
  <c r="P391" i="2" a="1"/>
  <c r="Q391" i="2" s="1"/>
  <c r="O392" i="2" a="1"/>
  <c r="P393" i="2" a="1"/>
  <c r="O393" i="2" a="1"/>
  <c r="W393" i="2" s="1"/>
  <c r="P392" i="2" a="1"/>
  <c r="AA386" i="2"/>
  <c r="AB386" i="2" s="1"/>
  <c r="AA387" i="2"/>
  <c r="AB387" i="2" s="1"/>
  <c r="O394" i="2" a="1"/>
  <c r="O395" i="2" a="1"/>
  <c r="P394" i="2" a="1"/>
  <c r="P395" i="2" a="1"/>
  <c r="O397" i="2" a="1"/>
  <c r="P396" i="2" a="1"/>
  <c r="Q398" i="2"/>
  <c r="W399" i="2"/>
  <c r="Q399" i="2"/>
  <c r="W398" i="2"/>
  <c r="P397" i="2" l="1" a="1"/>
  <c r="O396" i="2" a="1"/>
  <c r="Q393" i="2"/>
  <c r="AA393" i="2" s="1"/>
  <c r="AB393" i="2" s="1"/>
  <c r="Q392" i="2"/>
  <c r="Q395" i="2"/>
  <c r="Q390" i="2"/>
  <c r="AA390" i="2" s="1"/>
  <c r="AB390" i="2" s="1"/>
  <c r="W391" i="2"/>
  <c r="AA391" i="2" s="1"/>
  <c r="AB391" i="2" s="1"/>
  <c r="W392" i="2"/>
  <c r="AA392" i="2" s="1"/>
  <c r="AB392" i="2" s="1"/>
  <c r="Q394" i="2"/>
  <c r="W394" i="2"/>
  <c r="W395" i="2"/>
  <c r="AA399" i="2"/>
  <c r="AB399" i="2" s="1"/>
  <c r="AA398" i="2"/>
  <c r="AB398" i="2" s="1"/>
  <c r="P405" i="2" a="1"/>
  <c r="O404" i="2" a="1"/>
  <c r="P404" i="2" a="1"/>
  <c r="O405" i="2" a="1"/>
  <c r="P406" i="2" a="1"/>
  <c r="O407" i="2" a="1"/>
  <c r="O408" i="2" a="1"/>
  <c r="P409" i="2" a="1"/>
  <c r="W397" i="2" l="1"/>
  <c r="Q397" i="2"/>
  <c r="AA397" i="2" s="1"/>
  <c r="AB397" i="2" s="1"/>
  <c r="W396" i="2"/>
  <c r="AA396" i="2" s="1"/>
  <c r="AB396" i="2" s="1"/>
  <c r="Q396" i="2"/>
  <c r="AA395" i="2"/>
  <c r="AB395" i="2" s="1"/>
  <c r="P401" i="2" a="1"/>
  <c r="Q401" i="2" s="1"/>
  <c r="P400" i="2" a="1"/>
  <c r="O401" i="2" a="1"/>
  <c r="O400" i="2" a="1"/>
  <c r="AA394" i="2"/>
  <c r="AB394" i="2" s="1"/>
  <c r="Q405" i="2"/>
  <c r="Q404" i="2"/>
  <c r="W405" i="2"/>
  <c r="W404" i="2"/>
  <c r="P407" i="2" l="1" a="1"/>
  <c r="O406" i="2" a="1"/>
  <c r="P403" i="2" a="1"/>
  <c r="O402" i="2" a="1"/>
  <c r="Q400" i="2"/>
  <c r="O409" i="2" a="1"/>
  <c r="P408" i="2" a="1"/>
  <c r="W401" i="2"/>
  <c r="AA401" i="2" s="1"/>
  <c r="AB401" i="2" s="1"/>
  <c r="W400" i="2"/>
  <c r="O403" i="2" a="1"/>
  <c r="P402" i="2" a="1"/>
  <c r="AA405" i="2"/>
  <c r="AB405" i="2" s="1"/>
  <c r="AA404" i="2"/>
  <c r="AB404" i="2" s="1"/>
  <c r="W407" i="2" l="1"/>
  <c r="AA407" i="2" s="1"/>
  <c r="AB407" i="2" s="1"/>
  <c r="Q407" i="2"/>
  <c r="W406" i="2"/>
  <c r="AA406" i="2" s="1"/>
  <c r="AB406" i="2" s="1"/>
  <c r="Q406" i="2"/>
  <c r="Q409" i="2"/>
  <c r="W409" i="2"/>
  <c r="AA409" i="2" s="1"/>
  <c r="AB409" i="2" s="1"/>
  <c r="W408" i="2"/>
  <c r="Q408" i="2"/>
  <c r="AA400" i="2"/>
  <c r="AB400" i="2" s="1"/>
  <c r="W403" i="2"/>
  <c r="Q403" i="2"/>
  <c r="W402" i="2"/>
  <c r="Q402" i="2"/>
  <c r="O413" i="2" a="1"/>
  <c r="P412" i="2" a="1"/>
  <c r="P410" i="2" l="1" a="1"/>
  <c r="O411" i="2" a="1"/>
  <c r="AA408" i="2"/>
  <c r="AB408" i="2" s="1"/>
  <c r="AA403" i="2"/>
  <c r="AB403" i="2" s="1"/>
  <c r="AA402" i="2"/>
  <c r="AB402" i="2" s="1"/>
  <c r="P411" i="2" l="1" a="1"/>
  <c r="O410" i="2" a="1"/>
  <c r="P413" i="2" a="1"/>
  <c r="O412" i="2" a="1"/>
  <c r="W411" i="2" l="1"/>
  <c r="AA411" i="2" s="1"/>
  <c r="AB411" i="2" s="1"/>
  <c r="Q411" i="2"/>
  <c r="Q410" i="2"/>
  <c r="W410" i="2"/>
  <c r="AA410" i="2" s="1"/>
  <c r="AB410" i="2" s="1"/>
  <c r="Q413" i="2"/>
  <c r="W413" i="2"/>
  <c r="AA413" i="2" s="1"/>
  <c r="AB413" i="2" s="1"/>
  <c r="Q412" i="2"/>
  <c r="W412" i="2"/>
  <c r="P415" i="2" a="1"/>
  <c r="O417" i="2" a="1"/>
  <c r="P414" i="2" a="1"/>
  <c r="P416" i="2" a="1"/>
  <c r="P417" i="2" a="1"/>
  <c r="O414" i="2" a="1"/>
  <c r="O415" i="2" a="1"/>
  <c r="O416" i="2" a="1"/>
  <c r="W416" i="2" l="1"/>
  <c r="Q417" i="2"/>
  <c r="AA412" i="2"/>
  <c r="AB412" i="2" s="1"/>
  <c r="Q414" i="2"/>
  <c r="W415" i="2"/>
  <c r="Q415" i="2"/>
  <c r="W417" i="2"/>
  <c r="AA417" i="2" s="1"/>
  <c r="AB417" i="2" s="1"/>
  <c r="Q416" i="2"/>
  <c r="W414" i="2"/>
  <c r="AA416" i="2" l="1"/>
  <c r="AB416" i="2" s="1"/>
  <c r="AA414" i="2"/>
  <c r="AB414" i="2" s="1"/>
  <c r="AA415" i="2"/>
  <c r="AB415" i="2" s="1"/>
  <c r="P418" i="2" a="1"/>
  <c r="P419" i="2" a="1"/>
  <c r="O418" i="2" a="1"/>
  <c r="O419" i="2" a="1"/>
  <c r="P420" i="2" a="1"/>
  <c r="O420" i="2" a="1"/>
  <c r="O421" i="2" a="1"/>
  <c r="P421" i="2" a="1"/>
  <c r="Q419" i="2" l="1"/>
  <c r="Q418" i="2"/>
  <c r="W418" i="2"/>
  <c r="AA418" i="2" s="1"/>
  <c r="AB418" i="2" s="1"/>
  <c r="W419" i="2"/>
  <c r="Q421" i="2"/>
  <c r="Q420" i="2"/>
  <c r="W420" i="2"/>
  <c r="W421" i="2"/>
  <c r="AA419" i="2" l="1"/>
  <c r="AB419" i="2" s="1"/>
  <c r="AA421" i="2"/>
  <c r="AB421" i="2" s="1"/>
  <c r="AA420" i="2"/>
  <c r="AB420" i="2" s="1"/>
  <c r="P425" i="2" a="1"/>
  <c r="O425" i="2" a="1"/>
  <c r="P424" i="2" a="1"/>
  <c r="O424" i="2" a="1"/>
  <c r="P423" i="2" l="1" a="1"/>
  <c r="P422" i="2" a="1"/>
  <c r="O422" i="2" a="1"/>
  <c r="O423" i="2" a="1"/>
  <c r="W424" i="2"/>
  <c r="W425" i="2"/>
  <c r="Q425" i="2"/>
  <c r="Q424" i="2"/>
  <c r="Q422" i="2" l="1"/>
  <c r="Q423" i="2"/>
  <c r="W423" i="2"/>
  <c r="W422" i="2"/>
  <c r="AA424" i="2"/>
  <c r="AB424" i="2" s="1"/>
  <c r="AA425" i="2"/>
  <c r="AB425" i="2" s="1"/>
  <c r="AA422" i="2" l="1"/>
  <c r="AB422" i="2" s="1"/>
  <c r="AA423" i="2"/>
  <c r="AB423" i="2" s="1"/>
  <c r="P426" i="2" l="1" a="1"/>
  <c r="O427" i="2" a="1"/>
  <c r="P427" i="2" a="1"/>
  <c r="O426" i="2" a="1"/>
  <c r="W426" i="2" l="1"/>
  <c r="W427" i="2"/>
  <c r="Q426" i="2"/>
  <c r="Q427" i="2"/>
  <c r="AA426" i="2" l="1"/>
  <c r="AB426" i="2" s="1"/>
  <c r="AA427" i="2"/>
  <c r="AB427" i="2" s="1"/>
  <c r="P429" i="2" l="1" a="1"/>
  <c r="O429" i="2" a="1"/>
  <c r="O428" i="2" a="1"/>
  <c r="P428" i="2" a="1"/>
  <c r="W428" i="2" l="1"/>
  <c r="W429" i="2"/>
  <c r="Q428" i="2"/>
  <c r="Q429" i="2"/>
  <c r="AA428" i="2" l="1"/>
  <c r="AB428" i="2" s="1"/>
  <c r="AA429" i="2"/>
  <c r="AB429" i="2" s="1"/>
  <c r="P430" i="2" a="1"/>
  <c r="O431" i="2" a="1"/>
  <c r="O430" i="2" a="1"/>
  <c r="P431" i="2" a="1"/>
  <c r="Q431" i="2" l="1"/>
  <c r="W430" i="2"/>
  <c r="Q430" i="2"/>
  <c r="W431" i="2"/>
  <c r="AA430" i="2" l="1"/>
  <c r="AB430" i="2" s="1"/>
  <c r="AA431" i="2"/>
  <c r="AB431" i="2" s="1"/>
  <c r="O432" i="2" a="1"/>
  <c r="P433" i="2" a="1"/>
  <c r="O433" i="2" a="1"/>
  <c r="P432" i="2" a="1"/>
  <c r="Q432" i="2" l="1"/>
  <c r="W433" i="2"/>
  <c r="W432" i="2"/>
  <c r="AA432" i="2" s="1"/>
  <c r="AB432" i="2" s="1"/>
  <c r="Q433" i="2"/>
  <c r="AA433" i="2" l="1"/>
  <c r="AB433" i="2" s="1"/>
  <c r="O434" i="2" a="1"/>
  <c r="O435" i="2" a="1"/>
  <c r="P435" i="2" a="1"/>
  <c r="P434" i="2" a="1"/>
  <c r="W434" i="2" l="1"/>
  <c r="W435" i="2"/>
  <c r="Q434" i="2"/>
  <c r="Q435" i="2"/>
  <c r="AA434" i="2" l="1"/>
  <c r="AB434" i="2" s="1"/>
  <c r="AA435" i="2"/>
  <c r="AB435" i="2" s="1"/>
  <c r="P439" i="2" a="1"/>
  <c r="O439" i="2" a="1"/>
  <c r="O438" i="2" a="1"/>
  <c r="P438" i="2" a="1"/>
  <c r="O437" i="2" l="1" a="1"/>
  <c r="O436" i="2" a="1"/>
  <c r="P437" i="2" a="1"/>
  <c r="P436" i="2" a="1"/>
  <c r="Q439" i="2"/>
  <c r="W438" i="2"/>
  <c r="W439" i="2"/>
  <c r="Q438" i="2"/>
  <c r="W436" i="2" l="1"/>
  <c r="W437" i="2"/>
  <c r="Q437" i="2"/>
  <c r="Q436" i="2"/>
  <c r="AA439" i="2"/>
  <c r="AB439" i="2" s="1"/>
  <c r="AA438" i="2"/>
  <c r="AB438" i="2" s="1"/>
  <c r="AA437" i="2" l="1"/>
  <c r="AB437" i="2" s="1"/>
  <c r="AA436" i="2"/>
  <c r="AB436" i="2" s="1"/>
  <c r="P441" i="2" l="1" a="1"/>
  <c r="O440" i="2" a="1"/>
  <c r="P440" i="2" a="1"/>
  <c r="Q440" i="2" s="1"/>
  <c r="O441" i="2" a="1"/>
  <c r="O443" i="2" a="1"/>
  <c r="P442" i="2" a="1"/>
  <c r="AX5" i="3" a="1"/>
  <c r="Q441" i="2" l="1"/>
  <c r="W440" i="2"/>
  <c r="AA440" i="2" s="1"/>
  <c r="AB440" i="2" s="1"/>
  <c r="W441" i="2"/>
  <c r="AA441" i="2" l="1"/>
  <c r="AB441" i="2" s="1"/>
  <c r="P443" i="2" a="1"/>
  <c r="O442" i="2" a="1"/>
  <c r="Q443" i="2" l="1"/>
  <c r="W443" i="2"/>
  <c r="Q442" i="2"/>
  <c r="W442" i="2"/>
  <c r="AA442" i="2" s="1"/>
  <c r="AB442" i="2" s="1"/>
  <c r="P445" i="2" a="1"/>
  <c r="O444" i="2" a="1"/>
  <c r="AA443" i="2" l="1"/>
  <c r="AB443" i="2" s="1"/>
  <c r="P444" i="2" l="1" a="1"/>
  <c r="O445" i="2" a="1"/>
  <c r="AX2" i="3" a="1"/>
  <c r="Q444" i="2" l="1"/>
  <c r="W444" i="2"/>
  <c r="AA444" i="2" s="1"/>
  <c r="AB444" i="2" s="1"/>
  <c r="Q445" i="2"/>
  <c r="W445" i="2"/>
  <c r="AA445" i="2" s="1"/>
  <c r="AB445" i="2" s="1"/>
  <c r="G26" i="3" a="1"/>
  <c r="O447" i="2" a="1"/>
  <c r="P447" i="2" a="1"/>
  <c r="Q447" i="2" s="1"/>
  <c r="O446" i="2" a="1"/>
  <c r="P446" i="2" a="1"/>
  <c r="AX9" i="3" a="1"/>
  <c r="Q446" i="2" l="1"/>
  <c r="W447" i="2"/>
  <c r="AA447" i="2" s="1"/>
  <c r="AB447" i="2" s="1"/>
  <c r="W446" i="2"/>
  <c r="AX4" i="3" a="1"/>
  <c r="AA446" i="2" l="1"/>
  <c r="AB446" i="2" s="1"/>
  <c r="P449" i="2" a="1"/>
  <c r="Q449" i="2" s="1"/>
  <c r="O449" i="2" a="1"/>
  <c r="P448" i="2" a="1"/>
  <c r="O448" i="2" a="1"/>
  <c r="G25" i="3" a="1"/>
  <c r="G36" i="3" a="1"/>
  <c r="Q448" i="2" l="1"/>
  <c r="W449" i="2"/>
  <c r="AA449" i="2" s="1"/>
  <c r="AB449" i="2" s="1"/>
  <c r="W448" i="2"/>
  <c r="AX6" i="3" a="1"/>
  <c r="G32" i="3" a="1"/>
  <c r="AA448" i="2" l="1"/>
  <c r="AB448" i="2" s="1"/>
  <c r="P451" i="2" a="1"/>
  <c r="Q451" i="2" s="1"/>
  <c r="O451" i="2" a="1"/>
  <c r="P450" i="2" a="1"/>
  <c r="O450" i="2" a="1"/>
  <c r="G27" i="3" a="1"/>
  <c r="Q450" i="2" l="1"/>
  <c r="W451" i="2"/>
  <c r="AA451" i="2" s="1"/>
  <c r="AB451" i="2" s="1"/>
  <c r="G30" i="3" s="1" a="1"/>
  <c r="W450" i="2"/>
  <c r="G34" i="3" a="1"/>
  <c r="AA450" i="2" l="1"/>
  <c r="AB450" i="2" s="1"/>
  <c r="G28" i="3" s="1" a="1"/>
  <c r="AX8" i="3" a="1"/>
  <c r="AX7" i="3" l="1" a="1"/>
  <c r="G29" i="3" a="1"/>
  <c r="AX3" i="3" l="1" a="1"/>
  <c r="G31" i="3" a="1"/>
  <c r="G35" i="3" l="1" a="1"/>
  <c r="G33" i="3" a="1"/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<sst xmlns="http://schemas.openxmlformats.org/spreadsheetml/2006/main" count="2320" uniqueCount="88">
  <si>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</si>
  <si>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</si>
  <si>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</si>
  <si>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</si>
  <si>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</si>
  <si>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</si>
  <si>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</si>
  <si>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</si>
  <si>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</si>
  <si>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</si>
  <si>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</si>
  <si>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</si>
  <si>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</si>
  <si>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</si>
  <si>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</si>
  <si>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W</t>
  </si>
  <si>
    <t>L</t>
  </si>
  <si>
    <t>Row Labels</t>
  </si>
  <si>
    <t>Grand Total</t>
  </si>
  <si>
    <t>Sum of W</t>
  </si>
  <si>
    <t>Sum of L</t>
  </si>
  <si>
    <t>OT</t>
  </si>
  <si>
    <t>Keff</t>
  </si>
  <si>
    <t>POMult</t>
  </si>
  <si>
    <t>Round</t>
  </si>
  <si>
    <t>Type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</si>
  <si>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</si>
  <si>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</si>
  <si>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</si>
  <si>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</si>
  <si>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</si>
  <si>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</si>
  <si>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</si>
  <si>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</si>
  <si>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</si>
  <si>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</si>
  <si>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</si>
  <si>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</si>
  <si>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</si>
  <si>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</si>
  <si>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</si>
  <si>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</si>
  <si>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</si>
  <si>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</si>
  <si>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</si>
  <si>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</si>
  <si>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</si>
  <si>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</si>
  <si>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</si>
  <si>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</si>
  <si>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</si>
  <si>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</si>
  <si>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</si>
  <si>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</si>
  <si>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</si>
  <si>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</si>
  <si>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</si>
  <si>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</si>
  <si>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</si>
  <si>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</si>
  <si>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NYL</t>
  </si>
  <si>
    <t>New York Liberty</t>
  </si>
  <si>
    <t>Phoenix Mercury</t>
  </si>
  <si>
    <t>LAS</t>
  </si>
  <si>
    <t>Los Angeles Sparks</t>
  </si>
  <si>
    <t>WAS</t>
  </si>
  <si>
    <t>Washington Mystics</t>
  </si>
  <si>
    <t>MIN</t>
  </si>
  <si>
    <t>Minnesota Lynx</t>
  </si>
  <si>
    <t>IND</t>
  </si>
  <si>
    <t>Indiana Fever</t>
  </si>
  <si>
    <t>SEA</t>
  </si>
  <si>
    <t>Seattle Storm</t>
  </si>
  <si>
    <t>San Antonio Silver Stars</t>
  </si>
  <si>
    <t>SAS</t>
  </si>
  <si>
    <t>Connecticut Sun</t>
  </si>
  <si>
    <t>CON</t>
  </si>
  <si>
    <t>CHI</t>
  </si>
  <si>
    <t>Chicago Sky</t>
  </si>
  <si>
    <t>ATL</t>
  </si>
  <si>
    <t>Atlanta Dream</t>
  </si>
  <si>
    <t>TUL</t>
  </si>
  <si>
    <t>Tulsa Shock</t>
  </si>
  <si>
    <t>R</t>
  </si>
  <si>
    <t>RS</t>
  </si>
  <si>
    <t>A</t>
  </si>
  <si>
    <t>H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</si>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</sst>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5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1.613986111108" createdVersion="8" refreshedVersion="8" minRefreshableVersion="3" recordCount="450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15-06-05T00:00:00" maxDate="2015-10-15T00:00:00"/>
    </cacheField>
    <cacheField name="Season" numFmtId="1">
      <sharedItems containsSemiMixedTypes="0" containsString="0" containsNumber="1" containsInteger="1" minValue="2015" maxValue="2015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 containsMixedTypes="1" containsNumber="1" containsInteger="1" minValue="1" maxValue="3"/>
    </cacheField>
    <cacheField name="Team" numFmtId="0">
      <sharedItems containsBlank="1" count="58">
        <s v="IND"/>
        <s v="CHI"/>
        <s v="WAS"/>
        <s v="CON"/>
        <s v="TUL"/>
        <s v="MIN"/>
        <s v="ATL"/>
        <s v="NYL"/>
        <s v="SAS"/>
        <s v="PHX"/>
        <s v="LAS"/>
        <s v="SEA"/>
        <s v="DET" u="1"/>
        <s v="SAC" u="1"/>
        <s v="HOU" u="1"/>
        <s v="CHA" u="1"/>
        <s v="CLE" u="1"/>
        <s v="UTA" u="1"/>
        <s v="MIA" u="1"/>
        <s v="POR" u="1"/>
        <s v="ORL" u="1"/>
        <s v="NO" u="1"/>
        <s v="TOR" u="1"/>
        <s v="LAL" u="1"/>
        <s v="LAC" u="1"/>
        <s v="BRK" u="1"/>
        <s v="MEM" u="1"/>
        <s v="BOS" u="1"/>
        <s v="PHI" u="1"/>
        <s v="DAL" u="1"/>
        <s v="NY" u="1"/>
        <s v="SA" u="1"/>
        <s v="OKC" u="1"/>
        <s v="DEN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9"/>
    </cacheField>
    <cacheField name="OppDaysOff" numFmtId="1">
      <sharedItems containsSemiMixedTypes="0" containsString="0" containsNumber="1" containsInteger="1" minValue="0" maxValue="9"/>
    </cacheField>
    <cacheField name="RestDiff" numFmtId="1">
      <sharedItems containsSemiMixedTypes="0" containsString="0" containsNumber="1" containsInteger="1" minValue="-8" maxValue="8"/>
    </cacheField>
    <cacheField name="OppRestDiff" numFmtId="1">
      <sharedItems containsSemiMixedTypes="0" containsString="0" containsNumber="1" containsInteger="1" minValue="-8" maxValue="8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300.3240930130883" maxValue="1655.299546767603"/>
    </cacheField>
    <cacheField name="OppPreGmRate" numFmtId="165">
      <sharedItems containsSemiMixedTypes="0" containsString="0" containsNumber="1" minValue="1300.3240930130883" maxValue="1655.299546767603"/>
    </cacheField>
    <cacheField name="ExpectedWin%" numFmtId="165">
      <sharedItems containsSemiMixedTypes="0" containsString="0" containsNumber="1" minValue="0.11710006276899323" maxValue="0.88289993723100668"/>
    </cacheField>
    <cacheField name="PointsFor" numFmtId="0">
      <sharedItems containsSemiMixedTypes="0" containsString="0" containsNumber="1" containsInteger="1" minValue="45" maxValue="106"/>
    </cacheField>
    <cacheField name="PointsAgainst" numFmtId="0">
      <sharedItems containsSemiMixedTypes="0" containsString="0" containsNumber="1" containsInteger="1" minValue="45" maxValue="106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35" maxValue="35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19130031077745363" maxValue="0.71150110346615492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69.25" maxValue="75.849999999999994"/>
    </cacheField>
    <cacheField name="Keff" numFmtId="165">
      <sharedItems containsSemiMixedTypes="0" containsString="0" containsNumber="1" minValue="70.900000000000006" maxValue="94.5"/>
    </cacheField>
    <cacheField name="RatingChange" numFmtId="165">
      <sharedItems containsSemiMixedTypes="0" containsString="0" containsNumber="1" minValue="-31.286765886908746" maxValue="31.286765886908746"/>
    </cacheField>
    <cacheField name="PostGmRate" numFmtId="165">
      <sharedItems containsSemiMixedTypes="0" containsString="0" containsNumber="1" minValue="1300.3240930130883" maxValue="1655.299546767603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d v="2015-06-05T00:00:00"/>
    <n v="2015"/>
    <x v="0"/>
    <s v="R"/>
    <s v="RS"/>
    <x v="0"/>
    <s v="CHI"/>
    <s v="A"/>
    <n v="0"/>
    <n v="0"/>
    <n v="0"/>
    <n v="0"/>
    <n v="0"/>
    <n v="0"/>
    <n v="1492.4391559720939"/>
    <n v="1490.8162719411362"/>
    <n v="0.38362245419490454"/>
    <n v="72"/>
    <n v="95"/>
    <n v="0"/>
    <n v="-23"/>
    <n v="0"/>
    <n v="0.61450670829209875"/>
    <n v="1"/>
    <n v="75.849999999999994"/>
    <n v="75.849999999999994"/>
    <n v="-17.88077065238965"/>
    <n v="1474.5583853197043"/>
    <n v="0"/>
    <n v="1"/>
    <n v="0"/>
    <n v="0"/>
    <n v="0"/>
    <n v="0"/>
    <n v="0"/>
    <n v="0"/>
    <n v="0"/>
    <n v="0"/>
  </r>
  <r>
    <d v="2015-06-05T00:00:00"/>
    <n v="2015"/>
    <x v="0"/>
    <s v="R"/>
    <s v="RS"/>
    <x v="1"/>
    <s v="IND"/>
    <s v="H"/>
    <n v="0"/>
    <n v="0"/>
    <n v="0"/>
    <n v="0"/>
    <n v="0"/>
    <n v="0"/>
    <n v="1490.8162719411362"/>
    <n v="1492.4391559720939"/>
    <n v="0.61637754580509552"/>
    <n v="95"/>
    <n v="72"/>
    <n v="0"/>
    <n v="23"/>
    <n v="1"/>
    <n v="0.61450670829209875"/>
    <n v="1"/>
    <n v="75.849999999999994"/>
    <n v="75.849999999999994"/>
    <n v="17.880770652389646"/>
    <n v="1508.6970425935258"/>
    <n v="1"/>
    <n v="0"/>
    <n v="0"/>
    <n v="0"/>
    <n v="0"/>
    <n v="0"/>
    <n v="0"/>
    <n v="0"/>
    <n v="0"/>
    <n v="0"/>
  </r>
  <r>
    <d v="2015-06-05T00:00:00"/>
    <n v="2015"/>
    <x v="0"/>
    <s v="R"/>
    <s v="RS"/>
    <x v="2"/>
    <s v="CON"/>
    <s v="A"/>
    <n v="0"/>
    <n v="0"/>
    <n v="0"/>
    <n v="0"/>
    <n v="0"/>
    <n v="0"/>
    <n v="1481.812470498538"/>
    <n v="1461.828526259407"/>
    <n v="0.40890206441436255"/>
    <n v="73"/>
    <n v="68"/>
    <n v="0"/>
    <n v="5"/>
    <n v="1"/>
    <n v="0.3263216474556026"/>
    <n v="1"/>
    <n v="75.849999999999994"/>
    <n v="75.849999999999994"/>
    <n v="14.630558755419038"/>
    <n v="1496.4430292539571"/>
    <n v="1"/>
    <n v="0"/>
    <n v="0"/>
    <n v="0"/>
    <n v="0"/>
    <n v="0"/>
    <n v="0"/>
    <n v="0"/>
    <n v="0"/>
    <n v="0"/>
  </r>
  <r>
    <d v="2015-06-05T00:00:00"/>
    <n v="2015"/>
    <x v="0"/>
    <s v="R"/>
    <s v="RS"/>
    <x v="3"/>
    <s v="WAS"/>
    <s v="H"/>
    <n v="0"/>
    <n v="0"/>
    <n v="0"/>
    <n v="0"/>
    <n v="0"/>
    <n v="0"/>
    <n v="1461.828526259407"/>
    <n v="1481.812470498538"/>
    <n v="0.59109793558563739"/>
    <n v="68"/>
    <n v="73"/>
    <n v="0"/>
    <n v="-5"/>
    <n v="0"/>
    <n v="0.3263216474556026"/>
    <n v="1"/>
    <n v="75.849999999999994"/>
    <n v="75.849999999999994"/>
    <n v="-14.630558755419038"/>
    <n v="1447.1979675039879"/>
    <n v="0"/>
    <n v="1"/>
    <n v="0"/>
    <n v="0"/>
    <n v="0"/>
    <n v="0"/>
    <n v="0"/>
    <n v="0"/>
    <n v="0"/>
    <n v="0"/>
  </r>
  <r>
    <d v="2015-06-05T00:00:00"/>
    <n v="2015"/>
    <x v="0"/>
    <s v="R"/>
    <s v="RS"/>
    <x v="4"/>
    <s v="MIN"/>
    <s v="A"/>
    <n v="0"/>
    <n v="0"/>
    <n v="0"/>
    <n v="0"/>
    <n v="0"/>
    <n v="0"/>
    <n v="1458.0645368169041"/>
    <n v="1577.2920252462748"/>
    <n v="0.23687821866083916"/>
    <n v="75"/>
    <n v="83"/>
    <n v="0"/>
    <n v="-8"/>
    <n v="0"/>
    <n v="0.35322084029524403"/>
    <n v="1"/>
    <n v="75.849999999999994"/>
    <n v="75.849999999999994"/>
    <n v="-6.3463940331532305"/>
    <n v="1451.7181427837509"/>
    <n v="0"/>
    <n v="1"/>
    <n v="0"/>
    <n v="0"/>
    <n v="0"/>
    <n v="0"/>
    <n v="0"/>
    <n v="0"/>
    <n v="0"/>
    <n v="0"/>
  </r>
  <r>
    <d v="2015-06-05T00:00:00"/>
    <n v="2015"/>
    <x v="0"/>
    <s v="R"/>
    <s v="RS"/>
    <x v="5"/>
    <s v="TUL"/>
    <s v="H"/>
    <n v="0"/>
    <n v="0"/>
    <n v="0"/>
    <n v="0"/>
    <n v="0"/>
    <n v="0"/>
    <n v="1577.2920252462748"/>
    <n v="1458.0645368169041"/>
    <n v="0.76312178133916098"/>
    <n v="83"/>
    <n v="75"/>
    <n v="0"/>
    <n v="8"/>
    <n v="1"/>
    <n v="0.35322084029524403"/>
    <n v="1"/>
    <n v="75.849999999999994"/>
    <n v="75.849999999999994"/>
    <n v="6.3463940331532269"/>
    <n v="1583.638419279428"/>
    <n v="1"/>
    <n v="0"/>
    <n v="0"/>
    <n v="0"/>
    <n v="0"/>
    <n v="0"/>
    <n v="0"/>
    <n v="0"/>
    <n v="0"/>
    <n v="0"/>
  </r>
  <r>
    <d v="2015-06-05T00:00:00"/>
    <n v="2015"/>
    <x v="0"/>
    <s v="R"/>
    <s v="RS"/>
    <x v="6"/>
    <s v="NYL"/>
    <s v="A"/>
    <n v="0"/>
    <n v="0"/>
    <n v="0"/>
    <n v="0"/>
    <n v="0"/>
    <n v="0"/>
    <n v="1498.5168618757"/>
    <n v="1469.9164512398165"/>
    <n v="0.42094246720205303"/>
    <n v="73"/>
    <n v="82"/>
    <n v="0"/>
    <n v="-9"/>
    <n v="0"/>
    <n v="0.3965209748908925"/>
    <n v="1"/>
    <n v="75.849999999999994"/>
    <n v="75.849999999999994"/>
    <n v="-12.660314449942915"/>
    <n v="1485.8565474257571"/>
    <n v="0"/>
    <n v="1"/>
    <n v="0"/>
    <n v="0"/>
    <n v="0"/>
    <n v="0"/>
    <n v="0"/>
    <n v="0"/>
    <n v="0"/>
    <n v="0"/>
  </r>
  <r>
    <d v="2015-06-05T00:00:00"/>
    <n v="2015"/>
    <x v="0"/>
    <s v="R"/>
    <s v="RS"/>
    <x v="7"/>
    <s v="ATL"/>
    <s v="H"/>
    <n v="0"/>
    <n v="0"/>
    <n v="0"/>
    <n v="0"/>
    <n v="0"/>
    <n v="0"/>
    <n v="1469.9164512398165"/>
    <n v="1498.5168618757"/>
    <n v="0.57905753279794703"/>
    <n v="82"/>
    <n v="73"/>
    <n v="0"/>
    <n v="9"/>
    <n v="1"/>
    <n v="0.3965209748908925"/>
    <n v="1"/>
    <n v="75.849999999999994"/>
    <n v="75.849999999999994"/>
    <n v="12.660314449942913"/>
    <n v="1482.5767656897594"/>
    <n v="1"/>
    <n v="0"/>
    <n v="0"/>
    <n v="0"/>
    <n v="0"/>
    <n v="0"/>
    <n v="0"/>
    <n v="0"/>
    <n v="0"/>
    <n v="0"/>
  </r>
  <r>
    <d v="2015-06-05T00:00:00"/>
    <n v="2015"/>
    <x v="0"/>
    <s v="R"/>
    <s v="RS"/>
    <x v="8"/>
    <s v="PHX"/>
    <s v="A"/>
    <n v="0"/>
    <n v="0"/>
    <n v="0"/>
    <n v="0"/>
    <n v="0"/>
    <n v="0"/>
    <n v="1478.4549793028614"/>
    <n v="1629.5571914291606"/>
    <n v="0.20532206529755048"/>
    <n v="71"/>
    <n v="76"/>
    <n v="0"/>
    <n v="-5"/>
    <n v="0"/>
    <n v="0.29465362944449291"/>
    <n v="1"/>
    <n v="75.849999999999994"/>
    <n v="75.849999999999994"/>
    <n v="-4.588840938855399"/>
    <n v="1473.866138364006"/>
    <n v="0"/>
    <n v="1"/>
    <n v="0"/>
    <n v="0"/>
    <n v="0"/>
    <n v="0"/>
    <n v="0"/>
    <n v="0"/>
    <n v="0"/>
    <n v="0"/>
  </r>
  <r>
    <d v="2015-06-05T00:00:00"/>
    <n v="2015"/>
    <x v="0"/>
    <s v="R"/>
    <s v="RS"/>
    <x v="9"/>
    <s v="SAS"/>
    <s v="H"/>
    <n v="0"/>
    <n v="0"/>
    <n v="0"/>
    <n v="0"/>
    <n v="0"/>
    <n v="0"/>
    <n v="1629.5571914291606"/>
    <n v="1478.4549793028614"/>
    <n v="0.79467793470244952"/>
    <n v="76"/>
    <n v="71"/>
    <n v="0"/>
    <n v="5"/>
    <n v="1"/>
    <n v="0.29465362944449291"/>
    <n v="1"/>
    <n v="75.849999999999994"/>
    <n v="75.849999999999994"/>
    <n v="4.588840938855399"/>
    <n v="1634.146032368016"/>
    <n v="1"/>
    <n v="0"/>
    <n v="0"/>
    <n v="0"/>
    <n v="0"/>
    <n v="0"/>
    <n v="0"/>
    <n v="0"/>
    <n v="0"/>
    <n v="0"/>
  </r>
  <r>
    <d v="2015-06-06T00:00:00"/>
    <n v="2015"/>
    <x v="1"/>
    <s v="R"/>
    <s v="RS"/>
    <x v="5"/>
    <s v="IND"/>
    <s v="A"/>
    <n v="0"/>
    <n v="0"/>
    <n v="0"/>
    <n v="0"/>
    <n v="0"/>
    <n v="0"/>
    <n v="1583.638419279428"/>
    <n v="1474.5583853197043"/>
    <n v="0.53603050887586634"/>
    <n v="78"/>
    <n v="69"/>
    <n v="0"/>
    <n v="9"/>
    <n v="1"/>
    <n v="0.37214365809484184"/>
    <n v="1"/>
    <n v="75.7"/>
    <n v="75.7"/>
    <n v="13.070612087920237"/>
    <n v="1596.7090313673482"/>
    <n v="1"/>
    <n v="0"/>
    <n v="0"/>
    <n v="0"/>
    <n v="0"/>
    <n v="0"/>
    <n v="0"/>
    <n v="0"/>
    <n v="0"/>
    <n v="0"/>
  </r>
  <r>
    <d v="2015-06-06T00:00:00"/>
    <n v="2015"/>
    <x v="1"/>
    <s v="R"/>
    <s v="RS"/>
    <x v="0"/>
    <s v="MIN"/>
    <s v="H"/>
    <n v="0"/>
    <n v="0"/>
    <n v="0"/>
    <n v="0"/>
    <n v="0"/>
    <n v="0"/>
    <n v="1474.5583853197043"/>
    <n v="1583.638419279428"/>
    <n v="0.4639694911241336"/>
    <n v="69"/>
    <n v="78"/>
    <n v="0"/>
    <n v="-9"/>
    <n v="0"/>
    <n v="0.37214365809484184"/>
    <n v="1"/>
    <n v="75.7"/>
    <n v="75.7"/>
    <n v="-13.070612087920235"/>
    <n v="1461.4877732317841"/>
    <n v="0"/>
    <n v="1"/>
    <n v="0"/>
    <n v="0"/>
    <n v="0"/>
    <n v="0"/>
    <n v="0"/>
    <n v="0"/>
    <n v="0"/>
    <n v="0"/>
  </r>
  <r>
    <d v="2015-06-06T00:00:00"/>
    <n v="2015"/>
    <x v="0"/>
    <s v="R"/>
    <s v="RS"/>
    <x v="10"/>
    <s v="SEA"/>
    <s v="A"/>
    <n v="1"/>
    <n v="1"/>
    <n v="0"/>
    <n v="0"/>
    <n v="0"/>
    <n v="0"/>
    <n v="1507.4554617373742"/>
    <n v="1455.0801690285873"/>
    <n v="0.45461366395491914"/>
    <n v="61"/>
    <n v="86"/>
    <n v="0"/>
    <n v="-25"/>
    <n v="0"/>
    <n v="0.61452316933528406"/>
    <n v="1"/>
    <n v="75.849999999999994"/>
    <n v="75.849999999999994"/>
    <n v="-21.1902622549099"/>
    <n v="1486.2651994824644"/>
    <n v="0"/>
    <n v="1"/>
    <n v="0"/>
    <n v="0"/>
    <n v="0"/>
    <n v="0"/>
    <n v="0"/>
    <n v="0"/>
    <n v="0"/>
    <n v="0"/>
  </r>
  <r>
    <d v="2015-06-06T00:00:00"/>
    <n v="2015"/>
    <x v="0"/>
    <s v="R"/>
    <s v="RS"/>
    <x v="11"/>
    <s v="LAS"/>
    <s v="H"/>
    <n v="1"/>
    <n v="1"/>
    <n v="0"/>
    <n v="0"/>
    <n v="0"/>
    <n v="0"/>
    <n v="1455.0801690285873"/>
    <n v="1507.4554617373742"/>
    <n v="0.5453863360450808"/>
    <n v="86"/>
    <n v="61"/>
    <n v="0"/>
    <n v="25"/>
    <n v="1"/>
    <n v="0.61452316933528406"/>
    <n v="1"/>
    <n v="75.849999999999994"/>
    <n v="75.849999999999994"/>
    <n v="21.190262254909904"/>
    <n v="1476.2704312834971"/>
    <n v="1"/>
    <n v="0"/>
    <n v="0"/>
    <n v="0"/>
    <n v="0"/>
    <n v="0"/>
    <n v="0"/>
    <n v="0"/>
    <n v="0"/>
    <n v="0"/>
  </r>
  <r>
    <d v="2015-06-06T00:00:00"/>
    <n v="2015"/>
    <x v="1"/>
    <s v="R"/>
    <s v="RS"/>
    <x v="1"/>
    <s v="TUL"/>
    <s v="A"/>
    <n v="0"/>
    <n v="0"/>
    <n v="0"/>
    <n v="0"/>
    <n v="0"/>
    <n v="0"/>
    <n v="1508.6970425935258"/>
    <n v="1451.7181427837509"/>
    <n v="0.46119172511836842"/>
    <n v="93"/>
    <n v="101"/>
    <n v="0"/>
    <n v="-8"/>
    <n v="0"/>
    <n v="0.37071317750371585"/>
    <n v="1"/>
    <n v="75.7"/>
    <n v="75.7"/>
    <n v="-12.942417634178733"/>
    <n v="1495.754624959347"/>
    <n v="0"/>
    <n v="1"/>
    <n v="0"/>
    <n v="0"/>
    <n v="0"/>
    <n v="0"/>
    <n v="0"/>
    <n v="0"/>
    <n v="0"/>
    <n v="0"/>
  </r>
  <r>
    <d v="2015-06-06T00:00:00"/>
    <n v="2015"/>
    <x v="1"/>
    <s v="R"/>
    <s v="RS"/>
    <x v="4"/>
    <s v="CHI"/>
    <s v="H"/>
    <n v="0"/>
    <n v="0"/>
    <n v="0"/>
    <n v="0"/>
    <n v="0"/>
    <n v="0"/>
    <n v="1451.7181427837509"/>
    <n v="1508.6970425935258"/>
    <n v="0.53880827488163152"/>
    <n v="101"/>
    <n v="93"/>
    <n v="0"/>
    <n v="8"/>
    <n v="1"/>
    <n v="0.37071317750371585"/>
    <n v="1"/>
    <n v="75.7"/>
    <n v="75.7"/>
    <n v="12.942417634178735"/>
    <n v="1464.6605604179297"/>
    <n v="1"/>
    <n v="0"/>
    <n v="0"/>
    <n v="0"/>
    <n v="0"/>
    <n v="0"/>
    <n v="0"/>
    <n v="0"/>
    <n v="0"/>
    <n v="0"/>
  </r>
  <r>
    <d v="2015-06-06T00:00:00"/>
    <n v="2015"/>
    <x v="1"/>
    <s v="R"/>
    <s v="RS"/>
    <x v="7"/>
    <s v="WAS"/>
    <s v="A"/>
    <n v="0"/>
    <n v="0"/>
    <n v="0"/>
    <n v="0"/>
    <n v="0"/>
    <n v="0"/>
    <n v="1482.5767656897594"/>
    <n v="1496.4430292539571"/>
    <n v="0.36276956870953214"/>
    <n v="62"/>
    <n v="67"/>
    <n v="0"/>
    <n v="-5"/>
    <n v="0"/>
    <n v="0.32796625337008767"/>
    <n v="1"/>
    <n v="75.7"/>
    <n v="75.7"/>
    <n v="-9.0064965448765335"/>
    <n v="1473.570269144883"/>
    <n v="0"/>
    <n v="1"/>
    <n v="0"/>
    <n v="0"/>
    <n v="0"/>
    <n v="0"/>
    <n v="0"/>
    <n v="0"/>
    <n v="0"/>
    <n v="0"/>
  </r>
  <r>
    <d v="2015-06-06T00:00:00"/>
    <n v="2015"/>
    <x v="1"/>
    <s v="R"/>
    <s v="RS"/>
    <x v="2"/>
    <s v="NYL"/>
    <s v="H"/>
    <n v="0"/>
    <n v="0"/>
    <n v="0"/>
    <n v="0"/>
    <n v="0"/>
    <n v="0"/>
    <n v="1496.4430292539571"/>
    <n v="1482.5767656897594"/>
    <n v="0.63723043129046786"/>
    <n v="67"/>
    <n v="62"/>
    <n v="0"/>
    <n v="5"/>
    <n v="1"/>
    <n v="0.32796625337008767"/>
    <n v="1"/>
    <n v="75.7"/>
    <n v="75.7"/>
    <n v="9.0064965448765335"/>
    <n v="1505.4495257988335"/>
    <n v="1"/>
    <n v="0"/>
    <n v="0"/>
    <n v="0"/>
    <n v="0"/>
    <n v="0"/>
    <n v="0"/>
    <n v="0"/>
    <n v="0"/>
    <n v="0"/>
  </r>
  <r>
    <d v="2015-06-07T00:00:00"/>
    <n v="2015"/>
    <x v="1"/>
    <s v="R"/>
    <s v="RS"/>
    <x v="3"/>
    <s v="ATL"/>
    <s v="A"/>
    <n v="1"/>
    <n v="1"/>
    <n v="0"/>
    <n v="0"/>
    <n v="0"/>
    <n v="0"/>
    <n v="1447.1979675039879"/>
    <n v="1485.8565474257571"/>
    <n v="0.3304656956157328"/>
    <n v="75"/>
    <n v="70"/>
    <n v="0"/>
    <n v="5"/>
    <n v="1"/>
    <n v="0.32140185924247244"/>
    <n v="1"/>
    <n v="75.7"/>
    <n v="75.7"/>
    <n v="16.289850468357926"/>
    <n v="1463.4878179723457"/>
    <n v="1"/>
    <n v="0"/>
    <n v="0"/>
    <n v="0"/>
    <n v="0"/>
    <n v="0"/>
    <n v="0"/>
    <n v="0"/>
    <n v="0"/>
    <n v="0"/>
  </r>
  <r>
    <d v="2015-06-07T00:00:00"/>
    <n v="2015"/>
    <x v="1"/>
    <s v="R"/>
    <s v="RS"/>
    <x v="6"/>
    <s v="CON"/>
    <s v="H"/>
    <n v="1"/>
    <n v="1"/>
    <n v="0"/>
    <n v="0"/>
    <n v="0"/>
    <n v="0"/>
    <n v="1485.8565474257571"/>
    <n v="1447.1979675039879"/>
    <n v="0.6695343043842672"/>
    <n v="70"/>
    <n v="75"/>
    <n v="0"/>
    <n v="-5"/>
    <n v="0"/>
    <n v="0.32140185924247244"/>
    <n v="1"/>
    <n v="75.7"/>
    <n v="75.7"/>
    <n v="-16.289850468357926"/>
    <n v="1469.5666969573992"/>
    <n v="0"/>
    <n v="1"/>
    <n v="0"/>
    <n v="0"/>
    <n v="0"/>
    <n v="0"/>
    <n v="0"/>
    <n v="0"/>
    <n v="0"/>
    <n v="0"/>
  </r>
  <r>
    <d v="2015-06-09T00:00:00"/>
    <n v="2015"/>
    <x v="2"/>
    <s v="R"/>
    <s v="RS"/>
    <x v="0"/>
    <s v="NYL"/>
    <s v="A"/>
    <n v="2"/>
    <n v="2"/>
    <n v="0"/>
    <n v="0"/>
    <n v="0"/>
    <n v="0"/>
    <n v="1461.4877732317841"/>
    <n v="1473.570269144883"/>
    <n v="0.36514657272668094"/>
    <n v="79"/>
    <n v="86"/>
    <n v="0"/>
    <n v="-7"/>
    <n v="0"/>
    <n v="0.36641780446636046"/>
    <n v="1"/>
    <n v="75.55"/>
    <n v="75.55"/>
    <n v="-10.108303324537308"/>
    <n v="1451.3794699072469"/>
    <n v="0"/>
    <n v="1"/>
    <n v="0"/>
    <n v="0"/>
    <n v="0"/>
    <n v="0"/>
    <n v="0"/>
    <n v="0"/>
    <n v="0"/>
    <n v="0"/>
  </r>
  <r>
    <d v="2015-06-09T00:00:00"/>
    <n v="2015"/>
    <x v="2"/>
    <s v="R"/>
    <s v="RS"/>
    <x v="7"/>
    <s v="IND"/>
    <s v="H"/>
    <n v="2"/>
    <n v="2"/>
    <n v="0"/>
    <n v="0"/>
    <n v="0"/>
    <n v="0"/>
    <n v="1473.570269144883"/>
    <n v="1461.4877732317841"/>
    <n v="0.63485342727331906"/>
    <n v="86"/>
    <n v="79"/>
    <n v="0"/>
    <n v="7"/>
    <n v="1"/>
    <n v="0.36641780446636046"/>
    <n v="1"/>
    <n v="75.55"/>
    <n v="75.55"/>
    <n v="10.108303324537308"/>
    <n v="1483.6785724694203"/>
    <n v="1"/>
    <n v="0"/>
    <n v="0"/>
    <n v="0"/>
    <n v="0"/>
    <n v="0"/>
    <n v="0"/>
    <n v="0"/>
    <n v="0"/>
    <n v="0"/>
  </r>
  <r>
    <d v="2015-06-09T00:00:00"/>
    <n v="2015"/>
    <x v="1"/>
    <s v="R"/>
    <s v="RS"/>
    <x v="11"/>
    <s v="TUL"/>
    <s v="A"/>
    <n v="2"/>
    <n v="2"/>
    <n v="0"/>
    <n v="0"/>
    <n v="0"/>
    <n v="0"/>
    <n v="1476.2704312834971"/>
    <n v="1464.6605604179297"/>
    <n v="0.39730402690863253"/>
    <n v="45"/>
    <n v="68"/>
    <n v="0"/>
    <n v="-23"/>
    <n v="0"/>
    <n v="0.60944148841145485"/>
    <n v="1"/>
    <n v="75.7"/>
    <n v="75.7"/>
    <n v="-18.329510303587373"/>
    <n v="1457.9409209799098"/>
    <n v="0"/>
    <n v="1"/>
    <n v="0"/>
    <n v="0"/>
    <n v="0"/>
    <n v="0"/>
    <n v="0"/>
    <n v="0"/>
    <n v="0"/>
    <n v="0"/>
  </r>
  <r>
    <d v="2015-06-09T00:00:00"/>
    <n v="2015"/>
    <x v="2"/>
    <s v="R"/>
    <s v="RS"/>
    <x v="4"/>
    <s v="SEA"/>
    <s v="H"/>
    <n v="2"/>
    <n v="2"/>
    <n v="0"/>
    <n v="0"/>
    <n v="0"/>
    <n v="0"/>
    <n v="1464.6605604179297"/>
    <n v="1476.2704312834971"/>
    <n v="0.60269597309136747"/>
    <n v="68"/>
    <n v="45"/>
    <n v="0"/>
    <n v="23"/>
    <n v="1"/>
    <n v="0.60944148841145485"/>
    <n v="1"/>
    <n v="75.55"/>
    <n v="75.55"/>
    <n v="18.293190269960711"/>
    <n v="1482.9537506878903"/>
    <n v="1"/>
    <n v="0"/>
    <n v="0"/>
    <n v="0"/>
    <n v="0"/>
    <n v="0"/>
    <n v="0"/>
    <n v="0"/>
    <n v="0"/>
    <n v="0"/>
  </r>
  <r>
    <d v="2015-06-11T00:00:00"/>
    <n v="2015"/>
    <x v="1"/>
    <s v="R"/>
    <s v="RS"/>
    <x v="8"/>
    <s v="ATL"/>
    <s v="A"/>
    <n v="5"/>
    <n v="3"/>
    <n v="2"/>
    <n v="-2"/>
    <n v="16"/>
    <n v="-16"/>
    <n v="1473.866138364006"/>
    <n v="1469.5666969573992"/>
    <n v="0.43178146730342271"/>
    <n v="69"/>
    <n v="72"/>
    <n v="0"/>
    <n v="-3"/>
    <n v="0"/>
    <n v="0.2891475436638356"/>
    <n v="1"/>
    <n v="75.7"/>
    <n v="75.7"/>
    <n v="-9.4510352857456024"/>
    <n v="1464.4151030782605"/>
    <n v="0"/>
    <n v="1"/>
    <n v="0"/>
    <n v="0"/>
    <n v="0"/>
    <n v="0"/>
    <n v="0"/>
    <n v="0"/>
    <n v="0"/>
    <n v="0"/>
  </r>
  <r>
    <d v="2015-06-11T00:00:00"/>
    <n v="2015"/>
    <x v="2"/>
    <s v="R"/>
    <s v="RS"/>
    <x v="6"/>
    <s v="SAS"/>
    <s v="H"/>
    <n v="3"/>
    <n v="5"/>
    <n v="-2"/>
    <n v="2"/>
    <n v="-16"/>
    <n v="16"/>
    <n v="1469.5666969573992"/>
    <n v="1473.866138364006"/>
    <n v="0.56821853269657729"/>
    <n v="72"/>
    <n v="69"/>
    <n v="0"/>
    <n v="3"/>
    <n v="1"/>
    <n v="0.2891475436638356"/>
    <n v="1"/>
    <n v="75.55"/>
    <n v="75.55"/>
    <n v="9.4323080031450495"/>
    <n v="1478.9990049605442"/>
    <n v="1"/>
    <n v="0"/>
    <n v="0"/>
    <n v="0"/>
    <n v="0"/>
    <n v="0"/>
    <n v="0"/>
    <n v="0"/>
    <n v="0"/>
    <n v="0"/>
  </r>
  <r>
    <d v="2015-06-11T00:00:00"/>
    <n v="2015"/>
    <x v="2"/>
    <s v="R"/>
    <s v="RS"/>
    <x v="1"/>
    <s v="CON"/>
    <s v="A"/>
    <n v="4"/>
    <n v="3"/>
    <n v="1"/>
    <n v="-1"/>
    <n v="8"/>
    <n v="-8"/>
    <n v="1495.754624959347"/>
    <n v="1463.4878179723457"/>
    <n v="0.44875635579055928"/>
    <n v="65"/>
    <n v="67"/>
    <n v="0"/>
    <n v="-2"/>
    <n v="0"/>
    <n v="0.26082791741950595"/>
    <n v="1"/>
    <n v="75.55"/>
    <n v="75.55"/>
    <n v="-8.842990430361672"/>
    <n v="1486.9116345289854"/>
    <n v="0"/>
    <n v="1"/>
    <n v="0"/>
    <n v="0"/>
    <n v="0"/>
    <n v="0"/>
    <n v="0"/>
    <n v="0"/>
    <n v="0"/>
    <n v="0"/>
  </r>
  <r>
    <d v="2015-06-11T00:00:00"/>
    <n v="2015"/>
    <x v="2"/>
    <s v="R"/>
    <s v="RS"/>
    <x v="3"/>
    <s v="CHI"/>
    <s v="H"/>
    <n v="3"/>
    <n v="4"/>
    <n v="-1"/>
    <n v="1"/>
    <n v="-8"/>
    <n v="8"/>
    <n v="1463.4878179723457"/>
    <n v="1495.754624959347"/>
    <n v="0.55124364420944072"/>
    <n v="67"/>
    <n v="65"/>
    <n v="0"/>
    <n v="2"/>
    <n v="1"/>
    <n v="0.26082791741950595"/>
    <n v="1"/>
    <n v="75.55"/>
    <n v="75.55"/>
    <n v="8.842990430361672"/>
    <n v="1472.3308084027074"/>
    <n v="1"/>
    <n v="0"/>
    <n v="0"/>
    <n v="0"/>
    <n v="0"/>
    <n v="0"/>
    <n v="0"/>
    <n v="0"/>
    <n v="0"/>
    <n v="0"/>
  </r>
  <r>
    <d v="2015-06-11T00:00:00"/>
    <n v="2015"/>
    <x v="2"/>
    <s v="R"/>
    <s v="RS"/>
    <x v="11"/>
    <s v="MIN"/>
    <s v="A"/>
    <n v="1"/>
    <n v="4"/>
    <n v="-3"/>
    <n v="3"/>
    <n v="-16"/>
    <n v="16"/>
    <n v="1457.9409209799098"/>
    <n v="1596.7090313673482"/>
    <n v="0.1874655629836415"/>
    <n v="70"/>
    <n v="94"/>
    <n v="0"/>
    <n v="-24"/>
    <n v="0"/>
    <n v="0.56329181393447081"/>
    <n v="1"/>
    <n v="75.55"/>
    <n v="75.55"/>
    <n v="-7.9779150761104809"/>
    <n v="1449.9630059037993"/>
    <n v="0"/>
    <n v="1"/>
    <n v="0"/>
    <n v="0"/>
    <n v="0"/>
    <n v="0"/>
    <n v="0"/>
    <n v="0"/>
    <n v="0"/>
    <n v="0"/>
  </r>
  <r>
    <d v="2015-06-11T00:00:00"/>
    <n v="2015"/>
    <x v="2"/>
    <s v="R"/>
    <s v="RS"/>
    <x v="5"/>
    <s v="SEA"/>
    <s v="H"/>
    <n v="4"/>
    <n v="1"/>
    <n v="3"/>
    <n v="-3"/>
    <n v="16"/>
    <n v="-16"/>
    <n v="1596.7090313673482"/>
    <n v="1457.9409209799098"/>
    <n v="0.81253443701635852"/>
    <n v="94"/>
    <n v="70"/>
    <n v="0"/>
    <n v="24"/>
    <n v="1"/>
    <n v="0.56329181393447081"/>
    <n v="1"/>
    <n v="75.55"/>
    <n v="75.55"/>
    <n v="7.97791507611048"/>
    <n v="1604.6869464434587"/>
    <n v="1"/>
    <n v="0"/>
    <n v="0"/>
    <n v="0"/>
    <n v="0"/>
    <n v="0"/>
    <n v="0"/>
    <n v="0"/>
    <n v="0"/>
    <n v="0"/>
  </r>
  <r>
    <d v="2015-06-11T00:00:00"/>
    <n v="2015"/>
    <x v="1"/>
    <s v="R"/>
    <s v="RS"/>
    <x v="9"/>
    <s v="NYL"/>
    <s v="A"/>
    <n v="5"/>
    <n v="1"/>
    <n v="4"/>
    <n v="-4"/>
    <n v="16"/>
    <n v="-16"/>
    <n v="1634.146032368016"/>
    <n v="1483.6785724694203"/>
    <n v="0.63803006802548978"/>
    <n v="57"/>
    <n v="68"/>
    <n v="0"/>
    <n v="-11"/>
    <n v="0"/>
    <n v="0.39082997553216831"/>
    <n v="1"/>
    <n v="75.7"/>
    <n v="75.7"/>
    <n v="-18.876648583751873"/>
    <n v="1615.2693837842642"/>
    <n v="0"/>
    <n v="1"/>
    <n v="0"/>
    <n v="0"/>
    <n v="0"/>
    <n v="0"/>
    <n v="0"/>
    <n v="0"/>
    <n v="0"/>
    <n v="0"/>
  </r>
  <r>
    <d v="2015-06-11T00:00:00"/>
    <n v="2015"/>
    <x v="3"/>
    <s v="R"/>
    <s v="RS"/>
    <x v="7"/>
    <s v="PHX"/>
    <s v="H"/>
    <n v="1"/>
    <n v="5"/>
    <n v="-4"/>
    <n v="4"/>
    <n v="-16"/>
    <n v="16"/>
    <n v="1483.6785724694203"/>
    <n v="1634.146032368016"/>
    <n v="0.36196993197451022"/>
    <n v="68"/>
    <n v="57"/>
    <n v="0"/>
    <n v="11"/>
    <n v="1"/>
    <n v="0.39082997553216831"/>
    <n v="1"/>
    <n v="75.400000000000006"/>
    <n v="75.400000000000006"/>
    <n v="18.801840200989318"/>
    <n v="1502.4804126704096"/>
    <n v="1"/>
    <n v="0"/>
    <n v="0"/>
    <n v="0"/>
    <n v="0"/>
    <n v="0"/>
    <n v="0"/>
    <n v="0"/>
    <n v="0"/>
    <n v="0"/>
  </r>
  <r>
    <d v="2015-06-12T00:00:00"/>
    <n v="2015"/>
    <x v="2"/>
    <s v="R"/>
    <s v="RS"/>
    <x v="9"/>
    <s v="IND"/>
    <s v="A"/>
    <n v="0"/>
    <n v="2"/>
    <n v="-2"/>
    <n v="2"/>
    <n v="-16"/>
    <n v="16"/>
    <n v="1615.2693837842642"/>
    <n v="1451.3794699072469"/>
    <n v="0.56848594425915022"/>
    <n v="74"/>
    <n v="77"/>
    <n v="0"/>
    <n v="-3"/>
    <n v="0"/>
    <n v="0.25531402628280514"/>
    <n v="1"/>
    <n v="75.55"/>
    <n v="75.55"/>
    <n v="-10.965510987971641"/>
    <n v="1604.3038727962926"/>
    <n v="0"/>
    <n v="1"/>
    <n v="0"/>
    <n v="0"/>
    <n v="0"/>
    <n v="0"/>
    <n v="0"/>
    <n v="0"/>
    <n v="0"/>
    <n v="0"/>
  </r>
  <r>
    <d v="2015-06-12T00:00:00"/>
    <n v="2015"/>
    <x v="3"/>
    <s v="R"/>
    <s v="RS"/>
    <x v="0"/>
    <s v="PHX"/>
    <s v="H"/>
    <n v="2"/>
    <n v="0"/>
    <n v="2"/>
    <n v="-2"/>
    <n v="16"/>
    <n v="-16"/>
    <n v="1451.3794699072469"/>
    <n v="1615.2693837842642"/>
    <n v="0.43151405574084972"/>
    <n v="77"/>
    <n v="74"/>
    <n v="0"/>
    <n v="3"/>
    <n v="1"/>
    <n v="0.25531402628280514"/>
    <n v="1"/>
    <n v="75.400000000000006"/>
    <n v="75.400000000000006"/>
    <n v="10.943739622674546"/>
    <n v="1462.3232095299213"/>
    <n v="1"/>
    <n v="0"/>
    <n v="0"/>
    <n v="0"/>
    <n v="0"/>
    <n v="0"/>
    <n v="0"/>
    <n v="0"/>
    <n v="0"/>
    <n v="0"/>
  </r>
  <r>
    <d v="2015-06-12T00:00:00"/>
    <n v="2015"/>
    <x v="3"/>
    <s v="R"/>
    <s v="RS"/>
    <x v="6"/>
    <s v="WAS"/>
    <s v="A"/>
    <n v="0"/>
    <n v="5"/>
    <n v="-5"/>
    <n v="5"/>
    <n v="-16"/>
    <n v="16"/>
    <n v="1478.9990049605442"/>
    <n v="1505.4495257988335"/>
    <n v="0.30576130061233842"/>
    <n v="64"/>
    <n v="61"/>
    <n v="0"/>
    <n v="3"/>
    <n v="1"/>
    <n v="0.28392521296369805"/>
    <n v="1"/>
    <n v="75.400000000000006"/>
    <n v="75.400000000000006"/>
    <n v="14.862235041074706"/>
    <n v="1493.8612400016189"/>
    <n v="1"/>
    <n v="0"/>
    <n v="0"/>
    <n v="0"/>
    <n v="0"/>
    <n v="0"/>
    <n v="0"/>
    <n v="0"/>
    <n v="0"/>
    <n v="0"/>
  </r>
  <r>
    <d v="2015-06-12T00:00:00"/>
    <n v="2015"/>
    <x v="2"/>
    <s v="R"/>
    <s v="RS"/>
    <x v="2"/>
    <s v="ATL"/>
    <s v="H"/>
    <n v="5"/>
    <n v="0"/>
    <n v="5"/>
    <n v="-5"/>
    <n v="16"/>
    <n v="-16"/>
    <n v="1505.4495257988335"/>
    <n v="1478.9990049605442"/>
    <n v="0.69423869938766158"/>
    <n v="61"/>
    <n v="64"/>
    <n v="0"/>
    <n v="-3"/>
    <n v="0"/>
    <n v="0.28392521296369805"/>
    <n v="1"/>
    <n v="75.55"/>
    <n v="75.55"/>
    <n v="-14.891801821660398"/>
    <n v="1490.5577239771731"/>
    <n v="0"/>
    <n v="1"/>
    <n v="0"/>
    <n v="0"/>
    <n v="0"/>
    <n v="0"/>
    <n v="0"/>
    <n v="0"/>
    <n v="0"/>
    <n v="0"/>
  </r>
  <r>
    <d v="2015-06-14T00:00:00"/>
    <n v="2015"/>
    <x v="4"/>
    <s v="R"/>
    <s v="RS"/>
    <x v="6"/>
    <s v="CON"/>
    <s v="A"/>
    <n v="1"/>
    <n v="2"/>
    <n v="-1"/>
    <n v="1"/>
    <n v="-8"/>
    <n v="8"/>
    <n v="1493.8612400016189"/>
    <n v="1472.3308084027074"/>
    <n v="0.38895495350864079"/>
    <n v="64"/>
    <n v="82"/>
    <n v="0"/>
    <n v="-18"/>
    <n v="0"/>
    <n v="0.53719555532698215"/>
    <n v="1"/>
    <n v="75.25"/>
    <n v="75.25"/>
    <n v="-15.723101636605923"/>
    <n v="1478.138138365013"/>
    <n v="0"/>
    <n v="1"/>
    <n v="0"/>
    <n v="0"/>
    <n v="0"/>
    <n v="0"/>
    <n v="0"/>
    <n v="0"/>
    <n v="0"/>
    <n v="0"/>
  </r>
  <r>
    <d v="2015-06-14T00:00:00"/>
    <n v="2015"/>
    <x v="3"/>
    <s v="R"/>
    <s v="RS"/>
    <x v="3"/>
    <s v="ATL"/>
    <s v="H"/>
    <n v="2"/>
    <n v="1"/>
    <n v="1"/>
    <n v="-1"/>
    <n v="8"/>
    <n v="-8"/>
    <n v="1472.3308084027074"/>
    <n v="1493.8612400016189"/>
    <n v="0.61104504649135927"/>
    <n v="82"/>
    <n v="64"/>
    <n v="0"/>
    <n v="18"/>
    <n v="1"/>
    <n v="0.53719555532698215"/>
    <n v="1"/>
    <n v="75.400000000000006"/>
    <n v="75.400000000000006"/>
    <n v="15.754443367443013"/>
    <n v="1488.0852517701503"/>
    <n v="1"/>
    <n v="0"/>
    <n v="0"/>
    <n v="0"/>
    <n v="0"/>
    <n v="0"/>
    <n v="0"/>
    <n v="0"/>
    <n v="0"/>
    <n v="0"/>
  </r>
  <r>
    <d v="2015-06-14T00:00:00"/>
    <n v="2015"/>
    <x v="3"/>
    <s v="R"/>
    <s v="RS"/>
    <x v="1"/>
    <s v="IND"/>
    <s v="A"/>
    <n v="2"/>
    <n v="1"/>
    <n v="1"/>
    <n v="-1"/>
    <n v="8"/>
    <n v="-8"/>
    <n v="1486.9116345289854"/>
    <n v="1462.3232095299213"/>
    <n v="0.4378488231132262"/>
    <n v="98"/>
    <n v="72"/>
    <n v="0"/>
    <n v="26"/>
    <n v="1"/>
    <n v="0.64095400593126084"/>
    <n v="1"/>
    <n v="75.400000000000006"/>
    <n v="75.400000000000006"/>
    <n v="27.167603876847103"/>
    <n v="1514.0792384058325"/>
    <n v="1"/>
    <n v="0"/>
    <n v="0"/>
    <n v="0"/>
    <n v="0"/>
    <n v="0"/>
    <n v="0"/>
    <n v="0"/>
    <n v="0"/>
    <n v="0"/>
  </r>
  <r>
    <d v="2015-06-14T00:00:00"/>
    <n v="2015"/>
    <x v="4"/>
    <s v="R"/>
    <s v="RS"/>
    <x v="0"/>
    <s v="CHI"/>
    <s v="H"/>
    <n v="1"/>
    <n v="2"/>
    <n v="-1"/>
    <n v="1"/>
    <n v="-8"/>
    <n v="8"/>
    <n v="1462.3232095299213"/>
    <n v="1486.9116345289854"/>
    <n v="0.56215117688677374"/>
    <n v="72"/>
    <n v="98"/>
    <n v="0"/>
    <n v="-26"/>
    <n v="0"/>
    <n v="0.64095400593126084"/>
    <n v="1"/>
    <n v="75.25"/>
    <n v="75.25"/>
    <n v="-27.113556919532421"/>
    <n v="1435.209652610389"/>
    <n v="0"/>
    <n v="1"/>
    <n v="0"/>
    <n v="0"/>
    <n v="0"/>
    <n v="0"/>
    <n v="0"/>
    <n v="0"/>
    <n v="0"/>
    <n v="0"/>
  </r>
  <r>
    <d v="2015-06-14T00:00:00"/>
    <n v="2015"/>
    <x v="3"/>
    <s v="R"/>
    <s v="RS"/>
    <x v="11"/>
    <s v="LAS"/>
    <s v="A"/>
    <n v="2"/>
    <n v="7"/>
    <n v="-5"/>
    <n v="5"/>
    <n v="-16"/>
    <n v="16"/>
    <n v="1449.9630059037993"/>
    <n v="1486.2651994824644"/>
    <n v="0.29385754173250417"/>
    <n v="60"/>
    <n v="54"/>
    <n v="0"/>
    <n v="6"/>
    <n v="1"/>
    <n v="0.34096591876860394"/>
    <n v="1"/>
    <n v="75.400000000000006"/>
    <n v="75.400000000000006"/>
    <n v="18.154096609678174"/>
    <n v="1468.1171025134774"/>
    <n v="1"/>
    <n v="0"/>
    <n v="0"/>
    <n v="0"/>
    <n v="0"/>
    <n v="0"/>
    <n v="0"/>
    <n v="0"/>
    <n v="0"/>
    <n v="0"/>
  </r>
  <r>
    <d v="2015-06-14T00:00:00"/>
    <n v="2015"/>
    <x v="1"/>
    <s v="R"/>
    <s v="RS"/>
    <x v="10"/>
    <s v="SEA"/>
    <s v="H"/>
    <n v="7"/>
    <n v="2"/>
    <n v="5"/>
    <n v="-5"/>
    <n v="16"/>
    <n v="-16"/>
    <n v="1486.2651994824644"/>
    <n v="1449.9630059037993"/>
    <n v="0.70614245826749578"/>
    <n v="54"/>
    <n v="60"/>
    <n v="0"/>
    <n v="-6"/>
    <n v="0"/>
    <n v="0.34096591876860394"/>
    <n v="1"/>
    <n v="75.7"/>
    <n v="75.7"/>
    <n v="-18.226327763297583"/>
    <n v="1468.0388717191668"/>
    <n v="0"/>
    <n v="1"/>
    <n v="0"/>
    <n v="0"/>
    <n v="0"/>
    <n v="0"/>
    <n v="0"/>
    <n v="0"/>
    <n v="0"/>
    <n v="0"/>
  </r>
  <r>
    <d v="2015-06-14T00:00:00"/>
    <n v="2015"/>
    <x v="3"/>
    <s v="R"/>
    <s v="RS"/>
    <x v="2"/>
    <s v="NYL"/>
    <s v="A"/>
    <n v="1"/>
    <n v="2"/>
    <n v="-1"/>
    <n v="1"/>
    <n v="-8"/>
    <n v="8"/>
    <n v="1490.5577239771731"/>
    <n v="1502.4804126704096"/>
    <n v="0.34427995539038159"/>
    <n v="74"/>
    <n v="59"/>
    <n v="0"/>
    <n v="15"/>
    <n v="1"/>
    <n v="0.49790109491650425"/>
    <n v="1"/>
    <n v="75.400000000000006"/>
    <n v="75.400000000000006"/>
    <n v="24.616873104005034"/>
    <n v="1515.174597081178"/>
    <n v="1"/>
    <n v="0"/>
    <n v="0"/>
    <n v="0"/>
    <n v="0"/>
    <n v="0"/>
    <n v="0"/>
    <n v="0"/>
    <n v="0"/>
    <n v="0"/>
  </r>
  <r>
    <d v="2015-06-14T00:00:00"/>
    <n v="2015"/>
    <x v="4"/>
    <s v="R"/>
    <s v="RS"/>
    <x v="7"/>
    <s v="WAS"/>
    <s v="H"/>
    <n v="2"/>
    <n v="1"/>
    <n v="1"/>
    <n v="-1"/>
    <n v="8"/>
    <n v="-8"/>
    <n v="1502.4804126704096"/>
    <n v="1490.5577239771731"/>
    <n v="0.65572004460961841"/>
    <n v="59"/>
    <n v="74"/>
    <n v="0"/>
    <n v="-15"/>
    <n v="0"/>
    <n v="0.49790109491650425"/>
    <n v="1"/>
    <n v="75.25"/>
    <n v="75.25"/>
    <n v="-24.567900544779562"/>
    <n v="1477.91251212563"/>
    <n v="0"/>
    <n v="1"/>
    <n v="0"/>
    <n v="0"/>
    <n v="0"/>
    <n v="0"/>
    <n v="0"/>
    <n v="0"/>
    <n v="0"/>
    <n v="0"/>
  </r>
  <r>
    <d v="2015-06-14T00:00:00"/>
    <n v="2015"/>
    <x v="3"/>
    <s v="R"/>
    <s v="RS"/>
    <x v="5"/>
    <s v="PHX"/>
    <s v="A"/>
    <n v="2"/>
    <n v="1"/>
    <n v="1"/>
    <n v="-1"/>
    <n v="8"/>
    <n v="-8"/>
    <n v="1604.6869464434587"/>
    <n v="1604.3038727962926"/>
    <n v="0.40390163696598946"/>
    <n v="66"/>
    <n v="81"/>
    <n v="0"/>
    <n v="-15"/>
    <n v="0"/>
    <n v="0.50268755608251892"/>
    <n v="1"/>
    <n v="75.400000000000006"/>
    <n v="75.400000000000006"/>
    <n v="-15.308939039525818"/>
    <n v="1589.378007403933"/>
    <n v="0"/>
    <n v="1"/>
    <n v="0"/>
    <n v="0"/>
    <n v="0"/>
    <n v="0"/>
    <n v="0"/>
    <n v="0"/>
    <n v="0"/>
    <n v="0"/>
  </r>
  <r>
    <d v="2015-06-14T00:00:00"/>
    <n v="2015"/>
    <x v="3"/>
    <s v="R"/>
    <s v="RS"/>
    <x v="9"/>
    <s v="MIN"/>
    <s v="H"/>
    <n v="1"/>
    <n v="2"/>
    <n v="-1"/>
    <n v="1"/>
    <n v="-8"/>
    <n v="8"/>
    <n v="1604.3038727962926"/>
    <n v="1604.6869464434587"/>
    <n v="0.59609836303401054"/>
    <n v="81"/>
    <n v="66"/>
    <n v="0"/>
    <n v="15"/>
    <n v="1"/>
    <n v="0.50268755608251892"/>
    <n v="1"/>
    <n v="75.400000000000006"/>
    <n v="75.400000000000006"/>
    <n v="15.308939039525818"/>
    <n v="1619.6128118358183"/>
    <n v="1"/>
    <n v="0"/>
    <n v="0"/>
    <n v="0"/>
    <n v="0"/>
    <n v="0"/>
    <n v="0"/>
    <n v="0"/>
    <n v="0"/>
    <n v="0"/>
  </r>
  <r>
    <d v="2015-06-14T00:00:00"/>
    <n v="2015"/>
    <x v="3"/>
    <s v="R"/>
    <s v="RS"/>
    <x v="4"/>
    <s v="SAS"/>
    <s v="A"/>
    <n v="4"/>
    <n v="2"/>
    <n v="2"/>
    <n v="-2"/>
    <n v="16"/>
    <n v="-16"/>
    <n v="1482.9537506878903"/>
    <n v="1464.4151030782605"/>
    <n v="0.45199357950525432"/>
    <n v="73"/>
    <n v="62"/>
    <n v="0"/>
    <n v="11"/>
    <n v="1"/>
    <n v="0.4331443777713026"/>
    <n v="1"/>
    <n v="75.400000000000006"/>
    <n v="75.400000000000006"/>
    <n v="17.897388861498609"/>
    <n v="1500.851139549389"/>
    <n v="1"/>
    <n v="0"/>
    <n v="0"/>
    <n v="0"/>
    <n v="0"/>
    <n v="0"/>
    <n v="0"/>
    <n v="0"/>
    <n v="0"/>
    <n v="0"/>
  </r>
  <r>
    <d v="2015-06-14T00:00:00"/>
    <n v="2015"/>
    <x v="2"/>
    <s v="R"/>
    <s v="RS"/>
    <x v="8"/>
    <s v="TUL"/>
    <s v="H"/>
    <n v="2"/>
    <n v="4"/>
    <n v="-2"/>
    <n v="2"/>
    <n v="-16"/>
    <n v="16"/>
    <n v="1464.4151030782605"/>
    <n v="1482.9537506878903"/>
    <n v="0.54800642049474568"/>
    <n v="62"/>
    <n v="73"/>
    <n v="0"/>
    <n v="-11"/>
    <n v="0"/>
    <n v="0.4331443777713026"/>
    <n v="1"/>
    <n v="75.55"/>
    <n v="75.55"/>
    <n v="-17.932993746501587"/>
    <n v="1446.4821093317589"/>
    <n v="0"/>
    <n v="1"/>
    <n v="0"/>
    <n v="0"/>
    <n v="0"/>
    <n v="0"/>
    <n v="0"/>
    <n v="0"/>
    <n v="0"/>
    <n v="0"/>
  </r>
  <r>
    <d v="2015-06-16T00:00:00"/>
    <n v="2015"/>
    <x v="5"/>
    <s v="R"/>
    <s v="RS"/>
    <x v="0"/>
    <s v="ATL"/>
    <s v="A"/>
    <n v="1"/>
    <n v="1"/>
    <n v="0"/>
    <n v="0"/>
    <n v="0"/>
    <n v="0"/>
    <n v="1435.209652610389"/>
    <n v="1478.138138365013"/>
    <n v="0.32505010957934344"/>
    <n v="90"/>
    <n v="79"/>
    <n v="0"/>
    <n v="11"/>
    <n v="1"/>
    <n v="0.42464483705891609"/>
    <n v="1"/>
    <n v="75.099999999999994"/>
    <n v="75.099999999999994"/>
    <n v="21.524710366670032"/>
    <n v="1456.7343629770589"/>
    <n v="1"/>
    <n v="0"/>
    <n v="0"/>
    <n v="0"/>
    <n v="0"/>
    <n v="0"/>
    <n v="0"/>
    <n v="0"/>
    <n v="0"/>
    <n v="0"/>
  </r>
  <r>
    <d v="2015-06-16T00:00:00"/>
    <n v="2015"/>
    <x v="5"/>
    <s v="R"/>
    <s v="RS"/>
    <x v="6"/>
    <s v="IND"/>
    <s v="H"/>
    <n v="1"/>
    <n v="1"/>
    <n v="0"/>
    <n v="0"/>
    <n v="0"/>
    <n v="0"/>
    <n v="1478.138138365013"/>
    <n v="1435.209652610389"/>
    <n v="0.67494989042065656"/>
    <n v="79"/>
    <n v="90"/>
    <n v="0"/>
    <n v="-11"/>
    <n v="0"/>
    <n v="0.42464483705891609"/>
    <n v="1"/>
    <n v="75.099999999999994"/>
    <n v="75.099999999999994"/>
    <n v="-21.524710366670032"/>
    <n v="1456.613427998343"/>
    <n v="0"/>
    <n v="1"/>
    <n v="0"/>
    <n v="0"/>
    <n v="0"/>
    <n v="0"/>
    <n v="0"/>
    <n v="0"/>
    <n v="0"/>
    <n v="0"/>
  </r>
  <r>
    <d v="2015-06-16T00:00:00"/>
    <n v="2015"/>
    <x v="4"/>
    <s v="R"/>
    <s v="RS"/>
    <x v="5"/>
    <s v="LAS"/>
    <s v="A"/>
    <n v="1"/>
    <n v="1"/>
    <n v="0"/>
    <n v="0"/>
    <n v="0"/>
    <n v="0"/>
    <n v="1589.378007403933"/>
    <n v="1468.0388717191668"/>
    <n v="0.55352940703030185"/>
    <n v="67"/>
    <n v="52"/>
    <n v="0"/>
    <n v="15"/>
    <n v="1"/>
    <n v="0.4566712794303206"/>
    <n v="1"/>
    <n v="75.25"/>
    <n v="75.25"/>
    <n v="15.342744843191319"/>
    <n v="1604.7207522471242"/>
    <n v="1"/>
    <n v="0"/>
    <n v="0"/>
    <n v="0"/>
    <n v="0"/>
    <n v="0"/>
    <n v="0"/>
    <n v="0"/>
    <n v="0"/>
    <n v="0"/>
  </r>
  <r>
    <d v="2015-06-16T00:00:00"/>
    <n v="2015"/>
    <x v="2"/>
    <s v="R"/>
    <s v="RS"/>
    <x v="10"/>
    <s v="MIN"/>
    <s v="H"/>
    <n v="1"/>
    <n v="1"/>
    <n v="0"/>
    <n v="0"/>
    <n v="0"/>
    <n v="0"/>
    <n v="1468.0388717191668"/>
    <n v="1589.378007403933"/>
    <n v="0.44647059296969804"/>
    <n v="52"/>
    <n v="67"/>
    <n v="0"/>
    <n v="-15"/>
    <n v="0"/>
    <n v="0.4566712794303206"/>
    <n v="1"/>
    <n v="75.55"/>
    <n v="75.55"/>
    <n v="-15.40391193226716"/>
    <n v="1452.6349597868996"/>
    <n v="0"/>
    <n v="1"/>
    <n v="0"/>
    <n v="0"/>
    <n v="0"/>
    <n v="0"/>
    <n v="0"/>
    <n v="0"/>
    <n v="0"/>
    <n v="0"/>
  </r>
  <r>
    <d v="2015-06-16T00:00:00"/>
    <n v="2015"/>
    <x v="4"/>
    <s v="R"/>
    <s v="RS"/>
    <x v="3"/>
    <s v="SEA"/>
    <s v="A"/>
    <n v="1"/>
    <n v="1"/>
    <n v="0"/>
    <n v="0"/>
    <n v="0"/>
    <n v="0"/>
    <n v="1488.0852517701503"/>
    <n v="1468.1171025134774"/>
    <n v="0.40888008834619644"/>
    <n v="79"/>
    <n v="58"/>
    <n v="0"/>
    <n v="21"/>
    <n v="1"/>
    <n v="0.57894261235855082"/>
    <n v="1"/>
    <n v="75.25"/>
    <n v="75.25"/>
    <n v="25.752394066718161"/>
    <n v="1513.8376458368684"/>
    <n v="1"/>
    <n v="0"/>
    <n v="0"/>
    <n v="0"/>
    <n v="0"/>
    <n v="0"/>
    <n v="0"/>
    <n v="0"/>
    <n v="0"/>
    <n v="0"/>
  </r>
  <r>
    <d v="2015-06-16T00:00:00"/>
    <n v="2015"/>
    <x v="4"/>
    <s v="R"/>
    <s v="RS"/>
    <x v="11"/>
    <s v="CON"/>
    <s v="H"/>
    <n v="1"/>
    <n v="1"/>
    <n v="0"/>
    <n v="0"/>
    <n v="0"/>
    <n v="0"/>
    <n v="1468.1171025134774"/>
    <n v="1488.0852517701503"/>
    <n v="0.59111991165380351"/>
    <n v="58"/>
    <n v="79"/>
    <n v="0"/>
    <n v="-21"/>
    <n v="0"/>
    <n v="0.57894261235855082"/>
    <n v="1"/>
    <n v="75.25"/>
    <n v="75.25"/>
    <n v="-25.752394066718161"/>
    <n v="1442.3647084467593"/>
    <n v="0"/>
    <n v="1"/>
    <n v="0"/>
    <n v="0"/>
    <n v="0"/>
    <n v="0"/>
    <n v="0"/>
    <n v="0"/>
    <n v="0"/>
    <n v="0"/>
  </r>
  <r>
    <d v="2015-06-16T00:00:00"/>
    <n v="2015"/>
    <x v="3"/>
    <s v="R"/>
    <s v="RS"/>
    <x v="8"/>
    <s v="TUL"/>
    <s v="A"/>
    <n v="1"/>
    <n v="1"/>
    <n v="0"/>
    <n v="0"/>
    <n v="0"/>
    <n v="0"/>
    <n v="1446.4821093317589"/>
    <n v="1500.851139549389"/>
    <n v="0.31077123758550057"/>
    <n v="61"/>
    <n v="88"/>
    <n v="0"/>
    <n v="-27"/>
    <n v="0"/>
    <n v="0.63777084791482908"/>
    <n v="1"/>
    <n v="75.400000000000006"/>
    <n v="75.400000000000006"/>
    <n v="-14.944343011964392"/>
    <n v="1431.5377663197946"/>
    <n v="0"/>
    <n v="1"/>
    <n v="0"/>
    <n v="0"/>
    <n v="0"/>
    <n v="0"/>
    <n v="0"/>
    <n v="0"/>
    <n v="0"/>
    <n v="0"/>
  </r>
  <r>
    <d v="2015-06-16T00:00:00"/>
    <n v="2015"/>
    <x v="4"/>
    <s v="R"/>
    <s v="RS"/>
    <x v="4"/>
    <s v="SAS"/>
    <s v="H"/>
    <n v="1"/>
    <n v="1"/>
    <n v="0"/>
    <n v="0"/>
    <n v="0"/>
    <n v="0"/>
    <n v="1500.851139549389"/>
    <n v="1446.4821093317589"/>
    <n v="0.68922876241449937"/>
    <n v="88"/>
    <n v="61"/>
    <n v="0"/>
    <n v="27"/>
    <n v="1"/>
    <n v="0.63777084791482908"/>
    <n v="1"/>
    <n v="75.25"/>
    <n v="75.25"/>
    <n v="14.914612886609026"/>
    <n v="1515.7657524359981"/>
    <n v="1"/>
    <n v="0"/>
    <n v="0"/>
    <n v="0"/>
    <n v="0"/>
    <n v="0"/>
    <n v="0"/>
    <n v="0"/>
    <n v="0"/>
    <n v="0"/>
  </r>
  <r>
    <d v="2015-06-19T00:00:00"/>
    <n v="2015"/>
    <x v="4"/>
    <s v="R"/>
    <s v="RS"/>
    <x v="1"/>
    <s v="ATL"/>
    <s v="A"/>
    <n v="4"/>
    <n v="2"/>
    <n v="2"/>
    <n v="-2"/>
    <n v="16"/>
    <n v="-16"/>
    <n v="1514.0792384058325"/>
    <n v="1456.613427998343"/>
    <n v="0.507865284625033"/>
    <n v="73"/>
    <n v="74"/>
    <n v="0"/>
    <n v="-1"/>
    <n v="0"/>
    <n v="0.23302073323440789"/>
    <n v="1"/>
    <n v="75.25"/>
    <n v="75.25"/>
    <n v="-8.9053213608238906"/>
    <n v="1505.1739170450087"/>
    <n v="0"/>
    <n v="1"/>
    <n v="0"/>
    <n v="0"/>
    <n v="0"/>
    <n v="0"/>
    <n v="0"/>
    <n v="0"/>
    <n v="0"/>
    <n v="0"/>
  </r>
  <r>
    <d v="2015-06-19T00:00:00"/>
    <n v="2015"/>
    <x v="6"/>
    <s v="R"/>
    <s v="RS"/>
    <x v="6"/>
    <s v="CHI"/>
    <s v="H"/>
    <n v="2"/>
    <n v="4"/>
    <n v="-2"/>
    <n v="2"/>
    <n v="-16"/>
    <n v="16"/>
    <n v="1456.613427998343"/>
    <n v="1514.0792384058325"/>
    <n v="0.492134715374967"/>
    <n v="74"/>
    <n v="73"/>
    <n v="0"/>
    <n v="1"/>
    <n v="1"/>
    <n v="0.23302073323440789"/>
    <n v="1"/>
    <n v="74.95"/>
    <n v="74.95"/>
    <n v="8.8698184185216018"/>
    <n v="1465.4832464168646"/>
    <n v="1"/>
    <n v="0"/>
    <n v="0"/>
    <n v="0"/>
    <n v="0"/>
    <n v="0"/>
    <n v="0"/>
    <n v="0"/>
    <n v="0"/>
    <n v="0"/>
  </r>
  <r>
    <d v="2015-06-19T00:00:00"/>
    <n v="2015"/>
    <x v="6"/>
    <s v="R"/>
    <s v="RS"/>
    <x v="0"/>
    <s v="NYL"/>
    <s v="A"/>
    <n v="2"/>
    <n v="4"/>
    <n v="-2"/>
    <n v="2"/>
    <n v="-16"/>
    <n v="16"/>
    <n v="1456.7343629770589"/>
    <n v="1477.91251212563"/>
    <n v="0.31224148469449731"/>
    <n v="80"/>
    <n v="63"/>
    <n v="0"/>
    <n v="17"/>
    <n v="1"/>
    <n v="0.52320825044558106"/>
    <n v="1"/>
    <n v="74.95"/>
    <n v="74.95"/>
    <n v="26.970077667677081"/>
    <n v="1483.704440644736"/>
    <n v="1"/>
    <n v="0"/>
    <n v="0"/>
    <n v="0"/>
    <n v="0"/>
    <n v="0"/>
    <n v="0"/>
    <n v="0"/>
    <n v="0"/>
    <n v="0"/>
  </r>
  <r>
    <d v="2015-06-19T00:00:00"/>
    <n v="2015"/>
    <x v="5"/>
    <s v="R"/>
    <s v="RS"/>
    <x v="7"/>
    <s v="IND"/>
    <s v="H"/>
    <n v="4"/>
    <n v="2"/>
    <n v="2"/>
    <n v="-2"/>
    <n v="16"/>
    <n v="-16"/>
    <n v="1477.91251212563"/>
    <n v="1456.7343629770589"/>
    <n v="0.68775851530550269"/>
    <n v="63"/>
    <n v="80"/>
    <n v="0"/>
    <n v="-17"/>
    <n v="0"/>
    <n v="0.52320825044558106"/>
    <n v="1"/>
    <n v="75.099999999999994"/>
    <n v="75.099999999999994"/>
    <n v="-27.024053807105386"/>
    <n v="1450.8884583185245"/>
    <n v="0"/>
    <n v="1"/>
    <n v="0"/>
    <n v="0"/>
    <n v="0"/>
    <n v="0"/>
    <n v="0"/>
    <n v="0"/>
    <n v="0"/>
    <n v="0"/>
  </r>
  <r>
    <d v="2015-06-19T00:00:00"/>
    <n v="2015"/>
    <x v="5"/>
    <s v="R"/>
    <s v="RS"/>
    <x v="3"/>
    <s v="PHX"/>
    <s v="A"/>
    <n v="2"/>
    <n v="4"/>
    <n v="-2"/>
    <n v="2"/>
    <n v="-16"/>
    <n v="16"/>
    <n v="1513.8376458368684"/>
    <n v="1619.6128118358183"/>
    <n v="0.21812263115285727"/>
    <n v="90"/>
    <n v="78"/>
    <n v="1"/>
    <n v="12"/>
    <n v="1"/>
    <n v="0.37726234297448735"/>
    <n v="1"/>
    <n v="75.099999999999994"/>
    <n v="75.099999999999994"/>
    <n v="22.152463895559038"/>
    <n v="1535.9901097324275"/>
    <n v="1"/>
    <n v="0"/>
    <n v="0"/>
    <n v="0"/>
    <n v="0"/>
    <n v="0"/>
    <n v="0"/>
    <n v="0"/>
    <n v="0"/>
    <n v="0"/>
  </r>
  <r>
    <d v="2015-06-19T00:00:00"/>
    <n v="2015"/>
    <x v="4"/>
    <s v="R"/>
    <s v="RS"/>
    <x v="9"/>
    <s v="CON"/>
    <s v="H"/>
    <n v="4"/>
    <n v="2"/>
    <n v="2"/>
    <n v="-2"/>
    <n v="16"/>
    <n v="-16"/>
    <n v="1619.6128118358183"/>
    <n v="1513.8376458368684"/>
    <n v="0.78187736884714276"/>
    <n v="78"/>
    <n v="90"/>
    <n v="1"/>
    <n v="-12"/>
    <n v="0"/>
    <n v="0.37726234297448735"/>
    <n v="1"/>
    <n v="75.25"/>
    <n v="75.25"/>
    <n v="-22.196709828772541"/>
    <n v="1597.4161020070458"/>
    <n v="0"/>
    <n v="1"/>
    <n v="0"/>
    <n v="0"/>
    <n v="0"/>
    <n v="0"/>
    <n v="0"/>
    <n v="0"/>
    <n v="0"/>
    <n v="0"/>
  </r>
  <r>
    <d v="2015-06-19T00:00:00"/>
    <n v="2015"/>
    <x v="5"/>
    <s v="R"/>
    <s v="RS"/>
    <x v="5"/>
    <s v="SAS"/>
    <s v="A"/>
    <n v="2"/>
    <n v="2"/>
    <n v="0"/>
    <n v="0"/>
    <n v="0"/>
    <n v="0"/>
    <n v="1604.7207522471242"/>
    <n v="1431.5377663197946"/>
    <n v="0.62559814733624197"/>
    <n v="74"/>
    <n v="59"/>
    <n v="0"/>
    <n v="15"/>
    <n v="1"/>
    <n v="0.43942987922110022"/>
    <n v="1"/>
    <n v="75.099999999999994"/>
    <n v="75.099999999999994"/>
    <n v="12.355704403303971"/>
    <n v="1617.0764566504281"/>
    <n v="1"/>
    <n v="0"/>
    <n v="0"/>
    <n v="0"/>
    <n v="0"/>
    <n v="0"/>
    <n v="0"/>
    <n v="0"/>
    <n v="0"/>
    <n v="0"/>
  </r>
  <r>
    <d v="2015-06-19T00:00:00"/>
    <n v="2015"/>
    <x v="4"/>
    <s v="R"/>
    <s v="RS"/>
    <x v="8"/>
    <s v="MIN"/>
    <s v="H"/>
    <n v="2"/>
    <n v="2"/>
    <n v="0"/>
    <n v="0"/>
    <n v="0"/>
    <n v="0"/>
    <n v="1431.5377663197946"/>
    <n v="1604.7207522471242"/>
    <n v="0.37440185266375808"/>
    <n v="59"/>
    <n v="74"/>
    <n v="0"/>
    <n v="-15"/>
    <n v="0"/>
    <n v="0.43942987922110022"/>
    <n v="1"/>
    <n v="75.25"/>
    <n v="75.25"/>
    <n v="-12.380382907438401"/>
    <n v="1419.1573834123562"/>
    <n v="0"/>
    <n v="1"/>
    <n v="0"/>
    <n v="0"/>
    <n v="0"/>
    <n v="0"/>
    <n v="0"/>
    <n v="0"/>
    <n v="0"/>
    <n v="0"/>
  </r>
  <r>
    <d v="2015-06-19T00:00:00"/>
    <n v="2015"/>
    <x v="5"/>
    <s v="R"/>
    <s v="RS"/>
    <x v="4"/>
    <s v="WAS"/>
    <s v="A"/>
    <n v="2"/>
    <n v="4"/>
    <n v="-2"/>
    <n v="2"/>
    <n v="-16"/>
    <n v="16"/>
    <n v="1515.7657524359981"/>
    <n v="1515.174597081178"/>
    <n v="0.33976385973263634"/>
    <n v="86"/>
    <n v="82"/>
    <n v="0"/>
    <n v="4"/>
    <n v="1"/>
    <n v="0.31127938950558659"/>
    <n v="1"/>
    <n v="75.099999999999994"/>
    <n v="75.099999999999994"/>
    <n v="15.434394490663429"/>
    <n v="1531.2001469266615"/>
    <n v="1"/>
    <n v="0"/>
    <n v="0"/>
    <n v="0"/>
    <n v="0"/>
    <n v="0"/>
    <n v="0"/>
    <n v="0"/>
    <n v="0"/>
    <n v="0"/>
  </r>
  <r>
    <d v="2015-06-19T00:00:00"/>
    <n v="2015"/>
    <x v="4"/>
    <s v="R"/>
    <s v="RS"/>
    <x v="2"/>
    <s v="TUL"/>
    <s v="H"/>
    <n v="4"/>
    <n v="2"/>
    <n v="2"/>
    <n v="-2"/>
    <n v="16"/>
    <n v="-16"/>
    <n v="1515.174597081178"/>
    <n v="1515.7657524359981"/>
    <n v="0.66023614026736366"/>
    <n v="82"/>
    <n v="86"/>
    <n v="0"/>
    <n v="-4"/>
    <n v="0"/>
    <n v="0.31127938950558659"/>
    <n v="1"/>
    <n v="75.25"/>
    <n v="75.25"/>
    <n v="-15.465222176064222"/>
    <n v="1499.7093749051139"/>
    <n v="0"/>
    <n v="1"/>
    <n v="0"/>
    <n v="0"/>
    <n v="0"/>
    <n v="0"/>
    <n v="0"/>
    <n v="0"/>
    <n v="0"/>
    <n v="0"/>
  </r>
  <r>
    <d v="2015-06-20T00:00:00"/>
    <n v="2015"/>
    <x v="5"/>
    <s v="R"/>
    <s v="RS"/>
    <x v="2"/>
    <s v="IND"/>
    <s v="A"/>
    <n v="0"/>
    <n v="0"/>
    <n v="0"/>
    <n v="0"/>
    <n v="0"/>
    <n v="0"/>
    <n v="1499.7093749051139"/>
    <n v="1483.704440644736"/>
    <n v="0.40337766247179907"/>
    <n v="87"/>
    <n v="75"/>
    <n v="0"/>
    <n v="12"/>
    <n v="1"/>
    <n v="0.45012591336627422"/>
    <n v="1"/>
    <n v="75.099999999999994"/>
    <n v="75.099999999999994"/>
    <n v="20.168493613556681"/>
    <n v="1519.8778685186705"/>
    <n v="1"/>
    <n v="0"/>
    <n v="0"/>
    <n v="0"/>
    <n v="0"/>
    <n v="0"/>
    <n v="0"/>
    <n v="0"/>
    <n v="0"/>
    <n v="0"/>
  </r>
  <r>
    <d v="2015-06-20T00:00:00"/>
    <n v="2015"/>
    <x v="7"/>
    <s v="R"/>
    <s v="RS"/>
    <x v="0"/>
    <s v="WAS"/>
    <s v="H"/>
    <n v="0"/>
    <n v="0"/>
    <n v="0"/>
    <n v="0"/>
    <n v="0"/>
    <n v="0"/>
    <n v="1483.704440644736"/>
    <n v="1499.7093749051139"/>
    <n v="0.59662233752820093"/>
    <n v="75"/>
    <n v="87"/>
    <n v="0"/>
    <n v="-12"/>
    <n v="0"/>
    <n v="0.45012591336627422"/>
    <n v="1"/>
    <n v="74.8"/>
    <n v="74.8"/>
    <n v="-20.087927061172302"/>
    <n v="1463.6165135835638"/>
    <n v="0"/>
    <n v="1"/>
    <n v="0"/>
    <n v="0"/>
    <n v="0"/>
    <n v="0"/>
    <n v="0"/>
    <n v="0"/>
    <n v="0"/>
    <n v="0"/>
  </r>
  <r>
    <d v="2015-06-20T00:00:00"/>
    <n v="2015"/>
    <x v="5"/>
    <s v="R"/>
    <s v="RS"/>
    <x v="1"/>
    <s v="SAS"/>
    <s v="A"/>
    <n v="0"/>
    <n v="0"/>
    <n v="0"/>
    <n v="0"/>
    <n v="0"/>
    <n v="0"/>
    <n v="1505.1739170450087"/>
    <n v="1419.1573834123562"/>
    <n v="0.50290199258988955"/>
    <n v="95"/>
    <n v="87"/>
    <n v="1"/>
    <n v="8"/>
    <n v="1"/>
    <n v="0.32610838728379915"/>
    <n v="1"/>
    <n v="75.099999999999994"/>
    <n v="75.099999999999994"/>
    <n v="12.174297996839437"/>
    <n v="1517.3482150418481"/>
    <n v="1"/>
    <n v="0"/>
    <n v="0"/>
    <n v="0"/>
    <n v="0"/>
    <n v="0"/>
    <n v="0"/>
    <n v="0"/>
    <n v="0"/>
    <n v="0"/>
  </r>
  <r>
    <d v="2015-06-20T00:00:00"/>
    <n v="2015"/>
    <x v="5"/>
    <s v="R"/>
    <s v="RS"/>
    <x v="8"/>
    <s v="CHI"/>
    <s v="H"/>
    <n v="0"/>
    <n v="0"/>
    <n v="0"/>
    <n v="0"/>
    <n v="0"/>
    <n v="0"/>
    <n v="1419.1573834123562"/>
    <n v="1505.1739170450087"/>
    <n v="0.49709800741011045"/>
    <n v="87"/>
    <n v="95"/>
    <n v="1"/>
    <n v="-8"/>
    <n v="0"/>
    <n v="0.32610838728379915"/>
    <n v="1"/>
    <n v="75.099999999999994"/>
    <n v="75.099999999999994"/>
    <n v="-12.174297996839437"/>
    <n v="1406.9830854155168"/>
    <n v="0"/>
    <n v="1"/>
    <n v="0"/>
    <n v="0"/>
    <n v="0"/>
    <n v="0"/>
    <n v="0"/>
    <n v="0"/>
    <n v="0"/>
    <n v="0"/>
  </r>
  <r>
    <d v="2015-06-21T00:00:00"/>
    <n v="2015"/>
    <x v="6"/>
    <s v="R"/>
    <s v="RS"/>
    <x v="7"/>
    <s v="ATL"/>
    <s v="A"/>
    <n v="1"/>
    <n v="1"/>
    <n v="0"/>
    <n v="0"/>
    <n v="0"/>
    <n v="0"/>
    <n v="1450.8884583185245"/>
    <n v="1465.4832464168646"/>
    <n v="0.36180067367115365"/>
    <n v="73"/>
    <n v="64"/>
    <n v="0"/>
    <n v="9"/>
    <n v="1"/>
    <n v="0.40109330070437271"/>
    <n v="1"/>
    <n v="74.95"/>
    <n v="74.95"/>
    <n v="19.185511699125577"/>
    <n v="1470.07397001765"/>
    <n v="1"/>
    <n v="0"/>
    <n v="0"/>
    <n v="0"/>
    <n v="0"/>
    <n v="0"/>
    <n v="0"/>
    <n v="0"/>
    <n v="0"/>
    <n v="0"/>
  </r>
  <r>
    <d v="2015-06-21T00:00:00"/>
    <n v="2015"/>
    <x v="7"/>
    <s v="R"/>
    <s v="RS"/>
    <x v="6"/>
    <s v="NYL"/>
    <s v="H"/>
    <n v="1"/>
    <n v="1"/>
    <n v="0"/>
    <n v="0"/>
    <n v="0"/>
    <n v="0"/>
    <n v="1465.4832464168646"/>
    <n v="1450.8884583185245"/>
    <n v="0.63819932632884624"/>
    <n v="64"/>
    <n v="73"/>
    <n v="0"/>
    <n v="-9"/>
    <n v="0"/>
    <n v="0.40109330070437271"/>
    <n v="1"/>
    <n v="74.8"/>
    <n v="74.8"/>
    <n v="-19.14711507797989"/>
    <n v="1446.3361313388848"/>
    <n v="0"/>
    <n v="1"/>
    <n v="0"/>
    <n v="0"/>
    <n v="0"/>
    <n v="0"/>
    <n v="0"/>
    <n v="0"/>
    <n v="0"/>
    <n v="0"/>
  </r>
  <r>
    <d v="2015-06-21T00:00:00"/>
    <n v="2015"/>
    <x v="6"/>
    <s v="R"/>
    <s v="RS"/>
    <x v="3"/>
    <s v="LAS"/>
    <s v="A"/>
    <n v="1"/>
    <n v="4"/>
    <n v="-3"/>
    <n v="3"/>
    <n v="-16"/>
    <n v="16"/>
    <n v="1535.9901097324275"/>
    <n v="1452.6349597868996"/>
    <n v="0.45315804934918119"/>
    <n v="76"/>
    <n v="68"/>
    <n v="0"/>
    <n v="8"/>
    <n v="1"/>
    <n v="0.3630940679385477"/>
    <n v="1"/>
    <n v="74.95"/>
    <n v="74.95"/>
    <n v="14.881702375175166"/>
    <n v="1550.8718121076026"/>
    <n v="1"/>
    <n v="0"/>
    <n v="0"/>
    <n v="0"/>
    <n v="0"/>
    <n v="0"/>
    <n v="0"/>
    <n v="0"/>
    <n v="0"/>
    <n v="0"/>
  </r>
  <r>
    <d v="2015-06-21T00:00:00"/>
    <n v="2015"/>
    <x v="3"/>
    <s v="R"/>
    <s v="RS"/>
    <x v="10"/>
    <s v="CON"/>
    <s v="H"/>
    <n v="4"/>
    <n v="1"/>
    <n v="3"/>
    <n v="-3"/>
    <n v="16"/>
    <n v="-16"/>
    <n v="1452.6349597868996"/>
    <n v="1535.9901097324275"/>
    <n v="0.54684195065081875"/>
    <n v="68"/>
    <n v="76"/>
    <n v="0"/>
    <n v="-8"/>
    <n v="0"/>
    <n v="0.3630940679385477"/>
    <n v="1"/>
    <n v="75.400000000000006"/>
    <n v="75.400000000000006"/>
    <n v="-14.971052155946728"/>
    <n v="1437.6639076309527"/>
    <n v="0"/>
    <n v="1"/>
    <n v="0"/>
    <n v="0"/>
    <n v="0"/>
    <n v="0"/>
    <n v="0"/>
    <n v="0"/>
    <n v="0"/>
    <n v="0"/>
  </r>
  <r>
    <d v="2015-06-21T00:00:00"/>
    <n v="2015"/>
    <x v="6"/>
    <s v="R"/>
    <s v="RS"/>
    <x v="4"/>
    <s v="MIN"/>
    <s v="A"/>
    <n v="1"/>
    <n v="1"/>
    <n v="0"/>
    <n v="0"/>
    <n v="0"/>
    <n v="0"/>
    <n v="1531.2001469266615"/>
    <n v="1617.0764566504281"/>
    <n v="0.27331132047977297"/>
    <n v="86"/>
    <n v="78"/>
    <n v="0"/>
    <n v="8"/>
    <n v="1"/>
    <n v="0.36238216574944809"/>
    <n v="1"/>
    <n v="74.95"/>
    <n v="74.95"/>
    <n v="19.737259362385476"/>
    <n v="1550.937406289047"/>
    <n v="1"/>
    <n v="0"/>
    <n v="0"/>
    <n v="0"/>
    <n v="0"/>
    <n v="0"/>
    <n v="0"/>
    <n v="0"/>
    <n v="0"/>
    <n v="0"/>
  </r>
  <r>
    <d v="2015-06-21T00:00:00"/>
    <n v="2015"/>
    <x v="6"/>
    <s v="R"/>
    <s v="RS"/>
    <x v="5"/>
    <s v="TUL"/>
    <s v="H"/>
    <n v="1"/>
    <n v="1"/>
    <n v="0"/>
    <n v="0"/>
    <n v="0"/>
    <n v="0"/>
    <n v="1617.0764566504281"/>
    <n v="1531.2001469266615"/>
    <n v="0.72668867952022709"/>
    <n v="78"/>
    <n v="86"/>
    <n v="0"/>
    <n v="-8"/>
    <n v="0"/>
    <n v="0.36238216574944809"/>
    <n v="1"/>
    <n v="74.95"/>
    <n v="74.95"/>
    <n v="-19.73725936238548"/>
    <n v="1597.3391972880427"/>
    <n v="0"/>
    <n v="1"/>
    <n v="0"/>
    <n v="0"/>
    <n v="0"/>
    <n v="0"/>
    <n v="0"/>
    <n v="0"/>
    <n v="0"/>
    <n v="0"/>
  </r>
  <r>
    <d v="2015-06-21T00:00:00"/>
    <n v="2015"/>
    <x v="5"/>
    <s v="R"/>
    <s v="RS"/>
    <x v="9"/>
    <s v="SEA"/>
    <s v="A"/>
    <n v="1"/>
    <n v="4"/>
    <n v="-3"/>
    <n v="3"/>
    <n v="-16"/>
    <n v="16"/>
    <n v="1597.4161020070458"/>
    <n v="1442.3647084467593"/>
    <n v="0.55596399702645538"/>
    <n v="84"/>
    <n v="72"/>
    <n v="0"/>
    <n v="12"/>
    <n v="1"/>
    <n v="0.40393695345658998"/>
    <n v="1"/>
    <n v="75.099999999999994"/>
    <n v="75.099999999999994"/>
    <n v="13.470127524989737"/>
    <n v="1610.8862295320355"/>
    <n v="1"/>
    <n v="0"/>
    <n v="0"/>
    <n v="0"/>
    <n v="0"/>
    <n v="0"/>
    <n v="0"/>
    <n v="0"/>
    <n v="0"/>
    <n v="0"/>
  </r>
  <r>
    <d v="2015-06-21T00:00:00"/>
    <n v="2015"/>
    <x v="5"/>
    <s v="R"/>
    <s v="RS"/>
    <x v="11"/>
    <s v="PHX"/>
    <s v="H"/>
    <n v="4"/>
    <n v="1"/>
    <n v="3"/>
    <n v="-3"/>
    <n v="16"/>
    <n v="-16"/>
    <n v="1442.3647084467593"/>
    <n v="1597.4161020070458"/>
    <n v="0.44403600297354451"/>
    <n v="72"/>
    <n v="84"/>
    <n v="0"/>
    <n v="-12"/>
    <n v="0"/>
    <n v="0.40393695345658998"/>
    <n v="1"/>
    <n v="75.099999999999994"/>
    <n v="75.099999999999994"/>
    <n v="-13.470127524989733"/>
    <n v="1428.8945809217696"/>
    <n v="0"/>
    <n v="1"/>
    <n v="0"/>
    <n v="0"/>
    <n v="0"/>
    <n v="0"/>
    <n v="0"/>
    <n v="0"/>
    <n v="0"/>
    <n v="0"/>
  </r>
  <r>
    <d v="2015-06-23T00:00:00"/>
    <n v="2015"/>
    <x v="4"/>
    <s v="R"/>
    <s v="RS"/>
    <x v="10"/>
    <s v="WAS"/>
    <s v="A"/>
    <n v="1"/>
    <n v="2"/>
    <n v="-1"/>
    <n v="1"/>
    <n v="-8"/>
    <n v="8"/>
    <n v="1437.6639076309527"/>
    <n v="1519.8778685186705"/>
    <n v="0.25943487389847475"/>
    <n v="80"/>
    <n v="84"/>
    <n v="0"/>
    <n v="-4"/>
    <n v="0"/>
    <n v="0.29146405614388832"/>
    <n v="1"/>
    <n v="75.25"/>
    <n v="75.25"/>
    <n v="-5.6900995340349789"/>
    <n v="1431.9738080969178"/>
    <n v="0"/>
    <n v="1"/>
    <n v="0"/>
    <n v="0"/>
    <n v="0"/>
    <n v="0"/>
    <n v="0"/>
    <n v="0"/>
    <n v="0"/>
    <n v="0"/>
  </r>
  <r>
    <d v="2015-06-23T00:00:00"/>
    <n v="2015"/>
    <x v="6"/>
    <s v="R"/>
    <s v="RS"/>
    <x v="2"/>
    <s v="LAS"/>
    <s v="H"/>
    <n v="2"/>
    <n v="1"/>
    <n v="1"/>
    <n v="-1"/>
    <n v="8"/>
    <n v="-8"/>
    <n v="1519.8778685186705"/>
    <n v="1437.6639076309527"/>
    <n v="0.74056512610152525"/>
    <n v="84"/>
    <n v="80"/>
    <n v="0"/>
    <n v="4"/>
    <n v="1"/>
    <n v="0.29146405614388832"/>
    <n v="1"/>
    <n v="74.95"/>
    <n v="74.95"/>
    <n v="5.6674147518394911"/>
    <n v="1525.54528327051"/>
    <n v="1"/>
    <n v="0"/>
    <n v="0"/>
    <n v="0"/>
    <n v="0"/>
    <n v="0"/>
    <n v="0"/>
    <n v="0"/>
    <n v="0"/>
    <n v="0"/>
  </r>
  <r>
    <d v="2015-06-24T00:00:00"/>
    <n v="2015"/>
    <x v="8"/>
    <s v="R"/>
    <s v="RS"/>
    <x v="6"/>
    <s v="CHI"/>
    <s v="A"/>
    <n v="2"/>
    <n v="3"/>
    <n v="-1"/>
    <n v="1"/>
    <n v="-8"/>
    <n v="8"/>
    <n v="1446.3361313388848"/>
    <n v="1517.3482150418481"/>
    <n v="0.27201471189939813"/>
    <n v="96"/>
    <n v="100"/>
    <n v="1"/>
    <n v="-4"/>
    <n v="0"/>
    <n v="0.26462954838027675"/>
    <n v="1"/>
    <n v="74.650000000000006"/>
    <n v="74.650000000000006"/>
    <n v="-5.3735406815777065"/>
    <n v="1440.9625906573071"/>
    <n v="0"/>
    <n v="1"/>
    <n v="0"/>
    <n v="0"/>
    <n v="0"/>
    <n v="0"/>
    <n v="0"/>
    <n v="0"/>
    <n v="0"/>
    <n v="0"/>
  </r>
  <r>
    <d v="2015-06-24T00:00:00"/>
    <n v="2015"/>
    <x v="6"/>
    <s v="R"/>
    <s v="RS"/>
    <x v="1"/>
    <s v="ATL"/>
    <s v="H"/>
    <n v="3"/>
    <n v="2"/>
    <n v="1"/>
    <n v="-1"/>
    <n v="8"/>
    <n v="-8"/>
    <n v="1517.3482150418481"/>
    <n v="1446.3361313388848"/>
    <n v="0.72798528810060181"/>
    <n v="100"/>
    <n v="96"/>
    <n v="1"/>
    <n v="4"/>
    <n v="1"/>
    <n v="0.26462954838027675"/>
    <n v="1"/>
    <n v="74.95"/>
    <n v="74.95"/>
    <n v="5.3951356206865269"/>
    <n v="1522.7433506625346"/>
    <n v="1"/>
    <n v="0"/>
    <n v="0"/>
    <n v="0"/>
    <n v="0"/>
    <n v="0"/>
    <n v="0"/>
    <n v="0"/>
    <n v="0"/>
    <n v="0"/>
  </r>
  <r>
    <d v="2015-06-25T00:00:00"/>
    <n v="2015"/>
    <x v="6"/>
    <s v="R"/>
    <s v="RS"/>
    <x v="9"/>
    <s v="SAS"/>
    <s v="A"/>
    <n v="3"/>
    <n v="4"/>
    <n v="-1"/>
    <n v="1"/>
    <n v="-8"/>
    <n v="8"/>
    <n v="1610.8862295320355"/>
    <n v="1406.9830854155168"/>
    <n v="0.64522483276767773"/>
    <n v="71"/>
    <n v="76"/>
    <n v="0"/>
    <n v="-5"/>
    <n v="0"/>
    <n v="0.28357167816162104"/>
    <n v="1"/>
    <n v="74.95"/>
    <n v="74.95"/>
    <n v="-13.71341327203015"/>
    <n v="1597.1728162600054"/>
    <n v="0"/>
    <n v="1"/>
    <n v="0"/>
    <n v="0"/>
    <n v="0"/>
    <n v="0"/>
    <n v="0"/>
    <n v="0"/>
    <n v="0"/>
    <n v="0"/>
  </r>
  <r>
    <d v="2015-06-25T00:00:00"/>
    <n v="2015"/>
    <x v="6"/>
    <s v="R"/>
    <s v="RS"/>
    <x v="8"/>
    <s v="PHX"/>
    <s v="H"/>
    <n v="4"/>
    <n v="3"/>
    <n v="1"/>
    <n v="-1"/>
    <n v="8"/>
    <n v="-8"/>
    <n v="1406.9830854155168"/>
    <n v="1610.8862295320355"/>
    <n v="0.35477516723232216"/>
    <n v="76"/>
    <n v="71"/>
    <n v="0"/>
    <n v="5"/>
    <n v="1"/>
    <n v="0.28357167816162104"/>
    <n v="1"/>
    <n v="74.95"/>
    <n v="74.95"/>
    <n v="13.713413272030154"/>
    <n v="1420.6964986875471"/>
    <n v="1"/>
    <n v="0"/>
    <n v="0"/>
    <n v="0"/>
    <n v="0"/>
    <n v="0"/>
    <n v="0"/>
    <n v="0"/>
    <n v="0"/>
    <n v="0"/>
  </r>
  <r>
    <d v="2015-06-25T00:00:00"/>
    <n v="2015"/>
    <x v="7"/>
    <s v="R"/>
    <s v="RS"/>
    <x v="5"/>
    <s v="SEA"/>
    <s v="A"/>
    <n v="3"/>
    <n v="3"/>
    <n v="0"/>
    <n v="0"/>
    <n v="0"/>
    <n v="0"/>
    <n v="1597.3391972880427"/>
    <n v="1428.8945809217696"/>
    <n v="0.61918780189851019"/>
    <n v="76"/>
    <n v="73"/>
    <n v="0"/>
    <n v="3"/>
    <n v="1"/>
    <n v="0.25446424440844617"/>
    <n v="1"/>
    <n v="74.8"/>
    <n v="74.8"/>
    <n v="7.248351001205851"/>
    <n v="1604.5875482892486"/>
    <n v="1"/>
    <n v="0"/>
    <n v="0"/>
    <n v="0"/>
    <n v="0"/>
    <n v="0"/>
    <n v="0"/>
    <n v="0"/>
    <n v="0"/>
    <n v="0"/>
  </r>
  <r>
    <d v="2015-06-25T00:00:00"/>
    <n v="2015"/>
    <x v="6"/>
    <s v="R"/>
    <s v="RS"/>
    <x v="11"/>
    <s v="MIN"/>
    <s v="H"/>
    <n v="3"/>
    <n v="3"/>
    <n v="0"/>
    <n v="0"/>
    <n v="0"/>
    <n v="0"/>
    <n v="1428.8945809217696"/>
    <n v="1597.3391972880427"/>
    <n v="0.38081219810148986"/>
    <n v="73"/>
    <n v="76"/>
    <n v="0"/>
    <n v="-3"/>
    <n v="0"/>
    <n v="0.25446424440844617"/>
    <n v="1"/>
    <n v="74.95"/>
    <n v="74.95"/>
    <n v="-7.2628864644435653"/>
    <n v="1421.6316944573261"/>
    <n v="0"/>
    <n v="1"/>
    <n v="0"/>
    <n v="0"/>
    <n v="0"/>
    <n v="0"/>
    <n v="0"/>
    <n v="0"/>
    <n v="0"/>
    <n v="0"/>
  </r>
  <r>
    <d v="2015-06-26T00:00:00"/>
    <n v="2015"/>
    <x v="7"/>
    <s v="R"/>
    <s v="RS"/>
    <x v="2"/>
    <s v="ATL"/>
    <s v="A"/>
    <n v="2"/>
    <n v="1"/>
    <n v="1"/>
    <n v="-1"/>
    <n v="8"/>
    <n v="-8"/>
    <n v="1525.54528327051"/>
    <n v="1440.9625906573071"/>
    <n v="0.52384630813622068"/>
    <n v="69"/>
    <n v="72"/>
    <n v="0"/>
    <n v="-3"/>
    <n v="0"/>
    <n v="0.27107653506530721"/>
    <n v="1"/>
    <n v="74.8"/>
    <n v="74.8"/>
    <n v="-10.621782670300732"/>
    <n v="1514.9235006002093"/>
    <n v="0"/>
    <n v="1"/>
    <n v="0"/>
    <n v="0"/>
    <n v="0"/>
    <n v="0"/>
    <n v="0"/>
    <n v="0"/>
    <n v="0"/>
    <n v="0"/>
  </r>
  <r>
    <d v="2015-06-26T00:00:00"/>
    <n v="2015"/>
    <x v="9"/>
    <s v="R"/>
    <s v="RS"/>
    <x v="6"/>
    <s v="WAS"/>
    <s v="H"/>
    <n v="1"/>
    <n v="2"/>
    <n v="-1"/>
    <n v="1"/>
    <n v="-8"/>
    <n v="8"/>
    <n v="1440.9625906573071"/>
    <n v="1525.54528327051"/>
    <n v="0.47615369186377943"/>
    <n v="72"/>
    <n v="69"/>
    <n v="0"/>
    <n v="3"/>
    <n v="1"/>
    <n v="0.27107653506530721"/>
    <n v="1"/>
    <n v="74.5"/>
    <n v="74.5"/>
    <n v="10.579181937665835"/>
    <n v="1451.5417725949731"/>
    <n v="1"/>
    <n v="0"/>
    <n v="0"/>
    <n v="0"/>
    <n v="0"/>
    <n v="0"/>
    <n v="0"/>
    <n v="0"/>
    <n v="0"/>
    <n v="0"/>
  </r>
  <r>
    <d v="2015-06-26T00:00:00"/>
    <n v="2015"/>
    <x v="5"/>
    <s v="R"/>
    <s v="RS"/>
    <x v="10"/>
    <s v="CON"/>
    <s v="A"/>
    <n v="2"/>
    <n v="4"/>
    <n v="-2"/>
    <n v="2"/>
    <n v="-16"/>
    <n v="16"/>
    <n v="1431.9738080969178"/>
    <n v="1550.8718121076026"/>
    <n v="0.20551393477322916"/>
    <n v="76"/>
    <n v="80"/>
    <n v="1"/>
    <n v="-4"/>
    <n v="0"/>
    <n v="0.25502150482704411"/>
    <n v="1"/>
    <n v="75.099999999999994"/>
    <n v="75.099999999999994"/>
    <n v="-3.9360265154505707"/>
    <n v="1428.0377815814672"/>
    <n v="0"/>
    <n v="1"/>
    <n v="0"/>
    <n v="0"/>
    <n v="0"/>
    <n v="0"/>
    <n v="0"/>
    <n v="0"/>
    <n v="0"/>
    <n v="0"/>
  </r>
  <r>
    <d v="2015-06-26T00:00:00"/>
    <n v="2015"/>
    <x v="7"/>
    <s v="R"/>
    <s v="RS"/>
    <x v="3"/>
    <s v="LAS"/>
    <s v="H"/>
    <n v="4"/>
    <n v="2"/>
    <n v="2"/>
    <n v="-2"/>
    <n v="16"/>
    <n v="-16"/>
    <n v="1550.8718121076026"/>
    <n v="1431.9738080969178"/>
    <n v="0.7944860652267709"/>
    <n v="80"/>
    <n v="76"/>
    <n v="1"/>
    <n v="4"/>
    <n v="1"/>
    <n v="0.25502150482704411"/>
    <n v="1"/>
    <n v="74.8"/>
    <n v="74.8"/>
    <n v="3.9203033735779313"/>
    <n v="1554.7921154811806"/>
    <n v="1"/>
    <n v="0"/>
    <n v="0"/>
    <n v="0"/>
    <n v="0"/>
    <n v="0"/>
    <n v="0"/>
    <n v="0"/>
    <n v="0"/>
    <n v="0"/>
  </r>
  <r>
    <d v="2015-06-26T00:00:00"/>
    <n v="2015"/>
    <x v="7"/>
    <s v="R"/>
    <s v="RS"/>
    <x v="1"/>
    <s v="IND"/>
    <s v="A"/>
    <n v="1"/>
    <n v="5"/>
    <n v="-4"/>
    <n v="4"/>
    <n v="-16"/>
    <n v="16"/>
    <n v="1522.7433506625346"/>
    <n v="1463.6165135835638"/>
    <n v="0.41887623927445383"/>
    <n v="83"/>
    <n v="77"/>
    <n v="0"/>
    <n v="6"/>
    <n v="1"/>
    <n v="0.33478510734240807"/>
    <n v="1"/>
    <n v="74.8"/>
    <n v="74.8"/>
    <n v="14.552458229906692"/>
    <n v="1537.2958088924413"/>
    <n v="1"/>
    <n v="0"/>
    <n v="0"/>
    <n v="0"/>
    <n v="0"/>
    <n v="0"/>
    <n v="0"/>
    <n v="0"/>
    <n v="0"/>
    <n v="0"/>
  </r>
  <r>
    <d v="2015-06-26T00:00:00"/>
    <n v="2015"/>
    <x v="8"/>
    <s v="R"/>
    <s v="RS"/>
    <x v="0"/>
    <s v="CHI"/>
    <s v="H"/>
    <n v="5"/>
    <n v="1"/>
    <n v="4"/>
    <n v="-4"/>
    <n v="16"/>
    <n v="-16"/>
    <n v="1463.6165135835638"/>
    <n v="1522.7433506625346"/>
    <n v="0.58112376072554617"/>
    <n v="77"/>
    <n v="83"/>
    <n v="0"/>
    <n v="-6"/>
    <n v="0"/>
    <n v="0.33478510734240807"/>
    <n v="1"/>
    <n v="74.650000000000006"/>
    <n v="74.650000000000006"/>
    <n v="-14.523275492814635"/>
    <n v="1449.0932380907491"/>
    <n v="0"/>
    <n v="1"/>
    <n v="0"/>
    <n v="0"/>
    <n v="0"/>
    <n v="0"/>
    <n v="0"/>
    <n v="0"/>
    <n v="0"/>
    <n v="0"/>
  </r>
  <r>
    <d v="2015-06-26T00:00:00"/>
    <n v="2015"/>
    <x v="7"/>
    <s v="R"/>
    <s v="RS"/>
    <x v="7"/>
    <s v="TUL"/>
    <s v="A"/>
    <n v="4"/>
    <n v="4"/>
    <n v="0"/>
    <n v="0"/>
    <n v="0"/>
    <n v="0"/>
    <n v="1470.07397001765"/>
    <n v="1550.937406289047"/>
    <n v="0.27907989300643216"/>
    <n v="62"/>
    <n v="71"/>
    <n v="0"/>
    <n v="-9"/>
    <n v="0"/>
    <n v="0.38034174353109401"/>
    <n v="1"/>
    <n v="74.8"/>
    <n v="74.8"/>
    <n v="-7.9397008351722107"/>
    <n v="1462.1342691824777"/>
    <n v="0"/>
    <n v="1"/>
    <n v="0"/>
    <n v="0"/>
    <n v="0"/>
    <n v="0"/>
    <n v="0"/>
    <n v="0"/>
    <n v="0"/>
    <n v="0"/>
  </r>
  <r>
    <d v="2015-06-26T00:00:00"/>
    <n v="2015"/>
    <x v="7"/>
    <s v="R"/>
    <s v="RS"/>
    <x v="4"/>
    <s v="NYL"/>
    <s v="H"/>
    <n v="4"/>
    <n v="4"/>
    <n v="0"/>
    <n v="0"/>
    <n v="0"/>
    <n v="0"/>
    <n v="1550.937406289047"/>
    <n v="1470.07397001765"/>
    <n v="0.72092010699356779"/>
    <n v="71"/>
    <n v="62"/>
    <n v="0"/>
    <n v="9"/>
    <n v="1"/>
    <n v="0.38034174353109401"/>
    <n v="1"/>
    <n v="74.8"/>
    <n v="74.8"/>
    <n v="7.9397008351722125"/>
    <n v="1558.8771071242193"/>
    <n v="1"/>
    <n v="0"/>
    <n v="0"/>
    <n v="0"/>
    <n v="0"/>
    <n v="0"/>
    <n v="0"/>
    <n v="0"/>
    <n v="0"/>
    <n v="0"/>
  </r>
  <r>
    <d v="2015-06-27T00:00:00"/>
    <n v="2015"/>
    <x v="7"/>
    <s v="R"/>
    <s v="RS"/>
    <x v="9"/>
    <s v="MIN"/>
    <s v="A"/>
    <n v="1"/>
    <n v="1"/>
    <n v="0"/>
    <n v="0"/>
    <n v="0"/>
    <n v="0"/>
    <n v="1597.1728162600054"/>
    <n v="1604.5875482892486"/>
    <n v="0.37139766008732567"/>
    <n v="56"/>
    <n v="71"/>
    <n v="0"/>
    <n v="-15"/>
    <n v="0"/>
    <n v="0.49976003907156369"/>
    <n v="1"/>
    <n v="74.8"/>
    <n v="74.8"/>
    <n v="-13.883606241901424"/>
    <n v="1583.2892100181041"/>
    <n v="0"/>
    <n v="1"/>
    <n v="0"/>
    <n v="0"/>
    <n v="0"/>
    <n v="0"/>
    <n v="0"/>
    <n v="0"/>
    <n v="0"/>
    <n v="0"/>
  </r>
  <r>
    <d v="2015-06-27T00:00:00"/>
    <n v="2015"/>
    <x v="8"/>
    <s v="R"/>
    <s v="RS"/>
    <x v="5"/>
    <s v="PHX"/>
    <s v="H"/>
    <n v="1"/>
    <n v="1"/>
    <n v="0"/>
    <n v="0"/>
    <n v="0"/>
    <n v="0"/>
    <n v="1604.5875482892486"/>
    <n v="1597.1728162600054"/>
    <n v="0.62860233991267433"/>
    <n v="71"/>
    <n v="56"/>
    <n v="0"/>
    <n v="15"/>
    <n v="1"/>
    <n v="0.49976003907156369"/>
    <n v="1"/>
    <n v="74.650000000000006"/>
    <n v="74.650000000000006"/>
    <n v="13.855764785533978"/>
    <n v="1618.4433130747825"/>
    <n v="1"/>
    <n v="0"/>
    <n v="0"/>
    <n v="0"/>
    <n v="0"/>
    <n v="0"/>
    <n v="0"/>
    <n v="0"/>
    <n v="0"/>
    <n v="0"/>
  </r>
  <r>
    <d v="2015-06-27T00:00:00"/>
    <n v="2015"/>
    <x v="7"/>
    <s v="R"/>
    <s v="RS"/>
    <x v="11"/>
    <s v="SAS"/>
    <s v="A"/>
    <n v="1"/>
    <n v="1"/>
    <n v="0"/>
    <n v="0"/>
    <n v="0"/>
    <n v="0"/>
    <n v="1421.6316944573261"/>
    <n v="1420.6964986875471"/>
    <n v="0.38268683841578666"/>
    <n v="71"/>
    <n v="73"/>
    <n v="0"/>
    <n v="-2"/>
    <n v="0"/>
    <n v="0.26763274663258224"/>
    <n v="1"/>
    <n v="74.8"/>
    <n v="74.8"/>
    <n v="-7.6609808189686417"/>
    <n v="1413.9707136383574"/>
    <n v="0"/>
    <n v="1"/>
    <n v="0"/>
    <n v="0"/>
    <n v="0"/>
    <n v="0"/>
    <n v="0"/>
    <n v="0"/>
    <n v="0"/>
    <n v="0"/>
  </r>
  <r>
    <d v="2015-06-27T00:00:00"/>
    <n v="2015"/>
    <x v="7"/>
    <s v="R"/>
    <s v="RS"/>
    <x v="8"/>
    <s v="SEA"/>
    <s v="H"/>
    <n v="1"/>
    <n v="1"/>
    <n v="0"/>
    <n v="0"/>
    <n v="0"/>
    <n v="0"/>
    <n v="1420.6964986875471"/>
    <n v="1421.6316944573261"/>
    <n v="0.61731316158421345"/>
    <n v="73"/>
    <n v="71"/>
    <n v="0"/>
    <n v="2"/>
    <n v="1"/>
    <n v="0.26763274663258224"/>
    <n v="1"/>
    <n v="74.8"/>
    <n v="74.8"/>
    <n v="7.6609808189686399"/>
    <n v="1428.3574795065158"/>
    <n v="1"/>
    <n v="0"/>
    <n v="0"/>
    <n v="0"/>
    <n v="0"/>
    <n v="0"/>
    <n v="0"/>
    <n v="0"/>
    <n v="0"/>
    <n v="0"/>
  </r>
  <r>
    <d v="2015-06-28T00:00:00"/>
    <n v="2015"/>
    <x v="6"/>
    <s v="R"/>
    <s v="RS"/>
    <x v="10"/>
    <s v="NYL"/>
    <s v="A"/>
    <n v="1"/>
    <n v="1"/>
    <n v="0"/>
    <n v="0"/>
    <n v="0"/>
    <n v="0"/>
    <n v="1428.0377815814672"/>
    <n v="1462.1342691824777"/>
    <n v="0.33630191768843226"/>
    <n v="70"/>
    <n v="79"/>
    <n v="0"/>
    <n v="-9"/>
    <n v="0"/>
    <n v="0.39475505964991819"/>
    <n v="1"/>
    <n v="74.95"/>
    <n v="74.95"/>
    <n v="-9.950128424132048"/>
    <n v="1418.0876531573351"/>
    <n v="0"/>
    <n v="1"/>
    <n v="0"/>
    <n v="0"/>
    <n v="0"/>
    <n v="0"/>
    <n v="0"/>
    <n v="0"/>
    <n v="0"/>
    <n v="0"/>
  </r>
  <r>
    <d v="2015-06-28T00:00:00"/>
    <n v="2015"/>
    <x v="8"/>
    <s v="R"/>
    <s v="RS"/>
    <x v="7"/>
    <s v="LAS"/>
    <s v="H"/>
    <n v="1"/>
    <n v="1"/>
    <n v="0"/>
    <n v="0"/>
    <n v="0"/>
    <n v="0"/>
    <n v="1462.1342691824777"/>
    <n v="1428.0377815814672"/>
    <n v="0.66369808231156779"/>
    <n v="79"/>
    <n v="70"/>
    <n v="0"/>
    <n v="9"/>
    <n v="1"/>
    <n v="0.39475505964991819"/>
    <n v="1"/>
    <n v="74.650000000000006"/>
    <n v="74.650000000000006"/>
    <n v="9.9103013590588027"/>
    <n v="1472.0445705415366"/>
    <n v="1"/>
    <n v="0"/>
    <n v="0"/>
    <n v="0"/>
    <n v="0"/>
    <n v="0"/>
    <n v="0"/>
    <n v="0"/>
    <n v="0"/>
    <n v="0"/>
  </r>
  <r>
    <d v="2015-06-28T00:00:00"/>
    <n v="2015"/>
    <x v="8"/>
    <s v="R"/>
    <s v="RS"/>
    <x v="11"/>
    <s v="TUL"/>
    <s v="A"/>
    <n v="0"/>
    <n v="1"/>
    <n v="-1"/>
    <n v="1"/>
    <n v="-8"/>
    <n v="8"/>
    <n v="1413.9707136383574"/>
    <n v="1558.8771071242193"/>
    <n v="0.19626646686697963"/>
    <n v="89"/>
    <n v="93"/>
    <n v="0"/>
    <n v="-4"/>
    <n v="0"/>
    <n v="0.27787754128821746"/>
    <n v="1"/>
    <n v="74.650000000000006"/>
    <n v="74.650000000000006"/>
    <n v="-4.0712649286365146"/>
    <n v="1409.8994487097209"/>
    <n v="0"/>
    <n v="1"/>
    <n v="0"/>
    <n v="0"/>
    <n v="0"/>
    <n v="0"/>
    <n v="0"/>
    <n v="0"/>
    <n v="0"/>
    <n v="0"/>
  </r>
  <r>
    <d v="2015-06-28T00:00:00"/>
    <n v="2015"/>
    <x v="8"/>
    <s v="R"/>
    <s v="RS"/>
    <x v="4"/>
    <s v="SEA"/>
    <s v="H"/>
    <n v="1"/>
    <n v="0"/>
    <n v="1"/>
    <n v="-1"/>
    <n v="8"/>
    <n v="-8"/>
    <n v="1558.8771071242193"/>
    <n v="1413.9707136383574"/>
    <n v="0.80373353313302043"/>
    <n v="93"/>
    <n v="89"/>
    <n v="0"/>
    <n v="4"/>
    <n v="1"/>
    <n v="0.27787754128821746"/>
    <n v="1"/>
    <n v="74.650000000000006"/>
    <n v="74.650000000000006"/>
    <n v="4.0712649286365137"/>
    <n v="1562.9483720528558"/>
    <n v="1"/>
    <n v="0"/>
    <n v="0"/>
    <n v="0"/>
    <n v="0"/>
    <n v="0"/>
    <n v="0"/>
    <n v="0"/>
    <n v="0"/>
    <n v="0"/>
  </r>
  <r>
    <d v="2015-06-28T00:00:00"/>
    <n v="2015"/>
    <x v="8"/>
    <s v="R"/>
    <s v="RS"/>
    <x v="1"/>
    <s v="WAS"/>
    <s v="A"/>
    <n v="1"/>
    <n v="1"/>
    <n v="0"/>
    <n v="0"/>
    <n v="0"/>
    <n v="0"/>
    <n v="1537.2958088924413"/>
    <n v="1514.9235006002093"/>
    <n v="0.41222921454735217"/>
    <n v="71"/>
    <n v="86"/>
    <n v="0"/>
    <n v="-15"/>
    <n v="0"/>
    <n v="0.49364471819354849"/>
    <n v="1"/>
    <n v="74.650000000000006"/>
    <n v="74.650000000000006"/>
    <n v="-15.190884912421932"/>
    <n v="1522.1049239800193"/>
    <n v="0"/>
    <n v="1"/>
    <n v="0"/>
    <n v="0"/>
    <n v="0"/>
    <n v="0"/>
    <n v="0"/>
    <n v="0"/>
    <n v="0"/>
    <n v="0"/>
  </r>
  <r>
    <d v="2015-06-28T00:00:00"/>
    <n v="2015"/>
    <x v="8"/>
    <s v="R"/>
    <s v="RS"/>
    <x v="2"/>
    <s v="CHI"/>
    <s v="H"/>
    <n v="1"/>
    <n v="1"/>
    <n v="0"/>
    <n v="0"/>
    <n v="0"/>
    <n v="0"/>
    <n v="1514.9235006002093"/>
    <n v="1537.2958088924413"/>
    <n v="0.58777078545264794"/>
    <n v="86"/>
    <n v="71"/>
    <n v="0"/>
    <n v="15"/>
    <n v="1"/>
    <n v="0.49364471819354849"/>
    <n v="1"/>
    <n v="74.650000000000006"/>
    <n v="74.650000000000006"/>
    <n v="15.190884912421927"/>
    <n v="1530.1143855126313"/>
    <n v="1"/>
    <n v="0"/>
    <n v="0"/>
    <n v="0"/>
    <n v="0"/>
    <n v="0"/>
    <n v="0"/>
    <n v="0"/>
    <n v="0"/>
    <n v="0"/>
  </r>
  <r>
    <d v="2015-06-30T00:00:00"/>
    <n v="2015"/>
    <x v="9"/>
    <s v="R"/>
    <s v="RS"/>
    <x v="7"/>
    <s v="CHI"/>
    <s v="A"/>
    <n v="1"/>
    <n v="1"/>
    <n v="0"/>
    <n v="0"/>
    <n v="0"/>
    <n v="0"/>
    <n v="1472.0445705415366"/>
    <n v="1522.1049239800193"/>
    <n v="0.31610857388131353"/>
    <n v="89"/>
    <n v="81"/>
    <n v="0"/>
    <n v="8"/>
    <n v="1"/>
    <n v="0.37276491548736895"/>
    <n v="1"/>
    <n v="74.5"/>
    <n v="74.5"/>
    <n v="18.992339359645296"/>
    <n v="1491.0369099011818"/>
    <n v="1"/>
    <n v="0"/>
    <n v="0"/>
    <n v="0"/>
    <n v="0"/>
    <n v="0"/>
    <n v="0"/>
    <n v="0"/>
    <n v="0"/>
    <n v="0"/>
  </r>
  <r>
    <d v="2015-06-30T00:00:00"/>
    <n v="2015"/>
    <x v="9"/>
    <s v="R"/>
    <s v="RS"/>
    <x v="1"/>
    <s v="NYL"/>
    <s v="H"/>
    <n v="1"/>
    <n v="1"/>
    <n v="0"/>
    <n v="0"/>
    <n v="0"/>
    <n v="0"/>
    <n v="1522.1049239800193"/>
    <n v="1472.0445705415366"/>
    <n v="0.68389142611868659"/>
    <n v="81"/>
    <n v="89"/>
    <n v="0"/>
    <n v="-8"/>
    <n v="0"/>
    <n v="0.37276491548736895"/>
    <n v="1"/>
    <n v="74.5"/>
    <n v="74.5"/>
    <n v="-18.9923393596453"/>
    <n v="1503.112584620374"/>
    <n v="0"/>
    <n v="1"/>
    <n v="0"/>
    <n v="0"/>
    <n v="0"/>
    <n v="0"/>
    <n v="0"/>
    <n v="0"/>
    <n v="0"/>
    <n v="0"/>
  </r>
  <r>
    <d v="2015-06-30T00:00:00"/>
    <n v="2015"/>
    <x v="9"/>
    <s v="R"/>
    <s v="RS"/>
    <x v="0"/>
    <s v="CON"/>
    <s v="A"/>
    <n v="3"/>
    <n v="3"/>
    <n v="0"/>
    <n v="0"/>
    <n v="0"/>
    <n v="0"/>
    <n v="1449.0932380907491"/>
    <n v="1554.7921154811806"/>
    <n v="0.25124288372681397"/>
    <n v="92"/>
    <n v="84"/>
    <n v="0"/>
    <n v="8"/>
    <n v="1"/>
    <n v="0.35688063310195306"/>
    <n v="1"/>
    <n v="74.5"/>
    <n v="74.5"/>
    <n v="19.907660070289964"/>
    <n v="1469.000898161039"/>
    <n v="1"/>
    <n v="0"/>
    <n v="0"/>
    <n v="0"/>
    <n v="0"/>
    <n v="0"/>
    <n v="0"/>
    <n v="0"/>
    <n v="0"/>
    <n v="0"/>
  </r>
  <r>
    <d v="2015-06-30T00:00:00"/>
    <n v="2015"/>
    <x v="8"/>
    <s v="R"/>
    <s v="RS"/>
    <x v="3"/>
    <s v="IND"/>
    <s v="H"/>
    <n v="3"/>
    <n v="3"/>
    <n v="0"/>
    <n v="0"/>
    <n v="0"/>
    <n v="0"/>
    <n v="1554.7921154811806"/>
    <n v="1449.0932380907491"/>
    <n v="0.74875711627318597"/>
    <n v="84"/>
    <n v="92"/>
    <n v="0"/>
    <n v="-8"/>
    <n v="0"/>
    <n v="0.35688063310195306"/>
    <n v="1"/>
    <n v="74.650000000000006"/>
    <n v="74.650000000000006"/>
    <n v="-19.947742607344239"/>
    <n v="1534.8443728738364"/>
    <n v="0"/>
    <n v="1"/>
    <n v="0"/>
    <n v="0"/>
    <n v="0"/>
    <n v="0"/>
    <n v="0"/>
    <n v="0"/>
    <n v="0"/>
    <n v="0"/>
  </r>
  <r>
    <d v="2015-06-30T00:00:00"/>
    <n v="2015"/>
    <x v="8"/>
    <s v="R"/>
    <s v="RS"/>
    <x v="8"/>
    <s v="PHX"/>
    <s v="A"/>
    <n v="2"/>
    <n v="2"/>
    <n v="0"/>
    <n v="0"/>
    <n v="0"/>
    <n v="0"/>
    <n v="1428.3574795065158"/>
    <n v="1583.2892100181041"/>
    <n v="0.20174853804348497"/>
    <n v="78"/>
    <n v="85"/>
    <n v="0"/>
    <n v="-7"/>
    <n v="0"/>
    <n v="0.3277867046606785"/>
    <n v="1"/>
    <n v="74.650000000000006"/>
    <n v="74.650000000000006"/>
    <n v="-4.9366409631943764"/>
    <n v="1423.4208385433215"/>
    <n v="0"/>
    <n v="1"/>
    <n v="0"/>
    <n v="0"/>
    <n v="0"/>
    <n v="0"/>
    <n v="0"/>
    <n v="0"/>
    <n v="0"/>
    <n v="0"/>
  </r>
  <r>
    <d v="2015-06-30T00:00:00"/>
    <n v="2015"/>
    <x v="8"/>
    <s v="R"/>
    <s v="RS"/>
    <x v="9"/>
    <s v="SAS"/>
    <s v="H"/>
    <n v="2"/>
    <n v="2"/>
    <n v="0"/>
    <n v="0"/>
    <n v="0"/>
    <n v="0"/>
    <n v="1583.2892100181041"/>
    <n v="1428.3574795065158"/>
    <n v="0.79825146195651508"/>
    <n v="85"/>
    <n v="78"/>
    <n v="0"/>
    <n v="7"/>
    <n v="1"/>
    <n v="0.3277867046606785"/>
    <n v="1"/>
    <n v="74.650000000000006"/>
    <n v="74.650000000000006"/>
    <n v="4.9366409631943755"/>
    <n v="1588.2258509812984"/>
    <n v="1"/>
    <n v="0"/>
    <n v="0"/>
    <n v="0"/>
    <n v="0"/>
    <n v="0"/>
    <n v="0"/>
    <n v="0"/>
    <n v="0"/>
    <n v="0"/>
  </r>
  <r>
    <d v="2015-06-30T00:00:00"/>
    <n v="2015"/>
    <x v="9"/>
    <s v="R"/>
    <s v="RS"/>
    <x v="4"/>
    <s v="SEA"/>
    <s v="A"/>
    <n v="1"/>
    <n v="1"/>
    <n v="0"/>
    <n v="0"/>
    <n v="0"/>
    <n v="0"/>
    <n v="1562.9483720528558"/>
    <n v="1409.8994487097209"/>
    <n v="0.59808146476030555"/>
    <n v="69"/>
    <n v="74"/>
    <n v="0"/>
    <n v="-5"/>
    <n v="0"/>
    <n v="0.29422969390482029"/>
    <n v="1"/>
    <n v="74.5"/>
    <n v="74.5"/>
    <n v="-13.11001280983956"/>
    <n v="1549.8383592430162"/>
    <n v="0"/>
    <n v="1"/>
    <n v="0"/>
    <n v="0"/>
    <n v="0"/>
    <n v="0"/>
    <n v="0"/>
    <n v="0"/>
    <n v="0"/>
    <n v="0"/>
  </r>
  <r>
    <d v="2015-06-30T00:00:00"/>
    <n v="2015"/>
    <x v="9"/>
    <s v="R"/>
    <s v="RS"/>
    <x v="11"/>
    <s v="TUL"/>
    <s v="H"/>
    <n v="1"/>
    <n v="1"/>
    <n v="0"/>
    <n v="0"/>
    <n v="0"/>
    <n v="0"/>
    <n v="1409.8994487097209"/>
    <n v="1562.9483720528558"/>
    <n v="0.40191853523969451"/>
    <n v="74"/>
    <n v="69"/>
    <n v="0"/>
    <n v="5"/>
    <n v="1"/>
    <n v="0.29422969390482029"/>
    <n v="1"/>
    <n v="74.5"/>
    <n v="74.5"/>
    <n v="13.110012809839557"/>
    <n v="1423.0094615195605"/>
    <n v="1"/>
    <n v="0"/>
    <n v="0"/>
    <n v="0"/>
    <n v="0"/>
    <n v="0"/>
    <n v="0"/>
    <n v="0"/>
    <n v="0"/>
    <n v="0"/>
  </r>
  <r>
    <d v="2015-07-02T00:00:00"/>
    <n v="2015"/>
    <x v="10"/>
    <s v="R"/>
    <s v="RS"/>
    <x v="1"/>
    <s v="CON"/>
    <s v="A"/>
    <n v="1"/>
    <n v="1"/>
    <n v="0"/>
    <n v="0"/>
    <n v="0"/>
    <n v="0"/>
    <n v="1503.112584620374"/>
    <n v="1534.8443728738364"/>
    <n v="0.33934696213575566"/>
    <n v="77"/>
    <n v="74"/>
    <n v="0"/>
    <n v="3"/>
    <n v="1"/>
    <n v="0.28270783350668371"/>
    <n v="1"/>
    <n v="74.349999999999994"/>
    <n v="74.349999999999994"/>
    <n v="13.886482514693483"/>
    <n v="1516.9990671350674"/>
    <n v="1"/>
    <n v="0"/>
    <n v="0"/>
    <n v="0"/>
    <n v="0"/>
    <n v="0"/>
    <n v="0"/>
    <n v="0"/>
    <n v="0"/>
    <n v="0"/>
  </r>
  <r>
    <d v="2015-07-02T00:00:00"/>
    <n v="2015"/>
    <x v="9"/>
    <s v="R"/>
    <s v="RS"/>
    <x v="3"/>
    <s v="CHI"/>
    <s v="H"/>
    <n v="1"/>
    <n v="1"/>
    <n v="0"/>
    <n v="0"/>
    <n v="0"/>
    <n v="0"/>
    <n v="1534.8443728738364"/>
    <n v="1503.112584620374"/>
    <n v="0.66065303786424434"/>
    <n v="74"/>
    <n v="77"/>
    <n v="0"/>
    <n v="-3"/>
    <n v="0"/>
    <n v="0.28270783350668371"/>
    <n v="1"/>
    <n v="74.5"/>
    <n v="74.5"/>
    <n v="-13.914498283048616"/>
    <n v="1520.9298745907877"/>
    <n v="0"/>
    <n v="1"/>
    <n v="0"/>
    <n v="0"/>
    <n v="0"/>
    <n v="0"/>
    <n v="0"/>
    <n v="0"/>
    <n v="0"/>
    <n v="0"/>
  </r>
  <r>
    <d v="2015-07-02T00:00:00"/>
    <n v="2015"/>
    <x v="9"/>
    <s v="R"/>
    <s v="RS"/>
    <x v="2"/>
    <s v="IND"/>
    <s v="A"/>
    <n v="3"/>
    <n v="1"/>
    <n v="2"/>
    <n v="-2"/>
    <n v="16"/>
    <n v="-16"/>
    <n v="1530.1143855126313"/>
    <n v="1469.000898161039"/>
    <n v="0.51311235539071498"/>
    <n v="50"/>
    <n v="73"/>
    <n v="0"/>
    <n v="-23"/>
    <n v="0"/>
    <n v="0.58551853618266658"/>
    <n v="1"/>
    <n v="74.5"/>
    <n v="74.5"/>
    <n v="-22.382541244308069"/>
    <n v="1507.7318442683234"/>
    <n v="0"/>
    <n v="1"/>
    <n v="0"/>
    <n v="0"/>
    <n v="0"/>
    <n v="0"/>
    <n v="0"/>
    <n v="0"/>
    <n v="0"/>
    <n v="0"/>
  </r>
  <r>
    <d v="2015-07-02T00:00:00"/>
    <n v="2015"/>
    <x v="10"/>
    <s v="R"/>
    <s v="RS"/>
    <x v="0"/>
    <s v="WAS"/>
    <s v="H"/>
    <n v="1"/>
    <n v="3"/>
    <n v="-2"/>
    <n v="2"/>
    <n v="-16"/>
    <n v="16"/>
    <n v="1469.000898161039"/>
    <n v="1530.1143855126313"/>
    <n v="0.48688764460928508"/>
    <n v="73"/>
    <n v="50"/>
    <n v="0"/>
    <n v="23"/>
    <n v="1"/>
    <n v="0.58551853618266658"/>
    <n v="1"/>
    <n v="74.349999999999994"/>
    <n v="74.349999999999994"/>
    <n v="22.33747572502422"/>
    <n v="1491.3383738860632"/>
    <n v="1"/>
    <n v="0"/>
    <n v="0"/>
    <n v="0"/>
    <n v="0"/>
    <n v="0"/>
    <n v="0"/>
    <n v="0"/>
    <n v="0"/>
    <n v="0"/>
  </r>
  <r>
    <d v="2015-07-02T00:00:00"/>
    <n v="2015"/>
    <x v="9"/>
    <s v="R"/>
    <s v="RS"/>
    <x v="8"/>
    <s v="LAS"/>
    <s v="A"/>
    <n v="1"/>
    <n v="3"/>
    <n v="-2"/>
    <n v="2"/>
    <n v="-16"/>
    <n v="16"/>
    <n v="1423.4208385433215"/>
    <n v="1418.0876531573351"/>
    <n v="0.34591383211356475"/>
    <n v="81"/>
    <n v="86"/>
    <n v="0"/>
    <n v="-5"/>
    <n v="0"/>
    <n v="0.33028806920802617"/>
    <n v="1"/>
    <n v="74.5"/>
    <n v="74.5"/>
    <n v="-8.5117152732248265"/>
    <n v="1414.9091232700966"/>
    <n v="0"/>
    <n v="1"/>
    <n v="0"/>
    <n v="0"/>
    <n v="0"/>
    <n v="0"/>
    <n v="0"/>
    <n v="0"/>
    <n v="0"/>
    <n v="0"/>
  </r>
  <r>
    <d v="2015-07-02T00:00:00"/>
    <n v="2015"/>
    <x v="7"/>
    <s v="R"/>
    <s v="RS"/>
    <x v="10"/>
    <s v="SAS"/>
    <s v="H"/>
    <n v="3"/>
    <n v="1"/>
    <n v="2"/>
    <n v="-2"/>
    <n v="16"/>
    <n v="-16"/>
    <n v="1418.0876531573351"/>
    <n v="1423.4208385433215"/>
    <n v="0.65408616788643525"/>
    <n v="86"/>
    <n v="81"/>
    <n v="0"/>
    <n v="5"/>
    <n v="1"/>
    <n v="0.33028806920802617"/>
    <n v="1"/>
    <n v="74.8"/>
    <n v="74.8"/>
    <n v="8.545990636741168"/>
    <n v="1426.6336437940763"/>
    <n v="1"/>
    <n v="0"/>
    <n v="0"/>
    <n v="0"/>
    <n v="0"/>
    <n v="0"/>
    <n v="0"/>
    <n v="0"/>
    <n v="0"/>
    <n v="0"/>
  </r>
  <r>
    <d v="2015-07-02T00:00:00"/>
    <n v="2015"/>
    <x v="10"/>
    <s v="R"/>
    <s v="RS"/>
    <x v="4"/>
    <s v="PHX"/>
    <s v="A"/>
    <n v="1"/>
    <n v="1"/>
    <n v="0"/>
    <n v="0"/>
    <n v="0"/>
    <n v="0"/>
    <n v="1549.8383592430162"/>
    <n v="1588.2258509812984"/>
    <n v="0.33081106220841722"/>
    <n v="55"/>
    <n v="86"/>
    <n v="0"/>
    <n v="-31"/>
    <n v="0"/>
    <n v="0.69330597603016131"/>
    <n v="1"/>
    <n v="74.349999999999994"/>
    <n v="74.349999999999994"/>
    <n v="-17.052416841310695"/>
    <n v="1532.7859424017054"/>
    <n v="0"/>
    <n v="1"/>
    <n v="0"/>
    <n v="0"/>
    <n v="0"/>
    <n v="0"/>
    <n v="0"/>
    <n v="0"/>
    <n v="0"/>
    <n v="0"/>
  </r>
  <r>
    <d v="2015-07-02T00:00:00"/>
    <n v="2015"/>
    <x v="9"/>
    <s v="R"/>
    <s v="RS"/>
    <x v="9"/>
    <s v="TUL"/>
    <s v="H"/>
    <n v="1"/>
    <n v="1"/>
    <n v="0"/>
    <n v="0"/>
    <n v="0"/>
    <n v="0"/>
    <n v="1588.2258509812984"/>
    <n v="1549.8383592430162"/>
    <n v="0.66918893779158273"/>
    <n v="86"/>
    <n v="55"/>
    <n v="0"/>
    <n v="31"/>
    <n v="1"/>
    <n v="0.69330597603016131"/>
    <n v="1"/>
    <n v="74.5"/>
    <n v="74.5"/>
    <n v="17.086819834265594"/>
    <n v="1605.3126708155639"/>
    <n v="1"/>
    <n v="0"/>
    <n v="0"/>
    <n v="0"/>
    <n v="0"/>
    <n v="0"/>
    <n v="0"/>
    <n v="0"/>
    <n v="0"/>
    <n v="0"/>
  </r>
  <r>
    <d v="2015-07-03T00:00:00"/>
    <n v="2015"/>
    <x v="11"/>
    <s v="R"/>
    <s v="RS"/>
    <x v="4"/>
    <s v="LAS"/>
    <s v="A"/>
    <n v="0"/>
    <n v="0"/>
    <n v="0"/>
    <n v="0"/>
    <n v="0"/>
    <n v="0"/>
    <n v="1532.7859424017054"/>
    <n v="1426.6336437940763"/>
    <n v="0.53183659062490896"/>
    <n v="95"/>
    <n v="98"/>
    <n v="0"/>
    <n v="-3"/>
    <n v="0"/>
    <n v="0.2666000172335613"/>
    <n v="1"/>
    <n v="74.2"/>
    <n v="74.2"/>
    <n v="-10.52064320157211"/>
    <n v="1522.2652992001333"/>
    <n v="0"/>
    <n v="1"/>
    <n v="0"/>
    <n v="0"/>
    <n v="0"/>
    <n v="0"/>
    <n v="0"/>
    <n v="0"/>
    <n v="0"/>
    <n v="0"/>
  </r>
  <r>
    <d v="2015-07-03T00:00:00"/>
    <n v="2015"/>
    <x v="8"/>
    <s v="R"/>
    <s v="RS"/>
    <x v="10"/>
    <s v="TUL"/>
    <s v="H"/>
    <n v="0"/>
    <n v="0"/>
    <n v="0"/>
    <n v="0"/>
    <n v="0"/>
    <n v="0"/>
    <n v="1426.6336437940763"/>
    <n v="1532.7859424017054"/>
    <n v="0.46816340937509093"/>
    <n v="98"/>
    <n v="95"/>
    <n v="0"/>
    <n v="3"/>
    <n v="1"/>
    <n v="0.2666000172335613"/>
    <n v="1"/>
    <n v="74.650000000000006"/>
    <n v="74.650000000000006"/>
    <n v="10.58444764147383"/>
    <n v="1437.2180914355501"/>
    <n v="1"/>
    <n v="0"/>
    <n v="0"/>
    <n v="0"/>
    <n v="0"/>
    <n v="0"/>
    <n v="0"/>
    <n v="0"/>
    <n v="0"/>
    <n v="0"/>
  </r>
  <r>
    <d v="2015-07-03T00:00:00"/>
    <n v="2015"/>
    <x v="10"/>
    <s v="R"/>
    <s v="RS"/>
    <x v="11"/>
    <s v="MIN"/>
    <s v="A"/>
    <n v="2"/>
    <n v="5"/>
    <n v="-3"/>
    <n v="3"/>
    <n v="-16"/>
    <n v="16"/>
    <n v="1423.0094615195605"/>
    <n v="1618.4433130747825"/>
    <n v="0.14273499567878778"/>
    <n v="57"/>
    <n v="82"/>
    <n v="0"/>
    <n v="-25"/>
    <n v="0"/>
    <n v="0.55152283514898781"/>
    <n v="1"/>
    <n v="74.349999999999994"/>
    <n v="74.349999999999994"/>
    <n v="-5.8529516657111325"/>
    <n v="1417.1565098538495"/>
    <n v="0"/>
    <n v="1"/>
    <n v="0"/>
    <n v="0"/>
    <n v="0"/>
    <n v="0"/>
    <n v="0"/>
    <n v="0"/>
    <n v="0"/>
    <n v="0"/>
  </r>
  <r>
    <d v="2015-07-03T00:00:00"/>
    <n v="2015"/>
    <x v="9"/>
    <s v="R"/>
    <s v="RS"/>
    <x v="5"/>
    <s v="SEA"/>
    <s v="H"/>
    <n v="5"/>
    <n v="2"/>
    <n v="3"/>
    <n v="-3"/>
    <n v="16"/>
    <n v="-16"/>
    <n v="1618.4433130747825"/>
    <n v="1423.0094615195605"/>
    <n v="0.85726500432121222"/>
    <n v="82"/>
    <n v="57"/>
    <n v="0"/>
    <n v="25"/>
    <n v="1"/>
    <n v="0.55152283514898781"/>
    <n v="1"/>
    <n v="74.5"/>
    <n v="74.5"/>
    <n v="5.8647599071348955"/>
    <n v="1624.3080729819173"/>
    <n v="1"/>
    <n v="0"/>
    <n v="0"/>
    <n v="0"/>
    <n v="0"/>
    <n v="0"/>
    <n v="0"/>
    <n v="0"/>
    <n v="0"/>
    <n v="0"/>
  </r>
  <r>
    <d v="2015-07-05T00:00:00"/>
    <n v="2015"/>
    <x v="11"/>
    <s v="R"/>
    <s v="RS"/>
    <x v="11"/>
    <s v="ATL"/>
    <s v="A"/>
    <n v="1"/>
    <n v="8"/>
    <n v="-7"/>
    <n v="7"/>
    <n v="-16"/>
    <n v="16"/>
    <n v="1417.1565098538495"/>
    <n v="1451.5417725949731"/>
    <n v="0.29615250594797682"/>
    <n v="64"/>
    <n v="72"/>
    <n v="0"/>
    <n v="-8"/>
    <n v="0"/>
    <n v="0.37749854609316741"/>
    <n v="1"/>
    <n v="74.2"/>
    <n v="74.2"/>
    <n v="-8.2953478189569338"/>
    <n v="1408.8611620348925"/>
    <n v="0"/>
    <n v="1"/>
    <n v="0"/>
    <n v="0"/>
    <n v="0"/>
    <n v="0"/>
    <n v="0"/>
    <n v="0"/>
    <n v="0"/>
    <n v="0"/>
  </r>
  <r>
    <d v="2015-07-05T00:00:00"/>
    <n v="2015"/>
    <x v="10"/>
    <s v="R"/>
    <s v="RS"/>
    <x v="6"/>
    <s v="SEA"/>
    <s v="H"/>
    <n v="8"/>
    <n v="1"/>
    <n v="7"/>
    <n v="-7"/>
    <n v="16"/>
    <n v="-16"/>
    <n v="1451.5417725949731"/>
    <n v="1417.1565098538495"/>
    <n v="0.70384749405202318"/>
    <n v="72"/>
    <n v="64"/>
    <n v="0"/>
    <n v="8"/>
    <n v="1"/>
    <n v="0.37749854609316741"/>
    <n v="1"/>
    <n v="74.349999999999994"/>
    <n v="74.349999999999994"/>
    <n v="8.312117390019516"/>
    <n v="1459.8538899849925"/>
    <n v="1"/>
    <n v="0"/>
    <n v="0"/>
    <n v="0"/>
    <n v="0"/>
    <n v="0"/>
    <n v="0"/>
    <n v="0"/>
    <n v="0"/>
    <n v="0"/>
  </r>
  <r>
    <d v="2015-07-05T00:00:00"/>
    <n v="2015"/>
    <x v="10"/>
    <s v="R"/>
    <s v="RS"/>
    <x v="9"/>
    <s v="LAS"/>
    <s v="A"/>
    <n v="2"/>
    <n v="1"/>
    <n v="1"/>
    <n v="-1"/>
    <n v="8"/>
    <n v="-8"/>
    <n v="1605.3126708155639"/>
    <n v="1437.2180914355501"/>
    <n v="0.64019041991707493"/>
    <n v="94"/>
    <n v="91"/>
    <n v="1"/>
    <n v="3"/>
    <n v="1"/>
    <n v="0.2290764158488435"/>
    <n v="1"/>
    <n v="74.349999999999994"/>
    <n v="74.349999999999994"/>
    <n v="6.1282161466647844"/>
    <n v="1611.4408869622287"/>
    <n v="1"/>
    <n v="0"/>
    <n v="0"/>
    <n v="0"/>
    <n v="0"/>
    <n v="0"/>
    <n v="0"/>
    <n v="0"/>
    <n v="0"/>
    <n v="0"/>
  </r>
  <r>
    <d v="2015-07-05T00:00:00"/>
    <n v="2015"/>
    <x v="9"/>
    <s v="R"/>
    <s v="RS"/>
    <x v="10"/>
    <s v="PHX"/>
    <s v="H"/>
    <n v="1"/>
    <n v="2"/>
    <n v="-1"/>
    <n v="1"/>
    <n v="-8"/>
    <n v="8"/>
    <n v="1437.2180914355501"/>
    <n v="1605.3126708155639"/>
    <n v="0.35980958008292507"/>
    <n v="91"/>
    <n v="94"/>
    <n v="1"/>
    <n v="-3"/>
    <n v="0"/>
    <n v="0.2290764158488435"/>
    <n v="1"/>
    <n v="74.5"/>
    <n v="74.5"/>
    <n v="-6.1405797300138056"/>
    <n v="1431.0775117055364"/>
    <n v="0"/>
    <n v="1"/>
    <n v="0"/>
    <n v="0"/>
    <n v="0"/>
    <n v="0"/>
    <n v="0"/>
    <n v="0"/>
    <n v="0"/>
    <n v="0"/>
  </r>
  <r>
    <d v="2015-07-07T00:00:00"/>
    <n v="2015"/>
    <x v="12"/>
    <s v="R"/>
    <s v="RS"/>
    <x v="4"/>
    <s v="ATL"/>
    <s v="A"/>
    <n v="3"/>
    <n v="1"/>
    <n v="2"/>
    <n v="-2"/>
    <n v="16"/>
    <n v="-16"/>
    <n v="1522.2652992001333"/>
    <n v="1459.8538899849925"/>
    <n v="0.5149787389783379"/>
    <n v="85"/>
    <n v="75"/>
    <n v="0"/>
    <n v="10"/>
    <n v="1"/>
    <n v="0.40221090802278131"/>
    <n v="1"/>
    <n v="74.05"/>
    <n v="74.05"/>
    <n v="14.445736335725202"/>
    <n v="1536.7110355358586"/>
    <n v="1"/>
    <n v="0"/>
    <n v="0"/>
    <n v="0"/>
    <n v="0"/>
    <n v="0"/>
    <n v="0"/>
    <n v="0"/>
    <n v="0"/>
    <n v="0"/>
  </r>
  <r>
    <d v="2015-07-07T00:00:00"/>
    <n v="2015"/>
    <x v="11"/>
    <s v="R"/>
    <s v="RS"/>
    <x v="6"/>
    <s v="TUL"/>
    <s v="H"/>
    <n v="1"/>
    <n v="3"/>
    <n v="-2"/>
    <n v="2"/>
    <n v="-16"/>
    <n v="16"/>
    <n v="1459.8538899849925"/>
    <n v="1522.2652992001333"/>
    <n v="0.48502126102166215"/>
    <n v="75"/>
    <n v="85"/>
    <n v="0"/>
    <n v="-10"/>
    <n v="0"/>
    <n v="0.40221090802278131"/>
    <n v="1"/>
    <n v="74.2"/>
    <n v="74.2"/>
    <n v="-14.474998461996087"/>
    <n v="1445.3788915229964"/>
    <n v="0"/>
    <n v="1"/>
    <n v="0"/>
    <n v="0"/>
    <n v="0"/>
    <n v="0"/>
    <n v="0"/>
    <n v="0"/>
    <n v="0"/>
    <n v="0"/>
  </r>
  <r>
    <d v="2015-07-08T00:00:00"/>
    <n v="2015"/>
    <x v="12"/>
    <s v="R"/>
    <s v="RS"/>
    <x v="11"/>
    <s v="IND"/>
    <s v="A"/>
    <n v="2"/>
    <n v="5"/>
    <n v="-3"/>
    <n v="3"/>
    <n v="-16"/>
    <n v="16"/>
    <n v="1408.8611620348925"/>
    <n v="1491.3383738860632"/>
    <n v="0.241856762825472"/>
    <n v="65"/>
    <n v="88"/>
    <n v="0"/>
    <n v="-23"/>
    <n v="0"/>
    <n v="0.57576486837413898"/>
    <n v="1"/>
    <n v="74.05"/>
    <n v="74.05"/>
    <n v="-10.311657045167319"/>
    <n v="1398.5495049897252"/>
    <n v="0"/>
    <n v="1"/>
    <n v="0"/>
    <n v="0"/>
    <n v="0"/>
    <n v="0"/>
    <n v="0"/>
    <n v="0"/>
    <n v="0"/>
    <n v="0"/>
  </r>
  <r>
    <d v="2015-07-08T00:00:00"/>
    <n v="2015"/>
    <x v="11"/>
    <s v="R"/>
    <s v="RS"/>
    <x v="0"/>
    <s v="SEA"/>
    <s v="H"/>
    <n v="5"/>
    <n v="2"/>
    <n v="3"/>
    <n v="-3"/>
    <n v="16"/>
    <n v="-16"/>
    <n v="1491.3383738860632"/>
    <n v="1408.8611620348925"/>
    <n v="0.75814323717452803"/>
    <n v="88"/>
    <n v="65"/>
    <n v="0"/>
    <n v="23"/>
    <n v="1"/>
    <n v="0.57576486837413898"/>
    <n v="1"/>
    <n v="74.2"/>
    <n v="74.2"/>
    <n v="10.33254493924936"/>
    <n v="1501.6709188253126"/>
    <n v="1"/>
    <n v="0"/>
    <n v="0"/>
    <n v="0"/>
    <n v="0"/>
    <n v="0"/>
    <n v="0"/>
    <n v="0"/>
    <n v="0"/>
    <n v="0"/>
  </r>
  <r>
    <d v="2015-07-08T00:00:00"/>
    <n v="2015"/>
    <x v="10"/>
    <s v="R"/>
    <s v="RS"/>
    <x v="10"/>
    <s v="SAS"/>
    <s v="A"/>
    <n v="2"/>
    <n v="5"/>
    <n v="-3"/>
    <n v="3"/>
    <n v="-16"/>
    <n v="16"/>
    <n v="1431.0775117055364"/>
    <n v="1414.9091232700966"/>
    <n v="0.36015834458889739"/>
    <n v="63"/>
    <n v="70"/>
    <n v="0"/>
    <n v="-7"/>
    <n v="0"/>
    <n v="0.3651867711805441"/>
    <n v="1"/>
    <n v="74.349999999999994"/>
    <n v="74.349999999999994"/>
    <n v="-9.7788884321279941"/>
    <n v="1421.2986232734083"/>
    <n v="0"/>
    <n v="1"/>
    <n v="0"/>
    <n v="0"/>
    <n v="0"/>
    <n v="0"/>
    <n v="0"/>
    <n v="0"/>
    <n v="0"/>
    <n v="0"/>
  </r>
  <r>
    <d v="2015-07-08T00:00:00"/>
    <n v="2015"/>
    <x v="10"/>
    <s v="R"/>
    <s v="RS"/>
    <x v="8"/>
    <s v="LAS"/>
    <s v="H"/>
    <n v="5"/>
    <n v="2"/>
    <n v="3"/>
    <n v="-3"/>
    <n v="16"/>
    <n v="-16"/>
    <n v="1414.9091232700966"/>
    <n v="1431.0775117055364"/>
    <n v="0.63984165541110261"/>
    <n v="70"/>
    <n v="63"/>
    <n v="0"/>
    <n v="7"/>
    <n v="1"/>
    <n v="0.3651867711805441"/>
    <n v="1"/>
    <n v="74.349999999999994"/>
    <n v="74.349999999999994"/>
    <n v="9.7788884321279941"/>
    <n v="1424.6880117022247"/>
    <n v="1"/>
    <n v="0"/>
    <n v="0"/>
    <n v="0"/>
    <n v="0"/>
    <n v="0"/>
    <n v="0"/>
    <n v="0"/>
    <n v="0"/>
    <n v="0"/>
  </r>
  <r>
    <d v="2015-07-09T00:00:00"/>
    <n v="2015"/>
    <x v="10"/>
    <s v="R"/>
    <s v="RS"/>
    <x v="7"/>
    <s v="WAS"/>
    <s v="A"/>
    <n v="8"/>
    <n v="6"/>
    <n v="2"/>
    <n v="-2"/>
    <n v="16"/>
    <n v="-16"/>
    <n v="1491.0369099011818"/>
    <n v="1507.7318442683234"/>
    <n v="0.40240846122054602"/>
    <n v="79"/>
    <n v="76"/>
    <n v="1"/>
    <n v="3"/>
    <n v="1"/>
    <n v="0.25758157935425069"/>
    <n v="1"/>
    <n v="74.349999999999994"/>
    <n v="74.349999999999994"/>
    <n v="11.444589355527246"/>
    <n v="1502.4814992567092"/>
    <n v="1"/>
    <n v="0"/>
    <n v="0"/>
    <n v="0"/>
    <n v="0"/>
    <n v="0"/>
    <n v="0"/>
    <n v="0"/>
    <n v="0"/>
    <n v="0"/>
  </r>
  <r>
    <d v="2015-07-09T00:00:00"/>
    <n v="2015"/>
    <x v="10"/>
    <s v="R"/>
    <s v="RS"/>
    <x v="2"/>
    <s v="NYL"/>
    <s v="H"/>
    <n v="6"/>
    <n v="8"/>
    <n v="-2"/>
    <n v="2"/>
    <n v="-16"/>
    <n v="16"/>
    <n v="1507.7318442683234"/>
    <n v="1491.0369099011818"/>
    <n v="0.59759153877945392"/>
    <n v="76"/>
    <n v="79"/>
    <n v="1"/>
    <n v="-3"/>
    <n v="0"/>
    <n v="0.25758157935425069"/>
    <n v="1"/>
    <n v="74.349999999999994"/>
    <n v="74.349999999999994"/>
    <n v="-11.444589355527246"/>
    <n v="1496.287254912796"/>
    <n v="0"/>
    <n v="1"/>
    <n v="0"/>
    <n v="0"/>
    <n v="0"/>
    <n v="0"/>
    <n v="0"/>
    <n v="0"/>
    <n v="0"/>
    <n v="0"/>
  </r>
  <r>
    <d v="2015-07-10T00:00:00"/>
    <n v="2015"/>
    <x v="10"/>
    <s v="R"/>
    <s v="RS"/>
    <x v="5"/>
    <s v="CHI"/>
    <s v="A"/>
    <n v="6"/>
    <n v="7"/>
    <n v="-1"/>
    <n v="1"/>
    <n v="-8"/>
    <n v="8"/>
    <n v="1624.3080729819173"/>
    <n v="1516.9990671350674"/>
    <n v="0.51051695354178861"/>
    <n v="83"/>
    <n v="90"/>
    <n v="0"/>
    <n v="-7"/>
    <n v="0"/>
    <n v="0.33972733684098344"/>
    <n v="1"/>
    <n v="74.349999999999994"/>
    <n v="74.349999999999994"/>
    <n v="-12.895008610643993"/>
    <n v="1611.4130643712733"/>
    <n v="0"/>
    <n v="1"/>
    <n v="0"/>
    <n v="0"/>
    <n v="0"/>
    <n v="0"/>
    <n v="0"/>
    <n v="0"/>
    <n v="0"/>
    <n v="0"/>
  </r>
  <r>
    <d v="2015-07-10T00:00:00"/>
    <n v="2015"/>
    <x v="11"/>
    <s v="R"/>
    <s v="RS"/>
    <x v="1"/>
    <s v="MIN"/>
    <s v="H"/>
    <n v="7"/>
    <n v="6"/>
    <n v="1"/>
    <n v="-1"/>
    <n v="8"/>
    <n v="-8"/>
    <n v="1516.9990671350674"/>
    <n v="1624.3080729819173"/>
    <n v="0.48948304645821139"/>
    <n v="90"/>
    <n v="83"/>
    <n v="0"/>
    <n v="7"/>
    <n v="1"/>
    <n v="0.33972733684098344"/>
    <n v="1"/>
    <n v="74.2"/>
    <n v="74.2"/>
    <n v="12.868993125888155"/>
    <n v="1529.8680602609556"/>
    <n v="1"/>
    <n v="0"/>
    <n v="0"/>
    <n v="0"/>
    <n v="0"/>
    <n v="0"/>
    <n v="0"/>
    <n v="0"/>
    <n v="0"/>
    <n v="0"/>
  </r>
  <r>
    <d v="2015-07-10T00:00:00"/>
    <n v="2015"/>
    <x v="11"/>
    <s v="R"/>
    <s v="RS"/>
    <x v="8"/>
    <s v="IND"/>
    <s v="A"/>
    <n v="1"/>
    <n v="1"/>
    <n v="0"/>
    <n v="0"/>
    <n v="0"/>
    <n v="0"/>
    <n v="1424.6880117022247"/>
    <n v="1501.6709188253126"/>
    <n v="0.28359629622837595"/>
    <n v="76"/>
    <n v="83"/>
    <n v="0"/>
    <n v="-7"/>
    <n v="0"/>
    <n v="0.34779526374801711"/>
    <n v="1"/>
    <n v="74.2"/>
    <n v="74.2"/>
    <n v="-7.3186018894373941"/>
    <n v="1417.3694098127874"/>
    <n v="0"/>
    <n v="1"/>
    <n v="0"/>
    <n v="0"/>
    <n v="0"/>
    <n v="0"/>
    <n v="0"/>
    <n v="0"/>
    <n v="0"/>
    <n v="0"/>
  </r>
  <r>
    <d v="2015-07-10T00:00:00"/>
    <n v="2015"/>
    <x v="12"/>
    <s v="R"/>
    <s v="RS"/>
    <x v="0"/>
    <s v="SAS"/>
    <s v="H"/>
    <n v="1"/>
    <n v="1"/>
    <n v="0"/>
    <n v="0"/>
    <n v="0"/>
    <n v="0"/>
    <n v="1501.6709188253126"/>
    <n v="1424.6880117022247"/>
    <n v="0.7164037037716241"/>
    <n v="83"/>
    <n v="76"/>
    <n v="0"/>
    <n v="7"/>
    <n v="1"/>
    <n v="0.34779526374801711"/>
    <n v="1"/>
    <n v="74.05"/>
    <n v="74.05"/>
    <n v="7.3038068721406857"/>
    <n v="1508.9747256974533"/>
    <n v="1"/>
    <n v="0"/>
    <n v="0"/>
    <n v="0"/>
    <n v="0"/>
    <n v="0"/>
    <n v="0"/>
    <n v="0"/>
    <n v="0"/>
    <n v="0"/>
  </r>
  <r>
    <d v="2015-07-10T00:00:00"/>
    <n v="2015"/>
    <x v="11"/>
    <s v="R"/>
    <s v="RS"/>
    <x v="9"/>
    <s v="SEA"/>
    <s v="A"/>
    <n v="4"/>
    <n v="1"/>
    <n v="3"/>
    <n v="-3"/>
    <n v="16"/>
    <n v="-16"/>
    <n v="1611.4408869622287"/>
    <n v="1398.5495049897252"/>
    <n v="0.71629664949153482"/>
    <n v="94"/>
    <n v="79"/>
    <n v="0"/>
    <n v="15"/>
    <n v="1"/>
    <n v="0.42707998743123438"/>
    <n v="1"/>
    <n v="74.2"/>
    <n v="74.2"/>
    <n v="8.9903705340060966"/>
    <n v="1620.4312574962348"/>
    <n v="1"/>
    <n v="0"/>
    <n v="0"/>
    <n v="0"/>
    <n v="0"/>
    <n v="0"/>
    <n v="0"/>
    <n v="0"/>
    <n v="0"/>
    <n v="0"/>
  </r>
  <r>
    <d v="2015-07-10T00:00:00"/>
    <n v="2015"/>
    <x v="13"/>
    <s v="R"/>
    <s v="RS"/>
    <x v="11"/>
    <s v="PHX"/>
    <s v="H"/>
    <n v="1"/>
    <n v="4"/>
    <n v="-3"/>
    <n v="3"/>
    <n v="-16"/>
    <n v="16"/>
    <n v="1398.5495049897252"/>
    <n v="1611.4408869622287"/>
    <n v="0.28370335050846518"/>
    <n v="79"/>
    <n v="94"/>
    <n v="0"/>
    <n v="-15"/>
    <n v="0"/>
    <n v="0.42707998743123438"/>
    <n v="1"/>
    <n v="73.900000000000006"/>
    <n v="73.900000000000006"/>
    <n v="-8.9540213269952904"/>
    <n v="1389.59548366273"/>
    <n v="0"/>
    <n v="1"/>
    <n v="0"/>
    <n v="0"/>
    <n v="0"/>
    <n v="0"/>
    <n v="0"/>
    <n v="0"/>
    <n v="0"/>
    <n v="0"/>
  </r>
  <r>
    <d v="2015-07-11T00:00:00"/>
    <n v="2015"/>
    <x v="11"/>
    <s v="R"/>
    <s v="RS"/>
    <x v="10"/>
    <s v="TUL"/>
    <s v="A"/>
    <n v="2"/>
    <n v="3"/>
    <n v="-1"/>
    <n v="1"/>
    <n v="-8"/>
    <n v="8"/>
    <n v="1421.2986232734083"/>
    <n v="1536.7110355358586"/>
    <n v="0.22443363181298501"/>
    <n v="67"/>
    <n v="82"/>
    <n v="0"/>
    <n v="-15"/>
    <n v="0"/>
    <n v="0.45872885798353158"/>
    <n v="1"/>
    <n v="74.2"/>
    <n v="74.2"/>
    <n v="-7.6392004242082923"/>
    <n v="1413.6594228492002"/>
    <n v="0"/>
    <n v="1"/>
    <n v="0"/>
    <n v="0"/>
    <n v="0"/>
    <n v="0"/>
    <n v="0"/>
    <n v="0"/>
    <n v="0"/>
    <n v="0"/>
  </r>
  <r>
    <d v="2015-07-11T00:00:00"/>
    <n v="2015"/>
    <x v="13"/>
    <s v="R"/>
    <s v="RS"/>
    <x v="4"/>
    <s v="LAS"/>
    <s v="H"/>
    <n v="3"/>
    <n v="2"/>
    <n v="1"/>
    <n v="-1"/>
    <n v="8"/>
    <n v="-8"/>
    <n v="1536.7110355358586"/>
    <n v="1421.2986232734083"/>
    <n v="0.77556636818701497"/>
    <n v="82"/>
    <n v="67"/>
    <n v="0"/>
    <n v="15"/>
    <n v="1"/>
    <n v="0.45872885798353158"/>
    <n v="1"/>
    <n v="73.900000000000006"/>
    <n v="73.900000000000006"/>
    <n v="7.6083141691238936"/>
    <n v="1544.3193497049824"/>
    <n v="1"/>
    <n v="0"/>
    <n v="0"/>
    <n v="0"/>
    <n v="0"/>
    <n v="0"/>
    <n v="0"/>
    <n v="0"/>
    <n v="0"/>
    <n v="0"/>
  </r>
  <r>
    <d v="2015-07-12T00:00:00"/>
    <n v="2015"/>
    <x v="11"/>
    <s v="R"/>
    <s v="RS"/>
    <x v="7"/>
    <s v="ATL"/>
    <s v="A"/>
    <n v="2"/>
    <n v="4"/>
    <n v="-2"/>
    <n v="2"/>
    <n v="-16"/>
    <n v="16"/>
    <n v="1502.4814992567092"/>
    <n v="1445.3788915229964"/>
    <n v="0.4160425350047795"/>
    <n v="76"/>
    <n v="84"/>
    <n v="0"/>
    <n v="-8"/>
    <n v="0"/>
    <n v="0.37067669666493369"/>
    <n v="1"/>
    <n v="74.2"/>
    <n v="74.2"/>
    <n v="-11.442921623037611"/>
    <n v="1491.0385776336716"/>
    <n v="0"/>
    <n v="1"/>
    <n v="0"/>
    <n v="0"/>
    <n v="0"/>
    <n v="0"/>
    <n v="0"/>
    <n v="0"/>
    <n v="0"/>
    <n v="0"/>
  </r>
  <r>
    <d v="2015-07-12T00:00:00"/>
    <n v="2015"/>
    <x v="12"/>
    <s v="R"/>
    <s v="RS"/>
    <x v="6"/>
    <s v="NYL"/>
    <s v="H"/>
    <n v="4"/>
    <n v="2"/>
    <n v="2"/>
    <n v="-2"/>
    <n v="16"/>
    <n v="-16"/>
    <n v="1445.3788915229964"/>
    <n v="1502.4814992567092"/>
    <n v="0.5839574649952205"/>
    <n v="84"/>
    <n v="76"/>
    <n v="0"/>
    <n v="8"/>
    <n v="1"/>
    <n v="0.37067669666493369"/>
    <n v="1"/>
    <n v="74.05"/>
    <n v="74.05"/>
    <n v="11.41978903215546"/>
    <n v="1456.7986805551518"/>
    <n v="1"/>
    <n v="0"/>
    <n v="0"/>
    <n v="0"/>
    <n v="0"/>
    <n v="0"/>
    <n v="0"/>
    <n v="0"/>
    <n v="0"/>
    <n v="0"/>
  </r>
  <r>
    <d v="2015-07-12T00:00:00"/>
    <n v="2015"/>
    <x v="10"/>
    <s v="R"/>
    <s v="RS"/>
    <x v="3"/>
    <s v="CHI"/>
    <s v="A"/>
    <n v="9"/>
    <n v="1"/>
    <n v="8"/>
    <n v="-8"/>
    <n v="16"/>
    <n v="-16"/>
    <n v="1520.9298745907877"/>
    <n v="1529.8680602609556"/>
    <n v="0.41319125046321603"/>
    <n v="76"/>
    <n v="96"/>
    <n v="0"/>
    <n v="-20"/>
    <n v="0"/>
    <n v="0.57063697623893372"/>
    <n v="1"/>
    <n v="74.349999999999994"/>
    <n v="74.349999999999994"/>
    <n v="-17.530406999201247"/>
    <n v="1503.3994675915865"/>
    <n v="0"/>
    <n v="1"/>
    <n v="0"/>
    <n v="0"/>
    <n v="0"/>
    <n v="0"/>
    <n v="0"/>
    <n v="0"/>
    <n v="0"/>
    <n v="0"/>
  </r>
  <r>
    <d v="2015-07-12T00:00:00"/>
    <n v="2015"/>
    <x v="12"/>
    <s v="R"/>
    <s v="RS"/>
    <x v="1"/>
    <s v="CON"/>
    <s v="H"/>
    <n v="1"/>
    <n v="9"/>
    <n v="-8"/>
    <n v="8"/>
    <n v="-16"/>
    <n v="16"/>
    <n v="1529.8680602609556"/>
    <n v="1520.9298745907877"/>
    <n v="0.58680874953678408"/>
    <n v="96"/>
    <n v="76"/>
    <n v="0"/>
    <n v="20"/>
    <n v="1"/>
    <n v="0.57063697623893372"/>
    <n v="1"/>
    <n v="74.05"/>
    <n v="74.05"/>
    <n v="17.459672337469431"/>
    <n v="1547.327732598425"/>
    <n v="1"/>
    <n v="0"/>
    <n v="0"/>
    <n v="0"/>
    <n v="0"/>
    <n v="0"/>
    <n v="0"/>
    <n v="0"/>
    <n v="0"/>
    <n v="0"/>
  </r>
  <r>
    <d v="2015-07-12T00:00:00"/>
    <n v="2015"/>
    <x v="12"/>
    <s v="R"/>
    <s v="RS"/>
    <x v="8"/>
    <s v="MIN"/>
    <s v="A"/>
    <n v="1"/>
    <n v="1"/>
    <n v="0"/>
    <n v="0"/>
    <n v="0"/>
    <n v="0"/>
    <n v="1417.3694098127874"/>
    <n v="1611.4130643712733"/>
    <n v="0.16790504725852001"/>
    <n v="49"/>
    <n v="66"/>
    <n v="0"/>
    <n v="-17"/>
    <n v="0"/>
    <n v="0.45832889150143252"/>
    <n v="1"/>
    <n v="74.05"/>
    <n v="74.05"/>
    <n v="-5.6985721165838656"/>
    <n v="1411.6708376962035"/>
    <n v="0"/>
    <n v="1"/>
    <n v="0"/>
    <n v="0"/>
    <n v="0"/>
    <n v="0"/>
    <n v="0"/>
    <n v="0"/>
    <n v="0"/>
    <n v="0"/>
  </r>
  <r>
    <d v="2015-07-12T00:00:00"/>
    <n v="2015"/>
    <x v="11"/>
    <s v="R"/>
    <s v="RS"/>
    <x v="5"/>
    <s v="SAS"/>
    <s v="H"/>
    <n v="1"/>
    <n v="1"/>
    <n v="0"/>
    <n v="0"/>
    <n v="0"/>
    <n v="0"/>
    <n v="1611.4130643712733"/>
    <n v="1417.3694098127874"/>
    <n v="0.83209495274148004"/>
    <n v="66"/>
    <n v="49"/>
    <n v="0"/>
    <n v="17"/>
    <n v="1"/>
    <n v="0.45832889150143252"/>
    <n v="1"/>
    <n v="74.2"/>
    <n v="74.2"/>
    <n v="5.7101154767119873"/>
    <n v="1617.1231798479853"/>
    <n v="1"/>
    <n v="0"/>
    <n v="0"/>
    <n v="0"/>
    <n v="0"/>
    <n v="0"/>
    <n v="0"/>
    <n v="0"/>
    <n v="0"/>
    <n v="0"/>
  </r>
  <r>
    <d v="2015-07-12T00:00:00"/>
    <n v="2015"/>
    <x v="14"/>
    <s v="R"/>
    <s v="RS"/>
    <x v="11"/>
    <s v="PHX"/>
    <s v="A"/>
    <n v="1"/>
    <n v="1"/>
    <n v="0"/>
    <n v="0"/>
    <n v="0"/>
    <n v="0"/>
    <n v="1389.59548366273"/>
    <n v="1620.4312574962348"/>
    <n v="0.14035550518603584"/>
    <n v="60"/>
    <n v="70"/>
    <n v="0"/>
    <n v="-10"/>
    <n v="0"/>
    <n v="0.35486646929322879"/>
    <n v="1"/>
    <n v="73.75"/>
    <n v="73.75"/>
    <n v="-3.6733003646286555"/>
    <n v="1385.9221832981013"/>
    <n v="0"/>
    <n v="1"/>
    <n v="0"/>
    <n v="0"/>
    <n v="0"/>
    <n v="0"/>
    <n v="0"/>
    <n v="0"/>
    <n v="0"/>
    <n v="0"/>
  </r>
  <r>
    <d v="2015-07-12T00:00:00"/>
    <n v="2015"/>
    <x v="12"/>
    <s v="R"/>
    <s v="RS"/>
    <x v="9"/>
    <s v="SEA"/>
    <s v="H"/>
    <n v="1"/>
    <n v="1"/>
    <n v="0"/>
    <n v="0"/>
    <n v="0"/>
    <n v="0"/>
    <n v="1620.4312574962348"/>
    <n v="1389.59548366273"/>
    <n v="0.8596444948139641"/>
    <n v="70"/>
    <n v="60"/>
    <n v="0"/>
    <n v="10"/>
    <n v="1"/>
    <n v="0.35486646929322879"/>
    <n v="1"/>
    <n v="74.05"/>
    <n v="74.05"/>
    <n v="3.6882426034000275"/>
    <n v="1624.1195000996349"/>
    <n v="1"/>
    <n v="0"/>
    <n v="0"/>
    <n v="0"/>
    <n v="0"/>
    <n v="0"/>
    <n v="0"/>
    <n v="0"/>
    <n v="0"/>
    <n v="0"/>
  </r>
  <r>
    <d v="2015-07-14T00:00:00"/>
    <n v="2015"/>
    <x v="12"/>
    <s v="R"/>
    <s v="RS"/>
    <x v="5"/>
    <s v="CON"/>
    <s v="A"/>
    <n v="1"/>
    <n v="1"/>
    <n v="0"/>
    <n v="0"/>
    <n v="0"/>
    <n v="0"/>
    <n v="1617.1231798479853"/>
    <n v="1503.3994675915865"/>
    <n v="0.54267180487198075"/>
    <n v="85"/>
    <n v="79"/>
    <n v="0"/>
    <n v="6"/>
    <n v="1"/>
    <n v="0.32087181602680764"/>
    <n v="1"/>
    <n v="74.05"/>
    <n v="74.05"/>
    <n v="10.866373094757792"/>
    <n v="1627.9895529427431"/>
    <n v="1"/>
    <n v="0"/>
    <n v="0"/>
    <n v="0"/>
    <n v="0"/>
    <n v="0"/>
    <n v="0"/>
    <n v="0"/>
    <n v="0"/>
    <n v="0"/>
  </r>
  <r>
    <d v="2015-07-14T00:00:00"/>
    <n v="2015"/>
    <x v="11"/>
    <s v="R"/>
    <s v="RS"/>
    <x v="3"/>
    <s v="MIN"/>
    <s v="H"/>
    <n v="1"/>
    <n v="1"/>
    <n v="0"/>
    <n v="0"/>
    <n v="0"/>
    <n v="0"/>
    <n v="1503.3994675915865"/>
    <n v="1617.1231798479853"/>
    <n v="0.45732819512801914"/>
    <n v="79"/>
    <n v="85"/>
    <n v="0"/>
    <n v="-6"/>
    <n v="0"/>
    <n v="0.32087181602680764"/>
    <n v="1"/>
    <n v="74.2"/>
    <n v="74.2"/>
    <n v="-10.888384654031439"/>
    <n v="1492.5110829375551"/>
    <n v="0"/>
    <n v="1"/>
    <n v="0"/>
    <n v="0"/>
    <n v="0"/>
    <n v="0"/>
    <n v="0"/>
    <n v="0"/>
    <n v="0"/>
    <n v="0"/>
  </r>
  <r>
    <d v="2015-07-14T00:00:00"/>
    <n v="2015"/>
    <x v="13"/>
    <s v="R"/>
    <s v="RS"/>
    <x v="6"/>
    <s v="PHX"/>
    <s v="A"/>
    <n v="1"/>
    <n v="1"/>
    <n v="0"/>
    <n v="0"/>
    <n v="0"/>
    <n v="0"/>
    <n v="1456.7986805551518"/>
    <n v="1624.1195000996349"/>
    <n v="0.19050703930350205"/>
    <n v="71"/>
    <n v="80"/>
    <n v="0"/>
    <n v="-9"/>
    <n v="0"/>
    <n v="0.35629226558474297"/>
    <n v="1"/>
    <n v="73.900000000000006"/>
    <n v="73.900000000000006"/>
    <n v="-5.0160500451388668"/>
    <n v="1451.782630510013"/>
    <n v="0"/>
    <n v="1"/>
    <n v="0"/>
    <n v="0"/>
    <n v="0"/>
    <n v="0"/>
    <n v="0"/>
    <n v="0"/>
    <n v="0"/>
    <n v="0"/>
  </r>
  <r>
    <d v="2015-07-14T00:00:00"/>
    <n v="2015"/>
    <x v="13"/>
    <s v="R"/>
    <s v="RS"/>
    <x v="9"/>
    <s v="ATL"/>
    <s v="H"/>
    <n v="1"/>
    <n v="1"/>
    <n v="0"/>
    <n v="0"/>
    <n v="0"/>
    <n v="0"/>
    <n v="1624.1195000996349"/>
    <n v="1456.7986805551518"/>
    <n v="0.80949296069649801"/>
    <n v="80"/>
    <n v="71"/>
    <n v="0"/>
    <n v="9"/>
    <n v="1"/>
    <n v="0.35629226558474297"/>
    <n v="1"/>
    <n v="73.900000000000006"/>
    <n v="73.900000000000006"/>
    <n v="5.016050045138865"/>
    <n v="1629.1355501447738"/>
    <n v="1"/>
    <n v="0"/>
    <n v="0"/>
    <n v="0"/>
    <n v="0"/>
    <n v="0"/>
    <n v="0"/>
    <n v="0"/>
    <n v="0"/>
    <n v="0"/>
  </r>
  <r>
    <d v="2015-07-15T00:00:00"/>
    <n v="2015"/>
    <x v="11"/>
    <s v="R"/>
    <s v="RS"/>
    <x v="2"/>
    <s v="CHI"/>
    <s v="A"/>
    <n v="5"/>
    <n v="2"/>
    <n v="3"/>
    <n v="-3"/>
    <n v="16"/>
    <n v="-16"/>
    <n v="1496.287254912796"/>
    <n v="1547.327732598425"/>
    <n v="0.35591272983040606"/>
    <n v="57"/>
    <n v="85"/>
    <n v="0"/>
    <n v="-28"/>
    <n v="0"/>
    <n v="0.65138387336021841"/>
    <n v="1"/>
    <n v="74.2"/>
    <n v="74.2"/>
    <n v="-17.202217290107306"/>
    <n v="1479.0850376226888"/>
    <n v="0"/>
    <n v="1"/>
    <n v="0"/>
    <n v="0"/>
    <n v="0"/>
    <n v="0"/>
    <n v="0"/>
    <n v="0"/>
    <n v="0"/>
    <n v="0"/>
  </r>
  <r>
    <d v="2015-07-15T00:00:00"/>
    <n v="2015"/>
    <x v="13"/>
    <s v="R"/>
    <s v="RS"/>
    <x v="1"/>
    <s v="WAS"/>
    <s v="H"/>
    <n v="2"/>
    <n v="5"/>
    <n v="-3"/>
    <n v="3"/>
    <n v="-16"/>
    <n v="16"/>
    <n v="1547.327732598425"/>
    <n v="1496.287254912796"/>
    <n v="0.644087270169594"/>
    <n v="85"/>
    <n v="57"/>
    <n v="0"/>
    <n v="28"/>
    <n v="1"/>
    <n v="0.65138387336021841"/>
    <n v="1"/>
    <n v="73.900000000000006"/>
    <n v="73.900000000000006"/>
    <n v="17.132666546346758"/>
    <n v="1564.4603991447718"/>
    <n v="1"/>
    <n v="0"/>
    <n v="0"/>
    <n v="0"/>
    <n v="0"/>
    <n v="0"/>
    <n v="0"/>
    <n v="0"/>
    <n v="0"/>
    <n v="0"/>
  </r>
  <r>
    <d v="2015-07-15T00:00:00"/>
    <n v="2015"/>
    <x v="14"/>
    <s v="R"/>
    <s v="RS"/>
    <x v="4"/>
    <s v="IND"/>
    <s v="A"/>
    <n v="3"/>
    <n v="4"/>
    <n v="-1"/>
    <n v="1"/>
    <n v="-8"/>
    <n v="8"/>
    <n v="1544.3193497049824"/>
    <n v="1508.9747256974533"/>
    <n v="0.40801284932505288"/>
    <n v="80"/>
    <n v="83"/>
    <n v="0"/>
    <n v="-3"/>
    <n v="0"/>
    <n v="0.28188103833633338"/>
    <n v="1"/>
    <n v="73.75"/>
    <n v="73.75"/>
    <n v="-8.482067564645499"/>
    <n v="1535.8372821403368"/>
    <n v="0"/>
    <n v="1"/>
    <n v="0"/>
    <n v="0"/>
    <n v="0"/>
    <n v="0"/>
    <n v="0"/>
    <n v="0"/>
    <n v="0"/>
    <n v="0"/>
  </r>
  <r>
    <d v="2015-07-15T00:00:00"/>
    <n v="2015"/>
    <x v="13"/>
    <s v="R"/>
    <s v="RS"/>
    <x v="0"/>
    <s v="TUL"/>
    <s v="H"/>
    <n v="4"/>
    <n v="3"/>
    <n v="1"/>
    <n v="-1"/>
    <n v="8"/>
    <n v="-8"/>
    <n v="1508.9747256974533"/>
    <n v="1544.3193497049824"/>
    <n v="0.59198715067494712"/>
    <n v="83"/>
    <n v="80"/>
    <n v="0"/>
    <n v="3"/>
    <n v="1"/>
    <n v="0.28188103833633338"/>
    <n v="1"/>
    <n v="73.900000000000006"/>
    <n v="73.900000000000006"/>
    <n v="8.4993192274888472"/>
    <n v="1517.4740449249421"/>
    <n v="1"/>
    <n v="0"/>
    <n v="0"/>
    <n v="0"/>
    <n v="0"/>
    <n v="0"/>
    <n v="0"/>
    <n v="0"/>
    <n v="0"/>
    <n v="0"/>
  </r>
  <r>
    <d v="2015-07-15T00:00:00"/>
    <n v="2015"/>
    <x v="13"/>
    <s v="R"/>
    <s v="RS"/>
    <x v="8"/>
    <s v="NYL"/>
    <s v="A"/>
    <n v="2"/>
    <n v="2"/>
    <n v="0"/>
    <n v="0"/>
    <n v="0"/>
    <n v="0"/>
    <n v="1411.6708376962035"/>
    <n v="1491.0385776336716"/>
    <n v="0.28081545041973061"/>
    <n v="68"/>
    <n v="84"/>
    <n v="0"/>
    <n v="-16"/>
    <n v="0"/>
    <n v="0.48566430068530869"/>
    <n v="1"/>
    <n v="73.900000000000006"/>
    <n v="73.900000000000006"/>
    <n v="-10.078632707944934"/>
    <n v="1401.5922049882586"/>
    <n v="0"/>
    <n v="1"/>
    <n v="0"/>
    <n v="0"/>
    <n v="0"/>
    <n v="0"/>
    <n v="0"/>
    <n v="0"/>
    <n v="0"/>
    <n v="0"/>
  </r>
  <r>
    <d v="2015-07-15T00:00:00"/>
    <n v="2015"/>
    <x v="12"/>
    <s v="R"/>
    <s v="RS"/>
    <x v="7"/>
    <s v="SAS"/>
    <s v="H"/>
    <n v="2"/>
    <n v="2"/>
    <n v="0"/>
    <n v="0"/>
    <n v="0"/>
    <n v="0"/>
    <n v="1491.0385776336716"/>
    <n v="1411.6708376962035"/>
    <n v="0.71918454958026934"/>
    <n v="84"/>
    <n v="68"/>
    <n v="0"/>
    <n v="16"/>
    <n v="1"/>
    <n v="0.48566430068530869"/>
    <n v="1"/>
    <n v="74.05"/>
    <n v="74.05"/>
    <n v="10.099090013847393"/>
    <n v="1501.137667647519"/>
    <n v="1"/>
    <n v="0"/>
    <n v="0"/>
    <n v="0"/>
    <n v="0"/>
    <n v="0"/>
    <n v="0"/>
    <n v="0"/>
    <n v="0"/>
    <n v="0"/>
  </r>
  <r>
    <d v="2015-07-15T00:00:00"/>
    <n v="2015"/>
    <x v="12"/>
    <s v="R"/>
    <s v="RS"/>
    <x v="10"/>
    <s v="SEA"/>
    <s v="A"/>
    <n v="3"/>
    <n v="2"/>
    <n v="1"/>
    <n v="-1"/>
    <n v="8"/>
    <n v="-8"/>
    <n v="1413.6594228492002"/>
    <n v="1385.9221832981013"/>
    <n v="0.44231522419799674"/>
    <n v="61"/>
    <n v="68"/>
    <n v="0"/>
    <n v="-7"/>
    <n v="0"/>
    <n v="0.36174565100507344"/>
    <n v="1"/>
    <n v="74.05"/>
    <n v="74.05"/>
    <n v="-11.84841532623134"/>
    <n v="1401.8110075229688"/>
    <n v="0"/>
    <n v="1"/>
    <n v="0"/>
    <n v="0"/>
    <n v="0"/>
    <n v="0"/>
    <n v="0"/>
    <n v="0"/>
    <n v="0"/>
    <n v="0"/>
  </r>
  <r>
    <d v="2015-07-15T00:00:00"/>
    <n v="2015"/>
    <x v="15"/>
    <s v="R"/>
    <s v="RS"/>
    <x v="11"/>
    <s v="LAS"/>
    <s v="H"/>
    <n v="2"/>
    <n v="3"/>
    <n v="-1"/>
    <n v="1"/>
    <n v="-8"/>
    <n v="8"/>
    <n v="1385.9221832981013"/>
    <n v="1413.6594228492002"/>
    <n v="0.55768477580200326"/>
    <n v="68"/>
    <n v="61"/>
    <n v="0"/>
    <n v="7"/>
    <n v="1"/>
    <n v="0.36174565100507344"/>
    <n v="1"/>
    <n v="73.599999999999994"/>
    <n v="73.599999999999994"/>
    <n v="11.776412802304206"/>
    <n v="1397.6985961004054"/>
    <n v="1"/>
    <n v="0"/>
    <n v="0"/>
    <n v="0"/>
    <n v="0"/>
    <n v="0"/>
    <n v="0"/>
    <n v="0"/>
    <n v="0"/>
    <n v="0"/>
  </r>
  <r>
    <d v="2015-07-16T00:00:00"/>
    <n v="2015"/>
    <x v="14"/>
    <s v="R"/>
    <s v="RS"/>
    <x v="6"/>
    <s v="LAS"/>
    <s v="A"/>
    <n v="1"/>
    <n v="0"/>
    <n v="1"/>
    <n v="-1"/>
    <n v="8"/>
    <n v="-8"/>
    <n v="1451.782630510013"/>
    <n v="1401.8110075229688"/>
    <n v="0.47407834089305712"/>
    <n v="76"/>
    <n v="72"/>
    <n v="0"/>
    <n v="4"/>
    <n v="1"/>
    <n v="0.29898221288542703"/>
    <n v="1"/>
    <n v="73.75"/>
    <n v="73.75"/>
    <n v="11.596540081507461"/>
    <n v="1463.3791705915205"/>
    <n v="1"/>
    <n v="0"/>
    <n v="0"/>
    <n v="0"/>
    <n v="0"/>
    <n v="0"/>
    <n v="0"/>
    <n v="0"/>
    <n v="0"/>
    <n v="0"/>
  </r>
  <r>
    <d v="2015-07-16T00:00:00"/>
    <n v="2015"/>
    <x v="13"/>
    <s v="R"/>
    <s v="RS"/>
    <x v="10"/>
    <s v="ATL"/>
    <s v="H"/>
    <n v="0"/>
    <n v="1"/>
    <n v="-1"/>
    <n v="1"/>
    <n v="-8"/>
    <n v="8"/>
    <n v="1401.8110075229688"/>
    <n v="1451.782630510013"/>
    <n v="0.52592165910694288"/>
    <n v="72"/>
    <n v="76"/>
    <n v="0"/>
    <n v="-4"/>
    <n v="0"/>
    <n v="0.29898221288542703"/>
    <n v="1"/>
    <n v="73.900000000000006"/>
    <n v="73.900000000000006"/>
    <n v="-11.620126264724089"/>
    <n v="1390.1908812582446"/>
    <n v="0"/>
    <n v="1"/>
    <n v="0"/>
    <n v="0"/>
    <n v="0"/>
    <n v="0"/>
    <n v="0"/>
    <n v="0"/>
    <n v="0"/>
    <n v="0"/>
  </r>
  <r>
    <d v="2015-07-16T00:00:00"/>
    <n v="2015"/>
    <x v="12"/>
    <s v="R"/>
    <s v="RS"/>
    <x v="3"/>
    <s v="NYL"/>
    <s v="A"/>
    <n v="1"/>
    <n v="0"/>
    <n v="1"/>
    <n v="-1"/>
    <n v="8"/>
    <n v="-8"/>
    <n v="1492.5110829375551"/>
    <n v="1501.137667647519"/>
    <n v="0.39147935008785012"/>
    <n v="57"/>
    <n v="64"/>
    <n v="0"/>
    <n v="-7"/>
    <n v="0"/>
    <n v="0.36746552872752031"/>
    <n v="1"/>
    <n v="74.05"/>
    <n v="74.05"/>
    <n v="-10.652475069397699"/>
    <n v="1481.8586078681574"/>
    <n v="0"/>
    <n v="1"/>
    <n v="0"/>
    <n v="0"/>
    <n v="0"/>
    <n v="0"/>
    <n v="0"/>
    <n v="0"/>
    <n v="0"/>
    <n v="0"/>
  </r>
  <r>
    <d v="2015-07-16T00:00:00"/>
    <n v="2015"/>
    <x v="13"/>
    <s v="R"/>
    <s v="RS"/>
    <x v="7"/>
    <s v="CON"/>
    <s v="H"/>
    <n v="0"/>
    <n v="1"/>
    <n v="-1"/>
    <n v="1"/>
    <n v="-8"/>
    <n v="8"/>
    <n v="1501.137667647519"/>
    <n v="1492.5110829375551"/>
    <n v="0.60852064991214982"/>
    <n v="64"/>
    <n v="57"/>
    <n v="0"/>
    <n v="7"/>
    <n v="1"/>
    <n v="0.36746552872752031"/>
    <n v="1"/>
    <n v="73.900000000000006"/>
    <n v="73.900000000000006"/>
    <n v="10.630896794442812"/>
    <n v="1511.7685644419619"/>
    <n v="1"/>
    <n v="0"/>
    <n v="0"/>
    <n v="0"/>
    <n v="0"/>
    <n v="0"/>
    <n v="0"/>
    <n v="0"/>
    <n v="0"/>
    <n v="0"/>
  </r>
  <r>
    <d v="2015-07-17T00:00:00"/>
    <n v="2015"/>
    <x v="14"/>
    <s v="R"/>
    <s v="RS"/>
    <x v="1"/>
    <s v="MIN"/>
    <s v="A"/>
    <n v="1"/>
    <n v="2"/>
    <n v="-1"/>
    <n v="1"/>
    <n v="-8"/>
    <n v="8"/>
    <n v="1564.4603991447718"/>
    <n v="1627.9895529427431"/>
    <n v="0.28062783462435287"/>
    <n v="66"/>
    <n v="84"/>
    <n v="0"/>
    <n v="-18"/>
    <n v="0"/>
    <n v="0.51933959464183999"/>
    <n v="1"/>
    <n v="73.75"/>
    <n v="73.75"/>
    <n v="-10.748409508578369"/>
    <n v="1553.7119896361935"/>
    <n v="0"/>
    <n v="1"/>
    <n v="0"/>
    <n v="0"/>
    <n v="0"/>
    <n v="0"/>
    <n v="0"/>
    <n v="0"/>
    <n v="0"/>
    <n v="0"/>
  </r>
  <r>
    <d v="2015-07-17T00:00:00"/>
    <n v="2015"/>
    <x v="13"/>
    <s v="R"/>
    <s v="RS"/>
    <x v="5"/>
    <s v="CHI"/>
    <s v="H"/>
    <n v="2"/>
    <n v="1"/>
    <n v="1"/>
    <n v="-1"/>
    <n v="8"/>
    <n v="-8"/>
    <n v="1627.9895529427431"/>
    <n v="1564.4603991447718"/>
    <n v="0.71937216537564719"/>
    <n v="84"/>
    <n v="66"/>
    <n v="0"/>
    <n v="18"/>
    <n v="1"/>
    <n v="0.51933959464183999"/>
    <n v="1"/>
    <n v="73.900000000000006"/>
    <n v="73.900000000000006"/>
    <n v="10.770270680460222"/>
    <n v="1638.7598236232034"/>
    <n v="1"/>
    <n v="0"/>
    <n v="0"/>
    <n v="0"/>
    <n v="0"/>
    <n v="0"/>
    <n v="0"/>
    <n v="0"/>
    <n v="0"/>
    <n v="0"/>
  </r>
  <r>
    <d v="2015-07-17T00:00:00"/>
    <n v="2015"/>
    <x v="15"/>
    <s v="R"/>
    <s v="RS"/>
    <x v="4"/>
    <s v="SAS"/>
    <s v="A"/>
    <n v="1"/>
    <n v="1"/>
    <n v="0"/>
    <n v="0"/>
    <n v="0"/>
    <n v="0"/>
    <n v="1535.8372821403368"/>
    <n v="1401.5922049882586"/>
    <n v="0.57180857208755553"/>
    <n v="58"/>
    <n v="65"/>
    <n v="0"/>
    <n v="-7"/>
    <n v="0"/>
    <n v="0.33286883691005881"/>
    <n v="1"/>
    <n v="73.599999999999994"/>
    <n v="73.599999999999994"/>
    <n v="-14.008821918392577"/>
    <n v="1521.8284602219442"/>
    <n v="0"/>
    <n v="1"/>
    <n v="0"/>
    <n v="0"/>
    <n v="0"/>
    <n v="0"/>
    <n v="0"/>
    <n v="0"/>
    <n v="0"/>
    <n v="0"/>
  </r>
  <r>
    <d v="2015-07-17T00:00:00"/>
    <n v="2015"/>
    <x v="14"/>
    <s v="R"/>
    <s v="RS"/>
    <x v="8"/>
    <s v="TUL"/>
    <s v="H"/>
    <n v="1"/>
    <n v="1"/>
    <n v="0"/>
    <n v="0"/>
    <n v="0"/>
    <n v="0"/>
    <n v="1401.5922049882586"/>
    <n v="1535.8372821403368"/>
    <n v="0.42819142791244447"/>
    <n v="65"/>
    <n v="58"/>
    <n v="0"/>
    <n v="7"/>
    <n v="1"/>
    <n v="0.33286883691005881"/>
    <n v="1"/>
    <n v="73.75"/>
    <n v="73.75"/>
    <n v="14.037372506541477"/>
    <n v="1415.6295774948001"/>
    <n v="1"/>
    <n v="0"/>
    <n v="0"/>
    <n v="0"/>
    <n v="0"/>
    <n v="0"/>
    <n v="0"/>
    <n v="0"/>
    <n v="0"/>
    <n v="0"/>
  </r>
  <r>
    <d v="2015-07-17T00:00:00"/>
    <n v="2015"/>
    <x v="14"/>
    <s v="R"/>
    <s v="RS"/>
    <x v="0"/>
    <s v="WAS"/>
    <s v="A"/>
    <n v="1"/>
    <n v="1"/>
    <n v="0"/>
    <n v="0"/>
    <n v="0"/>
    <n v="0"/>
    <n v="1517.4740449249421"/>
    <n v="1479.0850376226888"/>
    <n v="0.43473500443041652"/>
    <n v="50"/>
    <n v="68"/>
    <n v="0"/>
    <n v="-18"/>
    <n v="0"/>
    <n v="0.52988254472726171"/>
    <n v="1"/>
    <n v="73.75"/>
    <n v="73.75"/>
    <n v="-16.988938669183476"/>
    <n v="1500.4851062557586"/>
    <n v="0"/>
    <n v="1"/>
    <n v="0"/>
    <n v="0"/>
    <n v="0"/>
    <n v="0"/>
    <n v="0"/>
    <n v="0"/>
    <n v="0"/>
    <n v="0"/>
  </r>
  <r>
    <d v="2015-07-17T00:00:00"/>
    <n v="2015"/>
    <x v="12"/>
    <s v="R"/>
    <s v="RS"/>
    <x v="2"/>
    <s v="IND"/>
    <s v="H"/>
    <n v="1"/>
    <n v="1"/>
    <n v="0"/>
    <n v="0"/>
    <n v="0"/>
    <n v="0"/>
    <n v="1479.0850376226888"/>
    <n v="1517.4740449249421"/>
    <n v="0.56526499556958354"/>
    <n v="68"/>
    <n v="50"/>
    <n v="0"/>
    <n v="18"/>
    <n v="1"/>
    <n v="0.52988254472726171"/>
    <n v="1"/>
    <n v="74.05"/>
    <n v="74.05"/>
    <n v="17.058046216312359"/>
    <n v="1496.1430838390011"/>
    <n v="1"/>
    <n v="0"/>
    <n v="0"/>
    <n v="0"/>
    <n v="0"/>
    <n v="0"/>
    <n v="0"/>
    <n v="0"/>
    <n v="0"/>
    <n v="0"/>
  </r>
  <r>
    <d v="2015-07-18T00:00:00"/>
    <n v="2015"/>
    <x v="14"/>
    <s v="R"/>
    <s v="RS"/>
    <x v="7"/>
    <s v="PHX"/>
    <s v="A"/>
    <n v="1"/>
    <n v="3"/>
    <n v="-2"/>
    <n v="2"/>
    <n v="-16"/>
    <n v="16"/>
    <n v="1511.7685644419619"/>
    <n v="1629.1355501447738"/>
    <n v="0.20695667933450676"/>
    <n v="75"/>
    <n v="73"/>
    <n v="0"/>
    <n v="2"/>
    <n v="1"/>
    <n v="0.243978776195103"/>
    <n v="1"/>
    <n v="73.75"/>
    <n v="73.75"/>
    <n v="14.269573239867992"/>
    <n v="1526.0381376818298"/>
    <n v="1"/>
    <n v="0"/>
    <n v="0"/>
    <n v="0"/>
    <n v="0"/>
    <n v="0"/>
    <n v="0"/>
    <n v="0"/>
    <n v="0"/>
    <n v="0"/>
  </r>
  <r>
    <d v="2015-07-18T00:00:00"/>
    <n v="2015"/>
    <x v="14"/>
    <s v="R"/>
    <s v="RS"/>
    <x v="9"/>
    <s v="NYL"/>
    <s v="H"/>
    <n v="3"/>
    <n v="1"/>
    <n v="2"/>
    <n v="-2"/>
    <n v="16"/>
    <n v="-16"/>
    <n v="1629.1355501447738"/>
    <n v="1511.7685644419619"/>
    <n v="0.79304332066549321"/>
    <n v="73"/>
    <n v="75"/>
    <n v="0"/>
    <n v="-2"/>
    <n v="0"/>
    <n v="0.243978776195103"/>
    <n v="1"/>
    <n v="73.75"/>
    <n v="73.75"/>
    <n v="-14.269573239867992"/>
    <n v="1614.8659769049059"/>
    <n v="0"/>
    <n v="1"/>
    <n v="0"/>
    <n v="0"/>
    <n v="0"/>
    <n v="0"/>
    <n v="0"/>
    <n v="0"/>
    <n v="0"/>
    <n v="0"/>
  </r>
  <r>
    <d v="2015-07-18T00:00:00"/>
    <n v="2015"/>
    <x v="15"/>
    <s v="R"/>
    <s v="RS"/>
    <x v="6"/>
    <s v="SEA"/>
    <s v="A"/>
    <n v="1"/>
    <n v="2"/>
    <n v="-1"/>
    <n v="1"/>
    <n v="-8"/>
    <n v="8"/>
    <n v="1463.3791705915205"/>
    <n v="1397.6985961004054"/>
    <n v="0.45077038913468154"/>
    <n v="73"/>
    <n v="86"/>
    <n v="0"/>
    <n v="-13"/>
    <n v="0"/>
    <n v="0.44754776062253421"/>
    <n v="1"/>
    <n v="73.599999999999994"/>
    <n v="73.599999999999994"/>
    <n v="-14.848158076416082"/>
    <n v="1448.5310125151045"/>
    <n v="0"/>
    <n v="1"/>
    <n v="0"/>
    <n v="0"/>
    <n v="0"/>
    <n v="0"/>
    <n v="0"/>
    <n v="0"/>
    <n v="0"/>
    <n v="0"/>
  </r>
  <r>
    <d v="2015-07-18T00:00:00"/>
    <n v="2015"/>
    <x v="16"/>
    <s v="R"/>
    <s v="RS"/>
    <x v="11"/>
    <s v="ATL"/>
    <s v="H"/>
    <n v="2"/>
    <n v="1"/>
    <n v="1"/>
    <n v="-1"/>
    <n v="8"/>
    <n v="-8"/>
    <n v="1397.6985961004054"/>
    <n v="1463.3791705915205"/>
    <n v="0.54922961086531841"/>
    <n v="86"/>
    <n v="73"/>
    <n v="0"/>
    <n v="13"/>
    <n v="1"/>
    <n v="0.44754776062253421"/>
    <n v="1"/>
    <n v="73.45"/>
    <n v="73.45"/>
    <n v="14.817896884684261"/>
    <n v="1412.5164929850896"/>
    <n v="1"/>
    <n v="0"/>
    <n v="0"/>
    <n v="0"/>
    <n v="0"/>
    <n v="0"/>
    <n v="0"/>
    <n v="0"/>
    <n v="0"/>
    <n v="0"/>
  </r>
  <r>
    <d v="2015-07-19T00:00:00"/>
    <n v="2015"/>
    <x v="15"/>
    <s v="R"/>
    <s v="RS"/>
    <x v="8"/>
    <s v="CHI"/>
    <s v="A"/>
    <n v="1"/>
    <n v="1"/>
    <n v="0"/>
    <n v="0"/>
    <n v="0"/>
    <n v="0"/>
    <n v="1415.6295774948001"/>
    <n v="1553.7119896361935"/>
    <n v="0.21782114669145786"/>
    <n v="82"/>
    <n v="93"/>
    <n v="0"/>
    <n v="-11"/>
    <n v="0"/>
    <n v="0.39444742679525291"/>
    <n v="1"/>
    <n v="73.599999999999994"/>
    <n v="73.599999999999994"/>
    <n v="-6.3236377239131132"/>
    <n v="1409.3059397708869"/>
    <n v="0"/>
    <n v="1"/>
    <n v="0"/>
    <n v="0"/>
    <n v="0"/>
    <n v="0"/>
    <n v="0"/>
    <n v="0"/>
    <n v="0"/>
    <n v="0"/>
  </r>
  <r>
    <d v="2015-07-19T00:00:00"/>
    <n v="2015"/>
    <x v="15"/>
    <s v="R"/>
    <s v="RS"/>
    <x v="1"/>
    <s v="SAS"/>
    <s v="H"/>
    <n v="1"/>
    <n v="1"/>
    <n v="0"/>
    <n v="0"/>
    <n v="0"/>
    <n v="0"/>
    <n v="1553.7119896361935"/>
    <n v="1415.6295774948001"/>
    <n v="0.7821788533085422"/>
    <n v="93"/>
    <n v="82"/>
    <n v="0"/>
    <n v="11"/>
    <n v="1"/>
    <n v="0.39444742679525291"/>
    <n v="1"/>
    <n v="73.599999999999994"/>
    <n v="73.599999999999994"/>
    <n v="6.3236377239131114"/>
    <n v="1560.0356273601067"/>
    <n v="1"/>
    <n v="0"/>
    <n v="0"/>
    <n v="0"/>
    <n v="0"/>
    <n v="0"/>
    <n v="0"/>
    <n v="0"/>
    <n v="0"/>
    <n v="0"/>
  </r>
  <r>
    <d v="2015-07-19T00:00:00"/>
    <n v="2015"/>
    <x v="14"/>
    <s v="R"/>
    <s v="RS"/>
    <x v="5"/>
    <s v="TUL"/>
    <s v="A"/>
    <n v="1"/>
    <n v="1"/>
    <n v="0"/>
    <n v="0"/>
    <n v="0"/>
    <n v="0"/>
    <n v="1638.7598236232034"/>
    <n v="1521.8284602219442"/>
    <n v="0.54725062598678997"/>
    <n v="79"/>
    <n v="72"/>
    <n v="0"/>
    <n v="7"/>
    <n v="1"/>
    <n v="0.33724506783521818"/>
    <n v="1"/>
    <n v="73.75"/>
    <n v="73.75"/>
    <n v="11.260702634668522"/>
    <n v="1650.020526257872"/>
    <n v="1"/>
    <n v="0"/>
    <n v="0"/>
    <n v="0"/>
    <n v="0"/>
    <n v="0"/>
    <n v="0"/>
    <n v="0"/>
    <n v="0"/>
    <n v="0"/>
  </r>
  <r>
    <d v="2015-07-19T00:00:00"/>
    <n v="2015"/>
    <x v="16"/>
    <s v="R"/>
    <s v="RS"/>
    <x v="4"/>
    <s v="MIN"/>
    <s v="H"/>
    <n v="1"/>
    <n v="1"/>
    <n v="0"/>
    <n v="0"/>
    <n v="0"/>
    <n v="0"/>
    <n v="1521.8284602219442"/>
    <n v="1638.7598236232034"/>
    <n v="0.45274937401320997"/>
    <n v="72"/>
    <n v="79"/>
    <n v="0"/>
    <n v="-7"/>
    <n v="0"/>
    <n v="0.33724506783521818"/>
    <n v="1"/>
    <n v="73.45"/>
    <n v="73.45"/>
    <n v="-11.21489638666309"/>
    <n v="1510.6135638352812"/>
    <n v="0"/>
    <n v="1"/>
    <n v="0"/>
    <n v="0"/>
    <n v="0"/>
    <n v="0"/>
    <n v="0"/>
    <n v="0"/>
    <n v="0"/>
    <n v="0"/>
  </r>
  <r>
    <d v="2015-07-19T00:00:00"/>
    <n v="2015"/>
    <x v="13"/>
    <s v="R"/>
    <s v="RS"/>
    <x v="3"/>
    <s v="WAS"/>
    <s v="A"/>
    <n v="2"/>
    <n v="1"/>
    <n v="1"/>
    <n v="-1"/>
    <n v="8"/>
    <n v="-8"/>
    <n v="1481.8586078681574"/>
    <n v="1496.1430838390011"/>
    <n v="0.38374855910811045"/>
    <n v="82"/>
    <n v="89"/>
    <n v="0"/>
    <n v="-7"/>
    <n v="0"/>
    <n v="0.36575334344902555"/>
    <n v="1"/>
    <n v="73.900000000000006"/>
    <n v="73.900000000000006"/>
    <n v="-10.372405839924015"/>
    <n v="1471.4862020282333"/>
    <n v="0"/>
    <n v="1"/>
    <n v="0"/>
    <n v="0"/>
    <n v="0"/>
    <n v="0"/>
    <n v="0"/>
    <n v="0"/>
    <n v="0"/>
    <n v="0"/>
  </r>
  <r>
    <d v="2015-07-19T00:00:00"/>
    <n v="2015"/>
    <x v="13"/>
    <s v="R"/>
    <s v="RS"/>
    <x v="2"/>
    <s v="CON"/>
    <s v="H"/>
    <n v="1"/>
    <n v="2"/>
    <n v="-1"/>
    <n v="1"/>
    <n v="-8"/>
    <n v="8"/>
    <n v="1496.1430838390011"/>
    <n v="1481.8586078681574"/>
    <n v="0.61625144089188955"/>
    <n v="89"/>
    <n v="82"/>
    <n v="0"/>
    <n v="7"/>
    <n v="1"/>
    <n v="0.36575334344902555"/>
    <n v="1"/>
    <n v="73.900000000000006"/>
    <n v="73.900000000000006"/>
    <n v="10.372405839924015"/>
    <n v="1506.5154896789252"/>
    <n v="1"/>
    <n v="0"/>
    <n v="0"/>
    <n v="0"/>
    <n v="0"/>
    <n v="0"/>
    <n v="0"/>
    <n v="0"/>
    <n v="0"/>
    <n v="0"/>
  </r>
  <r>
    <d v="2015-07-21T00:00:00"/>
    <n v="2015"/>
    <x v="16"/>
    <s v="R"/>
    <s v="RS"/>
    <x v="6"/>
    <s v="CHI"/>
    <s v="A"/>
    <n v="2"/>
    <n v="1"/>
    <n v="1"/>
    <n v="-1"/>
    <n v="8"/>
    <n v="-8"/>
    <n v="1448.5310125151045"/>
    <n v="1560.0356273601067"/>
    <n v="0.26244258036761547"/>
    <n v="92"/>
    <n v="97"/>
    <n v="0"/>
    <n v="-5"/>
    <n v="0"/>
    <n v="0.30354995784787753"/>
    <n v="1"/>
    <n v="73.45"/>
    <n v="73.45"/>
    <n v="-5.8513526925833208"/>
    <n v="1442.6796598225212"/>
    <n v="0"/>
    <n v="1"/>
    <n v="0"/>
    <n v="0"/>
    <n v="0"/>
    <n v="0"/>
    <n v="0"/>
    <n v="0"/>
    <n v="0"/>
    <n v="0"/>
  </r>
  <r>
    <d v="2015-07-21T00:00:00"/>
    <n v="2015"/>
    <x v="16"/>
    <s v="R"/>
    <s v="RS"/>
    <x v="1"/>
    <s v="ATL"/>
    <s v="H"/>
    <n v="1"/>
    <n v="2"/>
    <n v="-1"/>
    <n v="1"/>
    <n v="-8"/>
    <n v="8"/>
    <n v="1560.0356273601067"/>
    <n v="1448.5310125151045"/>
    <n v="0.73755741963238453"/>
    <n v="97"/>
    <n v="92"/>
    <n v="0"/>
    <n v="5"/>
    <n v="1"/>
    <n v="0.30354995784787753"/>
    <n v="1"/>
    <n v="73.45"/>
    <n v="73.45"/>
    <n v="5.8513526925833208"/>
    <n v="1565.88698005269"/>
    <n v="1"/>
    <n v="0"/>
    <n v="0"/>
    <n v="0"/>
    <n v="0"/>
    <n v="0"/>
    <n v="0"/>
    <n v="0"/>
    <n v="0"/>
    <n v="0"/>
  </r>
  <r>
    <d v="2015-07-21T00:00:00"/>
    <n v="2015"/>
    <x v="15"/>
    <s v="R"/>
    <s v="RS"/>
    <x v="9"/>
    <s v="LAS"/>
    <s v="A"/>
    <n v="2"/>
    <n v="4"/>
    <n v="-2"/>
    <n v="2"/>
    <n v="-16"/>
    <n v="16"/>
    <n v="1614.8659769049059"/>
    <n v="1390.1908812582446"/>
    <n v="0.65148750583845072"/>
    <n v="65"/>
    <n v="70"/>
    <n v="0"/>
    <n v="-5"/>
    <n v="0"/>
    <n v="0.27943716554741632"/>
    <n v="1"/>
    <n v="73.599999999999994"/>
    <n v="73.599999999999994"/>
    <n v="-13.398866900749464"/>
    <n v="1601.4671100041564"/>
    <n v="0"/>
    <n v="1"/>
    <n v="0"/>
    <n v="0"/>
    <n v="0"/>
    <n v="0"/>
    <n v="0"/>
    <n v="0"/>
    <n v="0"/>
    <n v="0"/>
  </r>
  <r>
    <d v="2015-07-21T00:00:00"/>
    <n v="2015"/>
    <x v="14"/>
    <s v="R"/>
    <s v="RS"/>
    <x v="10"/>
    <s v="PHX"/>
    <s v="H"/>
    <n v="4"/>
    <n v="2"/>
    <n v="2"/>
    <n v="-2"/>
    <n v="16"/>
    <n v="-16"/>
    <n v="1390.1908812582446"/>
    <n v="1614.8659769049059"/>
    <n v="0.34851249416154928"/>
    <n v="70"/>
    <n v="65"/>
    <n v="0"/>
    <n v="5"/>
    <n v="1"/>
    <n v="0.27943716554741632"/>
    <n v="1"/>
    <n v="73.75"/>
    <n v="73.75"/>
    <n v="13.426174374052623"/>
    <n v="1403.6170556322973"/>
    <n v="1"/>
    <n v="0"/>
    <n v="0"/>
    <n v="0"/>
    <n v="0"/>
    <n v="0"/>
    <n v="0"/>
    <n v="0"/>
    <n v="0"/>
    <n v="0"/>
  </r>
  <r>
    <d v="2015-07-21T00:00:00"/>
    <n v="2015"/>
    <x v="15"/>
    <s v="R"/>
    <s v="RS"/>
    <x v="0"/>
    <s v="SAS"/>
    <s v="A"/>
    <n v="3"/>
    <n v="1"/>
    <n v="2"/>
    <n v="-2"/>
    <n v="16"/>
    <n v="-16"/>
    <n v="1500.4851062557586"/>
    <n v="1409.3059397708869"/>
    <n v="0.55614556593800457"/>
    <n v="62"/>
    <n v="80"/>
    <n v="0"/>
    <n v="-18"/>
    <n v="0"/>
    <n v="0.50821817419656601"/>
    <n v="1"/>
    <n v="73.599999999999994"/>
    <n v="73.599999999999994"/>
    <n v="-20.802545710387701"/>
    <n v="1479.682560545371"/>
    <n v="0"/>
    <n v="1"/>
    <n v="0"/>
    <n v="0"/>
    <n v="0"/>
    <n v="0"/>
    <n v="0"/>
    <n v="0"/>
    <n v="0"/>
    <n v="0"/>
  </r>
  <r>
    <d v="2015-07-21T00:00:00"/>
    <n v="2015"/>
    <x v="16"/>
    <s v="R"/>
    <s v="RS"/>
    <x v="8"/>
    <s v="IND"/>
    <s v="H"/>
    <n v="1"/>
    <n v="3"/>
    <n v="-2"/>
    <n v="2"/>
    <n v="-16"/>
    <n v="16"/>
    <n v="1409.3059397708869"/>
    <n v="1500.4851062557586"/>
    <n v="0.44385443406199543"/>
    <n v="80"/>
    <n v="62"/>
    <n v="0"/>
    <n v="18"/>
    <n v="1"/>
    <n v="0.50821817419656601"/>
    <n v="1"/>
    <n v="73.45"/>
    <n v="73.45"/>
    <n v="20.760149217771424"/>
    <n v="1430.0660889886583"/>
    <n v="1"/>
    <n v="0"/>
    <n v="0"/>
    <n v="0"/>
    <n v="0"/>
    <n v="0"/>
    <n v="0"/>
    <n v="0"/>
    <n v="0"/>
    <n v="0"/>
  </r>
  <r>
    <d v="2015-07-21T00:00:00"/>
    <n v="2015"/>
    <x v="15"/>
    <s v="R"/>
    <s v="RS"/>
    <x v="7"/>
    <s v="SEA"/>
    <s v="A"/>
    <n v="2"/>
    <n v="2"/>
    <n v="0"/>
    <n v="0"/>
    <n v="0"/>
    <n v="0"/>
    <n v="1526.0381376818298"/>
    <n v="1412.5164929850896"/>
    <n v="0.54238311002161965"/>
    <n v="81"/>
    <n v="77"/>
    <n v="0"/>
    <n v="4"/>
    <n v="1"/>
    <n v="0.2845170335742262"/>
    <n v="1"/>
    <n v="73.599999999999994"/>
    <n v="73.599999999999994"/>
    <n v="9.5827052836882292"/>
    <n v="1535.620842965518"/>
    <n v="1"/>
    <n v="0"/>
    <n v="0"/>
    <n v="0"/>
    <n v="0"/>
    <n v="0"/>
    <n v="0"/>
    <n v="0"/>
    <n v="0"/>
    <n v="0"/>
  </r>
  <r>
    <d v="2015-07-21T00:00:00"/>
    <n v="2015"/>
    <x v="17"/>
    <s v="R"/>
    <s v="RS"/>
    <x v="11"/>
    <s v="NYL"/>
    <s v="H"/>
    <n v="2"/>
    <n v="2"/>
    <n v="0"/>
    <n v="0"/>
    <n v="0"/>
    <n v="0"/>
    <n v="1412.5164929850896"/>
    <n v="1526.0381376818298"/>
    <n v="0.45761688997838035"/>
    <n v="77"/>
    <n v="81"/>
    <n v="0"/>
    <n v="-4"/>
    <n v="0"/>
    <n v="0.2845170335742262"/>
    <n v="1"/>
    <n v="73.3"/>
    <n v="73.3"/>
    <n v="-9.5436453436731963"/>
    <n v="1402.9728476414164"/>
    <n v="0"/>
    <n v="1"/>
    <n v="0"/>
    <n v="0"/>
    <n v="0"/>
    <n v="0"/>
    <n v="0"/>
    <n v="0"/>
    <n v="0"/>
    <n v="0"/>
  </r>
  <r>
    <d v="2015-07-21T00:00:00"/>
    <n v="2015"/>
    <x v="14"/>
    <s v="R"/>
    <s v="RS"/>
    <x v="2"/>
    <s v="TUL"/>
    <s v="A"/>
    <n v="1"/>
    <n v="1"/>
    <n v="0"/>
    <n v="0"/>
    <n v="0"/>
    <n v="0"/>
    <n v="1506.5154896789252"/>
    <n v="1510.6135638352812"/>
    <n v="0.37586579152593941"/>
    <n v="76"/>
    <n v="69"/>
    <n v="0"/>
    <n v="7"/>
    <n v="1"/>
    <n v="0.36884753536024051"/>
    <n v="1"/>
    <n v="73.75"/>
    <n v="73.75"/>
    <n v="16.978014384063297"/>
    <n v="1523.4935040629884"/>
    <n v="1"/>
    <n v="0"/>
    <n v="0"/>
    <n v="0"/>
    <n v="0"/>
    <n v="0"/>
    <n v="0"/>
    <n v="0"/>
    <n v="0"/>
    <n v="0"/>
  </r>
  <r>
    <d v="2015-07-21T00:00:00"/>
    <n v="2015"/>
    <x v="17"/>
    <s v="R"/>
    <s v="RS"/>
    <x v="4"/>
    <s v="WAS"/>
    <s v="H"/>
    <n v="1"/>
    <n v="1"/>
    <n v="0"/>
    <n v="0"/>
    <n v="0"/>
    <n v="0"/>
    <n v="1510.6135638352812"/>
    <n v="1506.5154896789252"/>
    <n v="0.62413420847406065"/>
    <n v="69"/>
    <n v="76"/>
    <n v="0"/>
    <n v="-7"/>
    <n v="0"/>
    <n v="0.36884753536024051"/>
    <n v="1"/>
    <n v="73.3"/>
    <n v="73.3"/>
    <n v="-16.874419720024942"/>
    <n v="1493.7391441152563"/>
    <n v="0"/>
    <n v="1"/>
    <n v="0"/>
    <n v="0"/>
    <n v="0"/>
    <n v="0"/>
    <n v="0"/>
    <n v="0"/>
    <n v="0"/>
    <n v="0"/>
  </r>
  <r>
    <d v="2015-07-22T00:00:00"/>
    <n v="2015"/>
    <x v="16"/>
    <s v="R"/>
    <s v="RS"/>
    <x v="7"/>
    <s v="LAS"/>
    <s v="A"/>
    <n v="0"/>
    <n v="0"/>
    <n v="0"/>
    <n v="0"/>
    <n v="0"/>
    <n v="0"/>
    <n v="1535.620842965518"/>
    <n v="1403.6170556322973"/>
    <n v="0.56864673956479395"/>
    <n v="59"/>
    <n v="53"/>
    <n v="0"/>
    <n v="6"/>
    <n v="1"/>
    <n v="0.31646825430815101"/>
    <n v="1"/>
    <n v="73.45"/>
    <n v="73.45"/>
    <n v="10.026631098358326"/>
    <n v="1545.6474740638764"/>
    <n v="1"/>
    <n v="0"/>
    <n v="0"/>
    <n v="0"/>
    <n v="0"/>
    <n v="0"/>
    <n v="0"/>
    <n v="0"/>
    <n v="0"/>
    <n v="0"/>
  </r>
  <r>
    <d v="2015-07-22T00:00:00"/>
    <n v="2015"/>
    <x v="15"/>
    <s v="R"/>
    <s v="RS"/>
    <x v="10"/>
    <s v="NYL"/>
    <s v="H"/>
    <n v="0"/>
    <n v="0"/>
    <n v="0"/>
    <n v="0"/>
    <n v="0"/>
    <n v="0"/>
    <n v="1403.6170556322973"/>
    <n v="1535.620842965518"/>
    <n v="0.431353260435206"/>
    <n v="53"/>
    <n v="59"/>
    <n v="0"/>
    <n v="-6"/>
    <n v="0"/>
    <n v="0.31646825430815101"/>
    <n v="1"/>
    <n v="73.599999999999994"/>
    <n v="73.599999999999994"/>
    <n v="-10.047107540356333"/>
    <n v="1393.5699480919409"/>
    <n v="0"/>
    <n v="1"/>
    <n v="0"/>
    <n v="0"/>
    <n v="0"/>
    <n v="0"/>
    <n v="0"/>
    <n v="0"/>
    <n v="0"/>
    <n v="0"/>
  </r>
  <r>
    <d v="2015-07-22T00:00:00"/>
    <n v="2015"/>
    <x v="14"/>
    <s v="R"/>
    <s v="RS"/>
    <x v="3"/>
    <s v="MIN"/>
    <s v="A"/>
    <n v="2"/>
    <n v="2"/>
    <n v="0"/>
    <n v="0"/>
    <n v="0"/>
    <n v="0"/>
    <n v="1471.4862020282333"/>
    <n v="1650.020526257872"/>
    <n v="0.18075079564905921"/>
    <n v="78"/>
    <n v="77"/>
    <n v="1"/>
    <n v="1"/>
    <n v="1"/>
    <n v="0.19130031077745363"/>
    <n v="1"/>
    <n v="73.75"/>
    <n v="73.75"/>
    <n v="11.558293770493098"/>
    <n v="1483.0444957987263"/>
    <n v="1"/>
    <n v="0"/>
    <n v="0"/>
    <n v="0"/>
    <n v="0"/>
    <n v="0"/>
    <n v="0"/>
    <n v="0"/>
    <n v="0"/>
    <n v="0"/>
  </r>
  <r>
    <d v="2015-07-22T00:00:00"/>
    <n v="2015"/>
    <x v="15"/>
    <s v="R"/>
    <s v="RS"/>
    <x v="5"/>
    <s v="CON"/>
    <s v="H"/>
    <n v="2"/>
    <n v="2"/>
    <n v="0"/>
    <n v="0"/>
    <n v="0"/>
    <n v="0"/>
    <n v="1650.020526257872"/>
    <n v="1471.4862020282333"/>
    <n v="0.81924920435094073"/>
    <n v="77"/>
    <n v="78"/>
    <n v="1"/>
    <n v="-1"/>
    <n v="0"/>
    <n v="0.19130031077745363"/>
    <n v="1"/>
    <n v="73.599999999999994"/>
    <n v="73.599999999999994"/>
    <n v="-11.534785376383621"/>
    <n v="1638.4857408814885"/>
    <n v="0"/>
    <n v="1"/>
    <n v="0"/>
    <n v="0"/>
    <n v="0"/>
    <n v="0"/>
    <n v="0"/>
    <n v="0"/>
    <n v="0"/>
    <n v="0"/>
  </r>
  <r>
    <d v="2015-07-28T00:00:00"/>
    <n v="2015"/>
    <x v="16"/>
    <s v="R"/>
    <s v="RS"/>
    <x v="0"/>
    <s v="CON"/>
    <s v="A"/>
    <n v="6"/>
    <n v="5"/>
    <n v="1"/>
    <n v="-1"/>
    <n v="8"/>
    <n v="-8"/>
    <n v="1479.682560545371"/>
    <n v="1483.0444957987263"/>
    <n v="0.39872215271146166"/>
    <n v="75"/>
    <n v="73"/>
    <n v="1"/>
    <n v="2"/>
    <n v="1"/>
    <n v="0.24038372662464261"/>
    <n v="1"/>
    <n v="73.45"/>
    <n v="73.45"/>
    <n v="10.616272740119124"/>
    <n v="1490.29883328549"/>
    <n v="1"/>
    <n v="0"/>
    <n v="0"/>
    <n v="0"/>
    <n v="0"/>
    <n v="0"/>
    <n v="0"/>
    <n v="0"/>
    <n v="0"/>
    <n v="0"/>
  </r>
  <r>
    <d v="2015-07-28T00:00:00"/>
    <n v="2015"/>
    <x v="15"/>
    <s v="R"/>
    <s v="RS"/>
    <x v="3"/>
    <s v="IND"/>
    <s v="H"/>
    <n v="5"/>
    <n v="6"/>
    <n v="-1"/>
    <n v="1"/>
    <n v="-8"/>
    <n v="8"/>
    <n v="1483.0444957987263"/>
    <n v="1479.682560545371"/>
    <n v="0.60127784728853839"/>
    <n v="73"/>
    <n v="75"/>
    <n v="1"/>
    <n v="-2"/>
    <n v="0"/>
    <n v="0.24038372662464261"/>
    <n v="1"/>
    <n v="73.599999999999994"/>
    <n v="73.599999999999994"/>
    <n v="-10.637953351569333"/>
    <n v="1472.4065424471569"/>
    <n v="0"/>
    <n v="1"/>
    <n v="0"/>
    <n v="0"/>
    <n v="0"/>
    <n v="0"/>
    <n v="0"/>
    <n v="0"/>
    <n v="0"/>
    <n v="0"/>
  </r>
  <r>
    <d v="2015-07-28T00:00:00"/>
    <n v="2015"/>
    <x v="17"/>
    <s v="R"/>
    <s v="RS"/>
    <x v="1"/>
    <s v="PHX"/>
    <s v="A"/>
    <n v="6"/>
    <n v="6"/>
    <n v="0"/>
    <n v="0"/>
    <n v="0"/>
    <n v="0"/>
    <n v="1565.88698005269"/>
    <n v="1601.4671100041564"/>
    <n v="0.33439831881065352"/>
    <n v="87"/>
    <n v="89"/>
    <n v="1"/>
    <n v="-2"/>
    <n v="0"/>
    <n v="0.23411563480371436"/>
    <n v="1"/>
    <n v="73.3"/>
    <n v="73.3"/>
    <n v="-5.7385012144582186"/>
    <n v="1560.1484788382318"/>
    <n v="0"/>
    <n v="1"/>
    <n v="0"/>
    <n v="0"/>
    <n v="0"/>
    <n v="0"/>
    <n v="0"/>
    <n v="0"/>
    <n v="0"/>
    <n v="0"/>
  </r>
  <r>
    <d v="2015-07-28T00:00:00"/>
    <n v="2015"/>
    <x v="16"/>
    <s v="R"/>
    <s v="RS"/>
    <x v="9"/>
    <s v="CHI"/>
    <s v="H"/>
    <n v="6"/>
    <n v="6"/>
    <n v="0"/>
    <n v="0"/>
    <n v="0"/>
    <n v="0"/>
    <n v="1601.4671100041564"/>
    <n v="1565.88698005269"/>
    <n v="0.66560168118934648"/>
    <n v="89"/>
    <n v="87"/>
    <n v="1"/>
    <n v="2"/>
    <n v="1"/>
    <n v="0.23411563480371436"/>
    <n v="1"/>
    <n v="73.45"/>
    <n v="73.45"/>
    <n v="5.750244395661066"/>
    <n v="1607.2173543998174"/>
    <n v="1"/>
    <n v="0"/>
    <n v="0"/>
    <n v="0"/>
    <n v="0"/>
    <n v="0"/>
    <n v="0"/>
    <n v="0"/>
    <n v="0"/>
    <n v="0"/>
  </r>
  <r>
    <d v="2015-07-29T00:00:00"/>
    <n v="2015"/>
    <x v="17"/>
    <s v="R"/>
    <s v="RS"/>
    <x v="7"/>
    <s v="IND"/>
    <s v="A"/>
    <n v="6"/>
    <n v="0"/>
    <n v="6"/>
    <n v="-6"/>
    <n v="16"/>
    <n v="-16"/>
    <n v="1545.6474740638764"/>
    <n v="1490.29883328549"/>
    <n v="0.50481893224531238"/>
    <n v="72"/>
    <n v="84"/>
    <n v="0"/>
    <n v="-12"/>
    <n v="0"/>
    <n v="0.43601857994800386"/>
    <n v="1"/>
    <n v="73.3"/>
    <n v="73.3"/>
    <n v="-16.134094809888754"/>
    <n v="1529.5133792539878"/>
    <n v="0"/>
    <n v="1"/>
    <n v="0"/>
    <n v="0"/>
    <n v="0"/>
    <n v="0"/>
    <n v="0"/>
    <n v="0"/>
    <n v="0"/>
    <n v="0"/>
  </r>
  <r>
    <d v="2015-07-29T00:00:00"/>
    <n v="2015"/>
    <x v="17"/>
    <s v="R"/>
    <s v="RS"/>
    <x v="0"/>
    <s v="NYL"/>
    <s v="H"/>
    <n v="0"/>
    <n v="6"/>
    <n v="-6"/>
    <n v="6"/>
    <n v="-16"/>
    <n v="16"/>
    <n v="1490.29883328549"/>
    <n v="1545.6474740638764"/>
    <n v="0.49518106775468762"/>
    <n v="84"/>
    <n v="72"/>
    <n v="0"/>
    <n v="12"/>
    <n v="1"/>
    <n v="0.43601857994800386"/>
    <n v="1"/>
    <n v="73.3"/>
    <n v="73.3"/>
    <n v="16.134094809888754"/>
    <n v="1506.4329280953787"/>
    <n v="1"/>
    <n v="0"/>
    <n v="0"/>
    <n v="0"/>
    <n v="0"/>
    <n v="0"/>
    <n v="0"/>
    <n v="0"/>
    <n v="0"/>
    <n v="0"/>
  </r>
  <r>
    <d v="2015-07-29T00:00:00"/>
    <n v="2015"/>
    <x v="16"/>
    <s v="R"/>
    <s v="RS"/>
    <x v="10"/>
    <s v="MIN"/>
    <s v="A"/>
    <n v="6"/>
    <n v="6"/>
    <n v="0"/>
    <n v="0"/>
    <n v="0"/>
    <n v="0"/>
    <n v="1393.5699480919409"/>
    <n v="1638.4857408814885"/>
    <n v="0.1308582557878866"/>
    <n v="76"/>
    <n v="82"/>
    <n v="0"/>
    <n v="-6"/>
    <n v="0"/>
    <n v="0.29173804827433775"/>
    <n v="1"/>
    <n v="73.45"/>
    <n v="73.45"/>
    <n v="-2.8040515959872367"/>
    <n v="1390.7658964959537"/>
    <n v="0"/>
    <n v="1"/>
    <n v="0"/>
    <n v="0"/>
    <n v="0"/>
    <n v="0"/>
    <n v="0"/>
    <n v="0"/>
    <n v="0"/>
    <n v="0"/>
  </r>
  <r>
    <d v="2015-07-29T00:00:00"/>
    <n v="2015"/>
    <x v="16"/>
    <s v="R"/>
    <s v="RS"/>
    <x v="5"/>
    <s v="LAS"/>
    <s v="H"/>
    <n v="6"/>
    <n v="6"/>
    <n v="0"/>
    <n v="0"/>
    <n v="0"/>
    <n v="0"/>
    <n v="1638.4857408814885"/>
    <n v="1393.5699480919409"/>
    <n v="0.86914174421211343"/>
    <n v="82"/>
    <n v="76"/>
    <n v="0"/>
    <n v="6"/>
    <n v="1"/>
    <n v="0.29173804827433775"/>
    <n v="1"/>
    <n v="73.45"/>
    <n v="73.45"/>
    <n v="2.8040515959872363"/>
    <n v="1641.2897924774757"/>
    <n v="1"/>
    <n v="0"/>
    <n v="0"/>
    <n v="0"/>
    <n v="0"/>
    <n v="0"/>
    <n v="0"/>
    <n v="0"/>
    <n v="0"/>
    <n v="0"/>
  </r>
  <r>
    <d v="2015-07-29T00:00:00"/>
    <n v="2015"/>
    <x v="17"/>
    <s v="R"/>
    <s v="RS"/>
    <x v="6"/>
    <s v="SAS"/>
    <s v="A"/>
    <n v="7"/>
    <n v="7"/>
    <n v="0"/>
    <n v="0"/>
    <n v="0"/>
    <n v="0"/>
    <n v="1442.6796598225212"/>
    <n v="1430.0660889886583"/>
    <n v="0.39868834986825147"/>
    <n v="85"/>
    <n v="102"/>
    <n v="0"/>
    <n v="-17"/>
    <n v="0"/>
    <n v="0.52690362228012289"/>
    <n v="1"/>
    <n v="73.3"/>
    <n v="73.3"/>
    <n v="-15.398155607284005"/>
    <n v="1427.2815042152372"/>
    <n v="0"/>
    <n v="1"/>
    <n v="0"/>
    <n v="0"/>
    <n v="0"/>
    <n v="0"/>
    <n v="0"/>
    <n v="0"/>
    <n v="0"/>
    <n v="0"/>
  </r>
  <r>
    <d v="2015-07-29T00:00:00"/>
    <n v="2015"/>
    <x v="17"/>
    <s v="R"/>
    <s v="RS"/>
    <x v="8"/>
    <s v="ATL"/>
    <s v="H"/>
    <n v="7"/>
    <n v="7"/>
    <n v="0"/>
    <n v="0"/>
    <n v="0"/>
    <n v="0"/>
    <n v="1430.0660889886583"/>
    <n v="1442.6796598225212"/>
    <n v="0.60131165013174848"/>
    <n v="102"/>
    <n v="85"/>
    <n v="0"/>
    <n v="17"/>
    <n v="1"/>
    <n v="0.52690362228012289"/>
    <n v="1"/>
    <n v="73.3"/>
    <n v="73.3"/>
    <n v="15.398155607284007"/>
    <n v="1445.4642445959423"/>
    <n v="1"/>
    <n v="0"/>
    <n v="0"/>
    <n v="0"/>
    <n v="0"/>
    <n v="0"/>
    <n v="0"/>
    <n v="0"/>
    <n v="0"/>
    <n v="0"/>
  </r>
  <r>
    <d v="2015-07-29T00:00:00"/>
    <n v="2015"/>
    <x v="18"/>
    <s v="R"/>
    <s v="RS"/>
    <x v="11"/>
    <s v="WAS"/>
    <s v="A"/>
    <n v="7"/>
    <n v="7"/>
    <n v="0"/>
    <n v="0"/>
    <n v="0"/>
    <n v="0"/>
    <n v="1402.9728476414164"/>
    <n v="1523.4935040629884"/>
    <n v="0.2355352131312895"/>
    <n v="74"/>
    <n v="87"/>
    <n v="0"/>
    <n v="-13"/>
    <n v="0"/>
    <n v="0.42896148880544499"/>
    <n v="1"/>
    <n v="73.150000000000006"/>
    <n v="73.150000000000006"/>
    <n v="-7.390749435789755"/>
    <n v="1395.5820982056266"/>
    <n v="0"/>
    <n v="1"/>
    <n v="0"/>
    <n v="0"/>
    <n v="0"/>
    <n v="0"/>
    <n v="0"/>
    <n v="0"/>
    <n v="0"/>
    <n v="0"/>
  </r>
  <r>
    <d v="2015-07-29T00:00:00"/>
    <n v="2015"/>
    <x v="15"/>
    <s v="R"/>
    <s v="RS"/>
    <x v="2"/>
    <s v="SEA"/>
    <s v="H"/>
    <n v="7"/>
    <n v="7"/>
    <n v="0"/>
    <n v="0"/>
    <n v="0"/>
    <n v="0"/>
    <n v="1523.4935040629884"/>
    <n v="1402.9728476414164"/>
    <n v="0.76446478686871044"/>
    <n v="87"/>
    <n v="74"/>
    <n v="0"/>
    <n v="13"/>
    <n v="1"/>
    <n v="0.42896148880544499"/>
    <n v="1"/>
    <n v="73.599999999999994"/>
    <n v="73.599999999999994"/>
    <n v="7.4362154268506631"/>
    <n v="1530.929719489839"/>
    <n v="1"/>
    <n v="0"/>
    <n v="0"/>
    <n v="0"/>
    <n v="0"/>
    <n v="0"/>
    <n v="0"/>
    <n v="0"/>
    <n v="0"/>
    <n v="0"/>
  </r>
  <r>
    <d v="2015-07-30T00:00:00"/>
    <n v="2015"/>
    <x v="17"/>
    <s v="R"/>
    <s v="RS"/>
    <x v="9"/>
    <s v="TUL"/>
    <s v="A"/>
    <n v="1"/>
    <n v="8"/>
    <n v="-7"/>
    <n v="7"/>
    <n v="-16"/>
    <n v="16"/>
    <n v="1607.2173543998174"/>
    <n v="1493.7391441152563"/>
    <n v="0.49637091660088878"/>
    <n v="78"/>
    <n v="66"/>
    <n v="0"/>
    <n v="12"/>
    <n v="1"/>
    <n v="0.41672204944554503"/>
    <n v="1"/>
    <n v="73.3"/>
    <n v="73.3"/>
    <n v="15.383716100133842"/>
    <n v="1622.6010704999512"/>
    <n v="1"/>
    <n v="0"/>
    <n v="0"/>
    <n v="0"/>
    <n v="0"/>
    <n v="0"/>
    <n v="0"/>
    <n v="0"/>
    <n v="0"/>
    <n v="0"/>
  </r>
  <r>
    <d v="2015-07-30T00:00:00"/>
    <n v="2015"/>
    <x v="18"/>
    <s v="R"/>
    <s v="RS"/>
    <x v="4"/>
    <s v="PHX"/>
    <s v="H"/>
    <n v="8"/>
    <n v="1"/>
    <n v="7"/>
    <n v="-7"/>
    <n v="16"/>
    <n v="-16"/>
    <n v="1493.7391441152563"/>
    <n v="1607.2173543998174"/>
    <n v="0.50362908339911128"/>
    <n v="66"/>
    <n v="78"/>
    <n v="0"/>
    <n v="-12"/>
    <n v="0"/>
    <n v="0.41672204944554503"/>
    <n v="1"/>
    <n v="73.150000000000006"/>
    <n v="73.150000000000006"/>
    <n v="-15.352235098564675"/>
    <n v="1478.3869090166916"/>
    <n v="0"/>
    <n v="1"/>
    <n v="0"/>
    <n v="0"/>
    <n v="0"/>
    <n v="0"/>
    <n v="0"/>
    <n v="0"/>
    <n v="0"/>
    <n v="0"/>
  </r>
  <r>
    <d v="2015-07-31T00:00:00"/>
    <n v="2015"/>
    <x v="17"/>
    <s v="R"/>
    <s v="RS"/>
    <x v="10"/>
    <s v="CHI"/>
    <s v="A"/>
    <n v="1"/>
    <n v="2"/>
    <n v="-1"/>
    <n v="1"/>
    <n v="-8"/>
    <n v="8"/>
    <n v="1390.7658964959537"/>
    <n v="1560.1484788382318"/>
    <n v="0.17498651814864372"/>
    <n v="88"/>
    <n v="77"/>
    <n v="0"/>
    <n v="11"/>
    <n v="1"/>
    <n v="0.38543148650713077"/>
    <n v="1"/>
    <n v="73.3"/>
    <n v="73.3"/>
    <n v="23.308386458792135"/>
    <n v="1414.0742829547457"/>
    <n v="1"/>
    <n v="0"/>
    <n v="0"/>
    <n v="0"/>
    <n v="0"/>
    <n v="0"/>
    <n v="0"/>
    <n v="0"/>
    <n v="0"/>
    <n v="0"/>
  </r>
  <r>
    <d v="2015-07-31T00:00:00"/>
    <n v="2015"/>
    <x v="18"/>
    <s v="R"/>
    <s v="RS"/>
    <x v="1"/>
    <s v="LAS"/>
    <s v="H"/>
    <n v="2"/>
    <n v="1"/>
    <n v="1"/>
    <n v="-1"/>
    <n v="8"/>
    <n v="-8"/>
    <n v="1560.1484788382318"/>
    <n v="1390.7658964959537"/>
    <n v="0.82501348185135626"/>
    <n v="77"/>
    <n v="88"/>
    <n v="0"/>
    <n v="-11"/>
    <n v="0"/>
    <n v="0.38543148650713077"/>
    <n v="1"/>
    <n v="73.150000000000006"/>
    <n v="73.150000000000006"/>
    <n v="-23.260688532887375"/>
    <n v="1536.8877903053444"/>
    <n v="0"/>
    <n v="1"/>
    <n v="0"/>
    <n v="0"/>
    <n v="0"/>
    <n v="0"/>
    <n v="0"/>
    <n v="0"/>
    <n v="0"/>
    <n v="0"/>
  </r>
  <r>
    <d v="2015-07-31T00:00:00"/>
    <n v="2015"/>
    <x v="19"/>
    <s v="R"/>
    <s v="RS"/>
    <x v="11"/>
    <s v="CON"/>
    <s v="A"/>
    <n v="1"/>
    <n v="2"/>
    <n v="-1"/>
    <n v="1"/>
    <n v="-8"/>
    <n v="8"/>
    <n v="1395.5820982056266"/>
    <n v="1472.4065424471569"/>
    <n v="0.26543990847369742"/>
    <n v="66"/>
    <n v="67"/>
    <n v="0"/>
    <n v="-1"/>
    <n v="0"/>
    <n v="0.22948777843332382"/>
    <n v="1"/>
    <n v="73"/>
    <n v="73"/>
    <n v="-4.4468106879316753"/>
    <n v="1391.1352875176949"/>
    <n v="0"/>
    <n v="1"/>
    <n v="0"/>
    <n v="0"/>
    <n v="0"/>
    <n v="0"/>
    <n v="0"/>
    <n v="0"/>
    <n v="0"/>
    <n v="0"/>
  </r>
  <r>
    <d v="2015-07-31T00:00:00"/>
    <n v="2015"/>
    <x v="16"/>
    <s v="R"/>
    <s v="RS"/>
    <x v="3"/>
    <s v="SEA"/>
    <s v="H"/>
    <n v="2"/>
    <n v="1"/>
    <n v="1"/>
    <n v="-1"/>
    <n v="8"/>
    <n v="-8"/>
    <n v="1472.4065424471569"/>
    <n v="1395.5820982056266"/>
    <n v="0.73456009152630264"/>
    <n v="67"/>
    <n v="66"/>
    <n v="0"/>
    <n v="1"/>
    <n v="1"/>
    <n v="0.22948777843332382"/>
    <n v="1"/>
    <n v="73.45"/>
    <n v="73.45"/>
    <n v="4.4742225346381028"/>
    <n v="1476.880764981795"/>
    <n v="1"/>
    <n v="0"/>
    <n v="0"/>
    <n v="0"/>
    <n v="0"/>
    <n v="0"/>
    <n v="0"/>
    <n v="0"/>
    <n v="0"/>
    <n v="0"/>
  </r>
  <r>
    <d v="2015-07-31T00:00:00"/>
    <n v="2015"/>
    <x v="18"/>
    <s v="R"/>
    <s v="RS"/>
    <x v="6"/>
    <s v="MIN"/>
    <s v="A"/>
    <n v="1"/>
    <n v="1"/>
    <n v="0"/>
    <n v="0"/>
    <n v="0"/>
    <n v="0"/>
    <n v="1427.2815042152372"/>
    <n v="1641.2897924774757"/>
    <n v="0.15245511103255202"/>
    <n v="70"/>
    <n v="86"/>
    <n v="0"/>
    <n v="-16"/>
    <n v="0"/>
    <n v="0.43941979965314143"/>
    <n v="1"/>
    <n v="73.150000000000006"/>
    <n v="73.150000000000006"/>
    <n v="-4.9004497564114695"/>
    <n v="1422.3810544588257"/>
    <n v="0"/>
    <n v="1"/>
    <n v="0"/>
    <n v="0"/>
    <n v="0"/>
    <n v="0"/>
    <n v="0"/>
    <n v="0"/>
    <n v="0"/>
    <n v="0"/>
  </r>
  <r>
    <d v="2015-07-31T00:00:00"/>
    <n v="2015"/>
    <x v="17"/>
    <s v="R"/>
    <s v="RS"/>
    <x v="5"/>
    <s v="ATL"/>
    <s v="H"/>
    <n v="1"/>
    <n v="1"/>
    <n v="0"/>
    <n v="0"/>
    <n v="0"/>
    <n v="0"/>
    <n v="1641.2897924774757"/>
    <n v="1427.2815042152372"/>
    <n v="0.84754488896744795"/>
    <n v="86"/>
    <n v="70"/>
    <n v="0"/>
    <n v="16"/>
    <n v="1"/>
    <n v="0.43941979965314143"/>
    <n v="1"/>
    <n v="73.3"/>
    <n v="73.3"/>
    <n v="4.9104985255633729"/>
    <n v="1646.200291003039"/>
    <n v="1"/>
    <n v="0"/>
    <n v="0"/>
    <n v="0"/>
    <n v="0"/>
    <n v="0"/>
    <n v="0"/>
    <n v="0"/>
    <n v="0"/>
    <n v="0"/>
  </r>
  <r>
    <d v="2015-07-31T00:00:00"/>
    <n v="2015"/>
    <x v="16"/>
    <s v="R"/>
    <s v="RS"/>
    <x v="2"/>
    <s v="SAS"/>
    <s v="A"/>
    <n v="1"/>
    <n v="1"/>
    <n v="0"/>
    <n v="0"/>
    <n v="0"/>
    <n v="0"/>
    <n v="1530.929719489839"/>
    <n v="1445.4642445959423"/>
    <n v="0.50210897539589006"/>
    <n v="88"/>
    <n v="53"/>
    <n v="0"/>
    <n v="35"/>
    <n v="1"/>
    <n v="0.71150110346615492"/>
    <n v="1"/>
    <n v="73.45"/>
    <n v="73.45"/>
    <n v="26.019663485090739"/>
    <n v="1556.9493829749297"/>
    <n v="1"/>
    <n v="0"/>
    <n v="0"/>
    <n v="0"/>
    <n v="0"/>
    <n v="0"/>
    <n v="0"/>
    <n v="0"/>
    <n v="0"/>
    <n v="0"/>
  </r>
  <r>
    <d v="2015-07-31T00:00:00"/>
    <n v="2015"/>
    <x v="18"/>
    <s v="R"/>
    <s v="RS"/>
    <x v="8"/>
    <s v="WAS"/>
    <s v="H"/>
    <n v="1"/>
    <n v="1"/>
    <n v="0"/>
    <n v="0"/>
    <n v="0"/>
    <n v="0"/>
    <n v="1445.4642445959423"/>
    <n v="1530.929719489839"/>
    <n v="0.49789102460410994"/>
    <n v="53"/>
    <n v="88"/>
    <n v="0"/>
    <n v="-35"/>
    <n v="0"/>
    <n v="0.71150110346615492"/>
    <n v="1"/>
    <n v="73.150000000000006"/>
    <n v="73.150000000000006"/>
    <n v="-25.913388481067226"/>
    <n v="1419.5508561148752"/>
    <n v="0"/>
    <n v="1"/>
    <n v="0"/>
    <n v="0"/>
    <n v="0"/>
    <n v="0"/>
    <n v="0"/>
    <n v="0"/>
    <n v="0"/>
    <n v="0"/>
  </r>
  <r>
    <d v="2015-08-01T00:00:00"/>
    <n v="2015"/>
    <x v="18"/>
    <s v="R"/>
    <s v="RS"/>
    <x v="5"/>
    <s v="TUL"/>
    <s v="A"/>
    <n v="0"/>
    <n v="1"/>
    <n v="-1"/>
    <n v="1"/>
    <n v="-8"/>
    <n v="8"/>
    <n v="1646.200291003039"/>
    <n v="1478.3869090166916"/>
    <n v="0.59637061215458431"/>
    <n v="86"/>
    <n v="80"/>
    <n v="0"/>
    <n v="6"/>
    <n v="1"/>
    <n v="0.30818305980968791"/>
    <n v="1"/>
    <n v="73.150000000000006"/>
    <n v="73.150000000000006"/>
    <n v="9.0992557645640346"/>
    <n v="1655.299546767603"/>
    <n v="1"/>
    <n v="0"/>
    <n v="0"/>
    <n v="0"/>
    <n v="0"/>
    <n v="0"/>
    <n v="0"/>
    <n v="0"/>
    <n v="0"/>
    <n v="0"/>
  </r>
  <r>
    <d v="2015-08-01T00:00:00"/>
    <n v="2015"/>
    <x v="19"/>
    <s v="R"/>
    <s v="RS"/>
    <x v="4"/>
    <s v="MIN"/>
    <s v="H"/>
    <n v="1"/>
    <n v="0"/>
    <n v="1"/>
    <n v="-1"/>
    <n v="8"/>
    <n v="-8"/>
    <n v="1478.3869090166916"/>
    <n v="1646.200291003039"/>
    <n v="0.40362938784541574"/>
    <n v="80"/>
    <n v="86"/>
    <n v="0"/>
    <n v="-6"/>
    <n v="0"/>
    <n v="0.30818305980968791"/>
    <n v="1"/>
    <n v="73"/>
    <n v="73"/>
    <n v="-9.0805970035977364"/>
    <n v="1469.3063120130939"/>
    <n v="0"/>
    <n v="1"/>
    <n v="0"/>
    <n v="0"/>
    <n v="0"/>
    <n v="0"/>
    <n v="0"/>
    <n v="0"/>
    <n v="0"/>
    <n v="0"/>
  </r>
  <r>
    <d v="2015-08-02T00:00:00"/>
    <n v="2015"/>
    <x v="18"/>
    <s v="R"/>
    <s v="RS"/>
    <x v="9"/>
    <s v="ATL"/>
    <s v="A"/>
    <n v="2"/>
    <n v="1"/>
    <n v="1"/>
    <n v="-1"/>
    <n v="8"/>
    <n v="-8"/>
    <n v="1622.6010704999512"/>
    <n v="1422.3810544588257"/>
    <n v="0.68159676057391483"/>
    <n v="71"/>
    <n v="68"/>
    <n v="0"/>
    <n v="3"/>
    <n v="1"/>
    <n v="0.24868964971874974"/>
    <n v="1"/>
    <n v="73.150000000000006"/>
    <n v="73.150000000000006"/>
    <n v="5.7922796145120765"/>
    <n v="1628.3933501144634"/>
    <n v="1"/>
    <n v="0"/>
    <n v="0"/>
    <n v="0"/>
    <n v="0"/>
    <n v="0"/>
    <n v="0"/>
    <n v="0"/>
    <n v="0"/>
    <n v="0"/>
  </r>
  <r>
    <d v="2015-08-02T00:00:00"/>
    <n v="2015"/>
    <x v="19"/>
    <s v="R"/>
    <s v="RS"/>
    <x v="6"/>
    <s v="PHX"/>
    <s v="H"/>
    <n v="1"/>
    <n v="2"/>
    <n v="-1"/>
    <n v="1"/>
    <n v="-8"/>
    <n v="8"/>
    <n v="1422.3810544588257"/>
    <n v="1622.6010704999512"/>
    <n v="0.31840323942608523"/>
    <n v="68"/>
    <n v="71"/>
    <n v="0"/>
    <n v="-3"/>
    <n v="0"/>
    <n v="0.24868964971874974"/>
    <n v="1"/>
    <n v="73"/>
    <n v="73"/>
    <n v="-5.7804020759997492"/>
    <n v="1416.600652382826"/>
    <n v="0"/>
    <n v="1"/>
    <n v="0"/>
    <n v="0"/>
    <n v="0"/>
    <n v="0"/>
    <n v="0"/>
    <n v="0"/>
    <n v="0"/>
    <n v="0"/>
  </r>
  <r>
    <d v="2015-08-02T00:00:00"/>
    <n v="2015"/>
    <x v="17"/>
    <s v="R"/>
    <s v="RS"/>
    <x v="2"/>
    <s v="CHI"/>
    <s v="A"/>
    <n v="1"/>
    <n v="1"/>
    <n v="0"/>
    <n v="0"/>
    <n v="0"/>
    <n v="0"/>
    <n v="1556.9493829749297"/>
    <n v="1536.8877903053444"/>
    <n v="0.40901010447066138"/>
    <n v="68"/>
    <n v="71"/>
    <n v="0"/>
    <n v="-3"/>
    <n v="0"/>
    <n v="0.28541200494355201"/>
    <n v="1"/>
    <n v="73.3"/>
    <n v="73.3"/>
    <n v="-8.5567776772051918"/>
    <n v="1548.3926052977245"/>
    <n v="0"/>
    <n v="1"/>
    <n v="0"/>
    <n v="0"/>
    <n v="0"/>
    <n v="0"/>
    <n v="0"/>
    <n v="0"/>
    <n v="0"/>
    <n v="0"/>
  </r>
  <r>
    <d v="2015-08-02T00:00:00"/>
    <n v="2015"/>
    <x v="19"/>
    <s v="R"/>
    <s v="RS"/>
    <x v="1"/>
    <s v="WAS"/>
    <s v="H"/>
    <n v="1"/>
    <n v="1"/>
    <n v="0"/>
    <n v="0"/>
    <n v="0"/>
    <n v="0"/>
    <n v="1536.8877903053444"/>
    <n v="1556.9493829749297"/>
    <n v="0.59098989552933867"/>
    <n v="71"/>
    <n v="68"/>
    <n v="0"/>
    <n v="3"/>
    <n v="1"/>
    <n v="0.28541200494355201"/>
    <n v="1"/>
    <n v="73"/>
    <n v="73"/>
    <n v="8.5217567590174461"/>
    <n v="1545.409547064362"/>
    <n v="1"/>
    <n v="0"/>
    <n v="0"/>
    <n v="0"/>
    <n v="0"/>
    <n v="0"/>
    <n v="0"/>
    <n v="0"/>
    <n v="0"/>
    <n v="0"/>
  </r>
  <r>
    <d v="2015-08-02T00:00:00"/>
    <n v="2015"/>
    <x v="17"/>
    <s v="R"/>
    <s v="RS"/>
    <x v="3"/>
    <s v="IND"/>
    <s v="A"/>
    <n v="1"/>
    <n v="3"/>
    <n v="-2"/>
    <n v="2"/>
    <n v="-16"/>
    <n v="16"/>
    <n v="1476.880764981795"/>
    <n v="1506.4329280953787"/>
    <n v="0.30198450309211677"/>
    <n v="70"/>
    <n v="83"/>
    <n v="0"/>
    <n v="-13"/>
    <n v="0"/>
    <n v="0.46069823125073328"/>
    <n v="1"/>
    <n v="73.3"/>
    <n v="73.3"/>
    <n v="-10.197769148027794"/>
    <n v="1466.6829958337671"/>
    <n v="0"/>
    <n v="1"/>
    <n v="0"/>
    <n v="0"/>
    <n v="0"/>
    <n v="0"/>
    <n v="0"/>
    <n v="0"/>
    <n v="0"/>
    <n v="0"/>
  </r>
  <r>
    <d v="2015-08-02T00:00:00"/>
    <n v="2015"/>
    <x v="18"/>
    <s v="R"/>
    <s v="RS"/>
    <x v="0"/>
    <s v="CON"/>
    <s v="H"/>
    <n v="3"/>
    <n v="1"/>
    <n v="2"/>
    <n v="-2"/>
    <n v="16"/>
    <n v="-16"/>
    <n v="1506.4329280953787"/>
    <n v="1476.880764981795"/>
    <n v="0.69801549690788323"/>
    <n v="83"/>
    <n v="70"/>
    <n v="0"/>
    <n v="13"/>
    <n v="1"/>
    <n v="0.46069823125073328"/>
    <n v="1"/>
    <n v="73.150000000000006"/>
    <n v="73.150000000000006"/>
    <n v="10.176900589061844"/>
    <n v="1516.6098286844406"/>
    <n v="1"/>
    <n v="0"/>
    <n v="0"/>
    <n v="0"/>
    <n v="0"/>
    <n v="0"/>
    <n v="0"/>
    <n v="0"/>
    <n v="0"/>
    <n v="0"/>
  </r>
  <r>
    <d v="2015-08-02T00:00:00"/>
    <n v="2015"/>
    <x v="20"/>
    <s v="R"/>
    <s v="RS"/>
    <x v="11"/>
    <s v="NYL"/>
    <s v="A"/>
    <n v="1"/>
    <n v="3"/>
    <n v="-2"/>
    <n v="2"/>
    <n v="-16"/>
    <n v="16"/>
    <n v="1391.1352875176949"/>
    <n v="1529.5133792539878"/>
    <n v="0.18780778583878632"/>
    <n v="62"/>
    <n v="78"/>
    <n v="0"/>
    <n v="-16"/>
    <n v="0"/>
    <n v="0.46425090381597528"/>
    <n v="1"/>
    <n v="72.849999999999994"/>
    <n v="72.849999999999994"/>
    <n v="-6.3517867151634571"/>
    <n v="1384.7835008025315"/>
    <n v="0"/>
    <n v="1"/>
    <n v="0"/>
    <n v="0"/>
    <n v="0"/>
    <n v="0"/>
    <n v="0"/>
    <n v="0"/>
    <n v="0"/>
    <n v="0"/>
  </r>
  <r>
    <d v="2015-08-02T00:00:00"/>
    <n v="2015"/>
    <x v="18"/>
    <s v="R"/>
    <s v="RS"/>
    <x v="7"/>
    <s v="SEA"/>
    <s v="H"/>
    <n v="3"/>
    <n v="1"/>
    <n v="2"/>
    <n v="-2"/>
    <n v="16"/>
    <n v="-16"/>
    <n v="1529.5133792539878"/>
    <n v="1391.1352875176949"/>
    <n v="0.81219221416121357"/>
    <n v="78"/>
    <n v="62"/>
    <n v="0"/>
    <n v="16"/>
    <n v="1"/>
    <n v="0.46425090381597528"/>
    <n v="1"/>
    <n v="73.150000000000006"/>
    <n v="73.150000000000006"/>
    <n v="6.3779436954592619"/>
    <n v="1535.8913229494469"/>
    <n v="1"/>
    <n v="0"/>
    <n v="0"/>
    <n v="0"/>
    <n v="0"/>
    <n v="0"/>
    <n v="0"/>
    <n v="0"/>
    <n v="0"/>
    <n v="0"/>
  </r>
  <r>
    <d v="2015-08-02T00:00:00"/>
    <n v="2015"/>
    <x v="18"/>
    <s v="R"/>
    <s v="RS"/>
    <x v="10"/>
    <s v="SAS"/>
    <s v="A"/>
    <n v="1"/>
    <n v="1"/>
    <n v="0"/>
    <n v="0"/>
    <n v="0"/>
    <n v="0"/>
    <n v="1414.0742829547457"/>
    <n v="1419.5508561148752"/>
    <n v="0.3740060907227668"/>
    <n v="80"/>
    <n v="78"/>
    <n v="0"/>
    <n v="2"/>
    <n v="1"/>
    <n v="0.26662449700622209"/>
    <n v="1"/>
    <n v="73.150000000000006"/>
    <n v="73.150000000000006"/>
    <n v="12.209123513548569"/>
    <n v="1426.2834064682943"/>
    <n v="1"/>
    <n v="0"/>
    <n v="0"/>
    <n v="0"/>
    <n v="0"/>
    <n v="0"/>
    <n v="0"/>
    <n v="0"/>
    <n v="0"/>
    <n v="0"/>
  </r>
  <r>
    <d v="2015-08-02T00:00:00"/>
    <n v="2015"/>
    <x v="19"/>
    <s v="R"/>
    <s v="RS"/>
    <x v="8"/>
    <s v="LAS"/>
    <s v="H"/>
    <n v="1"/>
    <n v="1"/>
    <n v="0"/>
    <n v="0"/>
    <n v="0"/>
    <n v="0"/>
    <n v="1419.5508561148752"/>
    <n v="1414.0742829547457"/>
    <n v="0.6259939092772332"/>
    <n v="78"/>
    <n v="80"/>
    <n v="0"/>
    <n v="-2"/>
    <n v="0"/>
    <n v="0.26662449700622209"/>
    <n v="1"/>
    <n v="73"/>
    <n v="73"/>
    <n v="-12.184087716870069"/>
    <n v="1407.366768398005"/>
    <n v="0"/>
    <n v="1"/>
    <n v="0"/>
    <n v="0"/>
    <n v="0"/>
    <n v="0"/>
    <n v="0"/>
    <n v="0"/>
    <n v="0"/>
    <n v="0"/>
  </r>
  <r>
    <d v="2015-08-04T00:00:00"/>
    <n v="2015"/>
    <x v="19"/>
    <s v="R"/>
    <s v="RS"/>
    <x v="0"/>
    <s v="CHI"/>
    <s v="A"/>
    <n v="1"/>
    <n v="1"/>
    <n v="0"/>
    <n v="0"/>
    <n v="0"/>
    <n v="0"/>
    <n v="1516.6098286844406"/>
    <n v="1545.409547064362"/>
    <n v="0.34314112781665035"/>
    <n v="82"/>
    <n v="106"/>
    <n v="0"/>
    <n v="-24"/>
    <n v="0"/>
    <n v="0.61370222181692058"/>
    <n v="1"/>
    <n v="73"/>
    <n v="73"/>
    <n v="-15.372812495262485"/>
    <n v="1501.2370161891781"/>
    <n v="0"/>
    <n v="1"/>
    <n v="0"/>
    <n v="0"/>
    <n v="0"/>
    <n v="0"/>
    <n v="0"/>
    <n v="0"/>
    <n v="0"/>
    <n v="0"/>
  </r>
  <r>
    <d v="2015-08-04T00:00:00"/>
    <n v="2015"/>
    <x v="20"/>
    <s v="R"/>
    <s v="RS"/>
    <x v="1"/>
    <s v="IND"/>
    <s v="H"/>
    <n v="1"/>
    <n v="1"/>
    <n v="0"/>
    <n v="0"/>
    <n v="0"/>
    <n v="0"/>
    <n v="1545.409547064362"/>
    <n v="1516.6098286844406"/>
    <n v="0.65685887218334971"/>
    <n v="106"/>
    <n v="82"/>
    <n v="0"/>
    <n v="24"/>
    <n v="1"/>
    <n v="0.61370222181692058"/>
    <n v="1"/>
    <n v="72.849999999999994"/>
    <n v="72.849999999999994"/>
    <n v="15.341224524381804"/>
    <n v="1560.7507715887439"/>
    <n v="1"/>
    <n v="0"/>
    <n v="0"/>
    <n v="0"/>
    <n v="0"/>
    <n v="0"/>
    <n v="0"/>
    <n v="0"/>
    <n v="0"/>
    <n v="0"/>
  </r>
  <r>
    <d v="2015-08-04T00:00:00"/>
    <n v="2015"/>
    <x v="20"/>
    <s v="R"/>
    <s v="RS"/>
    <x v="8"/>
    <s v="CON"/>
    <s v="A"/>
    <n v="1"/>
    <n v="1"/>
    <n v="0"/>
    <n v="0"/>
    <n v="0"/>
    <n v="0"/>
    <n v="1407.366768398005"/>
    <n v="1466.6829958337671"/>
    <n v="0.30470449117726406"/>
    <n v="51"/>
    <n v="82"/>
    <n v="0"/>
    <n v="-31"/>
    <n v="0"/>
    <n v="0.6817838363056824"/>
    <n v="1"/>
    <n v="72.849999999999994"/>
    <n v="72.849999999999994"/>
    <n v="-15.13404818667148"/>
    <n v="1392.2327202113336"/>
    <n v="0"/>
    <n v="1"/>
    <n v="0"/>
    <n v="0"/>
    <n v="0"/>
    <n v="0"/>
    <n v="0"/>
    <n v="0"/>
    <n v="0"/>
    <n v="0"/>
  </r>
  <r>
    <d v="2015-08-04T00:00:00"/>
    <n v="2015"/>
    <x v="18"/>
    <s v="R"/>
    <s v="RS"/>
    <x v="3"/>
    <s v="SAS"/>
    <s v="H"/>
    <n v="1"/>
    <n v="1"/>
    <n v="0"/>
    <n v="0"/>
    <n v="0"/>
    <n v="0"/>
    <n v="1466.6829958337671"/>
    <n v="1407.366768398005"/>
    <n v="0.69529550882273594"/>
    <n v="82"/>
    <n v="51"/>
    <n v="0"/>
    <n v="31"/>
    <n v="1"/>
    <n v="0.6817838363056824"/>
    <n v="1"/>
    <n v="73.150000000000006"/>
    <n v="73.150000000000006"/>
    <n v="15.196370965751802"/>
    <n v="1481.8793667995189"/>
    <n v="1"/>
    <n v="0"/>
    <n v="0"/>
    <n v="0"/>
    <n v="0"/>
    <n v="0"/>
    <n v="0"/>
    <n v="0"/>
    <n v="0"/>
    <n v="0"/>
  </r>
  <r>
    <d v="2015-08-04T00:00:00"/>
    <n v="2015"/>
    <x v="19"/>
    <s v="R"/>
    <s v="RS"/>
    <x v="5"/>
    <s v="LAS"/>
    <s v="A"/>
    <n v="2"/>
    <n v="1"/>
    <n v="1"/>
    <n v="-1"/>
    <n v="8"/>
    <n v="-8"/>
    <n v="1655.299546767603"/>
    <n v="1426.2834064682943"/>
    <n v="0.71644256960142649"/>
    <n v="61"/>
    <n v="83"/>
    <n v="0"/>
    <n v="-22"/>
    <n v="0"/>
    <n v="0.50556980093512882"/>
    <n v="1"/>
    <n v="73"/>
    <n v="73"/>
    <n v="-26.441456092523712"/>
    <n v="1628.8580906750792"/>
    <n v="0"/>
    <n v="1"/>
    <n v="0"/>
    <n v="0"/>
    <n v="0"/>
    <n v="0"/>
    <n v="0"/>
    <n v="0"/>
    <n v="0"/>
    <n v="0"/>
  </r>
  <r>
    <d v="2015-08-04T00:00:00"/>
    <n v="2015"/>
    <x v="19"/>
    <s v="R"/>
    <s v="RS"/>
    <x v="10"/>
    <s v="MIN"/>
    <s v="H"/>
    <n v="1"/>
    <n v="2"/>
    <n v="-1"/>
    <n v="1"/>
    <n v="-8"/>
    <n v="8"/>
    <n v="1426.2834064682943"/>
    <n v="1655.299546767603"/>
    <n v="0.28355743039857345"/>
    <n v="83"/>
    <n v="61"/>
    <n v="0"/>
    <n v="22"/>
    <n v="1"/>
    <n v="0.50556980093512882"/>
    <n v="1"/>
    <n v="73"/>
    <n v="73"/>
    <n v="26.441456092523712"/>
    <n v="1452.7248625608181"/>
    <n v="1"/>
    <n v="0"/>
    <n v="0"/>
    <n v="0"/>
    <n v="0"/>
    <n v="0"/>
    <n v="0"/>
    <n v="0"/>
    <n v="0"/>
    <n v="0"/>
  </r>
  <r>
    <d v="2015-08-04T00:00:00"/>
    <n v="2015"/>
    <x v="20"/>
    <s v="R"/>
    <s v="RS"/>
    <x v="4"/>
    <s v="PHX"/>
    <s v="A"/>
    <n v="2"/>
    <n v="1"/>
    <n v="1"/>
    <n v="-1"/>
    <n v="8"/>
    <n v="-8"/>
    <n v="1469.3063120130939"/>
    <n v="1628.3933501144634"/>
    <n v="0.21295273370191303"/>
    <n v="84"/>
    <n v="87"/>
    <n v="1"/>
    <n v="-3"/>
    <n v="0"/>
    <n v="0.23059465214561883"/>
    <n v="1"/>
    <n v="72.849999999999994"/>
    <n v="72.849999999999994"/>
    <n v="-3.5773547290232224"/>
    <n v="1465.7289572840707"/>
    <n v="0"/>
    <n v="1"/>
    <n v="0"/>
    <n v="0"/>
    <n v="0"/>
    <n v="0"/>
    <n v="0"/>
    <n v="0"/>
    <n v="0"/>
    <n v="0"/>
  </r>
  <r>
    <d v="2015-08-04T00:00:00"/>
    <n v="2015"/>
    <x v="19"/>
    <s v="R"/>
    <s v="RS"/>
    <x v="9"/>
    <s v="TUL"/>
    <s v="H"/>
    <n v="1"/>
    <n v="2"/>
    <n v="-1"/>
    <n v="1"/>
    <n v="-8"/>
    <n v="8"/>
    <n v="1628.3933501144634"/>
    <n v="1469.3063120130939"/>
    <n v="0.78704726629808686"/>
    <n v="87"/>
    <n v="84"/>
    <n v="1"/>
    <n v="3"/>
    <n v="1"/>
    <n v="0.23059465214561883"/>
    <n v="1"/>
    <n v="73"/>
    <n v="73"/>
    <n v="3.5847205932559416"/>
    <n v="1631.9780707077193"/>
    <n v="1"/>
    <n v="0"/>
    <n v="0"/>
    <n v="0"/>
    <n v="0"/>
    <n v="0"/>
    <n v="0"/>
    <n v="0"/>
    <n v="0"/>
    <n v="0"/>
  </r>
  <r>
    <d v="2015-08-05T00:00:00"/>
    <n v="2015"/>
    <x v="21"/>
    <s v="R"/>
    <s v="RS"/>
    <x v="8"/>
    <s v="WAS"/>
    <s v="A"/>
    <n v="0"/>
    <n v="2"/>
    <n v="-2"/>
    <n v="2"/>
    <n v="-16"/>
    <n v="16"/>
    <n v="1392.2327202113336"/>
    <n v="1548.3926052977245"/>
    <n v="0.1726904512156828"/>
    <n v="63"/>
    <n v="66"/>
    <n v="0"/>
    <n v="-3"/>
    <n v="0"/>
    <n v="0.25676930069072729"/>
    <n v="1"/>
    <n v="72.7"/>
    <n v="72.7"/>
    <n v="-3.2236347848886582"/>
    <n v="1389.0090854264449"/>
    <n v="0"/>
    <n v="1"/>
    <n v="0"/>
    <n v="0"/>
    <n v="0"/>
    <n v="0"/>
    <n v="0"/>
    <n v="0"/>
    <n v="0"/>
    <n v="0"/>
  </r>
  <r>
    <d v="2015-08-05T00:00:00"/>
    <n v="2015"/>
    <x v="18"/>
    <s v="R"/>
    <s v="RS"/>
    <x v="2"/>
    <s v="SAS"/>
    <s v="H"/>
    <n v="2"/>
    <n v="0"/>
    <n v="2"/>
    <n v="-2"/>
    <n v="16"/>
    <n v="-16"/>
    <n v="1548.3926052977245"/>
    <n v="1392.2327202113336"/>
    <n v="0.82730954878431717"/>
    <n v="66"/>
    <n v="63"/>
    <n v="0"/>
    <n v="3"/>
    <n v="1"/>
    <n v="0.25676930069072729"/>
    <n v="1"/>
    <n v="73.150000000000006"/>
    <n v="73.150000000000006"/>
    <n v="3.2435885077662365"/>
    <n v="1551.6361938054906"/>
    <n v="1"/>
    <n v="0"/>
    <n v="0"/>
    <n v="0"/>
    <n v="0"/>
    <n v="0"/>
    <n v="0"/>
    <n v="0"/>
    <n v="0"/>
    <n v="0"/>
  </r>
  <r>
    <d v="2015-08-06T00:00:00"/>
    <n v="2015"/>
    <x v="21"/>
    <s v="R"/>
    <s v="RS"/>
    <x v="4"/>
    <s v="LAS"/>
    <s v="A"/>
    <n v="1"/>
    <n v="1"/>
    <n v="0"/>
    <n v="0"/>
    <n v="0"/>
    <n v="0"/>
    <n v="1465.7289572840707"/>
    <n v="1452.7248625608181"/>
    <n v="0.39922740750954894"/>
    <n v="57"/>
    <n v="84"/>
    <n v="0"/>
    <n v="-27"/>
    <n v="0"/>
    <n v="0.65951962032124889"/>
    <n v="1"/>
    <n v="72.7"/>
    <n v="72.7"/>
    <n v="-19.141787007778241"/>
    <n v="1446.5871702762925"/>
    <n v="0"/>
    <n v="1"/>
    <n v="0"/>
    <n v="0"/>
    <n v="0"/>
    <n v="0"/>
    <n v="0"/>
    <n v="0"/>
    <n v="0"/>
    <n v="0"/>
  </r>
  <r>
    <d v="2015-08-06T00:00:00"/>
    <n v="2015"/>
    <x v="20"/>
    <s v="R"/>
    <s v="RS"/>
    <x v="10"/>
    <s v="TUL"/>
    <s v="H"/>
    <n v="1"/>
    <n v="1"/>
    <n v="0"/>
    <n v="0"/>
    <n v="0"/>
    <n v="0"/>
    <n v="1452.7248625608181"/>
    <n v="1465.7289572840707"/>
    <n v="0.60077259249045112"/>
    <n v="84"/>
    <n v="57"/>
    <n v="0"/>
    <n v="27"/>
    <n v="1"/>
    <n v="0.65951962032124889"/>
    <n v="1"/>
    <n v="72.849999999999994"/>
    <n v="72.849999999999994"/>
    <n v="19.181281754011614"/>
    <n v="1471.9061443148298"/>
    <n v="1"/>
    <n v="0"/>
    <n v="0"/>
    <n v="0"/>
    <n v="0"/>
    <n v="0"/>
    <n v="0"/>
    <n v="0"/>
    <n v="0"/>
    <n v="0"/>
  </r>
  <r>
    <d v="2015-08-07T00:00:00"/>
    <n v="2015"/>
    <x v="19"/>
    <s v="R"/>
    <s v="RS"/>
    <x v="7"/>
    <s v="CHI"/>
    <s v="A"/>
    <n v="4"/>
    <n v="2"/>
    <n v="2"/>
    <n v="-2"/>
    <n v="16"/>
    <n v="-16"/>
    <n v="1535.8913229494469"/>
    <n v="1560.7507715887439"/>
    <n v="0.39116006483403676"/>
    <n v="77"/>
    <n v="63"/>
    <n v="0"/>
    <n v="14"/>
    <n v="1"/>
    <n v="0.47771172838724096"/>
    <n v="1"/>
    <n v="73"/>
    <n v="73"/>
    <n v="21.232048374969484"/>
    <n v="1557.1233713244164"/>
    <n v="1"/>
    <n v="0"/>
    <n v="0"/>
    <n v="0"/>
    <n v="0"/>
    <n v="0"/>
    <n v="0"/>
    <n v="0"/>
    <n v="0"/>
    <n v="0"/>
  </r>
  <r>
    <d v="2015-08-07T00:00:00"/>
    <n v="2015"/>
    <x v="21"/>
    <s v="R"/>
    <s v="RS"/>
    <x v="1"/>
    <s v="NYL"/>
    <s v="H"/>
    <n v="2"/>
    <n v="4"/>
    <n v="-2"/>
    <n v="2"/>
    <n v="-16"/>
    <n v="16"/>
    <n v="1560.7507715887439"/>
    <n v="1535.8913229494469"/>
    <n v="0.60883993516596324"/>
    <n v="63"/>
    <n v="77"/>
    <n v="0"/>
    <n v="-14"/>
    <n v="0"/>
    <n v="0.47771172838724096"/>
    <n v="1"/>
    <n v="72.7"/>
    <n v="72.7"/>
    <n v="-21.144793381647695"/>
    <n v="1539.6059782070961"/>
    <n v="0"/>
    <n v="1"/>
    <n v="0"/>
    <n v="0"/>
    <n v="0"/>
    <n v="0"/>
    <n v="0"/>
    <n v="0"/>
    <n v="0"/>
    <n v="0"/>
  </r>
  <r>
    <d v="2015-08-07T00:00:00"/>
    <n v="2015"/>
    <x v="19"/>
    <s v="R"/>
    <s v="RS"/>
    <x v="2"/>
    <s v="CON"/>
    <s v="A"/>
    <n v="1"/>
    <n v="2"/>
    <n v="-1"/>
    <n v="1"/>
    <n v="-8"/>
    <n v="8"/>
    <n v="1551.6361938054906"/>
    <n v="1481.8793667995189"/>
    <n v="0.45658617117542277"/>
    <n v="72"/>
    <n v="86"/>
    <n v="0"/>
    <n v="-14"/>
    <n v="0"/>
    <n v="0.46082030180584305"/>
    <n v="1"/>
    <n v="73"/>
    <n v="73"/>
    <n v="-15.359504935704583"/>
    <n v="1536.2766888697861"/>
    <n v="0"/>
    <n v="1"/>
    <n v="0"/>
    <n v="0"/>
    <n v="0"/>
    <n v="0"/>
    <n v="0"/>
    <n v="0"/>
    <n v="0"/>
    <n v="0"/>
  </r>
  <r>
    <d v="2015-08-07T00:00:00"/>
    <n v="2015"/>
    <x v="19"/>
    <s v="R"/>
    <s v="RS"/>
    <x v="3"/>
    <s v="WAS"/>
    <s v="H"/>
    <n v="2"/>
    <n v="1"/>
    <n v="1"/>
    <n v="-1"/>
    <n v="8"/>
    <n v="-8"/>
    <n v="1481.8793667995189"/>
    <n v="1551.6361938054906"/>
    <n v="0.54341382882457723"/>
    <n v="86"/>
    <n v="72"/>
    <n v="0"/>
    <n v="14"/>
    <n v="1"/>
    <n v="0.46082030180584305"/>
    <n v="1"/>
    <n v="73"/>
    <n v="73"/>
    <n v="15.359504935704583"/>
    <n v="1497.2388717352235"/>
    <n v="1"/>
    <n v="0"/>
    <n v="0"/>
    <n v="0"/>
    <n v="0"/>
    <n v="0"/>
    <n v="0"/>
    <n v="0"/>
    <n v="0"/>
    <n v="0"/>
  </r>
  <r>
    <d v="2015-08-07T00:00:00"/>
    <n v="2015"/>
    <x v="20"/>
    <s v="R"/>
    <s v="RS"/>
    <x v="6"/>
    <s v="IND"/>
    <s v="A"/>
    <n v="4"/>
    <n v="2"/>
    <n v="2"/>
    <n v="-2"/>
    <n v="16"/>
    <n v="-16"/>
    <n v="1416.600652382826"/>
    <n v="1501.2370161891781"/>
    <n v="0.31291162164090108"/>
    <n v="77"/>
    <n v="106"/>
    <n v="0"/>
    <n v="-29"/>
    <n v="0"/>
    <n v="0.64581352932820257"/>
    <n v="1"/>
    <n v="72.849999999999994"/>
    <n v="72.849999999999994"/>
    <n v="-14.72171440418871"/>
    <n v="1401.8789379786372"/>
    <n v="0"/>
    <n v="1"/>
    <n v="0"/>
    <n v="0"/>
    <n v="0"/>
    <n v="0"/>
    <n v="0"/>
    <n v="0"/>
    <n v="0"/>
    <n v="0"/>
  </r>
  <r>
    <d v="2015-08-07T00:00:00"/>
    <n v="2015"/>
    <x v="20"/>
    <s v="R"/>
    <s v="RS"/>
    <x v="0"/>
    <s v="ATL"/>
    <s v="H"/>
    <n v="2"/>
    <n v="4"/>
    <n v="-2"/>
    <n v="2"/>
    <n v="-16"/>
    <n v="16"/>
    <n v="1501.2370161891781"/>
    <n v="1416.600652382826"/>
    <n v="0.68708837835909886"/>
    <n v="106"/>
    <n v="77"/>
    <n v="0"/>
    <n v="29"/>
    <n v="1"/>
    <n v="0.64581352932820257"/>
    <n v="1"/>
    <n v="72.849999999999994"/>
    <n v="72.849999999999994"/>
    <n v="14.721714404188713"/>
    <n v="1515.9587305933669"/>
    <n v="1"/>
    <n v="0"/>
    <n v="0"/>
    <n v="0"/>
    <n v="0"/>
    <n v="0"/>
    <n v="0"/>
    <n v="0"/>
    <n v="0"/>
    <n v="0"/>
  </r>
  <r>
    <d v="2015-08-07T00:00:00"/>
    <n v="2015"/>
    <x v="20"/>
    <s v="R"/>
    <s v="RS"/>
    <x v="5"/>
    <s v="PHX"/>
    <s v="A"/>
    <n v="2"/>
    <n v="2"/>
    <n v="0"/>
    <n v="0"/>
    <n v="0"/>
    <n v="0"/>
    <n v="1628.8580906750792"/>
    <n v="1631.9780707077193"/>
    <n v="0.37718754247360348"/>
    <n v="66"/>
    <n v="73"/>
    <n v="0"/>
    <n v="-7"/>
    <n v="0"/>
    <n v="0.36914739540152508"/>
    <n v="1"/>
    <n v="72.849999999999994"/>
    <n v="72.849999999999994"/>
    <n v="-10.143473648556091"/>
    <n v="1618.7146170265232"/>
    <n v="0"/>
    <n v="1"/>
    <n v="0"/>
    <n v="0"/>
    <n v="0"/>
    <n v="0"/>
    <n v="0"/>
    <n v="0"/>
    <n v="0"/>
    <n v="0"/>
  </r>
  <r>
    <d v="2015-08-07T00:00:00"/>
    <n v="2015"/>
    <x v="20"/>
    <s v="R"/>
    <s v="RS"/>
    <x v="9"/>
    <s v="MIN"/>
    <s v="H"/>
    <n v="2"/>
    <n v="2"/>
    <n v="0"/>
    <n v="0"/>
    <n v="0"/>
    <n v="0"/>
    <n v="1631.9780707077193"/>
    <n v="1628.8580906750792"/>
    <n v="0.62281245752639647"/>
    <n v="73"/>
    <n v="66"/>
    <n v="0"/>
    <n v="7"/>
    <n v="1"/>
    <n v="0.36914739540152508"/>
    <n v="1"/>
    <n v="72.849999999999994"/>
    <n v="72.849999999999994"/>
    <n v="10.143473648556093"/>
    <n v="1642.1215443562753"/>
    <n v="1"/>
    <n v="0"/>
    <n v="0"/>
    <n v="0"/>
    <n v="0"/>
    <n v="0"/>
    <n v="0"/>
    <n v="0"/>
    <n v="0"/>
    <n v="0"/>
  </r>
  <r>
    <d v="2015-08-08T00:00:00"/>
    <n v="2015"/>
    <x v="21"/>
    <s v="R"/>
    <s v="RS"/>
    <x v="11"/>
    <s v="SAS"/>
    <s v="A"/>
    <n v="5"/>
    <n v="2"/>
    <n v="3"/>
    <n v="-3"/>
    <n v="16"/>
    <n v="-16"/>
    <n v="1384.7835008025315"/>
    <n v="1389.0090854264449"/>
    <n v="0.41978392016709598"/>
    <n v="81"/>
    <n v="88"/>
    <n v="0"/>
    <n v="-7"/>
    <n v="0"/>
    <n v="0.36880847961994423"/>
    <n v="1"/>
    <n v="72.7"/>
    <n v="72.7"/>
    <n v="-11.255404502888332"/>
    <n v="1373.5280962996433"/>
    <n v="0"/>
    <n v="1"/>
    <n v="0"/>
    <n v="0"/>
    <n v="0"/>
    <n v="0"/>
    <n v="0"/>
    <n v="0"/>
    <n v="0"/>
    <n v="0"/>
  </r>
  <r>
    <d v="2015-08-08T00:00:00"/>
    <n v="2015"/>
    <x v="22"/>
    <s v="R"/>
    <s v="RS"/>
    <x v="8"/>
    <s v="SEA"/>
    <s v="H"/>
    <n v="2"/>
    <n v="5"/>
    <n v="-3"/>
    <n v="3"/>
    <n v="-16"/>
    <n v="16"/>
    <n v="1389.0090854264449"/>
    <n v="1384.7835008025315"/>
    <n v="0.58021607983290402"/>
    <n v="88"/>
    <n v="81"/>
    <n v="0"/>
    <n v="7"/>
    <n v="1"/>
    <n v="0.36880847961994423"/>
    <n v="1"/>
    <n v="72.55"/>
    <n v="72.55"/>
    <n v="11.232181522483474"/>
    <n v="1400.2412669489283"/>
    <n v="1"/>
    <n v="0"/>
    <n v="0"/>
    <n v="0"/>
    <n v="0"/>
    <n v="0"/>
    <n v="0"/>
    <n v="0"/>
    <n v="0"/>
    <n v="0"/>
  </r>
  <r>
    <d v="2015-08-09T00:00:00"/>
    <n v="2015"/>
    <x v="21"/>
    <s v="R"/>
    <s v="RS"/>
    <x v="9"/>
    <s v="CHI"/>
    <s v="A"/>
    <n v="1"/>
    <n v="1"/>
    <n v="0"/>
    <n v="0"/>
    <n v="0"/>
    <n v="0"/>
    <n v="1642.1215443562753"/>
    <n v="1539.6059782070961"/>
    <n v="0.5266208449214872"/>
    <n v="64"/>
    <n v="74"/>
    <n v="0"/>
    <n v="-10"/>
    <n v="0"/>
    <n v="0.3898269259843814"/>
    <n v="1"/>
    <n v="72.7"/>
    <n v="72.7"/>
    <n v="-14.924654619317481"/>
    <n v="1627.1968897369579"/>
    <n v="0"/>
    <n v="1"/>
    <n v="0"/>
    <n v="0"/>
    <n v="0"/>
    <n v="0"/>
    <n v="0"/>
    <n v="0"/>
    <n v="0"/>
    <n v="0"/>
  </r>
  <r>
    <d v="2015-08-09T00:00:00"/>
    <n v="2015"/>
    <x v="22"/>
    <s v="R"/>
    <s v="RS"/>
    <x v="1"/>
    <s v="PHX"/>
    <s v="H"/>
    <n v="1"/>
    <n v="1"/>
    <n v="0"/>
    <n v="0"/>
    <n v="0"/>
    <n v="0"/>
    <n v="1539.6059782070961"/>
    <n v="1642.1215443562753"/>
    <n v="0.47337915507851286"/>
    <n v="74"/>
    <n v="64"/>
    <n v="0"/>
    <n v="10"/>
    <n v="1"/>
    <n v="0.3898269259843814"/>
    <n v="1"/>
    <n v="72.55"/>
    <n v="72.55"/>
    <n v="14.89386097154722"/>
    <n v="1554.4998391786432"/>
    <n v="1"/>
    <n v="0"/>
    <n v="0"/>
    <n v="0"/>
    <n v="0"/>
    <n v="0"/>
    <n v="0"/>
    <n v="0"/>
    <n v="0"/>
    <n v="0"/>
  </r>
  <r>
    <d v="2015-08-09T00:00:00"/>
    <n v="2015"/>
    <x v="21"/>
    <s v="R"/>
    <s v="RS"/>
    <x v="10"/>
    <s v="MIN"/>
    <s v="A"/>
    <n v="2"/>
    <n v="1"/>
    <n v="1"/>
    <n v="-1"/>
    <n v="8"/>
    <n v="-8"/>
    <n v="1471.9061443148298"/>
    <n v="1618.7146170265232"/>
    <n v="0.22503935179311255"/>
    <n v="64"/>
    <n v="72"/>
    <n v="0"/>
    <n v="-8"/>
    <n v="0"/>
    <n v="0.34598731107281727"/>
    <n v="1"/>
    <n v="72.7"/>
    <n v="72.7"/>
    <n v="-5.6604772674464812"/>
    <n v="1466.2456670473834"/>
    <n v="0"/>
    <n v="1"/>
    <n v="0"/>
    <n v="0"/>
    <n v="0"/>
    <n v="0"/>
    <n v="0"/>
    <n v="0"/>
    <n v="0"/>
    <n v="0"/>
  </r>
  <r>
    <d v="2015-08-09T00:00:00"/>
    <n v="2015"/>
    <x v="21"/>
    <s v="R"/>
    <s v="RS"/>
    <x v="5"/>
    <s v="LAS"/>
    <s v="H"/>
    <n v="1"/>
    <n v="2"/>
    <n v="-1"/>
    <n v="1"/>
    <n v="-8"/>
    <n v="8"/>
    <n v="1618.7146170265232"/>
    <n v="1471.9061443148298"/>
    <n v="0.77496064820688748"/>
    <n v="72"/>
    <n v="64"/>
    <n v="0"/>
    <n v="8"/>
    <n v="1"/>
    <n v="0.34598731107281727"/>
    <n v="1"/>
    <n v="72.7"/>
    <n v="72.7"/>
    <n v="5.6604772674464812"/>
    <n v="1624.3750942939696"/>
    <n v="1"/>
    <n v="0"/>
    <n v="0"/>
    <n v="0"/>
    <n v="0"/>
    <n v="0"/>
    <n v="0"/>
    <n v="0"/>
    <n v="0"/>
    <n v="0"/>
  </r>
  <r>
    <d v="2015-08-09T00:00:00"/>
    <n v="2015"/>
    <x v="21"/>
    <s v="R"/>
    <s v="RS"/>
    <x v="6"/>
    <s v="TUL"/>
    <s v="A"/>
    <n v="1"/>
    <n v="2"/>
    <n v="-1"/>
    <n v="1"/>
    <n v="-8"/>
    <n v="8"/>
    <n v="1401.8789379786372"/>
    <n v="1446.5871702762925"/>
    <n v="0.30300951612831367"/>
    <n v="98"/>
    <n v="90"/>
    <n v="0"/>
    <n v="8"/>
    <n v="1"/>
    <n v="0.37436776741119365"/>
    <n v="1"/>
    <n v="72.7"/>
    <n v="72.7"/>
    <n v="18.969667077427861"/>
    <n v="1420.848605056065"/>
    <n v="1"/>
    <n v="0"/>
    <n v="0"/>
    <n v="0"/>
    <n v="0"/>
    <n v="0"/>
    <n v="0"/>
    <n v="0"/>
    <n v="0"/>
    <n v="0"/>
  </r>
  <r>
    <d v="2015-08-09T00:00:00"/>
    <n v="2015"/>
    <x v="22"/>
    <s v="R"/>
    <s v="RS"/>
    <x v="4"/>
    <s v="ATL"/>
    <s v="H"/>
    <n v="2"/>
    <n v="1"/>
    <n v="1"/>
    <n v="-1"/>
    <n v="8"/>
    <n v="-8"/>
    <n v="1446.5871702762925"/>
    <n v="1401.8789379786372"/>
    <n v="0.69699048387168638"/>
    <n v="90"/>
    <n v="98"/>
    <n v="0"/>
    <n v="-8"/>
    <n v="0"/>
    <n v="0.37436776741119365"/>
    <n v="1"/>
    <n v="72.55"/>
    <n v="72.55"/>
    <n v="-18.930527461724775"/>
    <n v="1427.6566428145677"/>
    <n v="0"/>
    <n v="1"/>
    <n v="0"/>
    <n v="0"/>
    <n v="0"/>
    <n v="0"/>
    <n v="0"/>
    <n v="0"/>
    <n v="0"/>
    <n v="0"/>
  </r>
  <r>
    <d v="2015-08-09T00:00:00"/>
    <n v="2015"/>
    <x v="20"/>
    <s v="R"/>
    <s v="RS"/>
    <x v="3"/>
    <s v="WAS"/>
    <s v="A"/>
    <n v="1"/>
    <n v="1"/>
    <n v="0"/>
    <n v="0"/>
    <n v="0"/>
    <n v="0"/>
    <n v="1497.2388717352235"/>
    <n v="1536.2766888697861"/>
    <n v="0.32998285367852637"/>
    <n v="73"/>
    <n v="84"/>
    <n v="0"/>
    <n v="-11"/>
    <n v="0"/>
    <n v="0.42597825264911743"/>
    <n v="1"/>
    <n v="72.849999999999994"/>
    <n v="72.849999999999994"/>
    <n v="-10.240198089320685"/>
    <n v="1486.9986736459027"/>
    <n v="0"/>
    <n v="1"/>
    <n v="0"/>
    <n v="0"/>
    <n v="0"/>
    <n v="0"/>
    <n v="0"/>
    <n v="0"/>
    <n v="0"/>
    <n v="0"/>
  </r>
  <r>
    <d v="2015-08-09T00:00:00"/>
    <n v="2015"/>
    <x v="20"/>
    <s v="R"/>
    <s v="RS"/>
    <x v="2"/>
    <s v="CON"/>
    <s v="H"/>
    <n v="1"/>
    <n v="1"/>
    <n v="0"/>
    <n v="0"/>
    <n v="0"/>
    <n v="0"/>
    <n v="1536.2766888697861"/>
    <n v="1497.2388717352235"/>
    <n v="0.67001714632147358"/>
    <n v="84"/>
    <n v="73"/>
    <n v="0"/>
    <n v="11"/>
    <n v="1"/>
    <n v="0.42597825264911743"/>
    <n v="1"/>
    <n v="72.849999999999994"/>
    <n v="72.849999999999994"/>
    <n v="10.240198089320685"/>
    <n v="1546.5168869591068"/>
    <n v="1"/>
    <n v="0"/>
    <n v="0"/>
    <n v="0"/>
    <n v="0"/>
    <n v="0"/>
    <n v="0"/>
    <n v="0"/>
    <n v="0"/>
    <n v="0"/>
  </r>
  <r>
    <d v="2015-08-11T00:00:00"/>
    <n v="2015"/>
    <x v="22"/>
    <s v="R"/>
    <s v="RS"/>
    <x v="11"/>
    <s v="LAS"/>
    <s v="A"/>
    <n v="2"/>
    <n v="1"/>
    <n v="1"/>
    <n v="-1"/>
    <n v="8"/>
    <n v="-8"/>
    <n v="1373.5280962996433"/>
    <n v="1466.2456670473834"/>
    <n v="0.28390671955974572"/>
    <n v="85"/>
    <n v="77"/>
    <n v="0"/>
    <n v="8"/>
    <n v="1"/>
    <n v="0.36046438336416586"/>
    <n v="1"/>
    <n v="72.55"/>
    <n v="72.55"/>
    <n v="18.727050206609377"/>
    <n v="1392.2551465062527"/>
    <n v="1"/>
    <n v="0"/>
    <n v="0"/>
    <n v="0"/>
    <n v="0"/>
    <n v="0"/>
    <n v="0"/>
    <n v="0"/>
    <n v="0"/>
    <n v="0"/>
  </r>
  <r>
    <d v="2015-08-11T00:00:00"/>
    <n v="2015"/>
    <x v="22"/>
    <s v="R"/>
    <s v="RS"/>
    <x v="10"/>
    <s v="SEA"/>
    <s v="H"/>
    <n v="1"/>
    <n v="2"/>
    <n v="-1"/>
    <n v="1"/>
    <n v="-8"/>
    <n v="8"/>
    <n v="1466.2456670473834"/>
    <n v="1373.5280962996433"/>
    <n v="0.71609328044025433"/>
    <n v="77"/>
    <n v="85"/>
    <n v="0"/>
    <n v="-8"/>
    <n v="0"/>
    <n v="0.36046438336416586"/>
    <n v="1"/>
    <n v="72.55"/>
    <n v="72.55"/>
    <n v="-18.72705020660938"/>
    <n v="1447.518616840774"/>
    <n v="0"/>
    <n v="1"/>
    <n v="0"/>
    <n v="0"/>
    <n v="0"/>
    <n v="0"/>
    <n v="0"/>
    <n v="0"/>
    <n v="0"/>
    <n v="0"/>
  </r>
  <r>
    <d v="2015-08-11T00:00:00"/>
    <n v="2015"/>
    <x v="23"/>
    <s v="R"/>
    <s v="RS"/>
    <x v="8"/>
    <s v="MIN"/>
    <s v="A"/>
    <n v="2"/>
    <n v="1"/>
    <n v="1"/>
    <n v="-1"/>
    <n v="8"/>
    <n v="-8"/>
    <n v="1400.2412669489283"/>
    <n v="1624.3750942939696"/>
    <n v="0.15687611461108267"/>
    <n v="76"/>
    <n v="83"/>
    <n v="0"/>
    <n v="-7"/>
    <n v="0"/>
    <n v="0.3118587582548728"/>
    <n v="1"/>
    <n v="72.400000000000006"/>
    <n v="72.400000000000006"/>
    <n v="-3.5420389778982022"/>
    <n v="1396.69922797103"/>
    <n v="0"/>
    <n v="1"/>
    <n v="0"/>
    <n v="0"/>
    <n v="0"/>
    <n v="0"/>
    <n v="0"/>
    <n v="0"/>
    <n v="0"/>
    <n v="0"/>
  </r>
  <r>
    <d v="2015-08-11T00:00:00"/>
    <n v="2015"/>
    <x v="22"/>
    <s v="R"/>
    <s v="RS"/>
    <x v="5"/>
    <s v="SAS"/>
    <s v="H"/>
    <n v="1"/>
    <n v="2"/>
    <n v="-1"/>
    <n v="1"/>
    <n v="-8"/>
    <n v="8"/>
    <n v="1624.3750942939696"/>
    <n v="1400.2412669489283"/>
    <n v="0.84312388538891725"/>
    <n v="83"/>
    <n v="76"/>
    <n v="0"/>
    <n v="7"/>
    <n v="1"/>
    <n v="0.3118587582548728"/>
    <n v="1"/>
    <n v="72.55"/>
    <n v="72.55"/>
    <n v="3.5493774564435729"/>
    <n v="1627.9244717504132"/>
    <n v="1"/>
    <n v="0"/>
    <n v="0"/>
    <n v="0"/>
    <n v="0"/>
    <n v="0"/>
    <n v="0"/>
    <n v="0"/>
    <n v="0"/>
    <n v="0"/>
  </r>
  <r>
    <d v="2015-08-11T00:00:00"/>
    <n v="2015"/>
    <x v="23"/>
    <s v="R"/>
    <s v="RS"/>
    <x v="1"/>
    <s v="NYL"/>
    <s v="A"/>
    <n v="1"/>
    <n v="3"/>
    <n v="-2"/>
    <n v="2"/>
    <n v="-16"/>
    <n v="16"/>
    <n v="1554.4998391786432"/>
    <n v="1557.1233713244164"/>
    <n v="0.33562507622382359"/>
    <n v="63"/>
    <n v="84"/>
    <n v="0"/>
    <n v="-21"/>
    <n v="0"/>
    <n v="0.58729230590115633"/>
    <n v="1"/>
    <n v="72.400000000000006"/>
    <n v="72.400000000000006"/>
    <n v="-14.270765805202828"/>
    <n v="1540.2290733734403"/>
    <n v="0"/>
    <n v="1"/>
    <n v="0"/>
    <n v="0"/>
    <n v="0"/>
    <n v="0"/>
    <n v="0"/>
    <n v="0"/>
    <n v="0"/>
    <n v="0"/>
  </r>
  <r>
    <d v="2015-08-11T00:00:00"/>
    <n v="2015"/>
    <x v="20"/>
    <s v="R"/>
    <s v="RS"/>
    <x v="7"/>
    <s v="CHI"/>
    <s v="H"/>
    <n v="3"/>
    <n v="1"/>
    <n v="2"/>
    <n v="-2"/>
    <n v="16"/>
    <n v="-16"/>
    <n v="1557.1233713244164"/>
    <n v="1554.4998391786432"/>
    <n v="0.66437492377617646"/>
    <n v="84"/>
    <n v="63"/>
    <n v="0"/>
    <n v="21"/>
    <n v="1"/>
    <n v="0.58729230590115633"/>
    <n v="1"/>
    <n v="72.849999999999994"/>
    <n v="72.849999999999994"/>
    <n v="14.359465316423007"/>
    <n v="1571.4828366408394"/>
    <n v="1"/>
    <n v="0"/>
    <n v="0"/>
    <n v="0"/>
    <n v="0"/>
    <n v="0"/>
    <n v="0"/>
    <n v="0"/>
    <n v="0"/>
    <n v="0"/>
  </r>
  <r>
    <d v="2015-08-11T00:00:00"/>
    <n v="2015"/>
    <x v="21"/>
    <s v="R"/>
    <s v="RS"/>
    <x v="0"/>
    <s v="WAS"/>
    <s v="A"/>
    <n v="3"/>
    <n v="1"/>
    <n v="2"/>
    <n v="-2"/>
    <n v="16"/>
    <n v="-16"/>
    <n v="1515.9587305933669"/>
    <n v="1546.5168869591068"/>
    <n v="0.38337606065904312"/>
    <n v="73"/>
    <n v="62"/>
    <n v="0"/>
    <n v="11"/>
    <n v="1"/>
    <n v="0.42891362881047518"/>
    <n v="1"/>
    <n v="72.7"/>
    <n v="72.7"/>
    <n v="19.227580511261991"/>
    <n v="1535.1863111046289"/>
    <n v="1"/>
    <n v="0"/>
    <n v="0"/>
    <n v="0"/>
    <n v="0"/>
    <n v="0"/>
    <n v="0"/>
    <n v="0"/>
    <n v="0"/>
    <n v="0"/>
  </r>
  <r>
    <d v="2015-08-11T00:00:00"/>
    <n v="2015"/>
    <x v="21"/>
    <s v="R"/>
    <s v="RS"/>
    <x v="2"/>
    <s v="IND"/>
    <s v="H"/>
    <n v="1"/>
    <n v="3"/>
    <n v="-2"/>
    <n v="2"/>
    <n v="-16"/>
    <n v="16"/>
    <n v="1546.5168869591068"/>
    <n v="1515.9587305933669"/>
    <n v="0.61662393934095683"/>
    <n v="62"/>
    <n v="73"/>
    <n v="0"/>
    <n v="-11"/>
    <n v="0"/>
    <n v="0.42891362881047518"/>
    <n v="1"/>
    <n v="72.7"/>
    <n v="72.7"/>
    <n v="-19.227580511261987"/>
    <n v="1527.2893064478449"/>
    <n v="0"/>
    <n v="1"/>
    <n v="0"/>
    <n v="0"/>
    <n v="0"/>
    <n v="0"/>
    <n v="0"/>
    <n v="0"/>
    <n v="0"/>
    <n v="0"/>
  </r>
  <r>
    <d v="2015-08-12T00:00:00"/>
    <n v="2015"/>
    <x v="23"/>
    <s v="R"/>
    <s v="RS"/>
    <x v="4"/>
    <s v="CON"/>
    <s v="A"/>
    <n v="2"/>
    <n v="2"/>
    <n v="0"/>
    <n v="0"/>
    <n v="0"/>
    <n v="0"/>
    <n v="1427.6566428145677"/>
    <n v="1486.9986736459027"/>
    <n v="0.30467302324269463"/>
    <n v="74"/>
    <n v="80"/>
    <n v="0"/>
    <n v="-6"/>
    <n v="0"/>
    <n v="0.33472789995813845"/>
    <n v="1"/>
    <n v="72.400000000000006"/>
    <n v="72.400000000000006"/>
    <n v="-7.383537434060119"/>
    <n v="1420.2731053805076"/>
    <n v="0"/>
    <n v="1"/>
    <n v="0"/>
    <n v="0"/>
    <n v="0"/>
    <n v="0"/>
    <n v="0"/>
    <n v="0"/>
    <n v="0"/>
    <n v="0"/>
  </r>
  <r>
    <d v="2015-08-12T00:00:00"/>
    <n v="2015"/>
    <x v="21"/>
    <s v="R"/>
    <s v="RS"/>
    <x v="3"/>
    <s v="TUL"/>
    <s v="H"/>
    <n v="2"/>
    <n v="2"/>
    <n v="0"/>
    <n v="0"/>
    <n v="0"/>
    <n v="0"/>
    <n v="1486.9986736459027"/>
    <n v="1427.6566428145677"/>
    <n v="0.69532697675730537"/>
    <n v="80"/>
    <n v="74"/>
    <n v="0"/>
    <n v="6"/>
    <n v="1"/>
    <n v="0.33472789995813845"/>
    <n v="1"/>
    <n v="72.7"/>
    <n v="72.7"/>
    <n v="7.4141322024332945"/>
    <n v="1494.4128058483361"/>
    <n v="1"/>
    <n v="0"/>
    <n v="0"/>
    <n v="0"/>
    <n v="0"/>
    <n v="0"/>
    <n v="0"/>
    <n v="0"/>
    <n v="0"/>
    <n v="0"/>
  </r>
  <r>
    <d v="2015-08-12T00:00:00"/>
    <n v="2015"/>
    <x v="23"/>
    <s v="R"/>
    <s v="RS"/>
    <x v="11"/>
    <s v="PHX"/>
    <s v="A"/>
    <n v="0"/>
    <n v="2"/>
    <n v="-2"/>
    <n v="2"/>
    <n v="-16"/>
    <n v="16"/>
    <n v="1392.2551465062527"/>
    <n v="1627.1968897369579"/>
    <n v="0.11710006276899323"/>
    <n v="66"/>
    <n v="83"/>
    <n v="0"/>
    <n v="-17"/>
    <n v="0"/>
    <n v="0.44526579975286956"/>
    <n v="1"/>
    <n v="72.400000000000006"/>
    <n v="72.400000000000006"/>
    <n v="-3.7749832844361628"/>
    <n v="1388.4801632218166"/>
    <n v="0"/>
    <n v="1"/>
    <n v="0"/>
    <n v="0"/>
    <n v="0"/>
    <n v="0"/>
    <n v="0"/>
    <n v="0"/>
    <n v="0"/>
    <n v="0"/>
  </r>
  <r>
    <d v="2015-08-12T00:00:00"/>
    <n v="2015"/>
    <x v="22"/>
    <s v="R"/>
    <s v="RS"/>
    <x v="9"/>
    <s v="SEA"/>
    <s v="H"/>
    <n v="2"/>
    <n v="0"/>
    <n v="2"/>
    <n v="-2"/>
    <n v="16"/>
    <n v="-16"/>
    <n v="1627.1968897369579"/>
    <n v="1392.2551465062527"/>
    <n v="0.88289993723100668"/>
    <n v="83"/>
    <n v="66"/>
    <n v="0"/>
    <n v="17"/>
    <n v="1"/>
    <n v="0.44526579975286956"/>
    <n v="1"/>
    <n v="72.55"/>
    <n v="72.55"/>
    <n v="3.7828043824011575"/>
    <n v="1630.979694119359"/>
    <n v="1"/>
    <n v="0"/>
    <n v="0"/>
    <n v="0"/>
    <n v="0"/>
    <n v="0"/>
    <n v="0"/>
    <n v="0"/>
    <n v="0"/>
    <n v="0"/>
  </r>
  <r>
    <d v="2015-08-14T00:00:00"/>
    <n v="2015"/>
    <x v="23"/>
    <s v="R"/>
    <s v="RS"/>
    <x v="5"/>
    <s v="ATL"/>
    <s v="A"/>
    <n v="2"/>
    <n v="4"/>
    <n v="-2"/>
    <n v="2"/>
    <n v="-16"/>
    <n v="16"/>
    <n v="1627.9244717504132"/>
    <n v="1420.848605056065"/>
    <n v="0.62814682057236515"/>
    <n v="84"/>
    <n v="82"/>
    <n v="0"/>
    <n v="2"/>
    <n v="1"/>
    <n v="0.22842377769344685"/>
    <n v="1"/>
    <n v="72.400000000000006"/>
    <n v="72.400000000000006"/>
    <n v="6.149663818633794"/>
    <n v="1634.074135569047"/>
    <n v="1"/>
    <n v="0"/>
    <n v="0"/>
    <n v="0"/>
    <n v="0"/>
    <n v="0"/>
    <n v="0"/>
    <n v="0"/>
    <n v="0"/>
    <n v="0"/>
  </r>
  <r>
    <d v="2015-08-14T00:00:00"/>
    <n v="2015"/>
    <x v="22"/>
    <s v="R"/>
    <s v="RS"/>
    <x v="6"/>
    <s v="MIN"/>
    <s v="H"/>
    <n v="4"/>
    <n v="2"/>
    <n v="2"/>
    <n v="-2"/>
    <n v="16"/>
    <n v="-16"/>
    <n v="1420.848605056065"/>
    <n v="1627.9244717504132"/>
    <n v="0.37185317942763479"/>
    <n v="82"/>
    <n v="84"/>
    <n v="0"/>
    <n v="-2"/>
    <n v="0"/>
    <n v="0.22842377769344685"/>
    <n v="1"/>
    <n v="72.55"/>
    <n v="72.55"/>
    <n v="-6.1624048348326195"/>
    <n v="1414.6862002212324"/>
    <n v="0"/>
    <n v="1"/>
    <n v="0"/>
    <n v="0"/>
    <n v="0"/>
    <n v="0"/>
    <n v="0"/>
    <n v="0"/>
    <n v="0"/>
    <n v="0"/>
  </r>
  <r>
    <d v="2015-08-14T00:00:00"/>
    <n v="2015"/>
    <x v="21"/>
    <s v="R"/>
    <s v="RS"/>
    <x v="7"/>
    <s v="CON"/>
    <s v="A"/>
    <n v="2"/>
    <n v="1"/>
    <n v="1"/>
    <n v="-1"/>
    <n v="8"/>
    <n v="-8"/>
    <n v="1571.4828366408394"/>
    <n v="1494.4128058483361"/>
    <n v="0.51304985918062385"/>
    <n v="90"/>
    <n v="78"/>
    <n v="0"/>
    <n v="12"/>
    <n v="1"/>
    <n v="0.42860244034712808"/>
    <n v="1"/>
    <n v="72.7"/>
    <n v="72.7"/>
    <n v="15.17307295822228"/>
    <n v="1586.6559095990617"/>
    <n v="1"/>
    <n v="0"/>
    <n v="0"/>
    <n v="0"/>
    <n v="0"/>
    <n v="0"/>
    <n v="0"/>
    <n v="0"/>
    <n v="0"/>
    <n v="0"/>
  </r>
  <r>
    <d v="2015-08-14T00:00:00"/>
    <n v="2015"/>
    <x v="22"/>
    <s v="R"/>
    <s v="RS"/>
    <x v="3"/>
    <s v="NYL"/>
    <s v="H"/>
    <n v="1"/>
    <n v="2"/>
    <n v="-1"/>
    <n v="1"/>
    <n v="-8"/>
    <n v="8"/>
    <n v="1494.4128058483361"/>
    <n v="1571.4828366408394"/>
    <n v="0.48695014081937604"/>
    <n v="78"/>
    <n v="90"/>
    <n v="0"/>
    <n v="-12"/>
    <n v="0"/>
    <n v="0.42860244034712808"/>
    <n v="1"/>
    <n v="72.55"/>
    <n v="72.55"/>
    <n v="-15.141766755419889"/>
    <n v="1479.2710390929162"/>
    <n v="0"/>
    <n v="1"/>
    <n v="0"/>
    <n v="0"/>
    <n v="0"/>
    <n v="0"/>
    <n v="0"/>
    <n v="0"/>
    <n v="0"/>
    <n v="0"/>
  </r>
  <r>
    <d v="2015-08-14T00:00:00"/>
    <n v="2015"/>
    <x v="24"/>
    <s v="R"/>
    <s v="RS"/>
    <x v="1"/>
    <s v="SEA"/>
    <s v="A"/>
    <n v="2"/>
    <n v="1"/>
    <n v="1"/>
    <n v="-1"/>
    <n v="8"/>
    <n v="-8"/>
    <n v="1540.2290733734403"/>
    <n v="1388.4801632218166"/>
    <n v="0.61824304169401112"/>
    <n v="94"/>
    <n v="84"/>
    <n v="0"/>
    <n v="10"/>
    <n v="1"/>
    <n v="0.37562866549068386"/>
    <n v="1"/>
    <n v="72.25"/>
    <n v="72.25"/>
    <n v="10.360567403096375"/>
    <n v="1550.5896407765367"/>
    <n v="1"/>
    <n v="0"/>
    <n v="0"/>
    <n v="0"/>
    <n v="0"/>
    <n v="0"/>
    <n v="0"/>
    <n v="0"/>
    <n v="0"/>
    <n v="0"/>
  </r>
  <r>
    <d v="2015-08-14T00:00:00"/>
    <n v="2015"/>
    <x v="24"/>
    <s v="R"/>
    <s v="RS"/>
    <x v="11"/>
    <s v="CHI"/>
    <s v="H"/>
    <n v="1"/>
    <n v="2"/>
    <n v="-1"/>
    <n v="1"/>
    <n v="-8"/>
    <n v="8"/>
    <n v="1388.4801632218166"/>
    <n v="1540.2290733734403"/>
    <n v="0.38175695830598894"/>
    <n v="84"/>
    <n v="94"/>
    <n v="0"/>
    <n v="-10"/>
    <n v="0"/>
    <n v="0.37562866549068386"/>
    <n v="1"/>
    <n v="72.25"/>
    <n v="72.25"/>
    <n v="-10.360567403096377"/>
    <n v="1378.1195958187202"/>
    <n v="0"/>
    <n v="1"/>
    <n v="0"/>
    <n v="0"/>
    <n v="0"/>
    <n v="0"/>
    <n v="0"/>
    <n v="0"/>
    <n v="0"/>
    <n v="0"/>
  </r>
  <r>
    <d v="2015-08-15T00:00:00"/>
    <n v="2015"/>
    <x v="24"/>
    <s v="R"/>
    <s v="RS"/>
    <x v="4"/>
    <s v="NYL"/>
    <s v="A"/>
    <n v="2"/>
    <n v="0"/>
    <n v="2"/>
    <n v="-2"/>
    <n v="16"/>
    <n v="-16"/>
    <n v="1420.2731053805076"/>
    <n v="1586.6559095990617"/>
    <n v="0.22147136422337096"/>
    <n v="81"/>
    <n v="76"/>
    <n v="0"/>
    <n v="5"/>
    <n v="1"/>
    <n v="0.2913584460550776"/>
    <n v="1"/>
    <n v="72.25"/>
    <n v="72.25"/>
    <n v="16.388532057488899"/>
    <n v="1436.6616374379964"/>
    <n v="1"/>
    <n v="0"/>
    <n v="0"/>
    <n v="0"/>
    <n v="0"/>
    <n v="0"/>
    <n v="0"/>
    <n v="0"/>
    <n v="0"/>
    <n v="0"/>
  </r>
  <r>
    <d v="2015-08-15T00:00:00"/>
    <n v="2015"/>
    <x v="22"/>
    <s v="R"/>
    <s v="RS"/>
    <x v="7"/>
    <s v="TUL"/>
    <s v="H"/>
    <n v="0"/>
    <n v="2"/>
    <n v="-2"/>
    <n v="2"/>
    <n v="-16"/>
    <n v="16"/>
    <n v="1586.6559095990617"/>
    <n v="1420.2731053805076"/>
    <n v="0.77852863577662901"/>
    <n v="76"/>
    <n v="81"/>
    <n v="0"/>
    <n v="-5"/>
    <n v="0"/>
    <n v="0.2913584460550776"/>
    <n v="1"/>
    <n v="72.55"/>
    <n v="72.55"/>
    <n v="-16.456581325547674"/>
    <n v="1570.1993282735141"/>
    <n v="0"/>
    <n v="1"/>
    <n v="0"/>
    <n v="0"/>
    <n v="0"/>
    <n v="0"/>
    <n v="0"/>
    <n v="0"/>
    <n v="0"/>
    <n v="0"/>
  </r>
  <r>
    <d v="2015-08-16T00:00:00"/>
    <n v="2015"/>
    <x v="23"/>
    <s v="R"/>
    <s v="RS"/>
    <x v="3"/>
    <s v="ATL"/>
    <s v="A"/>
    <n v="1"/>
    <n v="1"/>
    <n v="0"/>
    <n v="0"/>
    <n v="0"/>
    <n v="0"/>
    <n v="1479.2710390929162"/>
    <n v="1414.6862002212324"/>
    <n v="0.47208838449386509"/>
    <n v="77"/>
    <n v="90"/>
    <n v="0"/>
    <n v="-13"/>
    <n v="0"/>
    <n v="0.44793555115080619"/>
    <n v="1"/>
    <n v="72.400000000000006"/>
    <n v="72.400000000000006"/>
    <n v="-15.31007835869109"/>
    <n v="1463.9609607342252"/>
    <n v="0"/>
    <n v="1"/>
    <n v="0"/>
    <n v="0"/>
    <n v="0"/>
    <n v="0"/>
    <n v="0"/>
    <n v="0"/>
    <n v="0"/>
    <n v="0"/>
  </r>
  <r>
    <d v="2015-08-16T00:00:00"/>
    <n v="2015"/>
    <x v="23"/>
    <s v="R"/>
    <s v="RS"/>
    <x v="6"/>
    <s v="CON"/>
    <s v="H"/>
    <n v="1"/>
    <n v="1"/>
    <n v="0"/>
    <n v="0"/>
    <n v="0"/>
    <n v="0"/>
    <n v="1414.6862002212324"/>
    <n v="1479.2710390929162"/>
    <n v="0.52791161550613497"/>
    <n v="90"/>
    <n v="77"/>
    <n v="0"/>
    <n v="13"/>
    <n v="1"/>
    <n v="0.44793555115080619"/>
    <n v="1"/>
    <n v="72.400000000000006"/>
    <n v="72.400000000000006"/>
    <n v="15.310078358691088"/>
    <n v="1429.9962785799235"/>
    <n v="1"/>
    <n v="0"/>
    <n v="0"/>
    <n v="0"/>
    <n v="0"/>
    <n v="0"/>
    <n v="0"/>
    <n v="0"/>
    <n v="0"/>
    <n v="0"/>
  </r>
  <r>
    <d v="2015-08-16T00:00:00"/>
    <n v="2015"/>
    <x v="25"/>
    <s v="R"/>
    <s v="RS"/>
    <x v="1"/>
    <s v="LAS"/>
    <s v="A"/>
    <n v="1"/>
    <n v="4"/>
    <n v="-3"/>
    <n v="3"/>
    <n v="-16"/>
    <n v="16"/>
    <n v="1550.5896407765367"/>
    <n v="1447.518616840774"/>
    <n v="0.48140229154302305"/>
    <n v="64"/>
    <n v="76"/>
    <n v="0"/>
    <n v="-12"/>
    <n v="0"/>
    <n v="0.42005026712867166"/>
    <n v="1"/>
    <n v="72.099999999999994"/>
    <n v="72.099999999999994"/>
    <n v="-14.579568919564009"/>
    <n v="1536.0100718569727"/>
    <n v="0"/>
    <n v="1"/>
    <n v="0"/>
    <n v="0"/>
    <n v="0"/>
    <n v="0"/>
    <n v="0"/>
    <n v="0"/>
    <n v="0"/>
    <n v="0"/>
  </r>
  <r>
    <d v="2015-08-16T00:00:00"/>
    <n v="2015"/>
    <x v="23"/>
    <s v="R"/>
    <s v="RS"/>
    <x v="10"/>
    <s v="CHI"/>
    <s v="H"/>
    <n v="4"/>
    <n v="1"/>
    <n v="3"/>
    <n v="-3"/>
    <n v="16"/>
    <n v="-16"/>
    <n v="1447.518616840774"/>
    <n v="1550.5896407765367"/>
    <n v="0.51859770845697706"/>
    <n v="76"/>
    <n v="64"/>
    <n v="0"/>
    <n v="12"/>
    <n v="1"/>
    <n v="0.42005026712867166"/>
    <n v="1"/>
    <n v="72.400000000000006"/>
    <n v="72.400000000000006"/>
    <n v="14.640232867911706"/>
    <n v="1462.1588497086857"/>
    <n v="1"/>
    <n v="0"/>
    <n v="0"/>
    <n v="0"/>
    <n v="0"/>
    <n v="0"/>
    <n v="0"/>
    <n v="0"/>
    <n v="0"/>
    <n v="0"/>
  </r>
  <r>
    <d v="2015-08-16T00:00:00"/>
    <n v="2015"/>
    <x v="22"/>
    <s v="R"/>
    <s v="RS"/>
    <x v="0"/>
    <s v="PHX"/>
    <s v="A"/>
    <n v="4"/>
    <n v="3"/>
    <n v="1"/>
    <n v="-1"/>
    <n v="8"/>
    <n v="-8"/>
    <n v="1535.1863111046289"/>
    <n v="1630.979694119359"/>
    <n v="0.280320878757289"/>
    <n v="75"/>
    <n v="63"/>
    <n v="0"/>
    <n v="12"/>
    <n v="1"/>
    <n v="0.42240942025679934"/>
    <n v="1"/>
    <n v="72.55"/>
    <n v="72.55"/>
    <n v="22.055144889210336"/>
    <n v="1557.2414559938393"/>
    <n v="1"/>
    <n v="0"/>
    <n v="0"/>
    <n v="0"/>
    <n v="0"/>
    <n v="0"/>
    <n v="0"/>
    <n v="0"/>
    <n v="0"/>
    <n v="0"/>
  </r>
  <r>
    <d v="2015-08-16T00:00:00"/>
    <n v="2015"/>
    <x v="23"/>
    <s v="R"/>
    <s v="RS"/>
    <x v="9"/>
    <s v="IND"/>
    <s v="H"/>
    <n v="3"/>
    <n v="4"/>
    <n v="-1"/>
    <n v="1"/>
    <n v="-8"/>
    <n v="8"/>
    <n v="1630.979694119359"/>
    <n v="1535.1863111046289"/>
    <n v="0.71967912124271094"/>
    <n v="63"/>
    <n v="75"/>
    <n v="0"/>
    <n v="-12"/>
    <n v="0"/>
    <n v="0.42240942025679934"/>
    <n v="1"/>
    <n v="72.400000000000006"/>
    <n v="72.400000000000006"/>
    <n v="-22.009545003154081"/>
    <n v="1608.970149116205"/>
    <n v="0"/>
    <n v="1"/>
    <n v="0"/>
    <n v="0"/>
    <n v="0"/>
    <n v="0"/>
    <n v="0"/>
    <n v="0"/>
    <n v="0"/>
    <n v="0"/>
  </r>
  <r>
    <d v="2015-08-16T00:00:00"/>
    <n v="2015"/>
    <x v="24"/>
    <s v="R"/>
    <s v="RS"/>
    <x v="8"/>
    <s v="SEA"/>
    <s v="A"/>
    <n v="4"/>
    <n v="1"/>
    <n v="3"/>
    <n v="-3"/>
    <n v="16"/>
    <n v="-16"/>
    <n v="1396.69922797103"/>
    <n v="1378.1195958187202"/>
    <n v="0.45205201794607758"/>
    <n v="63"/>
    <n v="72"/>
    <n v="0"/>
    <n v="-9"/>
    <n v="0"/>
    <n v="0.3997816964298323"/>
    <n v="1"/>
    <n v="72.25"/>
    <n v="72.25"/>
    <n v="-13.057173358501108"/>
    <n v="1383.6420546125289"/>
    <n v="0"/>
    <n v="1"/>
    <n v="0"/>
    <n v="0"/>
    <n v="0"/>
    <n v="0"/>
    <n v="0"/>
    <n v="0"/>
    <n v="0"/>
    <n v="0"/>
  </r>
  <r>
    <d v="2015-08-16T00:00:00"/>
    <n v="2015"/>
    <x v="25"/>
    <s v="R"/>
    <s v="RS"/>
    <x v="11"/>
    <s v="SAS"/>
    <s v="H"/>
    <n v="1"/>
    <n v="4"/>
    <n v="-3"/>
    <n v="3"/>
    <n v="-16"/>
    <n v="16"/>
    <n v="1378.1195958187202"/>
    <n v="1396.69922797103"/>
    <n v="0.54794798205392248"/>
    <n v="72"/>
    <n v="63"/>
    <n v="0"/>
    <n v="9"/>
    <n v="1"/>
    <n v="0.3997816964298323"/>
    <n v="1"/>
    <n v="72.099999999999994"/>
    <n v="72.099999999999994"/>
    <n v="13.030065040109754"/>
    <n v="1391.14966085883"/>
    <n v="1"/>
    <n v="0"/>
    <n v="0"/>
    <n v="0"/>
    <n v="0"/>
    <n v="0"/>
    <n v="0"/>
    <n v="0"/>
    <n v="0"/>
    <n v="0"/>
  </r>
  <r>
    <d v="2015-08-16T00:00:00"/>
    <n v="2015"/>
    <x v="24"/>
    <s v="R"/>
    <s v="RS"/>
    <x v="5"/>
    <s v="WAS"/>
    <s v="A"/>
    <n v="1"/>
    <n v="4"/>
    <n v="-3"/>
    <n v="3"/>
    <n v="-16"/>
    <n v="16"/>
    <n v="1634.074135569047"/>
    <n v="1527.2893064478449"/>
    <n v="0.4867414120164279"/>
    <n v="69"/>
    <n v="77"/>
    <n v="0"/>
    <n v="-8"/>
    <n v="0"/>
    <n v="0.35658406159870398"/>
    <n v="1"/>
    <n v="72.25"/>
    <n v="72.25"/>
    <n v="-12.540015591858914"/>
    <n v="1621.5341199771881"/>
    <n v="0"/>
    <n v="1"/>
    <n v="0"/>
    <n v="0"/>
    <n v="0"/>
    <n v="0"/>
    <n v="0"/>
    <n v="0"/>
    <n v="0"/>
    <n v="0"/>
  </r>
  <r>
    <d v="2015-08-16T00:00:00"/>
    <n v="2015"/>
    <x v="22"/>
    <s v="R"/>
    <s v="RS"/>
    <x v="2"/>
    <s v="MIN"/>
    <s v="H"/>
    <n v="4"/>
    <n v="1"/>
    <n v="3"/>
    <n v="-3"/>
    <n v="16"/>
    <n v="-16"/>
    <n v="1527.2893064478449"/>
    <n v="1634.074135569047"/>
    <n v="0.51325858798357205"/>
    <n v="77"/>
    <n v="69"/>
    <n v="0"/>
    <n v="8"/>
    <n v="1"/>
    <n v="0.35658406159870398"/>
    <n v="1"/>
    <n v="72.55"/>
    <n v="72.55"/>
    <n v="12.592084860752447"/>
    <n v="1539.8813913085974"/>
    <n v="1"/>
    <n v="0"/>
    <n v="0"/>
    <n v="0"/>
    <n v="0"/>
    <n v="0"/>
    <n v="0"/>
    <n v="0"/>
    <n v="0"/>
    <n v="0"/>
  </r>
  <r>
    <d v="2015-08-18T00:00:00"/>
    <n v="2015"/>
    <x v="23"/>
    <s v="R"/>
    <s v="RS"/>
    <x v="0"/>
    <s v="LAS"/>
    <s v="A"/>
    <n v="1"/>
    <n v="1"/>
    <n v="0"/>
    <n v="0"/>
    <n v="0"/>
    <n v="0"/>
    <n v="1557.2414559938393"/>
    <n v="1462.1588497086857"/>
    <n v="0.51594374528475584"/>
    <n v="79"/>
    <n v="68"/>
    <n v="0"/>
    <n v="11"/>
    <n v="1"/>
    <n v="0.40754401437227317"/>
    <n v="1"/>
    <n v="72.400000000000006"/>
    <n v="72.400000000000006"/>
    <n v="14.282654196154855"/>
    <n v="1571.5241101899942"/>
    <n v="1"/>
    <n v="0"/>
    <n v="0"/>
    <n v="0"/>
    <n v="0"/>
    <n v="0"/>
    <n v="0"/>
    <n v="0"/>
    <n v="0"/>
    <n v="0"/>
  </r>
  <r>
    <d v="2015-08-18T00:00:00"/>
    <n v="2015"/>
    <x v="24"/>
    <s v="R"/>
    <s v="RS"/>
    <x v="10"/>
    <s v="IND"/>
    <s v="H"/>
    <n v="1"/>
    <n v="1"/>
    <n v="0"/>
    <n v="0"/>
    <n v="0"/>
    <n v="0"/>
    <n v="1462.1588497086857"/>
    <n v="1557.2414559938393"/>
    <n v="0.48405625471524411"/>
    <n v="68"/>
    <n v="79"/>
    <n v="0"/>
    <n v="-11"/>
    <n v="0"/>
    <n v="0.40754401437227317"/>
    <n v="1"/>
    <n v="72.25"/>
    <n v="72.25"/>
    <n v="-14.253063061770552"/>
    <n v="1447.9057866469152"/>
    <n v="0"/>
    <n v="1"/>
    <n v="0"/>
    <n v="0"/>
    <n v="0"/>
    <n v="0"/>
    <n v="0"/>
    <n v="0"/>
    <n v="0"/>
    <n v="0"/>
  </r>
  <r>
    <d v="2015-08-18T00:00:00"/>
    <n v="2015"/>
    <x v="24"/>
    <s v="R"/>
    <s v="RS"/>
    <x v="9"/>
    <s v="TUL"/>
    <s v="A"/>
    <n v="1"/>
    <n v="2"/>
    <n v="-1"/>
    <n v="1"/>
    <n v="-8"/>
    <n v="8"/>
    <n v="1608.970149116205"/>
    <n v="1436.6616374379964"/>
    <n v="0.60258346572568489"/>
    <n v="59"/>
    <n v="74"/>
    <n v="0"/>
    <n v="-15"/>
    <n v="0"/>
    <n v="0.43970989651342413"/>
    <n v="1"/>
    <n v="72.25"/>
    <n v="72.25"/>
    <n v="-19.143498239894512"/>
    <n v="1589.8266508763104"/>
    <n v="0"/>
    <n v="1"/>
    <n v="0"/>
    <n v="0"/>
    <n v="0"/>
    <n v="0"/>
    <n v="0"/>
    <n v="0"/>
    <n v="0"/>
    <n v="0"/>
  </r>
  <r>
    <d v="2015-08-18T00:00:00"/>
    <n v="2015"/>
    <x v="25"/>
    <s v="R"/>
    <s v="RS"/>
    <x v="4"/>
    <s v="PHX"/>
    <s v="H"/>
    <n v="2"/>
    <n v="1"/>
    <n v="1"/>
    <n v="-1"/>
    <n v="8"/>
    <n v="-8"/>
    <n v="1436.6616374379964"/>
    <n v="1608.970149116205"/>
    <n v="0.39741653427431511"/>
    <n v="74"/>
    <n v="59"/>
    <n v="0"/>
    <n v="15"/>
    <n v="1"/>
    <n v="0.43970989651342413"/>
    <n v="1"/>
    <n v="72.099999999999994"/>
    <n v="72.099999999999994"/>
    <n v="19.103753952891271"/>
    <n v="1455.7653913908878"/>
    <n v="1"/>
    <n v="0"/>
    <n v="0"/>
    <n v="0"/>
    <n v="0"/>
    <n v="0"/>
    <n v="0"/>
    <n v="0"/>
    <n v="0"/>
    <n v="0"/>
  </r>
  <r>
    <d v="2015-08-19T00:00:00"/>
    <n v="2015"/>
    <x v="23"/>
    <s v="R"/>
    <s v="RS"/>
    <x v="2"/>
    <s v="MIN"/>
    <s v="A"/>
    <n v="2"/>
    <n v="2"/>
    <n v="0"/>
    <n v="0"/>
    <n v="0"/>
    <n v="0"/>
    <n v="1539.8813913085974"/>
    <n v="1621.5341199771881"/>
    <n v="0.27816667840034698"/>
    <n v="79"/>
    <n v="61"/>
    <n v="0"/>
    <n v="18"/>
    <n v="1"/>
    <n v="0.51199572542030269"/>
    <n v="1"/>
    <n v="72.400000000000006"/>
    <n v="72.400000000000006"/>
    <n v="26.757271639047183"/>
    <n v="1566.6386629476444"/>
    <n v="1"/>
    <n v="0"/>
    <n v="0"/>
    <n v="0"/>
    <n v="0"/>
    <n v="0"/>
    <n v="0"/>
    <n v="0"/>
    <n v="0"/>
    <n v="0"/>
  </r>
  <r>
    <d v="2015-08-19T00:00:00"/>
    <n v="2015"/>
    <x v="25"/>
    <s v="R"/>
    <s v="RS"/>
    <x v="5"/>
    <s v="WAS"/>
    <s v="H"/>
    <n v="2"/>
    <n v="2"/>
    <n v="0"/>
    <n v="0"/>
    <n v="0"/>
    <n v="0"/>
    <n v="1621.5341199771881"/>
    <n v="1539.8813913085974"/>
    <n v="0.72183332159965297"/>
    <n v="61"/>
    <n v="79"/>
    <n v="0"/>
    <n v="-18"/>
    <n v="0"/>
    <n v="0.51199572542030269"/>
    <n v="1"/>
    <n v="72.099999999999994"/>
    <n v="72.099999999999994"/>
    <n v="-26.646398966509686"/>
    <n v="1594.8877210106784"/>
    <n v="0"/>
    <n v="1"/>
    <n v="0"/>
    <n v="0"/>
    <n v="0"/>
    <n v="0"/>
    <n v="0"/>
    <n v="0"/>
    <n v="0"/>
    <n v="0"/>
  </r>
  <r>
    <d v="2015-08-19T00:00:00"/>
    <n v="2015"/>
    <x v="23"/>
    <s v="R"/>
    <s v="RS"/>
    <x v="7"/>
    <s v="SAS"/>
    <s v="A"/>
    <n v="3"/>
    <n v="2"/>
    <n v="1"/>
    <n v="-1"/>
    <n v="8"/>
    <n v="-8"/>
    <n v="1570.1993282735141"/>
    <n v="1383.6420546125289"/>
    <n v="0.66428987030259423"/>
    <n v="73"/>
    <n v="45"/>
    <n v="0"/>
    <n v="28"/>
    <n v="1"/>
    <n v="0.5877201090537344"/>
    <n v="1"/>
    <n v="72.400000000000006"/>
    <n v="72.400000000000006"/>
    <n v="14.284780208221072"/>
    <n v="1584.4841084817351"/>
    <n v="1"/>
    <n v="0"/>
    <n v="0"/>
    <n v="0"/>
    <n v="0"/>
    <n v="0"/>
    <n v="0"/>
    <n v="0"/>
    <n v="0"/>
    <n v="0"/>
  </r>
  <r>
    <d v="2015-08-19T00:00:00"/>
    <n v="2015"/>
    <x v="25"/>
    <s v="R"/>
    <s v="RS"/>
    <x v="8"/>
    <s v="NYL"/>
    <s v="H"/>
    <n v="2"/>
    <n v="3"/>
    <n v="-1"/>
    <n v="1"/>
    <n v="-8"/>
    <n v="8"/>
    <n v="1383.6420546125289"/>
    <n v="1570.1993282735141"/>
    <n v="0.33571012969740571"/>
    <n v="45"/>
    <n v="73"/>
    <n v="0"/>
    <n v="-28"/>
    <n v="0"/>
    <n v="0.5877201090537344"/>
    <n v="1"/>
    <n v="72.099999999999994"/>
    <n v="72.099999999999994"/>
    <n v="-14.225589130010206"/>
    <n v="1369.4164654825188"/>
    <n v="0"/>
    <n v="1"/>
    <n v="0"/>
    <n v="0"/>
    <n v="0"/>
    <n v="0"/>
    <n v="0"/>
    <n v="0"/>
    <n v="0"/>
    <n v="0"/>
  </r>
  <r>
    <d v="2015-08-21T00:00:00"/>
    <n v="2015"/>
    <x v="24"/>
    <s v="R"/>
    <s v="RS"/>
    <x v="2"/>
    <s v="CHI"/>
    <s v="A"/>
    <n v="1"/>
    <n v="4"/>
    <n v="-3"/>
    <n v="3"/>
    <n v="-16"/>
    <n v="16"/>
    <n v="1566.6386629476444"/>
    <n v="1536.0100718569727"/>
    <n v="0.37955502704491856"/>
    <n v="85"/>
    <n v="87"/>
    <n v="0"/>
    <n v="-2"/>
    <n v="0"/>
    <n v="0.26117513220357369"/>
    <n v="1"/>
    <n v="72.25"/>
    <n v="72.25"/>
    <n v="-7.1621666580148533"/>
    <n v="1559.4764962896295"/>
    <n v="0"/>
    <n v="1"/>
    <n v="0"/>
    <n v="0"/>
    <n v="0"/>
    <n v="0"/>
    <n v="0"/>
    <n v="0"/>
    <n v="0"/>
    <n v="0"/>
  </r>
  <r>
    <d v="2015-08-21T00:00:00"/>
    <n v="2015"/>
    <x v="26"/>
    <s v="R"/>
    <s v="RS"/>
    <x v="1"/>
    <s v="WAS"/>
    <s v="H"/>
    <n v="4"/>
    <n v="1"/>
    <n v="3"/>
    <n v="-3"/>
    <n v="16"/>
    <n v="-16"/>
    <n v="1536.0100718569727"/>
    <n v="1566.6386629476444"/>
    <n v="0.6204449729550815"/>
    <n v="87"/>
    <n v="85"/>
    <n v="0"/>
    <n v="2"/>
    <n v="1"/>
    <n v="0.26117513220357369"/>
    <n v="1"/>
    <n v="71.95"/>
    <n v="71.95"/>
    <n v="7.132427557704756"/>
    <n v="1543.1424994146773"/>
    <n v="1"/>
    <n v="0"/>
    <n v="0"/>
    <n v="0"/>
    <n v="0"/>
    <n v="0"/>
    <n v="0"/>
    <n v="0"/>
    <n v="0"/>
    <n v="0"/>
  </r>
  <r>
    <d v="2015-08-21T00:00:00"/>
    <n v="2015"/>
    <x v="24"/>
    <s v="R"/>
    <s v="RS"/>
    <x v="6"/>
    <s v="NYL"/>
    <s v="A"/>
    <n v="4"/>
    <n v="1"/>
    <n v="3"/>
    <n v="-3"/>
    <n v="16"/>
    <n v="-16"/>
    <n v="1429.9962785799235"/>
    <n v="1584.4841084817351"/>
    <n v="0.23350234885160634"/>
    <n v="67"/>
    <n v="78"/>
    <n v="0"/>
    <n v="-11"/>
    <n v="0"/>
    <n v="0.38966991999287198"/>
    <n v="1"/>
    <n v="72.25"/>
    <n v="72.25"/>
    <n v="-6.5739438052498134"/>
    <n v="1423.4223347746736"/>
    <n v="0"/>
    <n v="1"/>
    <n v="0"/>
    <n v="0"/>
    <n v="0"/>
    <n v="0"/>
    <n v="0"/>
    <n v="0"/>
    <n v="0"/>
    <n v="0"/>
  </r>
  <r>
    <d v="2015-08-21T00:00:00"/>
    <n v="2015"/>
    <x v="24"/>
    <s v="R"/>
    <s v="RS"/>
    <x v="7"/>
    <s v="ATL"/>
    <s v="H"/>
    <n v="1"/>
    <n v="4"/>
    <n v="-3"/>
    <n v="3"/>
    <n v="-16"/>
    <n v="16"/>
    <n v="1584.4841084817351"/>
    <n v="1429.9962785799235"/>
    <n v="0.76649765114839374"/>
    <n v="78"/>
    <n v="67"/>
    <n v="0"/>
    <n v="11"/>
    <n v="1"/>
    <n v="0.38966991999287198"/>
    <n v="1"/>
    <n v="72.25"/>
    <n v="72.25"/>
    <n v="6.5739438052498107"/>
    <n v="1591.058052286985"/>
    <n v="1"/>
    <n v="0"/>
    <n v="0"/>
    <n v="0"/>
    <n v="0"/>
    <n v="0"/>
    <n v="0"/>
    <n v="0"/>
    <n v="0"/>
    <n v="0"/>
  </r>
  <r>
    <d v="2015-08-21T00:00:00"/>
    <n v="2015"/>
    <x v="25"/>
    <s v="R"/>
    <s v="RS"/>
    <x v="10"/>
    <s v="PHX"/>
    <s v="A"/>
    <n v="2"/>
    <n v="2"/>
    <n v="0"/>
    <n v="0"/>
    <n v="0"/>
    <n v="0"/>
    <n v="1447.9057866469152"/>
    <n v="1589.8266508763104"/>
    <n v="0.2140800325919075"/>
    <n v="78"/>
    <n v="68"/>
    <n v="0"/>
    <n v="10"/>
    <n v="1"/>
    <n v="0.37837971875511595"/>
    <n v="1"/>
    <n v="72.099999999999994"/>
    <n v="72.099999999999994"/>
    <n v="21.440822306320271"/>
    <n v="1469.3466089532355"/>
    <n v="1"/>
    <n v="0"/>
    <n v="0"/>
    <n v="0"/>
    <n v="0"/>
    <n v="0"/>
    <n v="0"/>
    <n v="0"/>
    <n v="0"/>
    <n v="0"/>
  </r>
  <r>
    <d v="2015-08-21T00:00:00"/>
    <n v="2015"/>
    <x v="25"/>
    <s v="R"/>
    <s v="RS"/>
    <x v="9"/>
    <s v="LAS"/>
    <s v="H"/>
    <n v="2"/>
    <n v="2"/>
    <n v="0"/>
    <n v="0"/>
    <n v="0"/>
    <n v="0"/>
    <n v="1589.8266508763104"/>
    <n v="1447.9057866469152"/>
    <n v="0.78591996740809256"/>
    <n v="68"/>
    <n v="78"/>
    <n v="0"/>
    <n v="-10"/>
    <n v="0"/>
    <n v="0.37837971875511595"/>
    <n v="1"/>
    <n v="72.099999999999994"/>
    <n v="72.099999999999994"/>
    <n v="-21.440822306320271"/>
    <n v="1568.3858285699901"/>
    <n v="0"/>
    <n v="1"/>
    <n v="0"/>
    <n v="0"/>
    <n v="0"/>
    <n v="0"/>
    <n v="0"/>
    <n v="0"/>
    <n v="0"/>
    <n v="0"/>
  </r>
  <r>
    <d v="2015-08-21T00:00:00"/>
    <n v="2015"/>
    <x v="26"/>
    <s v="R"/>
    <s v="RS"/>
    <x v="5"/>
    <s v="SAS"/>
    <s v="A"/>
    <n v="1"/>
    <n v="1"/>
    <n v="0"/>
    <n v="0"/>
    <n v="0"/>
    <n v="0"/>
    <n v="1594.8877210106784"/>
    <n v="1369.4164654825188"/>
    <n v="0.69304079531610652"/>
    <n v="78"/>
    <n v="61"/>
    <n v="0"/>
    <n v="17"/>
    <n v="1"/>
    <n v="0.44822403848589915"/>
    <n v="1"/>
    <n v="71.95"/>
    <n v="71.95"/>
    <n v="9.8993482701973896"/>
    <n v="1604.7870692808758"/>
    <n v="1"/>
    <n v="0"/>
    <n v="0"/>
    <n v="0"/>
    <n v="0"/>
    <n v="0"/>
    <n v="0"/>
    <n v="0"/>
    <n v="0"/>
    <n v="0"/>
  </r>
  <r>
    <d v="2015-08-21T00:00:00"/>
    <n v="2015"/>
    <x v="26"/>
    <s v="R"/>
    <s v="RS"/>
    <x v="8"/>
    <s v="MIN"/>
    <s v="H"/>
    <n v="1"/>
    <n v="1"/>
    <n v="0"/>
    <n v="0"/>
    <n v="0"/>
    <n v="0"/>
    <n v="1369.4164654825188"/>
    <n v="1594.8877210106784"/>
    <n v="0.30695920468389343"/>
    <n v="61"/>
    <n v="78"/>
    <n v="0"/>
    <n v="-17"/>
    <n v="0"/>
    <n v="0.44822403848589915"/>
    <n v="1"/>
    <n v="71.95"/>
    <n v="71.95"/>
    <n v="-9.8993482701973878"/>
    <n v="1359.5171172123214"/>
    <n v="0"/>
    <n v="1"/>
    <n v="0"/>
    <n v="0"/>
    <n v="0"/>
    <n v="0"/>
    <n v="0"/>
    <n v="0"/>
    <n v="0"/>
    <n v="0"/>
  </r>
  <r>
    <d v="2015-08-21T00:00:00"/>
    <n v="2015"/>
    <x v="24"/>
    <s v="R"/>
    <s v="RS"/>
    <x v="0"/>
    <s v="SEA"/>
    <s v="A"/>
    <n v="2"/>
    <n v="4"/>
    <n v="-2"/>
    <n v="2"/>
    <n v="-16"/>
    <n v="16"/>
    <n v="1571.5241101899942"/>
    <n v="1391.14966085883"/>
    <n v="0.59159649036524042"/>
    <n v="75"/>
    <n v="63"/>
    <n v="0"/>
    <n v="12"/>
    <n v="1"/>
    <n v="0.39652670473367579"/>
    <n v="1"/>
    <n v="72.25"/>
    <n v="72.25"/>
    <n v="11.70037437162331"/>
    <n v="1583.2244845616176"/>
    <n v="1"/>
    <n v="0"/>
    <n v="0"/>
    <n v="0"/>
    <n v="0"/>
    <n v="0"/>
    <n v="0"/>
    <n v="0"/>
    <n v="0"/>
    <n v="0"/>
  </r>
  <r>
    <d v="2015-08-21T00:00:00"/>
    <n v="2015"/>
    <x v="26"/>
    <s v="R"/>
    <s v="RS"/>
    <x v="11"/>
    <s v="IND"/>
    <s v="H"/>
    <n v="4"/>
    <n v="2"/>
    <n v="2"/>
    <n v="-2"/>
    <n v="16"/>
    <n v="-16"/>
    <n v="1391.14966085883"/>
    <n v="1571.5241101899942"/>
    <n v="0.40840350963475958"/>
    <n v="63"/>
    <n v="75"/>
    <n v="0"/>
    <n v="-12"/>
    <n v="0"/>
    <n v="0.39652670473367579"/>
    <n v="1"/>
    <n v="71.95"/>
    <n v="71.95"/>
    <n v="-11.651791502260169"/>
    <n v="1379.4978693565697"/>
    <n v="0"/>
    <n v="1"/>
    <n v="0"/>
    <n v="0"/>
    <n v="0"/>
    <n v="0"/>
    <n v="0"/>
    <n v="0"/>
    <n v="0"/>
    <n v="0"/>
  </r>
  <r>
    <d v="2015-08-21T00:00:00"/>
    <n v="2015"/>
    <x v="24"/>
    <s v="R"/>
    <s v="RS"/>
    <x v="3"/>
    <s v="TUL"/>
    <s v="A"/>
    <n v="4"/>
    <n v="2"/>
    <n v="2"/>
    <n v="-2"/>
    <n v="16"/>
    <n v="-16"/>
    <n v="1463.9609607342252"/>
    <n v="1455.7653913908878"/>
    <n v="0.4372922723325865"/>
    <n v="76"/>
    <n v="84"/>
    <n v="1"/>
    <n v="-8"/>
    <n v="0"/>
    <n v="0.34711332208508455"/>
    <n v="1"/>
    <n v="72.25"/>
    <n v="72.25"/>
    <n v="-10.966825576090846"/>
    <n v="1452.9941351581344"/>
    <n v="0"/>
    <n v="1"/>
    <n v="0"/>
    <n v="0"/>
    <n v="0"/>
    <n v="0"/>
    <n v="0"/>
    <n v="0"/>
    <n v="0"/>
    <n v="0"/>
  </r>
  <r>
    <d v="2015-08-21T00:00:00"/>
    <n v="2015"/>
    <x v="26"/>
    <s v="R"/>
    <s v="RS"/>
    <x v="4"/>
    <s v="CON"/>
    <s v="H"/>
    <n v="2"/>
    <n v="4"/>
    <n v="-2"/>
    <n v="2"/>
    <n v="-16"/>
    <n v="16"/>
    <n v="1455.7653913908878"/>
    <n v="1463.9609607342252"/>
    <n v="0.5627077276674135"/>
    <n v="84"/>
    <n v="76"/>
    <n v="1"/>
    <n v="8"/>
    <n v="1"/>
    <n v="0.34711332208508455"/>
    <n v="1"/>
    <n v="71.95"/>
    <n v="71.95"/>
    <n v="10.921288584079397"/>
    <n v="1466.6866799749671"/>
    <n v="1"/>
    <n v="0"/>
    <n v="0"/>
    <n v="0"/>
    <n v="0"/>
    <n v="0"/>
    <n v="0"/>
    <n v="0"/>
    <n v="0"/>
    <n v="0"/>
  </r>
  <r>
    <d v="2015-08-23T00:00:00"/>
    <n v="2015"/>
    <x v="25"/>
    <s v="R"/>
    <s v="RS"/>
    <x v="6"/>
    <s v="CON"/>
    <s v="A"/>
    <n v="1"/>
    <n v="1"/>
    <n v="0"/>
    <n v="0"/>
    <n v="0"/>
    <n v="0"/>
    <n v="1423.4223347746736"/>
    <n v="1452.9941351581344"/>
    <n v="0.34214006669964675"/>
    <n v="102"/>
    <n v="92"/>
    <n v="0"/>
    <n v="10"/>
    <n v="1"/>
    <n v="0.4129532240739332"/>
    <n v="1"/>
    <n v="72.099999999999994"/>
    <n v="72.099999999999994"/>
    <n v="19.587073930116475"/>
    <n v="1443.0094087047901"/>
    <n v="1"/>
    <n v="0"/>
    <n v="0"/>
    <n v="0"/>
    <n v="0"/>
    <n v="0"/>
    <n v="0"/>
    <n v="0"/>
    <n v="0"/>
    <n v="0"/>
  </r>
  <r>
    <d v="2015-08-23T00:00:00"/>
    <n v="2015"/>
    <x v="25"/>
    <s v="R"/>
    <s v="RS"/>
    <x v="3"/>
    <s v="ATL"/>
    <s v="H"/>
    <n v="1"/>
    <n v="1"/>
    <n v="0"/>
    <n v="0"/>
    <n v="0"/>
    <n v="0"/>
    <n v="1452.9941351581344"/>
    <n v="1423.4223347746736"/>
    <n v="0.65785993330035319"/>
    <n v="92"/>
    <n v="102"/>
    <n v="0"/>
    <n v="-10"/>
    <n v="0"/>
    <n v="0.4129532240739332"/>
    <n v="1"/>
    <n v="72.099999999999994"/>
    <n v="72.099999999999994"/>
    <n v="-19.587073930116475"/>
    <n v="1433.4070612280179"/>
    <n v="0"/>
    <n v="1"/>
    <n v="0"/>
    <n v="0"/>
    <n v="0"/>
    <n v="0"/>
    <n v="0"/>
    <n v="0"/>
    <n v="0"/>
    <n v="0"/>
  </r>
  <r>
    <d v="2015-08-23T00:00:00"/>
    <n v="2015"/>
    <x v="25"/>
    <s v="R"/>
    <s v="RS"/>
    <x v="7"/>
    <s v="IND"/>
    <s v="A"/>
    <n v="1"/>
    <n v="1"/>
    <n v="0"/>
    <n v="0"/>
    <n v="0"/>
    <n v="0"/>
    <n v="1591.058052286985"/>
    <n v="1583.2244845616176"/>
    <n v="0.39211054894715636"/>
    <n v="79"/>
    <n v="80"/>
    <n v="0"/>
    <n v="-1"/>
    <n v="0"/>
    <n v="0.24259601073198264"/>
    <n v="1"/>
    <n v="72.099999999999994"/>
    <n v="72.099999999999994"/>
    <n v="-6.8584732012106224"/>
    <n v="1584.1995790857743"/>
    <n v="0"/>
    <n v="1"/>
    <n v="0"/>
    <n v="0"/>
    <n v="0"/>
    <n v="0"/>
    <n v="0"/>
    <n v="0"/>
    <n v="0"/>
    <n v="0"/>
  </r>
  <r>
    <d v="2015-08-23T00:00:00"/>
    <n v="2015"/>
    <x v="25"/>
    <s v="R"/>
    <s v="RS"/>
    <x v="0"/>
    <s v="NYL"/>
    <s v="H"/>
    <n v="1"/>
    <n v="1"/>
    <n v="0"/>
    <n v="0"/>
    <n v="0"/>
    <n v="0"/>
    <n v="1583.2244845616176"/>
    <n v="1591.058052286985"/>
    <n v="0.60788945105284364"/>
    <n v="80"/>
    <n v="79"/>
    <n v="0"/>
    <n v="1"/>
    <n v="1"/>
    <n v="0.24259601073198264"/>
    <n v="1"/>
    <n v="72.099999999999994"/>
    <n v="72.099999999999994"/>
    <n v="6.8584732012106224"/>
    <n v="1590.0829577628283"/>
    <n v="1"/>
    <n v="0"/>
    <n v="0"/>
    <n v="0"/>
    <n v="0"/>
    <n v="0"/>
    <n v="0"/>
    <n v="0"/>
    <n v="0"/>
    <n v="0"/>
  </r>
  <r>
    <d v="2015-08-23T00:00:00"/>
    <n v="2015"/>
    <x v="27"/>
    <s v="R"/>
    <s v="RS"/>
    <x v="5"/>
    <s v="PHX"/>
    <s v="A"/>
    <n v="1"/>
    <n v="1"/>
    <n v="0"/>
    <n v="0"/>
    <n v="0"/>
    <n v="0"/>
    <n v="1604.7870692808758"/>
    <n v="1568.3858285699901"/>
    <n v="0.43192524689608414"/>
    <n v="67"/>
    <n v="79"/>
    <n v="0"/>
    <n v="-12"/>
    <n v="0"/>
    <n v="0.44270040636415042"/>
    <n v="1"/>
    <n v="71.8"/>
    <n v="71.8"/>
    <n v="-13.72912803056397"/>
    <n v="1591.0579412503118"/>
    <n v="0"/>
    <n v="1"/>
    <n v="0"/>
    <n v="0"/>
    <n v="0"/>
    <n v="0"/>
    <n v="0"/>
    <n v="0"/>
    <n v="0"/>
    <n v="0"/>
  </r>
  <r>
    <d v="2015-08-23T00:00:00"/>
    <n v="2015"/>
    <x v="26"/>
    <s v="R"/>
    <s v="RS"/>
    <x v="9"/>
    <s v="MIN"/>
    <s v="H"/>
    <n v="1"/>
    <n v="1"/>
    <n v="0"/>
    <n v="0"/>
    <n v="0"/>
    <n v="0"/>
    <n v="1568.3858285699901"/>
    <n v="1604.7870692808758"/>
    <n v="0.56807475310391586"/>
    <n v="79"/>
    <n v="67"/>
    <n v="0"/>
    <n v="12"/>
    <n v="1"/>
    <n v="0.44270040636415042"/>
    <n v="1"/>
    <n v="71.95"/>
    <n v="71.95"/>
    <n v="13.757810052911944"/>
    <n v="1582.143638622902"/>
    <n v="1"/>
    <n v="0"/>
    <n v="0"/>
    <n v="0"/>
    <n v="0"/>
    <n v="0"/>
    <n v="0"/>
    <n v="0"/>
    <n v="0"/>
    <n v="0"/>
  </r>
  <r>
    <d v="2015-08-23T00:00:00"/>
    <n v="2015"/>
    <x v="26"/>
    <s v="R"/>
    <s v="RS"/>
    <x v="10"/>
    <s v="SAS"/>
    <s v="A"/>
    <n v="1"/>
    <n v="1"/>
    <n v="0"/>
    <n v="0"/>
    <n v="0"/>
    <n v="0"/>
    <n v="1469.3466089532355"/>
    <n v="1359.5171172123214"/>
    <n v="0.53710329618315844"/>
    <n v="90"/>
    <n v="59"/>
    <n v="0"/>
    <n v="31"/>
    <n v="1"/>
    <n v="0.65549100404053318"/>
    <n v="1"/>
    <n v="71.95"/>
    <n v="71.95"/>
    <n v="21.831401779683148"/>
    <n v="1491.1780107329187"/>
    <n v="1"/>
    <n v="0"/>
    <n v="0"/>
    <n v="0"/>
    <n v="0"/>
    <n v="0"/>
    <n v="0"/>
    <n v="0"/>
    <n v="0"/>
    <n v="0"/>
  </r>
  <r>
    <d v="2015-08-23T00:00:00"/>
    <n v="2015"/>
    <x v="27"/>
    <s v="R"/>
    <s v="RS"/>
    <x v="8"/>
    <s v="LAS"/>
    <s v="H"/>
    <n v="1"/>
    <n v="1"/>
    <n v="0"/>
    <n v="0"/>
    <n v="0"/>
    <n v="0"/>
    <n v="1359.5171172123214"/>
    <n v="1469.3466089532355"/>
    <n v="0.4628967038168415"/>
    <n v="59"/>
    <n v="90"/>
    <n v="0"/>
    <n v="-31"/>
    <n v="0"/>
    <n v="0.65549100404053318"/>
    <n v="1"/>
    <n v="71.8"/>
    <n v="71.8"/>
    <n v="-21.785888085910351"/>
    <n v="1337.7312291264111"/>
    <n v="0"/>
    <n v="1"/>
    <n v="0"/>
    <n v="0"/>
    <n v="0"/>
    <n v="0"/>
    <n v="0"/>
    <n v="0"/>
    <n v="0"/>
    <n v="0"/>
  </r>
  <r>
    <d v="2015-08-23T00:00:00"/>
    <n v="2015"/>
    <x v="27"/>
    <s v="R"/>
    <s v="RS"/>
    <x v="1"/>
    <s v="WAS"/>
    <s v="A"/>
    <n v="1"/>
    <n v="1"/>
    <n v="0"/>
    <n v="0"/>
    <n v="0"/>
    <n v="0"/>
    <n v="1543.1424994146773"/>
    <n v="1559.4764962896295"/>
    <n v="0.35949217819738105"/>
    <n v="66"/>
    <n v="64"/>
    <n v="0"/>
    <n v="2"/>
    <n v="1"/>
    <n v="0.26424451326476162"/>
    <n v="1"/>
    <n v="71.8"/>
    <n v="71.8"/>
    <n v="12.152198652721511"/>
    <n v="1555.2946980673989"/>
    <n v="1"/>
    <n v="0"/>
    <n v="0"/>
    <n v="0"/>
    <n v="0"/>
    <n v="0"/>
    <n v="0"/>
    <n v="0"/>
    <n v="0"/>
    <n v="0"/>
  </r>
  <r>
    <d v="2015-08-23T00:00:00"/>
    <n v="2015"/>
    <x v="25"/>
    <s v="R"/>
    <s v="RS"/>
    <x v="2"/>
    <s v="CHI"/>
    <s v="H"/>
    <n v="1"/>
    <n v="1"/>
    <n v="0"/>
    <n v="0"/>
    <n v="0"/>
    <n v="0"/>
    <n v="1559.4764962896295"/>
    <n v="1543.1424994146773"/>
    <n v="0.64050782180261889"/>
    <n v="64"/>
    <n v="66"/>
    <n v="0"/>
    <n v="-2"/>
    <n v="0"/>
    <n v="0.26424451326476162"/>
    <n v="1"/>
    <n v="72.099999999999994"/>
    <n v="72.099999999999994"/>
    <n v="-12.20297385600586"/>
    <n v="1547.2735224336236"/>
    <n v="0"/>
    <n v="1"/>
    <n v="0"/>
    <n v="0"/>
    <n v="0"/>
    <n v="0"/>
    <n v="0"/>
    <n v="0"/>
    <n v="0"/>
    <n v="0"/>
  </r>
  <r>
    <d v="2015-08-25T00:00:00"/>
    <n v="2015"/>
    <x v="26"/>
    <s v="R"/>
    <s v="RS"/>
    <x v="3"/>
    <s v="ATL"/>
    <s v="A"/>
    <n v="1"/>
    <n v="1"/>
    <n v="0"/>
    <n v="0"/>
    <n v="0"/>
    <n v="0"/>
    <n v="1433.4070612280179"/>
    <n v="1443.0094087047901"/>
    <n v="0.36846248952481664"/>
    <n v="57"/>
    <n v="71"/>
    <n v="0"/>
    <n v="-14"/>
    <n v="0"/>
    <n v="0.48373725915917809"/>
    <n v="1"/>
    <n v="71.95"/>
    <n v="71.95"/>
    <n v="-12.824298552831271"/>
    <n v="1420.5827626751866"/>
    <n v="0"/>
    <n v="1"/>
    <n v="0"/>
    <n v="0"/>
    <n v="0"/>
    <n v="0"/>
    <n v="0"/>
    <n v="0"/>
    <n v="0"/>
    <n v="0"/>
  </r>
  <r>
    <d v="2015-08-25T00:00:00"/>
    <n v="2015"/>
    <x v="26"/>
    <s v="R"/>
    <s v="RS"/>
    <x v="6"/>
    <s v="CON"/>
    <s v="H"/>
    <n v="1"/>
    <n v="1"/>
    <n v="0"/>
    <n v="0"/>
    <n v="0"/>
    <n v="0"/>
    <n v="1443.0094087047901"/>
    <n v="1433.4070612280179"/>
    <n v="0.63153751047518336"/>
    <n v="71"/>
    <n v="57"/>
    <n v="0"/>
    <n v="14"/>
    <n v="1"/>
    <n v="0.48373725915917809"/>
    <n v="1"/>
    <n v="71.95"/>
    <n v="71.95"/>
    <n v="12.824298552831271"/>
    <n v="1455.8337072576214"/>
    <n v="1"/>
    <n v="0"/>
    <n v="0"/>
    <n v="0"/>
    <n v="0"/>
    <n v="0"/>
    <n v="0"/>
    <n v="0"/>
    <n v="0"/>
    <n v="0"/>
  </r>
  <r>
    <d v="2015-08-26T00:00:00"/>
    <n v="2015"/>
    <x v="27"/>
    <s v="R"/>
    <s v="RS"/>
    <x v="10"/>
    <s v="IND"/>
    <s v="A"/>
    <n v="2"/>
    <n v="2"/>
    <n v="0"/>
    <n v="0"/>
    <n v="0"/>
    <n v="0"/>
    <n v="1491.1780107329187"/>
    <n v="1590.0829577628283"/>
    <n v="0.25867138855348909"/>
    <n v="81"/>
    <n v="79"/>
    <n v="0"/>
    <n v="2"/>
    <n v="1"/>
    <n v="0.24744657852488938"/>
    <n v="1"/>
    <n v="71.8"/>
    <n v="71.8"/>
    <n v="13.170936603790324"/>
    <n v="1504.348947336709"/>
    <n v="1"/>
    <n v="0"/>
    <n v="0"/>
    <n v="0"/>
    <n v="0"/>
    <n v="0"/>
    <n v="0"/>
    <n v="0"/>
    <n v="0"/>
    <n v="0"/>
  </r>
  <r>
    <d v="2015-08-26T00:00:00"/>
    <n v="2015"/>
    <x v="26"/>
    <s v="R"/>
    <s v="RS"/>
    <x v="0"/>
    <s v="LAS"/>
    <s v="H"/>
    <n v="2"/>
    <n v="2"/>
    <n v="0"/>
    <n v="0"/>
    <n v="0"/>
    <n v="0"/>
    <n v="1590.0829577628283"/>
    <n v="1491.1780107329187"/>
    <n v="0.74132861144651097"/>
    <n v="79"/>
    <n v="81"/>
    <n v="0"/>
    <n v="-2"/>
    <n v="0"/>
    <n v="0.24744657852488938"/>
    <n v="1"/>
    <n v="71.95"/>
    <n v="71.95"/>
    <n v="-13.198452488060081"/>
    <n v="1576.8845052747681"/>
    <n v="0"/>
    <n v="1"/>
    <n v="0"/>
    <n v="0"/>
    <n v="0"/>
    <n v="0"/>
    <n v="0"/>
    <n v="0"/>
    <n v="0"/>
    <n v="0"/>
  </r>
  <r>
    <d v="2015-08-27T00:00:00"/>
    <n v="2015"/>
    <x v="27"/>
    <s v="R"/>
    <s v="RS"/>
    <x v="9"/>
    <s v="CON"/>
    <s v="A"/>
    <n v="3"/>
    <n v="1"/>
    <n v="2"/>
    <n v="-2"/>
    <n v="16"/>
    <n v="-16"/>
    <n v="1582.143638622902"/>
    <n v="1420.5827626751866"/>
    <n v="0.65264433675360567"/>
    <n v="81"/>
    <n v="80"/>
    <n v="0"/>
    <n v="1"/>
    <n v="1"/>
    <n v="0.21520565869256369"/>
    <n v="1"/>
    <n v="71.8"/>
    <n v="71.8"/>
    <n v="5.3672585294244426"/>
    <n v="1587.5108971523264"/>
    <n v="1"/>
    <n v="0"/>
    <n v="0"/>
    <n v="0"/>
    <n v="0"/>
    <n v="0"/>
    <n v="0"/>
    <n v="0"/>
    <n v="0"/>
    <n v="0"/>
  </r>
  <r>
    <d v="2015-08-27T00:00:00"/>
    <n v="2015"/>
    <x v="27"/>
    <s v="R"/>
    <s v="RS"/>
    <x v="3"/>
    <s v="PHX"/>
    <s v="H"/>
    <n v="1"/>
    <n v="3"/>
    <n v="-2"/>
    <n v="2"/>
    <n v="-16"/>
    <n v="16"/>
    <n v="1420.5827626751866"/>
    <n v="1582.143638622902"/>
    <n v="0.34735566324639428"/>
    <n v="80"/>
    <n v="81"/>
    <n v="0"/>
    <n v="-1"/>
    <n v="0"/>
    <n v="0.21520565869256369"/>
    <n v="1"/>
    <n v="71.8"/>
    <n v="71.8"/>
    <n v="-5.3672585294244417"/>
    <n v="1415.2155041457622"/>
    <n v="0"/>
    <n v="1"/>
    <n v="0"/>
    <n v="0"/>
    <n v="0"/>
    <n v="0"/>
    <n v="0"/>
    <n v="0"/>
    <n v="0"/>
    <n v="0"/>
  </r>
  <r>
    <d v="2015-08-28T00:00:00"/>
    <n v="2015"/>
    <x v="27"/>
    <s v="R"/>
    <s v="RS"/>
    <x v="6"/>
    <s v="IND"/>
    <s v="A"/>
    <n v="2"/>
    <n v="1"/>
    <n v="1"/>
    <n v="-1"/>
    <n v="8"/>
    <n v="-8"/>
    <n v="1455.8337072576214"/>
    <n v="1576.8845052747681"/>
    <n v="0.25194534332014235"/>
    <n v="90"/>
    <n v="84"/>
    <n v="0"/>
    <n v="6"/>
    <n v="1"/>
    <n v="0.31909213025108712"/>
    <n v="1"/>
    <n v="71.8"/>
    <n v="71.8"/>
    <n v="17.138541813195094"/>
    <n v="1472.9722490708166"/>
    <n v="1"/>
    <n v="0"/>
    <n v="0"/>
    <n v="0"/>
    <n v="0"/>
    <n v="0"/>
    <n v="0"/>
    <n v="0"/>
    <n v="0"/>
    <n v="0"/>
  </r>
  <r>
    <d v="2015-08-28T00:00:00"/>
    <n v="2015"/>
    <x v="27"/>
    <s v="R"/>
    <s v="RS"/>
    <x v="0"/>
    <s v="ATL"/>
    <s v="H"/>
    <n v="1"/>
    <n v="2"/>
    <n v="-1"/>
    <n v="1"/>
    <n v="-8"/>
    <n v="8"/>
    <n v="1576.8845052747681"/>
    <n v="1455.8337072576214"/>
    <n v="0.7480546566798576"/>
    <n v="84"/>
    <n v="90"/>
    <n v="0"/>
    <n v="-6"/>
    <n v="0"/>
    <n v="0.31909213025108712"/>
    <n v="1"/>
    <n v="71.8"/>
    <n v="71.8"/>
    <n v="-17.138541813195094"/>
    <n v="1559.745963461573"/>
    <n v="0"/>
    <n v="1"/>
    <n v="0"/>
    <n v="0"/>
    <n v="0"/>
    <n v="0"/>
    <n v="0"/>
    <n v="0"/>
    <n v="0"/>
    <n v="0"/>
  </r>
  <r>
    <d v="2015-08-28T00:00:00"/>
    <n v="2015"/>
    <x v="28"/>
    <s v="R"/>
    <s v="RS"/>
    <x v="5"/>
    <s v="NYL"/>
    <s v="A"/>
    <n v="4"/>
    <n v="4"/>
    <n v="0"/>
    <n v="0"/>
    <n v="0"/>
    <n v="0"/>
    <n v="1591.0579412503118"/>
    <n v="1584.1995790857743"/>
    <n v="0.39077327339963414"/>
    <n v="68"/>
    <n v="81"/>
    <n v="0"/>
    <n v="-13"/>
    <n v="0"/>
    <n v="0.46936121465073261"/>
    <n v="1"/>
    <n v="71.650000000000006"/>
    <n v="71.650000000000006"/>
    <n v="-13.141600078034884"/>
    <n v="1577.916341172277"/>
    <n v="0"/>
    <n v="1"/>
    <n v="0"/>
    <n v="0"/>
    <n v="0"/>
    <n v="0"/>
    <n v="0"/>
    <n v="0"/>
    <n v="0"/>
    <n v="0"/>
  </r>
  <r>
    <d v="2015-08-28T00:00:00"/>
    <n v="2015"/>
    <x v="26"/>
    <s v="R"/>
    <s v="RS"/>
    <x v="7"/>
    <s v="MIN"/>
    <s v="H"/>
    <n v="4"/>
    <n v="4"/>
    <n v="0"/>
    <n v="0"/>
    <n v="0"/>
    <n v="0"/>
    <n v="1584.1995790857743"/>
    <n v="1591.0579412503118"/>
    <n v="0.60922672660036581"/>
    <n v="81"/>
    <n v="68"/>
    <n v="0"/>
    <n v="13"/>
    <n v="1"/>
    <n v="0.46936121465073261"/>
    <n v="1"/>
    <n v="71.95"/>
    <n v="71.95"/>
    <n v="13.196624223511655"/>
    <n v="1597.396203309286"/>
    <n v="1"/>
    <n v="0"/>
    <n v="0"/>
    <n v="0"/>
    <n v="0"/>
    <n v="0"/>
    <n v="0"/>
    <n v="0"/>
    <n v="0"/>
    <n v="0"/>
  </r>
  <r>
    <d v="2015-08-28T00:00:00"/>
    <n v="2015"/>
    <x v="28"/>
    <s v="R"/>
    <s v="RS"/>
    <x v="8"/>
    <s v="SEA"/>
    <s v="A"/>
    <n v="4"/>
    <n v="6"/>
    <n v="-2"/>
    <n v="2"/>
    <n v="-16"/>
    <n v="16"/>
    <n v="1337.7312291264111"/>
    <n v="1379.4978693565697"/>
    <n v="0.28737286349682917"/>
    <n v="69"/>
    <n v="83"/>
    <n v="0"/>
    <n v="-14"/>
    <n v="0"/>
    <n v="0.47120747593321483"/>
    <n v="1"/>
    <n v="71.650000000000006"/>
    <n v="71.650000000000006"/>
    <n v="-9.7022871149419494"/>
    <n v="1328.0289420114691"/>
    <n v="0"/>
    <n v="1"/>
    <n v="0"/>
    <n v="0"/>
    <n v="0"/>
    <n v="0"/>
    <n v="0"/>
    <n v="0"/>
    <n v="0"/>
    <n v="0"/>
  </r>
  <r>
    <d v="2015-08-28T00:00:00"/>
    <n v="2015"/>
    <x v="27"/>
    <s v="R"/>
    <s v="RS"/>
    <x v="11"/>
    <s v="SAS"/>
    <s v="H"/>
    <n v="6"/>
    <n v="4"/>
    <n v="2"/>
    <n v="-2"/>
    <n v="16"/>
    <n v="-16"/>
    <n v="1379.4978693565697"/>
    <n v="1337.7312291264111"/>
    <n v="0.71262713650317089"/>
    <n v="83"/>
    <n v="69"/>
    <n v="0"/>
    <n v="14"/>
    <n v="1"/>
    <n v="0.47120747593321483"/>
    <n v="1"/>
    <n v="71.8"/>
    <n v="71.8"/>
    <n v="9.7225989511909532"/>
    <n v="1389.2204683077607"/>
    <n v="1"/>
    <n v="0"/>
    <n v="0"/>
    <n v="0"/>
    <n v="0"/>
    <n v="0"/>
    <n v="0"/>
    <n v="0"/>
    <n v="0"/>
    <n v="0"/>
  </r>
  <r>
    <d v="2015-08-28T00:00:00"/>
    <n v="2015"/>
    <x v="28"/>
    <s v="R"/>
    <s v="RS"/>
    <x v="10"/>
    <s v="TUL"/>
    <s v="A"/>
    <n v="1"/>
    <n v="6"/>
    <n v="-5"/>
    <n v="5"/>
    <n v="-16"/>
    <n v="16"/>
    <n v="1504.348947336709"/>
    <n v="1466.6866799749671"/>
    <n v="0.38913533752327506"/>
    <n v="66"/>
    <n v="76"/>
    <n v="0"/>
    <n v="-10"/>
    <n v="0"/>
    <n v="0.41025379264498069"/>
    <n v="1"/>
    <n v="71.650000000000006"/>
    <n v="71.650000000000006"/>
    <n v="-11.438510374294907"/>
    <n v="1492.910436962414"/>
    <n v="0"/>
    <n v="1"/>
    <n v="0"/>
    <n v="0"/>
    <n v="0"/>
    <n v="0"/>
    <n v="0"/>
    <n v="0"/>
    <n v="0"/>
    <n v="0"/>
  </r>
  <r>
    <d v="2015-08-28T00:00:00"/>
    <n v="2015"/>
    <x v="27"/>
    <s v="R"/>
    <s v="RS"/>
    <x v="4"/>
    <s v="LAS"/>
    <s v="H"/>
    <n v="6"/>
    <n v="1"/>
    <n v="5"/>
    <n v="-5"/>
    <n v="16"/>
    <n v="-16"/>
    <n v="1466.6866799749671"/>
    <n v="1504.348947336709"/>
    <n v="0.61086466247672488"/>
    <n v="76"/>
    <n v="66"/>
    <n v="0"/>
    <n v="10"/>
    <n v="1"/>
    <n v="0.41025379264498069"/>
    <n v="1"/>
    <n v="71.8"/>
    <n v="71.8"/>
    <n v="11.462457011505574"/>
    <n v="1478.1491369864727"/>
    <n v="1"/>
    <n v="0"/>
    <n v="0"/>
    <n v="0"/>
    <n v="0"/>
    <n v="0"/>
    <n v="0"/>
    <n v="0"/>
    <n v="0"/>
    <n v="0"/>
  </r>
  <r>
    <d v="2015-08-28T00:00:00"/>
    <n v="2015"/>
    <x v="28"/>
    <s v="R"/>
    <s v="RS"/>
    <x v="9"/>
    <s v="WAS"/>
    <s v="A"/>
    <n v="0"/>
    <n v="4"/>
    <n v="-4"/>
    <n v="4"/>
    <n v="-16"/>
    <n v="16"/>
    <n v="1587.5108971523264"/>
    <n v="1547.2735224336236"/>
    <n v="0.39266475517391219"/>
    <n v="63"/>
    <n v="71"/>
    <n v="0"/>
    <n v="-8"/>
    <n v="0"/>
    <n v="0.37571730339871012"/>
    <n v="1"/>
    <n v="71.650000000000006"/>
    <n v="71.650000000000006"/>
    <n v="-10.570592062629524"/>
    <n v="1576.9403050896969"/>
    <n v="0"/>
    <n v="1"/>
    <n v="0"/>
    <n v="0"/>
    <n v="0"/>
    <n v="0"/>
    <n v="0"/>
    <n v="0"/>
    <n v="0"/>
    <n v="0"/>
  </r>
  <r>
    <d v="2015-08-28T00:00:00"/>
    <n v="2015"/>
    <x v="26"/>
    <s v="R"/>
    <s v="RS"/>
    <x v="2"/>
    <s v="PHX"/>
    <s v="H"/>
    <n v="4"/>
    <n v="0"/>
    <n v="4"/>
    <n v="-4"/>
    <n v="16"/>
    <n v="-16"/>
    <n v="1547.2735224336236"/>
    <n v="1587.5108971523264"/>
    <n v="0.60733524482608792"/>
    <n v="71"/>
    <n v="63"/>
    <n v="0"/>
    <n v="8"/>
    <n v="1"/>
    <n v="0.37571730339871012"/>
    <n v="1"/>
    <n v="71.95"/>
    <n v="71.95"/>
    <n v="10.614851345515618"/>
    <n v="1557.8883737791393"/>
    <n v="1"/>
    <n v="0"/>
    <n v="0"/>
    <n v="0"/>
    <n v="0"/>
    <n v="0"/>
    <n v="0"/>
    <n v="0"/>
    <n v="0"/>
    <n v="0"/>
  </r>
  <r>
    <d v="2015-08-29T00:00:00"/>
    <n v="2015"/>
    <x v="28"/>
    <s v="R"/>
    <s v="RS"/>
    <x v="1"/>
    <s v="ATL"/>
    <s v="A"/>
    <n v="5"/>
    <n v="0"/>
    <n v="5"/>
    <n v="-5"/>
    <n v="16"/>
    <n v="-16"/>
    <n v="1555.2946980673989"/>
    <n v="1472.9722490708166"/>
    <n v="0.54352705380873156"/>
    <n v="98"/>
    <n v="96"/>
    <n v="0"/>
    <n v="2"/>
    <n v="1"/>
    <n v="0.25064646199020135"/>
    <n v="1"/>
    <n v="71.650000000000006"/>
    <n v="71.650000000000006"/>
    <n v="8.1977150197751403"/>
    <n v="1563.4924130871741"/>
    <n v="1"/>
    <n v="0"/>
    <n v="0"/>
    <n v="0"/>
    <n v="0"/>
    <n v="0"/>
    <n v="0"/>
    <n v="0"/>
    <n v="0"/>
    <n v="0"/>
  </r>
  <r>
    <d v="2015-08-29T00:00:00"/>
    <n v="2015"/>
    <x v="28"/>
    <s v="R"/>
    <s v="RS"/>
    <x v="6"/>
    <s v="CHI"/>
    <s v="H"/>
    <n v="0"/>
    <n v="5"/>
    <n v="-5"/>
    <n v="5"/>
    <n v="-16"/>
    <n v="16"/>
    <n v="1472.9722490708166"/>
    <n v="1555.2946980673989"/>
    <n v="0.45647294619126838"/>
    <n v="96"/>
    <n v="98"/>
    <n v="0"/>
    <n v="-2"/>
    <n v="0"/>
    <n v="0.25064646199020135"/>
    <n v="1"/>
    <n v="71.650000000000006"/>
    <n v="71.650000000000006"/>
    <n v="-8.1977150197751385"/>
    <n v="1464.7745340510414"/>
    <n v="0"/>
    <n v="1"/>
    <n v="0"/>
    <n v="0"/>
    <n v="0"/>
    <n v="0"/>
    <n v="0"/>
    <n v="0"/>
    <n v="0"/>
    <n v="0"/>
  </r>
  <r>
    <d v="2015-08-29T00:00:00"/>
    <n v="2015"/>
    <x v="27"/>
    <s v="R"/>
    <s v="RS"/>
    <x v="7"/>
    <s v="CON"/>
    <s v="A"/>
    <n v="0"/>
    <n v="1"/>
    <n v="-1"/>
    <n v="1"/>
    <n v="-8"/>
    <n v="8"/>
    <n v="1597.396203309286"/>
    <n v="1415.2155041457622"/>
    <n v="0.61611015758317278"/>
    <n v="80"/>
    <n v="66"/>
    <n v="0"/>
    <n v="14"/>
    <n v="1"/>
    <n v="0.42333808061061318"/>
    <n v="1"/>
    <n v="71.8"/>
    <n v="71.8"/>
    <n v="11.668590574123899"/>
    <n v="1609.0647938834099"/>
    <n v="1"/>
    <n v="0"/>
    <n v="0"/>
    <n v="0"/>
    <n v="0"/>
    <n v="0"/>
    <n v="0"/>
    <n v="0"/>
    <n v="0"/>
    <n v="0"/>
  </r>
  <r>
    <d v="2015-08-29T00:00:00"/>
    <n v="2015"/>
    <x v="28"/>
    <s v="R"/>
    <s v="RS"/>
    <x v="3"/>
    <s v="NYL"/>
    <s v="H"/>
    <n v="1"/>
    <n v="0"/>
    <n v="1"/>
    <n v="-1"/>
    <n v="8"/>
    <n v="-8"/>
    <n v="1415.2155041457622"/>
    <n v="1597.396203309286"/>
    <n v="0.38388984241682711"/>
    <n v="66"/>
    <n v="80"/>
    <n v="0"/>
    <n v="-14"/>
    <n v="0"/>
    <n v="0.42333808061061318"/>
    <n v="1"/>
    <n v="71.650000000000006"/>
    <n v="71.650000000000006"/>
    <n v="-11.644213295765699"/>
    <n v="1403.5712908499966"/>
    <n v="0"/>
    <n v="1"/>
    <n v="0"/>
    <n v="0"/>
    <n v="0"/>
    <n v="0"/>
    <n v="0"/>
    <n v="0"/>
    <n v="0"/>
    <n v="0"/>
  </r>
  <r>
    <d v="2015-08-30T00:00:00"/>
    <n v="2015"/>
    <x v="29"/>
    <s v="R"/>
    <s v="RS"/>
    <x v="3"/>
    <s v="CHI"/>
    <s v="A"/>
    <n v="0"/>
    <n v="0"/>
    <n v="0"/>
    <n v="0"/>
    <n v="0"/>
    <n v="0"/>
    <n v="1403.5712908499966"/>
    <n v="1563.4924130871741"/>
    <n v="0.19716269243304407"/>
    <n v="72"/>
    <n v="68"/>
    <n v="0"/>
    <n v="4"/>
    <n v="1"/>
    <n v="0.27480952812164394"/>
    <n v="1"/>
    <n v="71.5"/>
    <n v="71.5"/>
    <n v="15.774854928041229"/>
    <n v="1419.3461457780377"/>
    <n v="1"/>
    <n v="0"/>
    <n v="0"/>
    <n v="0"/>
    <n v="0"/>
    <n v="0"/>
    <n v="0"/>
    <n v="0"/>
    <n v="0"/>
    <n v="0"/>
  </r>
  <r>
    <d v="2015-08-30T00:00:00"/>
    <n v="2015"/>
    <x v="29"/>
    <s v="R"/>
    <s v="RS"/>
    <x v="1"/>
    <s v="CON"/>
    <s v="H"/>
    <n v="0"/>
    <n v="0"/>
    <n v="0"/>
    <n v="0"/>
    <n v="0"/>
    <n v="0"/>
    <n v="1563.4924130871741"/>
    <n v="1403.5712908499966"/>
    <n v="0.80283730756695593"/>
    <n v="68"/>
    <n v="72"/>
    <n v="0"/>
    <n v="-4"/>
    <n v="0"/>
    <n v="0.27480952812164394"/>
    <n v="1"/>
    <n v="71.5"/>
    <n v="71.5"/>
    <n v="-15.774854928041229"/>
    <n v="1547.717558159133"/>
    <n v="0"/>
    <n v="1"/>
    <n v="0"/>
    <n v="0"/>
    <n v="0"/>
    <n v="0"/>
    <n v="0"/>
    <n v="0"/>
    <n v="0"/>
    <n v="0"/>
  </r>
  <r>
    <d v="2015-08-30T00:00:00"/>
    <n v="2015"/>
    <x v="29"/>
    <s v="R"/>
    <s v="RS"/>
    <x v="8"/>
    <s v="LAS"/>
    <s v="A"/>
    <n v="1"/>
    <n v="1"/>
    <n v="0"/>
    <n v="0"/>
    <n v="0"/>
    <n v="0"/>
    <n v="1328.0289420114691"/>
    <n v="1492.910436962414"/>
    <n v="0.19268191142561761"/>
    <n v="52"/>
    <n v="60"/>
    <n v="0"/>
    <n v="-8"/>
    <n v="0"/>
    <n v="0.34140593430813149"/>
    <n v="1"/>
    <n v="71.5"/>
    <n v="71.5"/>
    <n v="-4.7034664816095821"/>
    <n v="1323.3254755298594"/>
    <n v="0"/>
    <n v="1"/>
    <n v="0"/>
    <n v="0"/>
    <n v="0"/>
    <n v="0"/>
    <n v="0"/>
    <n v="0"/>
    <n v="0"/>
    <n v="0"/>
  </r>
  <r>
    <d v="2015-08-30T00:00:00"/>
    <n v="2015"/>
    <x v="29"/>
    <s v="R"/>
    <s v="RS"/>
    <x v="10"/>
    <s v="SAS"/>
    <s v="H"/>
    <n v="1"/>
    <n v="1"/>
    <n v="0"/>
    <n v="0"/>
    <n v="0"/>
    <n v="0"/>
    <n v="1492.910436962414"/>
    <n v="1328.0289420114691"/>
    <n v="0.80731808857438236"/>
    <n v="60"/>
    <n v="52"/>
    <n v="0"/>
    <n v="8"/>
    <n v="1"/>
    <n v="0.34140593430813149"/>
    <n v="1"/>
    <n v="71.5"/>
    <n v="71.5"/>
    <n v="4.703466481609583"/>
    <n v="1497.6139034440237"/>
    <n v="1"/>
    <n v="0"/>
    <n v="0"/>
    <n v="0"/>
    <n v="0"/>
    <n v="0"/>
    <n v="0"/>
    <n v="0"/>
    <n v="0"/>
    <n v="0"/>
  </r>
  <r>
    <d v="2015-08-30T00:00:00"/>
    <n v="2015"/>
    <x v="29"/>
    <s v="R"/>
    <s v="RS"/>
    <x v="9"/>
    <s v="MIN"/>
    <s v="A"/>
    <n v="1"/>
    <n v="1"/>
    <n v="0"/>
    <n v="0"/>
    <n v="0"/>
    <n v="0"/>
    <n v="1576.9403050896969"/>
    <n v="1577.916341172277"/>
    <n v="0.38009114384104187"/>
    <n v="61"/>
    <n v="71"/>
    <n v="0"/>
    <n v="-10"/>
    <n v="0"/>
    <n v="0.42278582081868205"/>
    <n v="1"/>
    <n v="71.5"/>
    <n v="71.5"/>
    <n v="-11.489845955784384"/>
    <n v="1565.4504591339125"/>
    <n v="0"/>
    <n v="1"/>
    <n v="0"/>
    <n v="0"/>
    <n v="0"/>
    <n v="0"/>
    <n v="0"/>
    <n v="0"/>
    <n v="0"/>
    <n v="0"/>
  </r>
  <r>
    <d v="2015-08-30T00:00:00"/>
    <n v="2015"/>
    <x v="29"/>
    <s v="R"/>
    <s v="RS"/>
    <x v="5"/>
    <s v="PHX"/>
    <s v="H"/>
    <n v="1"/>
    <n v="1"/>
    <n v="0"/>
    <n v="0"/>
    <n v="0"/>
    <n v="0"/>
    <n v="1577.916341172277"/>
    <n v="1576.9403050896969"/>
    <n v="0.61990885615895808"/>
    <n v="71"/>
    <n v="61"/>
    <n v="0"/>
    <n v="10"/>
    <n v="1"/>
    <n v="0.42278582081868205"/>
    <n v="1"/>
    <n v="71.5"/>
    <n v="71.5"/>
    <n v="11.489845955784386"/>
    <n v="1589.4061871280614"/>
    <n v="1"/>
    <n v="0"/>
    <n v="0"/>
    <n v="0"/>
    <n v="0"/>
    <n v="0"/>
    <n v="0"/>
    <n v="0"/>
    <n v="0"/>
    <n v="0"/>
  </r>
  <r>
    <d v="2015-08-30T00:00:00"/>
    <n v="2015"/>
    <x v="27"/>
    <s v="R"/>
    <s v="RS"/>
    <x v="2"/>
    <s v="SEA"/>
    <s v="A"/>
    <n v="1"/>
    <n v="1"/>
    <n v="0"/>
    <n v="0"/>
    <n v="0"/>
    <n v="0"/>
    <n v="1557.8883737791393"/>
    <n v="1389.2204683077607"/>
    <n v="0.61949083487089807"/>
    <n v="59"/>
    <n v="69"/>
    <n v="0"/>
    <n v="-10"/>
    <n v="0"/>
    <n v="0.37098527492968886"/>
    <n v="1"/>
    <n v="71.8"/>
    <n v="71.8"/>
    <n v="-16.501217998213985"/>
    <n v="1541.3871557809252"/>
    <n v="0"/>
    <n v="1"/>
    <n v="0"/>
    <n v="0"/>
    <n v="0"/>
    <n v="0"/>
    <n v="0"/>
    <n v="0"/>
    <n v="0"/>
    <n v="0"/>
  </r>
  <r>
    <d v="2015-08-30T00:00:00"/>
    <n v="2015"/>
    <x v="28"/>
    <s v="R"/>
    <s v="RS"/>
    <x v="11"/>
    <s v="WAS"/>
    <s v="H"/>
    <n v="1"/>
    <n v="1"/>
    <n v="0"/>
    <n v="0"/>
    <n v="0"/>
    <n v="0"/>
    <n v="1389.2204683077607"/>
    <n v="1557.8883737791393"/>
    <n v="0.38050916512910188"/>
    <n v="69"/>
    <n v="59"/>
    <n v="0"/>
    <n v="10"/>
    <n v="1"/>
    <n v="0.37098527492968886"/>
    <n v="1"/>
    <n v="71.650000000000006"/>
    <n v="71.650000000000006"/>
    <n v="16.466744701560337"/>
    <n v="1405.6872130093211"/>
    <n v="1"/>
    <n v="0"/>
    <n v="0"/>
    <n v="0"/>
    <n v="0"/>
    <n v="0"/>
    <n v="0"/>
    <n v="0"/>
    <n v="0"/>
    <n v="0"/>
  </r>
  <r>
    <d v="2015-08-30T00:00:00"/>
    <n v="2015"/>
    <x v="28"/>
    <s v="R"/>
    <s v="RS"/>
    <x v="0"/>
    <s v="TUL"/>
    <s v="A"/>
    <n v="1"/>
    <n v="1"/>
    <n v="0"/>
    <n v="0"/>
    <n v="0"/>
    <n v="0"/>
    <n v="1559.745963461573"/>
    <n v="1478.1491369864727"/>
    <n v="0.49654161044453693"/>
    <n v="70"/>
    <n v="76"/>
    <n v="0"/>
    <n v="-6"/>
    <n v="0"/>
    <n v="0.32891538477711729"/>
    <n v="1"/>
    <n v="71.650000000000006"/>
    <n v="71.650000000000006"/>
    <n v="-11.701890528519408"/>
    <n v="1548.0440729330535"/>
    <n v="0"/>
    <n v="1"/>
    <n v="0"/>
    <n v="0"/>
    <n v="0"/>
    <n v="0"/>
    <n v="0"/>
    <n v="0"/>
    <n v="0"/>
    <n v="0"/>
  </r>
  <r>
    <d v="2015-08-30T00:00:00"/>
    <n v="2015"/>
    <x v="28"/>
    <s v="R"/>
    <s v="RS"/>
    <x v="4"/>
    <s v="IND"/>
    <s v="H"/>
    <n v="1"/>
    <n v="1"/>
    <n v="0"/>
    <n v="0"/>
    <n v="0"/>
    <n v="0"/>
    <n v="1478.1491369864727"/>
    <n v="1559.745963461573"/>
    <n v="0.50345838955546307"/>
    <n v="76"/>
    <n v="70"/>
    <n v="0"/>
    <n v="6"/>
    <n v="1"/>
    <n v="0.32891538477711729"/>
    <n v="1"/>
    <n v="71.650000000000006"/>
    <n v="71.650000000000006"/>
    <n v="11.701890528519408"/>
    <n v="1489.8510275149922"/>
    <n v="1"/>
    <n v="0"/>
    <n v="0"/>
    <n v="0"/>
    <n v="0"/>
    <n v="0"/>
    <n v="0"/>
    <n v="0"/>
    <n v="0"/>
    <n v="0"/>
  </r>
  <r>
    <d v="2015-09-01T00:00:00"/>
    <n v="2015"/>
    <x v="30"/>
    <s v="R"/>
    <s v="RS"/>
    <x v="3"/>
    <s v="IND"/>
    <s v="A"/>
    <n v="1"/>
    <n v="1"/>
    <n v="0"/>
    <n v="0"/>
    <n v="0"/>
    <n v="0"/>
    <n v="1419.3461457780377"/>
    <n v="1548.0440729330535"/>
    <n v="0.22716522034654307"/>
    <n v="51"/>
    <n v="81"/>
    <n v="0"/>
    <n v="-30"/>
    <n v="0"/>
    <n v="0.63535224544028568"/>
    <n v="1"/>
    <n v="71.349999999999994"/>
    <n v="71.349999999999994"/>
    <n v="-10.297940707642642"/>
    <n v="1409.0482050703949"/>
    <n v="0"/>
    <n v="1"/>
    <n v="0"/>
    <n v="0"/>
    <n v="0"/>
    <n v="0"/>
    <n v="0"/>
    <n v="0"/>
    <n v="0"/>
    <n v="0"/>
  </r>
  <r>
    <d v="2015-09-01T00:00:00"/>
    <n v="2015"/>
    <x v="29"/>
    <s v="R"/>
    <s v="RS"/>
    <x v="0"/>
    <s v="CON"/>
    <s v="H"/>
    <n v="1"/>
    <n v="1"/>
    <n v="0"/>
    <n v="0"/>
    <n v="0"/>
    <n v="0"/>
    <n v="1548.0440729330535"/>
    <n v="1419.3461457780377"/>
    <n v="0.77283477965345693"/>
    <n v="81"/>
    <n v="51"/>
    <n v="0"/>
    <n v="30"/>
    <n v="1"/>
    <n v="0.63535224544028568"/>
    <n v="1"/>
    <n v="71.5"/>
    <n v="71.5"/>
    <n v="10.31959019756761"/>
    <n v="1558.363663130621"/>
    <n v="1"/>
    <n v="0"/>
    <n v="0"/>
    <n v="0"/>
    <n v="0"/>
    <n v="0"/>
    <n v="0"/>
    <n v="0"/>
    <n v="0"/>
    <n v="0"/>
  </r>
  <r>
    <d v="2015-09-01T00:00:00"/>
    <n v="2015"/>
    <x v="29"/>
    <s v="R"/>
    <s v="RS"/>
    <x v="6"/>
    <s v="NYL"/>
    <s v="A"/>
    <n v="2"/>
    <n v="2"/>
    <n v="0"/>
    <n v="0"/>
    <n v="0"/>
    <n v="0"/>
    <n v="1464.7745340510414"/>
    <n v="1609.0647938834099"/>
    <n v="0.21179416692809444"/>
    <n v="75"/>
    <n v="80"/>
    <n v="1"/>
    <n v="-5"/>
    <n v="0"/>
    <n v="0.26653206097232807"/>
    <n v="1"/>
    <n v="71.5"/>
    <n v="71.5"/>
    <n v="-4.0361704106482543"/>
    <n v="1460.7383636403931"/>
    <n v="0"/>
    <n v="1"/>
    <n v="0"/>
    <n v="0"/>
    <n v="0"/>
    <n v="0"/>
    <n v="0"/>
    <n v="0"/>
    <n v="0"/>
    <n v="0"/>
  </r>
  <r>
    <d v="2015-09-01T00:00:00"/>
    <n v="2015"/>
    <x v="28"/>
    <s v="R"/>
    <s v="RS"/>
    <x v="7"/>
    <s v="ATL"/>
    <s v="H"/>
    <n v="2"/>
    <n v="2"/>
    <n v="0"/>
    <n v="0"/>
    <n v="0"/>
    <n v="0"/>
    <n v="1609.0647938834099"/>
    <n v="1464.7745340510414"/>
    <n v="0.78820583307190561"/>
    <n v="80"/>
    <n v="75"/>
    <n v="1"/>
    <n v="5"/>
    <n v="1"/>
    <n v="0.26653206097232807"/>
    <n v="1"/>
    <n v="71.650000000000006"/>
    <n v="71.650000000000006"/>
    <n v="4.0446379010202431"/>
    <n v="1613.1094317844302"/>
    <n v="1"/>
    <n v="0"/>
    <n v="0"/>
    <n v="0"/>
    <n v="0"/>
    <n v="0"/>
    <n v="0"/>
    <n v="0"/>
    <n v="0"/>
    <n v="0"/>
  </r>
  <r>
    <d v="2015-09-02T00:00:00"/>
    <n v="2015"/>
    <x v="28"/>
    <s v="R"/>
    <s v="RS"/>
    <x v="2"/>
    <s v="PHX"/>
    <s v="A"/>
    <n v="2"/>
    <n v="2"/>
    <n v="0"/>
    <n v="0"/>
    <n v="0"/>
    <n v="0"/>
    <n v="1541.3871557809252"/>
    <n v="1565.4504591339125"/>
    <n v="0.34931254107288501"/>
    <n v="53"/>
    <n v="73"/>
    <n v="0"/>
    <n v="-20"/>
    <n v="0"/>
    <n v="0.56358591001046343"/>
    <n v="1"/>
    <n v="71.650000000000006"/>
    <n v="71.650000000000006"/>
    <n v="-14.105565427162789"/>
    <n v="1527.2815903537623"/>
    <n v="0"/>
    <n v="1"/>
    <n v="0"/>
    <n v="0"/>
    <n v="0"/>
    <n v="0"/>
    <n v="0"/>
    <n v="0"/>
    <n v="0"/>
    <n v="0"/>
  </r>
  <r>
    <d v="2015-09-02T00:00:00"/>
    <n v="2015"/>
    <x v="30"/>
    <s v="R"/>
    <s v="RS"/>
    <x v="9"/>
    <s v="WAS"/>
    <s v="H"/>
    <n v="2"/>
    <n v="2"/>
    <n v="0"/>
    <n v="0"/>
    <n v="0"/>
    <n v="0"/>
    <n v="1565.4504591339125"/>
    <n v="1541.3871557809252"/>
    <n v="0.65068745892711499"/>
    <n v="73"/>
    <n v="53"/>
    <n v="0"/>
    <n v="20"/>
    <n v="1"/>
    <n v="0.56358591001046343"/>
    <n v="1"/>
    <n v="71.349999999999994"/>
    <n v="71.349999999999994"/>
    <n v="14.046505139261198"/>
    <n v="1579.4969642731737"/>
    <n v="1"/>
    <n v="0"/>
    <n v="0"/>
    <n v="0"/>
    <n v="0"/>
    <n v="0"/>
    <n v="0"/>
    <n v="0"/>
    <n v="0"/>
    <n v="0"/>
  </r>
  <r>
    <d v="2015-09-03T00:00:00"/>
    <n v="2015"/>
    <x v="29"/>
    <s v="R"/>
    <s v="RS"/>
    <x v="2"/>
    <s v="LAS"/>
    <s v="A"/>
    <n v="0"/>
    <n v="3"/>
    <n v="-3"/>
    <n v="3"/>
    <n v="-16"/>
    <n v="16"/>
    <n v="1527.2815903537623"/>
    <n v="1497.6139034440237"/>
    <n v="0.37825328944934927"/>
    <n v="91"/>
    <n v="93"/>
    <n v="0"/>
    <n v="-2"/>
    <n v="0"/>
    <n v="0.26137922334068475"/>
    <n v="1"/>
    <n v="71.5"/>
    <n v="71.5"/>
    <n v="-7.0690298980966046"/>
    <n v="1520.2125604556657"/>
    <n v="0"/>
    <n v="1"/>
    <n v="0"/>
    <n v="0"/>
    <n v="0"/>
    <n v="0"/>
    <n v="0"/>
    <n v="0"/>
    <n v="0"/>
    <n v="0"/>
  </r>
  <r>
    <d v="2015-09-03T00:00:00"/>
    <n v="2015"/>
    <x v="30"/>
    <s v="R"/>
    <s v="RS"/>
    <x v="10"/>
    <s v="WAS"/>
    <s v="H"/>
    <n v="3"/>
    <n v="0"/>
    <n v="3"/>
    <n v="-3"/>
    <n v="16"/>
    <n v="-16"/>
    <n v="1497.6139034440237"/>
    <n v="1527.2815903537623"/>
    <n v="0.62174671055065078"/>
    <n v="93"/>
    <n v="91"/>
    <n v="0"/>
    <n v="2"/>
    <n v="1"/>
    <n v="0.26137922334068475"/>
    <n v="1"/>
    <n v="71.349999999999994"/>
    <n v="71.349999999999994"/>
    <n v="7.0541997654432542"/>
    <n v="1504.6681032094668"/>
    <n v="1"/>
    <n v="0"/>
    <n v="0"/>
    <n v="0"/>
    <n v="0"/>
    <n v="0"/>
    <n v="0"/>
    <n v="0"/>
    <n v="0"/>
    <n v="0"/>
  </r>
  <r>
    <d v="2015-09-03T00:00:00"/>
    <n v="2015"/>
    <x v="30"/>
    <s v="R"/>
    <s v="RS"/>
    <x v="1"/>
    <s v="NYL"/>
    <s v="A"/>
    <n v="3"/>
    <n v="1"/>
    <n v="2"/>
    <n v="-2"/>
    <n v="16"/>
    <n v="-16"/>
    <n v="1547.717558159133"/>
    <n v="1613.1094317844302"/>
    <n v="0.33720784784523694"/>
    <n v="82"/>
    <n v="60"/>
    <n v="0"/>
    <n v="22"/>
    <n v="1"/>
    <n v="0.5709436109419348"/>
    <n v="1"/>
    <n v="71.349999999999994"/>
    <n v="71.349999999999994"/>
    <n v="27.000049001149709"/>
    <n v="1574.7176071602828"/>
    <n v="1"/>
    <n v="0"/>
    <n v="0"/>
    <n v="0"/>
    <n v="0"/>
    <n v="0"/>
    <n v="0"/>
    <n v="0"/>
    <n v="0"/>
    <n v="0"/>
  </r>
  <r>
    <d v="2015-09-03T00:00:00"/>
    <n v="2015"/>
    <x v="29"/>
    <s v="R"/>
    <s v="RS"/>
    <x v="7"/>
    <s v="CHI"/>
    <s v="H"/>
    <n v="1"/>
    <n v="3"/>
    <n v="-2"/>
    <n v="2"/>
    <n v="-16"/>
    <n v="16"/>
    <n v="1613.1094317844302"/>
    <n v="1547.717558159133"/>
    <n v="0.66279215215476306"/>
    <n v="60"/>
    <n v="82"/>
    <n v="0"/>
    <n v="-22"/>
    <n v="0"/>
    <n v="0.5709436109419348"/>
    <n v="1"/>
    <n v="71.5"/>
    <n v="71.5"/>
    <n v="-27.056811542847992"/>
    <n v="1586.0526202415822"/>
    <n v="0"/>
    <n v="1"/>
    <n v="0"/>
    <n v="0"/>
    <n v="0"/>
    <n v="0"/>
    <n v="0"/>
    <n v="0"/>
    <n v="0"/>
    <n v="0"/>
  </r>
  <r>
    <d v="2015-09-03T00:00:00"/>
    <n v="2015"/>
    <x v="29"/>
    <s v="R"/>
    <s v="RS"/>
    <x v="4"/>
    <s v="SEA"/>
    <s v="A"/>
    <n v="3"/>
    <n v="3"/>
    <n v="0"/>
    <n v="0"/>
    <n v="0"/>
    <n v="0"/>
    <n v="1489.8510275149922"/>
    <n v="1405.6872130093211"/>
    <n v="0.5002357480067644"/>
    <n v="85"/>
    <n v="67"/>
    <n v="0"/>
    <n v="18"/>
    <n v="1"/>
    <n v="0.51099455625463552"/>
    <n v="1"/>
    <n v="71.5"/>
    <n v="71.5"/>
    <n v="18.259442070813751"/>
    <n v="1508.110469585806"/>
    <n v="1"/>
    <n v="0"/>
    <n v="0"/>
    <n v="0"/>
    <n v="0"/>
    <n v="0"/>
    <n v="0"/>
    <n v="0"/>
    <n v="0"/>
    <n v="0"/>
  </r>
  <r>
    <d v="2015-09-03T00:00:00"/>
    <n v="2015"/>
    <x v="29"/>
    <s v="R"/>
    <s v="RS"/>
    <x v="11"/>
    <s v="TUL"/>
    <s v="H"/>
    <n v="3"/>
    <n v="3"/>
    <n v="0"/>
    <n v="0"/>
    <n v="0"/>
    <n v="0"/>
    <n v="1405.6872130093211"/>
    <n v="1489.8510275149922"/>
    <n v="0.4997642519932356"/>
    <n v="67"/>
    <n v="85"/>
    <n v="0"/>
    <n v="-18"/>
    <n v="0"/>
    <n v="0.51099455625463552"/>
    <n v="1"/>
    <n v="71.5"/>
    <n v="71.5"/>
    <n v="-18.259442070813751"/>
    <n v="1387.4277709385074"/>
    <n v="0"/>
    <n v="1"/>
    <n v="0"/>
    <n v="0"/>
    <n v="0"/>
    <n v="0"/>
    <n v="0"/>
    <n v="0"/>
    <n v="0"/>
    <n v="0"/>
  </r>
  <r>
    <d v="2015-09-04T00:00:00"/>
    <n v="2015"/>
    <x v="30"/>
    <s v="R"/>
    <s v="RS"/>
    <x v="0"/>
    <s v="MIN"/>
    <s v="A"/>
    <n v="2"/>
    <n v="4"/>
    <n v="-2"/>
    <n v="2"/>
    <n v="-16"/>
    <n v="16"/>
    <n v="1558.363663130621"/>
    <n v="1589.4061871280614"/>
    <n v="0.30017917124770566"/>
    <n v="65"/>
    <n v="81"/>
    <n v="0"/>
    <n v="-16"/>
    <n v="0"/>
    <n v="0.50472930595317611"/>
    <n v="1"/>
    <n v="71.349999999999994"/>
    <n v="71.349999999999994"/>
    <n v="-10.810183187015147"/>
    <n v="1547.5534799436059"/>
    <n v="0"/>
    <n v="1"/>
    <n v="0"/>
    <n v="0"/>
    <n v="0"/>
    <n v="0"/>
    <n v="0"/>
    <n v="0"/>
    <n v="0"/>
    <n v="0"/>
  </r>
  <r>
    <d v="2015-09-04T00:00:00"/>
    <n v="2015"/>
    <x v="30"/>
    <s v="R"/>
    <s v="RS"/>
    <x v="5"/>
    <s v="IND"/>
    <s v="H"/>
    <n v="4"/>
    <n v="2"/>
    <n v="2"/>
    <n v="-2"/>
    <n v="16"/>
    <n v="-16"/>
    <n v="1589.4061871280614"/>
    <n v="1558.363663130621"/>
    <n v="0.69982082875229434"/>
    <n v="81"/>
    <n v="65"/>
    <n v="0"/>
    <n v="16"/>
    <n v="1"/>
    <n v="0.50472930595317611"/>
    <n v="1"/>
    <n v="71.349999999999994"/>
    <n v="71.349999999999994"/>
    <n v="10.810183187015147"/>
    <n v="1600.2163703150766"/>
    <n v="1"/>
    <n v="0"/>
    <n v="0"/>
    <n v="0"/>
    <n v="0"/>
    <n v="0"/>
    <n v="0"/>
    <n v="0"/>
    <n v="0"/>
    <n v="0"/>
  </r>
  <r>
    <d v="2015-09-04T00:00:00"/>
    <n v="2015"/>
    <x v="31"/>
    <s v="R"/>
    <s v="RS"/>
    <x v="3"/>
    <s v="SAS"/>
    <s v="A"/>
    <n v="2"/>
    <n v="4"/>
    <n v="-2"/>
    <n v="2"/>
    <n v="-16"/>
    <n v="16"/>
    <n v="1409.0482050703949"/>
    <n v="1323.3254755298594"/>
    <n v="0.45653747133558586"/>
    <n v="73"/>
    <n v="72"/>
    <n v="0"/>
    <n v="1"/>
    <n v="1"/>
    <n v="0.22789952952225076"/>
    <n v="1"/>
    <n v="71.2"/>
    <n v="71.2"/>
    <n v="8.8184656472062013"/>
    <n v="1417.8666707176012"/>
    <n v="1"/>
    <n v="0"/>
    <n v="0"/>
    <n v="0"/>
    <n v="0"/>
    <n v="0"/>
    <n v="0"/>
    <n v="0"/>
    <n v="0"/>
    <n v="0"/>
  </r>
  <r>
    <d v="2015-09-04T00:00:00"/>
    <n v="2015"/>
    <x v="30"/>
    <s v="R"/>
    <s v="RS"/>
    <x v="8"/>
    <s v="CON"/>
    <s v="H"/>
    <n v="4"/>
    <n v="2"/>
    <n v="2"/>
    <n v="-2"/>
    <n v="16"/>
    <n v="-16"/>
    <n v="1323.3254755298594"/>
    <n v="1409.0482050703949"/>
    <n v="0.54346252866441414"/>
    <n v="72"/>
    <n v="73"/>
    <n v="0"/>
    <n v="-1"/>
    <n v="0"/>
    <n v="0.22789952952225076"/>
    <n v="1"/>
    <n v="71.349999999999994"/>
    <n v="71.349999999999994"/>
    <n v="-8.8370438753955387"/>
    <n v="1314.488431654464"/>
    <n v="0"/>
    <n v="1"/>
    <n v="0"/>
    <n v="0"/>
    <n v="0"/>
    <n v="0"/>
    <n v="0"/>
    <n v="0"/>
    <n v="0"/>
    <n v="0"/>
  </r>
  <r>
    <d v="2015-09-05T00:00:00"/>
    <n v="2015"/>
    <x v="31"/>
    <s v="R"/>
    <s v="RS"/>
    <x v="9"/>
    <s v="SAS"/>
    <s v="A"/>
    <n v="2"/>
    <n v="0"/>
    <n v="2"/>
    <n v="-2"/>
    <n v="16"/>
    <n v="-16"/>
    <n v="1579.4969642731737"/>
    <n v="1314.488431654464"/>
    <n v="0.77314852794022093"/>
    <n v="82"/>
    <n v="52"/>
    <n v="0"/>
    <n v="30"/>
    <n v="1"/>
    <n v="0.57623637865152677"/>
    <n v="1"/>
    <n v="71.2"/>
    <n v="71.2"/>
    <n v="9.3072690375064511"/>
    <n v="1588.8042333106803"/>
    <n v="1"/>
    <n v="0"/>
    <n v="0"/>
    <n v="0"/>
    <n v="0"/>
    <n v="0"/>
    <n v="0"/>
    <n v="0"/>
    <n v="0"/>
    <n v="0"/>
  </r>
  <r>
    <d v="2015-09-05T00:00:00"/>
    <n v="2015"/>
    <x v="31"/>
    <s v="R"/>
    <s v="RS"/>
    <x v="8"/>
    <s v="PHX"/>
    <s v="H"/>
    <n v="0"/>
    <n v="2"/>
    <n v="-2"/>
    <n v="2"/>
    <n v="-16"/>
    <n v="16"/>
    <n v="1314.488431654464"/>
    <n v="1579.4969642731737"/>
    <n v="0.22685147205977918"/>
    <n v="52"/>
    <n v="82"/>
    <n v="0"/>
    <n v="-30"/>
    <n v="0"/>
    <n v="0.57623637865152677"/>
    <n v="1"/>
    <n v="71.2"/>
    <n v="71.2"/>
    <n v="-9.3072690375064564"/>
    <n v="1305.1811626169574"/>
    <n v="0"/>
    <n v="1"/>
    <n v="0"/>
    <n v="0"/>
    <n v="0"/>
    <n v="0"/>
    <n v="0"/>
    <n v="0"/>
    <n v="0"/>
    <n v="0"/>
  </r>
  <r>
    <d v="2015-09-06T00:00:00"/>
    <n v="2015"/>
    <x v="30"/>
    <s v="R"/>
    <s v="RS"/>
    <x v="2"/>
    <s v="ATL"/>
    <s v="A"/>
    <n v="2"/>
    <n v="4"/>
    <n v="-2"/>
    <n v="2"/>
    <n v="-16"/>
    <n v="16"/>
    <n v="1520.2125604556657"/>
    <n v="1460.7383636403931"/>
    <n v="0.41936304966732491"/>
    <n v="67"/>
    <n v="73"/>
    <n v="0"/>
    <n v="-6"/>
    <n v="0"/>
    <n v="0.33469277447294693"/>
    <n v="1"/>
    <n v="71.349999999999994"/>
    <n v="71.349999999999994"/>
    <n v="-10.014527788837725"/>
    <n v="1510.1980326668279"/>
    <n v="0"/>
    <n v="1"/>
    <n v="0"/>
    <n v="0"/>
    <n v="0"/>
    <n v="0"/>
    <n v="0"/>
    <n v="0"/>
    <n v="0"/>
    <n v="0"/>
  </r>
  <r>
    <d v="2015-09-06T00:00:00"/>
    <n v="2015"/>
    <x v="30"/>
    <s v="R"/>
    <s v="RS"/>
    <x v="6"/>
    <s v="WAS"/>
    <s v="H"/>
    <n v="4"/>
    <n v="2"/>
    <n v="2"/>
    <n v="-2"/>
    <n v="16"/>
    <n v="-16"/>
    <n v="1460.7383636403931"/>
    <n v="1520.2125604556657"/>
    <n v="0.58063695033267504"/>
    <n v="73"/>
    <n v="67"/>
    <n v="0"/>
    <n v="6"/>
    <n v="1"/>
    <n v="0.33469277447294693"/>
    <n v="1"/>
    <n v="71.349999999999994"/>
    <n v="71.349999999999994"/>
    <n v="10.014527788837727"/>
    <n v="1470.7528914292309"/>
    <n v="1"/>
    <n v="0"/>
    <n v="0"/>
    <n v="0"/>
    <n v="0"/>
    <n v="0"/>
    <n v="0"/>
    <n v="0"/>
    <n v="0"/>
    <n v="0"/>
  </r>
  <r>
    <d v="2015-09-06T00:00:00"/>
    <n v="2015"/>
    <x v="30"/>
    <s v="R"/>
    <s v="RS"/>
    <x v="11"/>
    <s v="CHI"/>
    <s v="A"/>
    <n v="2"/>
    <n v="2"/>
    <n v="0"/>
    <n v="0"/>
    <n v="0"/>
    <n v="0"/>
    <n v="1387.4277709385074"/>
    <n v="1574.7176071602828"/>
    <n v="0.17340716757304553"/>
    <n v="65"/>
    <n v="93"/>
    <n v="0"/>
    <n v="-28"/>
    <n v="0"/>
    <n v="0.5874097616866053"/>
    <n v="1"/>
    <n v="71.349999999999994"/>
    <n v="71.349999999999994"/>
    <n v="-7.267786843539656"/>
    <n v="1380.1599840949677"/>
    <n v="0"/>
    <n v="1"/>
    <n v="0"/>
    <n v="0"/>
    <n v="0"/>
    <n v="0"/>
    <n v="0"/>
    <n v="0"/>
    <n v="0"/>
    <n v="0"/>
  </r>
  <r>
    <d v="2015-09-06T00:00:00"/>
    <n v="2015"/>
    <x v="31"/>
    <s v="R"/>
    <s v="RS"/>
    <x v="1"/>
    <s v="SEA"/>
    <s v="H"/>
    <n v="2"/>
    <n v="2"/>
    <n v="0"/>
    <n v="0"/>
    <n v="0"/>
    <n v="0"/>
    <n v="1574.7176071602828"/>
    <n v="1387.4277709385074"/>
    <n v="0.82659283242695447"/>
    <n v="93"/>
    <n v="65"/>
    <n v="0"/>
    <n v="28"/>
    <n v="1"/>
    <n v="0.5874097616866053"/>
    <n v="1"/>
    <n v="71.2"/>
    <n v="71.2"/>
    <n v="7.2525076840928318"/>
    <n v="1581.9701148443755"/>
    <n v="1"/>
    <n v="0"/>
    <n v="0"/>
    <n v="0"/>
    <n v="0"/>
    <n v="0"/>
    <n v="0"/>
    <n v="0"/>
    <n v="0"/>
    <n v="0"/>
  </r>
  <r>
    <d v="2015-09-06T00:00:00"/>
    <n v="2015"/>
    <x v="30"/>
    <s v="R"/>
    <s v="RS"/>
    <x v="4"/>
    <s v="LAS"/>
    <s v="A"/>
    <n v="2"/>
    <n v="2"/>
    <n v="0"/>
    <n v="0"/>
    <n v="0"/>
    <n v="0"/>
    <n v="1508.110469585806"/>
    <n v="1504.6681032094668"/>
    <n v="0.38610204539896931"/>
    <n v="73"/>
    <n v="92"/>
    <n v="0"/>
    <n v="-19"/>
    <n v="0"/>
    <n v="0.55937293390683718"/>
    <n v="1"/>
    <n v="71.349999999999994"/>
    <n v="71.349999999999994"/>
    <n v="-15.409818670352699"/>
    <n v="1492.7006509154533"/>
    <n v="0"/>
    <n v="1"/>
    <n v="0"/>
    <n v="0"/>
    <n v="0"/>
    <n v="0"/>
    <n v="0"/>
    <n v="0"/>
    <n v="0"/>
    <n v="0"/>
  </r>
  <r>
    <d v="2015-09-06T00:00:00"/>
    <n v="2015"/>
    <x v="31"/>
    <s v="R"/>
    <s v="RS"/>
    <x v="10"/>
    <s v="TUL"/>
    <s v="H"/>
    <n v="2"/>
    <n v="2"/>
    <n v="0"/>
    <n v="0"/>
    <n v="0"/>
    <n v="0"/>
    <n v="1504.6681032094668"/>
    <n v="1508.110469585806"/>
    <n v="0.61389795460103069"/>
    <n v="92"/>
    <n v="73"/>
    <n v="0"/>
    <n v="19"/>
    <n v="1"/>
    <n v="0.55937293390683718"/>
    <n v="1"/>
    <n v="71.2"/>
    <n v="71.2"/>
    <n v="15.377422415264364"/>
    <n v="1520.0455256247312"/>
    <n v="1"/>
    <n v="0"/>
    <n v="0"/>
    <n v="0"/>
    <n v="0"/>
    <n v="0"/>
    <n v="0"/>
    <n v="0"/>
    <n v="0"/>
    <n v="0"/>
  </r>
  <r>
    <d v="2015-09-06T00:00:00"/>
    <n v="2015"/>
    <x v="30"/>
    <s v="R"/>
    <s v="RS"/>
    <x v="7"/>
    <s v="MIN"/>
    <s v="A"/>
    <n v="2"/>
    <n v="1"/>
    <n v="1"/>
    <n v="-1"/>
    <n v="8"/>
    <n v="-8"/>
    <n v="1586.0526202415822"/>
    <n v="1600.2163703150766"/>
    <n v="0.38391291902592273"/>
    <n v="75"/>
    <n v="71"/>
    <n v="0"/>
    <n v="4"/>
    <n v="1"/>
    <n v="0.30779973612458256"/>
    <n v="1"/>
    <n v="71.349999999999994"/>
    <n v="71.349999999999994"/>
    <n v="13.530203312038312"/>
    <n v="1599.5828235536205"/>
    <n v="1"/>
    <n v="0"/>
    <n v="0"/>
    <n v="0"/>
    <n v="0"/>
    <n v="0"/>
    <n v="0"/>
    <n v="0"/>
    <n v="0"/>
    <n v="0"/>
  </r>
  <r>
    <d v="2015-09-06T00:00:00"/>
    <n v="2015"/>
    <x v="31"/>
    <s v="R"/>
    <s v="RS"/>
    <x v="5"/>
    <s v="NYL"/>
    <s v="H"/>
    <n v="1"/>
    <n v="2"/>
    <n v="-1"/>
    <n v="1"/>
    <n v="-8"/>
    <n v="8"/>
    <n v="1600.2163703150766"/>
    <n v="1586.0526202415822"/>
    <n v="0.61608708097407727"/>
    <n v="71"/>
    <n v="75"/>
    <n v="0"/>
    <n v="-4"/>
    <n v="0"/>
    <n v="0.30779973612458256"/>
    <n v="1"/>
    <n v="71.2"/>
    <n v="71.2"/>
    <n v="-13.501758595895273"/>
    <n v="1586.7146117191812"/>
    <n v="0"/>
    <n v="1"/>
    <n v="0"/>
    <n v="0"/>
    <n v="0"/>
    <n v="0"/>
    <n v="0"/>
    <n v="0"/>
    <n v="0"/>
    <n v="0"/>
  </r>
  <r>
    <d v="2015-09-08T00:00:00"/>
    <n v="2015"/>
    <x v="31"/>
    <s v="R"/>
    <s v="RS"/>
    <x v="11"/>
    <s v="MIN"/>
    <s v="A"/>
    <n v="1"/>
    <n v="1"/>
    <n v="0"/>
    <n v="0"/>
    <n v="0"/>
    <n v="0"/>
    <n v="1380.1599840949677"/>
    <n v="1586.7146117191812"/>
    <n v="0.15808224634231616"/>
    <n v="67"/>
    <n v="73"/>
    <n v="0"/>
    <n v="-6"/>
    <n v="0"/>
    <n v="0.29969466171477505"/>
    <n v="1"/>
    <n v="71.2"/>
    <n v="71.2"/>
    <n v="-3.3732000602558592"/>
    <n v="1376.7867840347119"/>
    <n v="0"/>
    <n v="1"/>
    <n v="0"/>
    <n v="0"/>
    <n v="0"/>
    <n v="0"/>
    <n v="0"/>
    <n v="0"/>
    <n v="0"/>
    <n v="0"/>
  </r>
  <r>
    <d v="2015-09-08T00:00:00"/>
    <n v="2015"/>
    <x v="32"/>
    <s v="R"/>
    <s v="RS"/>
    <x v="5"/>
    <s v="SEA"/>
    <s v="H"/>
    <n v="1"/>
    <n v="1"/>
    <n v="0"/>
    <n v="0"/>
    <n v="0"/>
    <n v="0"/>
    <n v="1586.7146117191812"/>
    <n v="1380.1599840949677"/>
    <n v="0.84191775365768395"/>
    <n v="73"/>
    <n v="67"/>
    <n v="0"/>
    <n v="6"/>
    <n v="1"/>
    <n v="0.29969466171477505"/>
    <n v="1"/>
    <n v="71.05"/>
    <n v="71.05"/>
    <n v="3.3660935994547554"/>
    <n v="1590.0807053186359"/>
    <n v="1"/>
    <n v="0"/>
    <n v="0"/>
    <n v="0"/>
    <n v="0"/>
    <n v="0"/>
    <n v="0"/>
    <n v="0"/>
    <n v="0"/>
    <n v="0"/>
  </r>
  <r>
    <d v="2015-09-08T00:00:00"/>
    <n v="2015"/>
    <x v="32"/>
    <s v="R"/>
    <s v="RS"/>
    <x v="8"/>
    <s v="TUL"/>
    <s v="A"/>
    <n v="2"/>
    <n v="1"/>
    <n v="1"/>
    <n v="-1"/>
    <n v="8"/>
    <n v="-8"/>
    <n v="1305.1811626169574"/>
    <n v="1492.7006509154533"/>
    <n v="0.18680761730415976"/>
    <n v="64"/>
    <n v="74"/>
    <n v="0"/>
    <n v="-10"/>
    <n v="0"/>
    <n v="0.36594487031054063"/>
    <n v="1"/>
    <n v="71.05"/>
    <n v="71.05"/>
    <n v="-4.8570696038691903"/>
    <n v="1300.3240930130883"/>
    <n v="0"/>
    <n v="1"/>
    <n v="0"/>
    <n v="0"/>
    <n v="0"/>
    <n v="0"/>
    <n v="0"/>
    <n v="0"/>
    <n v="0"/>
    <n v="0"/>
  </r>
  <r>
    <d v="2015-09-08T00:00:00"/>
    <n v="2015"/>
    <x v="31"/>
    <s v="R"/>
    <s v="RS"/>
    <x v="4"/>
    <s v="SAS"/>
    <s v="H"/>
    <n v="1"/>
    <n v="2"/>
    <n v="-1"/>
    <n v="1"/>
    <n v="-8"/>
    <n v="8"/>
    <n v="1492.7006509154533"/>
    <n v="1305.1811626169574"/>
    <n v="0.81319238269584027"/>
    <n v="74"/>
    <n v="64"/>
    <n v="0"/>
    <n v="10"/>
    <n v="1"/>
    <n v="0.36594487031054063"/>
    <n v="1"/>
    <n v="71.2"/>
    <n v="71.2"/>
    <n v="4.8673237972622987"/>
    <n v="1497.5679747127156"/>
    <n v="1"/>
    <n v="0"/>
    <n v="0"/>
    <n v="0"/>
    <n v="0"/>
    <n v="0"/>
    <n v="0"/>
    <n v="0"/>
    <n v="0"/>
    <n v="0"/>
  </r>
  <r>
    <d v="2015-09-08T00:00:00"/>
    <n v="2015"/>
    <x v="31"/>
    <s v="R"/>
    <s v="RS"/>
    <x v="0"/>
    <s v="WAS"/>
    <s v="A"/>
    <n v="3"/>
    <n v="1"/>
    <n v="2"/>
    <n v="-2"/>
    <n v="16"/>
    <n v="-16"/>
    <n v="1547.5534799436059"/>
    <n v="1510.1980326668279"/>
    <n v="0.47893726677836279"/>
    <n v="72"/>
    <n v="76"/>
    <n v="1"/>
    <n v="-4"/>
    <n v="0"/>
    <n v="0.27182759362836006"/>
    <n v="1"/>
    <n v="71.2"/>
    <n v="71.2"/>
    <n v="-9.2694115685842071"/>
    <n v="1538.2840683750217"/>
    <n v="0"/>
    <n v="1"/>
    <n v="0"/>
    <n v="0"/>
    <n v="0"/>
    <n v="0"/>
    <n v="0"/>
    <n v="0"/>
    <n v="0"/>
    <n v="0"/>
  </r>
  <r>
    <d v="2015-09-08T00:00:00"/>
    <n v="2015"/>
    <x v="31"/>
    <s v="R"/>
    <s v="RS"/>
    <x v="2"/>
    <s v="IND"/>
    <s v="H"/>
    <n v="1"/>
    <n v="3"/>
    <n v="-2"/>
    <n v="2"/>
    <n v="-16"/>
    <n v="16"/>
    <n v="1510.1980326668279"/>
    <n v="1547.5534799436059"/>
    <n v="0.52106273322163721"/>
    <n v="76"/>
    <n v="72"/>
    <n v="1"/>
    <n v="4"/>
    <n v="1"/>
    <n v="0.27182759362836006"/>
    <n v="1"/>
    <n v="71.2"/>
    <n v="71.2"/>
    <n v="9.2694115685842071"/>
    <n v="1519.4674442354121"/>
    <n v="1"/>
    <n v="0"/>
    <n v="0"/>
    <n v="0"/>
    <n v="0"/>
    <n v="0"/>
    <n v="0"/>
    <n v="0"/>
    <n v="0"/>
    <n v="0"/>
  </r>
  <r>
    <d v="2015-09-09T00:00:00"/>
    <n v="2015"/>
    <x v="32"/>
    <s v="R"/>
    <s v="RS"/>
    <x v="10"/>
    <s v="ATL"/>
    <s v="A"/>
    <n v="2"/>
    <n v="2"/>
    <n v="0"/>
    <n v="0"/>
    <n v="0"/>
    <n v="0"/>
    <n v="1520.0455256247312"/>
    <n v="1470.7528914292309"/>
    <n v="0.45021757137095214"/>
    <n v="60"/>
    <n v="90"/>
    <n v="0"/>
    <n v="-30"/>
    <n v="0"/>
    <n v="0.67573536289471625"/>
    <n v="1"/>
    <n v="71.05"/>
    <n v="71.05"/>
    <n v="-21.615394708705495"/>
    <n v="1498.4301309160257"/>
    <n v="0"/>
    <n v="1"/>
    <n v="0"/>
    <n v="0"/>
    <n v="0"/>
    <n v="0"/>
    <n v="0"/>
    <n v="0"/>
    <n v="0"/>
    <n v="0"/>
  </r>
  <r>
    <d v="2015-09-09T00:00:00"/>
    <n v="2015"/>
    <x v="31"/>
    <s v="R"/>
    <s v="RS"/>
    <x v="6"/>
    <s v="LAS"/>
    <s v="H"/>
    <n v="2"/>
    <n v="2"/>
    <n v="0"/>
    <n v="0"/>
    <n v="0"/>
    <n v="0"/>
    <n v="1470.7528914292309"/>
    <n v="1520.0455256247312"/>
    <n v="0.5497824286290478"/>
    <n v="90"/>
    <n v="60"/>
    <n v="0"/>
    <n v="30"/>
    <n v="1"/>
    <n v="0.67573536289471625"/>
    <n v="1"/>
    <n v="71.2"/>
    <n v="71.2"/>
    <n v="21.661028898801288"/>
    <n v="1492.4139203280322"/>
    <n v="1"/>
    <n v="0"/>
    <n v="0"/>
    <n v="0"/>
    <n v="0"/>
    <n v="0"/>
    <n v="0"/>
    <n v="0"/>
    <n v="0"/>
    <n v="0"/>
  </r>
  <r>
    <d v="2015-09-09T00:00:00"/>
    <n v="2015"/>
    <x v="32"/>
    <s v="R"/>
    <s v="RS"/>
    <x v="3"/>
    <s v="NYL"/>
    <s v="A"/>
    <n v="4"/>
    <n v="2"/>
    <n v="2"/>
    <n v="-2"/>
    <n v="16"/>
    <n v="-16"/>
    <n v="1417.8666707176012"/>
    <n v="1599.5828235536205"/>
    <n v="0.20662698647590302"/>
    <n v="64"/>
    <n v="74"/>
    <n v="0"/>
    <n v="-10"/>
    <n v="0"/>
    <n v="0.36748187256590659"/>
    <n v="1"/>
    <n v="71.05"/>
    <n v="71.05"/>
    <n v="-5.3949452894055128"/>
    <n v="1412.4717254281957"/>
    <n v="0"/>
    <n v="1"/>
    <n v="0"/>
    <n v="0"/>
    <n v="0"/>
    <n v="0"/>
    <n v="0"/>
    <n v="0"/>
    <n v="0"/>
    <n v="0"/>
  </r>
  <r>
    <d v="2015-09-09T00:00:00"/>
    <n v="2015"/>
    <x v="31"/>
    <s v="R"/>
    <s v="RS"/>
    <x v="7"/>
    <s v="CON"/>
    <s v="H"/>
    <n v="2"/>
    <n v="4"/>
    <n v="-2"/>
    <n v="2"/>
    <n v="-16"/>
    <n v="16"/>
    <n v="1599.5828235536205"/>
    <n v="1417.8666707176012"/>
    <n v="0.79337301352409695"/>
    <n v="74"/>
    <n v="64"/>
    <n v="0"/>
    <n v="10"/>
    <n v="1"/>
    <n v="0.36748187256590659"/>
    <n v="1"/>
    <n v="71.2"/>
    <n v="71.2"/>
    <n v="5.4063350401924355"/>
    <n v="1604.989158593813"/>
    <n v="1"/>
    <n v="0"/>
    <n v="0"/>
    <n v="0"/>
    <n v="0"/>
    <n v="0"/>
    <n v="0"/>
    <n v="0"/>
    <n v="0"/>
    <n v="0"/>
  </r>
  <r>
    <d v="2015-09-11T00:00:00"/>
    <n v="2015"/>
    <x v="32"/>
    <s v="R"/>
    <s v="RS"/>
    <x v="0"/>
    <s v="ATL"/>
    <s v="A"/>
    <n v="2"/>
    <n v="1"/>
    <n v="1"/>
    <n v="-1"/>
    <n v="8"/>
    <n v="-8"/>
    <n v="1538.2840683750217"/>
    <n v="1492.4139203280322"/>
    <n v="0.4681955818735275"/>
    <n v="75"/>
    <n v="67"/>
    <n v="0"/>
    <n v="8"/>
    <n v="1"/>
    <n v="0.37401862684812609"/>
    <n v="1"/>
    <n v="71.05"/>
    <n v="71.05"/>
    <n v="14.132183071490497"/>
    <n v="1552.4162514465122"/>
    <n v="1"/>
    <n v="0"/>
    <n v="0"/>
    <n v="0"/>
    <n v="0"/>
    <n v="0"/>
    <n v="0"/>
    <n v="0"/>
    <n v="0"/>
    <n v="0"/>
  </r>
  <r>
    <d v="2015-09-11T00:00:00"/>
    <n v="2015"/>
    <x v="32"/>
    <s v="R"/>
    <s v="RS"/>
    <x v="6"/>
    <s v="IND"/>
    <s v="H"/>
    <n v="1"/>
    <n v="2"/>
    <n v="-1"/>
    <n v="1"/>
    <n v="-8"/>
    <n v="8"/>
    <n v="1492.4139203280322"/>
    <n v="1538.2840683750217"/>
    <n v="0.5318044181264725"/>
    <n v="67"/>
    <n v="75"/>
    <n v="0"/>
    <n v="-8"/>
    <n v="0"/>
    <n v="0.37401862684812609"/>
    <n v="1"/>
    <n v="71.05"/>
    <n v="71.05"/>
    <n v="-14.132183071490497"/>
    <n v="1478.2817372565416"/>
    <n v="0"/>
    <n v="1"/>
    <n v="0"/>
    <n v="0"/>
    <n v="0"/>
    <n v="0"/>
    <n v="0"/>
    <n v="0"/>
    <n v="0"/>
    <n v="0"/>
  </r>
  <r>
    <d v="2015-09-11T00:00:00"/>
    <n v="2015"/>
    <x v="32"/>
    <s v="R"/>
    <s v="RS"/>
    <x v="4"/>
    <s v="CHI"/>
    <s v="A"/>
    <n v="2"/>
    <n v="4"/>
    <n v="-2"/>
    <n v="2"/>
    <n v="-16"/>
    <n v="16"/>
    <n v="1497.5679747127156"/>
    <n v="1581.9701148443755"/>
    <n v="0.23983078435577279"/>
    <n v="71"/>
    <n v="92"/>
    <n v="0"/>
    <n v="-21"/>
    <n v="0"/>
    <n v="0.54989907386208881"/>
    <n v="1"/>
    <n v="71.05"/>
    <n v="71.05"/>
    <n v="-9.3702676965709468"/>
    <n v="1488.1977070161447"/>
    <n v="0"/>
    <n v="1"/>
    <n v="0"/>
    <n v="0"/>
    <n v="0"/>
    <n v="0"/>
    <n v="0"/>
    <n v="0"/>
    <n v="0"/>
    <n v="0"/>
  </r>
  <r>
    <d v="2015-09-11T00:00:00"/>
    <n v="2015"/>
    <x v="32"/>
    <s v="R"/>
    <s v="RS"/>
    <x v="1"/>
    <s v="TUL"/>
    <s v="H"/>
    <n v="4"/>
    <n v="2"/>
    <n v="2"/>
    <n v="-2"/>
    <n v="16"/>
    <n v="-16"/>
    <n v="1581.9701148443755"/>
    <n v="1497.5679747127156"/>
    <n v="0.76016921564422724"/>
    <n v="92"/>
    <n v="71"/>
    <n v="0"/>
    <n v="21"/>
    <n v="1"/>
    <n v="0.54989907386208881"/>
    <n v="1"/>
    <n v="71.05"/>
    <n v="71.05"/>
    <n v="9.370267696570945"/>
    <n v="1591.3403825409464"/>
    <n v="1"/>
    <n v="0"/>
    <n v="0"/>
    <n v="0"/>
    <n v="0"/>
    <n v="0"/>
    <n v="0"/>
    <n v="0"/>
    <n v="0"/>
    <n v="0"/>
  </r>
  <r>
    <d v="2015-09-11T00:00:00"/>
    <n v="2015"/>
    <x v="32"/>
    <s v="R"/>
    <s v="RS"/>
    <x v="2"/>
    <s v="NYL"/>
    <s v="A"/>
    <n v="2"/>
    <n v="1"/>
    <n v="1"/>
    <n v="-1"/>
    <n v="8"/>
    <n v="-8"/>
    <n v="1519.4674442354121"/>
    <n v="1604.989158593813"/>
    <n v="0.29240293948506552"/>
    <n v="82"/>
    <n v="55"/>
    <n v="0"/>
    <n v="27"/>
    <n v="1"/>
    <n v="0.62231543120940347"/>
    <n v="1"/>
    <n v="71.05"/>
    <n v="71.05"/>
    <n v="31.286765886908746"/>
    <n v="1550.754210122321"/>
    <n v="1"/>
    <n v="0"/>
    <n v="0"/>
    <n v="0"/>
    <n v="0"/>
    <n v="0"/>
    <n v="0"/>
    <n v="0"/>
    <n v="0"/>
    <n v="0"/>
  </r>
  <r>
    <d v="2015-09-11T00:00:00"/>
    <n v="2015"/>
    <x v="32"/>
    <s v="R"/>
    <s v="RS"/>
    <x v="7"/>
    <s v="WAS"/>
    <s v="H"/>
    <n v="1"/>
    <n v="2"/>
    <n v="-1"/>
    <n v="1"/>
    <n v="-8"/>
    <n v="8"/>
    <n v="1604.989158593813"/>
    <n v="1519.4674442354121"/>
    <n v="0.70759706051493443"/>
    <n v="55"/>
    <n v="82"/>
    <n v="0"/>
    <n v="-27"/>
    <n v="0"/>
    <n v="0.62231543120940347"/>
    <n v="1"/>
    <n v="71.05"/>
    <n v="71.05"/>
    <n v="-31.286765886908746"/>
    <n v="1573.7023927069042"/>
    <n v="0"/>
    <n v="1"/>
    <n v="0"/>
    <n v="0"/>
    <n v="0"/>
    <n v="0"/>
    <n v="0"/>
    <n v="0"/>
    <n v="0"/>
    <n v="0"/>
  </r>
  <r>
    <d v="2015-09-11T00:00:00"/>
    <n v="2015"/>
    <x v="33"/>
    <s v="R"/>
    <s v="RS"/>
    <x v="10"/>
    <s v="PHX"/>
    <s v="A"/>
    <n v="1"/>
    <n v="5"/>
    <n v="-4"/>
    <n v="4"/>
    <n v="-16"/>
    <n v="16"/>
    <n v="1498.4301309160257"/>
    <n v="1588.8042333106803"/>
    <n v="0.2336195411469372"/>
    <n v="65"/>
    <n v="70"/>
    <n v="0"/>
    <n v="-5"/>
    <n v="0"/>
    <n v="0.30852073814461767"/>
    <n v="1"/>
    <n v="70.900000000000006"/>
    <n v="70.900000000000006"/>
    <n v="-5.1102219555278907"/>
    <n v="1493.3199089604977"/>
    <n v="0"/>
    <n v="1"/>
    <n v="0"/>
    <n v="0"/>
    <n v="0"/>
    <n v="0"/>
    <n v="0"/>
    <n v="0"/>
    <n v="0"/>
    <n v="0"/>
  </r>
  <r>
    <d v="2015-09-11T00:00:00"/>
    <n v="2015"/>
    <x v="32"/>
    <s v="R"/>
    <s v="RS"/>
    <x v="9"/>
    <s v="LAS"/>
    <s v="H"/>
    <n v="5"/>
    <n v="1"/>
    <n v="4"/>
    <n v="-4"/>
    <n v="16"/>
    <n v="-16"/>
    <n v="1588.8042333106803"/>
    <n v="1498.4301309160257"/>
    <n v="0.76638045885306283"/>
    <n v="70"/>
    <n v="65"/>
    <n v="0"/>
    <n v="5"/>
    <n v="1"/>
    <n v="0.30852073814461767"/>
    <n v="1"/>
    <n v="71.05"/>
    <n v="71.05"/>
    <n v="5.1210334265198387"/>
    <n v="1593.9252667372002"/>
    <n v="1"/>
    <n v="0"/>
    <n v="0"/>
    <n v="0"/>
    <n v="0"/>
    <n v="0"/>
    <n v="0"/>
    <n v="0"/>
    <n v="0"/>
    <n v="0"/>
  </r>
  <r>
    <d v="2015-09-11T00:00:00"/>
    <n v="2015"/>
    <x v="33"/>
    <s v="R"/>
    <s v="RS"/>
    <x v="5"/>
    <s v="SEA"/>
    <s v="A"/>
    <n v="2"/>
    <n v="2"/>
    <n v="0"/>
    <n v="0"/>
    <n v="0"/>
    <n v="0"/>
    <n v="1590.0807053186359"/>
    <n v="1376.7867840347119"/>
    <n v="0.6779301124145436"/>
    <n v="64"/>
    <n v="78"/>
    <n v="0"/>
    <n v="-14"/>
    <n v="0"/>
    <n v="0.41401842562894015"/>
    <n v="1"/>
    <n v="70.900000000000006"/>
    <n v="70.900000000000006"/>
    <n v="-19.899897050027874"/>
    <n v="1570.180808268608"/>
    <n v="0"/>
    <n v="1"/>
    <n v="0"/>
    <n v="0"/>
    <n v="0"/>
    <n v="0"/>
    <n v="0"/>
    <n v="0"/>
    <n v="0"/>
    <n v="0"/>
  </r>
  <r>
    <d v="2015-09-11T00:00:00"/>
    <n v="2015"/>
    <x v="32"/>
    <s v="R"/>
    <s v="RS"/>
    <x v="11"/>
    <s v="MIN"/>
    <s v="H"/>
    <n v="2"/>
    <n v="2"/>
    <n v="0"/>
    <n v="0"/>
    <n v="0"/>
    <n v="0"/>
    <n v="1376.7867840347119"/>
    <n v="1590.0807053186359"/>
    <n v="0.3220698875854564"/>
    <n v="78"/>
    <n v="64"/>
    <n v="0"/>
    <n v="14"/>
    <n v="1"/>
    <n v="0.41401842562894015"/>
    <n v="1"/>
    <n v="71.05"/>
    <n v="71.05"/>
    <n v="19.941998383702117"/>
    <n v="1396.7287824184141"/>
    <n v="1"/>
    <n v="0"/>
    <n v="0"/>
    <n v="0"/>
    <n v="0"/>
    <n v="0"/>
    <n v="0"/>
    <n v="0"/>
    <n v="0"/>
    <n v="0"/>
  </r>
  <r>
    <d v="2015-09-13T00:00:00"/>
    <n v="2015"/>
    <x v="33"/>
    <s v="R"/>
    <s v="RS"/>
    <x v="1"/>
    <s v="CON"/>
    <s v="A"/>
    <n v="1"/>
    <n v="3"/>
    <n v="-2"/>
    <n v="2"/>
    <n v="-16"/>
    <n v="16"/>
    <n v="1591.3403825409464"/>
    <n v="1412.4717254281957"/>
    <n v="0.5895005543078975"/>
    <n v="75"/>
    <n v="86"/>
    <n v="0"/>
    <n v="-11"/>
    <n v="0"/>
    <n v="0.38277986926930274"/>
    <n v="1"/>
    <n v="70.900000000000006"/>
    <n v="70.900000000000006"/>
    <n v="-15.998510208452039"/>
    <n v="1575.3418723324944"/>
    <n v="0"/>
    <n v="1"/>
    <n v="0"/>
    <n v="0"/>
    <n v="0"/>
    <n v="0"/>
    <n v="0"/>
    <n v="0"/>
    <n v="0"/>
    <n v="0"/>
  </r>
  <r>
    <d v="2015-09-13T00:00:00"/>
    <n v="2015"/>
    <x v="33"/>
    <s v="R"/>
    <s v="RS"/>
    <x v="3"/>
    <s v="CHI"/>
    <s v="H"/>
    <n v="3"/>
    <n v="1"/>
    <n v="2"/>
    <n v="-2"/>
    <n v="16"/>
    <n v="-16"/>
    <n v="1412.4717254281957"/>
    <n v="1591.3403825409464"/>
    <n v="0.4104994456921025"/>
    <n v="86"/>
    <n v="75"/>
    <n v="0"/>
    <n v="11"/>
    <n v="1"/>
    <n v="0.38277986926930274"/>
    <n v="1"/>
    <n v="70.900000000000006"/>
    <n v="70.900000000000006"/>
    <n v="15.998510208452039"/>
    <n v="1428.4702356366477"/>
    <n v="1"/>
    <n v="0"/>
    <n v="0"/>
    <n v="0"/>
    <n v="0"/>
    <n v="0"/>
    <n v="0"/>
    <n v="0"/>
    <n v="0"/>
    <n v="0"/>
  </r>
  <r>
    <d v="2015-09-13T00:00:00"/>
    <n v="2015"/>
    <x v="33"/>
    <s v="R"/>
    <s v="RS"/>
    <x v="7"/>
    <s v="IND"/>
    <s v="A"/>
    <n v="1"/>
    <n v="1"/>
    <n v="0"/>
    <n v="0"/>
    <n v="0"/>
    <n v="0"/>
    <n v="1573.7023927069042"/>
    <n v="1552.4162514465122"/>
    <n v="0.41071509769264214"/>
    <n v="76"/>
    <n v="81"/>
    <n v="0"/>
    <n v="-5"/>
    <n v="0"/>
    <n v="0.32597370681914278"/>
    <n v="1"/>
    <n v="70.900000000000006"/>
    <n v="70.900000000000006"/>
    <n v="-9.4922566894592961"/>
    <n v="1564.2101360174449"/>
    <n v="0"/>
    <n v="1"/>
    <n v="0"/>
    <n v="0"/>
    <n v="0"/>
    <n v="0"/>
    <n v="0"/>
    <n v="0"/>
    <n v="0"/>
    <n v="0"/>
  </r>
  <r>
    <d v="2015-09-13T00:00:00"/>
    <n v="2015"/>
    <x v="33"/>
    <s v="R"/>
    <s v="RS"/>
    <x v="0"/>
    <s v="NYL"/>
    <s v="H"/>
    <n v="1"/>
    <n v="1"/>
    <n v="0"/>
    <n v="0"/>
    <n v="0"/>
    <n v="0"/>
    <n v="1552.4162514465122"/>
    <n v="1573.7023927069042"/>
    <n v="0.58928490230735797"/>
    <n v="81"/>
    <n v="76"/>
    <n v="0"/>
    <n v="5"/>
    <n v="1"/>
    <n v="0.32597370681914278"/>
    <n v="1"/>
    <n v="70.900000000000006"/>
    <n v="70.900000000000006"/>
    <n v="9.4922566894592926"/>
    <n v="1561.9085081359715"/>
    <n v="1"/>
    <n v="0"/>
    <n v="0"/>
    <n v="0"/>
    <n v="0"/>
    <n v="0"/>
    <n v="0"/>
    <n v="0"/>
    <n v="0"/>
    <n v="0"/>
  </r>
  <r>
    <d v="2015-09-13T00:00:00"/>
    <n v="2015"/>
    <x v="33"/>
    <s v="R"/>
    <s v="RS"/>
    <x v="8"/>
    <s v="SEA"/>
    <s v="A"/>
    <n v="4"/>
    <n v="1"/>
    <n v="3"/>
    <n v="-3"/>
    <n v="16"/>
    <n v="-16"/>
    <n v="1300.3240930130883"/>
    <n v="1396.7287824184141"/>
    <n v="0.29853453142723974"/>
    <n v="59"/>
    <n v="58"/>
    <n v="0"/>
    <n v="1"/>
    <n v="1"/>
    <n v="0.22602171031390006"/>
    <n v="1"/>
    <n v="70.900000000000006"/>
    <n v="70.900000000000006"/>
    <n v="11.240941527746623"/>
    <n v="1311.5650345408349"/>
    <n v="1"/>
    <n v="0"/>
    <n v="0"/>
    <n v="0"/>
    <n v="0"/>
    <n v="0"/>
    <n v="0"/>
    <n v="0"/>
    <n v="0"/>
    <n v="0"/>
  </r>
  <r>
    <d v="2015-09-13T00:00:00"/>
    <n v="2015"/>
    <x v="33"/>
    <s v="R"/>
    <s v="RS"/>
    <x v="11"/>
    <s v="SAS"/>
    <s v="H"/>
    <n v="1"/>
    <n v="4"/>
    <n v="-3"/>
    <n v="3"/>
    <n v="-16"/>
    <n v="16"/>
    <n v="1396.7287824184141"/>
    <n v="1300.3240930130883"/>
    <n v="0.70146546857276026"/>
    <n v="58"/>
    <n v="59"/>
    <n v="0"/>
    <n v="-1"/>
    <n v="0"/>
    <n v="0.22602171031390006"/>
    <n v="1"/>
    <n v="70.900000000000006"/>
    <n v="70.900000000000006"/>
    <n v="-11.240941527746623"/>
    <n v="1385.4878408906675"/>
    <n v="0"/>
    <n v="1"/>
    <n v="0"/>
    <n v="0"/>
    <n v="0"/>
    <n v="0"/>
    <n v="0"/>
    <n v="0"/>
    <n v="0"/>
    <n v="0"/>
  </r>
  <r>
    <d v="2015-09-13T00:00:00"/>
    <n v="2015"/>
    <x v="33"/>
    <s v="R"/>
    <s v="RS"/>
    <x v="9"/>
    <s v="TUL"/>
    <s v="A"/>
    <n v="1"/>
    <n v="1"/>
    <n v="0"/>
    <n v="0"/>
    <n v="0"/>
    <n v="0"/>
    <n v="1593.9252667372002"/>
    <n v="1488.1977070161447"/>
    <n v="0.53122777331327753"/>
    <n v="87"/>
    <n v="91"/>
    <n v="0"/>
    <n v="-4"/>
    <n v="0"/>
    <n v="0.28621535871119502"/>
    <n v="1"/>
    <n v="70.900000000000006"/>
    <n v="70.900000000000006"/>
    <n v="-10.780029331661229"/>
    <n v="1583.1452374055391"/>
    <n v="0"/>
    <n v="1"/>
    <n v="0"/>
    <n v="0"/>
    <n v="0"/>
    <n v="0"/>
    <n v="0"/>
    <n v="0"/>
    <n v="0"/>
    <n v="0"/>
  </r>
  <r>
    <d v="2015-09-13T00:00:00"/>
    <n v="2015"/>
    <x v="33"/>
    <s v="R"/>
    <s v="RS"/>
    <x v="4"/>
    <s v="PHX"/>
    <s v="H"/>
    <n v="1"/>
    <n v="1"/>
    <n v="0"/>
    <n v="0"/>
    <n v="0"/>
    <n v="0"/>
    <n v="1488.1977070161447"/>
    <n v="1593.9252667372002"/>
    <n v="0.46877222668672247"/>
    <n v="91"/>
    <n v="87"/>
    <n v="0"/>
    <n v="4"/>
    <n v="1"/>
    <n v="0.28621535871119502"/>
    <n v="1"/>
    <n v="70.900000000000006"/>
    <n v="70.900000000000006"/>
    <n v="10.780029331661229"/>
    <n v="1498.9777363478058"/>
    <n v="1"/>
    <n v="0"/>
    <n v="0"/>
    <n v="0"/>
    <n v="0"/>
    <n v="0"/>
    <n v="0"/>
    <n v="0"/>
    <n v="0"/>
    <n v="0"/>
  </r>
  <r>
    <d v="2015-09-13T00:00:00"/>
    <n v="2015"/>
    <x v="33"/>
    <s v="R"/>
    <s v="RS"/>
    <x v="6"/>
    <s v="WAS"/>
    <s v="A"/>
    <n v="1"/>
    <n v="1"/>
    <n v="0"/>
    <n v="0"/>
    <n v="0"/>
    <n v="0"/>
    <n v="1478.2817372565416"/>
    <n v="1550.754210122321"/>
    <n v="0.28890092461139699"/>
    <n v="73"/>
    <n v="71"/>
    <n v="0"/>
    <n v="2"/>
    <n v="1"/>
    <n v="0.25258667030159493"/>
    <n v="1"/>
    <n v="70.900000000000006"/>
    <n v="70.900000000000006"/>
    <n v="12.734643072422761"/>
    <n v="1491.0163803289645"/>
    <n v="1"/>
    <n v="0"/>
    <n v="0"/>
    <n v="0"/>
    <n v="0"/>
    <n v="0"/>
    <n v="0"/>
    <n v="0"/>
    <n v="0"/>
    <n v="0"/>
  </r>
  <r>
    <d v="2015-09-13T00:00:00"/>
    <n v="2015"/>
    <x v="33"/>
    <s v="R"/>
    <s v="RS"/>
    <x v="2"/>
    <s v="ATL"/>
    <s v="H"/>
    <n v="1"/>
    <n v="1"/>
    <n v="0"/>
    <n v="0"/>
    <n v="0"/>
    <n v="0"/>
    <n v="1550.754210122321"/>
    <n v="1478.2817372565416"/>
    <n v="0.71109907538860295"/>
    <n v="71"/>
    <n v="73"/>
    <n v="0"/>
    <n v="-2"/>
    <n v="0"/>
    <n v="0.25258667030159493"/>
    <n v="1"/>
    <n v="70.900000000000006"/>
    <n v="70.900000000000006"/>
    <n v="-12.73464307242276"/>
    <n v="1538.0195670498981"/>
    <n v="0"/>
    <n v="1"/>
    <n v="0"/>
    <n v="0"/>
    <n v="0"/>
    <n v="0"/>
    <n v="0"/>
    <n v="0"/>
    <n v="0"/>
    <n v="0"/>
  </r>
  <r>
    <d v="2015-09-17T00:00:00"/>
    <n v="2015"/>
    <x v="34"/>
    <s v="P"/>
    <n v="1"/>
    <x v="0"/>
    <s v="CHI"/>
    <s v="A"/>
    <n v="3"/>
    <n v="3"/>
    <n v="0"/>
    <n v="0"/>
    <n v="0"/>
    <n v="0"/>
    <n v="1561.9085081359715"/>
    <n v="1575.3418723324944"/>
    <n v="0.36334582850811814"/>
    <n v="72"/>
    <n v="77"/>
    <n v="0"/>
    <n v="-5"/>
    <n v="0"/>
    <n v="0.328083257226988"/>
    <n v="1.1000000000000001"/>
    <n v="70.75"/>
    <n v="77.825000000000003"/>
    <n v="-9.2773379229985586"/>
    <n v="1552.6311702129728"/>
    <n v="0"/>
    <n v="0"/>
    <n v="0"/>
    <n v="1"/>
    <n v="0"/>
    <n v="0"/>
    <n v="0"/>
    <n v="0"/>
    <n v="0"/>
    <n v="0"/>
  </r>
  <r>
    <d v="2015-09-17T00:00:00"/>
    <n v="2015"/>
    <x v="34"/>
    <s v="P"/>
    <n v="1"/>
    <x v="1"/>
    <s v="IND"/>
    <s v="H"/>
    <n v="3"/>
    <n v="3"/>
    <n v="0"/>
    <n v="0"/>
    <n v="0"/>
    <n v="0"/>
    <n v="1575.3418723324944"/>
    <n v="1561.9085081359715"/>
    <n v="0.63665417149188186"/>
    <n v="77"/>
    <n v="72"/>
    <n v="0"/>
    <n v="5"/>
    <n v="1"/>
    <n v="0.328083257226988"/>
    <n v="1.1000000000000001"/>
    <n v="70.75"/>
    <n v="77.825000000000003"/>
    <n v="9.2773379229985586"/>
    <n v="1584.619210255493"/>
    <n v="0"/>
    <n v="0"/>
    <n v="1"/>
    <n v="0"/>
    <n v="0"/>
    <n v="0"/>
    <n v="0"/>
    <n v="0"/>
    <n v="0"/>
    <n v="0"/>
  </r>
  <r>
    <d v="2015-09-17T00:00:00"/>
    <n v="2015"/>
    <x v="34"/>
    <s v="P"/>
    <n v="1"/>
    <x v="4"/>
    <s v="PHX"/>
    <s v="A"/>
    <n v="3"/>
    <n v="3"/>
    <n v="0"/>
    <n v="0"/>
    <n v="0"/>
    <n v="0"/>
    <n v="1498.9777363478058"/>
    <n v="1583.1452374055391"/>
    <n v="0.27526935859235352"/>
    <n v="55"/>
    <n v="88"/>
    <n v="0"/>
    <n v="-33"/>
    <n v="0"/>
    <n v="0.69063483997151331"/>
    <n v="1.1000000000000001"/>
    <n v="70.75"/>
    <n v="77.825000000000003"/>
    <n v="-14.795358178149728"/>
    <n v="1484.1823781696562"/>
    <n v="0"/>
    <n v="0"/>
    <n v="0"/>
    <n v="1"/>
    <n v="0"/>
    <n v="0"/>
    <n v="0"/>
    <n v="0"/>
    <n v="0"/>
    <n v="0"/>
  </r>
  <r>
    <d v="2015-09-17T00:00:00"/>
    <n v="2015"/>
    <x v="34"/>
    <s v="P"/>
    <n v="1"/>
    <x v="9"/>
    <s v="TUL"/>
    <s v="H"/>
    <n v="3"/>
    <n v="3"/>
    <n v="0"/>
    <n v="0"/>
    <n v="0"/>
    <n v="0"/>
    <n v="1583.1452374055391"/>
    <n v="1498.9777363478058"/>
    <n v="0.72473064140764654"/>
    <n v="88"/>
    <n v="55"/>
    <n v="0"/>
    <n v="33"/>
    <n v="1"/>
    <n v="0.69063483997151331"/>
    <n v="1.1000000000000001"/>
    <n v="70.75"/>
    <n v="77.825000000000003"/>
    <n v="14.795358178149725"/>
    <n v="1597.9405955836887"/>
    <n v="0"/>
    <n v="0"/>
    <n v="1"/>
    <n v="0"/>
    <n v="0"/>
    <n v="0"/>
    <n v="0"/>
    <n v="0"/>
    <n v="0"/>
    <n v="0"/>
  </r>
  <r>
    <d v="2015-09-18T00:00:00"/>
    <n v="2015"/>
    <x v="34"/>
    <s v="P"/>
    <n v="1"/>
    <x v="10"/>
    <s v="MIN"/>
    <s v="A"/>
    <n v="6"/>
    <n v="6"/>
    <n v="0"/>
    <n v="0"/>
    <n v="0"/>
    <n v="0"/>
    <n v="1493.3199089604977"/>
    <n v="1570.180808268608"/>
    <n v="0.28373901060290374"/>
    <n v="65"/>
    <n v="67"/>
    <n v="0"/>
    <n v="-2"/>
    <n v="0"/>
    <n v="0.25171855849432412"/>
    <n v="1.1000000000000001"/>
    <n v="70.75"/>
    <n v="77.825000000000003"/>
    <n v="-5.5584463139512827"/>
    <n v="1487.7614626465465"/>
    <n v="0"/>
    <n v="0"/>
    <n v="0"/>
    <n v="1"/>
    <n v="0"/>
    <n v="0"/>
    <n v="0"/>
    <n v="0"/>
    <n v="0"/>
    <n v="0"/>
  </r>
  <r>
    <d v="2015-09-18T00:00:00"/>
    <n v="2015"/>
    <x v="34"/>
    <s v="P"/>
    <n v="1"/>
    <x v="5"/>
    <s v="LAS"/>
    <s v="H"/>
    <n v="6"/>
    <n v="6"/>
    <n v="0"/>
    <n v="0"/>
    <n v="0"/>
    <n v="0"/>
    <n v="1570.180808268608"/>
    <n v="1493.3199089604977"/>
    <n v="0.71626098939709626"/>
    <n v="67"/>
    <n v="65"/>
    <n v="0"/>
    <n v="2"/>
    <n v="1"/>
    <n v="0.25171855849432412"/>
    <n v="1.1000000000000001"/>
    <n v="70.75"/>
    <n v="77.825000000000003"/>
    <n v="5.5584463139512827"/>
    <n v="1575.7392545825592"/>
    <n v="0"/>
    <n v="0"/>
    <n v="1"/>
    <n v="0"/>
    <n v="0"/>
    <n v="0"/>
    <n v="0"/>
    <n v="0"/>
    <n v="0"/>
    <n v="0"/>
  </r>
  <r>
    <d v="2015-09-18T00:00:00"/>
    <n v="2015"/>
    <x v="34"/>
    <s v="P"/>
    <n v="1"/>
    <x v="2"/>
    <s v="NYL"/>
    <s v="A"/>
    <n v="4"/>
    <n v="4"/>
    <n v="0"/>
    <n v="0"/>
    <n v="0"/>
    <n v="0"/>
    <n v="1538.0195670498981"/>
    <n v="1564.2101360174449"/>
    <n v="0.34653437647463631"/>
    <n v="86"/>
    <n v="83"/>
    <n v="1"/>
    <n v="3"/>
    <n v="1"/>
    <n v="0.25558686448753737"/>
    <n v="1.1000000000000001"/>
    <n v="70.75"/>
    <n v="77.825000000000003"/>
    <n v="12.998115906635551"/>
    <n v="1551.0176829565337"/>
    <n v="0"/>
    <n v="0"/>
    <n v="1"/>
    <n v="0"/>
    <n v="0"/>
    <n v="0"/>
    <n v="0"/>
    <n v="0"/>
    <n v="0"/>
    <n v="0"/>
  </r>
  <r>
    <d v="2015-09-18T00:00:00"/>
    <n v="2015"/>
    <x v="34"/>
    <s v="P"/>
    <n v="1"/>
    <x v="7"/>
    <s v="WAS"/>
    <s v="H"/>
    <n v="4"/>
    <n v="4"/>
    <n v="0"/>
    <n v="0"/>
    <n v="0"/>
    <n v="0"/>
    <n v="1564.2101360174449"/>
    <n v="1538.0195670498981"/>
    <n v="0.65346562352536364"/>
    <n v="83"/>
    <n v="86"/>
    <n v="1"/>
    <n v="-3"/>
    <n v="0"/>
    <n v="0.25558686448753737"/>
    <n v="1.1000000000000001"/>
    <n v="70.75"/>
    <n v="77.825000000000003"/>
    <n v="-12.998115906635549"/>
    <n v="1551.2120201108094"/>
    <n v="0"/>
    <n v="0"/>
    <n v="0"/>
    <n v="1"/>
    <n v="0"/>
    <n v="0"/>
    <n v="0"/>
    <n v="0"/>
    <n v="0"/>
    <n v="0"/>
  </r>
  <r>
    <d v="2015-09-19T00:00:00"/>
    <n v="2015"/>
    <x v="35"/>
    <s v="P"/>
    <n v="1"/>
    <x v="1"/>
    <s v="IND"/>
    <s v="A"/>
    <n v="1"/>
    <n v="1"/>
    <n v="0"/>
    <n v="0"/>
    <n v="0"/>
    <n v="0"/>
    <n v="1584.619210255493"/>
    <n v="1552.6311702129728"/>
    <n v="0.42570296453612638"/>
    <n v="82"/>
    <n v="89"/>
    <n v="0"/>
    <n v="-7"/>
    <n v="0"/>
    <n v="0.36049749879816656"/>
    <n v="1.1000000000000001"/>
    <n v="70.599999999999994"/>
    <n v="77.66"/>
    <n v="-11.918080557464855"/>
    <n v="1572.7011296980281"/>
    <n v="0"/>
    <n v="0"/>
    <n v="0"/>
    <n v="1"/>
    <n v="0"/>
    <n v="0"/>
    <n v="0"/>
    <n v="0"/>
    <n v="0"/>
    <n v="0"/>
  </r>
  <r>
    <d v="2015-09-19T00:00:00"/>
    <n v="2015"/>
    <x v="35"/>
    <s v="P"/>
    <n v="1"/>
    <x v="0"/>
    <s v="CHI"/>
    <s v="H"/>
    <n v="1"/>
    <n v="1"/>
    <n v="0"/>
    <n v="0"/>
    <n v="0"/>
    <n v="0"/>
    <n v="1552.6311702129728"/>
    <n v="1584.619210255493"/>
    <n v="0.57429703546387356"/>
    <n v="89"/>
    <n v="82"/>
    <n v="0"/>
    <n v="7"/>
    <n v="1"/>
    <n v="0.36049749879816656"/>
    <n v="1.1000000000000001"/>
    <n v="70.599999999999994"/>
    <n v="77.66"/>
    <n v="11.918080557464856"/>
    <n v="1564.5492507704378"/>
    <n v="0"/>
    <n v="0"/>
    <n v="1"/>
    <n v="0"/>
    <n v="0"/>
    <n v="0"/>
    <n v="0"/>
    <n v="0"/>
    <n v="0"/>
    <n v="0"/>
  </r>
  <r>
    <d v="2015-09-19T00:00:00"/>
    <n v="2015"/>
    <x v="35"/>
    <s v="P"/>
    <n v="1"/>
    <x v="9"/>
    <s v="TUL"/>
    <s v="A"/>
    <n v="1"/>
    <n v="1"/>
    <n v="0"/>
    <n v="0"/>
    <n v="0"/>
    <n v="0"/>
    <n v="1597.9405955836887"/>
    <n v="1484.1823781696562"/>
    <n v="0.5427210996898002"/>
    <n v="91"/>
    <n v="67"/>
    <n v="0"/>
    <n v="24"/>
    <n v="1"/>
    <n v="0.5740151477964861"/>
    <n v="1.1000000000000001"/>
    <n v="70.599999999999994"/>
    <n v="77.66"/>
    <n v="20.384586307284806"/>
    <n v="1618.3251818909735"/>
    <n v="0"/>
    <n v="0"/>
    <n v="1"/>
    <n v="0"/>
    <n v="0"/>
    <n v="0"/>
    <n v="0"/>
    <n v="0"/>
    <n v="0"/>
    <n v="0"/>
  </r>
  <r>
    <d v="2015-09-19T00:00:00"/>
    <n v="2015"/>
    <x v="35"/>
    <s v="P"/>
    <n v="1"/>
    <x v="4"/>
    <s v="PHX"/>
    <s v="H"/>
    <n v="1"/>
    <n v="1"/>
    <n v="0"/>
    <n v="0"/>
    <n v="0"/>
    <n v="0"/>
    <n v="1484.1823781696562"/>
    <n v="1597.9405955836887"/>
    <n v="0.4572789003101998"/>
    <n v="67"/>
    <n v="91"/>
    <n v="0"/>
    <n v="-24"/>
    <n v="0"/>
    <n v="0.5740151477964861"/>
    <n v="1.1000000000000001"/>
    <n v="70.599999999999994"/>
    <n v="77.66"/>
    <n v="-20.384586307284806"/>
    <n v="1463.7977918623715"/>
    <n v="0"/>
    <n v="0"/>
    <n v="0"/>
    <n v="1"/>
    <n v="0"/>
    <n v="0"/>
    <n v="0"/>
    <n v="0"/>
    <n v="0"/>
    <n v="0"/>
  </r>
  <r>
    <d v="2015-09-20T00:00:00"/>
    <n v="2015"/>
    <x v="35"/>
    <s v="P"/>
    <n v="1"/>
    <x v="5"/>
    <s v="LAS"/>
    <s v="A"/>
    <n v="1"/>
    <n v="1"/>
    <n v="0"/>
    <n v="0"/>
    <n v="0"/>
    <n v="0"/>
    <n v="1575.7392545825592"/>
    <n v="1487.7614626465465"/>
    <n v="0.50572425265033583"/>
    <n v="71"/>
    <n v="81"/>
    <n v="0"/>
    <n v="-10"/>
    <n v="0"/>
    <n v="0.39422701414401895"/>
    <n v="1.1000000000000001"/>
    <n v="70.599999999999994"/>
    <n v="77.66"/>
    <n v="-15.483086788884604"/>
    <n v="1560.2561677936746"/>
    <n v="0"/>
    <n v="0"/>
    <n v="0"/>
    <n v="1"/>
    <n v="0"/>
    <n v="0"/>
    <n v="0"/>
    <n v="0"/>
    <n v="0"/>
    <n v="0"/>
  </r>
  <r>
    <d v="2015-09-20T00:00:00"/>
    <n v="2015"/>
    <x v="35"/>
    <s v="P"/>
    <n v="1"/>
    <x v="10"/>
    <s v="MIN"/>
    <s v="H"/>
    <n v="1"/>
    <n v="1"/>
    <n v="0"/>
    <n v="0"/>
    <n v="0"/>
    <n v="0"/>
    <n v="1487.7614626465465"/>
    <n v="1575.7392545825592"/>
    <n v="0.49427574734966423"/>
    <n v="81"/>
    <n v="71"/>
    <n v="0"/>
    <n v="10"/>
    <n v="1"/>
    <n v="0.39422701414401895"/>
    <n v="1.1000000000000001"/>
    <n v="70.599999999999994"/>
    <n v="77.66"/>
    <n v="15.483086788884604"/>
    <n v="1503.2445494354311"/>
    <n v="0"/>
    <n v="0"/>
    <n v="1"/>
    <n v="0"/>
    <n v="0"/>
    <n v="0"/>
    <n v="0"/>
    <n v="0"/>
    <n v="0"/>
    <n v="0"/>
  </r>
  <r>
    <d v="2015-09-20T00:00:00"/>
    <n v="2015"/>
    <x v="35"/>
    <s v="P"/>
    <n v="1"/>
    <x v="7"/>
    <s v="WAS"/>
    <s v="A"/>
    <n v="1"/>
    <n v="1"/>
    <n v="0"/>
    <n v="0"/>
    <n v="0"/>
    <n v="0"/>
    <n v="1551.2120201108094"/>
    <n v="1551.0176829565337"/>
    <n v="0.38167985524873982"/>
    <n v="86"/>
    <n v="68"/>
    <n v="0"/>
    <n v="18"/>
    <n v="1"/>
    <n v="0.54674538800730565"/>
    <n v="1.1000000000000001"/>
    <n v="70.599999999999994"/>
    <n v="77.66"/>
    <n v="26.254025967736752"/>
    <n v="1577.466046078546"/>
    <n v="0"/>
    <n v="0"/>
    <n v="1"/>
    <n v="0"/>
    <n v="0"/>
    <n v="0"/>
    <n v="0"/>
    <n v="0"/>
    <n v="0"/>
    <n v="0"/>
  </r>
  <r>
    <d v="2015-09-20T00:00:00"/>
    <n v="2015"/>
    <x v="35"/>
    <s v="P"/>
    <n v="1"/>
    <x v="2"/>
    <s v="NYL"/>
    <s v="H"/>
    <n v="1"/>
    <n v="1"/>
    <n v="0"/>
    <n v="0"/>
    <n v="0"/>
    <n v="0"/>
    <n v="1551.0176829565337"/>
    <n v="1551.2120201108094"/>
    <n v="0.61832014475126018"/>
    <n v="68"/>
    <n v="86"/>
    <n v="0"/>
    <n v="-18"/>
    <n v="0"/>
    <n v="0.54674538800730565"/>
    <n v="1.1000000000000001"/>
    <n v="70.599999999999994"/>
    <n v="77.66"/>
    <n v="-26.254025967736752"/>
    <n v="1524.763656988797"/>
    <n v="0"/>
    <n v="0"/>
    <n v="0"/>
    <n v="1"/>
    <n v="0"/>
    <n v="0"/>
    <n v="0"/>
    <n v="0"/>
    <n v="0"/>
    <n v="0"/>
  </r>
  <r>
    <d v="2015-09-21T00:00:00"/>
    <n v="2015"/>
    <x v="36"/>
    <s v="P"/>
    <n v="1"/>
    <x v="0"/>
    <s v="CHI"/>
    <s v="A"/>
    <n v="1"/>
    <n v="1"/>
    <n v="0"/>
    <n v="0"/>
    <n v="0"/>
    <n v="0"/>
    <n v="1564.5492507704378"/>
    <n v="1572.7011296980281"/>
    <n v="0.37040754127384329"/>
    <n v="100"/>
    <n v="89"/>
    <n v="0"/>
    <n v="11"/>
    <n v="1"/>
    <n v="0.43686822287414673"/>
    <n v="1.1000000000000001"/>
    <n v="70.45"/>
    <n v="77.495000000000005"/>
    <n v="21.31491749515331"/>
    <n v="1585.8641682655912"/>
    <n v="0"/>
    <n v="0"/>
    <n v="1"/>
    <n v="0"/>
    <n v="0"/>
    <n v="0"/>
    <n v="0"/>
    <n v="0"/>
    <n v="0"/>
    <n v="0"/>
  </r>
  <r>
    <d v="2015-09-21T00:00:00"/>
    <n v="2015"/>
    <x v="36"/>
    <s v="P"/>
    <n v="1"/>
    <x v="1"/>
    <s v="IND"/>
    <s v="H"/>
    <n v="1"/>
    <n v="1"/>
    <n v="0"/>
    <n v="0"/>
    <n v="0"/>
    <n v="0"/>
    <n v="1572.7011296980281"/>
    <n v="1564.5492507704378"/>
    <n v="0.62959245872615666"/>
    <n v="89"/>
    <n v="100"/>
    <n v="0"/>
    <n v="-11"/>
    <n v="0"/>
    <n v="0.43686822287414673"/>
    <n v="1.1000000000000001"/>
    <n v="70.45"/>
    <n v="77.495000000000005"/>
    <n v="-21.314917495153306"/>
    <n v="1551.3862122028747"/>
    <n v="0"/>
    <n v="0"/>
    <n v="0"/>
    <n v="1"/>
    <n v="0"/>
    <n v="0"/>
    <n v="0"/>
    <n v="0"/>
    <n v="0"/>
    <n v="0"/>
  </r>
  <r>
    <d v="2015-09-22T00:00:00"/>
    <n v="2015"/>
    <x v="36"/>
    <s v="P"/>
    <n v="1"/>
    <x v="10"/>
    <s v="MIN"/>
    <s v="A"/>
    <n v="1"/>
    <n v="1"/>
    <n v="0"/>
    <n v="0"/>
    <n v="0"/>
    <n v="0"/>
    <n v="1503.2445494354311"/>
    <n v="1560.2561677936746"/>
    <n v="0.30752236484568929"/>
    <n v="80"/>
    <n v="91"/>
    <n v="0"/>
    <n v="-11"/>
    <n v="0"/>
    <n v="0.41988726007044413"/>
    <n v="1.1000000000000001"/>
    <n v="70.45"/>
    <n v="77.495000000000005"/>
    <n v="-10.006520423255669"/>
    <n v="1493.2380290121753"/>
    <n v="0"/>
    <n v="0"/>
    <n v="0"/>
    <n v="1"/>
    <n v="0"/>
    <n v="0"/>
    <n v="0"/>
    <n v="0"/>
    <n v="0"/>
    <n v="0"/>
  </r>
  <r>
    <d v="2015-09-22T00:00:00"/>
    <n v="2015"/>
    <x v="36"/>
    <s v="P"/>
    <n v="1"/>
    <x v="5"/>
    <s v="LAS"/>
    <s v="H"/>
    <n v="1"/>
    <n v="1"/>
    <n v="0"/>
    <n v="0"/>
    <n v="0"/>
    <n v="0"/>
    <n v="1560.2561677936746"/>
    <n v="1503.2445494354311"/>
    <n v="0.69247763515431071"/>
    <n v="91"/>
    <n v="80"/>
    <n v="0"/>
    <n v="11"/>
    <n v="1"/>
    <n v="0.41988726007044413"/>
    <n v="1.1000000000000001"/>
    <n v="70.45"/>
    <n v="77.495000000000005"/>
    <n v="10.006520423255669"/>
    <n v="1570.2626882169304"/>
    <n v="0"/>
    <n v="0"/>
    <n v="1"/>
    <n v="0"/>
    <n v="0"/>
    <n v="0"/>
    <n v="0"/>
    <n v="0"/>
    <n v="0"/>
    <n v="0"/>
  </r>
  <r>
    <d v="2015-09-22T00:00:00"/>
    <n v="2015"/>
    <x v="36"/>
    <s v="P"/>
    <n v="1"/>
    <x v="2"/>
    <s v="NYL"/>
    <s v="A"/>
    <n v="1"/>
    <n v="1"/>
    <n v="0"/>
    <n v="0"/>
    <n v="0"/>
    <n v="0"/>
    <n v="1524.763656988797"/>
    <n v="1577.466046078546"/>
    <n v="0.31282991273751021"/>
    <n v="74"/>
    <n v="79"/>
    <n v="0"/>
    <n v="-5"/>
    <n v="0"/>
    <n v="0.3177986838859419"/>
    <n v="1.1000000000000001"/>
    <n v="70.45"/>
    <n v="77.495000000000005"/>
    <n v="-7.704315342807706"/>
    <n v="1517.0593416459894"/>
    <n v="0"/>
    <n v="0"/>
    <n v="0"/>
    <n v="1"/>
    <n v="0"/>
    <n v="0"/>
    <n v="0"/>
    <n v="0"/>
    <n v="0"/>
    <n v="0"/>
  </r>
  <r>
    <d v="2015-09-22T00:00:00"/>
    <n v="2015"/>
    <x v="36"/>
    <s v="P"/>
    <n v="1"/>
    <x v="7"/>
    <s v="WAS"/>
    <s v="H"/>
    <n v="1"/>
    <n v="1"/>
    <n v="0"/>
    <n v="0"/>
    <n v="0"/>
    <n v="0"/>
    <n v="1577.466046078546"/>
    <n v="1524.763656988797"/>
    <n v="0.68717008726248985"/>
    <n v="79"/>
    <n v="74"/>
    <n v="0"/>
    <n v="5"/>
    <n v="1"/>
    <n v="0.3177986838859419"/>
    <n v="1.1000000000000001"/>
    <n v="70.45"/>
    <n v="77.495000000000005"/>
    <n v="7.7043153428077042"/>
    <n v="1585.1703614213536"/>
    <n v="0"/>
    <n v="0"/>
    <n v="1"/>
    <n v="0"/>
    <n v="0"/>
    <n v="0"/>
    <n v="0"/>
    <n v="0"/>
    <n v="0"/>
    <n v="0"/>
  </r>
  <r>
    <d v="2015-09-23T00:00:00"/>
    <n v="2015"/>
    <x v="37"/>
    <s v="P"/>
    <n v="2"/>
    <x v="0"/>
    <s v="NYL"/>
    <s v="A"/>
    <n v="1"/>
    <n v="0"/>
    <n v="1"/>
    <n v="-1"/>
    <n v="8"/>
    <n v="-8"/>
    <n v="1585.8641682655912"/>
    <n v="1585.1703614213536"/>
    <n v="0.40433237322942539"/>
    <n v="67"/>
    <n v="84"/>
    <n v="0"/>
    <n v="-17"/>
    <n v="0"/>
    <n v="0.53213440367256204"/>
    <n v="1.2"/>
    <n v="70.3"/>
    <n v="84.36"/>
    <n v="-18.150827270244996"/>
    <n v="1567.7133409953462"/>
    <n v="0"/>
    <n v="0"/>
    <n v="0"/>
    <n v="0"/>
    <n v="0"/>
    <n v="1"/>
    <n v="0"/>
    <n v="0"/>
    <n v="0"/>
    <n v="0"/>
  </r>
  <r>
    <d v="2015-09-23T00:00:00"/>
    <n v="2015"/>
    <x v="37"/>
    <s v="P"/>
    <n v="2"/>
    <x v="7"/>
    <s v="IND"/>
    <s v="H"/>
    <n v="0"/>
    <n v="1"/>
    <n v="-1"/>
    <n v="1"/>
    <n v="-8"/>
    <n v="8"/>
    <n v="1585.1703614213536"/>
    <n v="1585.8641682655912"/>
    <n v="0.59566762677057461"/>
    <n v="84"/>
    <n v="67"/>
    <n v="0"/>
    <n v="17"/>
    <n v="1"/>
    <n v="0.53213440367256204"/>
    <n v="1.2"/>
    <n v="70.3"/>
    <n v="84.36"/>
    <n v="18.150827270244996"/>
    <n v="1603.3211886915985"/>
    <n v="0"/>
    <n v="0"/>
    <n v="0"/>
    <n v="0"/>
    <n v="1"/>
    <n v="0"/>
    <n v="0"/>
    <n v="0"/>
    <n v="0"/>
    <n v="0"/>
  </r>
  <r>
    <d v="2015-09-24T00:00:00"/>
    <n v="2015"/>
    <x v="36"/>
    <s v="P"/>
    <n v="2"/>
    <x v="9"/>
    <s v="MIN"/>
    <s v="A"/>
    <n v="4"/>
    <n v="1"/>
    <n v="3"/>
    <n v="-3"/>
    <n v="16"/>
    <n v="-16"/>
    <n v="1618.3251818909735"/>
    <n v="1570.2626882169304"/>
    <n v="0.49433371548082172"/>
    <n v="60"/>
    <n v="67"/>
    <n v="0"/>
    <n v="-7"/>
    <n v="0"/>
    <n v="0.35585446180435998"/>
    <n v="1.2"/>
    <n v="70.45"/>
    <n v="84.54"/>
    <n v="-14.871503958498961"/>
    <n v="1603.4536779324744"/>
    <n v="0"/>
    <n v="0"/>
    <n v="0"/>
    <n v="0"/>
    <n v="0"/>
    <n v="1"/>
    <n v="0"/>
    <n v="0"/>
    <n v="0"/>
    <n v="0"/>
  </r>
  <r>
    <d v="2015-09-24T00:00:00"/>
    <n v="2015"/>
    <x v="37"/>
    <s v="P"/>
    <n v="2"/>
    <x v="5"/>
    <s v="PHX"/>
    <s v="H"/>
    <n v="1"/>
    <n v="4"/>
    <n v="-3"/>
    <n v="3"/>
    <n v="-16"/>
    <n v="16"/>
    <n v="1570.2626882169304"/>
    <n v="1618.3251818909735"/>
    <n v="0.50566628451917828"/>
    <n v="67"/>
    <n v="60"/>
    <n v="0"/>
    <n v="7"/>
    <n v="1"/>
    <n v="0.35585446180435998"/>
    <n v="1.2"/>
    <n v="70.3"/>
    <n v="84.36"/>
    <n v="14.839840004009607"/>
    <n v="1585.10252822094"/>
    <n v="0"/>
    <n v="0"/>
    <n v="0"/>
    <n v="0"/>
    <n v="1"/>
    <n v="0"/>
    <n v="0"/>
    <n v="0"/>
    <n v="0"/>
    <n v="0"/>
  </r>
  <r>
    <d v="2015-09-27T00:00:00"/>
    <n v="2015"/>
    <x v="38"/>
    <s v="P"/>
    <n v="2"/>
    <x v="7"/>
    <s v="IND"/>
    <s v="A"/>
    <n v="3"/>
    <n v="3"/>
    <n v="0"/>
    <n v="0"/>
    <n v="0"/>
    <n v="0"/>
    <n v="1603.3211886915985"/>
    <n v="1567.7133409953462"/>
    <n v="0.4308049777123148"/>
    <n v="64"/>
    <n v="70"/>
    <n v="0"/>
    <n v="-6"/>
    <n v="0"/>
    <n v="0.34115752347731593"/>
    <n v="1.2"/>
    <n v="70.150000000000006"/>
    <n v="84.18"/>
    <n v="-12.372133205708469"/>
    <n v="1590.9490554858901"/>
    <n v="0"/>
    <n v="0"/>
    <n v="0"/>
    <n v="0"/>
    <n v="0"/>
    <n v="1"/>
    <n v="0"/>
    <n v="0"/>
    <n v="0"/>
    <n v="0"/>
  </r>
  <r>
    <d v="2015-09-27T00:00:00"/>
    <n v="2015"/>
    <x v="38"/>
    <s v="P"/>
    <n v="2"/>
    <x v="0"/>
    <s v="NYL"/>
    <s v="H"/>
    <n v="3"/>
    <n v="3"/>
    <n v="0"/>
    <n v="0"/>
    <n v="0"/>
    <n v="0"/>
    <n v="1567.7133409953462"/>
    <n v="1603.3211886915985"/>
    <n v="0.56919502228768515"/>
    <n v="70"/>
    <n v="64"/>
    <n v="0"/>
    <n v="6"/>
    <n v="1"/>
    <n v="0.34115752347731593"/>
    <n v="1.2"/>
    <n v="70.150000000000006"/>
    <n v="84.18"/>
    <n v="12.372133205708471"/>
    <n v="1580.0854742010547"/>
    <n v="0"/>
    <n v="0"/>
    <n v="0"/>
    <n v="0"/>
    <n v="1"/>
    <n v="0"/>
    <n v="0"/>
    <n v="0"/>
    <n v="0"/>
    <n v="0"/>
  </r>
  <r>
    <d v="2015-09-27T00:00:00"/>
    <n v="2015"/>
    <x v="38"/>
    <s v="P"/>
    <n v="2"/>
    <x v="5"/>
    <s v="PHX"/>
    <s v="A"/>
    <n v="2"/>
    <n v="2"/>
    <n v="0"/>
    <n v="0"/>
    <n v="0"/>
    <n v="0"/>
    <n v="1585.10252822094"/>
    <n v="1603.4536779324744"/>
    <n v="0.35682288962544073"/>
    <n v="72"/>
    <n v="71"/>
    <n v="0"/>
    <n v="1"/>
    <n v="1"/>
    <n v="0.24050176767816783"/>
    <n v="1.2"/>
    <n v="70.150000000000006"/>
    <n v="84.18"/>
    <n v="13.021402827673814"/>
    <n v="1598.1239310486139"/>
    <n v="0"/>
    <n v="0"/>
    <n v="0"/>
    <n v="0"/>
    <n v="1"/>
    <n v="0"/>
    <n v="0"/>
    <n v="0"/>
    <n v="0"/>
    <n v="0"/>
  </r>
  <r>
    <d v="2015-09-27T00:00:00"/>
    <n v="2015"/>
    <x v="37"/>
    <s v="P"/>
    <n v="2"/>
    <x v="9"/>
    <s v="MIN"/>
    <s v="H"/>
    <n v="2"/>
    <n v="2"/>
    <n v="0"/>
    <n v="0"/>
    <n v="0"/>
    <n v="0"/>
    <n v="1603.4536779324744"/>
    <n v="1585.10252822094"/>
    <n v="0.64317711037455927"/>
    <n v="71"/>
    <n v="72"/>
    <n v="0"/>
    <n v="-1"/>
    <n v="0"/>
    <n v="0.24050176767816783"/>
    <n v="1.2"/>
    <n v="70.3"/>
    <n v="84.36"/>
    <n v="-13.049246169429354"/>
    <n v="1590.4044317630451"/>
    <n v="0"/>
    <n v="0"/>
    <n v="0"/>
    <n v="0"/>
    <n v="0"/>
    <n v="1"/>
    <n v="0"/>
    <n v="0"/>
    <n v="0"/>
    <n v="0"/>
  </r>
  <r>
    <d v="2015-09-29T00:00:00"/>
    <n v="2015"/>
    <x v="39"/>
    <s v="P"/>
    <n v="2"/>
    <x v="0"/>
    <s v="NYL"/>
    <s v="A"/>
    <n v="1"/>
    <n v="1"/>
    <n v="0"/>
    <n v="0"/>
    <n v="0"/>
    <n v="0"/>
    <n v="1580.0854742010547"/>
    <n v="1590.9490554858901"/>
    <n v="0.36677466506186768"/>
    <n v="66"/>
    <n v="51"/>
    <n v="0"/>
    <n v="15"/>
    <n v="1"/>
    <n v="0.49833659462632091"/>
    <n v="1.2"/>
    <n v="70"/>
    <n v="84"/>
    <n v="26.506985991711144"/>
    <n v="1606.5924601927659"/>
    <n v="0"/>
    <n v="0"/>
    <n v="0"/>
    <n v="0"/>
    <n v="1"/>
    <n v="0"/>
    <n v="0"/>
    <n v="0"/>
    <n v="0"/>
    <n v="0"/>
  </r>
  <r>
    <d v="2015-09-29T00:00:00"/>
    <n v="2015"/>
    <x v="39"/>
    <s v="P"/>
    <n v="2"/>
    <x v="7"/>
    <s v="IND"/>
    <s v="H"/>
    <n v="1"/>
    <n v="1"/>
    <n v="0"/>
    <n v="0"/>
    <n v="0"/>
    <n v="0"/>
    <n v="1590.9490554858901"/>
    <n v="1580.0854742010547"/>
    <n v="0.63322533493813238"/>
    <n v="51"/>
    <n v="66"/>
    <n v="0"/>
    <n v="-15"/>
    <n v="0"/>
    <n v="0.49833659462632091"/>
    <n v="1.2"/>
    <n v="70"/>
    <n v="84"/>
    <n v="-26.506985991711147"/>
    <n v="1564.4420694941789"/>
    <n v="0"/>
    <n v="0"/>
    <n v="0"/>
    <n v="0"/>
    <n v="0"/>
    <n v="1"/>
    <n v="0"/>
    <n v="0"/>
    <n v="0"/>
    <n v="0"/>
  </r>
  <r>
    <d v="2015-10-04T00:00:00"/>
    <n v="2015"/>
    <x v="40"/>
    <s v="P"/>
    <n v="3"/>
    <x v="0"/>
    <s v="MIN"/>
    <s v="A"/>
    <n v="4"/>
    <n v="6"/>
    <n v="-2"/>
    <n v="2"/>
    <n v="-16"/>
    <n v="16"/>
    <n v="1606.5924601927659"/>
    <n v="1598.1239310486139"/>
    <n v="0.35000871417713059"/>
    <n v="75"/>
    <n v="69"/>
    <n v="0"/>
    <n v="6"/>
    <n v="1"/>
    <n v="0.34881910711214476"/>
    <n v="1.35"/>
    <n v="69.849999999999994"/>
    <n v="94.297499999999999"/>
    <n v="21.380013705967912"/>
    <n v="1627.9724738987338"/>
    <n v="0"/>
    <n v="0"/>
    <n v="0"/>
    <n v="0"/>
    <n v="0"/>
    <n v="0"/>
    <n v="1"/>
    <n v="0"/>
    <n v="0"/>
    <n v="0"/>
  </r>
  <r>
    <d v="2015-10-04T00:00:00"/>
    <n v="2015"/>
    <x v="39"/>
    <s v="P"/>
    <n v="3"/>
    <x v="5"/>
    <s v="IND"/>
    <s v="H"/>
    <n v="6"/>
    <n v="4"/>
    <n v="2"/>
    <n v="-2"/>
    <n v="16"/>
    <n v="-16"/>
    <n v="1598.1239310486139"/>
    <n v="1606.5924601927659"/>
    <n v="0.64999128582286947"/>
    <n v="69"/>
    <n v="75"/>
    <n v="0"/>
    <n v="-6"/>
    <n v="0"/>
    <n v="0.34881910711214476"/>
    <n v="1.35"/>
    <n v="70"/>
    <n v="94.5"/>
    <n v="-21.425926405408077"/>
    <n v="1576.6980046432059"/>
    <n v="0"/>
    <n v="0"/>
    <n v="0"/>
    <n v="0"/>
    <n v="0"/>
    <n v="0"/>
    <n v="0"/>
    <n v="1"/>
    <n v="0"/>
    <n v="0"/>
  </r>
  <r>
    <d v="2015-10-06T00:00:00"/>
    <n v="2015"/>
    <x v="41"/>
    <s v="P"/>
    <n v="3"/>
    <x v="0"/>
    <s v="MIN"/>
    <s v="A"/>
    <n v="1"/>
    <n v="1"/>
    <n v="0"/>
    <n v="0"/>
    <n v="0"/>
    <n v="0"/>
    <n v="1627.9724738987338"/>
    <n v="1576.6980046432059"/>
    <n v="0.4530429620580953"/>
    <n v="71"/>
    <n v="77"/>
    <n v="0"/>
    <n v="-6"/>
    <n v="0"/>
    <n v="0.33688604991676385"/>
    <n v="1.35"/>
    <n v="69.7"/>
    <n v="94.095000000000013"/>
    <n v="-14.361141535575538"/>
    <n v="1613.6113323631582"/>
    <n v="0"/>
    <n v="0"/>
    <n v="0"/>
    <n v="0"/>
    <n v="0"/>
    <n v="0"/>
    <n v="0"/>
    <n v="1"/>
    <n v="0"/>
    <n v="0"/>
  </r>
  <r>
    <d v="2015-10-06T00:00:00"/>
    <n v="2015"/>
    <x v="40"/>
    <s v="P"/>
    <n v="3"/>
    <x v="5"/>
    <s v="IND"/>
    <s v="H"/>
    <n v="1"/>
    <n v="1"/>
    <n v="0"/>
    <n v="0"/>
    <n v="0"/>
    <n v="0"/>
    <n v="1576.6980046432059"/>
    <n v="1627.9724738987338"/>
    <n v="0.54695703794190476"/>
    <n v="77"/>
    <n v="71"/>
    <n v="0"/>
    <n v="6"/>
    <n v="1"/>
    <n v="0.33688604991676385"/>
    <n v="1.35"/>
    <n v="69.849999999999994"/>
    <n v="94.297499999999999"/>
    <n v="14.392047865996428"/>
    <n v="1591.0900525092022"/>
    <n v="0"/>
    <n v="0"/>
    <n v="0"/>
    <n v="0"/>
    <n v="0"/>
    <n v="0"/>
    <n v="1"/>
    <n v="0"/>
    <n v="0"/>
    <n v="0"/>
  </r>
  <r>
    <d v="2015-10-09T00:00:00"/>
    <n v="2015"/>
    <x v="41"/>
    <s v="P"/>
    <n v="3"/>
    <x v="5"/>
    <s v="IND"/>
    <s v="A"/>
    <n v="2"/>
    <n v="2"/>
    <n v="0"/>
    <n v="0"/>
    <n v="0"/>
    <n v="0"/>
    <n v="1591.0900525092022"/>
    <n v="1613.6113323631582"/>
    <n v="0.35133282191820842"/>
    <n v="80"/>
    <n v="77"/>
    <n v="0"/>
    <n v="3"/>
    <n v="1"/>
    <n v="0.28483776197339361"/>
    <n v="1.35"/>
    <n v="69.7"/>
    <n v="94.095000000000013"/>
    <n v="17.385453949609634"/>
    <n v="1608.4755064588119"/>
    <n v="0"/>
    <n v="0"/>
    <n v="0"/>
    <n v="0"/>
    <n v="0"/>
    <n v="0"/>
    <n v="1"/>
    <n v="0"/>
    <n v="0"/>
    <n v="0"/>
  </r>
  <r>
    <d v="2015-10-09T00:00:00"/>
    <n v="2015"/>
    <x v="42"/>
    <s v="P"/>
    <n v="3"/>
    <x v="0"/>
    <s v="MIN"/>
    <s v="H"/>
    <n v="2"/>
    <n v="2"/>
    <n v="0"/>
    <n v="0"/>
    <n v="0"/>
    <n v="0"/>
    <n v="1613.6113323631582"/>
    <n v="1591.0900525092022"/>
    <n v="0.64866717808179164"/>
    <n v="77"/>
    <n v="80"/>
    <n v="0"/>
    <n v="-3"/>
    <n v="0"/>
    <n v="0.28483776197339361"/>
    <n v="1.35"/>
    <n v="69.55"/>
    <n v="93.892499999999998"/>
    <n v="-17.348039055887373"/>
    <n v="1596.2632933072709"/>
    <n v="0"/>
    <n v="0"/>
    <n v="0"/>
    <n v="0"/>
    <n v="0"/>
    <n v="0"/>
    <n v="0"/>
    <n v="1"/>
    <n v="0"/>
    <n v="0"/>
  </r>
  <r>
    <d v="2015-10-11T00:00:00"/>
    <n v="2015"/>
    <x v="42"/>
    <s v="P"/>
    <n v="3"/>
    <x v="5"/>
    <s v="IND"/>
    <s v="A"/>
    <n v="1"/>
    <n v="1"/>
    <n v="0"/>
    <n v="0"/>
    <n v="0"/>
    <n v="0"/>
    <n v="1608.4755064588119"/>
    <n v="1596.2632933072709"/>
    <n v="0.398134593665109"/>
    <n v="69"/>
    <n v="75"/>
    <n v="0"/>
    <n v="-6"/>
    <n v="0"/>
    <n v="0.34774184646537043"/>
    <n v="1.35"/>
    <n v="69.55"/>
    <n v="93.892499999999998"/>
    <n v="-12.999234355512572"/>
    <n v="1595.4762721032994"/>
    <n v="0"/>
    <n v="0"/>
    <n v="0"/>
    <n v="0"/>
    <n v="0"/>
    <n v="0"/>
    <n v="0"/>
    <n v="1"/>
    <n v="0"/>
    <n v="0"/>
  </r>
  <r>
    <d v="2015-10-11T00:00:00"/>
    <n v="2015"/>
    <x v="43"/>
    <s v="P"/>
    <n v="3"/>
    <x v="0"/>
    <s v="MIN"/>
    <s v="H"/>
    <n v="1"/>
    <n v="1"/>
    <n v="0"/>
    <n v="0"/>
    <n v="0"/>
    <n v="0"/>
    <n v="1596.2632933072709"/>
    <n v="1608.4755064588119"/>
    <n v="0.60186540633489105"/>
    <n v="75"/>
    <n v="69"/>
    <n v="0"/>
    <n v="6"/>
    <n v="1"/>
    <n v="0.34774184646537043"/>
    <n v="1.35"/>
    <n v="69.400000000000006"/>
    <n v="93.690000000000012"/>
    <n v="12.971198623617147"/>
    <n v="1609.234491930888"/>
    <n v="0"/>
    <n v="0"/>
    <n v="0"/>
    <n v="0"/>
    <n v="0"/>
    <n v="0"/>
    <n v="1"/>
    <n v="0"/>
    <n v="0"/>
    <n v="0"/>
  </r>
  <r>
    <d v="2015-10-14T00:00:00"/>
    <n v="2015"/>
    <x v="44"/>
    <s v="P"/>
    <n v="3"/>
    <x v="0"/>
    <s v="MIN"/>
    <s v="A"/>
    <n v="2"/>
    <n v="2"/>
    <n v="0"/>
    <n v="0"/>
    <n v="0"/>
    <n v="0"/>
    <n v="1609.234491930888"/>
    <n v="1595.4762721032994"/>
    <n v="0.40026905051793749"/>
    <n v="52"/>
    <n v="69"/>
    <n v="0"/>
    <n v="-17"/>
    <n v="0"/>
    <n v="0.52640671960940888"/>
    <n v="1.35"/>
    <n v="69.25"/>
    <n v="93.487500000000011"/>
    <n v="-19.69821991447089"/>
    <n v="1589.5362720164171"/>
    <n v="0"/>
    <n v="0"/>
    <n v="0"/>
    <n v="0"/>
    <n v="0"/>
    <n v="0"/>
    <n v="0"/>
    <n v="1"/>
    <n v="0"/>
    <n v="0"/>
  </r>
  <r>
    <d v="2015-10-14T00:00:00"/>
    <n v="2015"/>
    <x v="43"/>
    <s v="P"/>
    <n v="3"/>
    <x v="5"/>
    <s v="IND"/>
    <s v="H"/>
    <n v="2"/>
    <n v="2"/>
    <n v="0"/>
    <n v="0"/>
    <n v="0"/>
    <n v="0"/>
    <n v="1595.4762721032994"/>
    <n v="1609.234491930888"/>
    <n v="0.59973094948206251"/>
    <n v="69"/>
    <n v="52"/>
    <n v="0"/>
    <n v="17"/>
    <n v="1"/>
    <n v="0.52640671960940888"/>
    <n v="1.35"/>
    <n v="69.400000000000006"/>
    <n v="93.690000000000012"/>
    <n v="19.740887538834365"/>
    <n v="1615.2171596421338"/>
    <n v="0"/>
    <n v="0"/>
    <n v="0"/>
    <n v="0"/>
    <n v="0"/>
    <n v="0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6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59">
        <item m="1" x="39"/>
        <item x="6"/>
        <item m="1" x="50"/>
        <item m="1" x="27"/>
        <item m="1" x="25"/>
        <item m="1" x="38"/>
        <item m="1" x="54"/>
        <item m="1" x="15"/>
        <item x="1"/>
        <item m="1" x="40"/>
        <item m="1" x="16"/>
        <item x="3"/>
        <item m="1" x="29"/>
        <item m="1" x="33"/>
        <item m="1" x="12"/>
        <item m="1" x="55"/>
        <item m="1" x="35"/>
        <item m="1" x="14"/>
        <item x="0"/>
        <item m="1" x="49"/>
        <item m="1" x="48"/>
        <item m="1" x="24"/>
        <item m="1" x="23"/>
        <item m="1" x="57"/>
        <item x="10"/>
        <item m="1" x="56"/>
        <item m="1" x="26"/>
        <item m="1" x="18"/>
        <item m="1" x="34"/>
        <item x="5"/>
        <item m="1" x="42"/>
        <item m="1" x="21"/>
        <item m="1" x="30"/>
        <item m="1" x="43"/>
        <item m="1" x="51"/>
        <item x="7"/>
        <item m="1" x="44"/>
        <item m="1" x="32"/>
        <item m="1" x="20"/>
        <item m="1" x="28"/>
        <item x="9"/>
        <item m="1" x="46"/>
        <item m="1" x="19"/>
        <item m="1" x="31"/>
        <item m="1" x="13"/>
        <item x="8"/>
        <item m="1" x="41"/>
        <item x="11"/>
        <item m="1" x="52"/>
        <item m="1" x="47"/>
        <item m="1" x="53"/>
        <item m="1" x="45"/>
        <item m="1" x="22"/>
        <item x="4"/>
        <item m="1" x="17"/>
        <item m="1" x="37"/>
        <item x="2"/>
        <item m="1" x="36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3">
    <i>
      <x v="1"/>
    </i>
    <i>
      <x v="8"/>
    </i>
    <i>
      <x v="11"/>
    </i>
    <i>
      <x v="18"/>
    </i>
    <i>
      <x v="24"/>
    </i>
    <i>
      <x v="29"/>
    </i>
    <i>
      <x v="35"/>
    </i>
    <i>
      <x v="40"/>
    </i>
    <i>
      <x v="45"/>
    </i>
    <i>
      <x v="47"/>
    </i>
    <i>
      <x v="53"/>
    </i>
    <i>
      <x v="56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7">
      <pivotArea outline="0" collapsedLevelsAreSubtotals="1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9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3" totalsRowShown="0">
  <autoFilter ref="A1:D13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3">
    <sortCondition ref="C11:C13"/>
  </sortState>
  <tableColumns count="4">
    <tableColumn id="1" xr3:uid="{8C17ECDF-4459-4994-A3F5-8E8FEDF92B6F}" name="TeamID"/>
    <tableColumn id="4" xr3:uid="{789F069E-DAF9-4B19-A6DB-107BA6995CE5}" name="Logo" dataDxfId="10"/>
    <tableColumn id="5" xr3:uid="{A9DA91BA-5529-4913-978B-19C8EF225B29}" name="TeamName" dataDxfId="9"/>
    <tableColumn id="2" xr3:uid="{AA4C8157-DB69-4779-8EEE-6F419B992D71}" name="PreSeasonElo" dataDxfId="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451" totalsRowShown="0" headerRowDxfId="50" dataDxfId="49">
  <autoFilter ref="A1:AL451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48"/>
    <tableColumn id="21" xr3:uid="{D754AB95-C77C-4DD5-B1B9-A24A4FEE7279}" name="Season" dataDxfId="47"/>
    <tableColumn id="19" xr3:uid="{4C42B78B-6AFC-42C3-A5F4-3266E247C458}" name="GamesPlayed" dataDxfId="46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45"/>
    <tableColumn id="14" xr3:uid="{EFA83923-8CCA-4DC9-BC85-5D86949A45D9}" name="Round" dataDxfId="44"/>
    <tableColumn id="2" xr3:uid="{6E102E51-A49B-416B-8CD2-B93B2A4EA389}" name="Team" dataDxfId="43"/>
    <tableColumn id="3" xr3:uid="{19101345-1C34-4AF3-88E6-76A7F19B7FE6}" name="Opponent" dataDxfId="42"/>
    <tableColumn id="16" xr3:uid="{4CBCDF29-B095-48DF-8EF6-06DC7D78C844}" name="HomeAway" dataDxfId="41"/>
    <tableColumn id="32" xr3:uid="{E3FA53E3-DAD6-4BC2-969A-C53F4798E86D}" name="DaysOff" dataDxfId="40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39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38">
      <calculatedColumnFormula>Games[[#This Row],[DaysOff]]-Games[[#This Row],[OppDaysOff]]</calculatedColumnFormula>
    </tableColumn>
    <tableColumn id="35" xr3:uid="{3F2DB366-7372-41BA-8B0C-09F9BA7EA850}" name="OppRestDiff" dataDxfId="37">
      <calculatedColumnFormula>Games[[#This Row],[OppDaysOff]]-Games[[#This Row],[DaysOff]]</calculatedColumnFormula>
    </tableColumn>
    <tableColumn id="36" xr3:uid="{BDD0FD2C-608F-4CCC-867B-4481F0F4B802}" name="RestAdj" dataDxfId="36">
      <calculatedColumnFormula>MAX(-16, MIN(16, Games[[#This Row],[RestDiff]]*8))</calculatedColumnFormula>
    </tableColumn>
    <tableColumn id="37" xr3:uid="{5F89213A-4C28-428C-B766-3B05D4F530A5}" name="OppRestAdj" dataDxfId="35">
      <calculatedColumnFormula>MAX(-16, MIN(16, Games[[#This Row],[OppRestDiff]]*8))</calculatedColumnFormula>
    </tableColumn>
    <tableColumn id="4" xr3:uid="{68053CFA-948B-4F2C-A114-7C46ABD9EA33}" name="PreGmRate" dataDxfId="34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33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32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31"/>
    <tableColumn id="8" xr3:uid="{0CDDF0F9-2F1E-487C-96DD-90F70CE7DAFC}" name="PointsAgainst" dataDxfId="30"/>
    <tableColumn id="22" xr3:uid="{AB7B5B5C-5BAD-4213-990E-8EB9B177497C}" name="OT" dataDxfId="29"/>
    <tableColumn id="9" xr3:uid="{CE171F1D-5E5D-4800-A6DC-8F6DBD74C939}" name="MOV" dataDxfId="28">
      <calculatedColumnFormula>Games[[#This Row],[PointsFor]]-Games[[#This Row],[PointsAgainst]]</calculatedColumnFormula>
    </tableColumn>
    <tableColumn id="10" xr3:uid="{883A3911-25F6-4C39-9637-F1C42D6A1FC2}" name="Result" dataDxfId="27">
      <calculatedColumnFormula>IF(Games[[#This Row],[MOV]]&gt;0,1,IF(Games[[#This Row],[MOV]]=0,0.5,0))</calculatedColumnFormula>
    </tableColumn>
    <tableColumn id="15" xr3:uid="{00048431-5FD6-47EE-807E-5B63FD521193}" name="MOVMult" dataDxfId="26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25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24">
      <calculatedColumnFormula>MAX(kmin, kmax - 0.15 * MIN(Games[[#This Row],[GamesPlayed]], 82))</calculatedColumnFormula>
    </tableColumn>
    <tableColumn id="29" xr3:uid="{FBA5D644-15ED-4725-9E52-1D37FD0FAC64}" name="Keff" dataDxfId="23">
      <calculatedColumnFormula>Games[[#This Row],[K]]*Games[[#This Row],[POMult]]</calculatedColumnFormula>
    </tableColumn>
    <tableColumn id="11" xr3:uid="{309DAEBD-E62C-4090-89E9-A58FD32AB89B}" name="RatingChange" dataDxfId="22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21">
      <calculatedColumnFormula>Games[[#This Row],[PreGmRate]]+Games[[#This Row],[RatingChange]]</calculatedColumnFormula>
    </tableColumn>
    <tableColumn id="17" xr3:uid="{90B7BF87-E472-4474-A10D-555BD3BF8F04}" name="W" dataDxfId="20">
      <calculatedColumnFormula>IF(Games[[#This Row],[Type]]="R",IF(Games[[#This Row],[Result]]&gt;0.5,1,0),0)</calculatedColumnFormula>
    </tableColumn>
    <tableColumn id="18" xr3:uid="{29756EA1-783D-4C76-A7B8-F906AF0EC7E7}" name="L" dataDxfId="19">
      <calculatedColumnFormula>IF(Games[[#This Row],[Type]]="R",IF(Games[[#This Row],[Result]]&lt;0.5,1,0),0)</calculatedColumnFormula>
    </tableColumn>
    <tableColumn id="23" xr3:uid="{C253CFA7-28A4-4AE5-B131-DC1E8F2B73F8}" name="R1W" dataDxfId="18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17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16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15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14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13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12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11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25"/>
  <sheetViews>
    <sheetView workbookViewId="0">
      <selection activeCell="G2" sqref="G2"/>
    </sheetView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4" x14ac:dyDescent="0.35">
      <c r="A1" t="s">
        <v>29</v>
      </c>
      <c r="B1" t="s">
        <v>27</v>
      </c>
      <c r="C1" t="s">
        <v>28</v>
      </c>
      <c r="D1" t="s">
        <v>58</v>
      </c>
    </row>
    <row r="2" spans="1:4" x14ac:dyDescent="0.35">
      <c r="A2" t="s">
        <v>79</v>
      </c>
      <c r="B2" s="8"/>
      <c r="C2" s="15" t="s">
        <v>80</v>
      </c>
      <c r="D2" s="13">
        <v>1497.0337237514</v>
      </c>
    </row>
    <row r="3" spans="1:4" x14ac:dyDescent="0.35">
      <c r="A3" t="s">
        <v>77</v>
      </c>
      <c r="B3" s="8"/>
      <c r="C3" s="15" t="s">
        <v>78</v>
      </c>
      <c r="D3" s="13">
        <v>1481.6325438822723</v>
      </c>
    </row>
    <row r="4" spans="1:4" x14ac:dyDescent="0.35">
      <c r="A4" t="s">
        <v>76</v>
      </c>
      <c r="B4" s="8"/>
      <c r="C4" s="15" t="s">
        <v>75</v>
      </c>
      <c r="D4" s="13">
        <v>1423.657052518814</v>
      </c>
    </row>
    <row r="5" spans="1:4" x14ac:dyDescent="0.35">
      <c r="A5" t="s">
        <v>69</v>
      </c>
      <c r="B5" s="8"/>
      <c r="C5" s="15" t="s">
        <v>70</v>
      </c>
      <c r="D5" s="13">
        <v>1484.8783119441878</v>
      </c>
    </row>
    <row r="6" spans="1:4" x14ac:dyDescent="0.35">
      <c r="A6" t="s">
        <v>63</v>
      </c>
      <c r="B6" s="8"/>
      <c r="C6" s="15" t="s">
        <v>64</v>
      </c>
      <c r="D6" s="13">
        <v>1514.9109234747484</v>
      </c>
    </row>
    <row r="7" spans="1:4" x14ac:dyDescent="0.35">
      <c r="A7" t="s">
        <v>67</v>
      </c>
      <c r="B7" s="8"/>
      <c r="C7" s="15" t="s">
        <v>68</v>
      </c>
      <c r="D7" s="13">
        <v>1654.5840504925495</v>
      </c>
    </row>
    <row r="8" spans="1:4" x14ac:dyDescent="0.35">
      <c r="A8" t="s">
        <v>60</v>
      </c>
      <c r="B8" s="8"/>
      <c r="C8" s="15" t="s">
        <v>61</v>
      </c>
      <c r="D8" s="13">
        <v>1439.8329024796333</v>
      </c>
    </row>
    <row r="9" spans="1:4" x14ac:dyDescent="0.35">
      <c r="A9" t="s">
        <v>40</v>
      </c>
      <c r="B9" s="8"/>
      <c r="C9" s="15" t="s">
        <v>62</v>
      </c>
      <c r="D9" s="13">
        <v>1759.1143828583213</v>
      </c>
    </row>
    <row r="10" spans="1:4" x14ac:dyDescent="0.35">
      <c r="A10" t="s">
        <v>74</v>
      </c>
      <c r="B10" s="8"/>
      <c r="C10" s="15" t="s">
        <v>73</v>
      </c>
      <c r="D10" s="13">
        <v>1456.9099586057227</v>
      </c>
    </row>
    <row r="11" spans="1:4" x14ac:dyDescent="0.35">
      <c r="A11" t="s">
        <v>71</v>
      </c>
      <c r="B11" s="8"/>
      <c r="C11" s="15" t="s">
        <v>72</v>
      </c>
      <c r="D11" s="13">
        <v>1410.1603380571746</v>
      </c>
    </row>
    <row r="12" spans="1:4" x14ac:dyDescent="0.35">
      <c r="A12" t="s">
        <v>81</v>
      </c>
      <c r="B12" s="8"/>
      <c r="C12" s="15" t="s">
        <v>82</v>
      </c>
      <c r="D12" s="13">
        <v>1416.1290736338083</v>
      </c>
    </row>
    <row r="13" spans="1:4" x14ac:dyDescent="0.35">
      <c r="A13" t="s">
        <v>65</v>
      </c>
      <c r="B13" s="8"/>
      <c r="C13" s="15" t="s">
        <v>66</v>
      </c>
      <c r="D13" s="13">
        <v>1463.624940997076</v>
      </c>
    </row>
    <row r="14" spans="1:4" x14ac:dyDescent="0.35">
      <c r="B14" s="8"/>
      <c r="C14" s="15"/>
      <c r="D14" s="13"/>
    </row>
    <row r="15" spans="1:4" x14ac:dyDescent="0.35">
      <c r="B15" s="8"/>
      <c r="C15" s="15"/>
      <c r="D15" s="13"/>
    </row>
    <row r="16" spans="1:4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8"/>
      <c r="D23" s="13"/>
    </row>
    <row r="24" spans="2:4" x14ac:dyDescent="0.35">
      <c r="B24" s="8"/>
      <c r="C24" s="8"/>
      <c r="D24" s="13"/>
    </row>
    <row r="25" spans="2:4" x14ac:dyDescent="0.35">
      <c r="B25" s="8"/>
      <c r="C25" s="8"/>
      <c r="D25" s="13"/>
    </row>
  </sheetData>
  <sortState xmlns:xlrd2="http://schemas.microsoft.com/office/spreadsheetml/2017/richdata2" ref="G2:H13">
    <sortCondition ref="G2:G13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6"/>
  <sheetViews>
    <sheetView tabSelected="1" workbookViewId="0">
      <selection activeCell="C2" sqref="C2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3">_xlfn.SORTBY(A25:H36,G25:G36,-1)</f>
        <v>MIN</v>
      </c>
      <c r="B2">
        <v>0</v>
      </c>
      <c r="C2" t="str">
        <v>Minnesota Lynx</v>
      </c>
      <c r="D2" s="1">
        <v>22</v>
      </c>
      <c r="E2" s="1">
        <v>12</v>
      </c>
      <c r="F2" s="3">
        <v>0.6470588235294118</v>
      </c>
      <c r="G2" s="9">
        <v>1615.2171596421338</v>
      </c>
      <c r="H2" s="1">
        <v>42291</v>
      </c>
      <c r="O2" s="4"/>
      <c r="P2" s="4"/>
      <c r="Q2" s="1"/>
      <c r="AK2" t="s">
        <v>2</v>
      </c>
      <c r="AL2" t="e">
        <f>_xlfn.XLOOKUP(AK2,ConfDiv[TeamID],ConfDiv[Logo])</f>
        <v>#N/A</v>
      </c>
      <c r="AM2" t="e">
        <f>_xlfn.XLOOKUP(AK2,ConfDiv[TeamID],ConfDiv[TeamName])</f>
        <v>#N/A</v>
      </c>
      <c r="AN2" s="1" t="e">
        <f>_xlfn.XLOOKUP($AK2,StandingsPivot!$A$4:$A$33,StandingsPivot!D$4:D$33)</f>
        <v>#N/A</v>
      </c>
      <c r="AO2" s="1" t="e">
        <f>_xlfn.XLOOKUP($AK2,StandingsPivot!$A$4:$A$33,StandingsPivot!E$4:E$33)</f>
        <v>#N/A</v>
      </c>
      <c r="AP2" s="1" t="e">
        <f>_xlfn.XLOOKUP($AK2,StandingsPivot!$A$4:$A$33,StandingsPivot!F$4:F$33)</f>
        <v>#N/A</v>
      </c>
      <c r="AQ2" s="1" t="e">
        <f>_xlfn.XLOOKUP($AK2,StandingsPivot!$A$4:$A$33,StandingsPivot!G$4:G$33)</f>
        <v>#N/A</v>
      </c>
      <c r="AR2" s="1" t="e">
        <f>_xlfn.XLOOKUP($AK2,StandingsPivot!$A$4:$A$33,StandingsPivot!H$4:H$33)</f>
        <v>#N/A</v>
      </c>
      <c r="AS2" s="1" t="e">
        <f>_xlfn.XLOOKUP($AK2,StandingsPivot!$A$4:$A$33,StandingsPivot!I$4:I$33)</f>
        <v>#N/A</v>
      </c>
      <c r="AT2" s="1" t="e">
        <f>_xlfn.XLOOKUP($AK2,StandingsPivot!$A$4:$A$33,StandingsPivot!J$4:J$33)</f>
        <v>#N/A</v>
      </c>
      <c r="AU2" s="1" t="e">
        <f>_xlfn.XLOOKUP($AK2,StandingsPivot!$A$4:$A$33,StandingsPivot!K$4:K$33)</f>
        <v>#N/A</v>
      </c>
      <c r="AV2" s="1" t="e">
        <f t="shared" ref="AV2:AV5" si="0">SUM(AN2,AP2,AR2,AT2)</f>
        <v>#N/A</v>
      </c>
      <c r="AW2" s="1" t="e">
        <f t="shared" ref="AW2:AW5" si="1">SUM(AO2,AQ2,AS2,AU2)</f>
        <v>#N/A</v>
      </c>
      <c r="AX2" s="4" cm="1">
        <f t="array" ref="AX2">_xlfn.IFNA(INDEX(Games[PostGmRate], MATCH(1, (Games[Team]=AK2)*(Games[Date]=AY2), 0)),0)</f>
        <v>0</v>
      </c>
      <c r="AY2" s="1">
        <f>_xlfn.MAXIFS(Games[Date], Games[Team], AK2)</f>
        <v>0</v>
      </c>
      <c r="AZ2" t="e">
        <f t="shared" ref="AZ2:AZ5" si="2">SUM(AV2:AW2)</f>
        <v>#N/A</v>
      </c>
    </row>
    <row r="3" spans="1:68" x14ac:dyDescent="0.35">
      <c r="A3" t="str">
        <v>PHX</v>
      </c>
      <c r="B3">
        <v>0</v>
      </c>
      <c r="C3" t="str">
        <v>Phoenix Mercury</v>
      </c>
      <c r="D3" s="1">
        <v>20</v>
      </c>
      <c r="E3" s="1">
        <v>14</v>
      </c>
      <c r="F3" s="3">
        <v>0.58823529411764708</v>
      </c>
      <c r="G3" s="9">
        <v>1590.4044317630451</v>
      </c>
      <c r="H3" s="1">
        <v>42274</v>
      </c>
      <c r="O3" s="4"/>
      <c r="P3" s="4"/>
      <c r="Q3" s="1"/>
      <c r="AK3" t="s">
        <v>60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2</v>
      </c>
      <c r="AO3" s="1">
        <f>_xlfn.XLOOKUP($AK3,StandingsPivot!$A$4:$A$33,StandingsPivot!E$4:E$33)</f>
        <v>1</v>
      </c>
      <c r="AP3" s="1">
        <f>_xlfn.XLOOKUP($AK3,StandingsPivot!$A$4:$A$33,StandingsPivot!F$4:F$33)</f>
        <v>1</v>
      </c>
      <c r="AQ3" s="1">
        <f>_xlfn.XLOOKUP($AK3,StandingsPivot!$A$4:$A$33,StandingsPivot!G$4:G$33)</f>
        <v>2</v>
      </c>
      <c r="AR3" s="1">
        <f>_xlfn.XLOOKUP($AK3,StandingsPivot!$A$4:$A$33,StandingsPivot!H$4:H$33)</f>
        <v>0</v>
      </c>
      <c r="AS3" s="1">
        <f>_xlfn.XLOOKUP($AK3,StandingsPivot!$A$4:$A$33,StandingsPivot!I$4:I$33)</f>
        <v>0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3</v>
      </c>
      <c r="AW3" s="1">
        <f t="shared" si="1"/>
        <v>3</v>
      </c>
      <c r="AX3" s="4" cm="1">
        <f t="array" ref="AX3">_xlfn.IFNA(INDEX(Games[PostGmRate], MATCH(1, (Games[Team]=AK3)*(Games[Date]=AY3), 0)),0)</f>
        <v>1564.4420694941789</v>
      </c>
      <c r="AY3" s="1">
        <f>_xlfn.MAXIFS(Games[Date], Games[Team], AK3)</f>
        <v>42276</v>
      </c>
      <c r="AZ3">
        <f t="shared" si="2"/>
        <v>6</v>
      </c>
    </row>
    <row r="4" spans="1:68" x14ac:dyDescent="0.35">
      <c r="A4" t="str">
        <v>IND</v>
      </c>
      <c r="B4">
        <v>0</v>
      </c>
      <c r="C4" t="str">
        <v>Indiana Fever</v>
      </c>
      <c r="D4" s="1">
        <v>20</v>
      </c>
      <c r="E4" s="1">
        <v>14</v>
      </c>
      <c r="F4" s="3">
        <v>0.58823529411764708</v>
      </c>
      <c r="G4" s="9">
        <v>1589.5362720164171</v>
      </c>
      <c r="H4" s="1">
        <v>42291</v>
      </c>
      <c r="O4" s="4"/>
      <c r="P4" s="4"/>
      <c r="Q4" s="1"/>
      <c r="AK4" t="s">
        <v>59</v>
      </c>
      <c r="AL4" t="e">
        <f>_xlfn.XLOOKUP(AK4,ConfDiv[TeamID],ConfDiv[Logo])</f>
        <v>#N/A</v>
      </c>
      <c r="AM4" t="e">
        <f>_xlfn.XLOOKUP(AK4,ConfDiv[TeamID],ConfDiv[TeamName])</f>
        <v>#N/A</v>
      </c>
      <c r="AN4" s="1" t="e">
        <f>_xlfn.XLOOKUP($AK4,StandingsPivot!$A$4:$A$33,StandingsPivot!D$4:D$33)</f>
        <v>#N/A</v>
      </c>
      <c r="AO4" s="1" t="e">
        <f>_xlfn.XLOOKUP($AK4,StandingsPivot!$A$4:$A$33,StandingsPivot!E$4:E$33)</f>
        <v>#N/A</v>
      </c>
      <c r="AP4" s="1" t="e">
        <f>_xlfn.XLOOKUP($AK4,StandingsPivot!$A$4:$A$33,StandingsPivot!F$4:F$33)</f>
        <v>#N/A</v>
      </c>
      <c r="AQ4" s="1" t="e">
        <f>_xlfn.XLOOKUP($AK4,StandingsPivot!$A$4:$A$33,StandingsPivot!G$4:G$33)</f>
        <v>#N/A</v>
      </c>
      <c r="AR4" s="1" t="e">
        <f>_xlfn.XLOOKUP($AK4,StandingsPivot!$A$4:$A$33,StandingsPivot!H$4:H$33)</f>
        <v>#N/A</v>
      </c>
      <c r="AS4" s="1" t="e">
        <f>_xlfn.XLOOKUP($AK4,StandingsPivot!$A$4:$A$33,StandingsPivot!I$4:I$33)</f>
        <v>#N/A</v>
      </c>
      <c r="AT4" s="1" t="e">
        <f>_xlfn.XLOOKUP($AK4,StandingsPivot!$A$4:$A$33,StandingsPivot!J$4:J$33)</f>
        <v>#N/A</v>
      </c>
      <c r="AU4" s="1" t="e">
        <f>_xlfn.XLOOKUP($AK4,StandingsPivot!$A$4:$A$33,StandingsPivot!K$4:K$33)</f>
        <v>#N/A</v>
      </c>
      <c r="AV4" s="1" t="e">
        <f t="shared" si="0"/>
        <v>#N/A</v>
      </c>
      <c r="AW4" s="1" t="e">
        <f t="shared" si="1"/>
        <v>#N/A</v>
      </c>
      <c r="AX4" s="4" cm="1">
        <f t="array" ref="AX4">_xlfn.IFNA(INDEX(Games[PostGmRate], MATCH(1, (Games[Team]=AK4)*(Games[Date]=AY4), 0)),0)</f>
        <v>0</v>
      </c>
      <c r="AY4" s="1">
        <f>_xlfn.MAXIFS(Games[Date], Games[Team], AK4)</f>
        <v>0</v>
      </c>
      <c r="AZ4" t="e">
        <f t="shared" si="2"/>
        <v>#N/A</v>
      </c>
    </row>
    <row r="5" spans="1:68" x14ac:dyDescent="0.35">
      <c r="A5" t="str">
        <v>NYL</v>
      </c>
      <c r="B5">
        <v>0</v>
      </c>
      <c r="C5" t="str">
        <v>New York Liberty</v>
      </c>
      <c r="D5" s="1">
        <v>23</v>
      </c>
      <c r="E5" s="1">
        <v>11</v>
      </c>
      <c r="F5" s="3">
        <v>0.67647058823529416</v>
      </c>
      <c r="G5" s="9">
        <v>1564.4420694941789</v>
      </c>
      <c r="H5" s="1">
        <v>42276</v>
      </c>
      <c r="O5" s="4"/>
      <c r="P5" s="4"/>
      <c r="Q5" s="1"/>
      <c r="AK5" t="s">
        <v>1</v>
      </c>
      <c r="AL5" t="e">
        <f>_xlfn.XLOOKUP(AK5,ConfDiv[TeamID],ConfDiv[Logo])</f>
        <v>#N/A</v>
      </c>
      <c r="AM5" t="e">
        <f>_xlfn.XLOOKUP(AK5,ConfDiv[TeamID],ConfDiv[TeamName])</f>
        <v>#N/A</v>
      </c>
      <c r="AN5" s="1" t="e">
        <f>_xlfn.XLOOKUP($AK5,StandingsPivot!$A$4:$A$33,StandingsPivot!D$4:D$33)</f>
        <v>#N/A</v>
      </c>
      <c r="AO5" s="1" t="e">
        <f>_xlfn.XLOOKUP($AK5,StandingsPivot!$A$4:$A$33,StandingsPivot!E$4:E$33)</f>
        <v>#N/A</v>
      </c>
      <c r="AP5" s="1" t="e">
        <f>_xlfn.XLOOKUP($AK5,StandingsPivot!$A$4:$A$33,StandingsPivot!F$4:F$33)</f>
        <v>#N/A</v>
      </c>
      <c r="AQ5" s="1" t="e">
        <f>_xlfn.XLOOKUP($AK5,StandingsPivot!$A$4:$A$33,StandingsPivot!G$4:G$33)</f>
        <v>#N/A</v>
      </c>
      <c r="AR5" s="1" t="e">
        <f>_xlfn.XLOOKUP($AK5,StandingsPivot!$A$4:$A$33,StandingsPivot!H$4:H$33)</f>
        <v>#N/A</v>
      </c>
      <c r="AS5" s="1" t="e">
        <f>_xlfn.XLOOKUP($AK5,StandingsPivot!$A$4:$A$33,StandingsPivot!I$4:I$33)</f>
        <v>#N/A</v>
      </c>
      <c r="AT5" s="1" t="e">
        <f>_xlfn.XLOOKUP($AK5,StandingsPivot!$A$4:$A$33,StandingsPivot!J$4:J$33)</f>
        <v>#N/A</v>
      </c>
      <c r="AU5" s="1" t="e">
        <f>_xlfn.XLOOKUP($AK5,StandingsPivot!$A$4:$A$33,StandingsPivot!K$4:K$33)</f>
        <v>#N/A</v>
      </c>
      <c r="AV5" s="1" t="e">
        <f t="shared" si="0"/>
        <v>#N/A</v>
      </c>
      <c r="AW5" s="1" t="e">
        <f t="shared" si="1"/>
        <v>#N/A</v>
      </c>
      <c r="AX5" s="4" cm="1">
        <f t="array" ref="AX5">_xlfn.IFNA(INDEX(Games[PostGmRate], MATCH(1, (Games[Team]=AK5)*(Games[Date]=AY5), 0)),0)</f>
        <v>0</v>
      </c>
      <c r="AY5" s="1">
        <f>_xlfn.MAXIFS(Games[Date], Games[Team], AK5)</f>
        <v>0</v>
      </c>
      <c r="AZ5" t="e">
        <f t="shared" si="2"/>
        <v>#N/A</v>
      </c>
    </row>
    <row r="6" spans="1:68" x14ac:dyDescent="0.35">
      <c r="A6" t="str">
        <v>CHI</v>
      </c>
      <c r="B6">
        <v>0</v>
      </c>
      <c r="C6" t="str">
        <v>Chicago Sky</v>
      </c>
      <c r="D6" s="1">
        <v>21</v>
      </c>
      <c r="E6" s="1">
        <v>13</v>
      </c>
      <c r="F6" s="3">
        <v>0.61764705882352944</v>
      </c>
      <c r="G6" s="9">
        <v>1551.3862122028747</v>
      </c>
      <c r="H6" s="1">
        <v>42268</v>
      </c>
      <c r="O6" s="3"/>
      <c r="P6" s="4"/>
      <c r="Q6" s="1"/>
      <c r="AK6" t="s">
        <v>40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2</v>
      </c>
      <c r="AO6" s="1">
        <f>_xlfn.XLOOKUP($AK6,StandingsPivot!$A$4:$A$33,StandingsPivot!E$4:E$33)</f>
        <v>0</v>
      </c>
      <c r="AP6" s="1">
        <f>_xlfn.XLOOKUP($AK6,StandingsPivot!$A$4:$A$33,StandingsPivot!F$4:F$33)</f>
        <v>0</v>
      </c>
      <c r="AQ6" s="1">
        <f>_xlfn.XLOOKUP($AK6,StandingsPivot!$A$4:$A$33,StandingsPivot!G$4:G$33)</f>
        <v>2</v>
      </c>
      <c r="AR6" s="1">
        <f>_xlfn.XLOOKUP($AK6,StandingsPivot!$A$4:$A$33,StandingsPivot!H$4:H$33)</f>
        <v>0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2</v>
      </c>
      <c r="AW6" s="1">
        <f t="shared" si="3"/>
        <v>2</v>
      </c>
      <c r="AX6" s="4" cm="1">
        <f t="array" ref="AX6">_xlfn.IFNA(INDEX(Games[PostGmRate], MATCH(1, (Games[Team]=AK6)*(Games[Date]=AY6), 0)),0)</f>
        <v>1590.4044317630451</v>
      </c>
      <c r="AY6" s="1">
        <f>_xlfn.MAXIFS(Games[Date], Games[Team], AK6)</f>
        <v>42274</v>
      </c>
      <c r="AZ6">
        <f>SUM(AV6:AW6)</f>
        <v>4</v>
      </c>
      <c r="BO6" s="4"/>
      <c r="BP6" s="1"/>
    </row>
    <row r="7" spans="1:68" x14ac:dyDescent="0.35">
      <c r="A7" t="str">
        <v>WAS</v>
      </c>
      <c r="B7">
        <v>0</v>
      </c>
      <c r="C7" t="str">
        <v>Washington Mystics</v>
      </c>
      <c r="D7" s="1">
        <v>18</v>
      </c>
      <c r="E7" s="1">
        <v>16</v>
      </c>
      <c r="F7" s="3">
        <v>0.52941176470588236</v>
      </c>
      <c r="G7" s="9">
        <v>1517.0593416459894</v>
      </c>
      <c r="H7" s="1">
        <v>42269</v>
      </c>
      <c r="AK7" t="s">
        <v>63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1</v>
      </c>
      <c r="AO7" s="1">
        <f>_xlfn.XLOOKUP($AK7,StandingsPivot!$A$4:$A$33,StandingsPivot!E$4:E$33)</f>
        <v>2</v>
      </c>
      <c r="AP7" s="1">
        <f>_xlfn.XLOOKUP($AK7,StandingsPivot!$A$4:$A$33,StandingsPivot!F$4:F$33)</f>
        <v>0</v>
      </c>
      <c r="AQ7" s="1">
        <f>_xlfn.XLOOKUP($AK7,StandingsPivot!$A$4:$A$33,StandingsPivot!G$4:G$33)</f>
        <v>0</v>
      </c>
      <c r="AR7" s="1">
        <f>_xlfn.XLOOKUP($AK7,StandingsPivot!$A$4:$A$33,StandingsPivot!H$4:H$33)</f>
        <v>0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1</v>
      </c>
      <c r="AW7" s="1">
        <f t="shared" si="3"/>
        <v>2</v>
      </c>
      <c r="AX7" s="4" cm="1">
        <f t="array" ref="AX7">_xlfn.IFNA(INDEX(Games[PostGmRate], MATCH(1, (Games[Team]=AK7)*(Games[Date]=AY7), 0)),0)</f>
        <v>1493.2380290121753</v>
      </c>
      <c r="AY7" s="1">
        <f>_xlfn.MAXIFS(Games[Date], Games[Team], AK7)</f>
        <v>42269</v>
      </c>
      <c r="AZ7">
        <f>SUM(AV7:AW7)</f>
        <v>3</v>
      </c>
      <c r="BO7" s="4"/>
      <c r="BP7" s="1"/>
    </row>
    <row r="8" spans="1:68" x14ac:dyDescent="0.35">
      <c r="A8" t="str">
        <v>LAS</v>
      </c>
      <c r="B8">
        <v>0</v>
      </c>
      <c r="C8" t="str">
        <v>Los Angeles Sparks</v>
      </c>
      <c r="D8" s="1">
        <v>14</v>
      </c>
      <c r="E8" s="1">
        <v>20</v>
      </c>
      <c r="F8" s="3">
        <v>0.41176470588235292</v>
      </c>
      <c r="G8" s="9">
        <v>1493.2380290121753</v>
      </c>
      <c r="H8" s="1">
        <v>42269</v>
      </c>
      <c r="O8" s="3"/>
      <c r="P8" s="4"/>
      <c r="Q8" s="1"/>
      <c r="AK8" t="s">
        <v>41</v>
      </c>
      <c r="AL8" t="e">
        <f>_xlfn.XLOOKUP(AK8,ConfDiv[TeamID],ConfDiv[Logo])</f>
        <v>#N/A</v>
      </c>
      <c r="AM8" t="e">
        <f>_xlfn.XLOOKUP(AK8,ConfDiv[TeamID],ConfDiv[TeamName])</f>
        <v>#N/A</v>
      </c>
      <c r="AN8" s="1" t="e">
        <f>_xlfn.XLOOKUP($AK8,StandingsPivot!$A$4:$A$33,StandingsPivot!D$4:D$33)</f>
        <v>#N/A</v>
      </c>
      <c r="AO8" s="1" t="e">
        <f>_xlfn.XLOOKUP($AK8,StandingsPivot!$A$4:$A$33,StandingsPivot!E$4:E$33)</f>
        <v>#N/A</v>
      </c>
      <c r="AP8" s="1" t="e">
        <f>_xlfn.XLOOKUP($AK8,StandingsPivot!$A$4:$A$33,StandingsPivot!F$4:F$33)</f>
        <v>#N/A</v>
      </c>
      <c r="AQ8" s="1" t="e">
        <f>_xlfn.XLOOKUP($AK8,StandingsPivot!$A$4:$A$33,StandingsPivot!G$4:G$33)</f>
        <v>#N/A</v>
      </c>
      <c r="AR8" s="1" t="e">
        <f>_xlfn.XLOOKUP($AK8,StandingsPivot!$A$4:$A$33,StandingsPivot!H$4:H$33)</f>
        <v>#N/A</v>
      </c>
      <c r="AS8" s="1" t="e">
        <f>_xlfn.XLOOKUP($AK8,StandingsPivot!$A$4:$A$33,StandingsPivot!I$4:I$33)</f>
        <v>#N/A</v>
      </c>
      <c r="AT8" s="1" t="e">
        <f>_xlfn.XLOOKUP($AK8,StandingsPivot!$A$4:$A$33,StandingsPivot!J$4:J$33)</f>
        <v>#N/A</v>
      </c>
      <c r="AU8" s="1" t="e">
        <f>_xlfn.XLOOKUP($AK8,StandingsPivot!$A$4:$A$33,StandingsPivot!K$4:K$33)</f>
        <v>#N/A</v>
      </c>
      <c r="AV8" s="1" t="e">
        <f t="shared" si="3"/>
        <v>#N/A</v>
      </c>
      <c r="AW8" s="1" t="e">
        <f t="shared" si="3"/>
        <v>#N/A</v>
      </c>
      <c r="AX8" s="4" cm="1">
        <f t="array" ref="AX8">_xlfn.IFNA(INDEX(Games[PostGmRate], MATCH(1, (Games[Team]=AK8)*(Games[Date]=AY8), 0)),0)</f>
        <v>0</v>
      </c>
      <c r="AY8" s="1">
        <f>_xlfn.MAXIFS(Games[Date], Games[Team], AK8)</f>
        <v>0</v>
      </c>
      <c r="AZ8" t="e">
        <f>SUM(AV8:AW8)</f>
        <v>#N/A</v>
      </c>
      <c r="BO8" s="4"/>
      <c r="BP8" s="1"/>
    </row>
    <row r="9" spans="1:68" x14ac:dyDescent="0.35">
      <c r="A9" t="str">
        <v>ATL</v>
      </c>
      <c r="B9">
        <v>0</v>
      </c>
      <c r="C9" t="str">
        <v>Atlanta Dream</v>
      </c>
      <c r="D9" s="1">
        <v>15</v>
      </c>
      <c r="E9" s="1">
        <v>19</v>
      </c>
      <c r="F9" s="3">
        <v>0.44117647058823528</v>
      </c>
      <c r="G9" s="9">
        <v>1491.0163803289645</v>
      </c>
      <c r="H9" s="1">
        <v>42260</v>
      </c>
      <c r="O9" s="3"/>
      <c r="P9" s="4"/>
      <c r="Q9" s="1"/>
      <c r="AK9" t="s">
        <v>39</v>
      </c>
      <c r="AL9" t="e">
        <f>_xlfn.XLOOKUP(AK9,ConfDiv[TeamID],ConfDiv[Logo])</f>
        <v>#N/A</v>
      </c>
      <c r="AM9" t="e">
        <f>_xlfn.XLOOKUP(AK9,ConfDiv[TeamID],ConfDiv[TeamName])</f>
        <v>#N/A</v>
      </c>
      <c r="AN9" s="1" t="e">
        <f>_xlfn.XLOOKUP($AK9,StandingsPivot!$A$4:$A$33,StandingsPivot!D$4:D$33)</f>
        <v>#N/A</v>
      </c>
      <c r="AO9" s="1" t="e">
        <f>_xlfn.XLOOKUP($AK9,StandingsPivot!$A$4:$A$33,StandingsPivot!E$4:E$33)</f>
        <v>#N/A</v>
      </c>
      <c r="AP9" s="1" t="e">
        <f>_xlfn.XLOOKUP($AK9,StandingsPivot!$A$4:$A$33,StandingsPivot!F$4:F$33)</f>
        <v>#N/A</v>
      </c>
      <c r="AQ9" s="1" t="e">
        <f>_xlfn.XLOOKUP($AK9,StandingsPivot!$A$4:$A$33,StandingsPivot!G$4:G$33)</f>
        <v>#N/A</v>
      </c>
      <c r="AR9" s="1" t="e">
        <f>_xlfn.XLOOKUP($AK9,StandingsPivot!$A$4:$A$33,StandingsPivot!H$4:H$33)</f>
        <v>#N/A</v>
      </c>
      <c r="AS9" s="1" t="e">
        <f>_xlfn.XLOOKUP($AK9,StandingsPivot!$A$4:$A$33,StandingsPivot!I$4:I$33)</f>
        <v>#N/A</v>
      </c>
      <c r="AT9" s="1" t="e">
        <f>_xlfn.XLOOKUP($AK9,StandingsPivot!$A$4:$A$33,StandingsPivot!J$4:J$33)</f>
        <v>#N/A</v>
      </c>
      <c r="AU9" s="1" t="e">
        <f>_xlfn.XLOOKUP($AK9,StandingsPivot!$A$4:$A$33,StandingsPivot!K$4:K$33)</f>
        <v>#N/A</v>
      </c>
      <c r="AV9" s="1" t="e">
        <f t="shared" si="3"/>
        <v>#N/A</v>
      </c>
      <c r="AW9" s="1" t="e">
        <f t="shared" si="3"/>
        <v>#N/A</v>
      </c>
      <c r="AX9" s="4" cm="1">
        <f t="array" ref="AX9">_xlfn.IFNA(INDEX(Games[PostGmRate], MATCH(1, (Games[Team]=AK9)*(Games[Date]=AY9), 0)),0)</f>
        <v>0</v>
      </c>
      <c r="AY9" s="1">
        <f>_xlfn.MAXIFS(Games[Date], Games[Team], AK9)</f>
        <v>0</v>
      </c>
      <c r="AZ9" t="e">
        <f>SUM(AV9:AW9)</f>
        <v>#N/A</v>
      </c>
      <c r="BO9" s="4"/>
      <c r="BP9" s="1"/>
    </row>
    <row r="10" spans="1:68" x14ac:dyDescent="0.35">
      <c r="A10" t="str">
        <v>TUL</v>
      </c>
      <c r="B10">
        <v>0</v>
      </c>
      <c r="C10" t="str">
        <v>Tulsa Shock</v>
      </c>
      <c r="D10" s="1">
        <v>18</v>
      </c>
      <c r="E10" s="1">
        <v>16</v>
      </c>
      <c r="F10" s="3">
        <v>0.52941176470588236</v>
      </c>
      <c r="G10" s="9">
        <v>1463.7977918623715</v>
      </c>
      <c r="H10" s="1">
        <v>42266</v>
      </c>
      <c r="O10" s="3"/>
      <c r="P10" s="4"/>
      <c r="Q10" s="1"/>
      <c r="AX10" s="4"/>
      <c r="BO10" s="4"/>
      <c r="BP10" s="1"/>
    </row>
    <row r="11" spans="1:68" x14ac:dyDescent="0.35">
      <c r="A11" t="str">
        <v>CON</v>
      </c>
      <c r="B11">
        <v>0</v>
      </c>
      <c r="C11" t="str">
        <v>Connecticut Sun</v>
      </c>
      <c r="D11" s="1">
        <v>15</v>
      </c>
      <c r="E11" s="1">
        <v>19</v>
      </c>
      <c r="F11" s="3">
        <v>0.44117647058823528</v>
      </c>
      <c r="G11" s="9">
        <v>1428.4702356366477</v>
      </c>
      <c r="H11" s="1">
        <v>42260</v>
      </c>
      <c r="O11" s="3"/>
      <c r="P11" s="4"/>
      <c r="Q11" s="1"/>
      <c r="AX11" s="4"/>
      <c r="BO11" s="4"/>
      <c r="BP11" s="1"/>
    </row>
    <row r="12" spans="1:68" x14ac:dyDescent="0.35">
      <c r="A12" t="str">
        <v>SEA</v>
      </c>
      <c r="B12">
        <v>0</v>
      </c>
      <c r="C12" t="str">
        <v>Seattle Storm</v>
      </c>
      <c r="D12" s="1">
        <v>10</v>
      </c>
      <c r="E12" s="1">
        <v>24</v>
      </c>
      <c r="F12" s="3">
        <v>0.29411764705882354</v>
      </c>
      <c r="G12" s="9">
        <v>1385.4878408906675</v>
      </c>
      <c r="H12" s="1">
        <v>42260</v>
      </c>
      <c r="O12" s="3"/>
      <c r="P12" s="4"/>
      <c r="Q12" s="1"/>
      <c r="AX12" s="4"/>
      <c r="BO12" s="4"/>
      <c r="BP12" s="1"/>
    </row>
    <row r="13" spans="1:68" x14ac:dyDescent="0.35">
      <c r="A13" t="str">
        <v>SAS</v>
      </c>
      <c r="B13">
        <v>0</v>
      </c>
      <c r="C13" t="str">
        <v>San Antonio Silver Stars</v>
      </c>
      <c r="D13" s="1">
        <v>8</v>
      </c>
      <c r="E13" s="1">
        <v>26</v>
      </c>
      <c r="F13" s="3">
        <v>0.23529411764705882</v>
      </c>
      <c r="G13" s="9">
        <v>1311.5650345408349</v>
      </c>
      <c r="H13" s="1">
        <v>42260</v>
      </c>
      <c r="AX13" s="4"/>
      <c r="BO13" s="4"/>
      <c r="BP13" s="1"/>
    </row>
    <row r="14" spans="1:68" x14ac:dyDescent="0.35">
      <c r="F14" s="3"/>
      <c r="G14" s="9"/>
      <c r="O14" s="3"/>
      <c r="P14" s="4"/>
      <c r="Q14" s="1"/>
      <c r="AX14" s="4"/>
      <c r="BO14" s="4"/>
      <c r="BP14" s="1"/>
    </row>
    <row r="15" spans="1:68" x14ac:dyDescent="0.35">
      <c r="F15" s="3"/>
      <c r="G15" s="9"/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79</v>
      </c>
      <c r="B25">
        <f>_xlfn.XLOOKUP(A25,ConfDiv[TeamID],ConfDiv[Logo])</f>
        <v>0</v>
      </c>
      <c r="C25" t="str">
        <f>_xlfn.XLOOKUP(A25,ConfDiv[TeamID],ConfDiv[TeamName])</f>
        <v>Atlanta Dream</v>
      </c>
      <c r="D25" s="1">
        <f>_xlfn.XLOOKUP($A25,StandingsPivot!$A$4:$A$35,StandingsPivot!B$4:B$35)</f>
        <v>15</v>
      </c>
      <c r="E25" s="1">
        <f>_xlfn.XLOOKUP($A25,StandingsPivot!$A$4:$A$35,StandingsPivot!C$4:C$35)</f>
        <v>19</v>
      </c>
      <c r="F25" s="3">
        <f t="shared" ref="F25:F36" si="4">(D25)/(D25+E25)</f>
        <v>0.44117647058823528</v>
      </c>
      <c r="G25" s="9" cm="1">
        <f t="array" ref="G25">INDEX(Games[PostGmRate], MATCH(1, (Games[Team]=A25)*(Games[Date]=H25), 0))</f>
        <v>1491.0163803289645</v>
      </c>
      <c r="H25" s="1">
        <f>_xlfn.MAXIFS(Games[Date], Games[Team], A25)</f>
        <v>42260</v>
      </c>
      <c r="AR25" s="3"/>
      <c r="AS25" s="4"/>
      <c r="BD25" s="1"/>
      <c r="BG25" s="3"/>
      <c r="BH25" s="4"/>
    </row>
    <row r="26" spans="1:60" x14ac:dyDescent="0.35">
      <c r="A26" t="s">
        <v>77</v>
      </c>
      <c r="B26">
        <f>_xlfn.XLOOKUP(A26,ConfDiv[TeamID],ConfDiv[Logo])</f>
        <v>0</v>
      </c>
      <c r="C26" t="str">
        <f>_xlfn.XLOOKUP(A26,ConfDiv[TeamID],ConfDiv[TeamName])</f>
        <v>Chicago Sky</v>
      </c>
      <c r="D26" s="1">
        <f>_xlfn.XLOOKUP($A26,StandingsPivot!$A$4:$A$35,StandingsPivot!B$4:B$35)</f>
        <v>21</v>
      </c>
      <c r="E26" s="1">
        <f>_xlfn.XLOOKUP($A26,StandingsPivot!$A$4:$A$35,StandingsPivot!C$4:C$35)</f>
        <v>13</v>
      </c>
      <c r="F26" s="3">
        <f t="shared" si="4"/>
        <v>0.61764705882352944</v>
      </c>
      <c r="G26" s="9" cm="1">
        <f t="array" ref="G26">INDEX(Games[PostGmRate], MATCH(1, (Games[Team]=A26)*(Games[Date]=H26), 0))</f>
        <v>1551.3862122028747</v>
      </c>
      <c r="H26" s="1">
        <f>_xlfn.MAXIFS(Games[Date], Games[Team], A26)</f>
        <v>42268</v>
      </c>
      <c r="AR26" s="3"/>
      <c r="AS26" s="4"/>
      <c r="BD26" s="1"/>
      <c r="BG26" s="3"/>
      <c r="BH26" s="4"/>
    </row>
    <row r="27" spans="1:60" x14ac:dyDescent="0.35">
      <c r="A27" t="s">
        <v>76</v>
      </c>
      <c r="B27">
        <f>_xlfn.XLOOKUP(A27,ConfDiv[TeamID],ConfDiv[Logo])</f>
        <v>0</v>
      </c>
      <c r="C27" t="str">
        <f>_xlfn.XLOOKUP(A27,ConfDiv[TeamID],ConfDiv[TeamName])</f>
        <v>Connecticut Sun</v>
      </c>
      <c r="D27" s="1">
        <f>_xlfn.XLOOKUP($A27,StandingsPivot!$A$4:$A$35,StandingsPivot!B$4:B$35)</f>
        <v>15</v>
      </c>
      <c r="E27" s="1">
        <f>_xlfn.XLOOKUP($A27,StandingsPivot!$A$4:$A$35,StandingsPivot!C$4:C$35)</f>
        <v>19</v>
      </c>
      <c r="F27" s="3">
        <f t="shared" si="4"/>
        <v>0.44117647058823528</v>
      </c>
      <c r="G27" s="9" cm="1">
        <f t="array" ref="G27">INDEX(Games[PostGmRate], MATCH(1, (Games[Team]=A27)*(Games[Date]=H27), 0))</f>
        <v>1428.4702356366477</v>
      </c>
      <c r="H27" s="1">
        <f>_xlfn.MAXIFS(Games[Date], Games[Team], A27)</f>
        <v>42260</v>
      </c>
      <c r="AR27" s="3"/>
      <c r="AS27" s="4"/>
      <c r="BD27" s="1"/>
      <c r="BG27" s="3"/>
      <c r="BH27" s="4"/>
    </row>
    <row r="28" spans="1:60" x14ac:dyDescent="0.35">
      <c r="A28" t="s">
        <v>69</v>
      </c>
      <c r="B28">
        <f>_xlfn.XLOOKUP(A28,ConfDiv[TeamID],ConfDiv[Logo])</f>
        <v>0</v>
      </c>
      <c r="C28" t="str">
        <f>_xlfn.XLOOKUP(A28,ConfDiv[TeamID],ConfDiv[TeamName])</f>
        <v>Indiana Fever</v>
      </c>
      <c r="D28" s="1">
        <f>_xlfn.XLOOKUP($A28,StandingsPivot!$A$4:$A$35,StandingsPivot!B$4:B$35)</f>
        <v>20</v>
      </c>
      <c r="E28" s="1">
        <f>_xlfn.XLOOKUP($A28,StandingsPivot!$A$4:$A$35,StandingsPivot!C$4:C$35)</f>
        <v>14</v>
      </c>
      <c r="F28" s="3">
        <f t="shared" si="4"/>
        <v>0.58823529411764708</v>
      </c>
      <c r="G28" s="9" cm="1">
        <f t="array" ref="G28">INDEX(Games[PostGmRate], MATCH(1, (Games[Team]=A28)*(Games[Date]=H28), 0))</f>
        <v>1589.5362720164171</v>
      </c>
      <c r="H28" s="1">
        <f>_xlfn.MAXIFS(Games[Date], Games[Team], A28)</f>
        <v>42291</v>
      </c>
      <c r="AR28" s="3"/>
      <c r="AS28" s="4"/>
      <c r="BD28" s="1"/>
      <c r="BG28" s="3"/>
      <c r="BH28" s="4"/>
    </row>
    <row r="29" spans="1:60" x14ac:dyDescent="0.35">
      <c r="A29" t="s">
        <v>63</v>
      </c>
      <c r="B29">
        <f>_xlfn.XLOOKUP(A29,ConfDiv[TeamID],ConfDiv[Logo])</f>
        <v>0</v>
      </c>
      <c r="C29" t="str">
        <f>_xlfn.XLOOKUP(A29,ConfDiv[TeamID],ConfDiv[TeamName])</f>
        <v>Los Angeles Sparks</v>
      </c>
      <c r="D29" s="1">
        <f>_xlfn.XLOOKUP($A29,StandingsPivot!$A$4:$A$35,StandingsPivot!B$4:B$35)</f>
        <v>14</v>
      </c>
      <c r="E29" s="1">
        <f>_xlfn.XLOOKUP($A29,StandingsPivot!$A$4:$A$35,StandingsPivot!C$4:C$35)</f>
        <v>20</v>
      </c>
      <c r="F29" s="3">
        <f t="shared" si="4"/>
        <v>0.41176470588235292</v>
      </c>
      <c r="G29" s="9" cm="1">
        <f t="array" ref="G29">INDEX(Games[PostGmRate], MATCH(1, (Games[Team]=A29)*(Games[Date]=H29), 0))</f>
        <v>1493.2380290121753</v>
      </c>
      <c r="H29" s="1">
        <f>_xlfn.MAXIFS(Games[Date], Games[Team], A29)</f>
        <v>42269</v>
      </c>
      <c r="AR29" s="3"/>
      <c r="AS29" s="4"/>
      <c r="BD29" s="1"/>
      <c r="BG29" s="3"/>
      <c r="BH29" s="4"/>
    </row>
    <row r="30" spans="1:60" x14ac:dyDescent="0.35">
      <c r="A30" t="s">
        <v>67</v>
      </c>
      <c r="B30">
        <f>_xlfn.XLOOKUP(A30,ConfDiv[TeamID],ConfDiv[Logo])</f>
        <v>0</v>
      </c>
      <c r="C30" t="str">
        <f>_xlfn.XLOOKUP(A30,ConfDiv[TeamID],ConfDiv[TeamName])</f>
        <v>Minnesota Lynx</v>
      </c>
      <c r="D30" s="1">
        <f>_xlfn.XLOOKUP($A30,StandingsPivot!$A$4:$A$35,StandingsPivot!B$4:B$35)</f>
        <v>22</v>
      </c>
      <c r="E30" s="1">
        <f>_xlfn.XLOOKUP($A30,StandingsPivot!$A$4:$A$35,StandingsPivot!C$4:C$35)</f>
        <v>12</v>
      </c>
      <c r="F30" s="3">
        <f t="shared" si="4"/>
        <v>0.6470588235294118</v>
      </c>
      <c r="G30" s="9" cm="1">
        <f t="array" ref="G30">INDEX(Games[PostGmRate], MATCH(1, (Games[Team]=A30)*(Games[Date]=H30), 0))</f>
        <v>1615.2171596421338</v>
      </c>
      <c r="H30" s="1">
        <f>_xlfn.MAXIFS(Games[Date], Games[Team], A30)</f>
        <v>42291</v>
      </c>
      <c r="AR30" s="3"/>
      <c r="AS30" s="4"/>
      <c r="BD30" s="1"/>
      <c r="BG30" s="3"/>
      <c r="BH30" s="4"/>
    </row>
    <row r="31" spans="1:60" x14ac:dyDescent="0.35">
      <c r="A31" t="s">
        <v>60</v>
      </c>
      <c r="B31">
        <f>_xlfn.XLOOKUP(A31,ConfDiv[TeamID],ConfDiv[Logo])</f>
        <v>0</v>
      </c>
      <c r="C31" t="str">
        <f>_xlfn.XLOOKUP(A31,ConfDiv[TeamID],ConfDiv[TeamName])</f>
        <v>New York Liberty</v>
      </c>
      <c r="D31" s="1">
        <f>_xlfn.XLOOKUP($A31,StandingsPivot!$A$4:$A$35,StandingsPivot!B$4:B$35)</f>
        <v>23</v>
      </c>
      <c r="E31" s="1">
        <f>_xlfn.XLOOKUP($A31,StandingsPivot!$A$4:$A$35,StandingsPivot!C$4:C$35)</f>
        <v>11</v>
      </c>
      <c r="F31" s="3">
        <f t="shared" si="4"/>
        <v>0.67647058823529416</v>
      </c>
      <c r="G31" s="9" cm="1">
        <f t="array" ref="G31">INDEX(Games[PostGmRate], MATCH(1, (Games[Team]=A31)*(Games[Date]=H31), 0))</f>
        <v>1564.4420694941789</v>
      </c>
      <c r="H31" s="1">
        <f>_xlfn.MAXIFS(Games[Date], Games[Team], A31)</f>
        <v>42276</v>
      </c>
      <c r="AR31" s="3"/>
      <c r="AS31" s="4"/>
      <c r="BD31" s="1"/>
      <c r="BG31" s="3"/>
      <c r="BH31" s="4"/>
    </row>
    <row r="32" spans="1:60" x14ac:dyDescent="0.35">
      <c r="A32" t="s">
        <v>40</v>
      </c>
      <c r="B32">
        <f>_xlfn.XLOOKUP(A32,ConfDiv[TeamID],ConfDiv[Logo])</f>
        <v>0</v>
      </c>
      <c r="C32" t="str">
        <f>_xlfn.XLOOKUP(A32,ConfDiv[TeamID],ConfDiv[TeamName])</f>
        <v>Phoenix Mercury</v>
      </c>
      <c r="D32" s="1">
        <f>_xlfn.XLOOKUP($A32,StandingsPivot!$A$4:$A$35,StandingsPivot!B$4:B$35)</f>
        <v>20</v>
      </c>
      <c r="E32" s="1">
        <f>_xlfn.XLOOKUP($A32,StandingsPivot!$A$4:$A$35,StandingsPivot!C$4:C$35)</f>
        <v>14</v>
      </c>
      <c r="F32" s="3">
        <f t="shared" si="4"/>
        <v>0.58823529411764708</v>
      </c>
      <c r="G32" s="9" cm="1">
        <f t="array" ref="G32">INDEX(Games[PostGmRate], MATCH(1, (Games[Team]=A32)*(Games[Date]=H32), 0))</f>
        <v>1590.4044317630451</v>
      </c>
      <c r="H32" s="1">
        <f>_xlfn.MAXIFS(Games[Date], Games[Team], A32)</f>
        <v>42274</v>
      </c>
    </row>
    <row r="33" spans="1:8" x14ac:dyDescent="0.35">
      <c r="A33" t="s">
        <v>74</v>
      </c>
      <c r="B33">
        <f>_xlfn.XLOOKUP(A33,ConfDiv[TeamID],ConfDiv[Logo])</f>
        <v>0</v>
      </c>
      <c r="C33" t="str">
        <f>_xlfn.XLOOKUP(A33,ConfDiv[TeamID],ConfDiv[TeamName])</f>
        <v>San Antonio Silver Stars</v>
      </c>
      <c r="D33" s="1">
        <f>_xlfn.XLOOKUP($A33,StandingsPivot!$A$4:$A$35,StandingsPivot!B$4:B$35)</f>
        <v>8</v>
      </c>
      <c r="E33" s="1">
        <f>_xlfn.XLOOKUP($A33,StandingsPivot!$A$4:$A$35,StandingsPivot!C$4:C$35)</f>
        <v>26</v>
      </c>
      <c r="F33" s="3">
        <f t="shared" si="4"/>
        <v>0.23529411764705882</v>
      </c>
      <c r="G33" s="9" cm="1">
        <f t="array" ref="G33">INDEX(Games[PostGmRate], MATCH(1, (Games[Team]=A33)*(Games[Date]=H33), 0))</f>
        <v>1311.5650345408349</v>
      </c>
      <c r="H33" s="1">
        <f>_xlfn.MAXIFS(Games[Date], Games[Team], A33)</f>
        <v>42260</v>
      </c>
    </row>
    <row r="34" spans="1:8" x14ac:dyDescent="0.35">
      <c r="A34" t="s">
        <v>71</v>
      </c>
      <c r="B34">
        <f>_xlfn.XLOOKUP(A34,ConfDiv[TeamID],ConfDiv[Logo])</f>
        <v>0</v>
      </c>
      <c r="C34" t="str">
        <f>_xlfn.XLOOKUP(A34,ConfDiv[TeamID],ConfDiv[TeamName])</f>
        <v>Seattle Storm</v>
      </c>
      <c r="D34" s="1">
        <f>_xlfn.XLOOKUP($A34,StandingsPivot!$A$4:$A$35,StandingsPivot!B$4:B$35)</f>
        <v>10</v>
      </c>
      <c r="E34" s="1">
        <f>_xlfn.XLOOKUP($A34,StandingsPivot!$A$4:$A$35,StandingsPivot!C$4:C$35)</f>
        <v>24</v>
      </c>
      <c r="F34" s="3">
        <f t="shared" si="4"/>
        <v>0.29411764705882354</v>
      </c>
      <c r="G34" s="9" cm="1">
        <f t="array" ref="G34">INDEX(Games[PostGmRate], MATCH(1, (Games[Team]=A34)*(Games[Date]=H34), 0))</f>
        <v>1385.4878408906675</v>
      </c>
      <c r="H34" s="1">
        <f>_xlfn.MAXIFS(Games[Date], Games[Team], A34)</f>
        <v>42260</v>
      </c>
    </row>
    <row r="35" spans="1:8" x14ac:dyDescent="0.35">
      <c r="A35" t="s">
        <v>81</v>
      </c>
      <c r="B35">
        <f>_xlfn.XLOOKUP(A35,ConfDiv[TeamID],ConfDiv[Logo])</f>
        <v>0</v>
      </c>
      <c r="C35" t="str">
        <f>_xlfn.XLOOKUP(A35,ConfDiv[TeamID],ConfDiv[TeamName])</f>
        <v>Tulsa Shock</v>
      </c>
      <c r="D35" s="1">
        <f>_xlfn.XLOOKUP($A35,StandingsPivot!$A$4:$A$35,StandingsPivot!B$4:B$35)</f>
        <v>18</v>
      </c>
      <c r="E35" s="1">
        <f>_xlfn.XLOOKUP($A35,StandingsPivot!$A$4:$A$35,StandingsPivot!C$4:C$35)</f>
        <v>16</v>
      </c>
      <c r="F35" s="3">
        <f t="shared" si="4"/>
        <v>0.52941176470588236</v>
      </c>
      <c r="G35" s="9" cm="1">
        <f t="array" ref="G35">INDEX(Games[PostGmRate], MATCH(1, (Games[Team]=A35)*(Games[Date]=H35), 0))</f>
        <v>1463.7977918623715</v>
      </c>
      <c r="H35" s="1">
        <f>_xlfn.MAXIFS(Games[Date], Games[Team], A35)</f>
        <v>42266</v>
      </c>
    </row>
    <row r="36" spans="1:8" x14ac:dyDescent="0.35">
      <c r="A36" t="s">
        <v>65</v>
      </c>
      <c r="B36">
        <f>_xlfn.XLOOKUP(A36,ConfDiv[TeamID],ConfDiv[Logo])</f>
        <v>0</v>
      </c>
      <c r="C36" t="str">
        <f>_xlfn.XLOOKUP(A36,ConfDiv[TeamID],ConfDiv[TeamName])</f>
        <v>Washington Mystics</v>
      </c>
      <c r="D36" s="1">
        <f>_xlfn.XLOOKUP($A36,StandingsPivot!$A$4:$A$35,StandingsPivot!B$4:B$35)</f>
        <v>18</v>
      </c>
      <c r="E36" s="1">
        <f>_xlfn.XLOOKUP($A36,StandingsPivot!$A$4:$A$35,StandingsPivot!C$4:C$35)</f>
        <v>16</v>
      </c>
      <c r="F36" s="3">
        <f t="shared" si="4"/>
        <v>0.52941176470588236</v>
      </c>
      <c r="G36" s="9" cm="1">
        <f t="array" ref="G36">INDEX(Games[PostGmRate], MATCH(1, (Games[Team]=A36)*(Games[Date]=H36), 0))</f>
        <v>1517.0593416459894</v>
      </c>
      <c r="H36" s="1">
        <f>_xlfn.MAXIFS(Games[Date], Games[Team], A36)</f>
        <v>42269</v>
      </c>
    </row>
  </sheetData>
  <sortState xmlns:xlrd2="http://schemas.microsoft.com/office/spreadsheetml/2017/richdata2" ref="A25:G36">
    <sortCondition ref="A25:A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17</v>
      </c>
      <c r="B3" s="1" t="s">
        <v>19</v>
      </c>
      <c r="C3" s="1" t="s">
        <v>20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</row>
    <row r="4" spans="1:11" x14ac:dyDescent="0.35">
      <c r="A4" s="6" t="s">
        <v>79</v>
      </c>
      <c r="B4" s="2">
        <v>15</v>
      </c>
      <c r="C4" s="2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77</v>
      </c>
      <c r="B5" s="2">
        <v>21</v>
      </c>
      <c r="C5" s="2">
        <v>13</v>
      </c>
      <c r="D5" s="2">
        <v>1</v>
      </c>
      <c r="E5" s="2">
        <v>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76</v>
      </c>
      <c r="B6" s="2">
        <v>15</v>
      </c>
      <c r="C6" s="2">
        <v>19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69</v>
      </c>
      <c r="B7" s="2">
        <v>20</v>
      </c>
      <c r="C7" s="2">
        <v>14</v>
      </c>
      <c r="D7" s="2">
        <v>2</v>
      </c>
      <c r="E7" s="2">
        <v>1</v>
      </c>
      <c r="F7" s="2">
        <v>2</v>
      </c>
      <c r="G7" s="2">
        <v>1</v>
      </c>
      <c r="H7" s="2">
        <v>2</v>
      </c>
      <c r="I7" s="2">
        <v>3</v>
      </c>
      <c r="J7" s="2">
        <v>0</v>
      </c>
      <c r="K7" s="2">
        <v>0</v>
      </c>
    </row>
    <row r="8" spans="1:11" x14ac:dyDescent="0.35">
      <c r="A8" s="6" t="s">
        <v>63</v>
      </c>
      <c r="B8" s="2">
        <v>14</v>
      </c>
      <c r="C8" s="2">
        <v>20</v>
      </c>
      <c r="D8" s="2">
        <v>1</v>
      </c>
      <c r="E8" s="2">
        <v>2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67</v>
      </c>
      <c r="B9" s="2">
        <v>22</v>
      </c>
      <c r="C9" s="2">
        <v>12</v>
      </c>
      <c r="D9" s="2">
        <v>2</v>
      </c>
      <c r="E9" s="2">
        <v>1</v>
      </c>
      <c r="F9" s="2">
        <v>2</v>
      </c>
      <c r="G9" s="2">
        <v>0</v>
      </c>
      <c r="H9" s="2">
        <v>3</v>
      </c>
      <c r="I9" s="2">
        <v>2</v>
      </c>
      <c r="J9" s="2">
        <v>0</v>
      </c>
      <c r="K9" s="2">
        <v>0</v>
      </c>
    </row>
    <row r="10" spans="1:11" x14ac:dyDescent="0.35">
      <c r="A10" s="6" t="s">
        <v>60</v>
      </c>
      <c r="B10" s="2">
        <v>23</v>
      </c>
      <c r="C10" s="2">
        <v>11</v>
      </c>
      <c r="D10" s="2">
        <v>2</v>
      </c>
      <c r="E10" s="2">
        <v>1</v>
      </c>
      <c r="F10" s="2">
        <v>1</v>
      </c>
      <c r="G10" s="2">
        <v>2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5">
      <c r="A11" s="6" t="s">
        <v>40</v>
      </c>
      <c r="B11" s="2">
        <v>20</v>
      </c>
      <c r="C11" s="2">
        <v>14</v>
      </c>
      <c r="D11" s="2">
        <v>2</v>
      </c>
      <c r="E11" s="2">
        <v>0</v>
      </c>
      <c r="F11" s="2">
        <v>0</v>
      </c>
      <c r="G11" s="2">
        <v>2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74</v>
      </c>
      <c r="B12" s="2">
        <v>8</v>
      </c>
      <c r="C12" s="2">
        <v>26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5">
      <c r="A13" s="6" t="s">
        <v>71</v>
      </c>
      <c r="B13" s="2">
        <v>10</v>
      </c>
      <c r="C13" s="2">
        <v>24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81</v>
      </c>
      <c r="B14" s="2">
        <v>18</v>
      </c>
      <c r="C14" s="2">
        <v>16</v>
      </c>
      <c r="D14" s="2">
        <v>0</v>
      </c>
      <c r="E14" s="2">
        <v>2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A15" s="6" t="s">
        <v>65</v>
      </c>
      <c r="B15" s="2">
        <v>18</v>
      </c>
      <c r="C15" s="2">
        <v>16</v>
      </c>
      <c r="D15" s="2">
        <v>1</v>
      </c>
      <c r="E15" s="2">
        <v>2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5">
      <c r="A16" s="6" t="s">
        <v>18</v>
      </c>
      <c r="B16" s="2">
        <v>204</v>
      </c>
      <c r="C16" s="2">
        <v>204</v>
      </c>
      <c r="D16" s="2">
        <v>11</v>
      </c>
      <c r="E16" s="2">
        <v>11</v>
      </c>
      <c r="F16" s="2">
        <v>5</v>
      </c>
      <c r="G16" s="2">
        <v>5</v>
      </c>
      <c r="H16" s="2">
        <v>5</v>
      </c>
      <c r="I16" s="2">
        <v>5</v>
      </c>
      <c r="J16" s="2">
        <v>0</v>
      </c>
      <c r="K16" s="2">
        <v>0</v>
      </c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49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17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>
        <v>39</v>
      </c>
    </row>
    <row r="43" spans="1:1" x14ac:dyDescent="0.35">
      <c r="A43" s="11">
        <v>40</v>
      </c>
    </row>
    <row r="44" spans="1:1" x14ac:dyDescent="0.35">
      <c r="A44" s="11">
        <v>41</v>
      </c>
    </row>
    <row r="45" spans="1:1" x14ac:dyDescent="0.35">
      <c r="A45" s="11">
        <v>42</v>
      </c>
    </row>
    <row r="46" spans="1:1" x14ac:dyDescent="0.35">
      <c r="A46" s="11">
        <v>43</v>
      </c>
    </row>
    <row r="47" spans="1:1" x14ac:dyDescent="0.35">
      <c r="A47" s="11">
        <v>44</v>
      </c>
    </row>
    <row r="48" spans="1:1" x14ac:dyDescent="0.35">
      <c r="A48" s="11">
        <v>45</v>
      </c>
    </row>
    <row r="49" spans="1:1" x14ac:dyDescent="0.35">
      <c r="A49" s="1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451"/>
  <sheetViews>
    <sheetView workbookViewId="0"/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31</v>
      </c>
      <c r="B1" s="1" t="s">
        <v>26</v>
      </c>
      <c r="C1" s="1" t="s">
        <v>30</v>
      </c>
      <c r="D1" s="1" t="s">
        <v>25</v>
      </c>
      <c r="E1" s="1" t="s">
        <v>24</v>
      </c>
      <c r="F1" s="1" t="s">
        <v>0</v>
      </c>
      <c r="G1" s="1" t="s">
        <v>3</v>
      </c>
      <c r="H1" s="1" t="s">
        <v>14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21</v>
      </c>
      <c r="U1" s="1" t="s">
        <v>9</v>
      </c>
      <c r="V1" s="1" t="s">
        <v>10</v>
      </c>
      <c r="W1" s="1" t="s">
        <v>13</v>
      </c>
      <c r="X1" s="1" t="s">
        <v>23</v>
      </c>
      <c r="Y1" s="1" t="s">
        <v>32</v>
      </c>
      <c r="Z1" s="1" t="s">
        <v>22</v>
      </c>
      <c r="AA1" s="1" t="s">
        <v>11</v>
      </c>
      <c r="AB1" s="1" t="s">
        <v>12</v>
      </c>
      <c r="AC1" s="1" t="s">
        <v>15</v>
      </c>
      <c r="AD1" s="1" t="s">
        <v>16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P1" s="1">
        <v>6</v>
      </c>
      <c r="AQ1">
        <v>76</v>
      </c>
    </row>
    <row r="2" spans="1:46" x14ac:dyDescent="0.35">
      <c r="A2" s="10">
        <v>42160</v>
      </c>
      <c r="B2" s="2">
        <v>2015</v>
      </c>
      <c r="C2" s="2">
        <f>COUNTIFS(Games[Team],Games[[#This Row],[Team]],Games[Season],Games[[#This Row],[Season]],Games[Date],"&lt;=" &amp; Games[[#This Row],[Date]])</f>
        <v>1</v>
      </c>
      <c r="D2" s="2" t="s">
        <v>83</v>
      </c>
      <c r="E2" s="2" t="s">
        <v>84</v>
      </c>
      <c r="F2" s="1" t="s">
        <v>69</v>
      </c>
      <c r="G2" s="1" t="s">
        <v>77</v>
      </c>
      <c r="H2" s="1" t="s">
        <v>85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1492.4391559720939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1490.8162719411362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0.38362245419490454</v>
      </c>
      <c r="R2" s="1">
        <v>72</v>
      </c>
      <c r="S2" s="1">
        <v>95</v>
      </c>
      <c r="T2" s="1">
        <v>0</v>
      </c>
      <c r="U2" s="1">
        <f>Games[[#This Row],[PointsFor]]-Games[[#This Row],[PointsAgainst]]</f>
        <v>-23</v>
      </c>
      <c r="V2" s="1">
        <f>IF(Games[[#This Row],[MOV]]&gt;0,1,IF(Games[[#This Row],[MOV]]=0,0.5,0))</f>
        <v>0</v>
      </c>
      <c r="W2" s="4">
        <f>((ABS(Games[[#This Row],[MOV]])+5)^0.6)/(12+0.01*(ABS(Games[[#This Row],[PreGmRate]]-Games[[#This Row],[OppPreGmRate]])))*IF(Games[[#This Row],[OT]]=1,0.9,1)</f>
        <v>0.61450670829209875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-17.88077065238965</v>
      </c>
      <c r="AB2" s="4">
        <f>Games[[#This Row],[PreGmRate]]+Games[[#This Row],[RatingChange]]</f>
        <v>1474.5583853197043</v>
      </c>
      <c r="AC2" s="2">
        <f>IF(Games[[#This Row],[Type]]="R",IF(Games[[#This Row],[Result]]&gt;0.5,1,0),0)</f>
        <v>0</v>
      </c>
      <c r="AD2" s="2">
        <f>IF(Games[[#This Row],[Type]]="R",IF(Games[[#This Row],[Result]]&lt;0.5,1,0),0)</f>
        <v>1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42160</v>
      </c>
      <c r="B3" s="2">
        <v>2015</v>
      </c>
      <c r="C3" s="2">
        <f>COUNTIFS(Games[Team],Games[[#This Row],[Team]],Games[Season],Games[[#This Row],[Season]],Games[Date],"&lt;=" &amp; Games[[#This Row],[Date]])</f>
        <v>1</v>
      </c>
      <c r="D3" s="2" t="s">
        <v>83</v>
      </c>
      <c r="E3" s="2" t="s">
        <v>84</v>
      </c>
      <c r="F3" s="1" t="s">
        <v>77</v>
      </c>
      <c r="G3" s="1" t="s">
        <v>69</v>
      </c>
      <c r="H3" s="1" t="s">
        <v>86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1490.8162719411362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1492.4391559720939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0.61637754580509552</v>
      </c>
      <c r="R3" s="1">
        <v>95</v>
      </c>
      <c r="S3" s="1">
        <v>72</v>
      </c>
      <c r="T3" s="1">
        <v>0</v>
      </c>
      <c r="U3" s="1">
        <f>Games[[#This Row],[PointsFor]]-Games[[#This Row],[PointsAgainst]]</f>
        <v>23</v>
      </c>
      <c r="V3" s="1">
        <f>IF(Games[[#This Row],[MOV]]&gt;0,1,IF(Games[[#This Row],[MOV]]=0,0.5,0))</f>
        <v>1</v>
      </c>
      <c r="W3" s="4">
        <f>((ABS(Games[[#This Row],[MOV]])+5)^0.6)/(12+0.01*(ABS(Games[[#This Row],[PreGmRate]]-Games[[#This Row],[OppPreGmRate]])))*IF(Games[[#This Row],[OT]]=1,0.9,1)</f>
        <v>0.61450670829209875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17.880770652389646</v>
      </c>
      <c r="AB3" s="4">
        <f>Games[[#This Row],[PreGmRate]]+Games[[#This Row],[RatingChange]]</f>
        <v>1508.6970425935258</v>
      </c>
      <c r="AC3" s="2">
        <f>IF(Games[[#This Row],[Type]]="R",IF(Games[[#This Row],[Result]]&gt;0.5,1,0),0)</f>
        <v>1</v>
      </c>
      <c r="AD3" s="2">
        <f>IF(Games[[#This Row],[Type]]="R",IF(Games[[#This Row],[Result]]&lt;0.5,1,0),0)</f>
        <v>0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42160</v>
      </c>
      <c r="B4" s="2">
        <v>2015</v>
      </c>
      <c r="C4" s="2">
        <f>COUNTIFS(Games[Team],Games[[#This Row],[Team]],Games[Season],Games[[#This Row],[Season]],Games[Date],"&lt;=" &amp; Games[[#This Row],[Date]])</f>
        <v>1</v>
      </c>
      <c r="D4" s="2" t="s">
        <v>83</v>
      </c>
      <c r="E4" s="2" t="s">
        <v>84</v>
      </c>
      <c r="F4" s="1" t="s">
        <v>65</v>
      </c>
      <c r="G4" s="1" t="s">
        <v>76</v>
      </c>
      <c r="H4" s="1" t="s">
        <v>85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1481.812470498538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1461.828526259407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0.40890206441436255</v>
      </c>
      <c r="R4" s="1">
        <v>73</v>
      </c>
      <c r="S4" s="1">
        <v>68</v>
      </c>
      <c r="T4" s="1">
        <v>0</v>
      </c>
      <c r="U4" s="1">
        <f>Games[[#This Row],[PointsFor]]-Games[[#This Row],[PointsAgainst]]</f>
        <v>5</v>
      </c>
      <c r="V4" s="1">
        <f>IF(Games[[#This Row],[MOV]]&gt;0,1,IF(Games[[#This Row],[MOV]]=0,0.5,0))</f>
        <v>1</v>
      </c>
      <c r="W4" s="4">
        <f>((ABS(Games[[#This Row],[MOV]])+5)^0.6)/(12+0.01*(ABS(Games[[#This Row],[PreGmRate]]-Games[[#This Row],[OppPreGmRate]])))*IF(Games[[#This Row],[OT]]=1,0.9,1)</f>
        <v>0.3263216474556026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14.630558755419038</v>
      </c>
      <c r="AB4" s="4">
        <f>Games[[#This Row],[PreGmRate]]+Games[[#This Row],[RatingChange]]</f>
        <v>1496.4430292539571</v>
      </c>
      <c r="AC4" s="2">
        <f>IF(Games[[#This Row],[Type]]="R",IF(Games[[#This Row],[Result]]&gt;0.5,1,0),0)</f>
        <v>1</v>
      </c>
      <c r="AD4" s="2">
        <f>IF(Games[[#This Row],[Type]]="R",IF(Games[[#This Row],[Result]]&lt;0.5,1,0),0)</f>
        <v>0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42160</v>
      </c>
      <c r="B5" s="2">
        <v>2015</v>
      </c>
      <c r="C5" s="2">
        <f>COUNTIFS(Games[Team],Games[[#This Row],[Team]],Games[Season],Games[[#This Row],[Season]],Games[Date],"&lt;=" &amp; Games[[#This Row],[Date]])</f>
        <v>1</v>
      </c>
      <c r="D5" s="2" t="s">
        <v>83</v>
      </c>
      <c r="E5" s="2" t="s">
        <v>84</v>
      </c>
      <c r="F5" s="1" t="s">
        <v>76</v>
      </c>
      <c r="G5" s="1" t="s">
        <v>65</v>
      </c>
      <c r="H5" s="1" t="s">
        <v>86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1461.828526259407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1481.812470498538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0.59109793558563739</v>
      </c>
      <c r="R5" s="1">
        <v>68</v>
      </c>
      <c r="S5" s="1">
        <v>73</v>
      </c>
      <c r="T5" s="1">
        <v>0</v>
      </c>
      <c r="U5" s="1">
        <f>Games[[#This Row],[PointsFor]]-Games[[#This Row],[PointsAgainst]]</f>
        <v>-5</v>
      </c>
      <c r="V5" s="1">
        <f>IF(Games[[#This Row],[MOV]]&gt;0,1,IF(Games[[#This Row],[MOV]]=0,0.5,0))</f>
        <v>0</v>
      </c>
      <c r="W5" s="4">
        <f>((ABS(Games[[#This Row],[MOV]])+5)^0.6)/(12+0.01*(ABS(Games[[#This Row],[PreGmRate]]-Games[[#This Row],[OppPreGmRate]])))*IF(Games[[#This Row],[OT]]=1,0.9,1)</f>
        <v>0.3263216474556026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-14.630558755419038</v>
      </c>
      <c r="AB5" s="4">
        <f>Games[[#This Row],[PreGmRate]]+Games[[#This Row],[RatingChange]]</f>
        <v>1447.1979675039879</v>
      </c>
      <c r="AC5" s="2">
        <f>IF(Games[[#This Row],[Type]]="R",IF(Games[[#This Row],[Result]]&gt;0.5,1,0),0)</f>
        <v>0</v>
      </c>
      <c r="AD5" s="2">
        <f>IF(Games[[#This Row],[Type]]="R",IF(Games[[#This Row],[Result]]&lt;0.5,1,0),0)</f>
        <v>1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42160</v>
      </c>
      <c r="B6" s="2">
        <v>2015</v>
      </c>
      <c r="C6" s="2">
        <f>COUNTIFS(Games[Team],Games[[#This Row],[Team]],Games[Season],Games[[#This Row],[Season]],Games[Date],"&lt;=" &amp; Games[[#This Row],[Date]])</f>
        <v>1</v>
      </c>
      <c r="D6" s="2" t="s">
        <v>83</v>
      </c>
      <c r="E6" s="2" t="s">
        <v>84</v>
      </c>
      <c r="F6" s="1" t="s">
        <v>81</v>
      </c>
      <c r="G6" s="1" t="s">
        <v>67</v>
      </c>
      <c r="H6" s="1" t="s">
        <v>85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1458.0645368169041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1577.2920252462748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0.23687821866083916</v>
      </c>
      <c r="R6" s="1">
        <v>75</v>
      </c>
      <c r="S6" s="1">
        <v>83</v>
      </c>
      <c r="T6" s="1">
        <v>0</v>
      </c>
      <c r="U6" s="1">
        <f>Games[[#This Row],[PointsFor]]-Games[[#This Row],[PointsAgainst]]</f>
        <v>-8</v>
      </c>
      <c r="V6" s="1">
        <f>IF(Games[[#This Row],[MOV]]&gt;0,1,IF(Games[[#This Row],[MOV]]=0,0.5,0))</f>
        <v>0</v>
      </c>
      <c r="W6" s="4">
        <f>((ABS(Games[[#This Row],[MOV]])+5)^0.6)/(12+0.01*(ABS(Games[[#This Row],[PreGmRate]]-Games[[#This Row],[OppPreGmRate]])))*IF(Games[[#This Row],[OT]]=1,0.9,1)</f>
        <v>0.35322084029524403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-6.3463940331532305</v>
      </c>
      <c r="AB6" s="4">
        <f>Games[[#This Row],[PreGmRate]]+Games[[#This Row],[RatingChange]]</f>
        <v>1451.7181427837509</v>
      </c>
      <c r="AC6" s="2">
        <f>IF(Games[[#This Row],[Type]]="R",IF(Games[[#This Row],[Result]]&gt;0.5,1,0),0)</f>
        <v>0</v>
      </c>
      <c r="AD6" s="2">
        <f>IF(Games[[#This Row],[Type]]="R",IF(Games[[#This Row],[Result]]&lt;0.5,1,0),0)</f>
        <v>1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42160</v>
      </c>
      <c r="B7" s="2">
        <v>2015</v>
      </c>
      <c r="C7" s="2">
        <f>COUNTIFS(Games[Team],Games[[#This Row],[Team]],Games[Season],Games[[#This Row],[Season]],Games[Date],"&lt;=" &amp; Games[[#This Row],[Date]])</f>
        <v>1</v>
      </c>
      <c r="D7" s="2" t="s">
        <v>83</v>
      </c>
      <c r="E7" s="2" t="s">
        <v>84</v>
      </c>
      <c r="F7" s="1" t="s">
        <v>67</v>
      </c>
      <c r="G7" s="1" t="s">
        <v>81</v>
      </c>
      <c r="H7" s="1" t="s">
        <v>86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0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1577.2920252462748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1458.0645368169041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0.76312178133916098</v>
      </c>
      <c r="R7" s="1">
        <v>83</v>
      </c>
      <c r="S7" s="1">
        <v>75</v>
      </c>
      <c r="T7" s="1">
        <v>0</v>
      </c>
      <c r="U7" s="1">
        <f>Games[[#This Row],[PointsFor]]-Games[[#This Row],[PointsAgainst]]</f>
        <v>8</v>
      </c>
      <c r="V7" s="1">
        <f>IF(Games[[#This Row],[MOV]]&gt;0,1,IF(Games[[#This Row],[MOV]]=0,0.5,0))</f>
        <v>1</v>
      </c>
      <c r="W7" s="4">
        <f>((ABS(Games[[#This Row],[MOV]])+5)^0.6)/(12+0.01*(ABS(Games[[#This Row],[PreGmRate]]-Games[[#This Row],[OppPreGmRate]])))*IF(Games[[#This Row],[OT]]=1,0.9,1)</f>
        <v>0.35322084029524403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6.3463940331532269</v>
      </c>
      <c r="AB7" s="4">
        <f>Games[[#This Row],[PreGmRate]]+Games[[#This Row],[RatingChange]]</f>
        <v>1583.638419279428</v>
      </c>
      <c r="AC7" s="2">
        <f>IF(Games[[#This Row],[Type]]="R",IF(Games[[#This Row],[Result]]&gt;0.5,1,0),0)</f>
        <v>1</v>
      </c>
      <c r="AD7" s="2">
        <f>IF(Games[[#This Row],[Type]]="R",IF(Games[[#This Row],[Result]]&lt;0.5,1,0),0)</f>
        <v>0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42160</v>
      </c>
      <c r="B8" s="2">
        <v>2015</v>
      </c>
      <c r="C8" s="2">
        <f>COUNTIFS(Games[Team],Games[[#This Row],[Team]],Games[Season],Games[[#This Row],[Season]],Games[Date],"&lt;=" &amp; Games[[#This Row],[Date]])</f>
        <v>1</v>
      </c>
      <c r="D8" s="2" t="s">
        <v>83</v>
      </c>
      <c r="E8" s="2" t="s">
        <v>84</v>
      </c>
      <c r="F8" s="1" t="s">
        <v>79</v>
      </c>
      <c r="G8" s="1" t="s">
        <v>60</v>
      </c>
      <c r="H8" s="1" t="s">
        <v>85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0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1498.5168618757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1469.9164512398165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0.42094246720205303</v>
      </c>
      <c r="R8" s="1">
        <v>73</v>
      </c>
      <c r="S8" s="1">
        <v>82</v>
      </c>
      <c r="T8" s="1">
        <v>0</v>
      </c>
      <c r="U8" s="1">
        <f>Games[[#This Row],[PointsFor]]-Games[[#This Row],[PointsAgainst]]</f>
        <v>-9</v>
      </c>
      <c r="V8" s="1">
        <f>IF(Games[[#This Row],[MOV]]&gt;0,1,IF(Games[[#This Row],[MOV]]=0,0.5,0))</f>
        <v>0</v>
      </c>
      <c r="W8" s="4">
        <f>((ABS(Games[[#This Row],[MOV]])+5)^0.6)/(12+0.01*(ABS(Games[[#This Row],[PreGmRate]]-Games[[#This Row],[OppPreGmRate]])))*IF(Games[[#This Row],[OT]]=1,0.9,1)</f>
        <v>0.3965209748908925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-12.660314449942915</v>
      </c>
      <c r="AB8" s="4">
        <f>Games[[#This Row],[PreGmRate]]+Games[[#This Row],[RatingChange]]</f>
        <v>1485.8565474257571</v>
      </c>
      <c r="AC8" s="2">
        <f>IF(Games[[#This Row],[Type]]="R",IF(Games[[#This Row],[Result]]&gt;0.5,1,0),0)</f>
        <v>0</v>
      </c>
      <c r="AD8" s="2">
        <f>IF(Games[[#This Row],[Type]]="R",IF(Games[[#This Row],[Result]]&lt;0.5,1,0),0)</f>
        <v>1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42160</v>
      </c>
      <c r="B9" s="2">
        <v>2015</v>
      </c>
      <c r="C9" s="2">
        <f>COUNTIFS(Games[Team],Games[[#This Row],[Team]],Games[Season],Games[[#This Row],[Season]],Games[Date],"&lt;=" &amp; Games[[#This Row],[Date]])</f>
        <v>1</v>
      </c>
      <c r="D9" s="2" t="s">
        <v>83</v>
      </c>
      <c r="E9" s="2" t="s">
        <v>84</v>
      </c>
      <c r="F9" s="1" t="s">
        <v>60</v>
      </c>
      <c r="G9" s="1" t="s">
        <v>79</v>
      </c>
      <c r="H9" s="1" t="s">
        <v>86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0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1469.9164512398165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1498.5168618757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0.57905753279794703</v>
      </c>
      <c r="R9" s="1">
        <v>82</v>
      </c>
      <c r="S9" s="1">
        <v>73</v>
      </c>
      <c r="T9" s="1">
        <v>0</v>
      </c>
      <c r="U9" s="1">
        <f>Games[[#This Row],[PointsFor]]-Games[[#This Row],[PointsAgainst]]</f>
        <v>9</v>
      </c>
      <c r="V9" s="1">
        <f>IF(Games[[#This Row],[MOV]]&gt;0,1,IF(Games[[#This Row],[MOV]]=0,0.5,0))</f>
        <v>1</v>
      </c>
      <c r="W9" s="4">
        <f>((ABS(Games[[#This Row],[MOV]])+5)^0.6)/(12+0.01*(ABS(Games[[#This Row],[PreGmRate]]-Games[[#This Row],[OppPreGmRate]])))*IF(Games[[#This Row],[OT]]=1,0.9,1)</f>
        <v>0.3965209748908925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12.660314449942913</v>
      </c>
      <c r="AB9" s="4">
        <f>Games[[#This Row],[PreGmRate]]+Games[[#This Row],[RatingChange]]</f>
        <v>1482.5767656897594</v>
      </c>
      <c r="AC9" s="2">
        <f>IF(Games[[#This Row],[Type]]="R",IF(Games[[#This Row],[Result]]&gt;0.5,1,0),0)</f>
        <v>1</v>
      </c>
      <c r="AD9" s="2">
        <f>IF(Games[[#This Row],[Type]]="R",IF(Games[[#This Row],[Result]]&lt;0.5,1,0),0)</f>
        <v>0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42160</v>
      </c>
      <c r="B10" s="2">
        <v>2015</v>
      </c>
      <c r="C10" s="2">
        <f>COUNTIFS(Games[Team],Games[[#This Row],[Team]],Games[Season],Games[[#This Row],[Season]],Games[Date],"&lt;=" &amp; Games[[#This Row],[Date]])</f>
        <v>1</v>
      </c>
      <c r="D10" s="2" t="s">
        <v>83</v>
      </c>
      <c r="E10" s="2" t="s">
        <v>84</v>
      </c>
      <c r="F10" s="1" t="s">
        <v>74</v>
      </c>
      <c r="G10" s="1" t="s">
        <v>40</v>
      </c>
      <c r="H10" s="1" t="s">
        <v>85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" s="2">
        <f>Games[[#This Row],[DaysOff]]-Games[[#This Row],[OppDaysOff]]</f>
        <v>0</v>
      </c>
      <c r="L10" s="2">
        <f>Games[[#This Row],[OppDaysOff]]-Games[[#This Row],[DaysOff]]</f>
        <v>0</v>
      </c>
      <c r="M10" s="1">
        <f>MAX(-16, MIN(16, Games[[#This Row],[RestDiff]]*8))</f>
        <v>0</v>
      </c>
      <c r="N10" s="1">
        <f>MAX(-16, MIN(16, Games[[#This Row],[OppRestDiff]]*8))</f>
        <v>0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1478.4549793028614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1629.5571914291606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0.20532206529755048</v>
      </c>
      <c r="R10" s="1">
        <v>71</v>
      </c>
      <c r="S10" s="1">
        <v>76</v>
      </c>
      <c r="T10" s="1">
        <v>0</v>
      </c>
      <c r="U10" s="1">
        <f>Games[[#This Row],[PointsFor]]-Games[[#This Row],[PointsAgainst]]</f>
        <v>-5</v>
      </c>
      <c r="V10" s="1">
        <f>IF(Games[[#This Row],[MOV]]&gt;0,1,IF(Games[[#This Row],[MOV]]=0,0.5,0))</f>
        <v>0</v>
      </c>
      <c r="W10" s="4">
        <f>((ABS(Games[[#This Row],[MOV]])+5)^0.6)/(12+0.01*(ABS(Games[[#This Row],[PreGmRate]]-Games[[#This Row],[OppPreGmRate]])))*IF(Games[[#This Row],[OT]]=1,0.9,1)</f>
        <v>0.29465362944449291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75.849999999999994</v>
      </c>
      <c r="Z10" s="4">
        <f>Games[[#This Row],[K]]*Games[[#This Row],[POMult]]</f>
        <v>75.849999999999994</v>
      </c>
      <c r="AA10" s="4">
        <f>(Games[[#This Row],[Keff]]*Games[[#This Row],[MOVMult]])*(Games[[#This Row],[Result]]-Games[[#This Row],[ExpectedWin%]])</f>
        <v>-4.588840938855399</v>
      </c>
      <c r="AB10" s="4">
        <f>Games[[#This Row],[PreGmRate]]+Games[[#This Row],[RatingChange]]</f>
        <v>1473.866138364006</v>
      </c>
      <c r="AC10" s="2">
        <f>IF(Games[[#This Row],[Type]]="R",IF(Games[[#This Row],[Result]]&gt;0.5,1,0),0)</f>
        <v>0</v>
      </c>
      <c r="AD10" s="2">
        <f>IF(Games[[#This Row],[Type]]="R",IF(Games[[#This Row],[Result]]&lt;0.5,1,0),0)</f>
        <v>1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42160</v>
      </c>
      <c r="B11" s="2">
        <v>2015</v>
      </c>
      <c r="C11" s="2">
        <f>COUNTIFS(Games[Team],Games[[#This Row],[Team]],Games[Season],Games[[#This Row],[Season]],Games[Date],"&lt;=" &amp; Games[[#This Row],[Date]])</f>
        <v>1</v>
      </c>
      <c r="D11" s="2" t="s">
        <v>83</v>
      </c>
      <c r="E11" s="2" t="s">
        <v>84</v>
      </c>
      <c r="F11" s="1" t="s">
        <v>40</v>
      </c>
      <c r="G11" s="1" t="s">
        <v>74</v>
      </c>
      <c r="H11" s="1" t="s">
        <v>86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" s="2">
        <f>Games[[#This Row],[DaysOff]]-Games[[#This Row],[OppDaysOff]]</f>
        <v>0</v>
      </c>
      <c r="L11" s="2">
        <f>Games[[#This Row],[OppDaysOff]]-Games[[#This Row],[DaysOff]]</f>
        <v>0</v>
      </c>
      <c r="M11" s="1">
        <f>MAX(-16, MIN(16, Games[[#This Row],[RestDiff]]*8))</f>
        <v>0</v>
      </c>
      <c r="N11" s="1">
        <f>MAX(-16, MIN(16, Games[[#This Row],[OppRestDiff]]*8))</f>
        <v>0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1629.5571914291606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1478.4549793028614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0.79467793470244952</v>
      </c>
      <c r="R11" s="1">
        <v>76</v>
      </c>
      <c r="S11" s="1">
        <v>71</v>
      </c>
      <c r="T11" s="1">
        <v>0</v>
      </c>
      <c r="U11" s="1">
        <f>Games[[#This Row],[PointsFor]]-Games[[#This Row],[PointsAgainst]]</f>
        <v>5</v>
      </c>
      <c r="V11" s="1">
        <f>IF(Games[[#This Row],[MOV]]&gt;0,1,IF(Games[[#This Row],[MOV]]=0,0.5,0))</f>
        <v>1</v>
      </c>
      <c r="W11" s="4">
        <f>((ABS(Games[[#This Row],[MOV]])+5)^0.6)/(12+0.01*(ABS(Games[[#This Row],[PreGmRate]]-Games[[#This Row],[OppPreGmRate]])))*IF(Games[[#This Row],[OT]]=1,0.9,1)</f>
        <v>0.29465362944449291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4.588840938855399</v>
      </c>
      <c r="AB11" s="4">
        <f>Games[[#This Row],[PreGmRate]]+Games[[#This Row],[RatingChange]]</f>
        <v>1634.146032368016</v>
      </c>
      <c r="AC11" s="2">
        <f>IF(Games[[#This Row],[Type]]="R",IF(Games[[#This Row],[Result]]&gt;0.5,1,0),0)</f>
        <v>1</v>
      </c>
      <c r="AD11" s="2">
        <f>IF(Games[[#This Row],[Type]]="R",IF(Games[[#This Row],[Result]]&lt;0.5,1,0),0)</f>
        <v>0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42161</v>
      </c>
      <c r="B12" s="2">
        <v>2015</v>
      </c>
      <c r="C12" s="2">
        <f>COUNTIFS(Games[Team],Games[[#This Row],[Team]],Games[Season],Games[[#This Row],[Season]],Games[Date],"&lt;=" &amp; Games[[#This Row],[Date]])</f>
        <v>2</v>
      </c>
      <c r="D12" s="2" t="s">
        <v>83</v>
      </c>
      <c r="E12" s="2" t="s">
        <v>84</v>
      </c>
      <c r="F12" s="1" t="s">
        <v>67</v>
      </c>
      <c r="G12" s="1" t="s">
        <v>69</v>
      </c>
      <c r="H12" s="1" t="s">
        <v>85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" s="2">
        <f>Games[[#This Row],[DaysOff]]-Games[[#This Row],[OppDaysOff]]</f>
        <v>0</v>
      </c>
      <c r="L12" s="2">
        <f>Games[[#This Row],[OppDaysOff]]-Games[[#This Row],[DaysOff]]</f>
        <v>0</v>
      </c>
      <c r="M12" s="1">
        <f>MAX(-16, MIN(16, Games[[#This Row],[RestDiff]]*8))</f>
        <v>0</v>
      </c>
      <c r="N12" s="1">
        <f>MAX(-16, MIN(16, Games[[#This Row],[OppRestDiff]]*8))</f>
        <v>0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1583.638419279428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1474.5583853197043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0.53603050887586634</v>
      </c>
      <c r="R12" s="1">
        <v>78</v>
      </c>
      <c r="S12" s="1">
        <v>69</v>
      </c>
      <c r="T12" s="1">
        <v>0</v>
      </c>
      <c r="U12" s="1">
        <f>Games[[#This Row],[PointsFor]]-Games[[#This Row],[PointsAgainst]]</f>
        <v>9</v>
      </c>
      <c r="V12" s="1">
        <f>IF(Games[[#This Row],[MOV]]&gt;0,1,IF(Games[[#This Row],[MOV]]=0,0.5,0))</f>
        <v>1</v>
      </c>
      <c r="W12" s="4">
        <f>((ABS(Games[[#This Row],[MOV]])+5)^0.6)/(12+0.01*(ABS(Games[[#This Row],[PreGmRate]]-Games[[#This Row],[OppPreGmRate]])))*IF(Games[[#This Row],[OT]]=1,0.9,1)</f>
        <v>0.37214365809484184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75.7</v>
      </c>
      <c r="Z12" s="4">
        <f>Games[[#This Row],[K]]*Games[[#This Row],[POMult]]</f>
        <v>75.7</v>
      </c>
      <c r="AA12" s="4">
        <f>(Games[[#This Row],[Keff]]*Games[[#This Row],[MOVMult]])*(Games[[#This Row],[Result]]-Games[[#This Row],[ExpectedWin%]])</f>
        <v>13.070612087920237</v>
      </c>
      <c r="AB12" s="4">
        <f>Games[[#This Row],[PreGmRate]]+Games[[#This Row],[RatingChange]]</f>
        <v>1596.7090313673482</v>
      </c>
      <c r="AC12" s="2">
        <f>IF(Games[[#This Row],[Type]]="R",IF(Games[[#This Row],[Result]]&gt;0.5,1,0),0)</f>
        <v>1</v>
      </c>
      <c r="AD12" s="2">
        <f>IF(Games[[#This Row],[Type]]="R",IF(Games[[#This Row],[Result]]&lt;0.5,1,0),0)</f>
        <v>0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42161</v>
      </c>
      <c r="B13" s="2">
        <v>2015</v>
      </c>
      <c r="C13" s="2">
        <f>COUNTIFS(Games[Team],Games[[#This Row],[Team]],Games[Season],Games[[#This Row],[Season]],Games[Date],"&lt;=" &amp; Games[[#This Row],[Date]])</f>
        <v>2</v>
      </c>
      <c r="D13" s="2" t="s">
        <v>83</v>
      </c>
      <c r="E13" s="2" t="s">
        <v>84</v>
      </c>
      <c r="F13" s="1" t="s">
        <v>69</v>
      </c>
      <c r="G13" s="1" t="s">
        <v>67</v>
      </c>
      <c r="H13" s="1" t="s">
        <v>86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" s="2">
        <f>Games[[#This Row],[DaysOff]]-Games[[#This Row],[OppDaysOff]]</f>
        <v>0</v>
      </c>
      <c r="L13" s="2">
        <f>Games[[#This Row],[OppDaysOff]]-Games[[#This Row],[DaysOff]]</f>
        <v>0</v>
      </c>
      <c r="M13" s="1">
        <f>MAX(-16, MIN(16, Games[[#This Row],[RestDiff]]*8))</f>
        <v>0</v>
      </c>
      <c r="N13" s="1">
        <f>MAX(-16, MIN(16, Games[[#This Row],[OppRestDiff]]*8))</f>
        <v>0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1474.5583853197043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1583.638419279428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0.4639694911241336</v>
      </c>
      <c r="R13" s="1">
        <v>69</v>
      </c>
      <c r="S13" s="1">
        <v>78</v>
      </c>
      <c r="T13" s="1">
        <v>0</v>
      </c>
      <c r="U13" s="1">
        <f>Games[[#This Row],[PointsFor]]-Games[[#This Row],[PointsAgainst]]</f>
        <v>-9</v>
      </c>
      <c r="V13" s="1">
        <f>IF(Games[[#This Row],[MOV]]&gt;0,1,IF(Games[[#This Row],[MOV]]=0,0.5,0))</f>
        <v>0</v>
      </c>
      <c r="W13" s="4">
        <f>((ABS(Games[[#This Row],[MOV]])+5)^0.6)/(12+0.01*(ABS(Games[[#This Row],[PreGmRate]]-Games[[#This Row],[OppPreGmRate]])))*IF(Games[[#This Row],[OT]]=1,0.9,1)</f>
        <v>0.37214365809484184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75.7</v>
      </c>
      <c r="Z13" s="4">
        <f>Games[[#This Row],[K]]*Games[[#This Row],[POMult]]</f>
        <v>75.7</v>
      </c>
      <c r="AA13" s="4">
        <f>(Games[[#This Row],[Keff]]*Games[[#This Row],[MOVMult]])*(Games[[#This Row],[Result]]-Games[[#This Row],[ExpectedWin%]])</f>
        <v>-13.070612087920235</v>
      </c>
      <c r="AB13" s="4">
        <f>Games[[#This Row],[PreGmRate]]+Games[[#This Row],[RatingChange]]</f>
        <v>1461.4877732317841</v>
      </c>
      <c r="AC13" s="2">
        <f>IF(Games[[#This Row],[Type]]="R",IF(Games[[#This Row],[Result]]&gt;0.5,1,0),0)</f>
        <v>0</v>
      </c>
      <c r="AD13" s="2">
        <f>IF(Games[[#This Row],[Type]]="R",IF(Games[[#This Row],[Result]]&lt;0.5,1,0),0)</f>
        <v>1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42161</v>
      </c>
      <c r="B14" s="2">
        <v>2015</v>
      </c>
      <c r="C14" s="2">
        <f>COUNTIFS(Games[Team],Games[[#This Row],[Team]],Games[Season],Games[[#This Row],[Season]],Games[Date],"&lt;=" &amp; Games[[#This Row],[Date]])</f>
        <v>1</v>
      </c>
      <c r="D14" s="2" t="s">
        <v>83</v>
      </c>
      <c r="E14" s="2" t="s">
        <v>84</v>
      </c>
      <c r="F14" s="1" t="s">
        <v>63</v>
      </c>
      <c r="G14" s="1" t="s">
        <v>71</v>
      </c>
      <c r="H14" s="1" t="s">
        <v>85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" s="2">
        <f>Games[[#This Row],[DaysOff]]-Games[[#This Row],[OppDaysOff]]</f>
        <v>0</v>
      </c>
      <c r="L14" s="2">
        <f>Games[[#This Row],[OppDaysOff]]-Games[[#This Row],[DaysOff]]</f>
        <v>0</v>
      </c>
      <c r="M14" s="1">
        <f>MAX(-16, MIN(16, Games[[#This Row],[RestDiff]]*8))</f>
        <v>0</v>
      </c>
      <c r="N14" s="1">
        <f>MAX(-16, MIN(16, Games[[#This Row],[OppRestDiff]]*8))</f>
        <v>0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1507.4554617373742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1455.0801690285873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0.45461366395491914</v>
      </c>
      <c r="R14" s="1">
        <v>61</v>
      </c>
      <c r="S14" s="1">
        <v>86</v>
      </c>
      <c r="T14" s="1">
        <v>0</v>
      </c>
      <c r="U14" s="1">
        <f>Games[[#This Row],[PointsFor]]-Games[[#This Row],[PointsAgainst]]</f>
        <v>-25</v>
      </c>
      <c r="V14" s="1">
        <f>IF(Games[[#This Row],[MOV]]&gt;0,1,IF(Games[[#This Row],[MOV]]=0,0.5,0))</f>
        <v>0</v>
      </c>
      <c r="W14" s="4">
        <f>((ABS(Games[[#This Row],[MOV]])+5)^0.6)/(12+0.01*(ABS(Games[[#This Row],[PreGmRate]]-Games[[#This Row],[OppPreGmRate]])))*IF(Games[[#This Row],[OT]]=1,0.9,1)</f>
        <v>0.61452316933528406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75.849999999999994</v>
      </c>
      <c r="Z14" s="4">
        <f>Games[[#This Row],[K]]*Games[[#This Row],[POMult]]</f>
        <v>75.849999999999994</v>
      </c>
      <c r="AA14" s="4">
        <f>(Games[[#This Row],[Keff]]*Games[[#This Row],[MOVMult]])*(Games[[#This Row],[Result]]-Games[[#This Row],[ExpectedWin%]])</f>
        <v>-21.1902622549099</v>
      </c>
      <c r="AB14" s="4">
        <f>Games[[#This Row],[PreGmRate]]+Games[[#This Row],[RatingChange]]</f>
        <v>1486.2651994824644</v>
      </c>
      <c r="AC14" s="2">
        <f>IF(Games[[#This Row],[Type]]="R",IF(Games[[#This Row],[Result]]&gt;0.5,1,0),0)</f>
        <v>0</v>
      </c>
      <c r="AD14" s="2">
        <f>IF(Games[[#This Row],[Type]]="R",IF(Games[[#This Row],[Result]]&lt;0.5,1,0),0)</f>
        <v>1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42161</v>
      </c>
      <c r="B15" s="2">
        <v>2015</v>
      </c>
      <c r="C15" s="2">
        <f>COUNTIFS(Games[Team],Games[[#This Row],[Team]],Games[Season],Games[[#This Row],[Season]],Games[Date],"&lt;=" &amp; Games[[#This Row],[Date]])</f>
        <v>1</v>
      </c>
      <c r="D15" s="2" t="s">
        <v>83</v>
      </c>
      <c r="E15" s="2" t="s">
        <v>84</v>
      </c>
      <c r="F15" s="1" t="s">
        <v>71</v>
      </c>
      <c r="G15" s="1" t="s">
        <v>63</v>
      </c>
      <c r="H15" s="1" t="s">
        <v>86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" s="2">
        <f>Games[[#This Row],[DaysOff]]-Games[[#This Row],[OppDaysOff]]</f>
        <v>0</v>
      </c>
      <c r="L15" s="2">
        <f>Games[[#This Row],[OppDaysOff]]-Games[[#This Row],[DaysOff]]</f>
        <v>0</v>
      </c>
      <c r="M15" s="1">
        <f>MAX(-16, MIN(16, Games[[#This Row],[RestDiff]]*8))</f>
        <v>0</v>
      </c>
      <c r="N15" s="1">
        <f>MAX(-16, MIN(16, Games[[#This Row],[OppRestDiff]]*8))</f>
        <v>0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1455.0801690285873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1507.4554617373742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0.5453863360450808</v>
      </c>
      <c r="R15" s="1">
        <v>86</v>
      </c>
      <c r="S15" s="1">
        <v>61</v>
      </c>
      <c r="T15" s="1">
        <v>0</v>
      </c>
      <c r="U15" s="1">
        <f>Games[[#This Row],[PointsFor]]-Games[[#This Row],[PointsAgainst]]</f>
        <v>25</v>
      </c>
      <c r="V15" s="1">
        <f>IF(Games[[#This Row],[MOV]]&gt;0,1,IF(Games[[#This Row],[MOV]]=0,0.5,0))</f>
        <v>1</v>
      </c>
      <c r="W15" s="4">
        <f>((ABS(Games[[#This Row],[MOV]])+5)^0.6)/(12+0.01*(ABS(Games[[#This Row],[PreGmRate]]-Games[[#This Row],[OppPreGmRate]])))*IF(Games[[#This Row],[OT]]=1,0.9,1)</f>
        <v>0.61452316933528406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75.849999999999994</v>
      </c>
      <c r="Z15" s="4">
        <f>Games[[#This Row],[K]]*Games[[#This Row],[POMult]]</f>
        <v>75.849999999999994</v>
      </c>
      <c r="AA15" s="4">
        <f>(Games[[#This Row],[Keff]]*Games[[#This Row],[MOVMult]])*(Games[[#This Row],[Result]]-Games[[#This Row],[ExpectedWin%]])</f>
        <v>21.190262254909904</v>
      </c>
      <c r="AB15" s="4">
        <f>Games[[#This Row],[PreGmRate]]+Games[[#This Row],[RatingChange]]</f>
        <v>1476.2704312834971</v>
      </c>
      <c r="AC15" s="2">
        <f>IF(Games[[#This Row],[Type]]="R",IF(Games[[#This Row],[Result]]&gt;0.5,1,0),0)</f>
        <v>1</v>
      </c>
      <c r="AD15" s="2">
        <f>IF(Games[[#This Row],[Type]]="R",IF(Games[[#This Row],[Result]]&lt;0.5,1,0),0)</f>
        <v>0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42161</v>
      </c>
      <c r="B16" s="2">
        <v>2015</v>
      </c>
      <c r="C16" s="2">
        <f>COUNTIFS(Games[Team],Games[[#This Row],[Team]],Games[Season],Games[[#This Row],[Season]],Games[Date],"&lt;=" &amp; Games[[#This Row],[Date]])</f>
        <v>2</v>
      </c>
      <c r="D16" s="2" t="s">
        <v>83</v>
      </c>
      <c r="E16" s="2" t="s">
        <v>84</v>
      </c>
      <c r="F16" s="1" t="s">
        <v>77</v>
      </c>
      <c r="G16" s="1" t="s">
        <v>81</v>
      </c>
      <c r="H16" s="1" t="s">
        <v>85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6" s="2">
        <f>Games[[#This Row],[DaysOff]]-Games[[#This Row],[OppDaysOff]]</f>
        <v>0</v>
      </c>
      <c r="L16" s="2">
        <f>Games[[#This Row],[OppDaysOff]]-Games[[#This Row],[DaysOff]]</f>
        <v>0</v>
      </c>
      <c r="M16" s="1">
        <f>MAX(-16, MIN(16, Games[[#This Row],[RestDiff]]*8))</f>
        <v>0</v>
      </c>
      <c r="N16" s="1">
        <f>MAX(-16, MIN(16, Games[[#This Row],[OppRestDiff]]*8))</f>
        <v>0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1508.6970425935258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1451.7181427837509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0.46119172511836842</v>
      </c>
      <c r="R16" s="1">
        <v>93</v>
      </c>
      <c r="S16" s="1">
        <v>101</v>
      </c>
      <c r="T16" s="1">
        <v>0</v>
      </c>
      <c r="U16" s="1">
        <f>Games[[#This Row],[PointsFor]]-Games[[#This Row],[PointsAgainst]]</f>
        <v>-8</v>
      </c>
      <c r="V16" s="1">
        <f>IF(Games[[#This Row],[MOV]]&gt;0,1,IF(Games[[#This Row],[MOV]]=0,0.5,0))</f>
        <v>0</v>
      </c>
      <c r="W16" s="4">
        <f>((ABS(Games[[#This Row],[MOV]])+5)^0.6)/(12+0.01*(ABS(Games[[#This Row],[PreGmRate]]-Games[[#This Row],[OppPreGmRate]])))*IF(Games[[#This Row],[OT]]=1,0.9,1)</f>
        <v>0.37071317750371585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75.7</v>
      </c>
      <c r="Z16" s="4">
        <f>Games[[#This Row],[K]]*Games[[#This Row],[POMult]]</f>
        <v>75.7</v>
      </c>
      <c r="AA16" s="4">
        <f>(Games[[#This Row],[Keff]]*Games[[#This Row],[MOVMult]])*(Games[[#This Row],[Result]]-Games[[#This Row],[ExpectedWin%]])</f>
        <v>-12.942417634178733</v>
      </c>
      <c r="AB16" s="4">
        <f>Games[[#This Row],[PreGmRate]]+Games[[#This Row],[RatingChange]]</f>
        <v>1495.754624959347</v>
      </c>
      <c r="AC16" s="2">
        <f>IF(Games[[#This Row],[Type]]="R",IF(Games[[#This Row],[Result]]&gt;0.5,1,0),0)</f>
        <v>0</v>
      </c>
      <c r="AD16" s="2">
        <f>IF(Games[[#This Row],[Type]]="R",IF(Games[[#This Row],[Result]]&lt;0.5,1,0),0)</f>
        <v>1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42161</v>
      </c>
      <c r="B17" s="2">
        <v>2015</v>
      </c>
      <c r="C17" s="2">
        <f>COUNTIFS(Games[Team],Games[[#This Row],[Team]],Games[Season],Games[[#This Row],[Season]],Games[Date],"&lt;=" &amp; Games[[#This Row],[Date]])</f>
        <v>2</v>
      </c>
      <c r="D17" s="2" t="s">
        <v>83</v>
      </c>
      <c r="E17" s="2" t="s">
        <v>84</v>
      </c>
      <c r="F17" s="1" t="s">
        <v>81</v>
      </c>
      <c r="G17" s="1" t="s">
        <v>77</v>
      </c>
      <c r="H17" s="1" t="s">
        <v>86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" s="2">
        <f>Games[[#This Row],[DaysOff]]-Games[[#This Row],[OppDaysOff]]</f>
        <v>0</v>
      </c>
      <c r="L17" s="2">
        <f>Games[[#This Row],[OppDaysOff]]-Games[[#This Row],[DaysOff]]</f>
        <v>0</v>
      </c>
      <c r="M17" s="1">
        <f>MAX(-16, MIN(16, Games[[#This Row],[RestDiff]]*8))</f>
        <v>0</v>
      </c>
      <c r="N17" s="1">
        <f>MAX(-16, MIN(16, Games[[#This Row],[OppRestDiff]]*8))</f>
        <v>0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1451.7181427837509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1508.6970425935258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0.53880827488163152</v>
      </c>
      <c r="R17" s="1">
        <v>101</v>
      </c>
      <c r="S17" s="1">
        <v>93</v>
      </c>
      <c r="T17" s="1">
        <v>0</v>
      </c>
      <c r="U17" s="1">
        <f>Games[[#This Row],[PointsFor]]-Games[[#This Row],[PointsAgainst]]</f>
        <v>8</v>
      </c>
      <c r="V17" s="1">
        <f>IF(Games[[#This Row],[MOV]]&gt;0,1,IF(Games[[#This Row],[MOV]]=0,0.5,0))</f>
        <v>1</v>
      </c>
      <c r="W17" s="4">
        <f>((ABS(Games[[#This Row],[MOV]])+5)^0.6)/(12+0.01*(ABS(Games[[#This Row],[PreGmRate]]-Games[[#This Row],[OppPreGmRate]])))*IF(Games[[#This Row],[OT]]=1,0.9,1)</f>
        <v>0.37071317750371585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75.7</v>
      </c>
      <c r="Z17" s="4">
        <f>Games[[#This Row],[K]]*Games[[#This Row],[POMult]]</f>
        <v>75.7</v>
      </c>
      <c r="AA17" s="4">
        <f>(Games[[#This Row],[Keff]]*Games[[#This Row],[MOVMult]])*(Games[[#This Row],[Result]]-Games[[#This Row],[ExpectedWin%]])</f>
        <v>12.942417634178735</v>
      </c>
      <c r="AB17" s="4">
        <f>Games[[#This Row],[PreGmRate]]+Games[[#This Row],[RatingChange]]</f>
        <v>1464.6605604179297</v>
      </c>
      <c r="AC17" s="2">
        <f>IF(Games[[#This Row],[Type]]="R",IF(Games[[#This Row],[Result]]&gt;0.5,1,0),0)</f>
        <v>1</v>
      </c>
      <c r="AD17" s="2">
        <f>IF(Games[[#This Row],[Type]]="R",IF(Games[[#This Row],[Result]]&lt;0.5,1,0),0)</f>
        <v>0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42161</v>
      </c>
      <c r="B18" s="2">
        <v>2015</v>
      </c>
      <c r="C18" s="2">
        <f>COUNTIFS(Games[Team],Games[[#This Row],[Team]],Games[Season],Games[[#This Row],[Season]],Games[Date],"&lt;=" &amp; Games[[#This Row],[Date]])</f>
        <v>2</v>
      </c>
      <c r="D18" s="2" t="s">
        <v>83</v>
      </c>
      <c r="E18" s="2" t="s">
        <v>84</v>
      </c>
      <c r="F18" s="1" t="s">
        <v>60</v>
      </c>
      <c r="G18" s="1" t="s">
        <v>65</v>
      </c>
      <c r="H18" s="1" t="s">
        <v>85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" s="2">
        <f>Games[[#This Row],[DaysOff]]-Games[[#This Row],[OppDaysOff]]</f>
        <v>0</v>
      </c>
      <c r="L18" s="2">
        <f>Games[[#This Row],[OppDaysOff]]-Games[[#This Row],[DaysOff]]</f>
        <v>0</v>
      </c>
      <c r="M18" s="1">
        <f>MAX(-16, MIN(16, Games[[#This Row],[RestDiff]]*8))</f>
        <v>0</v>
      </c>
      <c r="N18" s="1">
        <f>MAX(-16, MIN(16, Games[[#This Row],[OppRestDiff]]*8))</f>
        <v>0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1482.5767656897594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1496.4430292539571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0.36276956870953214</v>
      </c>
      <c r="R18" s="1">
        <v>62</v>
      </c>
      <c r="S18" s="1">
        <v>67</v>
      </c>
      <c r="T18" s="1">
        <v>0</v>
      </c>
      <c r="U18" s="1">
        <f>Games[[#This Row],[PointsFor]]-Games[[#This Row],[PointsAgainst]]</f>
        <v>-5</v>
      </c>
      <c r="V18" s="1">
        <f>IF(Games[[#This Row],[MOV]]&gt;0,1,IF(Games[[#This Row],[MOV]]=0,0.5,0))</f>
        <v>0</v>
      </c>
      <c r="W18" s="4">
        <f>((ABS(Games[[#This Row],[MOV]])+5)^0.6)/(12+0.01*(ABS(Games[[#This Row],[PreGmRate]]-Games[[#This Row],[OppPreGmRate]])))*IF(Games[[#This Row],[OT]]=1,0.9,1)</f>
        <v>0.32796625337008767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75.7</v>
      </c>
      <c r="Z18" s="4">
        <f>Games[[#This Row],[K]]*Games[[#This Row],[POMult]]</f>
        <v>75.7</v>
      </c>
      <c r="AA18" s="4">
        <f>(Games[[#This Row],[Keff]]*Games[[#This Row],[MOVMult]])*(Games[[#This Row],[Result]]-Games[[#This Row],[ExpectedWin%]])</f>
        <v>-9.0064965448765335</v>
      </c>
      <c r="AB18" s="4">
        <f>Games[[#This Row],[PreGmRate]]+Games[[#This Row],[RatingChange]]</f>
        <v>1473.570269144883</v>
      </c>
      <c r="AC18" s="2">
        <f>IF(Games[[#This Row],[Type]]="R",IF(Games[[#This Row],[Result]]&gt;0.5,1,0),0)</f>
        <v>0</v>
      </c>
      <c r="AD18" s="2">
        <f>IF(Games[[#This Row],[Type]]="R",IF(Games[[#This Row],[Result]]&lt;0.5,1,0),0)</f>
        <v>1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42161</v>
      </c>
      <c r="B19" s="2">
        <v>2015</v>
      </c>
      <c r="C19" s="2">
        <f>COUNTIFS(Games[Team],Games[[#This Row],[Team]],Games[Season],Games[[#This Row],[Season]],Games[Date],"&lt;=" &amp; Games[[#This Row],[Date]])</f>
        <v>2</v>
      </c>
      <c r="D19" s="2" t="s">
        <v>83</v>
      </c>
      <c r="E19" s="2" t="s">
        <v>84</v>
      </c>
      <c r="F19" s="1" t="s">
        <v>65</v>
      </c>
      <c r="G19" s="1" t="s">
        <v>60</v>
      </c>
      <c r="H19" s="1" t="s">
        <v>86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" s="2">
        <f>Games[[#This Row],[DaysOff]]-Games[[#This Row],[OppDaysOff]]</f>
        <v>0</v>
      </c>
      <c r="L19" s="2">
        <f>Games[[#This Row],[OppDaysOff]]-Games[[#This Row],[DaysOff]]</f>
        <v>0</v>
      </c>
      <c r="M19" s="1">
        <f>MAX(-16, MIN(16, Games[[#This Row],[RestDiff]]*8))</f>
        <v>0</v>
      </c>
      <c r="N19" s="1">
        <f>MAX(-16, MIN(16, Games[[#This Row],[OppRestDiff]]*8))</f>
        <v>0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1496.4430292539571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1482.5767656897594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0.63723043129046786</v>
      </c>
      <c r="R19" s="1">
        <v>67</v>
      </c>
      <c r="S19" s="1">
        <v>62</v>
      </c>
      <c r="T19" s="1">
        <v>0</v>
      </c>
      <c r="U19" s="1">
        <f>Games[[#This Row],[PointsFor]]-Games[[#This Row],[PointsAgainst]]</f>
        <v>5</v>
      </c>
      <c r="V19" s="1">
        <f>IF(Games[[#This Row],[MOV]]&gt;0,1,IF(Games[[#This Row],[MOV]]=0,0.5,0))</f>
        <v>1</v>
      </c>
      <c r="W19" s="4">
        <f>((ABS(Games[[#This Row],[MOV]])+5)^0.6)/(12+0.01*(ABS(Games[[#This Row],[PreGmRate]]-Games[[#This Row],[OppPreGmRate]])))*IF(Games[[#This Row],[OT]]=1,0.9,1)</f>
        <v>0.32796625337008767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75.7</v>
      </c>
      <c r="Z19" s="4">
        <f>Games[[#This Row],[K]]*Games[[#This Row],[POMult]]</f>
        <v>75.7</v>
      </c>
      <c r="AA19" s="4">
        <f>(Games[[#This Row],[Keff]]*Games[[#This Row],[MOVMult]])*(Games[[#This Row],[Result]]-Games[[#This Row],[ExpectedWin%]])</f>
        <v>9.0064965448765335</v>
      </c>
      <c r="AB19" s="4">
        <f>Games[[#This Row],[PreGmRate]]+Games[[#This Row],[RatingChange]]</f>
        <v>1505.4495257988335</v>
      </c>
      <c r="AC19" s="2">
        <f>IF(Games[[#This Row],[Type]]="R",IF(Games[[#This Row],[Result]]&gt;0.5,1,0),0)</f>
        <v>1</v>
      </c>
      <c r="AD19" s="2">
        <f>IF(Games[[#This Row],[Type]]="R",IF(Games[[#This Row],[Result]]&lt;0.5,1,0),0)</f>
        <v>0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42162</v>
      </c>
      <c r="B20" s="2">
        <v>2015</v>
      </c>
      <c r="C20" s="2">
        <f>COUNTIFS(Games[Team],Games[[#This Row],[Team]],Games[Season],Games[[#This Row],[Season]],Games[Date],"&lt;=" &amp; Games[[#This Row],[Date]])</f>
        <v>2</v>
      </c>
      <c r="D20" s="2" t="s">
        <v>83</v>
      </c>
      <c r="E20" s="2" t="s">
        <v>84</v>
      </c>
      <c r="F20" s="1" t="s">
        <v>76</v>
      </c>
      <c r="G20" s="1" t="s">
        <v>79</v>
      </c>
      <c r="H20" s="1" t="s">
        <v>85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" s="2">
        <f>Games[[#This Row],[DaysOff]]-Games[[#This Row],[OppDaysOff]]</f>
        <v>0</v>
      </c>
      <c r="L20" s="2">
        <f>Games[[#This Row],[OppDaysOff]]-Games[[#This Row],[DaysOff]]</f>
        <v>0</v>
      </c>
      <c r="M20" s="1">
        <f>MAX(-16, MIN(16, Games[[#This Row],[RestDiff]]*8))</f>
        <v>0</v>
      </c>
      <c r="N20" s="1">
        <f>MAX(-16, MIN(16, Games[[#This Row],[OppRestDiff]]*8))</f>
        <v>0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1447.1979675039879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1485.8565474257571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0.3304656956157328</v>
      </c>
      <c r="R20" s="1">
        <v>75</v>
      </c>
      <c r="S20" s="1">
        <v>70</v>
      </c>
      <c r="T20" s="1">
        <v>0</v>
      </c>
      <c r="U20" s="1">
        <f>Games[[#This Row],[PointsFor]]-Games[[#This Row],[PointsAgainst]]</f>
        <v>5</v>
      </c>
      <c r="V20" s="1">
        <f>IF(Games[[#This Row],[MOV]]&gt;0,1,IF(Games[[#This Row],[MOV]]=0,0.5,0))</f>
        <v>1</v>
      </c>
      <c r="W20" s="4">
        <f>((ABS(Games[[#This Row],[MOV]])+5)^0.6)/(12+0.01*(ABS(Games[[#This Row],[PreGmRate]]-Games[[#This Row],[OppPreGmRate]])))*IF(Games[[#This Row],[OT]]=1,0.9,1)</f>
        <v>0.32140185924247244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75.7</v>
      </c>
      <c r="Z20" s="4">
        <f>Games[[#This Row],[K]]*Games[[#This Row],[POMult]]</f>
        <v>75.7</v>
      </c>
      <c r="AA20" s="4">
        <f>(Games[[#This Row],[Keff]]*Games[[#This Row],[MOVMult]])*(Games[[#This Row],[Result]]-Games[[#This Row],[ExpectedWin%]])</f>
        <v>16.289850468357926</v>
      </c>
      <c r="AB20" s="4">
        <f>Games[[#This Row],[PreGmRate]]+Games[[#This Row],[RatingChange]]</f>
        <v>1463.4878179723457</v>
      </c>
      <c r="AC20" s="2">
        <f>IF(Games[[#This Row],[Type]]="R",IF(Games[[#This Row],[Result]]&gt;0.5,1,0),0)</f>
        <v>1</v>
      </c>
      <c r="AD20" s="2">
        <f>IF(Games[[#This Row],[Type]]="R",IF(Games[[#This Row],[Result]]&lt;0.5,1,0),0)</f>
        <v>0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42162</v>
      </c>
      <c r="B21" s="2">
        <v>2015</v>
      </c>
      <c r="C21" s="2">
        <f>COUNTIFS(Games[Team],Games[[#This Row],[Team]],Games[Season],Games[[#This Row],[Season]],Games[Date],"&lt;=" &amp; Games[[#This Row],[Date]])</f>
        <v>2</v>
      </c>
      <c r="D21" s="2" t="s">
        <v>83</v>
      </c>
      <c r="E21" s="2" t="s">
        <v>84</v>
      </c>
      <c r="F21" s="1" t="s">
        <v>79</v>
      </c>
      <c r="G21" s="1" t="s">
        <v>76</v>
      </c>
      <c r="H21" s="1" t="s">
        <v>86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" s="2">
        <f>Games[[#This Row],[DaysOff]]-Games[[#This Row],[OppDaysOff]]</f>
        <v>0</v>
      </c>
      <c r="L21" s="2">
        <f>Games[[#This Row],[OppDaysOff]]-Games[[#This Row],[DaysOff]]</f>
        <v>0</v>
      </c>
      <c r="M21" s="1">
        <f>MAX(-16, MIN(16, Games[[#This Row],[RestDiff]]*8))</f>
        <v>0</v>
      </c>
      <c r="N21" s="1">
        <f>MAX(-16, MIN(16, Games[[#This Row],[OppRestDiff]]*8))</f>
        <v>0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1485.8565474257571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1447.1979675039879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0.6695343043842672</v>
      </c>
      <c r="R21" s="1">
        <v>70</v>
      </c>
      <c r="S21" s="1">
        <v>75</v>
      </c>
      <c r="T21" s="1">
        <v>0</v>
      </c>
      <c r="U21" s="1">
        <f>Games[[#This Row],[PointsFor]]-Games[[#This Row],[PointsAgainst]]</f>
        <v>-5</v>
      </c>
      <c r="V21" s="1">
        <f>IF(Games[[#This Row],[MOV]]&gt;0,1,IF(Games[[#This Row],[MOV]]=0,0.5,0))</f>
        <v>0</v>
      </c>
      <c r="W21" s="4">
        <f>((ABS(Games[[#This Row],[MOV]])+5)^0.6)/(12+0.01*(ABS(Games[[#This Row],[PreGmRate]]-Games[[#This Row],[OppPreGmRate]])))*IF(Games[[#This Row],[OT]]=1,0.9,1)</f>
        <v>0.32140185924247244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75.7</v>
      </c>
      <c r="Z21" s="4">
        <f>Games[[#This Row],[K]]*Games[[#This Row],[POMult]]</f>
        <v>75.7</v>
      </c>
      <c r="AA21" s="4">
        <f>(Games[[#This Row],[Keff]]*Games[[#This Row],[MOVMult]])*(Games[[#This Row],[Result]]-Games[[#This Row],[ExpectedWin%]])</f>
        <v>-16.289850468357926</v>
      </c>
      <c r="AB21" s="4">
        <f>Games[[#This Row],[PreGmRate]]+Games[[#This Row],[RatingChange]]</f>
        <v>1469.5666969573992</v>
      </c>
      <c r="AC21" s="2">
        <f>IF(Games[[#This Row],[Type]]="R",IF(Games[[#This Row],[Result]]&gt;0.5,1,0),0)</f>
        <v>0</v>
      </c>
      <c r="AD21" s="2">
        <f>IF(Games[[#This Row],[Type]]="R",IF(Games[[#This Row],[Result]]&lt;0.5,1,0),0)</f>
        <v>1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42164</v>
      </c>
      <c r="B22" s="2">
        <v>2015</v>
      </c>
      <c r="C22" s="2">
        <f>COUNTIFS(Games[Team],Games[[#This Row],[Team]],Games[Season],Games[[#This Row],[Season]],Games[Date],"&lt;=" &amp; Games[[#This Row],[Date]])</f>
        <v>3</v>
      </c>
      <c r="D22" s="2" t="s">
        <v>83</v>
      </c>
      <c r="E22" s="2" t="s">
        <v>84</v>
      </c>
      <c r="F22" s="1" t="s">
        <v>69</v>
      </c>
      <c r="G22" s="1" t="s">
        <v>60</v>
      </c>
      <c r="H22" s="1" t="s">
        <v>85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" s="2">
        <f>Games[[#This Row],[DaysOff]]-Games[[#This Row],[OppDaysOff]]</f>
        <v>0</v>
      </c>
      <c r="L22" s="2">
        <f>Games[[#This Row],[OppDaysOff]]-Games[[#This Row],[DaysOff]]</f>
        <v>0</v>
      </c>
      <c r="M22" s="1">
        <f>MAX(-16, MIN(16, Games[[#This Row],[RestDiff]]*8))</f>
        <v>0</v>
      </c>
      <c r="N22" s="1">
        <f>MAX(-16, MIN(16, Games[[#This Row],[OppRestDiff]]*8))</f>
        <v>0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1461.4877732317841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1473.570269144883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0.36514657272668094</v>
      </c>
      <c r="R22" s="1">
        <v>79</v>
      </c>
      <c r="S22" s="1">
        <v>86</v>
      </c>
      <c r="T22" s="1">
        <v>0</v>
      </c>
      <c r="U22" s="1">
        <f>Games[[#This Row],[PointsFor]]-Games[[#This Row],[PointsAgainst]]</f>
        <v>-7</v>
      </c>
      <c r="V22" s="1">
        <f>IF(Games[[#This Row],[MOV]]&gt;0,1,IF(Games[[#This Row],[MOV]]=0,0.5,0))</f>
        <v>0</v>
      </c>
      <c r="W22" s="4">
        <f>((ABS(Games[[#This Row],[MOV]])+5)^0.6)/(12+0.01*(ABS(Games[[#This Row],[PreGmRate]]-Games[[#This Row],[OppPreGmRate]])))*IF(Games[[#This Row],[OT]]=1,0.9,1)</f>
        <v>0.36641780446636046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75.55</v>
      </c>
      <c r="Z22" s="4">
        <f>Games[[#This Row],[K]]*Games[[#This Row],[POMult]]</f>
        <v>75.55</v>
      </c>
      <c r="AA22" s="4">
        <f>(Games[[#This Row],[Keff]]*Games[[#This Row],[MOVMult]])*(Games[[#This Row],[Result]]-Games[[#This Row],[ExpectedWin%]])</f>
        <v>-10.108303324537308</v>
      </c>
      <c r="AB22" s="4">
        <f>Games[[#This Row],[PreGmRate]]+Games[[#This Row],[RatingChange]]</f>
        <v>1451.3794699072469</v>
      </c>
      <c r="AC22" s="2">
        <f>IF(Games[[#This Row],[Type]]="R",IF(Games[[#This Row],[Result]]&gt;0.5,1,0),0)</f>
        <v>0</v>
      </c>
      <c r="AD22" s="2">
        <f>IF(Games[[#This Row],[Type]]="R",IF(Games[[#This Row],[Result]]&lt;0.5,1,0),0)</f>
        <v>1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42164</v>
      </c>
      <c r="B23" s="2">
        <v>2015</v>
      </c>
      <c r="C23" s="2">
        <f>COUNTIFS(Games[Team],Games[[#This Row],[Team]],Games[Season],Games[[#This Row],[Season]],Games[Date],"&lt;=" &amp; Games[[#This Row],[Date]])</f>
        <v>3</v>
      </c>
      <c r="D23" s="2" t="s">
        <v>83</v>
      </c>
      <c r="E23" s="2" t="s">
        <v>84</v>
      </c>
      <c r="F23" s="1" t="s">
        <v>60</v>
      </c>
      <c r="G23" s="1" t="s">
        <v>69</v>
      </c>
      <c r="H23" s="1" t="s">
        <v>86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" s="2">
        <f>Games[[#This Row],[DaysOff]]-Games[[#This Row],[OppDaysOff]]</f>
        <v>0</v>
      </c>
      <c r="L23" s="2">
        <f>Games[[#This Row],[OppDaysOff]]-Games[[#This Row],[DaysOff]]</f>
        <v>0</v>
      </c>
      <c r="M23" s="1">
        <f>MAX(-16, MIN(16, Games[[#This Row],[RestDiff]]*8))</f>
        <v>0</v>
      </c>
      <c r="N23" s="1">
        <f>MAX(-16, MIN(16, Games[[#This Row],[OppRestDiff]]*8))</f>
        <v>0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1473.570269144883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1461.4877732317841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0.63485342727331906</v>
      </c>
      <c r="R23" s="1">
        <v>86</v>
      </c>
      <c r="S23" s="1">
        <v>79</v>
      </c>
      <c r="T23" s="1">
        <v>0</v>
      </c>
      <c r="U23" s="1">
        <f>Games[[#This Row],[PointsFor]]-Games[[#This Row],[PointsAgainst]]</f>
        <v>7</v>
      </c>
      <c r="V23" s="1">
        <f>IF(Games[[#This Row],[MOV]]&gt;0,1,IF(Games[[#This Row],[MOV]]=0,0.5,0))</f>
        <v>1</v>
      </c>
      <c r="W23" s="4">
        <f>((ABS(Games[[#This Row],[MOV]])+5)^0.6)/(12+0.01*(ABS(Games[[#This Row],[PreGmRate]]-Games[[#This Row],[OppPreGmRate]])))*IF(Games[[#This Row],[OT]]=1,0.9,1)</f>
        <v>0.36641780446636046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75.55</v>
      </c>
      <c r="Z23" s="4">
        <f>Games[[#This Row],[K]]*Games[[#This Row],[POMult]]</f>
        <v>75.55</v>
      </c>
      <c r="AA23" s="4">
        <f>(Games[[#This Row],[Keff]]*Games[[#This Row],[MOVMult]])*(Games[[#This Row],[Result]]-Games[[#This Row],[ExpectedWin%]])</f>
        <v>10.108303324537308</v>
      </c>
      <c r="AB23" s="4">
        <f>Games[[#This Row],[PreGmRate]]+Games[[#This Row],[RatingChange]]</f>
        <v>1483.6785724694203</v>
      </c>
      <c r="AC23" s="2">
        <f>IF(Games[[#This Row],[Type]]="R",IF(Games[[#This Row],[Result]]&gt;0.5,1,0),0)</f>
        <v>1</v>
      </c>
      <c r="AD23" s="2">
        <f>IF(Games[[#This Row],[Type]]="R",IF(Games[[#This Row],[Result]]&lt;0.5,1,0),0)</f>
        <v>0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42164</v>
      </c>
      <c r="B24" s="2">
        <v>2015</v>
      </c>
      <c r="C24" s="2">
        <f>COUNTIFS(Games[Team],Games[[#This Row],[Team]],Games[Season],Games[[#This Row],[Season]],Games[Date],"&lt;=" &amp; Games[[#This Row],[Date]])</f>
        <v>2</v>
      </c>
      <c r="D24" s="2" t="s">
        <v>83</v>
      </c>
      <c r="E24" s="2" t="s">
        <v>84</v>
      </c>
      <c r="F24" s="1" t="s">
        <v>71</v>
      </c>
      <c r="G24" s="1" t="s">
        <v>81</v>
      </c>
      <c r="H24" s="1" t="s">
        <v>85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" s="2">
        <f>Games[[#This Row],[DaysOff]]-Games[[#This Row],[OppDaysOff]]</f>
        <v>0</v>
      </c>
      <c r="L24" s="2">
        <f>Games[[#This Row],[OppDaysOff]]-Games[[#This Row],[DaysOff]]</f>
        <v>0</v>
      </c>
      <c r="M24" s="1">
        <f>MAX(-16, MIN(16, Games[[#This Row],[RestDiff]]*8))</f>
        <v>0</v>
      </c>
      <c r="N24" s="1">
        <f>MAX(-16, MIN(16, Games[[#This Row],[OppRestDiff]]*8))</f>
        <v>0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1476.2704312834971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1464.6605604179297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0.39730402690863253</v>
      </c>
      <c r="R24" s="1">
        <v>45</v>
      </c>
      <c r="S24" s="1">
        <v>68</v>
      </c>
      <c r="T24" s="1">
        <v>0</v>
      </c>
      <c r="U24" s="1">
        <f>Games[[#This Row],[PointsFor]]-Games[[#This Row],[PointsAgainst]]</f>
        <v>-23</v>
      </c>
      <c r="V24" s="1">
        <f>IF(Games[[#This Row],[MOV]]&gt;0,1,IF(Games[[#This Row],[MOV]]=0,0.5,0))</f>
        <v>0</v>
      </c>
      <c r="W24" s="4">
        <f>((ABS(Games[[#This Row],[MOV]])+5)^0.6)/(12+0.01*(ABS(Games[[#This Row],[PreGmRate]]-Games[[#This Row],[OppPreGmRate]])))*IF(Games[[#This Row],[OT]]=1,0.9,1)</f>
        <v>0.60944148841145485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75.7</v>
      </c>
      <c r="Z24" s="4">
        <f>Games[[#This Row],[K]]*Games[[#This Row],[POMult]]</f>
        <v>75.7</v>
      </c>
      <c r="AA24" s="4">
        <f>(Games[[#This Row],[Keff]]*Games[[#This Row],[MOVMult]])*(Games[[#This Row],[Result]]-Games[[#This Row],[ExpectedWin%]])</f>
        <v>-18.329510303587373</v>
      </c>
      <c r="AB24" s="4">
        <f>Games[[#This Row],[PreGmRate]]+Games[[#This Row],[RatingChange]]</f>
        <v>1457.9409209799098</v>
      </c>
      <c r="AC24" s="2">
        <f>IF(Games[[#This Row],[Type]]="R",IF(Games[[#This Row],[Result]]&gt;0.5,1,0),0)</f>
        <v>0</v>
      </c>
      <c r="AD24" s="2">
        <f>IF(Games[[#This Row],[Type]]="R",IF(Games[[#This Row],[Result]]&lt;0.5,1,0),0)</f>
        <v>1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42164</v>
      </c>
      <c r="B25" s="2">
        <v>2015</v>
      </c>
      <c r="C25" s="2">
        <f>COUNTIFS(Games[Team],Games[[#This Row],[Team]],Games[Season],Games[[#This Row],[Season]],Games[Date],"&lt;=" &amp; Games[[#This Row],[Date]])</f>
        <v>3</v>
      </c>
      <c r="D25" s="2" t="s">
        <v>83</v>
      </c>
      <c r="E25" s="2" t="s">
        <v>84</v>
      </c>
      <c r="F25" s="1" t="s">
        <v>81</v>
      </c>
      <c r="G25" s="1" t="s">
        <v>71</v>
      </c>
      <c r="H25" s="1" t="s">
        <v>86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" s="2">
        <f>Games[[#This Row],[DaysOff]]-Games[[#This Row],[OppDaysOff]]</f>
        <v>0</v>
      </c>
      <c r="L25" s="2">
        <f>Games[[#This Row],[OppDaysOff]]-Games[[#This Row],[DaysOff]]</f>
        <v>0</v>
      </c>
      <c r="M25" s="1">
        <f>MAX(-16, MIN(16, Games[[#This Row],[RestDiff]]*8))</f>
        <v>0</v>
      </c>
      <c r="N25" s="1">
        <f>MAX(-16, MIN(16, Games[[#This Row],[OppRestDiff]]*8))</f>
        <v>0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1464.6605604179297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1476.2704312834971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0.60269597309136747</v>
      </c>
      <c r="R25" s="1">
        <v>68</v>
      </c>
      <c r="S25" s="1">
        <v>45</v>
      </c>
      <c r="T25" s="1">
        <v>0</v>
      </c>
      <c r="U25" s="1">
        <f>Games[[#This Row],[PointsFor]]-Games[[#This Row],[PointsAgainst]]</f>
        <v>23</v>
      </c>
      <c r="V25" s="1">
        <f>IF(Games[[#This Row],[MOV]]&gt;0,1,IF(Games[[#This Row],[MOV]]=0,0.5,0))</f>
        <v>1</v>
      </c>
      <c r="W25" s="4">
        <f>((ABS(Games[[#This Row],[MOV]])+5)^0.6)/(12+0.01*(ABS(Games[[#This Row],[PreGmRate]]-Games[[#This Row],[OppPreGmRate]])))*IF(Games[[#This Row],[OT]]=1,0.9,1)</f>
        <v>0.60944148841145485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75.55</v>
      </c>
      <c r="Z25" s="4">
        <f>Games[[#This Row],[K]]*Games[[#This Row],[POMult]]</f>
        <v>75.55</v>
      </c>
      <c r="AA25" s="4">
        <f>(Games[[#This Row],[Keff]]*Games[[#This Row],[MOVMult]])*(Games[[#This Row],[Result]]-Games[[#This Row],[ExpectedWin%]])</f>
        <v>18.293190269960711</v>
      </c>
      <c r="AB25" s="4">
        <f>Games[[#This Row],[PreGmRate]]+Games[[#This Row],[RatingChange]]</f>
        <v>1482.9537506878903</v>
      </c>
      <c r="AC25" s="2">
        <f>IF(Games[[#This Row],[Type]]="R",IF(Games[[#This Row],[Result]]&gt;0.5,1,0),0)</f>
        <v>1</v>
      </c>
      <c r="AD25" s="2">
        <f>IF(Games[[#This Row],[Type]]="R",IF(Games[[#This Row],[Result]]&lt;0.5,1,0),0)</f>
        <v>0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42166</v>
      </c>
      <c r="B26" s="2">
        <v>2015</v>
      </c>
      <c r="C26" s="2">
        <f>COUNTIFS(Games[Team],Games[[#This Row],[Team]],Games[Season],Games[[#This Row],[Season]],Games[Date],"&lt;=" &amp; Games[[#This Row],[Date]])</f>
        <v>2</v>
      </c>
      <c r="D26" s="2" t="s">
        <v>83</v>
      </c>
      <c r="E26" s="2" t="s">
        <v>84</v>
      </c>
      <c r="F26" s="1" t="s">
        <v>74</v>
      </c>
      <c r="G26" s="1" t="s">
        <v>79</v>
      </c>
      <c r="H26" s="1" t="s">
        <v>85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5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" s="2">
        <f>Games[[#This Row],[DaysOff]]-Games[[#This Row],[OppDaysOff]]</f>
        <v>2</v>
      </c>
      <c r="L26" s="2">
        <f>Games[[#This Row],[OppDaysOff]]-Games[[#This Row],[DaysOff]]</f>
        <v>-2</v>
      </c>
      <c r="M26" s="1">
        <f>MAX(-16, MIN(16, Games[[#This Row],[RestDiff]]*8))</f>
        <v>16</v>
      </c>
      <c r="N26" s="1">
        <f>MAX(-16, MIN(16, Games[[#This Row],[OppRestDiff]]*8))</f>
        <v>-16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1473.866138364006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1469.5666969573992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0.43178146730342271</v>
      </c>
      <c r="R26" s="1">
        <v>69</v>
      </c>
      <c r="S26" s="1">
        <v>72</v>
      </c>
      <c r="T26" s="1">
        <v>0</v>
      </c>
      <c r="U26" s="1">
        <f>Games[[#This Row],[PointsFor]]-Games[[#This Row],[PointsAgainst]]</f>
        <v>-3</v>
      </c>
      <c r="V26" s="1">
        <f>IF(Games[[#This Row],[MOV]]&gt;0,1,IF(Games[[#This Row],[MOV]]=0,0.5,0))</f>
        <v>0</v>
      </c>
      <c r="W26" s="4">
        <f>((ABS(Games[[#This Row],[MOV]])+5)^0.6)/(12+0.01*(ABS(Games[[#This Row],[PreGmRate]]-Games[[#This Row],[OppPreGmRate]])))*IF(Games[[#This Row],[OT]]=1,0.9,1)</f>
        <v>0.2891475436638356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75.7</v>
      </c>
      <c r="Z26" s="4">
        <f>Games[[#This Row],[K]]*Games[[#This Row],[POMult]]</f>
        <v>75.7</v>
      </c>
      <c r="AA26" s="4">
        <f>(Games[[#This Row],[Keff]]*Games[[#This Row],[MOVMult]])*(Games[[#This Row],[Result]]-Games[[#This Row],[ExpectedWin%]])</f>
        <v>-9.4510352857456024</v>
      </c>
      <c r="AB26" s="4">
        <f>Games[[#This Row],[PreGmRate]]+Games[[#This Row],[RatingChange]]</f>
        <v>1464.4151030782605</v>
      </c>
      <c r="AC26" s="2">
        <f>IF(Games[[#This Row],[Type]]="R",IF(Games[[#This Row],[Result]]&gt;0.5,1,0),0)</f>
        <v>0</v>
      </c>
      <c r="AD26" s="2">
        <f>IF(Games[[#This Row],[Type]]="R",IF(Games[[#This Row],[Result]]&lt;0.5,1,0),0)</f>
        <v>1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42166</v>
      </c>
      <c r="B27" s="2">
        <v>2015</v>
      </c>
      <c r="C27" s="2">
        <f>COUNTIFS(Games[Team],Games[[#This Row],[Team]],Games[Season],Games[[#This Row],[Season]],Games[Date],"&lt;=" &amp; Games[[#This Row],[Date]])</f>
        <v>3</v>
      </c>
      <c r="D27" s="2" t="s">
        <v>83</v>
      </c>
      <c r="E27" s="2" t="s">
        <v>84</v>
      </c>
      <c r="F27" s="1" t="s">
        <v>79</v>
      </c>
      <c r="G27" s="1" t="s">
        <v>74</v>
      </c>
      <c r="H27" s="1" t="s">
        <v>86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7" s="2">
        <f>Games[[#This Row],[DaysOff]]-Games[[#This Row],[OppDaysOff]]</f>
        <v>-2</v>
      </c>
      <c r="L27" s="2">
        <f>Games[[#This Row],[OppDaysOff]]-Games[[#This Row],[DaysOff]]</f>
        <v>2</v>
      </c>
      <c r="M27" s="1">
        <f>MAX(-16, MIN(16, Games[[#This Row],[RestDiff]]*8))</f>
        <v>-16</v>
      </c>
      <c r="N27" s="1">
        <f>MAX(-16, MIN(16, Games[[#This Row],[OppRestDiff]]*8))</f>
        <v>16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1469.5666969573992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1473.866138364006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0.56821853269657729</v>
      </c>
      <c r="R27" s="1">
        <v>72</v>
      </c>
      <c r="S27" s="1">
        <v>69</v>
      </c>
      <c r="T27" s="1">
        <v>0</v>
      </c>
      <c r="U27" s="1">
        <f>Games[[#This Row],[PointsFor]]-Games[[#This Row],[PointsAgainst]]</f>
        <v>3</v>
      </c>
      <c r="V27" s="1">
        <f>IF(Games[[#This Row],[MOV]]&gt;0,1,IF(Games[[#This Row],[MOV]]=0,0.5,0))</f>
        <v>1</v>
      </c>
      <c r="W27" s="4">
        <f>((ABS(Games[[#This Row],[MOV]])+5)^0.6)/(12+0.01*(ABS(Games[[#This Row],[PreGmRate]]-Games[[#This Row],[OppPreGmRate]])))*IF(Games[[#This Row],[OT]]=1,0.9,1)</f>
        <v>0.2891475436638356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75.55</v>
      </c>
      <c r="Z27" s="4">
        <f>Games[[#This Row],[K]]*Games[[#This Row],[POMult]]</f>
        <v>75.55</v>
      </c>
      <c r="AA27" s="4">
        <f>(Games[[#This Row],[Keff]]*Games[[#This Row],[MOVMult]])*(Games[[#This Row],[Result]]-Games[[#This Row],[ExpectedWin%]])</f>
        <v>9.4323080031450495</v>
      </c>
      <c r="AB27" s="4">
        <f>Games[[#This Row],[PreGmRate]]+Games[[#This Row],[RatingChange]]</f>
        <v>1478.9990049605442</v>
      </c>
      <c r="AC27" s="2">
        <f>IF(Games[[#This Row],[Type]]="R",IF(Games[[#This Row],[Result]]&gt;0.5,1,0),0)</f>
        <v>1</v>
      </c>
      <c r="AD27" s="2">
        <f>IF(Games[[#This Row],[Type]]="R",IF(Games[[#This Row],[Result]]&lt;0.5,1,0),0)</f>
        <v>0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42166</v>
      </c>
      <c r="B28" s="2">
        <v>2015</v>
      </c>
      <c r="C28" s="2">
        <f>COUNTIFS(Games[Team],Games[[#This Row],[Team]],Games[Season],Games[[#This Row],[Season]],Games[Date],"&lt;=" &amp; Games[[#This Row],[Date]])</f>
        <v>3</v>
      </c>
      <c r="D28" s="2" t="s">
        <v>83</v>
      </c>
      <c r="E28" s="2" t="s">
        <v>84</v>
      </c>
      <c r="F28" s="1" t="s">
        <v>77</v>
      </c>
      <c r="G28" s="1" t="s">
        <v>76</v>
      </c>
      <c r="H28" s="1" t="s">
        <v>85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8" s="2">
        <f>Games[[#This Row],[DaysOff]]-Games[[#This Row],[OppDaysOff]]</f>
        <v>1</v>
      </c>
      <c r="L28" s="2">
        <f>Games[[#This Row],[OppDaysOff]]-Games[[#This Row],[DaysOff]]</f>
        <v>-1</v>
      </c>
      <c r="M28" s="1">
        <f>MAX(-16, MIN(16, Games[[#This Row],[RestDiff]]*8))</f>
        <v>8</v>
      </c>
      <c r="N28" s="1">
        <f>MAX(-16, MIN(16, Games[[#This Row],[OppRestDiff]]*8))</f>
        <v>-8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1495.754624959347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1463.4878179723457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0.44875635579055928</v>
      </c>
      <c r="R28" s="1">
        <v>65</v>
      </c>
      <c r="S28" s="1">
        <v>67</v>
      </c>
      <c r="T28" s="1">
        <v>0</v>
      </c>
      <c r="U28" s="1">
        <f>Games[[#This Row],[PointsFor]]-Games[[#This Row],[PointsAgainst]]</f>
        <v>-2</v>
      </c>
      <c r="V28" s="1">
        <f>IF(Games[[#This Row],[MOV]]&gt;0,1,IF(Games[[#This Row],[MOV]]=0,0.5,0))</f>
        <v>0</v>
      </c>
      <c r="W28" s="4">
        <f>((ABS(Games[[#This Row],[MOV]])+5)^0.6)/(12+0.01*(ABS(Games[[#This Row],[PreGmRate]]-Games[[#This Row],[OppPreGmRate]])))*IF(Games[[#This Row],[OT]]=1,0.9,1)</f>
        <v>0.26082791741950595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75.55</v>
      </c>
      <c r="Z28" s="4">
        <f>Games[[#This Row],[K]]*Games[[#This Row],[POMult]]</f>
        <v>75.55</v>
      </c>
      <c r="AA28" s="4">
        <f>(Games[[#This Row],[Keff]]*Games[[#This Row],[MOVMult]])*(Games[[#This Row],[Result]]-Games[[#This Row],[ExpectedWin%]])</f>
        <v>-8.842990430361672</v>
      </c>
      <c r="AB28" s="4">
        <f>Games[[#This Row],[PreGmRate]]+Games[[#This Row],[RatingChange]]</f>
        <v>1486.9116345289854</v>
      </c>
      <c r="AC28" s="2">
        <f>IF(Games[[#This Row],[Type]]="R",IF(Games[[#This Row],[Result]]&gt;0.5,1,0),0)</f>
        <v>0</v>
      </c>
      <c r="AD28" s="2">
        <f>IF(Games[[#This Row],[Type]]="R",IF(Games[[#This Row],[Result]]&lt;0.5,1,0),0)</f>
        <v>1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42166</v>
      </c>
      <c r="B29" s="2">
        <v>2015</v>
      </c>
      <c r="C29" s="2">
        <f>COUNTIFS(Games[Team],Games[[#This Row],[Team]],Games[Season],Games[[#This Row],[Season]],Games[Date],"&lt;=" &amp; Games[[#This Row],[Date]])</f>
        <v>3</v>
      </c>
      <c r="D29" s="2" t="s">
        <v>83</v>
      </c>
      <c r="E29" s="2" t="s">
        <v>84</v>
      </c>
      <c r="F29" s="1" t="s">
        <v>76</v>
      </c>
      <c r="G29" s="1" t="s">
        <v>77</v>
      </c>
      <c r="H29" s="1" t="s">
        <v>86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9" s="2">
        <f>Games[[#This Row],[DaysOff]]-Games[[#This Row],[OppDaysOff]]</f>
        <v>-1</v>
      </c>
      <c r="L29" s="2">
        <f>Games[[#This Row],[OppDaysOff]]-Games[[#This Row],[DaysOff]]</f>
        <v>1</v>
      </c>
      <c r="M29" s="1">
        <f>MAX(-16, MIN(16, Games[[#This Row],[RestDiff]]*8))</f>
        <v>-8</v>
      </c>
      <c r="N29" s="1">
        <f>MAX(-16, MIN(16, Games[[#This Row],[OppRestDiff]]*8))</f>
        <v>8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1463.4878179723457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1495.754624959347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0.55124364420944072</v>
      </c>
      <c r="R29" s="1">
        <v>67</v>
      </c>
      <c r="S29" s="1">
        <v>65</v>
      </c>
      <c r="T29" s="1">
        <v>0</v>
      </c>
      <c r="U29" s="1">
        <f>Games[[#This Row],[PointsFor]]-Games[[#This Row],[PointsAgainst]]</f>
        <v>2</v>
      </c>
      <c r="V29" s="1">
        <f>IF(Games[[#This Row],[MOV]]&gt;0,1,IF(Games[[#This Row],[MOV]]=0,0.5,0))</f>
        <v>1</v>
      </c>
      <c r="W29" s="4">
        <f>((ABS(Games[[#This Row],[MOV]])+5)^0.6)/(12+0.01*(ABS(Games[[#This Row],[PreGmRate]]-Games[[#This Row],[OppPreGmRate]])))*IF(Games[[#This Row],[OT]]=1,0.9,1)</f>
        <v>0.26082791741950595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75.55</v>
      </c>
      <c r="Z29" s="4">
        <f>Games[[#This Row],[K]]*Games[[#This Row],[POMult]]</f>
        <v>75.55</v>
      </c>
      <c r="AA29" s="4">
        <f>(Games[[#This Row],[Keff]]*Games[[#This Row],[MOVMult]])*(Games[[#This Row],[Result]]-Games[[#This Row],[ExpectedWin%]])</f>
        <v>8.842990430361672</v>
      </c>
      <c r="AB29" s="4">
        <f>Games[[#This Row],[PreGmRate]]+Games[[#This Row],[RatingChange]]</f>
        <v>1472.3308084027074</v>
      </c>
      <c r="AC29" s="2">
        <f>IF(Games[[#This Row],[Type]]="R",IF(Games[[#This Row],[Result]]&gt;0.5,1,0),0)</f>
        <v>1</v>
      </c>
      <c r="AD29" s="2">
        <f>IF(Games[[#This Row],[Type]]="R",IF(Games[[#This Row],[Result]]&lt;0.5,1,0),0)</f>
        <v>0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42166</v>
      </c>
      <c r="B30" s="2">
        <v>2015</v>
      </c>
      <c r="C30" s="2">
        <f>COUNTIFS(Games[Team],Games[[#This Row],[Team]],Games[Season],Games[[#This Row],[Season]],Games[Date],"&lt;=" &amp; Games[[#This Row],[Date]])</f>
        <v>3</v>
      </c>
      <c r="D30" s="2" t="s">
        <v>83</v>
      </c>
      <c r="E30" s="2" t="s">
        <v>84</v>
      </c>
      <c r="F30" s="1" t="s">
        <v>71</v>
      </c>
      <c r="G30" s="1" t="s">
        <v>67</v>
      </c>
      <c r="H30" s="1" t="s">
        <v>85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0" s="2">
        <f>Games[[#This Row],[DaysOff]]-Games[[#This Row],[OppDaysOff]]</f>
        <v>-3</v>
      </c>
      <c r="L30" s="2">
        <f>Games[[#This Row],[OppDaysOff]]-Games[[#This Row],[DaysOff]]</f>
        <v>3</v>
      </c>
      <c r="M30" s="1">
        <f>MAX(-16, MIN(16, Games[[#This Row],[RestDiff]]*8))</f>
        <v>-16</v>
      </c>
      <c r="N30" s="1">
        <f>MAX(-16, MIN(16, Games[[#This Row],[OppRestDiff]]*8))</f>
        <v>16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1457.9409209799098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1596.7090313673482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0.1874655629836415</v>
      </c>
      <c r="R30" s="1">
        <v>70</v>
      </c>
      <c r="S30" s="1">
        <v>94</v>
      </c>
      <c r="T30" s="1">
        <v>0</v>
      </c>
      <c r="U30" s="1">
        <f>Games[[#This Row],[PointsFor]]-Games[[#This Row],[PointsAgainst]]</f>
        <v>-24</v>
      </c>
      <c r="V30" s="1">
        <f>IF(Games[[#This Row],[MOV]]&gt;0,1,IF(Games[[#This Row],[MOV]]=0,0.5,0))</f>
        <v>0</v>
      </c>
      <c r="W30" s="4">
        <f>((ABS(Games[[#This Row],[MOV]])+5)^0.6)/(12+0.01*(ABS(Games[[#This Row],[PreGmRate]]-Games[[#This Row],[OppPreGmRate]])))*IF(Games[[#This Row],[OT]]=1,0.9,1)</f>
        <v>0.56329181393447081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75.55</v>
      </c>
      <c r="Z30" s="4">
        <f>Games[[#This Row],[K]]*Games[[#This Row],[POMult]]</f>
        <v>75.55</v>
      </c>
      <c r="AA30" s="4">
        <f>(Games[[#This Row],[Keff]]*Games[[#This Row],[MOVMult]])*(Games[[#This Row],[Result]]-Games[[#This Row],[ExpectedWin%]])</f>
        <v>-7.9779150761104809</v>
      </c>
      <c r="AB30" s="4">
        <f>Games[[#This Row],[PreGmRate]]+Games[[#This Row],[RatingChange]]</f>
        <v>1449.9630059037993</v>
      </c>
      <c r="AC30" s="2">
        <f>IF(Games[[#This Row],[Type]]="R",IF(Games[[#This Row],[Result]]&gt;0.5,1,0),0)</f>
        <v>0</v>
      </c>
      <c r="AD30" s="2">
        <f>IF(Games[[#This Row],[Type]]="R",IF(Games[[#This Row],[Result]]&lt;0.5,1,0),0)</f>
        <v>1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42166</v>
      </c>
      <c r="B31" s="2">
        <v>2015</v>
      </c>
      <c r="C31" s="2">
        <f>COUNTIFS(Games[Team],Games[[#This Row],[Team]],Games[Season],Games[[#This Row],[Season]],Games[Date],"&lt;=" &amp; Games[[#This Row],[Date]])</f>
        <v>3</v>
      </c>
      <c r="D31" s="2" t="s">
        <v>83</v>
      </c>
      <c r="E31" s="2" t="s">
        <v>84</v>
      </c>
      <c r="F31" s="1" t="s">
        <v>67</v>
      </c>
      <c r="G31" s="1" t="s">
        <v>71</v>
      </c>
      <c r="H31" s="1" t="s">
        <v>86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" s="2">
        <f>Games[[#This Row],[DaysOff]]-Games[[#This Row],[OppDaysOff]]</f>
        <v>3</v>
      </c>
      <c r="L31" s="2">
        <f>Games[[#This Row],[OppDaysOff]]-Games[[#This Row],[DaysOff]]</f>
        <v>-3</v>
      </c>
      <c r="M31" s="1">
        <f>MAX(-16, MIN(16, Games[[#This Row],[RestDiff]]*8))</f>
        <v>16</v>
      </c>
      <c r="N31" s="1">
        <f>MAX(-16, MIN(16, Games[[#This Row],[OppRestDiff]]*8))</f>
        <v>-16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1596.7090313673482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1457.9409209799098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0.81253443701635852</v>
      </c>
      <c r="R31" s="1">
        <v>94</v>
      </c>
      <c r="S31" s="1">
        <v>70</v>
      </c>
      <c r="T31" s="1">
        <v>0</v>
      </c>
      <c r="U31" s="1">
        <f>Games[[#This Row],[PointsFor]]-Games[[#This Row],[PointsAgainst]]</f>
        <v>24</v>
      </c>
      <c r="V31" s="1">
        <f>IF(Games[[#This Row],[MOV]]&gt;0,1,IF(Games[[#This Row],[MOV]]=0,0.5,0))</f>
        <v>1</v>
      </c>
      <c r="W31" s="4">
        <f>((ABS(Games[[#This Row],[MOV]])+5)^0.6)/(12+0.01*(ABS(Games[[#This Row],[PreGmRate]]-Games[[#This Row],[OppPreGmRate]])))*IF(Games[[#This Row],[OT]]=1,0.9,1)</f>
        <v>0.56329181393447081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75.55</v>
      </c>
      <c r="Z31" s="4">
        <f>Games[[#This Row],[K]]*Games[[#This Row],[POMult]]</f>
        <v>75.55</v>
      </c>
      <c r="AA31" s="4">
        <f>(Games[[#This Row],[Keff]]*Games[[#This Row],[MOVMult]])*(Games[[#This Row],[Result]]-Games[[#This Row],[ExpectedWin%]])</f>
        <v>7.97791507611048</v>
      </c>
      <c r="AB31" s="4">
        <f>Games[[#This Row],[PreGmRate]]+Games[[#This Row],[RatingChange]]</f>
        <v>1604.6869464434587</v>
      </c>
      <c r="AC31" s="2">
        <f>IF(Games[[#This Row],[Type]]="R",IF(Games[[#This Row],[Result]]&gt;0.5,1,0),0)</f>
        <v>1</v>
      </c>
      <c r="AD31" s="2">
        <f>IF(Games[[#This Row],[Type]]="R",IF(Games[[#This Row],[Result]]&lt;0.5,1,0),0)</f>
        <v>0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42166</v>
      </c>
      <c r="B32" s="2">
        <v>2015</v>
      </c>
      <c r="C32" s="2">
        <f>COUNTIFS(Games[Team],Games[[#This Row],[Team]],Games[Season],Games[[#This Row],[Season]],Games[Date],"&lt;=" &amp; Games[[#This Row],[Date]])</f>
        <v>2</v>
      </c>
      <c r="D32" s="2" t="s">
        <v>83</v>
      </c>
      <c r="E32" s="2" t="s">
        <v>84</v>
      </c>
      <c r="F32" s="1" t="s">
        <v>40</v>
      </c>
      <c r="G32" s="1" t="s">
        <v>60</v>
      </c>
      <c r="H32" s="1" t="s">
        <v>85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5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" s="2">
        <f>Games[[#This Row],[DaysOff]]-Games[[#This Row],[OppDaysOff]]</f>
        <v>4</v>
      </c>
      <c r="L32" s="2">
        <f>Games[[#This Row],[OppDaysOff]]-Games[[#This Row],[DaysOff]]</f>
        <v>-4</v>
      </c>
      <c r="M32" s="1">
        <f>MAX(-16, MIN(16, Games[[#This Row],[RestDiff]]*8))</f>
        <v>16</v>
      </c>
      <c r="N32" s="1">
        <f>MAX(-16, MIN(16, Games[[#This Row],[OppRestDiff]]*8))</f>
        <v>-16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1634.146032368016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1483.6785724694203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0.63803006802548978</v>
      </c>
      <c r="R32" s="1">
        <v>57</v>
      </c>
      <c r="S32" s="1">
        <v>68</v>
      </c>
      <c r="T32" s="1">
        <v>0</v>
      </c>
      <c r="U32" s="1">
        <f>Games[[#This Row],[PointsFor]]-Games[[#This Row],[PointsAgainst]]</f>
        <v>-11</v>
      </c>
      <c r="V32" s="1">
        <f>IF(Games[[#This Row],[MOV]]&gt;0,1,IF(Games[[#This Row],[MOV]]=0,0.5,0))</f>
        <v>0</v>
      </c>
      <c r="W32" s="4">
        <f>((ABS(Games[[#This Row],[MOV]])+5)^0.6)/(12+0.01*(ABS(Games[[#This Row],[PreGmRate]]-Games[[#This Row],[OppPreGmRate]])))*IF(Games[[#This Row],[OT]]=1,0.9,1)</f>
        <v>0.39082997553216831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75.7</v>
      </c>
      <c r="Z32" s="4">
        <f>Games[[#This Row],[K]]*Games[[#This Row],[POMult]]</f>
        <v>75.7</v>
      </c>
      <c r="AA32" s="4">
        <f>(Games[[#This Row],[Keff]]*Games[[#This Row],[MOVMult]])*(Games[[#This Row],[Result]]-Games[[#This Row],[ExpectedWin%]])</f>
        <v>-18.876648583751873</v>
      </c>
      <c r="AB32" s="4">
        <f>Games[[#This Row],[PreGmRate]]+Games[[#This Row],[RatingChange]]</f>
        <v>1615.2693837842642</v>
      </c>
      <c r="AC32" s="2">
        <f>IF(Games[[#This Row],[Type]]="R",IF(Games[[#This Row],[Result]]&gt;0.5,1,0),0)</f>
        <v>0</v>
      </c>
      <c r="AD32" s="2">
        <f>IF(Games[[#This Row],[Type]]="R",IF(Games[[#This Row],[Result]]&lt;0.5,1,0),0)</f>
        <v>1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42166</v>
      </c>
      <c r="B33" s="2">
        <v>2015</v>
      </c>
      <c r="C33" s="2">
        <f>COUNTIFS(Games[Team],Games[[#This Row],[Team]],Games[Season],Games[[#This Row],[Season]],Games[Date],"&lt;=" &amp; Games[[#This Row],[Date]])</f>
        <v>4</v>
      </c>
      <c r="D33" s="2" t="s">
        <v>83</v>
      </c>
      <c r="E33" s="2" t="s">
        <v>84</v>
      </c>
      <c r="F33" s="1" t="s">
        <v>60</v>
      </c>
      <c r="G33" s="1" t="s">
        <v>40</v>
      </c>
      <c r="H33" s="1" t="s">
        <v>86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3" s="2">
        <f>Games[[#This Row],[DaysOff]]-Games[[#This Row],[OppDaysOff]]</f>
        <v>-4</v>
      </c>
      <c r="L33" s="2">
        <f>Games[[#This Row],[OppDaysOff]]-Games[[#This Row],[DaysOff]]</f>
        <v>4</v>
      </c>
      <c r="M33" s="1">
        <f>MAX(-16, MIN(16, Games[[#This Row],[RestDiff]]*8))</f>
        <v>-16</v>
      </c>
      <c r="N33" s="1">
        <f>MAX(-16, MIN(16, Games[[#This Row],[OppRestDiff]]*8))</f>
        <v>16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1483.6785724694203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1634.146032368016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0.36196993197451022</v>
      </c>
      <c r="R33" s="1">
        <v>68</v>
      </c>
      <c r="S33" s="1">
        <v>57</v>
      </c>
      <c r="T33" s="1">
        <v>0</v>
      </c>
      <c r="U33" s="1">
        <f>Games[[#This Row],[PointsFor]]-Games[[#This Row],[PointsAgainst]]</f>
        <v>11</v>
      </c>
      <c r="V33" s="1">
        <f>IF(Games[[#This Row],[MOV]]&gt;0,1,IF(Games[[#This Row],[MOV]]=0,0.5,0))</f>
        <v>1</v>
      </c>
      <c r="W33" s="4">
        <f>((ABS(Games[[#This Row],[MOV]])+5)^0.6)/(12+0.01*(ABS(Games[[#This Row],[PreGmRate]]-Games[[#This Row],[OppPreGmRate]])))*IF(Games[[#This Row],[OT]]=1,0.9,1)</f>
        <v>0.39082997553216831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75.400000000000006</v>
      </c>
      <c r="Z33" s="4">
        <f>Games[[#This Row],[K]]*Games[[#This Row],[POMult]]</f>
        <v>75.400000000000006</v>
      </c>
      <c r="AA33" s="4">
        <f>(Games[[#This Row],[Keff]]*Games[[#This Row],[MOVMult]])*(Games[[#This Row],[Result]]-Games[[#This Row],[ExpectedWin%]])</f>
        <v>18.801840200989318</v>
      </c>
      <c r="AB33" s="4">
        <f>Games[[#This Row],[PreGmRate]]+Games[[#This Row],[RatingChange]]</f>
        <v>1502.4804126704096</v>
      </c>
      <c r="AC33" s="2">
        <f>IF(Games[[#This Row],[Type]]="R",IF(Games[[#This Row],[Result]]&gt;0.5,1,0),0)</f>
        <v>1</v>
      </c>
      <c r="AD33" s="2">
        <f>IF(Games[[#This Row],[Type]]="R",IF(Games[[#This Row],[Result]]&lt;0.5,1,0),0)</f>
        <v>0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42167</v>
      </c>
      <c r="B34" s="2">
        <v>2015</v>
      </c>
      <c r="C34" s="2">
        <f>COUNTIFS(Games[Team],Games[[#This Row],[Team]],Games[Season],Games[[#This Row],[Season]],Games[Date],"&lt;=" &amp; Games[[#This Row],[Date]])</f>
        <v>3</v>
      </c>
      <c r="D34" s="2" t="s">
        <v>83</v>
      </c>
      <c r="E34" s="2" t="s">
        <v>84</v>
      </c>
      <c r="F34" s="1" t="s">
        <v>40</v>
      </c>
      <c r="G34" s="1" t="s">
        <v>69</v>
      </c>
      <c r="H34" s="1" t="s">
        <v>85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" s="2">
        <f>Games[[#This Row],[DaysOff]]-Games[[#This Row],[OppDaysOff]]</f>
        <v>-2</v>
      </c>
      <c r="L34" s="2">
        <f>Games[[#This Row],[OppDaysOff]]-Games[[#This Row],[DaysOff]]</f>
        <v>2</v>
      </c>
      <c r="M34" s="1">
        <f>MAX(-16, MIN(16, Games[[#This Row],[RestDiff]]*8))</f>
        <v>-16</v>
      </c>
      <c r="N34" s="1">
        <f>MAX(-16, MIN(16, Games[[#This Row],[OppRestDiff]]*8))</f>
        <v>16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1615.2693837842642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1451.3794699072469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0.56848594425915022</v>
      </c>
      <c r="R34" s="1">
        <v>74</v>
      </c>
      <c r="S34" s="1">
        <v>77</v>
      </c>
      <c r="T34" s="1">
        <v>0</v>
      </c>
      <c r="U34" s="1">
        <f>Games[[#This Row],[PointsFor]]-Games[[#This Row],[PointsAgainst]]</f>
        <v>-3</v>
      </c>
      <c r="V34" s="1">
        <f>IF(Games[[#This Row],[MOV]]&gt;0,1,IF(Games[[#This Row],[MOV]]=0,0.5,0))</f>
        <v>0</v>
      </c>
      <c r="W34" s="4">
        <f>((ABS(Games[[#This Row],[MOV]])+5)^0.6)/(12+0.01*(ABS(Games[[#This Row],[PreGmRate]]-Games[[#This Row],[OppPreGmRate]])))*IF(Games[[#This Row],[OT]]=1,0.9,1)</f>
        <v>0.25531402628280514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75.55</v>
      </c>
      <c r="Z34" s="4">
        <f>Games[[#This Row],[K]]*Games[[#This Row],[POMult]]</f>
        <v>75.55</v>
      </c>
      <c r="AA34" s="4">
        <f>(Games[[#This Row],[Keff]]*Games[[#This Row],[MOVMult]])*(Games[[#This Row],[Result]]-Games[[#This Row],[ExpectedWin%]])</f>
        <v>-10.965510987971641</v>
      </c>
      <c r="AB34" s="4">
        <f>Games[[#This Row],[PreGmRate]]+Games[[#This Row],[RatingChange]]</f>
        <v>1604.3038727962926</v>
      </c>
      <c r="AC34" s="2">
        <f>IF(Games[[#This Row],[Type]]="R",IF(Games[[#This Row],[Result]]&gt;0.5,1,0),0)</f>
        <v>0</v>
      </c>
      <c r="AD34" s="2">
        <f>IF(Games[[#This Row],[Type]]="R",IF(Games[[#This Row],[Result]]&lt;0.5,1,0),0)</f>
        <v>1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42167</v>
      </c>
      <c r="B35" s="2">
        <v>2015</v>
      </c>
      <c r="C35" s="2">
        <f>COUNTIFS(Games[Team],Games[[#This Row],[Team]],Games[Season],Games[[#This Row],[Season]],Games[Date],"&lt;=" &amp; Games[[#This Row],[Date]])</f>
        <v>4</v>
      </c>
      <c r="D35" s="2" t="s">
        <v>83</v>
      </c>
      <c r="E35" s="2" t="s">
        <v>84</v>
      </c>
      <c r="F35" s="1" t="s">
        <v>69</v>
      </c>
      <c r="G35" s="1" t="s">
        <v>40</v>
      </c>
      <c r="H35" s="1" t="s">
        <v>86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" s="2">
        <f>Games[[#This Row],[DaysOff]]-Games[[#This Row],[OppDaysOff]]</f>
        <v>2</v>
      </c>
      <c r="L35" s="2">
        <f>Games[[#This Row],[OppDaysOff]]-Games[[#This Row],[DaysOff]]</f>
        <v>-2</v>
      </c>
      <c r="M35" s="1">
        <f>MAX(-16, MIN(16, Games[[#This Row],[RestDiff]]*8))</f>
        <v>16</v>
      </c>
      <c r="N35" s="1">
        <f>MAX(-16, MIN(16, Games[[#This Row],[OppRestDiff]]*8))</f>
        <v>-16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1451.3794699072469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1615.2693837842642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0.43151405574084972</v>
      </c>
      <c r="R35" s="1">
        <v>77</v>
      </c>
      <c r="S35" s="1">
        <v>74</v>
      </c>
      <c r="T35" s="1">
        <v>0</v>
      </c>
      <c r="U35" s="1">
        <f>Games[[#This Row],[PointsFor]]-Games[[#This Row],[PointsAgainst]]</f>
        <v>3</v>
      </c>
      <c r="V35" s="1">
        <f>IF(Games[[#This Row],[MOV]]&gt;0,1,IF(Games[[#This Row],[MOV]]=0,0.5,0))</f>
        <v>1</v>
      </c>
      <c r="W35" s="4">
        <f>((ABS(Games[[#This Row],[MOV]])+5)^0.6)/(12+0.01*(ABS(Games[[#This Row],[PreGmRate]]-Games[[#This Row],[OppPreGmRate]])))*IF(Games[[#This Row],[OT]]=1,0.9,1)</f>
        <v>0.25531402628280514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75.400000000000006</v>
      </c>
      <c r="Z35" s="4">
        <f>Games[[#This Row],[K]]*Games[[#This Row],[POMult]]</f>
        <v>75.400000000000006</v>
      </c>
      <c r="AA35" s="4">
        <f>(Games[[#This Row],[Keff]]*Games[[#This Row],[MOVMult]])*(Games[[#This Row],[Result]]-Games[[#This Row],[ExpectedWin%]])</f>
        <v>10.943739622674546</v>
      </c>
      <c r="AB35" s="4">
        <f>Games[[#This Row],[PreGmRate]]+Games[[#This Row],[RatingChange]]</f>
        <v>1462.3232095299213</v>
      </c>
      <c r="AC35" s="2">
        <f>IF(Games[[#This Row],[Type]]="R",IF(Games[[#This Row],[Result]]&gt;0.5,1,0),0)</f>
        <v>1</v>
      </c>
      <c r="AD35" s="2">
        <f>IF(Games[[#This Row],[Type]]="R",IF(Games[[#This Row],[Result]]&lt;0.5,1,0),0)</f>
        <v>0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42167</v>
      </c>
      <c r="B36" s="2">
        <v>2015</v>
      </c>
      <c r="C36" s="2">
        <f>COUNTIFS(Games[Team],Games[[#This Row],[Team]],Games[Season],Games[[#This Row],[Season]],Games[Date],"&lt;=" &amp; Games[[#This Row],[Date]])</f>
        <v>4</v>
      </c>
      <c r="D36" s="2" t="s">
        <v>83</v>
      </c>
      <c r="E36" s="2" t="s">
        <v>84</v>
      </c>
      <c r="F36" s="1" t="s">
        <v>79</v>
      </c>
      <c r="G36" s="1" t="s">
        <v>65</v>
      </c>
      <c r="H36" s="1" t="s">
        <v>85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6" s="2">
        <f>Games[[#This Row],[DaysOff]]-Games[[#This Row],[OppDaysOff]]</f>
        <v>-5</v>
      </c>
      <c r="L36" s="2">
        <f>Games[[#This Row],[OppDaysOff]]-Games[[#This Row],[DaysOff]]</f>
        <v>5</v>
      </c>
      <c r="M36" s="1">
        <f>MAX(-16, MIN(16, Games[[#This Row],[RestDiff]]*8))</f>
        <v>-16</v>
      </c>
      <c r="N36" s="1">
        <f>MAX(-16, MIN(16, Games[[#This Row],[OppRestDiff]]*8))</f>
        <v>16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1478.9990049605442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1505.4495257988335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0.30576130061233842</v>
      </c>
      <c r="R36" s="1">
        <v>64</v>
      </c>
      <c r="S36" s="1">
        <v>61</v>
      </c>
      <c r="T36" s="1">
        <v>0</v>
      </c>
      <c r="U36" s="1">
        <f>Games[[#This Row],[PointsFor]]-Games[[#This Row],[PointsAgainst]]</f>
        <v>3</v>
      </c>
      <c r="V36" s="1">
        <f>IF(Games[[#This Row],[MOV]]&gt;0,1,IF(Games[[#This Row],[MOV]]=0,0.5,0))</f>
        <v>1</v>
      </c>
      <c r="W36" s="4">
        <f>((ABS(Games[[#This Row],[MOV]])+5)^0.6)/(12+0.01*(ABS(Games[[#This Row],[PreGmRate]]-Games[[#This Row],[OppPreGmRate]])))*IF(Games[[#This Row],[OT]]=1,0.9,1)</f>
        <v>0.28392521296369805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75.400000000000006</v>
      </c>
      <c r="Z36" s="4">
        <f>Games[[#This Row],[K]]*Games[[#This Row],[POMult]]</f>
        <v>75.400000000000006</v>
      </c>
      <c r="AA36" s="4">
        <f>(Games[[#This Row],[Keff]]*Games[[#This Row],[MOVMult]])*(Games[[#This Row],[Result]]-Games[[#This Row],[ExpectedWin%]])</f>
        <v>14.862235041074706</v>
      </c>
      <c r="AB36" s="4">
        <f>Games[[#This Row],[PreGmRate]]+Games[[#This Row],[RatingChange]]</f>
        <v>1493.8612400016189</v>
      </c>
      <c r="AC36" s="2">
        <f>IF(Games[[#This Row],[Type]]="R",IF(Games[[#This Row],[Result]]&gt;0.5,1,0),0)</f>
        <v>1</v>
      </c>
      <c r="AD36" s="2">
        <f>IF(Games[[#This Row],[Type]]="R",IF(Games[[#This Row],[Result]]&lt;0.5,1,0),0)</f>
        <v>0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42167</v>
      </c>
      <c r="B37" s="2">
        <v>2015</v>
      </c>
      <c r="C37" s="2">
        <f>COUNTIFS(Games[Team],Games[[#This Row],[Team]],Games[Season],Games[[#This Row],[Season]],Games[Date],"&lt;=" &amp; Games[[#This Row],[Date]])</f>
        <v>3</v>
      </c>
      <c r="D37" s="2" t="s">
        <v>83</v>
      </c>
      <c r="E37" s="2" t="s">
        <v>84</v>
      </c>
      <c r="F37" s="1" t="s">
        <v>65</v>
      </c>
      <c r="G37" s="1" t="s">
        <v>79</v>
      </c>
      <c r="H37" s="1" t="s">
        <v>86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5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7" s="2">
        <f>Games[[#This Row],[DaysOff]]-Games[[#This Row],[OppDaysOff]]</f>
        <v>5</v>
      </c>
      <c r="L37" s="2">
        <f>Games[[#This Row],[OppDaysOff]]-Games[[#This Row],[DaysOff]]</f>
        <v>-5</v>
      </c>
      <c r="M37" s="1">
        <f>MAX(-16, MIN(16, Games[[#This Row],[RestDiff]]*8))</f>
        <v>16</v>
      </c>
      <c r="N37" s="1">
        <f>MAX(-16, MIN(16, Games[[#This Row],[OppRestDiff]]*8))</f>
        <v>-16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1505.4495257988335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1478.9990049605442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0.69423869938766158</v>
      </c>
      <c r="R37" s="1">
        <v>61</v>
      </c>
      <c r="S37" s="1">
        <v>64</v>
      </c>
      <c r="T37" s="1">
        <v>0</v>
      </c>
      <c r="U37" s="1">
        <f>Games[[#This Row],[PointsFor]]-Games[[#This Row],[PointsAgainst]]</f>
        <v>-3</v>
      </c>
      <c r="V37" s="1">
        <f>IF(Games[[#This Row],[MOV]]&gt;0,1,IF(Games[[#This Row],[MOV]]=0,0.5,0))</f>
        <v>0</v>
      </c>
      <c r="W37" s="4">
        <f>((ABS(Games[[#This Row],[MOV]])+5)^0.6)/(12+0.01*(ABS(Games[[#This Row],[PreGmRate]]-Games[[#This Row],[OppPreGmRate]])))*IF(Games[[#This Row],[OT]]=1,0.9,1)</f>
        <v>0.28392521296369805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75.55</v>
      </c>
      <c r="Z37" s="4">
        <f>Games[[#This Row],[K]]*Games[[#This Row],[POMult]]</f>
        <v>75.55</v>
      </c>
      <c r="AA37" s="4">
        <f>(Games[[#This Row],[Keff]]*Games[[#This Row],[MOVMult]])*(Games[[#This Row],[Result]]-Games[[#This Row],[ExpectedWin%]])</f>
        <v>-14.891801821660398</v>
      </c>
      <c r="AB37" s="4">
        <f>Games[[#This Row],[PreGmRate]]+Games[[#This Row],[RatingChange]]</f>
        <v>1490.5577239771731</v>
      </c>
      <c r="AC37" s="2">
        <f>IF(Games[[#This Row],[Type]]="R",IF(Games[[#This Row],[Result]]&gt;0.5,1,0),0)</f>
        <v>0</v>
      </c>
      <c r="AD37" s="2">
        <f>IF(Games[[#This Row],[Type]]="R",IF(Games[[#This Row],[Result]]&lt;0.5,1,0),0)</f>
        <v>1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42169</v>
      </c>
      <c r="B38" s="2">
        <v>2015</v>
      </c>
      <c r="C38" s="2">
        <f>COUNTIFS(Games[Team],Games[[#This Row],[Team]],Games[Season],Games[[#This Row],[Season]],Games[Date],"&lt;=" &amp; Games[[#This Row],[Date]])</f>
        <v>5</v>
      </c>
      <c r="D38" s="2" t="s">
        <v>83</v>
      </c>
      <c r="E38" s="2" t="s">
        <v>84</v>
      </c>
      <c r="F38" s="1" t="s">
        <v>79</v>
      </c>
      <c r="G38" s="1" t="s">
        <v>76</v>
      </c>
      <c r="H38" s="1" t="s">
        <v>85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" s="2">
        <f>Games[[#This Row],[DaysOff]]-Games[[#This Row],[OppDaysOff]]</f>
        <v>-1</v>
      </c>
      <c r="L38" s="2">
        <f>Games[[#This Row],[OppDaysOff]]-Games[[#This Row],[DaysOff]]</f>
        <v>1</v>
      </c>
      <c r="M38" s="1">
        <f>MAX(-16, MIN(16, Games[[#This Row],[RestDiff]]*8))</f>
        <v>-8</v>
      </c>
      <c r="N38" s="1">
        <f>MAX(-16, MIN(16, Games[[#This Row],[OppRestDiff]]*8))</f>
        <v>8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1493.8612400016189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1472.3308084027074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0.38895495350864079</v>
      </c>
      <c r="R38" s="1">
        <v>64</v>
      </c>
      <c r="S38" s="1">
        <v>82</v>
      </c>
      <c r="T38" s="1">
        <v>0</v>
      </c>
      <c r="U38" s="1">
        <f>Games[[#This Row],[PointsFor]]-Games[[#This Row],[PointsAgainst]]</f>
        <v>-18</v>
      </c>
      <c r="V38" s="1">
        <f>IF(Games[[#This Row],[MOV]]&gt;0,1,IF(Games[[#This Row],[MOV]]=0,0.5,0))</f>
        <v>0</v>
      </c>
      <c r="W38" s="4">
        <f>((ABS(Games[[#This Row],[MOV]])+5)^0.6)/(12+0.01*(ABS(Games[[#This Row],[PreGmRate]]-Games[[#This Row],[OppPreGmRate]])))*IF(Games[[#This Row],[OT]]=1,0.9,1)</f>
        <v>0.53719555532698215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75.25</v>
      </c>
      <c r="Z38" s="4">
        <f>Games[[#This Row],[K]]*Games[[#This Row],[POMult]]</f>
        <v>75.25</v>
      </c>
      <c r="AA38" s="4">
        <f>(Games[[#This Row],[Keff]]*Games[[#This Row],[MOVMult]])*(Games[[#This Row],[Result]]-Games[[#This Row],[ExpectedWin%]])</f>
        <v>-15.723101636605923</v>
      </c>
      <c r="AB38" s="4">
        <f>Games[[#This Row],[PreGmRate]]+Games[[#This Row],[RatingChange]]</f>
        <v>1478.138138365013</v>
      </c>
      <c r="AC38" s="2">
        <f>IF(Games[[#This Row],[Type]]="R",IF(Games[[#This Row],[Result]]&gt;0.5,1,0),0)</f>
        <v>0</v>
      </c>
      <c r="AD38" s="2">
        <f>IF(Games[[#This Row],[Type]]="R",IF(Games[[#This Row],[Result]]&lt;0.5,1,0),0)</f>
        <v>1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42169</v>
      </c>
      <c r="B39" s="2">
        <v>2015</v>
      </c>
      <c r="C39" s="2">
        <f>COUNTIFS(Games[Team],Games[[#This Row],[Team]],Games[Season],Games[[#This Row],[Season]],Games[Date],"&lt;=" &amp; Games[[#This Row],[Date]])</f>
        <v>4</v>
      </c>
      <c r="D39" s="2" t="s">
        <v>83</v>
      </c>
      <c r="E39" s="2" t="s">
        <v>84</v>
      </c>
      <c r="F39" s="1" t="s">
        <v>76</v>
      </c>
      <c r="G39" s="1" t="s">
        <v>79</v>
      </c>
      <c r="H39" s="1" t="s">
        <v>86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" s="2">
        <f>Games[[#This Row],[DaysOff]]-Games[[#This Row],[OppDaysOff]]</f>
        <v>1</v>
      </c>
      <c r="L39" s="2">
        <f>Games[[#This Row],[OppDaysOff]]-Games[[#This Row],[DaysOff]]</f>
        <v>-1</v>
      </c>
      <c r="M39" s="1">
        <f>MAX(-16, MIN(16, Games[[#This Row],[RestDiff]]*8))</f>
        <v>8</v>
      </c>
      <c r="N39" s="1">
        <f>MAX(-16, MIN(16, Games[[#This Row],[OppRestDiff]]*8))</f>
        <v>-8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1472.3308084027074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1493.8612400016189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0.61104504649135927</v>
      </c>
      <c r="R39" s="1">
        <v>82</v>
      </c>
      <c r="S39" s="1">
        <v>64</v>
      </c>
      <c r="T39" s="1">
        <v>0</v>
      </c>
      <c r="U39" s="1">
        <f>Games[[#This Row],[PointsFor]]-Games[[#This Row],[PointsAgainst]]</f>
        <v>18</v>
      </c>
      <c r="V39" s="1">
        <f>IF(Games[[#This Row],[MOV]]&gt;0,1,IF(Games[[#This Row],[MOV]]=0,0.5,0))</f>
        <v>1</v>
      </c>
      <c r="W39" s="4">
        <f>((ABS(Games[[#This Row],[MOV]])+5)^0.6)/(12+0.01*(ABS(Games[[#This Row],[PreGmRate]]-Games[[#This Row],[OppPreGmRate]])))*IF(Games[[#This Row],[OT]]=1,0.9,1)</f>
        <v>0.53719555532698215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75.400000000000006</v>
      </c>
      <c r="Z39" s="4">
        <f>Games[[#This Row],[K]]*Games[[#This Row],[POMult]]</f>
        <v>75.400000000000006</v>
      </c>
      <c r="AA39" s="4">
        <f>(Games[[#This Row],[Keff]]*Games[[#This Row],[MOVMult]])*(Games[[#This Row],[Result]]-Games[[#This Row],[ExpectedWin%]])</f>
        <v>15.754443367443013</v>
      </c>
      <c r="AB39" s="4">
        <f>Games[[#This Row],[PreGmRate]]+Games[[#This Row],[RatingChange]]</f>
        <v>1488.0852517701503</v>
      </c>
      <c r="AC39" s="2">
        <f>IF(Games[[#This Row],[Type]]="R",IF(Games[[#This Row],[Result]]&gt;0.5,1,0),0)</f>
        <v>1</v>
      </c>
      <c r="AD39" s="2">
        <f>IF(Games[[#This Row],[Type]]="R",IF(Games[[#This Row],[Result]]&lt;0.5,1,0),0)</f>
        <v>0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42169</v>
      </c>
      <c r="B40" s="2">
        <v>2015</v>
      </c>
      <c r="C40" s="2">
        <f>COUNTIFS(Games[Team],Games[[#This Row],[Team]],Games[Season],Games[[#This Row],[Season]],Games[Date],"&lt;=" &amp; Games[[#This Row],[Date]])</f>
        <v>4</v>
      </c>
      <c r="D40" s="2" t="s">
        <v>83</v>
      </c>
      <c r="E40" s="2" t="s">
        <v>84</v>
      </c>
      <c r="F40" s="1" t="s">
        <v>77</v>
      </c>
      <c r="G40" s="1" t="s">
        <v>69</v>
      </c>
      <c r="H40" s="1" t="s">
        <v>85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" s="2">
        <f>Games[[#This Row],[DaysOff]]-Games[[#This Row],[OppDaysOff]]</f>
        <v>1</v>
      </c>
      <c r="L40" s="2">
        <f>Games[[#This Row],[OppDaysOff]]-Games[[#This Row],[DaysOff]]</f>
        <v>-1</v>
      </c>
      <c r="M40" s="1">
        <f>MAX(-16, MIN(16, Games[[#This Row],[RestDiff]]*8))</f>
        <v>8</v>
      </c>
      <c r="N40" s="1">
        <f>MAX(-16, MIN(16, Games[[#This Row],[OppRestDiff]]*8))</f>
        <v>-8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1486.9116345289854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1462.3232095299213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0.4378488231132262</v>
      </c>
      <c r="R40" s="1">
        <v>98</v>
      </c>
      <c r="S40" s="1">
        <v>72</v>
      </c>
      <c r="T40" s="1">
        <v>0</v>
      </c>
      <c r="U40" s="1">
        <f>Games[[#This Row],[PointsFor]]-Games[[#This Row],[PointsAgainst]]</f>
        <v>26</v>
      </c>
      <c r="V40" s="1">
        <f>IF(Games[[#This Row],[MOV]]&gt;0,1,IF(Games[[#This Row],[MOV]]=0,0.5,0))</f>
        <v>1</v>
      </c>
      <c r="W40" s="4">
        <f>((ABS(Games[[#This Row],[MOV]])+5)^0.6)/(12+0.01*(ABS(Games[[#This Row],[PreGmRate]]-Games[[#This Row],[OppPreGmRate]])))*IF(Games[[#This Row],[OT]]=1,0.9,1)</f>
        <v>0.64095400593126084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75.400000000000006</v>
      </c>
      <c r="Z40" s="4">
        <f>Games[[#This Row],[K]]*Games[[#This Row],[POMult]]</f>
        <v>75.400000000000006</v>
      </c>
      <c r="AA40" s="4">
        <f>(Games[[#This Row],[Keff]]*Games[[#This Row],[MOVMult]])*(Games[[#This Row],[Result]]-Games[[#This Row],[ExpectedWin%]])</f>
        <v>27.167603876847103</v>
      </c>
      <c r="AB40" s="4">
        <f>Games[[#This Row],[PreGmRate]]+Games[[#This Row],[RatingChange]]</f>
        <v>1514.0792384058325</v>
      </c>
      <c r="AC40" s="2">
        <f>IF(Games[[#This Row],[Type]]="R",IF(Games[[#This Row],[Result]]&gt;0.5,1,0),0)</f>
        <v>1</v>
      </c>
      <c r="AD40" s="2">
        <f>IF(Games[[#This Row],[Type]]="R",IF(Games[[#This Row],[Result]]&lt;0.5,1,0),0)</f>
        <v>0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42169</v>
      </c>
      <c r="B41" s="2">
        <v>2015</v>
      </c>
      <c r="C41" s="2">
        <f>COUNTIFS(Games[Team],Games[[#This Row],[Team]],Games[Season],Games[[#This Row],[Season]],Games[Date],"&lt;=" &amp; Games[[#This Row],[Date]])</f>
        <v>5</v>
      </c>
      <c r="D41" s="2" t="s">
        <v>83</v>
      </c>
      <c r="E41" s="2" t="s">
        <v>84</v>
      </c>
      <c r="F41" s="1" t="s">
        <v>69</v>
      </c>
      <c r="G41" s="1" t="s">
        <v>77</v>
      </c>
      <c r="H41" s="1" t="s">
        <v>86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" s="2">
        <f>Games[[#This Row],[DaysOff]]-Games[[#This Row],[OppDaysOff]]</f>
        <v>-1</v>
      </c>
      <c r="L41" s="2">
        <f>Games[[#This Row],[OppDaysOff]]-Games[[#This Row],[DaysOff]]</f>
        <v>1</v>
      </c>
      <c r="M41" s="1">
        <f>MAX(-16, MIN(16, Games[[#This Row],[RestDiff]]*8))</f>
        <v>-8</v>
      </c>
      <c r="N41" s="1">
        <f>MAX(-16, MIN(16, Games[[#This Row],[OppRestDiff]]*8))</f>
        <v>8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1462.3232095299213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1486.9116345289854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0.56215117688677374</v>
      </c>
      <c r="R41" s="1">
        <v>72</v>
      </c>
      <c r="S41" s="1">
        <v>98</v>
      </c>
      <c r="T41" s="1">
        <v>0</v>
      </c>
      <c r="U41" s="1">
        <f>Games[[#This Row],[PointsFor]]-Games[[#This Row],[PointsAgainst]]</f>
        <v>-26</v>
      </c>
      <c r="V41" s="1">
        <f>IF(Games[[#This Row],[MOV]]&gt;0,1,IF(Games[[#This Row],[MOV]]=0,0.5,0))</f>
        <v>0</v>
      </c>
      <c r="W41" s="4">
        <f>((ABS(Games[[#This Row],[MOV]])+5)^0.6)/(12+0.01*(ABS(Games[[#This Row],[PreGmRate]]-Games[[#This Row],[OppPreGmRate]])))*IF(Games[[#This Row],[OT]]=1,0.9,1)</f>
        <v>0.64095400593126084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75.25</v>
      </c>
      <c r="Z41" s="4">
        <f>Games[[#This Row],[K]]*Games[[#This Row],[POMult]]</f>
        <v>75.25</v>
      </c>
      <c r="AA41" s="4">
        <f>(Games[[#This Row],[Keff]]*Games[[#This Row],[MOVMult]])*(Games[[#This Row],[Result]]-Games[[#This Row],[ExpectedWin%]])</f>
        <v>-27.113556919532421</v>
      </c>
      <c r="AB41" s="4">
        <f>Games[[#This Row],[PreGmRate]]+Games[[#This Row],[RatingChange]]</f>
        <v>1435.209652610389</v>
      </c>
      <c r="AC41" s="2">
        <f>IF(Games[[#This Row],[Type]]="R",IF(Games[[#This Row],[Result]]&gt;0.5,1,0),0)</f>
        <v>0</v>
      </c>
      <c r="AD41" s="2">
        <f>IF(Games[[#This Row],[Type]]="R",IF(Games[[#This Row],[Result]]&lt;0.5,1,0),0)</f>
        <v>1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42169</v>
      </c>
      <c r="B42" s="2">
        <v>2015</v>
      </c>
      <c r="C42" s="2">
        <f>COUNTIFS(Games[Team],Games[[#This Row],[Team]],Games[Season],Games[[#This Row],[Season]],Games[Date],"&lt;=" &amp; Games[[#This Row],[Date]])</f>
        <v>4</v>
      </c>
      <c r="D42" s="2" t="s">
        <v>83</v>
      </c>
      <c r="E42" s="2" t="s">
        <v>84</v>
      </c>
      <c r="F42" s="1" t="s">
        <v>71</v>
      </c>
      <c r="G42" s="1" t="s">
        <v>63</v>
      </c>
      <c r="H42" s="1" t="s">
        <v>85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42" s="2">
        <f>Games[[#This Row],[DaysOff]]-Games[[#This Row],[OppDaysOff]]</f>
        <v>-5</v>
      </c>
      <c r="L42" s="2">
        <f>Games[[#This Row],[OppDaysOff]]-Games[[#This Row],[DaysOff]]</f>
        <v>5</v>
      </c>
      <c r="M42" s="1">
        <f>MAX(-16, MIN(16, Games[[#This Row],[RestDiff]]*8))</f>
        <v>-16</v>
      </c>
      <c r="N42" s="1">
        <f>MAX(-16, MIN(16, Games[[#This Row],[OppRestDiff]]*8))</f>
        <v>16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1449.9630059037993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1486.2651994824644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0.29385754173250417</v>
      </c>
      <c r="R42" s="1">
        <v>60</v>
      </c>
      <c r="S42" s="1">
        <v>54</v>
      </c>
      <c r="T42" s="1">
        <v>0</v>
      </c>
      <c r="U42" s="1">
        <f>Games[[#This Row],[PointsFor]]-Games[[#This Row],[PointsAgainst]]</f>
        <v>6</v>
      </c>
      <c r="V42" s="1">
        <f>IF(Games[[#This Row],[MOV]]&gt;0,1,IF(Games[[#This Row],[MOV]]=0,0.5,0))</f>
        <v>1</v>
      </c>
      <c r="W42" s="4">
        <f>((ABS(Games[[#This Row],[MOV]])+5)^0.6)/(12+0.01*(ABS(Games[[#This Row],[PreGmRate]]-Games[[#This Row],[OppPreGmRate]])))*IF(Games[[#This Row],[OT]]=1,0.9,1)</f>
        <v>0.34096591876860394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75.400000000000006</v>
      </c>
      <c r="Z42" s="4">
        <f>Games[[#This Row],[K]]*Games[[#This Row],[POMult]]</f>
        <v>75.400000000000006</v>
      </c>
      <c r="AA42" s="4">
        <f>(Games[[#This Row],[Keff]]*Games[[#This Row],[MOVMult]])*(Games[[#This Row],[Result]]-Games[[#This Row],[ExpectedWin%]])</f>
        <v>18.154096609678174</v>
      </c>
      <c r="AB42" s="4">
        <f>Games[[#This Row],[PreGmRate]]+Games[[#This Row],[RatingChange]]</f>
        <v>1468.1171025134774</v>
      </c>
      <c r="AC42" s="2">
        <f>IF(Games[[#This Row],[Type]]="R",IF(Games[[#This Row],[Result]]&gt;0.5,1,0),0)</f>
        <v>1</v>
      </c>
      <c r="AD42" s="2">
        <f>IF(Games[[#This Row],[Type]]="R",IF(Games[[#This Row],[Result]]&lt;0.5,1,0),0)</f>
        <v>0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42169</v>
      </c>
      <c r="B43" s="2">
        <v>2015</v>
      </c>
      <c r="C43" s="2">
        <f>COUNTIFS(Games[Team],Games[[#This Row],[Team]],Games[Season],Games[[#This Row],[Season]],Games[Date],"&lt;=" &amp; Games[[#This Row],[Date]])</f>
        <v>2</v>
      </c>
      <c r="D43" s="2" t="s">
        <v>83</v>
      </c>
      <c r="E43" s="2" t="s">
        <v>84</v>
      </c>
      <c r="F43" s="1" t="s">
        <v>63</v>
      </c>
      <c r="G43" s="1" t="s">
        <v>71</v>
      </c>
      <c r="H43" s="1" t="s">
        <v>86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7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" s="2">
        <f>Games[[#This Row],[DaysOff]]-Games[[#This Row],[OppDaysOff]]</f>
        <v>5</v>
      </c>
      <c r="L43" s="2">
        <f>Games[[#This Row],[OppDaysOff]]-Games[[#This Row],[DaysOff]]</f>
        <v>-5</v>
      </c>
      <c r="M43" s="1">
        <f>MAX(-16, MIN(16, Games[[#This Row],[RestDiff]]*8))</f>
        <v>16</v>
      </c>
      <c r="N43" s="1">
        <f>MAX(-16, MIN(16, Games[[#This Row],[OppRestDiff]]*8))</f>
        <v>-16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1486.2651994824644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1449.9630059037993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0.70614245826749578</v>
      </c>
      <c r="R43" s="1">
        <v>54</v>
      </c>
      <c r="S43" s="1">
        <v>60</v>
      </c>
      <c r="T43" s="1">
        <v>0</v>
      </c>
      <c r="U43" s="1">
        <f>Games[[#This Row],[PointsFor]]-Games[[#This Row],[PointsAgainst]]</f>
        <v>-6</v>
      </c>
      <c r="V43" s="1">
        <f>IF(Games[[#This Row],[MOV]]&gt;0,1,IF(Games[[#This Row],[MOV]]=0,0.5,0))</f>
        <v>0</v>
      </c>
      <c r="W43" s="4">
        <f>((ABS(Games[[#This Row],[MOV]])+5)^0.6)/(12+0.01*(ABS(Games[[#This Row],[PreGmRate]]-Games[[#This Row],[OppPreGmRate]])))*IF(Games[[#This Row],[OT]]=1,0.9,1)</f>
        <v>0.34096591876860394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75.7</v>
      </c>
      <c r="Z43" s="4">
        <f>Games[[#This Row],[K]]*Games[[#This Row],[POMult]]</f>
        <v>75.7</v>
      </c>
      <c r="AA43" s="4">
        <f>(Games[[#This Row],[Keff]]*Games[[#This Row],[MOVMult]])*(Games[[#This Row],[Result]]-Games[[#This Row],[ExpectedWin%]])</f>
        <v>-18.226327763297583</v>
      </c>
      <c r="AB43" s="4">
        <f>Games[[#This Row],[PreGmRate]]+Games[[#This Row],[RatingChange]]</f>
        <v>1468.0388717191668</v>
      </c>
      <c r="AC43" s="2">
        <f>IF(Games[[#This Row],[Type]]="R",IF(Games[[#This Row],[Result]]&gt;0.5,1,0),0)</f>
        <v>0</v>
      </c>
      <c r="AD43" s="2">
        <f>IF(Games[[#This Row],[Type]]="R",IF(Games[[#This Row],[Result]]&lt;0.5,1,0),0)</f>
        <v>1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42169</v>
      </c>
      <c r="B44" s="2">
        <v>2015</v>
      </c>
      <c r="C44" s="2">
        <f>COUNTIFS(Games[Team],Games[[#This Row],[Team]],Games[Season],Games[[#This Row],[Season]],Games[Date],"&lt;=" &amp; Games[[#This Row],[Date]])</f>
        <v>4</v>
      </c>
      <c r="D44" s="2" t="s">
        <v>83</v>
      </c>
      <c r="E44" s="2" t="s">
        <v>84</v>
      </c>
      <c r="F44" s="1" t="s">
        <v>65</v>
      </c>
      <c r="G44" s="1" t="s">
        <v>60</v>
      </c>
      <c r="H44" s="1" t="s">
        <v>85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" s="2">
        <f>Games[[#This Row],[DaysOff]]-Games[[#This Row],[OppDaysOff]]</f>
        <v>-1</v>
      </c>
      <c r="L44" s="2">
        <f>Games[[#This Row],[OppDaysOff]]-Games[[#This Row],[DaysOff]]</f>
        <v>1</v>
      </c>
      <c r="M44" s="1">
        <f>MAX(-16, MIN(16, Games[[#This Row],[RestDiff]]*8))</f>
        <v>-8</v>
      </c>
      <c r="N44" s="1">
        <f>MAX(-16, MIN(16, Games[[#This Row],[OppRestDiff]]*8))</f>
        <v>8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1490.5577239771731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1502.4804126704096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0.34427995539038159</v>
      </c>
      <c r="R44" s="1">
        <v>74</v>
      </c>
      <c r="S44" s="1">
        <v>59</v>
      </c>
      <c r="T44" s="1">
        <v>0</v>
      </c>
      <c r="U44" s="1">
        <f>Games[[#This Row],[PointsFor]]-Games[[#This Row],[PointsAgainst]]</f>
        <v>15</v>
      </c>
      <c r="V44" s="1">
        <f>IF(Games[[#This Row],[MOV]]&gt;0,1,IF(Games[[#This Row],[MOV]]=0,0.5,0))</f>
        <v>1</v>
      </c>
      <c r="W44" s="4">
        <f>((ABS(Games[[#This Row],[MOV]])+5)^0.6)/(12+0.01*(ABS(Games[[#This Row],[PreGmRate]]-Games[[#This Row],[OppPreGmRate]])))*IF(Games[[#This Row],[OT]]=1,0.9,1)</f>
        <v>0.49790109491650425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75.400000000000006</v>
      </c>
      <c r="Z44" s="4">
        <f>Games[[#This Row],[K]]*Games[[#This Row],[POMult]]</f>
        <v>75.400000000000006</v>
      </c>
      <c r="AA44" s="4">
        <f>(Games[[#This Row],[Keff]]*Games[[#This Row],[MOVMult]])*(Games[[#This Row],[Result]]-Games[[#This Row],[ExpectedWin%]])</f>
        <v>24.616873104005034</v>
      </c>
      <c r="AB44" s="4">
        <f>Games[[#This Row],[PreGmRate]]+Games[[#This Row],[RatingChange]]</f>
        <v>1515.174597081178</v>
      </c>
      <c r="AC44" s="2">
        <f>IF(Games[[#This Row],[Type]]="R",IF(Games[[#This Row],[Result]]&gt;0.5,1,0),0)</f>
        <v>1</v>
      </c>
      <c r="AD44" s="2">
        <f>IF(Games[[#This Row],[Type]]="R",IF(Games[[#This Row],[Result]]&lt;0.5,1,0),0)</f>
        <v>0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42169</v>
      </c>
      <c r="B45" s="2">
        <v>2015</v>
      </c>
      <c r="C45" s="2">
        <f>COUNTIFS(Games[Team],Games[[#This Row],[Team]],Games[Season],Games[[#This Row],[Season]],Games[Date],"&lt;=" &amp; Games[[#This Row],[Date]])</f>
        <v>5</v>
      </c>
      <c r="D45" s="2" t="s">
        <v>83</v>
      </c>
      <c r="E45" s="2" t="s">
        <v>84</v>
      </c>
      <c r="F45" s="1" t="s">
        <v>60</v>
      </c>
      <c r="G45" s="1" t="s">
        <v>65</v>
      </c>
      <c r="H45" s="1" t="s">
        <v>86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" s="2">
        <f>Games[[#This Row],[DaysOff]]-Games[[#This Row],[OppDaysOff]]</f>
        <v>1</v>
      </c>
      <c r="L45" s="2">
        <f>Games[[#This Row],[OppDaysOff]]-Games[[#This Row],[DaysOff]]</f>
        <v>-1</v>
      </c>
      <c r="M45" s="1">
        <f>MAX(-16, MIN(16, Games[[#This Row],[RestDiff]]*8))</f>
        <v>8</v>
      </c>
      <c r="N45" s="1">
        <f>MAX(-16, MIN(16, Games[[#This Row],[OppRestDiff]]*8))</f>
        <v>-8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1502.4804126704096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1490.5577239771731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0.65572004460961841</v>
      </c>
      <c r="R45" s="1">
        <v>59</v>
      </c>
      <c r="S45" s="1">
        <v>74</v>
      </c>
      <c r="T45" s="1">
        <v>0</v>
      </c>
      <c r="U45" s="1">
        <f>Games[[#This Row],[PointsFor]]-Games[[#This Row],[PointsAgainst]]</f>
        <v>-15</v>
      </c>
      <c r="V45" s="1">
        <f>IF(Games[[#This Row],[MOV]]&gt;0,1,IF(Games[[#This Row],[MOV]]=0,0.5,0))</f>
        <v>0</v>
      </c>
      <c r="W45" s="4">
        <f>((ABS(Games[[#This Row],[MOV]])+5)^0.6)/(12+0.01*(ABS(Games[[#This Row],[PreGmRate]]-Games[[#This Row],[OppPreGmRate]])))*IF(Games[[#This Row],[OT]]=1,0.9,1)</f>
        <v>0.49790109491650425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75.25</v>
      </c>
      <c r="Z45" s="4">
        <f>Games[[#This Row],[K]]*Games[[#This Row],[POMult]]</f>
        <v>75.25</v>
      </c>
      <c r="AA45" s="4">
        <f>(Games[[#This Row],[Keff]]*Games[[#This Row],[MOVMult]])*(Games[[#This Row],[Result]]-Games[[#This Row],[ExpectedWin%]])</f>
        <v>-24.567900544779562</v>
      </c>
      <c r="AB45" s="4">
        <f>Games[[#This Row],[PreGmRate]]+Games[[#This Row],[RatingChange]]</f>
        <v>1477.91251212563</v>
      </c>
      <c r="AC45" s="2">
        <f>IF(Games[[#This Row],[Type]]="R",IF(Games[[#This Row],[Result]]&gt;0.5,1,0),0)</f>
        <v>0</v>
      </c>
      <c r="AD45" s="2">
        <f>IF(Games[[#This Row],[Type]]="R",IF(Games[[#This Row],[Result]]&lt;0.5,1,0),0)</f>
        <v>1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42169</v>
      </c>
      <c r="B46" s="2">
        <v>2015</v>
      </c>
      <c r="C46" s="2">
        <f>COUNTIFS(Games[Team],Games[[#This Row],[Team]],Games[Season],Games[[#This Row],[Season]],Games[Date],"&lt;=" &amp; Games[[#This Row],[Date]])</f>
        <v>4</v>
      </c>
      <c r="D46" s="2" t="s">
        <v>83</v>
      </c>
      <c r="E46" s="2" t="s">
        <v>84</v>
      </c>
      <c r="F46" s="1" t="s">
        <v>67</v>
      </c>
      <c r="G46" s="1" t="s">
        <v>40</v>
      </c>
      <c r="H46" s="1" t="s">
        <v>85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" s="2">
        <f>Games[[#This Row],[DaysOff]]-Games[[#This Row],[OppDaysOff]]</f>
        <v>1</v>
      </c>
      <c r="L46" s="2">
        <f>Games[[#This Row],[OppDaysOff]]-Games[[#This Row],[DaysOff]]</f>
        <v>-1</v>
      </c>
      <c r="M46" s="1">
        <f>MAX(-16, MIN(16, Games[[#This Row],[RestDiff]]*8))</f>
        <v>8</v>
      </c>
      <c r="N46" s="1">
        <f>MAX(-16, MIN(16, Games[[#This Row],[OppRestDiff]]*8))</f>
        <v>-8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1604.6869464434587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1604.3038727962926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0.40390163696598946</v>
      </c>
      <c r="R46" s="1">
        <v>66</v>
      </c>
      <c r="S46" s="1">
        <v>81</v>
      </c>
      <c r="T46" s="1">
        <v>0</v>
      </c>
      <c r="U46" s="1">
        <f>Games[[#This Row],[PointsFor]]-Games[[#This Row],[PointsAgainst]]</f>
        <v>-15</v>
      </c>
      <c r="V46" s="1">
        <f>IF(Games[[#This Row],[MOV]]&gt;0,1,IF(Games[[#This Row],[MOV]]=0,0.5,0))</f>
        <v>0</v>
      </c>
      <c r="W46" s="4">
        <f>((ABS(Games[[#This Row],[MOV]])+5)^0.6)/(12+0.01*(ABS(Games[[#This Row],[PreGmRate]]-Games[[#This Row],[OppPreGmRate]])))*IF(Games[[#This Row],[OT]]=1,0.9,1)</f>
        <v>0.50268755608251892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75.400000000000006</v>
      </c>
      <c r="Z46" s="4">
        <f>Games[[#This Row],[K]]*Games[[#This Row],[POMult]]</f>
        <v>75.400000000000006</v>
      </c>
      <c r="AA46" s="4">
        <f>(Games[[#This Row],[Keff]]*Games[[#This Row],[MOVMult]])*(Games[[#This Row],[Result]]-Games[[#This Row],[ExpectedWin%]])</f>
        <v>-15.308939039525818</v>
      </c>
      <c r="AB46" s="4">
        <f>Games[[#This Row],[PreGmRate]]+Games[[#This Row],[RatingChange]]</f>
        <v>1589.378007403933</v>
      </c>
      <c r="AC46" s="2">
        <f>IF(Games[[#This Row],[Type]]="R",IF(Games[[#This Row],[Result]]&gt;0.5,1,0),0)</f>
        <v>0</v>
      </c>
      <c r="AD46" s="2">
        <f>IF(Games[[#This Row],[Type]]="R",IF(Games[[#This Row],[Result]]&lt;0.5,1,0),0)</f>
        <v>1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42169</v>
      </c>
      <c r="B47" s="2">
        <v>2015</v>
      </c>
      <c r="C47" s="2">
        <f>COUNTIFS(Games[Team],Games[[#This Row],[Team]],Games[Season],Games[[#This Row],[Season]],Games[Date],"&lt;=" &amp; Games[[#This Row],[Date]])</f>
        <v>4</v>
      </c>
      <c r="D47" s="2" t="s">
        <v>83</v>
      </c>
      <c r="E47" s="2" t="s">
        <v>84</v>
      </c>
      <c r="F47" s="1" t="s">
        <v>40</v>
      </c>
      <c r="G47" s="1" t="s">
        <v>67</v>
      </c>
      <c r="H47" s="1" t="s">
        <v>86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" s="2">
        <f>Games[[#This Row],[DaysOff]]-Games[[#This Row],[OppDaysOff]]</f>
        <v>-1</v>
      </c>
      <c r="L47" s="2">
        <f>Games[[#This Row],[OppDaysOff]]-Games[[#This Row],[DaysOff]]</f>
        <v>1</v>
      </c>
      <c r="M47" s="1">
        <f>MAX(-16, MIN(16, Games[[#This Row],[RestDiff]]*8))</f>
        <v>-8</v>
      </c>
      <c r="N47" s="1">
        <f>MAX(-16, MIN(16, Games[[#This Row],[OppRestDiff]]*8))</f>
        <v>8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1604.3038727962926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1604.6869464434587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0.59609836303401054</v>
      </c>
      <c r="R47" s="1">
        <v>81</v>
      </c>
      <c r="S47" s="1">
        <v>66</v>
      </c>
      <c r="T47" s="1">
        <v>0</v>
      </c>
      <c r="U47" s="1">
        <f>Games[[#This Row],[PointsFor]]-Games[[#This Row],[PointsAgainst]]</f>
        <v>15</v>
      </c>
      <c r="V47" s="1">
        <f>IF(Games[[#This Row],[MOV]]&gt;0,1,IF(Games[[#This Row],[MOV]]=0,0.5,0))</f>
        <v>1</v>
      </c>
      <c r="W47" s="4">
        <f>((ABS(Games[[#This Row],[MOV]])+5)^0.6)/(12+0.01*(ABS(Games[[#This Row],[PreGmRate]]-Games[[#This Row],[OppPreGmRate]])))*IF(Games[[#This Row],[OT]]=1,0.9,1)</f>
        <v>0.50268755608251892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75.400000000000006</v>
      </c>
      <c r="Z47" s="4">
        <f>Games[[#This Row],[K]]*Games[[#This Row],[POMult]]</f>
        <v>75.400000000000006</v>
      </c>
      <c r="AA47" s="4">
        <f>(Games[[#This Row],[Keff]]*Games[[#This Row],[MOVMult]])*(Games[[#This Row],[Result]]-Games[[#This Row],[ExpectedWin%]])</f>
        <v>15.308939039525818</v>
      </c>
      <c r="AB47" s="4">
        <f>Games[[#This Row],[PreGmRate]]+Games[[#This Row],[RatingChange]]</f>
        <v>1619.6128118358183</v>
      </c>
      <c r="AC47" s="2">
        <f>IF(Games[[#This Row],[Type]]="R",IF(Games[[#This Row],[Result]]&gt;0.5,1,0),0)</f>
        <v>1</v>
      </c>
      <c r="AD47" s="2">
        <f>IF(Games[[#This Row],[Type]]="R",IF(Games[[#This Row],[Result]]&lt;0.5,1,0),0)</f>
        <v>0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42169</v>
      </c>
      <c r="B48" s="2">
        <v>2015</v>
      </c>
      <c r="C48" s="2">
        <f>COUNTIFS(Games[Team],Games[[#This Row],[Team]],Games[Season],Games[[#This Row],[Season]],Games[Date],"&lt;=" &amp; Games[[#This Row],[Date]])</f>
        <v>4</v>
      </c>
      <c r="D48" s="2" t="s">
        <v>83</v>
      </c>
      <c r="E48" s="2" t="s">
        <v>84</v>
      </c>
      <c r="F48" s="1" t="s">
        <v>81</v>
      </c>
      <c r="G48" s="1" t="s">
        <v>74</v>
      </c>
      <c r="H48" s="1" t="s">
        <v>85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4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" s="2">
        <f>Games[[#This Row],[DaysOff]]-Games[[#This Row],[OppDaysOff]]</f>
        <v>2</v>
      </c>
      <c r="L48" s="2">
        <f>Games[[#This Row],[OppDaysOff]]-Games[[#This Row],[DaysOff]]</f>
        <v>-2</v>
      </c>
      <c r="M48" s="1">
        <f>MAX(-16, MIN(16, Games[[#This Row],[RestDiff]]*8))</f>
        <v>16</v>
      </c>
      <c r="N48" s="1">
        <f>MAX(-16, MIN(16, Games[[#This Row],[OppRestDiff]]*8))</f>
        <v>-16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1482.9537506878903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1464.4151030782605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0.45199357950525432</v>
      </c>
      <c r="R48" s="1">
        <v>73</v>
      </c>
      <c r="S48" s="1">
        <v>62</v>
      </c>
      <c r="T48" s="1">
        <v>0</v>
      </c>
      <c r="U48" s="1">
        <f>Games[[#This Row],[PointsFor]]-Games[[#This Row],[PointsAgainst]]</f>
        <v>11</v>
      </c>
      <c r="V48" s="1">
        <f>IF(Games[[#This Row],[MOV]]&gt;0,1,IF(Games[[#This Row],[MOV]]=0,0.5,0))</f>
        <v>1</v>
      </c>
      <c r="W48" s="4">
        <f>((ABS(Games[[#This Row],[MOV]])+5)^0.6)/(12+0.01*(ABS(Games[[#This Row],[PreGmRate]]-Games[[#This Row],[OppPreGmRate]])))*IF(Games[[#This Row],[OT]]=1,0.9,1)</f>
        <v>0.4331443777713026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75.400000000000006</v>
      </c>
      <c r="Z48" s="4">
        <f>Games[[#This Row],[K]]*Games[[#This Row],[POMult]]</f>
        <v>75.400000000000006</v>
      </c>
      <c r="AA48" s="4">
        <f>(Games[[#This Row],[Keff]]*Games[[#This Row],[MOVMult]])*(Games[[#This Row],[Result]]-Games[[#This Row],[ExpectedWin%]])</f>
        <v>17.897388861498609</v>
      </c>
      <c r="AB48" s="4">
        <f>Games[[#This Row],[PreGmRate]]+Games[[#This Row],[RatingChange]]</f>
        <v>1500.851139549389</v>
      </c>
      <c r="AC48" s="2">
        <f>IF(Games[[#This Row],[Type]]="R",IF(Games[[#This Row],[Result]]&gt;0.5,1,0),0)</f>
        <v>1</v>
      </c>
      <c r="AD48" s="2">
        <f>IF(Games[[#This Row],[Type]]="R",IF(Games[[#This Row],[Result]]&lt;0.5,1,0),0)</f>
        <v>0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42169</v>
      </c>
      <c r="B49" s="2">
        <v>2015</v>
      </c>
      <c r="C49" s="2">
        <f>COUNTIFS(Games[Team],Games[[#This Row],[Team]],Games[Season],Games[[#This Row],[Season]],Games[Date],"&lt;=" &amp; Games[[#This Row],[Date]])</f>
        <v>3</v>
      </c>
      <c r="D49" s="2" t="s">
        <v>83</v>
      </c>
      <c r="E49" s="2" t="s">
        <v>84</v>
      </c>
      <c r="F49" s="1" t="s">
        <v>74</v>
      </c>
      <c r="G49" s="1" t="s">
        <v>81</v>
      </c>
      <c r="H49" s="1" t="s">
        <v>86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9" s="2">
        <f>Games[[#This Row],[DaysOff]]-Games[[#This Row],[OppDaysOff]]</f>
        <v>-2</v>
      </c>
      <c r="L49" s="2">
        <f>Games[[#This Row],[OppDaysOff]]-Games[[#This Row],[DaysOff]]</f>
        <v>2</v>
      </c>
      <c r="M49" s="1">
        <f>MAX(-16, MIN(16, Games[[#This Row],[RestDiff]]*8))</f>
        <v>-16</v>
      </c>
      <c r="N49" s="1">
        <f>MAX(-16, MIN(16, Games[[#This Row],[OppRestDiff]]*8))</f>
        <v>16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1464.4151030782605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1482.9537506878903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0.54800642049474568</v>
      </c>
      <c r="R49" s="1">
        <v>62</v>
      </c>
      <c r="S49" s="1">
        <v>73</v>
      </c>
      <c r="T49" s="1">
        <v>0</v>
      </c>
      <c r="U49" s="1">
        <f>Games[[#This Row],[PointsFor]]-Games[[#This Row],[PointsAgainst]]</f>
        <v>-11</v>
      </c>
      <c r="V49" s="1">
        <f>IF(Games[[#This Row],[MOV]]&gt;0,1,IF(Games[[#This Row],[MOV]]=0,0.5,0))</f>
        <v>0</v>
      </c>
      <c r="W49" s="4">
        <f>((ABS(Games[[#This Row],[MOV]])+5)^0.6)/(12+0.01*(ABS(Games[[#This Row],[PreGmRate]]-Games[[#This Row],[OppPreGmRate]])))*IF(Games[[#This Row],[OT]]=1,0.9,1)</f>
        <v>0.4331443777713026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75.55</v>
      </c>
      <c r="Z49" s="4">
        <f>Games[[#This Row],[K]]*Games[[#This Row],[POMult]]</f>
        <v>75.55</v>
      </c>
      <c r="AA49" s="4">
        <f>(Games[[#This Row],[Keff]]*Games[[#This Row],[MOVMult]])*(Games[[#This Row],[Result]]-Games[[#This Row],[ExpectedWin%]])</f>
        <v>-17.932993746501587</v>
      </c>
      <c r="AB49" s="4">
        <f>Games[[#This Row],[PreGmRate]]+Games[[#This Row],[RatingChange]]</f>
        <v>1446.4821093317589</v>
      </c>
      <c r="AC49" s="2">
        <f>IF(Games[[#This Row],[Type]]="R",IF(Games[[#This Row],[Result]]&gt;0.5,1,0),0)</f>
        <v>0</v>
      </c>
      <c r="AD49" s="2">
        <f>IF(Games[[#This Row],[Type]]="R",IF(Games[[#This Row],[Result]]&lt;0.5,1,0),0)</f>
        <v>1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42171</v>
      </c>
      <c r="B50" s="2">
        <v>2015</v>
      </c>
      <c r="C50" s="2">
        <f>COUNTIFS(Games[Team],Games[[#This Row],[Team]],Games[Season],Games[[#This Row],[Season]],Games[Date],"&lt;=" &amp; Games[[#This Row],[Date]])</f>
        <v>6</v>
      </c>
      <c r="D50" s="2" t="s">
        <v>83</v>
      </c>
      <c r="E50" s="2" t="s">
        <v>84</v>
      </c>
      <c r="F50" s="1" t="s">
        <v>69</v>
      </c>
      <c r="G50" s="1" t="s">
        <v>79</v>
      </c>
      <c r="H50" s="1" t="s">
        <v>85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" s="2">
        <f>Games[[#This Row],[DaysOff]]-Games[[#This Row],[OppDaysOff]]</f>
        <v>0</v>
      </c>
      <c r="L50" s="2">
        <f>Games[[#This Row],[OppDaysOff]]-Games[[#This Row],[DaysOff]]</f>
        <v>0</v>
      </c>
      <c r="M50" s="1">
        <f>MAX(-16, MIN(16, Games[[#This Row],[RestDiff]]*8))</f>
        <v>0</v>
      </c>
      <c r="N50" s="1">
        <f>MAX(-16, MIN(16, Games[[#This Row],[OppRestDiff]]*8))</f>
        <v>0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1435.209652610389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1478.138138365013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0.32505010957934344</v>
      </c>
      <c r="R50" s="1">
        <v>90</v>
      </c>
      <c r="S50" s="1">
        <v>79</v>
      </c>
      <c r="T50" s="1">
        <v>0</v>
      </c>
      <c r="U50" s="1">
        <f>Games[[#This Row],[PointsFor]]-Games[[#This Row],[PointsAgainst]]</f>
        <v>11</v>
      </c>
      <c r="V50" s="1">
        <f>IF(Games[[#This Row],[MOV]]&gt;0,1,IF(Games[[#This Row],[MOV]]=0,0.5,0))</f>
        <v>1</v>
      </c>
      <c r="W50" s="4">
        <f>((ABS(Games[[#This Row],[MOV]])+5)^0.6)/(12+0.01*(ABS(Games[[#This Row],[PreGmRate]]-Games[[#This Row],[OppPreGmRate]])))*IF(Games[[#This Row],[OT]]=1,0.9,1)</f>
        <v>0.42464483705891609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75.099999999999994</v>
      </c>
      <c r="Z50" s="4">
        <f>Games[[#This Row],[K]]*Games[[#This Row],[POMult]]</f>
        <v>75.099999999999994</v>
      </c>
      <c r="AA50" s="4">
        <f>(Games[[#This Row],[Keff]]*Games[[#This Row],[MOVMult]])*(Games[[#This Row],[Result]]-Games[[#This Row],[ExpectedWin%]])</f>
        <v>21.524710366670032</v>
      </c>
      <c r="AB50" s="4">
        <f>Games[[#This Row],[PreGmRate]]+Games[[#This Row],[RatingChange]]</f>
        <v>1456.7343629770589</v>
      </c>
      <c r="AC50" s="2">
        <f>IF(Games[[#This Row],[Type]]="R",IF(Games[[#This Row],[Result]]&gt;0.5,1,0),0)</f>
        <v>1</v>
      </c>
      <c r="AD50" s="2">
        <f>IF(Games[[#This Row],[Type]]="R",IF(Games[[#This Row],[Result]]&lt;0.5,1,0),0)</f>
        <v>0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42171</v>
      </c>
      <c r="B51" s="2">
        <v>2015</v>
      </c>
      <c r="C51" s="2">
        <f>COUNTIFS(Games[Team],Games[[#This Row],[Team]],Games[Season],Games[[#This Row],[Season]],Games[Date],"&lt;=" &amp; Games[[#This Row],[Date]])</f>
        <v>6</v>
      </c>
      <c r="D51" s="2" t="s">
        <v>83</v>
      </c>
      <c r="E51" s="2" t="s">
        <v>84</v>
      </c>
      <c r="F51" s="1" t="s">
        <v>79</v>
      </c>
      <c r="G51" s="1" t="s">
        <v>69</v>
      </c>
      <c r="H51" s="1" t="s">
        <v>86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" s="2">
        <f>Games[[#This Row],[DaysOff]]-Games[[#This Row],[OppDaysOff]]</f>
        <v>0</v>
      </c>
      <c r="L51" s="2">
        <f>Games[[#This Row],[OppDaysOff]]-Games[[#This Row],[DaysOff]]</f>
        <v>0</v>
      </c>
      <c r="M51" s="1">
        <f>MAX(-16, MIN(16, Games[[#This Row],[RestDiff]]*8))</f>
        <v>0</v>
      </c>
      <c r="N51" s="1">
        <f>MAX(-16, MIN(16, Games[[#This Row],[OppRestDiff]]*8))</f>
        <v>0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1478.138138365013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1435.209652610389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0.67494989042065656</v>
      </c>
      <c r="R51" s="1">
        <v>79</v>
      </c>
      <c r="S51" s="1">
        <v>90</v>
      </c>
      <c r="T51" s="1">
        <v>0</v>
      </c>
      <c r="U51" s="1">
        <f>Games[[#This Row],[PointsFor]]-Games[[#This Row],[PointsAgainst]]</f>
        <v>-11</v>
      </c>
      <c r="V51" s="1">
        <f>IF(Games[[#This Row],[MOV]]&gt;0,1,IF(Games[[#This Row],[MOV]]=0,0.5,0))</f>
        <v>0</v>
      </c>
      <c r="W51" s="4">
        <f>((ABS(Games[[#This Row],[MOV]])+5)^0.6)/(12+0.01*(ABS(Games[[#This Row],[PreGmRate]]-Games[[#This Row],[OppPreGmRate]])))*IF(Games[[#This Row],[OT]]=1,0.9,1)</f>
        <v>0.42464483705891609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75.099999999999994</v>
      </c>
      <c r="Z51" s="4">
        <f>Games[[#This Row],[K]]*Games[[#This Row],[POMult]]</f>
        <v>75.099999999999994</v>
      </c>
      <c r="AA51" s="4">
        <f>(Games[[#This Row],[Keff]]*Games[[#This Row],[MOVMult]])*(Games[[#This Row],[Result]]-Games[[#This Row],[ExpectedWin%]])</f>
        <v>-21.524710366670032</v>
      </c>
      <c r="AB51" s="4">
        <f>Games[[#This Row],[PreGmRate]]+Games[[#This Row],[RatingChange]]</f>
        <v>1456.613427998343</v>
      </c>
      <c r="AC51" s="2">
        <f>IF(Games[[#This Row],[Type]]="R",IF(Games[[#This Row],[Result]]&gt;0.5,1,0),0)</f>
        <v>0</v>
      </c>
      <c r="AD51" s="2">
        <f>IF(Games[[#This Row],[Type]]="R",IF(Games[[#This Row],[Result]]&lt;0.5,1,0),0)</f>
        <v>1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42171</v>
      </c>
      <c r="B52" s="2">
        <v>2015</v>
      </c>
      <c r="C52" s="2">
        <f>COUNTIFS(Games[Team],Games[[#This Row],[Team]],Games[Season],Games[[#This Row],[Season]],Games[Date],"&lt;=" &amp; Games[[#This Row],[Date]])</f>
        <v>5</v>
      </c>
      <c r="D52" s="2" t="s">
        <v>83</v>
      </c>
      <c r="E52" s="2" t="s">
        <v>84</v>
      </c>
      <c r="F52" s="1" t="s">
        <v>67</v>
      </c>
      <c r="G52" s="1" t="s">
        <v>63</v>
      </c>
      <c r="H52" s="1" t="s">
        <v>85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" s="2">
        <f>Games[[#This Row],[DaysOff]]-Games[[#This Row],[OppDaysOff]]</f>
        <v>0</v>
      </c>
      <c r="L52" s="2">
        <f>Games[[#This Row],[OppDaysOff]]-Games[[#This Row],[DaysOff]]</f>
        <v>0</v>
      </c>
      <c r="M52" s="1">
        <f>MAX(-16, MIN(16, Games[[#This Row],[RestDiff]]*8))</f>
        <v>0</v>
      </c>
      <c r="N52" s="1">
        <f>MAX(-16, MIN(16, Games[[#This Row],[OppRestDiff]]*8))</f>
        <v>0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1589.378007403933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1468.0388717191668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0.55352940703030185</v>
      </c>
      <c r="R52" s="1">
        <v>67</v>
      </c>
      <c r="S52" s="1">
        <v>52</v>
      </c>
      <c r="T52" s="1">
        <v>0</v>
      </c>
      <c r="U52" s="1">
        <f>Games[[#This Row],[PointsFor]]-Games[[#This Row],[PointsAgainst]]</f>
        <v>15</v>
      </c>
      <c r="V52" s="1">
        <f>IF(Games[[#This Row],[MOV]]&gt;0,1,IF(Games[[#This Row],[MOV]]=0,0.5,0))</f>
        <v>1</v>
      </c>
      <c r="W52" s="4">
        <f>((ABS(Games[[#This Row],[MOV]])+5)^0.6)/(12+0.01*(ABS(Games[[#This Row],[PreGmRate]]-Games[[#This Row],[OppPreGmRate]])))*IF(Games[[#This Row],[OT]]=1,0.9,1)</f>
        <v>0.4566712794303206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75.25</v>
      </c>
      <c r="Z52" s="4">
        <f>Games[[#This Row],[K]]*Games[[#This Row],[POMult]]</f>
        <v>75.25</v>
      </c>
      <c r="AA52" s="4">
        <f>(Games[[#This Row],[Keff]]*Games[[#This Row],[MOVMult]])*(Games[[#This Row],[Result]]-Games[[#This Row],[ExpectedWin%]])</f>
        <v>15.342744843191319</v>
      </c>
      <c r="AB52" s="4">
        <f>Games[[#This Row],[PreGmRate]]+Games[[#This Row],[RatingChange]]</f>
        <v>1604.7207522471242</v>
      </c>
      <c r="AC52" s="2">
        <f>IF(Games[[#This Row],[Type]]="R",IF(Games[[#This Row],[Result]]&gt;0.5,1,0),0)</f>
        <v>1</v>
      </c>
      <c r="AD52" s="2">
        <f>IF(Games[[#This Row],[Type]]="R",IF(Games[[#This Row],[Result]]&lt;0.5,1,0),0)</f>
        <v>0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42171</v>
      </c>
      <c r="B53" s="2">
        <v>2015</v>
      </c>
      <c r="C53" s="2">
        <f>COUNTIFS(Games[Team],Games[[#This Row],[Team]],Games[Season],Games[[#This Row],[Season]],Games[Date],"&lt;=" &amp; Games[[#This Row],[Date]])</f>
        <v>3</v>
      </c>
      <c r="D53" s="2" t="s">
        <v>83</v>
      </c>
      <c r="E53" s="2" t="s">
        <v>84</v>
      </c>
      <c r="F53" s="1" t="s">
        <v>63</v>
      </c>
      <c r="G53" s="1" t="s">
        <v>67</v>
      </c>
      <c r="H53" s="1" t="s">
        <v>86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" s="2">
        <f>Games[[#This Row],[DaysOff]]-Games[[#This Row],[OppDaysOff]]</f>
        <v>0</v>
      </c>
      <c r="L53" s="2">
        <f>Games[[#This Row],[OppDaysOff]]-Games[[#This Row],[DaysOff]]</f>
        <v>0</v>
      </c>
      <c r="M53" s="1">
        <f>MAX(-16, MIN(16, Games[[#This Row],[RestDiff]]*8))</f>
        <v>0</v>
      </c>
      <c r="N53" s="1">
        <f>MAX(-16, MIN(16, Games[[#This Row],[OppRestDiff]]*8))</f>
        <v>0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1468.0388717191668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1589.378007403933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0.44647059296969804</v>
      </c>
      <c r="R53" s="1">
        <v>52</v>
      </c>
      <c r="S53" s="1">
        <v>67</v>
      </c>
      <c r="T53" s="1">
        <v>0</v>
      </c>
      <c r="U53" s="1">
        <f>Games[[#This Row],[PointsFor]]-Games[[#This Row],[PointsAgainst]]</f>
        <v>-15</v>
      </c>
      <c r="V53" s="1">
        <f>IF(Games[[#This Row],[MOV]]&gt;0,1,IF(Games[[#This Row],[MOV]]=0,0.5,0))</f>
        <v>0</v>
      </c>
      <c r="W53" s="4">
        <f>((ABS(Games[[#This Row],[MOV]])+5)^0.6)/(12+0.01*(ABS(Games[[#This Row],[PreGmRate]]-Games[[#This Row],[OppPreGmRate]])))*IF(Games[[#This Row],[OT]]=1,0.9,1)</f>
        <v>0.4566712794303206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75.55</v>
      </c>
      <c r="Z53" s="4">
        <f>Games[[#This Row],[K]]*Games[[#This Row],[POMult]]</f>
        <v>75.55</v>
      </c>
      <c r="AA53" s="4">
        <f>(Games[[#This Row],[Keff]]*Games[[#This Row],[MOVMult]])*(Games[[#This Row],[Result]]-Games[[#This Row],[ExpectedWin%]])</f>
        <v>-15.40391193226716</v>
      </c>
      <c r="AB53" s="4">
        <f>Games[[#This Row],[PreGmRate]]+Games[[#This Row],[RatingChange]]</f>
        <v>1452.6349597868996</v>
      </c>
      <c r="AC53" s="2">
        <f>IF(Games[[#This Row],[Type]]="R",IF(Games[[#This Row],[Result]]&gt;0.5,1,0),0)</f>
        <v>0</v>
      </c>
      <c r="AD53" s="2">
        <f>IF(Games[[#This Row],[Type]]="R",IF(Games[[#This Row],[Result]]&lt;0.5,1,0),0)</f>
        <v>1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42171</v>
      </c>
      <c r="B54" s="2">
        <v>2015</v>
      </c>
      <c r="C54" s="2">
        <f>COUNTIFS(Games[Team],Games[[#This Row],[Team]],Games[Season],Games[[#This Row],[Season]],Games[Date],"&lt;=" &amp; Games[[#This Row],[Date]])</f>
        <v>5</v>
      </c>
      <c r="D54" s="2" t="s">
        <v>83</v>
      </c>
      <c r="E54" s="2" t="s">
        <v>84</v>
      </c>
      <c r="F54" s="1" t="s">
        <v>76</v>
      </c>
      <c r="G54" s="1" t="s">
        <v>71</v>
      </c>
      <c r="H54" s="1" t="s">
        <v>85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" s="2">
        <f>Games[[#This Row],[DaysOff]]-Games[[#This Row],[OppDaysOff]]</f>
        <v>0</v>
      </c>
      <c r="L54" s="2">
        <f>Games[[#This Row],[OppDaysOff]]-Games[[#This Row],[DaysOff]]</f>
        <v>0</v>
      </c>
      <c r="M54" s="1">
        <f>MAX(-16, MIN(16, Games[[#This Row],[RestDiff]]*8))</f>
        <v>0</v>
      </c>
      <c r="N54" s="1">
        <f>MAX(-16, MIN(16, Games[[#This Row],[OppRestDiff]]*8))</f>
        <v>0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1488.0852517701503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1468.1171025134774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0.40888008834619644</v>
      </c>
      <c r="R54" s="1">
        <v>79</v>
      </c>
      <c r="S54" s="1">
        <v>58</v>
      </c>
      <c r="T54" s="1">
        <v>0</v>
      </c>
      <c r="U54" s="1">
        <f>Games[[#This Row],[PointsFor]]-Games[[#This Row],[PointsAgainst]]</f>
        <v>21</v>
      </c>
      <c r="V54" s="1">
        <f>IF(Games[[#This Row],[MOV]]&gt;0,1,IF(Games[[#This Row],[MOV]]=0,0.5,0))</f>
        <v>1</v>
      </c>
      <c r="W54" s="4">
        <f>((ABS(Games[[#This Row],[MOV]])+5)^0.6)/(12+0.01*(ABS(Games[[#This Row],[PreGmRate]]-Games[[#This Row],[OppPreGmRate]])))*IF(Games[[#This Row],[OT]]=1,0.9,1)</f>
        <v>0.57894261235855082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75.25</v>
      </c>
      <c r="Z54" s="4">
        <f>Games[[#This Row],[K]]*Games[[#This Row],[POMult]]</f>
        <v>75.25</v>
      </c>
      <c r="AA54" s="4">
        <f>(Games[[#This Row],[Keff]]*Games[[#This Row],[MOVMult]])*(Games[[#This Row],[Result]]-Games[[#This Row],[ExpectedWin%]])</f>
        <v>25.752394066718161</v>
      </c>
      <c r="AB54" s="4">
        <f>Games[[#This Row],[PreGmRate]]+Games[[#This Row],[RatingChange]]</f>
        <v>1513.8376458368684</v>
      </c>
      <c r="AC54" s="2">
        <f>IF(Games[[#This Row],[Type]]="R",IF(Games[[#This Row],[Result]]&gt;0.5,1,0),0)</f>
        <v>1</v>
      </c>
      <c r="AD54" s="2">
        <f>IF(Games[[#This Row],[Type]]="R",IF(Games[[#This Row],[Result]]&lt;0.5,1,0),0)</f>
        <v>0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42171</v>
      </c>
      <c r="B55" s="2">
        <v>2015</v>
      </c>
      <c r="C55" s="2">
        <f>COUNTIFS(Games[Team],Games[[#This Row],[Team]],Games[Season],Games[[#This Row],[Season]],Games[Date],"&lt;=" &amp; Games[[#This Row],[Date]])</f>
        <v>5</v>
      </c>
      <c r="D55" s="2" t="s">
        <v>83</v>
      </c>
      <c r="E55" s="2" t="s">
        <v>84</v>
      </c>
      <c r="F55" s="1" t="s">
        <v>71</v>
      </c>
      <c r="G55" s="1" t="s">
        <v>76</v>
      </c>
      <c r="H55" s="1" t="s">
        <v>86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5" s="2">
        <f>Games[[#This Row],[DaysOff]]-Games[[#This Row],[OppDaysOff]]</f>
        <v>0</v>
      </c>
      <c r="L55" s="2">
        <f>Games[[#This Row],[OppDaysOff]]-Games[[#This Row],[DaysOff]]</f>
        <v>0</v>
      </c>
      <c r="M55" s="1">
        <f>MAX(-16, MIN(16, Games[[#This Row],[RestDiff]]*8))</f>
        <v>0</v>
      </c>
      <c r="N55" s="1">
        <f>MAX(-16, MIN(16, Games[[#This Row],[OppRestDiff]]*8))</f>
        <v>0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1468.1171025134774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1488.0852517701503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0.59111991165380351</v>
      </c>
      <c r="R55" s="1">
        <v>58</v>
      </c>
      <c r="S55" s="1">
        <v>79</v>
      </c>
      <c r="T55" s="1">
        <v>0</v>
      </c>
      <c r="U55" s="1">
        <f>Games[[#This Row],[PointsFor]]-Games[[#This Row],[PointsAgainst]]</f>
        <v>-21</v>
      </c>
      <c r="V55" s="1">
        <f>IF(Games[[#This Row],[MOV]]&gt;0,1,IF(Games[[#This Row],[MOV]]=0,0.5,0))</f>
        <v>0</v>
      </c>
      <c r="W55" s="4">
        <f>((ABS(Games[[#This Row],[MOV]])+5)^0.6)/(12+0.01*(ABS(Games[[#This Row],[PreGmRate]]-Games[[#This Row],[OppPreGmRate]])))*IF(Games[[#This Row],[OT]]=1,0.9,1)</f>
        <v>0.57894261235855082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75.25</v>
      </c>
      <c r="Z55" s="4">
        <f>Games[[#This Row],[K]]*Games[[#This Row],[POMult]]</f>
        <v>75.25</v>
      </c>
      <c r="AA55" s="4">
        <f>(Games[[#This Row],[Keff]]*Games[[#This Row],[MOVMult]])*(Games[[#This Row],[Result]]-Games[[#This Row],[ExpectedWin%]])</f>
        <v>-25.752394066718161</v>
      </c>
      <c r="AB55" s="4">
        <f>Games[[#This Row],[PreGmRate]]+Games[[#This Row],[RatingChange]]</f>
        <v>1442.3647084467593</v>
      </c>
      <c r="AC55" s="2">
        <f>IF(Games[[#This Row],[Type]]="R",IF(Games[[#This Row],[Result]]&gt;0.5,1,0),0)</f>
        <v>0</v>
      </c>
      <c r="AD55" s="2">
        <f>IF(Games[[#This Row],[Type]]="R",IF(Games[[#This Row],[Result]]&lt;0.5,1,0),0)</f>
        <v>1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42171</v>
      </c>
      <c r="B56" s="2">
        <v>2015</v>
      </c>
      <c r="C56" s="2">
        <f>COUNTIFS(Games[Team],Games[[#This Row],[Team]],Games[Season],Games[[#This Row],[Season]],Games[Date],"&lt;=" &amp; Games[[#This Row],[Date]])</f>
        <v>4</v>
      </c>
      <c r="D56" s="2" t="s">
        <v>83</v>
      </c>
      <c r="E56" s="2" t="s">
        <v>84</v>
      </c>
      <c r="F56" s="1" t="s">
        <v>74</v>
      </c>
      <c r="G56" s="1" t="s">
        <v>81</v>
      </c>
      <c r="H56" s="1" t="s">
        <v>85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6" s="2">
        <f>Games[[#This Row],[DaysOff]]-Games[[#This Row],[OppDaysOff]]</f>
        <v>0</v>
      </c>
      <c r="L56" s="2">
        <f>Games[[#This Row],[OppDaysOff]]-Games[[#This Row],[DaysOff]]</f>
        <v>0</v>
      </c>
      <c r="M56" s="1">
        <f>MAX(-16, MIN(16, Games[[#This Row],[RestDiff]]*8))</f>
        <v>0</v>
      </c>
      <c r="N56" s="1">
        <f>MAX(-16, MIN(16, Games[[#This Row],[OppRestDiff]]*8))</f>
        <v>0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1446.4821093317589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1500.851139549389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0.31077123758550057</v>
      </c>
      <c r="R56" s="1">
        <v>61</v>
      </c>
      <c r="S56" s="1">
        <v>88</v>
      </c>
      <c r="T56" s="1">
        <v>0</v>
      </c>
      <c r="U56" s="1">
        <f>Games[[#This Row],[PointsFor]]-Games[[#This Row],[PointsAgainst]]</f>
        <v>-27</v>
      </c>
      <c r="V56" s="1">
        <f>IF(Games[[#This Row],[MOV]]&gt;0,1,IF(Games[[#This Row],[MOV]]=0,0.5,0))</f>
        <v>0</v>
      </c>
      <c r="W56" s="4">
        <f>((ABS(Games[[#This Row],[MOV]])+5)^0.6)/(12+0.01*(ABS(Games[[#This Row],[PreGmRate]]-Games[[#This Row],[OppPreGmRate]])))*IF(Games[[#This Row],[OT]]=1,0.9,1)</f>
        <v>0.63777084791482908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75.400000000000006</v>
      </c>
      <c r="Z56" s="4">
        <f>Games[[#This Row],[K]]*Games[[#This Row],[POMult]]</f>
        <v>75.400000000000006</v>
      </c>
      <c r="AA56" s="4">
        <f>(Games[[#This Row],[Keff]]*Games[[#This Row],[MOVMult]])*(Games[[#This Row],[Result]]-Games[[#This Row],[ExpectedWin%]])</f>
        <v>-14.944343011964392</v>
      </c>
      <c r="AB56" s="4">
        <f>Games[[#This Row],[PreGmRate]]+Games[[#This Row],[RatingChange]]</f>
        <v>1431.5377663197946</v>
      </c>
      <c r="AC56" s="2">
        <f>IF(Games[[#This Row],[Type]]="R",IF(Games[[#This Row],[Result]]&gt;0.5,1,0),0)</f>
        <v>0</v>
      </c>
      <c r="AD56" s="2">
        <f>IF(Games[[#This Row],[Type]]="R",IF(Games[[#This Row],[Result]]&lt;0.5,1,0),0)</f>
        <v>1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42171</v>
      </c>
      <c r="B57" s="2">
        <v>2015</v>
      </c>
      <c r="C57" s="2">
        <f>COUNTIFS(Games[Team],Games[[#This Row],[Team]],Games[Season],Games[[#This Row],[Season]],Games[Date],"&lt;=" &amp; Games[[#This Row],[Date]])</f>
        <v>5</v>
      </c>
      <c r="D57" s="2" t="s">
        <v>83</v>
      </c>
      <c r="E57" s="2" t="s">
        <v>84</v>
      </c>
      <c r="F57" s="1" t="s">
        <v>81</v>
      </c>
      <c r="G57" s="1" t="s">
        <v>74</v>
      </c>
      <c r="H57" s="1" t="s">
        <v>86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7" s="2">
        <f>Games[[#This Row],[DaysOff]]-Games[[#This Row],[OppDaysOff]]</f>
        <v>0</v>
      </c>
      <c r="L57" s="2">
        <f>Games[[#This Row],[OppDaysOff]]-Games[[#This Row],[DaysOff]]</f>
        <v>0</v>
      </c>
      <c r="M57" s="1">
        <f>MAX(-16, MIN(16, Games[[#This Row],[RestDiff]]*8))</f>
        <v>0</v>
      </c>
      <c r="N57" s="1">
        <f>MAX(-16, MIN(16, Games[[#This Row],[OppRestDiff]]*8))</f>
        <v>0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1500.851139549389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1446.4821093317589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0.68922876241449937</v>
      </c>
      <c r="R57" s="1">
        <v>88</v>
      </c>
      <c r="S57" s="1">
        <v>61</v>
      </c>
      <c r="T57" s="1">
        <v>0</v>
      </c>
      <c r="U57" s="1">
        <f>Games[[#This Row],[PointsFor]]-Games[[#This Row],[PointsAgainst]]</f>
        <v>27</v>
      </c>
      <c r="V57" s="1">
        <f>IF(Games[[#This Row],[MOV]]&gt;0,1,IF(Games[[#This Row],[MOV]]=0,0.5,0))</f>
        <v>1</v>
      </c>
      <c r="W57" s="4">
        <f>((ABS(Games[[#This Row],[MOV]])+5)^0.6)/(12+0.01*(ABS(Games[[#This Row],[PreGmRate]]-Games[[#This Row],[OppPreGmRate]])))*IF(Games[[#This Row],[OT]]=1,0.9,1)</f>
        <v>0.63777084791482908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75.25</v>
      </c>
      <c r="Z57" s="4">
        <f>Games[[#This Row],[K]]*Games[[#This Row],[POMult]]</f>
        <v>75.25</v>
      </c>
      <c r="AA57" s="4">
        <f>(Games[[#This Row],[Keff]]*Games[[#This Row],[MOVMult]])*(Games[[#This Row],[Result]]-Games[[#This Row],[ExpectedWin%]])</f>
        <v>14.914612886609026</v>
      </c>
      <c r="AB57" s="4">
        <f>Games[[#This Row],[PreGmRate]]+Games[[#This Row],[RatingChange]]</f>
        <v>1515.7657524359981</v>
      </c>
      <c r="AC57" s="2">
        <f>IF(Games[[#This Row],[Type]]="R",IF(Games[[#This Row],[Result]]&gt;0.5,1,0),0)</f>
        <v>1</v>
      </c>
      <c r="AD57" s="2">
        <f>IF(Games[[#This Row],[Type]]="R",IF(Games[[#This Row],[Result]]&lt;0.5,1,0),0)</f>
        <v>0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42174</v>
      </c>
      <c r="B58" s="2">
        <v>2015</v>
      </c>
      <c r="C58" s="2">
        <f>COUNTIFS(Games[Team],Games[[#This Row],[Team]],Games[Season],Games[[#This Row],[Season]],Games[Date],"&lt;=" &amp; Games[[#This Row],[Date]])</f>
        <v>5</v>
      </c>
      <c r="D58" s="2" t="s">
        <v>83</v>
      </c>
      <c r="E58" s="2" t="s">
        <v>84</v>
      </c>
      <c r="F58" s="1" t="s">
        <v>77</v>
      </c>
      <c r="G58" s="1" t="s">
        <v>79</v>
      </c>
      <c r="H58" s="1" t="s">
        <v>85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4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8" s="2">
        <f>Games[[#This Row],[DaysOff]]-Games[[#This Row],[OppDaysOff]]</f>
        <v>2</v>
      </c>
      <c r="L58" s="2">
        <f>Games[[#This Row],[OppDaysOff]]-Games[[#This Row],[DaysOff]]</f>
        <v>-2</v>
      </c>
      <c r="M58" s="1">
        <f>MAX(-16, MIN(16, Games[[#This Row],[RestDiff]]*8))</f>
        <v>16</v>
      </c>
      <c r="N58" s="1">
        <f>MAX(-16, MIN(16, Games[[#This Row],[OppRestDiff]]*8))</f>
        <v>-16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1514.0792384058325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1456.613427998343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0.507865284625033</v>
      </c>
      <c r="R58" s="1">
        <v>73</v>
      </c>
      <c r="S58" s="1">
        <v>74</v>
      </c>
      <c r="T58" s="1">
        <v>0</v>
      </c>
      <c r="U58" s="1">
        <f>Games[[#This Row],[PointsFor]]-Games[[#This Row],[PointsAgainst]]</f>
        <v>-1</v>
      </c>
      <c r="V58" s="1">
        <f>IF(Games[[#This Row],[MOV]]&gt;0,1,IF(Games[[#This Row],[MOV]]=0,0.5,0))</f>
        <v>0</v>
      </c>
      <c r="W58" s="4">
        <f>((ABS(Games[[#This Row],[MOV]])+5)^0.6)/(12+0.01*(ABS(Games[[#This Row],[PreGmRate]]-Games[[#This Row],[OppPreGmRate]])))*IF(Games[[#This Row],[OT]]=1,0.9,1)</f>
        <v>0.23302073323440789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75.25</v>
      </c>
      <c r="Z58" s="4">
        <f>Games[[#This Row],[K]]*Games[[#This Row],[POMult]]</f>
        <v>75.25</v>
      </c>
      <c r="AA58" s="4">
        <f>(Games[[#This Row],[Keff]]*Games[[#This Row],[MOVMult]])*(Games[[#This Row],[Result]]-Games[[#This Row],[ExpectedWin%]])</f>
        <v>-8.9053213608238906</v>
      </c>
      <c r="AB58" s="4">
        <f>Games[[#This Row],[PreGmRate]]+Games[[#This Row],[RatingChange]]</f>
        <v>1505.1739170450087</v>
      </c>
      <c r="AC58" s="2">
        <f>IF(Games[[#This Row],[Type]]="R",IF(Games[[#This Row],[Result]]&gt;0.5,1,0),0)</f>
        <v>0</v>
      </c>
      <c r="AD58" s="2">
        <f>IF(Games[[#This Row],[Type]]="R",IF(Games[[#This Row],[Result]]&lt;0.5,1,0),0)</f>
        <v>1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42174</v>
      </c>
      <c r="B59" s="2">
        <v>2015</v>
      </c>
      <c r="C59" s="2">
        <f>COUNTIFS(Games[Team],Games[[#This Row],[Team]],Games[Season],Games[[#This Row],[Season]],Games[Date],"&lt;=" &amp; Games[[#This Row],[Date]])</f>
        <v>7</v>
      </c>
      <c r="D59" s="2" t="s">
        <v>83</v>
      </c>
      <c r="E59" s="2" t="s">
        <v>84</v>
      </c>
      <c r="F59" s="1" t="s">
        <v>79</v>
      </c>
      <c r="G59" s="1" t="s">
        <v>77</v>
      </c>
      <c r="H59" s="1" t="s">
        <v>86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9" s="2">
        <f>Games[[#This Row],[DaysOff]]-Games[[#This Row],[OppDaysOff]]</f>
        <v>-2</v>
      </c>
      <c r="L59" s="2">
        <f>Games[[#This Row],[OppDaysOff]]-Games[[#This Row],[DaysOff]]</f>
        <v>2</v>
      </c>
      <c r="M59" s="1">
        <f>MAX(-16, MIN(16, Games[[#This Row],[RestDiff]]*8))</f>
        <v>-16</v>
      </c>
      <c r="N59" s="1">
        <f>MAX(-16, MIN(16, Games[[#This Row],[OppRestDiff]]*8))</f>
        <v>16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1456.613427998343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1514.0792384058325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0.492134715374967</v>
      </c>
      <c r="R59" s="1">
        <v>74</v>
      </c>
      <c r="S59" s="1">
        <v>73</v>
      </c>
      <c r="T59" s="1">
        <v>0</v>
      </c>
      <c r="U59" s="1">
        <f>Games[[#This Row],[PointsFor]]-Games[[#This Row],[PointsAgainst]]</f>
        <v>1</v>
      </c>
      <c r="V59" s="1">
        <f>IF(Games[[#This Row],[MOV]]&gt;0,1,IF(Games[[#This Row],[MOV]]=0,0.5,0))</f>
        <v>1</v>
      </c>
      <c r="W59" s="4">
        <f>((ABS(Games[[#This Row],[MOV]])+5)^0.6)/(12+0.01*(ABS(Games[[#This Row],[PreGmRate]]-Games[[#This Row],[OppPreGmRate]])))*IF(Games[[#This Row],[OT]]=1,0.9,1)</f>
        <v>0.23302073323440789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74.95</v>
      </c>
      <c r="Z59" s="4">
        <f>Games[[#This Row],[K]]*Games[[#This Row],[POMult]]</f>
        <v>74.95</v>
      </c>
      <c r="AA59" s="4">
        <f>(Games[[#This Row],[Keff]]*Games[[#This Row],[MOVMult]])*(Games[[#This Row],[Result]]-Games[[#This Row],[ExpectedWin%]])</f>
        <v>8.8698184185216018</v>
      </c>
      <c r="AB59" s="4">
        <f>Games[[#This Row],[PreGmRate]]+Games[[#This Row],[RatingChange]]</f>
        <v>1465.4832464168646</v>
      </c>
      <c r="AC59" s="2">
        <f>IF(Games[[#This Row],[Type]]="R",IF(Games[[#This Row],[Result]]&gt;0.5,1,0),0)</f>
        <v>1</v>
      </c>
      <c r="AD59" s="2">
        <f>IF(Games[[#This Row],[Type]]="R",IF(Games[[#This Row],[Result]]&lt;0.5,1,0),0)</f>
        <v>0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42174</v>
      </c>
      <c r="B60" s="2">
        <v>2015</v>
      </c>
      <c r="C60" s="2">
        <f>COUNTIFS(Games[Team],Games[[#This Row],[Team]],Games[Season],Games[[#This Row],[Season]],Games[Date],"&lt;=" &amp; Games[[#This Row],[Date]])</f>
        <v>7</v>
      </c>
      <c r="D60" s="2" t="s">
        <v>83</v>
      </c>
      <c r="E60" s="2" t="s">
        <v>84</v>
      </c>
      <c r="F60" s="1" t="s">
        <v>69</v>
      </c>
      <c r="G60" s="1" t="s">
        <v>60</v>
      </c>
      <c r="H60" s="1" t="s">
        <v>85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60" s="2">
        <f>Games[[#This Row],[DaysOff]]-Games[[#This Row],[OppDaysOff]]</f>
        <v>-2</v>
      </c>
      <c r="L60" s="2">
        <f>Games[[#This Row],[OppDaysOff]]-Games[[#This Row],[DaysOff]]</f>
        <v>2</v>
      </c>
      <c r="M60" s="1">
        <f>MAX(-16, MIN(16, Games[[#This Row],[RestDiff]]*8))</f>
        <v>-16</v>
      </c>
      <c r="N60" s="1">
        <f>MAX(-16, MIN(16, Games[[#This Row],[OppRestDiff]]*8))</f>
        <v>16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1456.7343629770589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1477.91251212563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0.31224148469449731</v>
      </c>
      <c r="R60" s="1">
        <v>80</v>
      </c>
      <c r="S60" s="1">
        <v>63</v>
      </c>
      <c r="T60" s="1">
        <v>0</v>
      </c>
      <c r="U60" s="1">
        <f>Games[[#This Row],[PointsFor]]-Games[[#This Row],[PointsAgainst]]</f>
        <v>17</v>
      </c>
      <c r="V60" s="1">
        <f>IF(Games[[#This Row],[MOV]]&gt;0,1,IF(Games[[#This Row],[MOV]]=0,0.5,0))</f>
        <v>1</v>
      </c>
      <c r="W60" s="4">
        <f>((ABS(Games[[#This Row],[MOV]])+5)^0.6)/(12+0.01*(ABS(Games[[#This Row],[PreGmRate]]-Games[[#This Row],[OppPreGmRate]])))*IF(Games[[#This Row],[OT]]=1,0.9,1)</f>
        <v>0.52320825044558106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74.95</v>
      </c>
      <c r="Z60" s="4">
        <f>Games[[#This Row],[K]]*Games[[#This Row],[POMult]]</f>
        <v>74.95</v>
      </c>
      <c r="AA60" s="4">
        <f>(Games[[#This Row],[Keff]]*Games[[#This Row],[MOVMult]])*(Games[[#This Row],[Result]]-Games[[#This Row],[ExpectedWin%]])</f>
        <v>26.970077667677081</v>
      </c>
      <c r="AB60" s="4">
        <f>Games[[#This Row],[PreGmRate]]+Games[[#This Row],[RatingChange]]</f>
        <v>1483.704440644736</v>
      </c>
      <c r="AC60" s="2">
        <f>IF(Games[[#This Row],[Type]]="R",IF(Games[[#This Row],[Result]]&gt;0.5,1,0),0)</f>
        <v>1</v>
      </c>
      <c r="AD60" s="2">
        <f>IF(Games[[#This Row],[Type]]="R",IF(Games[[#This Row],[Result]]&lt;0.5,1,0),0)</f>
        <v>0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42174</v>
      </c>
      <c r="B61" s="2">
        <v>2015</v>
      </c>
      <c r="C61" s="2">
        <f>COUNTIFS(Games[Team],Games[[#This Row],[Team]],Games[Season],Games[[#This Row],[Season]],Games[Date],"&lt;=" &amp; Games[[#This Row],[Date]])</f>
        <v>6</v>
      </c>
      <c r="D61" s="2" t="s">
        <v>83</v>
      </c>
      <c r="E61" s="2" t="s">
        <v>84</v>
      </c>
      <c r="F61" s="1" t="s">
        <v>60</v>
      </c>
      <c r="G61" s="1" t="s">
        <v>69</v>
      </c>
      <c r="H61" s="1" t="s">
        <v>86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4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1" s="2">
        <f>Games[[#This Row],[DaysOff]]-Games[[#This Row],[OppDaysOff]]</f>
        <v>2</v>
      </c>
      <c r="L61" s="2">
        <f>Games[[#This Row],[OppDaysOff]]-Games[[#This Row],[DaysOff]]</f>
        <v>-2</v>
      </c>
      <c r="M61" s="1">
        <f>MAX(-16, MIN(16, Games[[#This Row],[RestDiff]]*8))</f>
        <v>16</v>
      </c>
      <c r="N61" s="1">
        <f>MAX(-16, MIN(16, Games[[#This Row],[OppRestDiff]]*8))</f>
        <v>-16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1477.91251212563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1456.7343629770589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0.68775851530550269</v>
      </c>
      <c r="R61" s="1">
        <v>63</v>
      </c>
      <c r="S61" s="1">
        <v>80</v>
      </c>
      <c r="T61" s="1">
        <v>0</v>
      </c>
      <c r="U61" s="1">
        <f>Games[[#This Row],[PointsFor]]-Games[[#This Row],[PointsAgainst]]</f>
        <v>-17</v>
      </c>
      <c r="V61" s="1">
        <f>IF(Games[[#This Row],[MOV]]&gt;0,1,IF(Games[[#This Row],[MOV]]=0,0.5,0))</f>
        <v>0</v>
      </c>
      <c r="W61" s="4">
        <f>((ABS(Games[[#This Row],[MOV]])+5)^0.6)/(12+0.01*(ABS(Games[[#This Row],[PreGmRate]]-Games[[#This Row],[OppPreGmRate]])))*IF(Games[[#This Row],[OT]]=1,0.9,1)</f>
        <v>0.52320825044558106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75.099999999999994</v>
      </c>
      <c r="Z61" s="4">
        <f>Games[[#This Row],[K]]*Games[[#This Row],[POMult]]</f>
        <v>75.099999999999994</v>
      </c>
      <c r="AA61" s="4">
        <f>(Games[[#This Row],[Keff]]*Games[[#This Row],[MOVMult]])*(Games[[#This Row],[Result]]-Games[[#This Row],[ExpectedWin%]])</f>
        <v>-27.024053807105386</v>
      </c>
      <c r="AB61" s="4">
        <f>Games[[#This Row],[PreGmRate]]+Games[[#This Row],[RatingChange]]</f>
        <v>1450.8884583185245</v>
      </c>
      <c r="AC61" s="2">
        <f>IF(Games[[#This Row],[Type]]="R",IF(Games[[#This Row],[Result]]&gt;0.5,1,0),0)</f>
        <v>0</v>
      </c>
      <c r="AD61" s="2">
        <f>IF(Games[[#This Row],[Type]]="R",IF(Games[[#This Row],[Result]]&lt;0.5,1,0),0)</f>
        <v>1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42174</v>
      </c>
      <c r="B62" s="2">
        <v>2015</v>
      </c>
      <c r="C62" s="2">
        <f>COUNTIFS(Games[Team],Games[[#This Row],[Team]],Games[Season],Games[[#This Row],[Season]],Games[Date],"&lt;=" &amp; Games[[#This Row],[Date]])</f>
        <v>6</v>
      </c>
      <c r="D62" s="2" t="s">
        <v>83</v>
      </c>
      <c r="E62" s="2" t="s">
        <v>84</v>
      </c>
      <c r="F62" s="1" t="s">
        <v>76</v>
      </c>
      <c r="G62" s="1" t="s">
        <v>40</v>
      </c>
      <c r="H62" s="1" t="s">
        <v>85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62" s="2">
        <f>Games[[#This Row],[DaysOff]]-Games[[#This Row],[OppDaysOff]]</f>
        <v>-2</v>
      </c>
      <c r="L62" s="2">
        <f>Games[[#This Row],[OppDaysOff]]-Games[[#This Row],[DaysOff]]</f>
        <v>2</v>
      </c>
      <c r="M62" s="1">
        <f>MAX(-16, MIN(16, Games[[#This Row],[RestDiff]]*8))</f>
        <v>-16</v>
      </c>
      <c r="N62" s="1">
        <f>MAX(-16, MIN(16, Games[[#This Row],[OppRestDiff]]*8))</f>
        <v>16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1513.8376458368684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1619.6128118358183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0.21812263115285727</v>
      </c>
      <c r="R62" s="1">
        <v>90</v>
      </c>
      <c r="S62" s="1">
        <v>78</v>
      </c>
      <c r="T62" s="1">
        <v>1</v>
      </c>
      <c r="U62" s="1">
        <f>Games[[#This Row],[PointsFor]]-Games[[#This Row],[PointsAgainst]]</f>
        <v>12</v>
      </c>
      <c r="V62" s="1">
        <f>IF(Games[[#This Row],[MOV]]&gt;0,1,IF(Games[[#This Row],[MOV]]=0,0.5,0))</f>
        <v>1</v>
      </c>
      <c r="W62" s="4">
        <f>((ABS(Games[[#This Row],[MOV]])+5)^0.6)/(12+0.01*(ABS(Games[[#This Row],[PreGmRate]]-Games[[#This Row],[OppPreGmRate]])))*IF(Games[[#This Row],[OT]]=1,0.9,1)</f>
        <v>0.37726234297448735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75.099999999999994</v>
      </c>
      <c r="Z62" s="4">
        <f>Games[[#This Row],[K]]*Games[[#This Row],[POMult]]</f>
        <v>75.099999999999994</v>
      </c>
      <c r="AA62" s="4">
        <f>(Games[[#This Row],[Keff]]*Games[[#This Row],[MOVMult]])*(Games[[#This Row],[Result]]-Games[[#This Row],[ExpectedWin%]])</f>
        <v>22.152463895559038</v>
      </c>
      <c r="AB62" s="4">
        <f>Games[[#This Row],[PreGmRate]]+Games[[#This Row],[RatingChange]]</f>
        <v>1535.9901097324275</v>
      </c>
      <c r="AC62" s="2">
        <f>IF(Games[[#This Row],[Type]]="R",IF(Games[[#This Row],[Result]]&gt;0.5,1,0),0)</f>
        <v>1</v>
      </c>
      <c r="AD62" s="2">
        <f>IF(Games[[#This Row],[Type]]="R",IF(Games[[#This Row],[Result]]&lt;0.5,1,0),0)</f>
        <v>0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42174</v>
      </c>
      <c r="B63" s="2">
        <v>2015</v>
      </c>
      <c r="C63" s="2">
        <f>COUNTIFS(Games[Team],Games[[#This Row],[Team]],Games[Season],Games[[#This Row],[Season]],Games[Date],"&lt;=" &amp; Games[[#This Row],[Date]])</f>
        <v>5</v>
      </c>
      <c r="D63" s="2" t="s">
        <v>83</v>
      </c>
      <c r="E63" s="2" t="s">
        <v>84</v>
      </c>
      <c r="F63" s="1" t="s">
        <v>40</v>
      </c>
      <c r="G63" s="1" t="s">
        <v>76</v>
      </c>
      <c r="H63" s="1" t="s">
        <v>86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4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3" s="2">
        <f>Games[[#This Row],[DaysOff]]-Games[[#This Row],[OppDaysOff]]</f>
        <v>2</v>
      </c>
      <c r="L63" s="2">
        <f>Games[[#This Row],[OppDaysOff]]-Games[[#This Row],[DaysOff]]</f>
        <v>-2</v>
      </c>
      <c r="M63" s="1">
        <f>MAX(-16, MIN(16, Games[[#This Row],[RestDiff]]*8))</f>
        <v>16</v>
      </c>
      <c r="N63" s="1">
        <f>MAX(-16, MIN(16, Games[[#This Row],[OppRestDiff]]*8))</f>
        <v>-16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1619.6128118358183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1513.8376458368684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0.78187736884714276</v>
      </c>
      <c r="R63" s="1">
        <v>78</v>
      </c>
      <c r="S63" s="1">
        <v>90</v>
      </c>
      <c r="T63" s="1">
        <v>1</v>
      </c>
      <c r="U63" s="1">
        <f>Games[[#This Row],[PointsFor]]-Games[[#This Row],[PointsAgainst]]</f>
        <v>-12</v>
      </c>
      <c r="V63" s="1">
        <f>IF(Games[[#This Row],[MOV]]&gt;0,1,IF(Games[[#This Row],[MOV]]=0,0.5,0))</f>
        <v>0</v>
      </c>
      <c r="W63" s="4">
        <f>((ABS(Games[[#This Row],[MOV]])+5)^0.6)/(12+0.01*(ABS(Games[[#This Row],[PreGmRate]]-Games[[#This Row],[OppPreGmRate]])))*IF(Games[[#This Row],[OT]]=1,0.9,1)</f>
        <v>0.37726234297448735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75.25</v>
      </c>
      <c r="Z63" s="4">
        <f>Games[[#This Row],[K]]*Games[[#This Row],[POMult]]</f>
        <v>75.25</v>
      </c>
      <c r="AA63" s="4">
        <f>(Games[[#This Row],[Keff]]*Games[[#This Row],[MOVMult]])*(Games[[#This Row],[Result]]-Games[[#This Row],[ExpectedWin%]])</f>
        <v>-22.196709828772541</v>
      </c>
      <c r="AB63" s="4">
        <f>Games[[#This Row],[PreGmRate]]+Games[[#This Row],[RatingChange]]</f>
        <v>1597.4161020070458</v>
      </c>
      <c r="AC63" s="2">
        <f>IF(Games[[#This Row],[Type]]="R",IF(Games[[#This Row],[Result]]&gt;0.5,1,0),0)</f>
        <v>0</v>
      </c>
      <c r="AD63" s="2">
        <f>IF(Games[[#This Row],[Type]]="R",IF(Games[[#This Row],[Result]]&lt;0.5,1,0),0)</f>
        <v>1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42174</v>
      </c>
      <c r="B64" s="2">
        <v>2015</v>
      </c>
      <c r="C64" s="2">
        <f>COUNTIFS(Games[Team],Games[[#This Row],[Team]],Games[Season],Games[[#This Row],[Season]],Games[Date],"&lt;=" &amp; Games[[#This Row],[Date]])</f>
        <v>6</v>
      </c>
      <c r="D64" s="2" t="s">
        <v>83</v>
      </c>
      <c r="E64" s="2" t="s">
        <v>84</v>
      </c>
      <c r="F64" s="1" t="s">
        <v>67</v>
      </c>
      <c r="G64" s="1" t="s">
        <v>74</v>
      </c>
      <c r="H64" s="1" t="s">
        <v>85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4" s="2">
        <f>Games[[#This Row],[DaysOff]]-Games[[#This Row],[OppDaysOff]]</f>
        <v>0</v>
      </c>
      <c r="L64" s="2">
        <f>Games[[#This Row],[OppDaysOff]]-Games[[#This Row],[DaysOff]]</f>
        <v>0</v>
      </c>
      <c r="M64" s="1">
        <f>MAX(-16, MIN(16, Games[[#This Row],[RestDiff]]*8))</f>
        <v>0</v>
      </c>
      <c r="N64" s="1">
        <f>MAX(-16, MIN(16, Games[[#This Row],[OppRestDiff]]*8))</f>
        <v>0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1604.7207522471242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1431.5377663197946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0.62559814733624197</v>
      </c>
      <c r="R64" s="1">
        <v>74</v>
      </c>
      <c r="S64" s="1">
        <v>59</v>
      </c>
      <c r="T64" s="1">
        <v>0</v>
      </c>
      <c r="U64" s="1">
        <f>Games[[#This Row],[PointsFor]]-Games[[#This Row],[PointsAgainst]]</f>
        <v>15</v>
      </c>
      <c r="V64" s="1">
        <f>IF(Games[[#This Row],[MOV]]&gt;0,1,IF(Games[[#This Row],[MOV]]=0,0.5,0))</f>
        <v>1</v>
      </c>
      <c r="W64" s="4">
        <f>((ABS(Games[[#This Row],[MOV]])+5)^0.6)/(12+0.01*(ABS(Games[[#This Row],[PreGmRate]]-Games[[#This Row],[OppPreGmRate]])))*IF(Games[[#This Row],[OT]]=1,0.9,1)</f>
        <v>0.43942987922110022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75.099999999999994</v>
      </c>
      <c r="Z64" s="4">
        <f>Games[[#This Row],[K]]*Games[[#This Row],[POMult]]</f>
        <v>75.099999999999994</v>
      </c>
      <c r="AA64" s="4">
        <f>(Games[[#This Row],[Keff]]*Games[[#This Row],[MOVMult]])*(Games[[#This Row],[Result]]-Games[[#This Row],[ExpectedWin%]])</f>
        <v>12.355704403303971</v>
      </c>
      <c r="AB64" s="4">
        <f>Games[[#This Row],[PreGmRate]]+Games[[#This Row],[RatingChange]]</f>
        <v>1617.0764566504281</v>
      </c>
      <c r="AC64" s="2">
        <f>IF(Games[[#This Row],[Type]]="R",IF(Games[[#This Row],[Result]]&gt;0.5,1,0),0)</f>
        <v>1</v>
      </c>
      <c r="AD64" s="2">
        <f>IF(Games[[#This Row],[Type]]="R",IF(Games[[#This Row],[Result]]&lt;0.5,1,0),0)</f>
        <v>0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42174</v>
      </c>
      <c r="B65" s="2">
        <v>2015</v>
      </c>
      <c r="C65" s="2">
        <f>COUNTIFS(Games[Team],Games[[#This Row],[Team]],Games[Season],Games[[#This Row],[Season]],Games[Date],"&lt;=" &amp; Games[[#This Row],[Date]])</f>
        <v>5</v>
      </c>
      <c r="D65" s="2" t="s">
        <v>83</v>
      </c>
      <c r="E65" s="2" t="s">
        <v>84</v>
      </c>
      <c r="F65" s="1" t="s">
        <v>74</v>
      </c>
      <c r="G65" s="1" t="s">
        <v>67</v>
      </c>
      <c r="H65" s="1" t="s">
        <v>86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5" s="2">
        <f>Games[[#This Row],[DaysOff]]-Games[[#This Row],[OppDaysOff]]</f>
        <v>0</v>
      </c>
      <c r="L65" s="2">
        <f>Games[[#This Row],[OppDaysOff]]-Games[[#This Row],[DaysOff]]</f>
        <v>0</v>
      </c>
      <c r="M65" s="1">
        <f>MAX(-16, MIN(16, Games[[#This Row],[RestDiff]]*8))</f>
        <v>0</v>
      </c>
      <c r="N65" s="1">
        <f>MAX(-16, MIN(16, Games[[#This Row],[OppRestDiff]]*8))</f>
        <v>0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1431.5377663197946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1604.7207522471242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0.37440185266375808</v>
      </c>
      <c r="R65" s="1">
        <v>59</v>
      </c>
      <c r="S65" s="1">
        <v>74</v>
      </c>
      <c r="T65" s="1">
        <v>0</v>
      </c>
      <c r="U65" s="1">
        <f>Games[[#This Row],[PointsFor]]-Games[[#This Row],[PointsAgainst]]</f>
        <v>-15</v>
      </c>
      <c r="V65" s="1">
        <f>IF(Games[[#This Row],[MOV]]&gt;0,1,IF(Games[[#This Row],[MOV]]=0,0.5,0))</f>
        <v>0</v>
      </c>
      <c r="W65" s="4">
        <f>((ABS(Games[[#This Row],[MOV]])+5)^0.6)/(12+0.01*(ABS(Games[[#This Row],[PreGmRate]]-Games[[#This Row],[OppPreGmRate]])))*IF(Games[[#This Row],[OT]]=1,0.9,1)</f>
        <v>0.43942987922110022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75.25</v>
      </c>
      <c r="Z65" s="4">
        <f>Games[[#This Row],[K]]*Games[[#This Row],[POMult]]</f>
        <v>75.25</v>
      </c>
      <c r="AA65" s="4">
        <f>(Games[[#This Row],[Keff]]*Games[[#This Row],[MOVMult]])*(Games[[#This Row],[Result]]-Games[[#This Row],[ExpectedWin%]])</f>
        <v>-12.380382907438401</v>
      </c>
      <c r="AB65" s="4">
        <f>Games[[#This Row],[PreGmRate]]+Games[[#This Row],[RatingChange]]</f>
        <v>1419.1573834123562</v>
      </c>
      <c r="AC65" s="2">
        <f>IF(Games[[#This Row],[Type]]="R",IF(Games[[#This Row],[Result]]&gt;0.5,1,0),0)</f>
        <v>0</v>
      </c>
      <c r="AD65" s="2">
        <f>IF(Games[[#This Row],[Type]]="R",IF(Games[[#This Row],[Result]]&lt;0.5,1,0),0)</f>
        <v>1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42174</v>
      </c>
      <c r="B66" s="2">
        <v>2015</v>
      </c>
      <c r="C66" s="2">
        <f>COUNTIFS(Games[Team],Games[[#This Row],[Team]],Games[Season],Games[[#This Row],[Season]],Games[Date],"&lt;=" &amp; Games[[#This Row],[Date]])</f>
        <v>6</v>
      </c>
      <c r="D66" s="2" t="s">
        <v>83</v>
      </c>
      <c r="E66" s="2" t="s">
        <v>84</v>
      </c>
      <c r="F66" s="1" t="s">
        <v>81</v>
      </c>
      <c r="G66" s="1" t="s">
        <v>65</v>
      </c>
      <c r="H66" s="1" t="s">
        <v>85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66" s="2">
        <f>Games[[#This Row],[DaysOff]]-Games[[#This Row],[OppDaysOff]]</f>
        <v>-2</v>
      </c>
      <c r="L66" s="2">
        <f>Games[[#This Row],[OppDaysOff]]-Games[[#This Row],[DaysOff]]</f>
        <v>2</v>
      </c>
      <c r="M66" s="1">
        <f>MAX(-16, MIN(16, Games[[#This Row],[RestDiff]]*8))</f>
        <v>-16</v>
      </c>
      <c r="N66" s="1">
        <f>MAX(-16, MIN(16, Games[[#This Row],[OppRestDiff]]*8))</f>
        <v>16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1515.7657524359981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1515.174597081178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0.33976385973263634</v>
      </c>
      <c r="R66" s="1">
        <v>86</v>
      </c>
      <c r="S66" s="1">
        <v>82</v>
      </c>
      <c r="T66" s="1">
        <v>0</v>
      </c>
      <c r="U66" s="1">
        <f>Games[[#This Row],[PointsFor]]-Games[[#This Row],[PointsAgainst]]</f>
        <v>4</v>
      </c>
      <c r="V66" s="1">
        <f>IF(Games[[#This Row],[MOV]]&gt;0,1,IF(Games[[#This Row],[MOV]]=0,0.5,0))</f>
        <v>1</v>
      </c>
      <c r="W66" s="4">
        <f>((ABS(Games[[#This Row],[MOV]])+5)^0.6)/(12+0.01*(ABS(Games[[#This Row],[PreGmRate]]-Games[[#This Row],[OppPreGmRate]])))*IF(Games[[#This Row],[OT]]=1,0.9,1)</f>
        <v>0.31127938950558659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75.099999999999994</v>
      </c>
      <c r="Z66" s="4">
        <f>Games[[#This Row],[K]]*Games[[#This Row],[POMult]]</f>
        <v>75.099999999999994</v>
      </c>
      <c r="AA66" s="4">
        <f>(Games[[#This Row],[Keff]]*Games[[#This Row],[MOVMult]])*(Games[[#This Row],[Result]]-Games[[#This Row],[ExpectedWin%]])</f>
        <v>15.434394490663429</v>
      </c>
      <c r="AB66" s="4">
        <f>Games[[#This Row],[PreGmRate]]+Games[[#This Row],[RatingChange]]</f>
        <v>1531.2001469266615</v>
      </c>
      <c r="AC66" s="2">
        <f>IF(Games[[#This Row],[Type]]="R",IF(Games[[#This Row],[Result]]&gt;0.5,1,0),0)</f>
        <v>1</v>
      </c>
      <c r="AD66" s="2">
        <f>IF(Games[[#This Row],[Type]]="R",IF(Games[[#This Row],[Result]]&lt;0.5,1,0),0)</f>
        <v>0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42174</v>
      </c>
      <c r="B67" s="2">
        <v>2015</v>
      </c>
      <c r="C67" s="2">
        <f>COUNTIFS(Games[Team],Games[[#This Row],[Team]],Games[Season],Games[[#This Row],[Season]],Games[Date],"&lt;=" &amp; Games[[#This Row],[Date]])</f>
        <v>5</v>
      </c>
      <c r="D67" s="2" t="s">
        <v>83</v>
      </c>
      <c r="E67" s="2" t="s">
        <v>84</v>
      </c>
      <c r="F67" s="1" t="s">
        <v>65</v>
      </c>
      <c r="G67" s="1" t="s">
        <v>81</v>
      </c>
      <c r="H67" s="1" t="s">
        <v>86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4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7" s="2">
        <f>Games[[#This Row],[DaysOff]]-Games[[#This Row],[OppDaysOff]]</f>
        <v>2</v>
      </c>
      <c r="L67" s="2">
        <f>Games[[#This Row],[OppDaysOff]]-Games[[#This Row],[DaysOff]]</f>
        <v>-2</v>
      </c>
      <c r="M67" s="1">
        <f>MAX(-16, MIN(16, Games[[#This Row],[RestDiff]]*8))</f>
        <v>16</v>
      </c>
      <c r="N67" s="1">
        <f>MAX(-16, MIN(16, Games[[#This Row],[OppRestDiff]]*8))</f>
        <v>-16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1515.174597081178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1515.7657524359981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0.66023614026736366</v>
      </c>
      <c r="R67" s="1">
        <v>82</v>
      </c>
      <c r="S67" s="1">
        <v>86</v>
      </c>
      <c r="T67" s="1">
        <v>0</v>
      </c>
      <c r="U67" s="1">
        <f>Games[[#This Row],[PointsFor]]-Games[[#This Row],[PointsAgainst]]</f>
        <v>-4</v>
      </c>
      <c r="V67" s="1">
        <f>IF(Games[[#This Row],[MOV]]&gt;0,1,IF(Games[[#This Row],[MOV]]=0,0.5,0))</f>
        <v>0</v>
      </c>
      <c r="W67" s="4">
        <f>((ABS(Games[[#This Row],[MOV]])+5)^0.6)/(12+0.01*(ABS(Games[[#This Row],[PreGmRate]]-Games[[#This Row],[OppPreGmRate]])))*IF(Games[[#This Row],[OT]]=1,0.9,1)</f>
        <v>0.31127938950558659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75.25</v>
      </c>
      <c r="Z67" s="4">
        <f>Games[[#This Row],[K]]*Games[[#This Row],[POMult]]</f>
        <v>75.25</v>
      </c>
      <c r="AA67" s="4">
        <f>(Games[[#This Row],[Keff]]*Games[[#This Row],[MOVMult]])*(Games[[#This Row],[Result]]-Games[[#This Row],[ExpectedWin%]])</f>
        <v>-15.465222176064222</v>
      </c>
      <c r="AB67" s="4">
        <f>Games[[#This Row],[PreGmRate]]+Games[[#This Row],[RatingChange]]</f>
        <v>1499.7093749051139</v>
      </c>
      <c r="AC67" s="2">
        <f>IF(Games[[#This Row],[Type]]="R",IF(Games[[#This Row],[Result]]&gt;0.5,1,0),0)</f>
        <v>0</v>
      </c>
      <c r="AD67" s="2">
        <f>IF(Games[[#This Row],[Type]]="R",IF(Games[[#This Row],[Result]]&lt;0.5,1,0),0)</f>
        <v>1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42175</v>
      </c>
      <c r="B68" s="2">
        <v>2015</v>
      </c>
      <c r="C68" s="2">
        <f>COUNTIFS(Games[Team],Games[[#This Row],[Team]],Games[Season],Games[[#This Row],[Season]],Games[Date],"&lt;=" &amp; Games[[#This Row],[Date]])</f>
        <v>6</v>
      </c>
      <c r="D68" s="2" t="s">
        <v>83</v>
      </c>
      <c r="E68" s="2" t="s">
        <v>84</v>
      </c>
      <c r="F68" s="1" t="s">
        <v>65</v>
      </c>
      <c r="G68" s="1" t="s">
        <v>69</v>
      </c>
      <c r="H68" s="1" t="s">
        <v>85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0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8" s="2">
        <f>Games[[#This Row],[DaysOff]]-Games[[#This Row],[OppDaysOff]]</f>
        <v>0</v>
      </c>
      <c r="L68" s="2">
        <f>Games[[#This Row],[OppDaysOff]]-Games[[#This Row],[DaysOff]]</f>
        <v>0</v>
      </c>
      <c r="M68" s="1">
        <f>MAX(-16, MIN(16, Games[[#This Row],[RestDiff]]*8))</f>
        <v>0</v>
      </c>
      <c r="N68" s="1">
        <f>MAX(-16, MIN(16, Games[[#This Row],[OppRestDiff]]*8))</f>
        <v>0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1499.7093749051139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1483.704440644736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0.40337766247179907</v>
      </c>
      <c r="R68" s="1">
        <v>87</v>
      </c>
      <c r="S68" s="1">
        <v>75</v>
      </c>
      <c r="T68" s="1">
        <v>0</v>
      </c>
      <c r="U68" s="1">
        <f>Games[[#This Row],[PointsFor]]-Games[[#This Row],[PointsAgainst]]</f>
        <v>12</v>
      </c>
      <c r="V68" s="1">
        <f>IF(Games[[#This Row],[MOV]]&gt;0,1,IF(Games[[#This Row],[MOV]]=0,0.5,0))</f>
        <v>1</v>
      </c>
      <c r="W68" s="4">
        <f>((ABS(Games[[#This Row],[MOV]])+5)^0.6)/(12+0.01*(ABS(Games[[#This Row],[PreGmRate]]-Games[[#This Row],[OppPreGmRate]])))*IF(Games[[#This Row],[OT]]=1,0.9,1)</f>
        <v>0.45012591336627422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75.099999999999994</v>
      </c>
      <c r="Z68" s="4">
        <f>Games[[#This Row],[K]]*Games[[#This Row],[POMult]]</f>
        <v>75.099999999999994</v>
      </c>
      <c r="AA68" s="4">
        <f>(Games[[#This Row],[Keff]]*Games[[#This Row],[MOVMult]])*(Games[[#This Row],[Result]]-Games[[#This Row],[ExpectedWin%]])</f>
        <v>20.168493613556681</v>
      </c>
      <c r="AB68" s="4">
        <f>Games[[#This Row],[PreGmRate]]+Games[[#This Row],[RatingChange]]</f>
        <v>1519.8778685186705</v>
      </c>
      <c r="AC68" s="2">
        <f>IF(Games[[#This Row],[Type]]="R",IF(Games[[#This Row],[Result]]&gt;0.5,1,0),0)</f>
        <v>1</v>
      </c>
      <c r="AD68" s="2">
        <f>IF(Games[[#This Row],[Type]]="R",IF(Games[[#This Row],[Result]]&lt;0.5,1,0),0)</f>
        <v>0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42175</v>
      </c>
      <c r="B69" s="2">
        <v>2015</v>
      </c>
      <c r="C69" s="2">
        <f>COUNTIFS(Games[Team],Games[[#This Row],[Team]],Games[Season],Games[[#This Row],[Season]],Games[Date],"&lt;=" &amp; Games[[#This Row],[Date]])</f>
        <v>8</v>
      </c>
      <c r="D69" s="2" t="s">
        <v>83</v>
      </c>
      <c r="E69" s="2" t="s">
        <v>84</v>
      </c>
      <c r="F69" s="1" t="s">
        <v>69</v>
      </c>
      <c r="G69" s="1" t="s">
        <v>65</v>
      </c>
      <c r="H69" s="1" t="s">
        <v>86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0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9" s="2">
        <f>Games[[#This Row],[DaysOff]]-Games[[#This Row],[OppDaysOff]]</f>
        <v>0</v>
      </c>
      <c r="L69" s="2">
        <f>Games[[#This Row],[OppDaysOff]]-Games[[#This Row],[DaysOff]]</f>
        <v>0</v>
      </c>
      <c r="M69" s="1">
        <f>MAX(-16, MIN(16, Games[[#This Row],[RestDiff]]*8))</f>
        <v>0</v>
      </c>
      <c r="N69" s="1">
        <f>MAX(-16, MIN(16, Games[[#This Row],[OppRestDiff]]*8))</f>
        <v>0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1483.704440644736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1499.7093749051139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0.59662233752820093</v>
      </c>
      <c r="R69" s="1">
        <v>75</v>
      </c>
      <c r="S69" s="1">
        <v>87</v>
      </c>
      <c r="T69" s="1">
        <v>0</v>
      </c>
      <c r="U69" s="1">
        <f>Games[[#This Row],[PointsFor]]-Games[[#This Row],[PointsAgainst]]</f>
        <v>-12</v>
      </c>
      <c r="V69" s="1">
        <f>IF(Games[[#This Row],[MOV]]&gt;0,1,IF(Games[[#This Row],[MOV]]=0,0.5,0))</f>
        <v>0</v>
      </c>
      <c r="W69" s="4">
        <f>((ABS(Games[[#This Row],[MOV]])+5)^0.6)/(12+0.01*(ABS(Games[[#This Row],[PreGmRate]]-Games[[#This Row],[OppPreGmRate]])))*IF(Games[[#This Row],[OT]]=1,0.9,1)</f>
        <v>0.45012591336627422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74.8</v>
      </c>
      <c r="Z69" s="4">
        <f>Games[[#This Row],[K]]*Games[[#This Row],[POMult]]</f>
        <v>74.8</v>
      </c>
      <c r="AA69" s="4">
        <f>(Games[[#This Row],[Keff]]*Games[[#This Row],[MOVMult]])*(Games[[#This Row],[Result]]-Games[[#This Row],[ExpectedWin%]])</f>
        <v>-20.087927061172302</v>
      </c>
      <c r="AB69" s="4">
        <f>Games[[#This Row],[PreGmRate]]+Games[[#This Row],[RatingChange]]</f>
        <v>1463.6165135835638</v>
      </c>
      <c r="AC69" s="2">
        <f>IF(Games[[#This Row],[Type]]="R",IF(Games[[#This Row],[Result]]&gt;0.5,1,0),0)</f>
        <v>0</v>
      </c>
      <c r="AD69" s="2">
        <f>IF(Games[[#This Row],[Type]]="R",IF(Games[[#This Row],[Result]]&lt;0.5,1,0),0)</f>
        <v>1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42175</v>
      </c>
      <c r="B70" s="2">
        <v>2015</v>
      </c>
      <c r="C70" s="2">
        <f>COUNTIFS(Games[Team],Games[[#This Row],[Team]],Games[Season],Games[[#This Row],[Season]],Games[Date],"&lt;=" &amp; Games[[#This Row],[Date]])</f>
        <v>6</v>
      </c>
      <c r="D70" s="2" t="s">
        <v>83</v>
      </c>
      <c r="E70" s="2" t="s">
        <v>84</v>
      </c>
      <c r="F70" s="1" t="s">
        <v>77</v>
      </c>
      <c r="G70" s="1" t="s">
        <v>74</v>
      </c>
      <c r="H70" s="1" t="s">
        <v>85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0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0" s="2">
        <f>Games[[#This Row],[DaysOff]]-Games[[#This Row],[OppDaysOff]]</f>
        <v>0</v>
      </c>
      <c r="L70" s="2">
        <f>Games[[#This Row],[OppDaysOff]]-Games[[#This Row],[DaysOff]]</f>
        <v>0</v>
      </c>
      <c r="M70" s="1">
        <f>MAX(-16, MIN(16, Games[[#This Row],[RestDiff]]*8))</f>
        <v>0</v>
      </c>
      <c r="N70" s="1">
        <f>MAX(-16, MIN(16, Games[[#This Row],[OppRestDiff]]*8))</f>
        <v>0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1505.1739170450087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1419.1573834123562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0.50290199258988955</v>
      </c>
      <c r="R70" s="1">
        <v>95</v>
      </c>
      <c r="S70" s="1">
        <v>87</v>
      </c>
      <c r="T70" s="1">
        <v>1</v>
      </c>
      <c r="U70" s="1">
        <f>Games[[#This Row],[PointsFor]]-Games[[#This Row],[PointsAgainst]]</f>
        <v>8</v>
      </c>
      <c r="V70" s="1">
        <f>IF(Games[[#This Row],[MOV]]&gt;0,1,IF(Games[[#This Row],[MOV]]=0,0.5,0))</f>
        <v>1</v>
      </c>
      <c r="W70" s="4">
        <f>((ABS(Games[[#This Row],[MOV]])+5)^0.6)/(12+0.01*(ABS(Games[[#This Row],[PreGmRate]]-Games[[#This Row],[OppPreGmRate]])))*IF(Games[[#This Row],[OT]]=1,0.9,1)</f>
        <v>0.32610838728379915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75.099999999999994</v>
      </c>
      <c r="Z70" s="4">
        <f>Games[[#This Row],[K]]*Games[[#This Row],[POMult]]</f>
        <v>75.099999999999994</v>
      </c>
      <c r="AA70" s="4">
        <f>(Games[[#This Row],[Keff]]*Games[[#This Row],[MOVMult]])*(Games[[#This Row],[Result]]-Games[[#This Row],[ExpectedWin%]])</f>
        <v>12.174297996839437</v>
      </c>
      <c r="AB70" s="4">
        <f>Games[[#This Row],[PreGmRate]]+Games[[#This Row],[RatingChange]]</f>
        <v>1517.3482150418481</v>
      </c>
      <c r="AC70" s="2">
        <f>IF(Games[[#This Row],[Type]]="R",IF(Games[[#This Row],[Result]]&gt;0.5,1,0),0)</f>
        <v>1</v>
      </c>
      <c r="AD70" s="2">
        <f>IF(Games[[#This Row],[Type]]="R",IF(Games[[#This Row],[Result]]&lt;0.5,1,0),0)</f>
        <v>0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42175</v>
      </c>
      <c r="B71" s="2">
        <v>2015</v>
      </c>
      <c r="C71" s="2">
        <f>COUNTIFS(Games[Team],Games[[#This Row],[Team]],Games[Season],Games[[#This Row],[Season]],Games[Date],"&lt;=" &amp; Games[[#This Row],[Date]])</f>
        <v>6</v>
      </c>
      <c r="D71" s="2" t="s">
        <v>83</v>
      </c>
      <c r="E71" s="2" t="s">
        <v>84</v>
      </c>
      <c r="F71" s="1" t="s">
        <v>74</v>
      </c>
      <c r="G71" s="1" t="s">
        <v>77</v>
      </c>
      <c r="H71" s="1" t="s">
        <v>86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0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1" s="2">
        <f>Games[[#This Row],[DaysOff]]-Games[[#This Row],[OppDaysOff]]</f>
        <v>0</v>
      </c>
      <c r="L71" s="2">
        <f>Games[[#This Row],[OppDaysOff]]-Games[[#This Row],[DaysOff]]</f>
        <v>0</v>
      </c>
      <c r="M71" s="1">
        <f>MAX(-16, MIN(16, Games[[#This Row],[RestDiff]]*8))</f>
        <v>0</v>
      </c>
      <c r="N71" s="1">
        <f>MAX(-16, MIN(16, Games[[#This Row],[OppRestDiff]]*8))</f>
        <v>0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1419.1573834123562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1505.1739170450087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0.49709800741011045</v>
      </c>
      <c r="R71" s="1">
        <v>87</v>
      </c>
      <c r="S71" s="1">
        <v>95</v>
      </c>
      <c r="T71" s="1">
        <v>1</v>
      </c>
      <c r="U71" s="1">
        <f>Games[[#This Row],[PointsFor]]-Games[[#This Row],[PointsAgainst]]</f>
        <v>-8</v>
      </c>
      <c r="V71" s="1">
        <f>IF(Games[[#This Row],[MOV]]&gt;0,1,IF(Games[[#This Row],[MOV]]=0,0.5,0))</f>
        <v>0</v>
      </c>
      <c r="W71" s="4">
        <f>((ABS(Games[[#This Row],[MOV]])+5)^0.6)/(12+0.01*(ABS(Games[[#This Row],[PreGmRate]]-Games[[#This Row],[OppPreGmRate]])))*IF(Games[[#This Row],[OT]]=1,0.9,1)</f>
        <v>0.32610838728379915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75.099999999999994</v>
      </c>
      <c r="Z71" s="4">
        <f>Games[[#This Row],[K]]*Games[[#This Row],[POMult]]</f>
        <v>75.099999999999994</v>
      </c>
      <c r="AA71" s="4">
        <f>(Games[[#This Row],[Keff]]*Games[[#This Row],[MOVMult]])*(Games[[#This Row],[Result]]-Games[[#This Row],[ExpectedWin%]])</f>
        <v>-12.174297996839437</v>
      </c>
      <c r="AB71" s="4">
        <f>Games[[#This Row],[PreGmRate]]+Games[[#This Row],[RatingChange]]</f>
        <v>1406.9830854155168</v>
      </c>
      <c r="AC71" s="2">
        <f>IF(Games[[#This Row],[Type]]="R",IF(Games[[#This Row],[Result]]&gt;0.5,1,0),0)</f>
        <v>0</v>
      </c>
      <c r="AD71" s="2">
        <f>IF(Games[[#This Row],[Type]]="R",IF(Games[[#This Row],[Result]]&lt;0.5,1,0),0)</f>
        <v>1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42176</v>
      </c>
      <c r="B72" s="2">
        <v>2015</v>
      </c>
      <c r="C72" s="2">
        <f>COUNTIFS(Games[Team],Games[[#This Row],[Team]],Games[Season],Games[[#This Row],[Season]],Games[Date],"&lt;=" &amp; Games[[#This Row],[Date]])</f>
        <v>7</v>
      </c>
      <c r="D72" s="2" t="s">
        <v>83</v>
      </c>
      <c r="E72" s="2" t="s">
        <v>84</v>
      </c>
      <c r="F72" s="1" t="s">
        <v>60</v>
      </c>
      <c r="G72" s="1" t="s">
        <v>79</v>
      </c>
      <c r="H72" s="1" t="s">
        <v>85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2" s="2">
        <f>Games[[#This Row],[DaysOff]]-Games[[#This Row],[OppDaysOff]]</f>
        <v>0</v>
      </c>
      <c r="L72" s="2">
        <f>Games[[#This Row],[OppDaysOff]]-Games[[#This Row],[DaysOff]]</f>
        <v>0</v>
      </c>
      <c r="M72" s="1">
        <f>MAX(-16, MIN(16, Games[[#This Row],[RestDiff]]*8))</f>
        <v>0</v>
      </c>
      <c r="N72" s="1">
        <f>MAX(-16, MIN(16, Games[[#This Row],[OppRestDiff]]*8))</f>
        <v>0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1450.8884583185245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1465.4832464168646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0.36180067367115365</v>
      </c>
      <c r="R72" s="1">
        <v>73</v>
      </c>
      <c r="S72" s="1">
        <v>64</v>
      </c>
      <c r="T72" s="1">
        <v>0</v>
      </c>
      <c r="U72" s="1">
        <f>Games[[#This Row],[PointsFor]]-Games[[#This Row],[PointsAgainst]]</f>
        <v>9</v>
      </c>
      <c r="V72" s="1">
        <f>IF(Games[[#This Row],[MOV]]&gt;0,1,IF(Games[[#This Row],[MOV]]=0,0.5,0))</f>
        <v>1</v>
      </c>
      <c r="W72" s="4">
        <f>((ABS(Games[[#This Row],[MOV]])+5)^0.6)/(12+0.01*(ABS(Games[[#This Row],[PreGmRate]]-Games[[#This Row],[OppPreGmRate]])))*IF(Games[[#This Row],[OT]]=1,0.9,1)</f>
        <v>0.40109330070437271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74.95</v>
      </c>
      <c r="Z72" s="4">
        <f>Games[[#This Row],[K]]*Games[[#This Row],[POMult]]</f>
        <v>74.95</v>
      </c>
      <c r="AA72" s="4">
        <f>(Games[[#This Row],[Keff]]*Games[[#This Row],[MOVMult]])*(Games[[#This Row],[Result]]-Games[[#This Row],[ExpectedWin%]])</f>
        <v>19.185511699125577</v>
      </c>
      <c r="AB72" s="4">
        <f>Games[[#This Row],[PreGmRate]]+Games[[#This Row],[RatingChange]]</f>
        <v>1470.07397001765</v>
      </c>
      <c r="AC72" s="2">
        <f>IF(Games[[#This Row],[Type]]="R",IF(Games[[#This Row],[Result]]&gt;0.5,1,0),0)</f>
        <v>1</v>
      </c>
      <c r="AD72" s="2">
        <f>IF(Games[[#This Row],[Type]]="R",IF(Games[[#This Row],[Result]]&lt;0.5,1,0),0)</f>
        <v>0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42176</v>
      </c>
      <c r="B73" s="2">
        <v>2015</v>
      </c>
      <c r="C73" s="2">
        <f>COUNTIFS(Games[Team],Games[[#This Row],[Team]],Games[Season],Games[[#This Row],[Season]],Games[Date],"&lt;=" &amp; Games[[#This Row],[Date]])</f>
        <v>8</v>
      </c>
      <c r="D73" s="2" t="s">
        <v>83</v>
      </c>
      <c r="E73" s="2" t="s">
        <v>84</v>
      </c>
      <c r="F73" s="1" t="s">
        <v>79</v>
      </c>
      <c r="G73" s="1" t="s">
        <v>60</v>
      </c>
      <c r="H73" s="1" t="s">
        <v>86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3" s="2">
        <f>Games[[#This Row],[DaysOff]]-Games[[#This Row],[OppDaysOff]]</f>
        <v>0</v>
      </c>
      <c r="L73" s="2">
        <f>Games[[#This Row],[OppDaysOff]]-Games[[#This Row],[DaysOff]]</f>
        <v>0</v>
      </c>
      <c r="M73" s="1">
        <f>MAX(-16, MIN(16, Games[[#This Row],[RestDiff]]*8))</f>
        <v>0</v>
      </c>
      <c r="N73" s="1">
        <f>MAX(-16, MIN(16, Games[[#This Row],[OppRestDiff]]*8))</f>
        <v>0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1465.4832464168646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1450.8884583185245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0.63819932632884624</v>
      </c>
      <c r="R73" s="1">
        <v>64</v>
      </c>
      <c r="S73" s="1">
        <v>73</v>
      </c>
      <c r="T73" s="1">
        <v>0</v>
      </c>
      <c r="U73" s="1">
        <f>Games[[#This Row],[PointsFor]]-Games[[#This Row],[PointsAgainst]]</f>
        <v>-9</v>
      </c>
      <c r="V73" s="1">
        <f>IF(Games[[#This Row],[MOV]]&gt;0,1,IF(Games[[#This Row],[MOV]]=0,0.5,0))</f>
        <v>0</v>
      </c>
      <c r="W73" s="4">
        <f>((ABS(Games[[#This Row],[MOV]])+5)^0.6)/(12+0.01*(ABS(Games[[#This Row],[PreGmRate]]-Games[[#This Row],[OppPreGmRate]])))*IF(Games[[#This Row],[OT]]=1,0.9,1)</f>
        <v>0.40109330070437271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74.8</v>
      </c>
      <c r="Z73" s="4">
        <f>Games[[#This Row],[K]]*Games[[#This Row],[POMult]]</f>
        <v>74.8</v>
      </c>
      <c r="AA73" s="4">
        <f>(Games[[#This Row],[Keff]]*Games[[#This Row],[MOVMult]])*(Games[[#This Row],[Result]]-Games[[#This Row],[ExpectedWin%]])</f>
        <v>-19.14711507797989</v>
      </c>
      <c r="AB73" s="4">
        <f>Games[[#This Row],[PreGmRate]]+Games[[#This Row],[RatingChange]]</f>
        <v>1446.3361313388848</v>
      </c>
      <c r="AC73" s="2">
        <f>IF(Games[[#This Row],[Type]]="R",IF(Games[[#This Row],[Result]]&gt;0.5,1,0),0)</f>
        <v>0</v>
      </c>
      <c r="AD73" s="2">
        <f>IF(Games[[#This Row],[Type]]="R",IF(Games[[#This Row],[Result]]&lt;0.5,1,0),0)</f>
        <v>1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42176</v>
      </c>
      <c r="B74" s="2">
        <v>2015</v>
      </c>
      <c r="C74" s="2">
        <f>COUNTIFS(Games[Team],Games[[#This Row],[Team]],Games[Season],Games[[#This Row],[Season]],Games[Date],"&lt;=" &amp; Games[[#This Row],[Date]])</f>
        <v>7</v>
      </c>
      <c r="D74" s="2" t="s">
        <v>83</v>
      </c>
      <c r="E74" s="2" t="s">
        <v>84</v>
      </c>
      <c r="F74" s="1" t="s">
        <v>76</v>
      </c>
      <c r="G74" s="1" t="s">
        <v>63</v>
      </c>
      <c r="H74" s="1" t="s">
        <v>85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74" s="2">
        <f>Games[[#This Row],[DaysOff]]-Games[[#This Row],[OppDaysOff]]</f>
        <v>-3</v>
      </c>
      <c r="L74" s="2">
        <f>Games[[#This Row],[OppDaysOff]]-Games[[#This Row],[DaysOff]]</f>
        <v>3</v>
      </c>
      <c r="M74" s="1">
        <f>MAX(-16, MIN(16, Games[[#This Row],[RestDiff]]*8))</f>
        <v>-16</v>
      </c>
      <c r="N74" s="1">
        <f>MAX(-16, MIN(16, Games[[#This Row],[OppRestDiff]]*8))</f>
        <v>16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1535.9901097324275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1452.6349597868996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0.45315804934918119</v>
      </c>
      <c r="R74" s="1">
        <v>76</v>
      </c>
      <c r="S74" s="1">
        <v>68</v>
      </c>
      <c r="T74" s="1">
        <v>0</v>
      </c>
      <c r="U74" s="1">
        <f>Games[[#This Row],[PointsFor]]-Games[[#This Row],[PointsAgainst]]</f>
        <v>8</v>
      </c>
      <c r="V74" s="1">
        <f>IF(Games[[#This Row],[MOV]]&gt;0,1,IF(Games[[#This Row],[MOV]]=0,0.5,0))</f>
        <v>1</v>
      </c>
      <c r="W74" s="4">
        <f>((ABS(Games[[#This Row],[MOV]])+5)^0.6)/(12+0.01*(ABS(Games[[#This Row],[PreGmRate]]-Games[[#This Row],[OppPreGmRate]])))*IF(Games[[#This Row],[OT]]=1,0.9,1)</f>
        <v>0.3630940679385477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74.95</v>
      </c>
      <c r="Z74" s="4">
        <f>Games[[#This Row],[K]]*Games[[#This Row],[POMult]]</f>
        <v>74.95</v>
      </c>
      <c r="AA74" s="4">
        <f>(Games[[#This Row],[Keff]]*Games[[#This Row],[MOVMult]])*(Games[[#This Row],[Result]]-Games[[#This Row],[ExpectedWin%]])</f>
        <v>14.881702375175166</v>
      </c>
      <c r="AB74" s="4">
        <f>Games[[#This Row],[PreGmRate]]+Games[[#This Row],[RatingChange]]</f>
        <v>1550.8718121076026</v>
      </c>
      <c r="AC74" s="2">
        <f>IF(Games[[#This Row],[Type]]="R",IF(Games[[#This Row],[Result]]&gt;0.5,1,0),0)</f>
        <v>1</v>
      </c>
      <c r="AD74" s="2">
        <f>IF(Games[[#This Row],[Type]]="R",IF(Games[[#This Row],[Result]]&lt;0.5,1,0),0)</f>
        <v>0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42176</v>
      </c>
      <c r="B75" s="2">
        <v>2015</v>
      </c>
      <c r="C75" s="2">
        <f>COUNTIFS(Games[Team],Games[[#This Row],[Team]],Games[Season],Games[[#This Row],[Season]],Games[Date],"&lt;=" &amp; Games[[#This Row],[Date]])</f>
        <v>4</v>
      </c>
      <c r="D75" s="2" t="s">
        <v>83</v>
      </c>
      <c r="E75" s="2" t="s">
        <v>84</v>
      </c>
      <c r="F75" s="1" t="s">
        <v>63</v>
      </c>
      <c r="G75" s="1" t="s">
        <v>76</v>
      </c>
      <c r="H75" s="1" t="s">
        <v>86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4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5" s="2">
        <f>Games[[#This Row],[DaysOff]]-Games[[#This Row],[OppDaysOff]]</f>
        <v>3</v>
      </c>
      <c r="L75" s="2">
        <f>Games[[#This Row],[OppDaysOff]]-Games[[#This Row],[DaysOff]]</f>
        <v>-3</v>
      </c>
      <c r="M75" s="1">
        <f>MAX(-16, MIN(16, Games[[#This Row],[RestDiff]]*8))</f>
        <v>16</v>
      </c>
      <c r="N75" s="1">
        <f>MAX(-16, MIN(16, Games[[#This Row],[OppRestDiff]]*8))</f>
        <v>-16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1452.6349597868996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1535.9901097324275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0.54684195065081875</v>
      </c>
      <c r="R75" s="1">
        <v>68</v>
      </c>
      <c r="S75" s="1">
        <v>76</v>
      </c>
      <c r="T75" s="1">
        <v>0</v>
      </c>
      <c r="U75" s="1">
        <f>Games[[#This Row],[PointsFor]]-Games[[#This Row],[PointsAgainst]]</f>
        <v>-8</v>
      </c>
      <c r="V75" s="1">
        <f>IF(Games[[#This Row],[MOV]]&gt;0,1,IF(Games[[#This Row],[MOV]]=0,0.5,0))</f>
        <v>0</v>
      </c>
      <c r="W75" s="4">
        <f>((ABS(Games[[#This Row],[MOV]])+5)^0.6)/(12+0.01*(ABS(Games[[#This Row],[PreGmRate]]-Games[[#This Row],[OppPreGmRate]])))*IF(Games[[#This Row],[OT]]=1,0.9,1)</f>
        <v>0.3630940679385477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75.400000000000006</v>
      </c>
      <c r="Z75" s="4">
        <f>Games[[#This Row],[K]]*Games[[#This Row],[POMult]]</f>
        <v>75.400000000000006</v>
      </c>
      <c r="AA75" s="4">
        <f>(Games[[#This Row],[Keff]]*Games[[#This Row],[MOVMult]])*(Games[[#This Row],[Result]]-Games[[#This Row],[ExpectedWin%]])</f>
        <v>-14.971052155946728</v>
      </c>
      <c r="AB75" s="4">
        <f>Games[[#This Row],[PreGmRate]]+Games[[#This Row],[RatingChange]]</f>
        <v>1437.6639076309527</v>
      </c>
      <c r="AC75" s="2">
        <f>IF(Games[[#This Row],[Type]]="R",IF(Games[[#This Row],[Result]]&gt;0.5,1,0),0)</f>
        <v>0</v>
      </c>
      <c r="AD75" s="2">
        <f>IF(Games[[#This Row],[Type]]="R",IF(Games[[#This Row],[Result]]&lt;0.5,1,0),0)</f>
        <v>1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42176</v>
      </c>
      <c r="B76" s="2">
        <v>2015</v>
      </c>
      <c r="C76" s="2">
        <f>COUNTIFS(Games[Team],Games[[#This Row],[Team]],Games[Season],Games[[#This Row],[Season]],Games[Date],"&lt;=" &amp; Games[[#This Row],[Date]])</f>
        <v>7</v>
      </c>
      <c r="D76" s="2" t="s">
        <v>83</v>
      </c>
      <c r="E76" s="2" t="s">
        <v>84</v>
      </c>
      <c r="F76" s="1" t="s">
        <v>81</v>
      </c>
      <c r="G76" s="1" t="s">
        <v>67</v>
      </c>
      <c r="H76" s="1" t="s">
        <v>85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6" s="2">
        <f>Games[[#This Row],[DaysOff]]-Games[[#This Row],[OppDaysOff]]</f>
        <v>0</v>
      </c>
      <c r="L76" s="2">
        <f>Games[[#This Row],[OppDaysOff]]-Games[[#This Row],[DaysOff]]</f>
        <v>0</v>
      </c>
      <c r="M76" s="1">
        <f>MAX(-16, MIN(16, Games[[#This Row],[RestDiff]]*8))</f>
        <v>0</v>
      </c>
      <c r="N76" s="1">
        <f>MAX(-16, MIN(16, Games[[#This Row],[OppRestDiff]]*8))</f>
        <v>0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1531.2001469266615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1617.0764566504281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0.27331132047977297</v>
      </c>
      <c r="R76" s="1">
        <v>86</v>
      </c>
      <c r="S76" s="1">
        <v>78</v>
      </c>
      <c r="T76" s="1">
        <v>0</v>
      </c>
      <c r="U76" s="1">
        <f>Games[[#This Row],[PointsFor]]-Games[[#This Row],[PointsAgainst]]</f>
        <v>8</v>
      </c>
      <c r="V76" s="1">
        <f>IF(Games[[#This Row],[MOV]]&gt;0,1,IF(Games[[#This Row],[MOV]]=0,0.5,0))</f>
        <v>1</v>
      </c>
      <c r="W76" s="4">
        <f>((ABS(Games[[#This Row],[MOV]])+5)^0.6)/(12+0.01*(ABS(Games[[#This Row],[PreGmRate]]-Games[[#This Row],[OppPreGmRate]])))*IF(Games[[#This Row],[OT]]=1,0.9,1)</f>
        <v>0.36238216574944809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74.95</v>
      </c>
      <c r="Z76" s="4">
        <f>Games[[#This Row],[K]]*Games[[#This Row],[POMult]]</f>
        <v>74.95</v>
      </c>
      <c r="AA76" s="4">
        <f>(Games[[#This Row],[Keff]]*Games[[#This Row],[MOVMult]])*(Games[[#This Row],[Result]]-Games[[#This Row],[ExpectedWin%]])</f>
        <v>19.737259362385476</v>
      </c>
      <c r="AB76" s="4">
        <f>Games[[#This Row],[PreGmRate]]+Games[[#This Row],[RatingChange]]</f>
        <v>1550.937406289047</v>
      </c>
      <c r="AC76" s="2">
        <f>IF(Games[[#This Row],[Type]]="R",IF(Games[[#This Row],[Result]]&gt;0.5,1,0),0)</f>
        <v>1</v>
      </c>
      <c r="AD76" s="2">
        <f>IF(Games[[#This Row],[Type]]="R",IF(Games[[#This Row],[Result]]&lt;0.5,1,0),0)</f>
        <v>0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42176</v>
      </c>
      <c r="B77" s="2">
        <v>2015</v>
      </c>
      <c r="C77" s="2">
        <f>COUNTIFS(Games[Team],Games[[#This Row],[Team]],Games[Season],Games[[#This Row],[Season]],Games[Date],"&lt;=" &amp; Games[[#This Row],[Date]])</f>
        <v>7</v>
      </c>
      <c r="D77" s="2" t="s">
        <v>83</v>
      </c>
      <c r="E77" s="2" t="s">
        <v>84</v>
      </c>
      <c r="F77" s="1" t="s">
        <v>67</v>
      </c>
      <c r="G77" s="1" t="s">
        <v>81</v>
      </c>
      <c r="H77" s="1" t="s">
        <v>86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7" s="2">
        <f>Games[[#This Row],[DaysOff]]-Games[[#This Row],[OppDaysOff]]</f>
        <v>0</v>
      </c>
      <c r="L77" s="2">
        <f>Games[[#This Row],[OppDaysOff]]-Games[[#This Row],[DaysOff]]</f>
        <v>0</v>
      </c>
      <c r="M77" s="1">
        <f>MAX(-16, MIN(16, Games[[#This Row],[RestDiff]]*8))</f>
        <v>0</v>
      </c>
      <c r="N77" s="1">
        <f>MAX(-16, MIN(16, Games[[#This Row],[OppRestDiff]]*8))</f>
        <v>0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1617.0764566504281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1531.2001469266615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0.72668867952022709</v>
      </c>
      <c r="R77" s="1">
        <v>78</v>
      </c>
      <c r="S77" s="1">
        <v>86</v>
      </c>
      <c r="T77" s="1">
        <v>0</v>
      </c>
      <c r="U77" s="1">
        <f>Games[[#This Row],[PointsFor]]-Games[[#This Row],[PointsAgainst]]</f>
        <v>-8</v>
      </c>
      <c r="V77" s="1">
        <f>IF(Games[[#This Row],[MOV]]&gt;0,1,IF(Games[[#This Row],[MOV]]=0,0.5,0))</f>
        <v>0</v>
      </c>
      <c r="W77" s="4">
        <f>((ABS(Games[[#This Row],[MOV]])+5)^0.6)/(12+0.01*(ABS(Games[[#This Row],[PreGmRate]]-Games[[#This Row],[OppPreGmRate]])))*IF(Games[[#This Row],[OT]]=1,0.9,1)</f>
        <v>0.36238216574944809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74.95</v>
      </c>
      <c r="Z77" s="4">
        <f>Games[[#This Row],[K]]*Games[[#This Row],[POMult]]</f>
        <v>74.95</v>
      </c>
      <c r="AA77" s="4">
        <f>(Games[[#This Row],[Keff]]*Games[[#This Row],[MOVMult]])*(Games[[#This Row],[Result]]-Games[[#This Row],[ExpectedWin%]])</f>
        <v>-19.73725936238548</v>
      </c>
      <c r="AB77" s="4">
        <f>Games[[#This Row],[PreGmRate]]+Games[[#This Row],[RatingChange]]</f>
        <v>1597.3391972880427</v>
      </c>
      <c r="AC77" s="2">
        <f>IF(Games[[#This Row],[Type]]="R",IF(Games[[#This Row],[Result]]&gt;0.5,1,0),0)</f>
        <v>0</v>
      </c>
      <c r="AD77" s="2">
        <f>IF(Games[[#This Row],[Type]]="R",IF(Games[[#This Row],[Result]]&lt;0.5,1,0),0)</f>
        <v>1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42176</v>
      </c>
      <c r="B78" s="2">
        <v>2015</v>
      </c>
      <c r="C78" s="2">
        <f>COUNTIFS(Games[Team],Games[[#This Row],[Team]],Games[Season],Games[[#This Row],[Season]],Games[Date],"&lt;=" &amp; Games[[#This Row],[Date]])</f>
        <v>6</v>
      </c>
      <c r="D78" s="2" t="s">
        <v>83</v>
      </c>
      <c r="E78" s="2" t="s">
        <v>84</v>
      </c>
      <c r="F78" s="1" t="s">
        <v>40</v>
      </c>
      <c r="G78" s="1" t="s">
        <v>71</v>
      </c>
      <c r="H78" s="1" t="s">
        <v>85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78" s="2">
        <f>Games[[#This Row],[DaysOff]]-Games[[#This Row],[OppDaysOff]]</f>
        <v>-3</v>
      </c>
      <c r="L78" s="2">
        <f>Games[[#This Row],[OppDaysOff]]-Games[[#This Row],[DaysOff]]</f>
        <v>3</v>
      </c>
      <c r="M78" s="1">
        <f>MAX(-16, MIN(16, Games[[#This Row],[RestDiff]]*8))</f>
        <v>-16</v>
      </c>
      <c r="N78" s="1">
        <f>MAX(-16, MIN(16, Games[[#This Row],[OppRestDiff]]*8))</f>
        <v>16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1597.4161020070458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1442.3647084467593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0.55596399702645538</v>
      </c>
      <c r="R78" s="1">
        <v>84</v>
      </c>
      <c r="S78" s="1">
        <v>72</v>
      </c>
      <c r="T78" s="1">
        <v>0</v>
      </c>
      <c r="U78" s="1">
        <f>Games[[#This Row],[PointsFor]]-Games[[#This Row],[PointsAgainst]]</f>
        <v>12</v>
      </c>
      <c r="V78" s="1">
        <f>IF(Games[[#This Row],[MOV]]&gt;0,1,IF(Games[[#This Row],[MOV]]=0,0.5,0))</f>
        <v>1</v>
      </c>
      <c r="W78" s="4">
        <f>((ABS(Games[[#This Row],[MOV]])+5)^0.6)/(12+0.01*(ABS(Games[[#This Row],[PreGmRate]]-Games[[#This Row],[OppPreGmRate]])))*IF(Games[[#This Row],[OT]]=1,0.9,1)</f>
        <v>0.40393695345658998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75.099999999999994</v>
      </c>
      <c r="Z78" s="4">
        <f>Games[[#This Row],[K]]*Games[[#This Row],[POMult]]</f>
        <v>75.099999999999994</v>
      </c>
      <c r="AA78" s="4">
        <f>(Games[[#This Row],[Keff]]*Games[[#This Row],[MOVMult]])*(Games[[#This Row],[Result]]-Games[[#This Row],[ExpectedWin%]])</f>
        <v>13.470127524989737</v>
      </c>
      <c r="AB78" s="4">
        <f>Games[[#This Row],[PreGmRate]]+Games[[#This Row],[RatingChange]]</f>
        <v>1610.8862295320355</v>
      </c>
      <c r="AC78" s="2">
        <f>IF(Games[[#This Row],[Type]]="R",IF(Games[[#This Row],[Result]]&gt;0.5,1,0),0)</f>
        <v>1</v>
      </c>
      <c r="AD78" s="2">
        <f>IF(Games[[#This Row],[Type]]="R",IF(Games[[#This Row],[Result]]&lt;0.5,1,0),0)</f>
        <v>0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42176</v>
      </c>
      <c r="B79" s="2">
        <v>2015</v>
      </c>
      <c r="C79" s="2">
        <f>COUNTIFS(Games[Team],Games[[#This Row],[Team]],Games[Season],Games[[#This Row],[Season]],Games[Date],"&lt;=" &amp; Games[[#This Row],[Date]])</f>
        <v>6</v>
      </c>
      <c r="D79" s="2" t="s">
        <v>83</v>
      </c>
      <c r="E79" s="2" t="s">
        <v>84</v>
      </c>
      <c r="F79" s="1" t="s">
        <v>71</v>
      </c>
      <c r="G79" s="1" t="s">
        <v>40</v>
      </c>
      <c r="H79" s="1" t="s">
        <v>86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4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9" s="2">
        <f>Games[[#This Row],[DaysOff]]-Games[[#This Row],[OppDaysOff]]</f>
        <v>3</v>
      </c>
      <c r="L79" s="2">
        <f>Games[[#This Row],[OppDaysOff]]-Games[[#This Row],[DaysOff]]</f>
        <v>-3</v>
      </c>
      <c r="M79" s="1">
        <f>MAX(-16, MIN(16, Games[[#This Row],[RestDiff]]*8))</f>
        <v>16</v>
      </c>
      <c r="N79" s="1">
        <f>MAX(-16, MIN(16, Games[[#This Row],[OppRestDiff]]*8))</f>
        <v>-16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1442.3647084467593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1597.4161020070458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0.44403600297354451</v>
      </c>
      <c r="R79" s="1">
        <v>72</v>
      </c>
      <c r="S79" s="1">
        <v>84</v>
      </c>
      <c r="T79" s="1">
        <v>0</v>
      </c>
      <c r="U79" s="1">
        <f>Games[[#This Row],[PointsFor]]-Games[[#This Row],[PointsAgainst]]</f>
        <v>-12</v>
      </c>
      <c r="V79" s="1">
        <f>IF(Games[[#This Row],[MOV]]&gt;0,1,IF(Games[[#This Row],[MOV]]=0,0.5,0))</f>
        <v>0</v>
      </c>
      <c r="W79" s="4">
        <f>((ABS(Games[[#This Row],[MOV]])+5)^0.6)/(12+0.01*(ABS(Games[[#This Row],[PreGmRate]]-Games[[#This Row],[OppPreGmRate]])))*IF(Games[[#This Row],[OT]]=1,0.9,1)</f>
        <v>0.40393695345658998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75.099999999999994</v>
      </c>
      <c r="Z79" s="4">
        <f>Games[[#This Row],[K]]*Games[[#This Row],[POMult]]</f>
        <v>75.099999999999994</v>
      </c>
      <c r="AA79" s="4">
        <f>(Games[[#This Row],[Keff]]*Games[[#This Row],[MOVMult]])*(Games[[#This Row],[Result]]-Games[[#This Row],[ExpectedWin%]])</f>
        <v>-13.470127524989733</v>
      </c>
      <c r="AB79" s="4">
        <f>Games[[#This Row],[PreGmRate]]+Games[[#This Row],[RatingChange]]</f>
        <v>1428.8945809217696</v>
      </c>
      <c r="AC79" s="2">
        <f>IF(Games[[#This Row],[Type]]="R",IF(Games[[#This Row],[Result]]&gt;0.5,1,0),0)</f>
        <v>0</v>
      </c>
      <c r="AD79" s="2">
        <f>IF(Games[[#This Row],[Type]]="R",IF(Games[[#This Row],[Result]]&lt;0.5,1,0),0)</f>
        <v>1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42178</v>
      </c>
      <c r="B80" s="2">
        <v>2015</v>
      </c>
      <c r="C80" s="2">
        <f>COUNTIFS(Games[Team],Games[[#This Row],[Team]],Games[Season],Games[[#This Row],[Season]],Games[Date],"&lt;=" &amp; Games[[#This Row],[Date]])</f>
        <v>5</v>
      </c>
      <c r="D80" s="2" t="s">
        <v>83</v>
      </c>
      <c r="E80" s="2" t="s">
        <v>84</v>
      </c>
      <c r="F80" s="1" t="s">
        <v>63</v>
      </c>
      <c r="G80" s="1" t="s">
        <v>65</v>
      </c>
      <c r="H80" s="1" t="s">
        <v>85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0" s="2">
        <f>Games[[#This Row],[DaysOff]]-Games[[#This Row],[OppDaysOff]]</f>
        <v>-1</v>
      </c>
      <c r="L80" s="2">
        <f>Games[[#This Row],[OppDaysOff]]-Games[[#This Row],[DaysOff]]</f>
        <v>1</v>
      </c>
      <c r="M80" s="1">
        <f>MAX(-16, MIN(16, Games[[#This Row],[RestDiff]]*8))</f>
        <v>-8</v>
      </c>
      <c r="N80" s="1">
        <f>MAX(-16, MIN(16, Games[[#This Row],[OppRestDiff]]*8))</f>
        <v>8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1437.6639076309527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1519.8778685186705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0.25943487389847475</v>
      </c>
      <c r="R80" s="1">
        <v>80</v>
      </c>
      <c r="S80" s="1">
        <v>84</v>
      </c>
      <c r="T80" s="1">
        <v>0</v>
      </c>
      <c r="U80" s="1">
        <f>Games[[#This Row],[PointsFor]]-Games[[#This Row],[PointsAgainst]]</f>
        <v>-4</v>
      </c>
      <c r="V80" s="1">
        <f>IF(Games[[#This Row],[MOV]]&gt;0,1,IF(Games[[#This Row],[MOV]]=0,0.5,0))</f>
        <v>0</v>
      </c>
      <c r="W80" s="4">
        <f>((ABS(Games[[#This Row],[MOV]])+5)^0.6)/(12+0.01*(ABS(Games[[#This Row],[PreGmRate]]-Games[[#This Row],[OppPreGmRate]])))*IF(Games[[#This Row],[OT]]=1,0.9,1)</f>
        <v>0.29146405614388832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75.25</v>
      </c>
      <c r="Z80" s="4">
        <f>Games[[#This Row],[K]]*Games[[#This Row],[POMult]]</f>
        <v>75.25</v>
      </c>
      <c r="AA80" s="4">
        <f>(Games[[#This Row],[Keff]]*Games[[#This Row],[MOVMult]])*(Games[[#This Row],[Result]]-Games[[#This Row],[ExpectedWin%]])</f>
        <v>-5.6900995340349789</v>
      </c>
      <c r="AB80" s="4">
        <f>Games[[#This Row],[PreGmRate]]+Games[[#This Row],[RatingChange]]</f>
        <v>1431.9738080969178</v>
      </c>
      <c r="AC80" s="2">
        <f>IF(Games[[#This Row],[Type]]="R",IF(Games[[#This Row],[Result]]&gt;0.5,1,0),0)</f>
        <v>0</v>
      </c>
      <c r="AD80" s="2">
        <f>IF(Games[[#This Row],[Type]]="R",IF(Games[[#This Row],[Result]]&lt;0.5,1,0),0)</f>
        <v>1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42178</v>
      </c>
      <c r="B81" s="2">
        <v>2015</v>
      </c>
      <c r="C81" s="2">
        <f>COUNTIFS(Games[Team],Games[[#This Row],[Team]],Games[Season],Games[[#This Row],[Season]],Games[Date],"&lt;=" &amp; Games[[#This Row],[Date]])</f>
        <v>7</v>
      </c>
      <c r="D81" s="2" t="s">
        <v>83</v>
      </c>
      <c r="E81" s="2" t="s">
        <v>84</v>
      </c>
      <c r="F81" s="1" t="s">
        <v>65</v>
      </c>
      <c r="G81" s="1" t="s">
        <v>63</v>
      </c>
      <c r="H81" s="1" t="s">
        <v>86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1" s="2">
        <f>Games[[#This Row],[DaysOff]]-Games[[#This Row],[OppDaysOff]]</f>
        <v>1</v>
      </c>
      <c r="L81" s="2">
        <f>Games[[#This Row],[OppDaysOff]]-Games[[#This Row],[DaysOff]]</f>
        <v>-1</v>
      </c>
      <c r="M81" s="1">
        <f>MAX(-16, MIN(16, Games[[#This Row],[RestDiff]]*8))</f>
        <v>8</v>
      </c>
      <c r="N81" s="1">
        <f>MAX(-16, MIN(16, Games[[#This Row],[OppRestDiff]]*8))</f>
        <v>-8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1519.8778685186705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1437.6639076309527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0.74056512610152525</v>
      </c>
      <c r="R81" s="1">
        <v>84</v>
      </c>
      <c r="S81" s="1">
        <v>80</v>
      </c>
      <c r="T81" s="1">
        <v>0</v>
      </c>
      <c r="U81" s="1">
        <f>Games[[#This Row],[PointsFor]]-Games[[#This Row],[PointsAgainst]]</f>
        <v>4</v>
      </c>
      <c r="V81" s="1">
        <f>IF(Games[[#This Row],[MOV]]&gt;0,1,IF(Games[[#This Row],[MOV]]=0,0.5,0))</f>
        <v>1</v>
      </c>
      <c r="W81" s="4">
        <f>((ABS(Games[[#This Row],[MOV]])+5)^0.6)/(12+0.01*(ABS(Games[[#This Row],[PreGmRate]]-Games[[#This Row],[OppPreGmRate]])))*IF(Games[[#This Row],[OT]]=1,0.9,1)</f>
        <v>0.29146405614388832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74.95</v>
      </c>
      <c r="Z81" s="4">
        <f>Games[[#This Row],[K]]*Games[[#This Row],[POMult]]</f>
        <v>74.95</v>
      </c>
      <c r="AA81" s="4">
        <f>(Games[[#This Row],[Keff]]*Games[[#This Row],[MOVMult]])*(Games[[#This Row],[Result]]-Games[[#This Row],[ExpectedWin%]])</f>
        <v>5.6674147518394911</v>
      </c>
      <c r="AB81" s="4">
        <f>Games[[#This Row],[PreGmRate]]+Games[[#This Row],[RatingChange]]</f>
        <v>1525.54528327051</v>
      </c>
      <c r="AC81" s="2">
        <f>IF(Games[[#This Row],[Type]]="R",IF(Games[[#This Row],[Result]]&gt;0.5,1,0),0)</f>
        <v>1</v>
      </c>
      <c r="AD81" s="2">
        <f>IF(Games[[#This Row],[Type]]="R",IF(Games[[#This Row],[Result]]&lt;0.5,1,0),0)</f>
        <v>0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42179</v>
      </c>
      <c r="B82" s="2">
        <v>2015</v>
      </c>
      <c r="C82" s="2">
        <f>COUNTIFS(Games[Team],Games[[#This Row],[Team]],Games[Season],Games[[#This Row],[Season]],Games[Date],"&lt;=" &amp; Games[[#This Row],[Date]])</f>
        <v>9</v>
      </c>
      <c r="D82" s="2" t="s">
        <v>83</v>
      </c>
      <c r="E82" s="2" t="s">
        <v>84</v>
      </c>
      <c r="F82" s="1" t="s">
        <v>79</v>
      </c>
      <c r="G82" s="1" t="s">
        <v>77</v>
      </c>
      <c r="H82" s="1" t="s">
        <v>85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2" s="2">
        <f>Games[[#This Row],[DaysOff]]-Games[[#This Row],[OppDaysOff]]</f>
        <v>-1</v>
      </c>
      <c r="L82" s="2">
        <f>Games[[#This Row],[OppDaysOff]]-Games[[#This Row],[DaysOff]]</f>
        <v>1</v>
      </c>
      <c r="M82" s="1">
        <f>MAX(-16, MIN(16, Games[[#This Row],[RestDiff]]*8))</f>
        <v>-8</v>
      </c>
      <c r="N82" s="1">
        <f>MAX(-16, MIN(16, Games[[#This Row],[OppRestDiff]]*8))</f>
        <v>8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1446.3361313388848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1517.3482150418481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0.27201471189939813</v>
      </c>
      <c r="R82" s="1">
        <v>96</v>
      </c>
      <c r="S82" s="1">
        <v>100</v>
      </c>
      <c r="T82" s="1">
        <v>1</v>
      </c>
      <c r="U82" s="1">
        <f>Games[[#This Row],[PointsFor]]-Games[[#This Row],[PointsAgainst]]</f>
        <v>-4</v>
      </c>
      <c r="V82" s="1">
        <f>IF(Games[[#This Row],[MOV]]&gt;0,1,IF(Games[[#This Row],[MOV]]=0,0.5,0))</f>
        <v>0</v>
      </c>
      <c r="W82" s="4">
        <f>((ABS(Games[[#This Row],[MOV]])+5)^0.6)/(12+0.01*(ABS(Games[[#This Row],[PreGmRate]]-Games[[#This Row],[OppPreGmRate]])))*IF(Games[[#This Row],[OT]]=1,0.9,1)</f>
        <v>0.26462954838027675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74.650000000000006</v>
      </c>
      <c r="Z82" s="4">
        <f>Games[[#This Row],[K]]*Games[[#This Row],[POMult]]</f>
        <v>74.650000000000006</v>
      </c>
      <c r="AA82" s="4">
        <f>(Games[[#This Row],[Keff]]*Games[[#This Row],[MOVMult]])*(Games[[#This Row],[Result]]-Games[[#This Row],[ExpectedWin%]])</f>
        <v>-5.3735406815777065</v>
      </c>
      <c r="AB82" s="4">
        <f>Games[[#This Row],[PreGmRate]]+Games[[#This Row],[RatingChange]]</f>
        <v>1440.9625906573071</v>
      </c>
      <c r="AC82" s="2">
        <f>IF(Games[[#This Row],[Type]]="R",IF(Games[[#This Row],[Result]]&gt;0.5,1,0),0)</f>
        <v>0</v>
      </c>
      <c r="AD82" s="2">
        <f>IF(Games[[#This Row],[Type]]="R",IF(Games[[#This Row],[Result]]&lt;0.5,1,0),0)</f>
        <v>1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42179</v>
      </c>
      <c r="B83" s="2">
        <v>2015</v>
      </c>
      <c r="C83" s="2">
        <f>COUNTIFS(Games[Team],Games[[#This Row],[Team]],Games[Season],Games[[#This Row],[Season]],Games[Date],"&lt;=" &amp; Games[[#This Row],[Date]])</f>
        <v>7</v>
      </c>
      <c r="D83" s="2" t="s">
        <v>83</v>
      </c>
      <c r="E83" s="2" t="s">
        <v>84</v>
      </c>
      <c r="F83" s="1" t="s">
        <v>77</v>
      </c>
      <c r="G83" s="1" t="s">
        <v>79</v>
      </c>
      <c r="H83" s="1" t="s">
        <v>86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3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3" s="2">
        <f>Games[[#This Row],[DaysOff]]-Games[[#This Row],[OppDaysOff]]</f>
        <v>1</v>
      </c>
      <c r="L83" s="2">
        <f>Games[[#This Row],[OppDaysOff]]-Games[[#This Row],[DaysOff]]</f>
        <v>-1</v>
      </c>
      <c r="M83" s="1">
        <f>MAX(-16, MIN(16, Games[[#This Row],[RestDiff]]*8))</f>
        <v>8</v>
      </c>
      <c r="N83" s="1">
        <f>MAX(-16, MIN(16, Games[[#This Row],[OppRestDiff]]*8))</f>
        <v>-8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1517.3482150418481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1446.3361313388848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0.72798528810060181</v>
      </c>
      <c r="R83" s="1">
        <v>100</v>
      </c>
      <c r="S83" s="1">
        <v>96</v>
      </c>
      <c r="T83" s="1">
        <v>1</v>
      </c>
      <c r="U83" s="1">
        <f>Games[[#This Row],[PointsFor]]-Games[[#This Row],[PointsAgainst]]</f>
        <v>4</v>
      </c>
      <c r="V83" s="1">
        <f>IF(Games[[#This Row],[MOV]]&gt;0,1,IF(Games[[#This Row],[MOV]]=0,0.5,0))</f>
        <v>1</v>
      </c>
      <c r="W83" s="4">
        <f>((ABS(Games[[#This Row],[MOV]])+5)^0.6)/(12+0.01*(ABS(Games[[#This Row],[PreGmRate]]-Games[[#This Row],[OppPreGmRate]])))*IF(Games[[#This Row],[OT]]=1,0.9,1)</f>
        <v>0.26462954838027675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74.95</v>
      </c>
      <c r="Z83" s="4">
        <f>Games[[#This Row],[K]]*Games[[#This Row],[POMult]]</f>
        <v>74.95</v>
      </c>
      <c r="AA83" s="4">
        <f>(Games[[#This Row],[Keff]]*Games[[#This Row],[MOVMult]])*(Games[[#This Row],[Result]]-Games[[#This Row],[ExpectedWin%]])</f>
        <v>5.3951356206865269</v>
      </c>
      <c r="AB83" s="4">
        <f>Games[[#This Row],[PreGmRate]]+Games[[#This Row],[RatingChange]]</f>
        <v>1522.7433506625346</v>
      </c>
      <c r="AC83" s="2">
        <f>IF(Games[[#This Row],[Type]]="R",IF(Games[[#This Row],[Result]]&gt;0.5,1,0),0)</f>
        <v>1</v>
      </c>
      <c r="AD83" s="2">
        <f>IF(Games[[#This Row],[Type]]="R",IF(Games[[#This Row],[Result]]&lt;0.5,1,0),0)</f>
        <v>0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42180</v>
      </c>
      <c r="B84" s="2">
        <v>2015</v>
      </c>
      <c r="C84" s="2">
        <f>COUNTIFS(Games[Team],Games[[#This Row],[Team]],Games[Season],Games[[#This Row],[Season]],Games[Date],"&lt;=" &amp; Games[[#This Row],[Date]])</f>
        <v>7</v>
      </c>
      <c r="D84" s="2" t="s">
        <v>83</v>
      </c>
      <c r="E84" s="2" t="s">
        <v>84</v>
      </c>
      <c r="F84" s="1" t="s">
        <v>40</v>
      </c>
      <c r="G84" s="1" t="s">
        <v>74</v>
      </c>
      <c r="H84" s="1" t="s">
        <v>85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3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84" s="2">
        <f>Games[[#This Row],[DaysOff]]-Games[[#This Row],[OppDaysOff]]</f>
        <v>-1</v>
      </c>
      <c r="L84" s="2">
        <f>Games[[#This Row],[OppDaysOff]]-Games[[#This Row],[DaysOff]]</f>
        <v>1</v>
      </c>
      <c r="M84" s="1">
        <f>MAX(-16, MIN(16, Games[[#This Row],[RestDiff]]*8))</f>
        <v>-8</v>
      </c>
      <c r="N84" s="1">
        <f>MAX(-16, MIN(16, Games[[#This Row],[OppRestDiff]]*8))</f>
        <v>8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1610.8862295320355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1406.9830854155168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0.64522483276767773</v>
      </c>
      <c r="R84" s="1">
        <v>71</v>
      </c>
      <c r="S84" s="1">
        <v>76</v>
      </c>
      <c r="T84" s="1">
        <v>0</v>
      </c>
      <c r="U84" s="1">
        <f>Games[[#This Row],[PointsFor]]-Games[[#This Row],[PointsAgainst]]</f>
        <v>-5</v>
      </c>
      <c r="V84" s="1">
        <f>IF(Games[[#This Row],[MOV]]&gt;0,1,IF(Games[[#This Row],[MOV]]=0,0.5,0))</f>
        <v>0</v>
      </c>
      <c r="W84" s="4">
        <f>((ABS(Games[[#This Row],[MOV]])+5)^0.6)/(12+0.01*(ABS(Games[[#This Row],[PreGmRate]]-Games[[#This Row],[OppPreGmRate]])))*IF(Games[[#This Row],[OT]]=1,0.9,1)</f>
        <v>0.28357167816162104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74.95</v>
      </c>
      <c r="Z84" s="4">
        <f>Games[[#This Row],[K]]*Games[[#This Row],[POMult]]</f>
        <v>74.95</v>
      </c>
      <c r="AA84" s="4">
        <f>(Games[[#This Row],[Keff]]*Games[[#This Row],[MOVMult]])*(Games[[#This Row],[Result]]-Games[[#This Row],[ExpectedWin%]])</f>
        <v>-13.71341327203015</v>
      </c>
      <c r="AB84" s="4">
        <f>Games[[#This Row],[PreGmRate]]+Games[[#This Row],[RatingChange]]</f>
        <v>1597.1728162600054</v>
      </c>
      <c r="AC84" s="2">
        <f>IF(Games[[#This Row],[Type]]="R",IF(Games[[#This Row],[Result]]&gt;0.5,1,0),0)</f>
        <v>0</v>
      </c>
      <c r="AD84" s="2">
        <f>IF(Games[[#This Row],[Type]]="R",IF(Games[[#This Row],[Result]]&lt;0.5,1,0),0)</f>
        <v>1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42180</v>
      </c>
      <c r="B85" s="2">
        <v>2015</v>
      </c>
      <c r="C85" s="2">
        <f>COUNTIFS(Games[Team],Games[[#This Row],[Team]],Games[Season],Games[[#This Row],[Season]],Games[Date],"&lt;=" &amp; Games[[#This Row],[Date]])</f>
        <v>7</v>
      </c>
      <c r="D85" s="2" t="s">
        <v>83</v>
      </c>
      <c r="E85" s="2" t="s">
        <v>84</v>
      </c>
      <c r="F85" s="1" t="s">
        <v>74</v>
      </c>
      <c r="G85" s="1" t="s">
        <v>40</v>
      </c>
      <c r="H85" s="1" t="s">
        <v>86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4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5" s="2">
        <f>Games[[#This Row],[DaysOff]]-Games[[#This Row],[OppDaysOff]]</f>
        <v>1</v>
      </c>
      <c r="L85" s="2">
        <f>Games[[#This Row],[OppDaysOff]]-Games[[#This Row],[DaysOff]]</f>
        <v>-1</v>
      </c>
      <c r="M85" s="1">
        <f>MAX(-16, MIN(16, Games[[#This Row],[RestDiff]]*8))</f>
        <v>8</v>
      </c>
      <c r="N85" s="1">
        <f>MAX(-16, MIN(16, Games[[#This Row],[OppRestDiff]]*8))</f>
        <v>-8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1406.9830854155168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1610.8862295320355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0.35477516723232216</v>
      </c>
      <c r="R85" s="1">
        <v>76</v>
      </c>
      <c r="S85" s="1">
        <v>71</v>
      </c>
      <c r="T85" s="1">
        <v>0</v>
      </c>
      <c r="U85" s="1">
        <f>Games[[#This Row],[PointsFor]]-Games[[#This Row],[PointsAgainst]]</f>
        <v>5</v>
      </c>
      <c r="V85" s="1">
        <f>IF(Games[[#This Row],[MOV]]&gt;0,1,IF(Games[[#This Row],[MOV]]=0,0.5,0))</f>
        <v>1</v>
      </c>
      <c r="W85" s="4">
        <f>((ABS(Games[[#This Row],[MOV]])+5)^0.6)/(12+0.01*(ABS(Games[[#This Row],[PreGmRate]]-Games[[#This Row],[OppPreGmRate]])))*IF(Games[[#This Row],[OT]]=1,0.9,1)</f>
        <v>0.28357167816162104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74.95</v>
      </c>
      <c r="Z85" s="4">
        <f>Games[[#This Row],[K]]*Games[[#This Row],[POMult]]</f>
        <v>74.95</v>
      </c>
      <c r="AA85" s="4">
        <f>(Games[[#This Row],[Keff]]*Games[[#This Row],[MOVMult]])*(Games[[#This Row],[Result]]-Games[[#This Row],[ExpectedWin%]])</f>
        <v>13.713413272030154</v>
      </c>
      <c r="AB85" s="4">
        <f>Games[[#This Row],[PreGmRate]]+Games[[#This Row],[RatingChange]]</f>
        <v>1420.6964986875471</v>
      </c>
      <c r="AC85" s="2">
        <f>IF(Games[[#This Row],[Type]]="R",IF(Games[[#This Row],[Result]]&gt;0.5,1,0),0)</f>
        <v>1</v>
      </c>
      <c r="AD85" s="2">
        <f>IF(Games[[#This Row],[Type]]="R",IF(Games[[#This Row],[Result]]&lt;0.5,1,0),0)</f>
        <v>0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42180</v>
      </c>
      <c r="B86" s="2">
        <v>2015</v>
      </c>
      <c r="C86" s="2">
        <f>COUNTIFS(Games[Team],Games[[#This Row],[Team]],Games[Season],Games[[#This Row],[Season]],Games[Date],"&lt;=" &amp; Games[[#This Row],[Date]])</f>
        <v>8</v>
      </c>
      <c r="D86" s="2" t="s">
        <v>83</v>
      </c>
      <c r="E86" s="2" t="s">
        <v>84</v>
      </c>
      <c r="F86" s="1" t="s">
        <v>67</v>
      </c>
      <c r="G86" s="1" t="s">
        <v>71</v>
      </c>
      <c r="H86" s="1" t="s">
        <v>85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3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6" s="2">
        <f>Games[[#This Row],[DaysOff]]-Games[[#This Row],[OppDaysOff]]</f>
        <v>0</v>
      </c>
      <c r="L86" s="2">
        <f>Games[[#This Row],[OppDaysOff]]-Games[[#This Row],[DaysOff]]</f>
        <v>0</v>
      </c>
      <c r="M86" s="1">
        <f>MAX(-16, MIN(16, Games[[#This Row],[RestDiff]]*8))</f>
        <v>0</v>
      </c>
      <c r="N86" s="1">
        <f>MAX(-16, MIN(16, Games[[#This Row],[OppRestDiff]]*8))</f>
        <v>0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1597.3391972880427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1428.8945809217696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0.61918780189851019</v>
      </c>
      <c r="R86" s="1">
        <v>76</v>
      </c>
      <c r="S86" s="1">
        <v>73</v>
      </c>
      <c r="T86" s="1">
        <v>0</v>
      </c>
      <c r="U86" s="1">
        <f>Games[[#This Row],[PointsFor]]-Games[[#This Row],[PointsAgainst]]</f>
        <v>3</v>
      </c>
      <c r="V86" s="1">
        <f>IF(Games[[#This Row],[MOV]]&gt;0,1,IF(Games[[#This Row],[MOV]]=0,0.5,0))</f>
        <v>1</v>
      </c>
      <c r="W86" s="4">
        <f>((ABS(Games[[#This Row],[MOV]])+5)^0.6)/(12+0.01*(ABS(Games[[#This Row],[PreGmRate]]-Games[[#This Row],[OppPreGmRate]])))*IF(Games[[#This Row],[OT]]=1,0.9,1)</f>
        <v>0.25446424440844617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74.8</v>
      </c>
      <c r="Z86" s="4">
        <f>Games[[#This Row],[K]]*Games[[#This Row],[POMult]]</f>
        <v>74.8</v>
      </c>
      <c r="AA86" s="4">
        <f>(Games[[#This Row],[Keff]]*Games[[#This Row],[MOVMult]])*(Games[[#This Row],[Result]]-Games[[#This Row],[ExpectedWin%]])</f>
        <v>7.248351001205851</v>
      </c>
      <c r="AB86" s="4">
        <f>Games[[#This Row],[PreGmRate]]+Games[[#This Row],[RatingChange]]</f>
        <v>1604.5875482892486</v>
      </c>
      <c r="AC86" s="2">
        <f>IF(Games[[#This Row],[Type]]="R",IF(Games[[#This Row],[Result]]&gt;0.5,1,0),0)</f>
        <v>1</v>
      </c>
      <c r="AD86" s="2">
        <f>IF(Games[[#This Row],[Type]]="R",IF(Games[[#This Row],[Result]]&lt;0.5,1,0),0)</f>
        <v>0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42180</v>
      </c>
      <c r="B87" s="2">
        <v>2015</v>
      </c>
      <c r="C87" s="2">
        <f>COUNTIFS(Games[Team],Games[[#This Row],[Team]],Games[Season],Games[[#This Row],[Season]],Games[Date],"&lt;=" &amp; Games[[#This Row],[Date]])</f>
        <v>7</v>
      </c>
      <c r="D87" s="2" t="s">
        <v>83</v>
      </c>
      <c r="E87" s="2" t="s">
        <v>84</v>
      </c>
      <c r="F87" s="1" t="s">
        <v>71</v>
      </c>
      <c r="G87" s="1" t="s">
        <v>67</v>
      </c>
      <c r="H87" s="1" t="s">
        <v>86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3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7" s="2">
        <f>Games[[#This Row],[DaysOff]]-Games[[#This Row],[OppDaysOff]]</f>
        <v>0</v>
      </c>
      <c r="L87" s="2">
        <f>Games[[#This Row],[OppDaysOff]]-Games[[#This Row],[DaysOff]]</f>
        <v>0</v>
      </c>
      <c r="M87" s="1">
        <f>MAX(-16, MIN(16, Games[[#This Row],[RestDiff]]*8))</f>
        <v>0</v>
      </c>
      <c r="N87" s="1">
        <f>MAX(-16, MIN(16, Games[[#This Row],[OppRestDiff]]*8))</f>
        <v>0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1428.8945809217696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1597.3391972880427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0.38081219810148986</v>
      </c>
      <c r="R87" s="1">
        <v>73</v>
      </c>
      <c r="S87" s="1">
        <v>76</v>
      </c>
      <c r="T87" s="1">
        <v>0</v>
      </c>
      <c r="U87" s="1">
        <f>Games[[#This Row],[PointsFor]]-Games[[#This Row],[PointsAgainst]]</f>
        <v>-3</v>
      </c>
      <c r="V87" s="1">
        <f>IF(Games[[#This Row],[MOV]]&gt;0,1,IF(Games[[#This Row],[MOV]]=0,0.5,0))</f>
        <v>0</v>
      </c>
      <c r="W87" s="4">
        <f>((ABS(Games[[#This Row],[MOV]])+5)^0.6)/(12+0.01*(ABS(Games[[#This Row],[PreGmRate]]-Games[[#This Row],[OppPreGmRate]])))*IF(Games[[#This Row],[OT]]=1,0.9,1)</f>
        <v>0.25446424440844617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74.95</v>
      </c>
      <c r="Z87" s="4">
        <f>Games[[#This Row],[K]]*Games[[#This Row],[POMult]]</f>
        <v>74.95</v>
      </c>
      <c r="AA87" s="4">
        <f>(Games[[#This Row],[Keff]]*Games[[#This Row],[MOVMult]])*(Games[[#This Row],[Result]]-Games[[#This Row],[ExpectedWin%]])</f>
        <v>-7.2628864644435653</v>
      </c>
      <c r="AB87" s="4">
        <f>Games[[#This Row],[PreGmRate]]+Games[[#This Row],[RatingChange]]</f>
        <v>1421.6316944573261</v>
      </c>
      <c r="AC87" s="2">
        <f>IF(Games[[#This Row],[Type]]="R",IF(Games[[#This Row],[Result]]&gt;0.5,1,0),0)</f>
        <v>0</v>
      </c>
      <c r="AD87" s="2">
        <f>IF(Games[[#This Row],[Type]]="R",IF(Games[[#This Row],[Result]]&lt;0.5,1,0),0)</f>
        <v>1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42181</v>
      </c>
      <c r="B88" s="2">
        <v>2015</v>
      </c>
      <c r="C88" s="2">
        <f>COUNTIFS(Games[Team],Games[[#This Row],[Team]],Games[Season],Games[[#This Row],[Season]],Games[Date],"&lt;=" &amp; Games[[#This Row],[Date]])</f>
        <v>8</v>
      </c>
      <c r="D88" s="2" t="s">
        <v>83</v>
      </c>
      <c r="E88" s="2" t="s">
        <v>84</v>
      </c>
      <c r="F88" s="1" t="s">
        <v>65</v>
      </c>
      <c r="G88" s="1" t="s">
        <v>79</v>
      </c>
      <c r="H88" s="1" t="s">
        <v>85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8" s="2">
        <f>Games[[#This Row],[DaysOff]]-Games[[#This Row],[OppDaysOff]]</f>
        <v>1</v>
      </c>
      <c r="L88" s="2">
        <f>Games[[#This Row],[OppDaysOff]]-Games[[#This Row],[DaysOff]]</f>
        <v>-1</v>
      </c>
      <c r="M88" s="1">
        <f>MAX(-16, MIN(16, Games[[#This Row],[RestDiff]]*8))</f>
        <v>8</v>
      </c>
      <c r="N88" s="1">
        <f>MAX(-16, MIN(16, Games[[#This Row],[OppRestDiff]]*8))</f>
        <v>-8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1525.54528327051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1440.9625906573071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0.52384630813622068</v>
      </c>
      <c r="R88" s="1">
        <v>69</v>
      </c>
      <c r="S88" s="1">
        <v>72</v>
      </c>
      <c r="T88" s="1">
        <v>0</v>
      </c>
      <c r="U88" s="1">
        <f>Games[[#This Row],[PointsFor]]-Games[[#This Row],[PointsAgainst]]</f>
        <v>-3</v>
      </c>
      <c r="V88" s="1">
        <f>IF(Games[[#This Row],[MOV]]&gt;0,1,IF(Games[[#This Row],[MOV]]=0,0.5,0))</f>
        <v>0</v>
      </c>
      <c r="W88" s="4">
        <f>((ABS(Games[[#This Row],[MOV]])+5)^0.6)/(12+0.01*(ABS(Games[[#This Row],[PreGmRate]]-Games[[#This Row],[OppPreGmRate]])))*IF(Games[[#This Row],[OT]]=1,0.9,1)</f>
        <v>0.27107653506530721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74.8</v>
      </c>
      <c r="Z88" s="4">
        <f>Games[[#This Row],[K]]*Games[[#This Row],[POMult]]</f>
        <v>74.8</v>
      </c>
      <c r="AA88" s="4">
        <f>(Games[[#This Row],[Keff]]*Games[[#This Row],[MOVMult]])*(Games[[#This Row],[Result]]-Games[[#This Row],[ExpectedWin%]])</f>
        <v>-10.621782670300732</v>
      </c>
      <c r="AB88" s="4">
        <f>Games[[#This Row],[PreGmRate]]+Games[[#This Row],[RatingChange]]</f>
        <v>1514.9235006002093</v>
      </c>
      <c r="AC88" s="2">
        <f>IF(Games[[#This Row],[Type]]="R",IF(Games[[#This Row],[Result]]&gt;0.5,1,0),0)</f>
        <v>0</v>
      </c>
      <c r="AD88" s="2">
        <f>IF(Games[[#This Row],[Type]]="R",IF(Games[[#This Row],[Result]]&lt;0.5,1,0),0)</f>
        <v>1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42181</v>
      </c>
      <c r="B89" s="2">
        <v>2015</v>
      </c>
      <c r="C89" s="2">
        <f>COUNTIFS(Games[Team],Games[[#This Row],[Team]],Games[Season],Games[[#This Row],[Season]],Games[Date],"&lt;=" &amp; Games[[#This Row],[Date]])</f>
        <v>10</v>
      </c>
      <c r="D89" s="2" t="s">
        <v>83</v>
      </c>
      <c r="E89" s="2" t="s">
        <v>84</v>
      </c>
      <c r="F89" s="1" t="s">
        <v>79</v>
      </c>
      <c r="G89" s="1" t="s">
        <v>65</v>
      </c>
      <c r="H89" s="1" t="s">
        <v>86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9" s="2">
        <f>Games[[#This Row],[DaysOff]]-Games[[#This Row],[OppDaysOff]]</f>
        <v>-1</v>
      </c>
      <c r="L89" s="2">
        <f>Games[[#This Row],[OppDaysOff]]-Games[[#This Row],[DaysOff]]</f>
        <v>1</v>
      </c>
      <c r="M89" s="1">
        <f>MAX(-16, MIN(16, Games[[#This Row],[RestDiff]]*8))</f>
        <v>-8</v>
      </c>
      <c r="N89" s="1">
        <f>MAX(-16, MIN(16, Games[[#This Row],[OppRestDiff]]*8))</f>
        <v>8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1440.9625906573071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1525.54528327051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0.47615369186377943</v>
      </c>
      <c r="R89" s="1">
        <v>72</v>
      </c>
      <c r="S89" s="1">
        <v>69</v>
      </c>
      <c r="T89" s="1">
        <v>0</v>
      </c>
      <c r="U89" s="1">
        <f>Games[[#This Row],[PointsFor]]-Games[[#This Row],[PointsAgainst]]</f>
        <v>3</v>
      </c>
      <c r="V89" s="1">
        <f>IF(Games[[#This Row],[MOV]]&gt;0,1,IF(Games[[#This Row],[MOV]]=0,0.5,0))</f>
        <v>1</v>
      </c>
      <c r="W89" s="4">
        <f>((ABS(Games[[#This Row],[MOV]])+5)^0.6)/(12+0.01*(ABS(Games[[#This Row],[PreGmRate]]-Games[[#This Row],[OppPreGmRate]])))*IF(Games[[#This Row],[OT]]=1,0.9,1)</f>
        <v>0.27107653506530721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74.5</v>
      </c>
      <c r="Z89" s="4">
        <f>Games[[#This Row],[K]]*Games[[#This Row],[POMult]]</f>
        <v>74.5</v>
      </c>
      <c r="AA89" s="4">
        <f>(Games[[#This Row],[Keff]]*Games[[#This Row],[MOVMult]])*(Games[[#This Row],[Result]]-Games[[#This Row],[ExpectedWin%]])</f>
        <v>10.579181937665835</v>
      </c>
      <c r="AB89" s="4">
        <f>Games[[#This Row],[PreGmRate]]+Games[[#This Row],[RatingChange]]</f>
        <v>1451.5417725949731</v>
      </c>
      <c r="AC89" s="2">
        <f>IF(Games[[#This Row],[Type]]="R",IF(Games[[#This Row],[Result]]&gt;0.5,1,0),0)</f>
        <v>1</v>
      </c>
      <c r="AD89" s="2">
        <f>IF(Games[[#This Row],[Type]]="R",IF(Games[[#This Row],[Result]]&lt;0.5,1,0),0)</f>
        <v>0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42181</v>
      </c>
      <c r="B90" s="2">
        <v>2015</v>
      </c>
      <c r="C90" s="2">
        <f>COUNTIFS(Games[Team],Games[[#This Row],[Team]],Games[Season],Games[[#This Row],[Season]],Games[Date],"&lt;=" &amp; Games[[#This Row],[Date]])</f>
        <v>6</v>
      </c>
      <c r="D90" s="2" t="s">
        <v>83</v>
      </c>
      <c r="E90" s="2" t="s">
        <v>84</v>
      </c>
      <c r="F90" s="1" t="s">
        <v>63</v>
      </c>
      <c r="G90" s="1" t="s">
        <v>76</v>
      </c>
      <c r="H90" s="1" t="s">
        <v>85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90" s="2">
        <f>Games[[#This Row],[DaysOff]]-Games[[#This Row],[OppDaysOff]]</f>
        <v>-2</v>
      </c>
      <c r="L90" s="2">
        <f>Games[[#This Row],[OppDaysOff]]-Games[[#This Row],[DaysOff]]</f>
        <v>2</v>
      </c>
      <c r="M90" s="1">
        <f>MAX(-16, MIN(16, Games[[#This Row],[RestDiff]]*8))</f>
        <v>-16</v>
      </c>
      <c r="N90" s="1">
        <f>MAX(-16, MIN(16, Games[[#This Row],[OppRestDiff]]*8))</f>
        <v>16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1431.9738080969178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1550.8718121076026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0.20551393477322916</v>
      </c>
      <c r="R90" s="1">
        <v>76</v>
      </c>
      <c r="S90" s="1">
        <v>80</v>
      </c>
      <c r="T90" s="1">
        <v>1</v>
      </c>
      <c r="U90" s="1">
        <f>Games[[#This Row],[PointsFor]]-Games[[#This Row],[PointsAgainst]]</f>
        <v>-4</v>
      </c>
      <c r="V90" s="1">
        <f>IF(Games[[#This Row],[MOV]]&gt;0,1,IF(Games[[#This Row],[MOV]]=0,0.5,0))</f>
        <v>0</v>
      </c>
      <c r="W90" s="4">
        <f>((ABS(Games[[#This Row],[MOV]])+5)^0.6)/(12+0.01*(ABS(Games[[#This Row],[PreGmRate]]-Games[[#This Row],[OppPreGmRate]])))*IF(Games[[#This Row],[OT]]=1,0.9,1)</f>
        <v>0.25502150482704411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75.099999999999994</v>
      </c>
      <c r="Z90" s="4">
        <f>Games[[#This Row],[K]]*Games[[#This Row],[POMult]]</f>
        <v>75.099999999999994</v>
      </c>
      <c r="AA90" s="4">
        <f>(Games[[#This Row],[Keff]]*Games[[#This Row],[MOVMult]])*(Games[[#This Row],[Result]]-Games[[#This Row],[ExpectedWin%]])</f>
        <v>-3.9360265154505707</v>
      </c>
      <c r="AB90" s="4">
        <f>Games[[#This Row],[PreGmRate]]+Games[[#This Row],[RatingChange]]</f>
        <v>1428.0377815814672</v>
      </c>
      <c r="AC90" s="2">
        <f>IF(Games[[#This Row],[Type]]="R",IF(Games[[#This Row],[Result]]&gt;0.5,1,0),0)</f>
        <v>0</v>
      </c>
      <c r="AD90" s="2">
        <f>IF(Games[[#This Row],[Type]]="R",IF(Games[[#This Row],[Result]]&lt;0.5,1,0),0)</f>
        <v>1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42181</v>
      </c>
      <c r="B91" s="2">
        <v>2015</v>
      </c>
      <c r="C91" s="2">
        <f>COUNTIFS(Games[Team],Games[[#This Row],[Team]],Games[Season],Games[[#This Row],[Season]],Games[Date],"&lt;=" &amp; Games[[#This Row],[Date]])</f>
        <v>8</v>
      </c>
      <c r="D91" s="2" t="s">
        <v>83</v>
      </c>
      <c r="E91" s="2" t="s">
        <v>84</v>
      </c>
      <c r="F91" s="1" t="s">
        <v>76</v>
      </c>
      <c r="G91" s="1" t="s">
        <v>63</v>
      </c>
      <c r="H91" s="1" t="s">
        <v>86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4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1" s="2">
        <f>Games[[#This Row],[DaysOff]]-Games[[#This Row],[OppDaysOff]]</f>
        <v>2</v>
      </c>
      <c r="L91" s="2">
        <f>Games[[#This Row],[OppDaysOff]]-Games[[#This Row],[DaysOff]]</f>
        <v>-2</v>
      </c>
      <c r="M91" s="1">
        <f>MAX(-16, MIN(16, Games[[#This Row],[RestDiff]]*8))</f>
        <v>16</v>
      </c>
      <c r="N91" s="1">
        <f>MAX(-16, MIN(16, Games[[#This Row],[OppRestDiff]]*8))</f>
        <v>-16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1550.8718121076026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1431.9738080969178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0.7944860652267709</v>
      </c>
      <c r="R91" s="1">
        <v>80</v>
      </c>
      <c r="S91" s="1">
        <v>76</v>
      </c>
      <c r="T91" s="1">
        <v>1</v>
      </c>
      <c r="U91" s="1">
        <f>Games[[#This Row],[PointsFor]]-Games[[#This Row],[PointsAgainst]]</f>
        <v>4</v>
      </c>
      <c r="V91" s="1">
        <f>IF(Games[[#This Row],[MOV]]&gt;0,1,IF(Games[[#This Row],[MOV]]=0,0.5,0))</f>
        <v>1</v>
      </c>
      <c r="W91" s="4">
        <f>((ABS(Games[[#This Row],[MOV]])+5)^0.6)/(12+0.01*(ABS(Games[[#This Row],[PreGmRate]]-Games[[#This Row],[OppPreGmRate]])))*IF(Games[[#This Row],[OT]]=1,0.9,1)</f>
        <v>0.25502150482704411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74.8</v>
      </c>
      <c r="Z91" s="4">
        <f>Games[[#This Row],[K]]*Games[[#This Row],[POMult]]</f>
        <v>74.8</v>
      </c>
      <c r="AA91" s="4">
        <f>(Games[[#This Row],[Keff]]*Games[[#This Row],[MOVMult]])*(Games[[#This Row],[Result]]-Games[[#This Row],[ExpectedWin%]])</f>
        <v>3.9203033735779313</v>
      </c>
      <c r="AB91" s="4">
        <f>Games[[#This Row],[PreGmRate]]+Games[[#This Row],[RatingChange]]</f>
        <v>1554.7921154811806</v>
      </c>
      <c r="AC91" s="2">
        <f>IF(Games[[#This Row],[Type]]="R",IF(Games[[#This Row],[Result]]&gt;0.5,1,0),0)</f>
        <v>1</v>
      </c>
      <c r="AD91" s="2">
        <f>IF(Games[[#This Row],[Type]]="R",IF(Games[[#This Row],[Result]]&lt;0.5,1,0),0)</f>
        <v>0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42181</v>
      </c>
      <c r="B92" s="2">
        <v>2015</v>
      </c>
      <c r="C92" s="2">
        <f>COUNTIFS(Games[Team],Games[[#This Row],[Team]],Games[Season],Games[[#This Row],[Season]],Games[Date],"&lt;=" &amp; Games[[#This Row],[Date]])</f>
        <v>8</v>
      </c>
      <c r="D92" s="2" t="s">
        <v>83</v>
      </c>
      <c r="E92" s="2" t="s">
        <v>84</v>
      </c>
      <c r="F92" s="1" t="s">
        <v>77</v>
      </c>
      <c r="G92" s="1" t="s">
        <v>69</v>
      </c>
      <c r="H92" s="1" t="s">
        <v>85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92" s="2">
        <f>Games[[#This Row],[DaysOff]]-Games[[#This Row],[OppDaysOff]]</f>
        <v>-4</v>
      </c>
      <c r="L92" s="2">
        <f>Games[[#This Row],[OppDaysOff]]-Games[[#This Row],[DaysOff]]</f>
        <v>4</v>
      </c>
      <c r="M92" s="1">
        <f>MAX(-16, MIN(16, Games[[#This Row],[RestDiff]]*8))</f>
        <v>-16</v>
      </c>
      <c r="N92" s="1">
        <f>MAX(-16, MIN(16, Games[[#This Row],[OppRestDiff]]*8))</f>
        <v>16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1522.7433506625346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1463.6165135835638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0.41887623927445383</v>
      </c>
      <c r="R92" s="1">
        <v>83</v>
      </c>
      <c r="S92" s="1">
        <v>77</v>
      </c>
      <c r="T92" s="1">
        <v>0</v>
      </c>
      <c r="U92" s="1">
        <f>Games[[#This Row],[PointsFor]]-Games[[#This Row],[PointsAgainst]]</f>
        <v>6</v>
      </c>
      <c r="V92" s="1">
        <f>IF(Games[[#This Row],[MOV]]&gt;0,1,IF(Games[[#This Row],[MOV]]=0,0.5,0))</f>
        <v>1</v>
      </c>
      <c r="W92" s="4">
        <f>((ABS(Games[[#This Row],[MOV]])+5)^0.6)/(12+0.01*(ABS(Games[[#This Row],[PreGmRate]]-Games[[#This Row],[OppPreGmRate]])))*IF(Games[[#This Row],[OT]]=1,0.9,1)</f>
        <v>0.33478510734240807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74.8</v>
      </c>
      <c r="Z92" s="4">
        <f>Games[[#This Row],[K]]*Games[[#This Row],[POMult]]</f>
        <v>74.8</v>
      </c>
      <c r="AA92" s="4">
        <f>(Games[[#This Row],[Keff]]*Games[[#This Row],[MOVMult]])*(Games[[#This Row],[Result]]-Games[[#This Row],[ExpectedWin%]])</f>
        <v>14.552458229906692</v>
      </c>
      <c r="AB92" s="4">
        <f>Games[[#This Row],[PreGmRate]]+Games[[#This Row],[RatingChange]]</f>
        <v>1537.2958088924413</v>
      </c>
      <c r="AC92" s="2">
        <f>IF(Games[[#This Row],[Type]]="R",IF(Games[[#This Row],[Result]]&gt;0.5,1,0),0)</f>
        <v>1</v>
      </c>
      <c r="AD92" s="2">
        <f>IF(Games[[#This Row],[Type]]="R",IF(Games[[#This Row],[Result]]&lt;0.5,1,0),0)</f>
        <v>0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42181</v>
      </c>
      <c r="B93" s="2">
        <v>2015</v>
      </c>
      <c r="C93" s="2">
        <f>COUNTIFS(Games[Team],Games[[#This Row],[Team]],Games[Season],Games[[#This Row],[Season]],Games[Date],"&lt;=" &amp; Games[[#This Row],[Date]])</f>
        <v>9</v>
      </c>
      <c r="D93" s="2" t="s">
        <v>83</v>
      </c>
      <c r="E93" s="2" t="s">
        <v>84</v>
      </c>
      <c r="F93" s="1" t="s">
        <v>69</v>
      </c>
      <c r="G93" s="1" t="s">
        <v>77</v>
      </c>
      <c r="H93" s="1" t="s">
        <v>86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5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3" s="2">
        <f>Games[[#This Row],[DaysOff]]-Games[[#This Row],[OppDaysOff]]</f>
        <v>4</v>
      </c>
      <c r="L93" s="2">
        <f>Games[[#This Row],[OppDaysOff]]-Games[[#This Row],[DaysOff]]</f>
        <v>-4</v>
      </c>
      <c r="M93" s="1">
        <f>MAX(-16, MIN(16, Games[[#This Row],[RestDiff]]*8))</f>
        <v>16</v>
      </c>
      <c r="N93" s="1">
        <f>MAX(-16, MIN(16, Games[[#This Row],[OppRestDiff]]*8))</f>
        <v>-16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1463.6165135835638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1522.7433506625346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0.58112376072554617</v>
      </c>
      <c r="R93" s="1">
        <v>77</v>
      </c>
      <c r="S93" s="1">
        <v>83</v>
      </c>
      <c r="T93" s="1">
        <v>0</v>
      </c>
      <c r="U93" s="1">
        <f>Games[[#This Row],[PointsFor]]-Games[[#This Row],[PointsAgainst]]</f>
        <v>-6</v>
      </c>
      <c r="V93" s="1">
        <f>IF(Games[[#This Row],[MOV]]&gt;0,1,IF(Games[[#This Row],[MOV]]=0,0.5,0))</f>
        <v>0</v>
      </c>
      <c r="W93" s="4">
        <f>((ABS(Games[[#This Row],[MOV]])+5)^0.6)/(12+0.01*(ABS(Games[[#This Row],[PreGmRate]]-Games[[#This Row],[OppPreGmRate]])))*IF(Games[[#This Row],[OT]]=1,0.9,1)</f>
        <v>0.33478510734240807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74.650000000000006</v>
      </c>
      <c r="Z93" s="4">
        <f>Games[[#This Row],[K]]*Games[[#This Row],[POMult]]</f>
        <v>74.650000000000006</v>
      </c>
      <c r="AA93" s="4">
        <f>(Games[[#This Row],[Keff]]*Games[[#This Row],[MOVMult]])*(Games[[#This Row],[Result]]-Games[[#This Row],[ExpectedWin%]])</f>
        <v>-14.523275492814635</v>
      </c>
      <c r="AB93" s="4">
        <f>Games[[#This Row],[PreGmRate]]+Games[[#This Row],[RatingChange]]</f>
        <v>1449.0932380907491</v>
      </c>
      <c r="AC93" s="2">
        <f>IF(Games[[#This Row],[Type]]="R",IF(Games[[#This Row],[Result]]&gt;0.5,1,0),0)</f>
        <v>0</v>
      </c>
      <c r="AD93" s="2">
        <f>IF(Games[[#This Row],[Type]]="R",IF(Games[[#This Row],[Result]]&lt;0.5,1,0),0)</f>
        <v>1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42181</v>
      </c>
      <c r="B94" s="2">
        <v>2015</v>
      </c>
      <c r="C94" s="2">
        <f>COUNTIFS(Games[Team],Games[[#This Row],[Team]],Games[Season],Games[[#This Row],[Season]],Games[Date],"&lt;=" &amp; Games[[#This Row],[Date]])</f>
        <v>8</v>
      </c>
      <c r="D94" s="2" t="s">
        <v>83</v>
      </c>
      <c r="E94" s="2" t="s">
        <v>84</v>
      </c>
      <c r="F94" s="1" t="s">
        <v>60</v>
      </c>
      <c r="G94" s="1" t="s">
        <v>81</v>
      </c>
      <c r="H94" s="1" t="s">
        <v>85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4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94" s="2">
        <f>Games[[#This Row],[DaysOff]]-Games[[#This Row],[OppDaysOff]]</f>
        <v>0</v>
      </c>
      <c r="L94" s="2">
        <f>Games[[#This Row],[OppDaysOff]]-Games[[#This Row],[DaysOff]]</f>
        <v>0</v>
      </c>
      <c r="M94" s="1">
        <f>MAX(-16, MIN(16, Games[[#This Row],[RestDiff]]*8))</f>
        <v>0</v>
      </c>
      <c r="N94" s="1">
        <f>MAX(-16, MIN(16, Games[[#This Row],[OppRestDiff]]*8))</f>
        <v>0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1470.07397001765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1550.937406289047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0.27907989300643216</v>
      </c>
      <c r="R94" s="1">
        <v>62</v>
      </c>
      <c r="S94" s="1">
        <v>71</v>
      </c>
      <c r="T94" s="1">
        <v>0</v>
      </c>
      <c r="U94" s="1">
        <f>Games[[#This Row],[PointsFor]]-Games[[#This Row],[PointsAgainst]]</f>
        <v>-9</v>
      </c>
      <c r="V94" s="1">
        <f>IF(Games[[#This Row],[MOV]]&gt;0,1,IF(Games[[#This Row],[MOV]]=0,0.5,0))</f>
        <v>0</v>
      </c>
      <c r="W94" s="4">
        <f>((ABS(Games[[#This Row],[MOV]])+5)^0.6)/(12+0.01*(ABS(Games[[#This Row],[PreGmRate]]-Games[[#This Row],[OppPreGmRate]])))*IF(Games[[#This Row],[OT]]=1,0.9,1)</f>
        <v>0.38034174353109401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74.8</v>
      </c>
      <c r="Z94" s="4">
        <f>Games[[#This Row],[K]]*Games[[#This Row],[POMult]]</f>
        <v>74.8</v>
      </c>
      <c r="AA94" s="4">
        <f>(Games[[#This Row],[Keff]]*Games[[#This Row],[MOVMult]])*(Games[[#This Row],[Result]]-Games[[#This Row],[ExpectedWin%]])</f>
        <v>-7.9397008351722107</v>
      </c>
      <c r="AB94" s="4">
        <f>Games[[#This Row],[PreGmRate]]+Games[[#This Row],[RatingChange]]</f>
        <v>1462.1342691824777</v>
      </c>
      <c r="AC94" s="2">
        <f>IF(Games[[#This Row],[Type]]="R",IF(Games[[#This Row],[Result]]&gt;0.5,1,0),0)</f>
        <v>0</v>
      </c>
      <c r="AD94" s="2">
        <f>IF(Games[[#This Row],[Type]]="R",IF(Games[[#This Row],[Result]]&lt;0.5,1,0),0)</f>
        <v>1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42181</v>
      </c>
      <c r="B95" s="2">
        <v>2015</v>
      </c>
      <c r="C95" s="2">
        <f>COUNTIFS(Games[Team],Games[[#This Row],[Team]],Games[Season],Games[[#This Row],[Season]],Games[Date],"&lt;=" &amp; Games[[#This Row],[Date]])</f>
        <v>8</v>
      </c>
      <c r="D95" s="2" t="s">
        <v>83</v>
      </c>
      <c r="E95" s="2" t="s">
        <v>84</v>
      </c>
      <c r="F95" s="1" t="s">
        <v>81</v>
      </c>
      <c r="G95" s="1" t="s">
        <v>60</v>
      </c>
      <c r="H95" s="1" t="s">
        <v>86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4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95" s="2">
        <f>Games[[#This Row],[DaysOff]]-Games[[#This Row],[OppDaysOff]]</f>
        <v>0</v>
      </c>
      <c r="L95" s="2">
        <f>Games[[#This Row],[OppDaysOff]]-Games[[#This Row],[DaysOff]]</f>
        <v>0</v>
      </c>
      <c r="M95" s="1">
        <f>MAX(-16, MIN(16, Games[[#This Row],[RestDiff]]*8))</f>
        <v>0</v>
      </c>
      <c r="N95" s="1">
        <f>MAX(-16, MIN(16, Games[[#This Row],[OppRestDiff]]*8))</f>
        <v>0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1550.937406289047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1470.07397001765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0.72092010699356779</v>
      </c>
      <c r="R95" s="1">
        <v>71</v>
      </c>
      <c r="S95" s="1">
        <v>62</v>
      </c>
      <c r="T95" s="1">
        <v>0</v>
      </c>
      <c r="U95" s="1">
        <f>Games[[#This Row],[PointsFor]]-Games[[#This Row],[PointsAgainst]]</f>
        <v>9</v>
      </c>
      <c r="V95" s="1">
        <f>IF(Games[[#This Row],[MOV]]&gt;0,1,IF(Games[[#This Row],[MOV]]=0,0.5,0))</f>
        <v>1</v>
      </c>
      <c r="W95" s="4">
        <f>((ABS(Games[[#This Row],[MOV]])+5)^0.6)/(12+0.01*(ABS(Games[[#This Row],[PreGmRate]]-Games[[#This Row],[OppPreGmRate]])))*IF(Games[[#This Row],[OT]]=1,0.9,1)</f>
        <v>0.38034174353109401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74.8</v>
      </c>
      <c r="Z95" s="4">
        <f>Games[[#This Row],[K]]*Games[[#This Row],[POMult]]</f>
        <v>74.8</v>
      </c>
      <c r="AA95" s="4">
        <f>(Games[[#This Row],[Keff]]*Games[[#This Row],[MOVMult]])*(Games[[#This Row],[Result]]-Games[[#This Row],[ExpectedWin%]])</f>
        <v>7.9397008351722125</v>
      </c>
      <c r="AB95" s="4">
        <f>Games[[#This Row],[PreGmRate]]+Games[[#This Row],[RatingChange]]</f>
        <v>1558.8771071242193</v>
      </c>
      <c r="AC95" s="2">
        <f>IF(Games[[#This Row],[Type]]="R",IF(Games[[#This Row],[Result]]&gt;0.5,1,0),0)</f>
        <v>1</v>
      </c>
      <c r="AD95" s="2">
        <f>IF(Games[[#This Row],[Type]]="R",IF(Games[[#This Row],[Result]]&lt;0.5,1,0),0)</f>
        <v>0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42182</v>
      </c>
      <c r="B96" s="2">
        <v>2015</v>
      </c>
      <c r="C96" s="2">
        <f>COUNTIFS(Games[Team],Games[[#This Row],[Team]],Games[Season],Games[[#This Row],[Season]],Games[Date],"&lt;=" &amp; Games[[#This Row],[Date]])</f>
        <v>8</v>
      </c>
      <c r="D96" s="2" t="s">
        <v>83</v>
      </c>
      <c r="E96" s="2" t="s">
        <v>84</v>
      </c>
      <c r="F96" s="1" t="s">
        <v>40</v>
      </c>
      <c r="G96" s="1" t="s">
        <v>67</v>
      </c>
      <c r="H96" s="1" t="s">
        <v>85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6" s="2">
        <f>Games[[#This Row],[DaysOff]]-Games[[#This Row],[OppDaysOff]]</f>
        <v>0</v>
      </c>
      <c r="L96" s="2">
        <f>Games[[#This Row],[OppDaysOff]]-Games[[#This Row],[DaysOff]]</f>
        <v>0</v>
      </c>
      <c r="M96" s="1">
        <f>MAX(-16, MIN(16, Games[[#This Row],[RestDiff]]*8))</f>
        <v>0</v>
      </c>
      <c r="N96" s="1">
        <f>MAX(-16, MIN(16, Games[[#This Row],[OppRestDiff]]*8))</f>
        <v>0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1597.1728162600054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1604.5875482892486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0.37139766008732567</v>
      </c>
      <c r="R96" s="1">
        <v>56</v>
      </c>
      <c r="S96" s="1">
        <v>71</v>
      </c>
      <c r="T96" s="1">
        <v>0</v>
      </c>
      <c r="U96" s="1">
        <f>Games[[#This Row],[PointsFor]]-Games[[#This Row],[PointsAgainst]]</f>
        <v>-15</v>
      </c>
      <c r="V96" s="1">
        <f>IF(Games[[#This Row],[MOV]]&gt;0,1,IF(Games[[#This Row],[MOV]]=0,0.5,0))</f>
        <v>0</v>
      </c>
      <c r="W96" s="4">
        <f>((ABS(Games[[#This Row],[MOV]])+5)^0.6)/(12+0.01*(ABS(Games[[#This Row],[PreGmRate]]-Games[[#This Row],[OppPreGmRate]])))*IF(Games[[#This Row],[OT]]=1,0.9,1)</f>
        <v>0.49976003907156369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74.8</v>
      </c>
      <c r="Z96" s="4">
        <f>Games[[#This Row],[K]]*Games[[#This Row],[POMult]]</f>
        <v>74.8</v>
      </c>
      <c r="AA96" s="4">
        <f>(Games[[#This Row],[Keff]]*Games[[#This Row],[MOVMult]])*(Games[[#This Row],[Result]]-Games[[#This Row],[ExpectedWin%]])</f>
        <v>-13.883606241901424</v>
      </c>
      <c r="AB96" s="4">
        <f>Games[[#This Row],[PreGmRate]]+Games[[#This Row],[RatingChange]]</f>
        <v>1583.2892100181041</v>
      </c>
      <c r="AC96" s="2">
        <f>IF(Games[[#This Row],[Type]]="R",IF(Games[[#This Row],[Result]]&gt;0.5,1,0),0)</f>
        <v>0</v>
      </c>
      <c r="AD96" s="2">
        <f>IF(Games[[#This Row],[Type]]="R",IF(Games[[#This Row],[Result]]&lt;0.5,1,0),0)</f>
        <v>1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42182</v>
      </c>
      <c r="B97" s="2">
        <v>2015</v>
      </c>
      <c r="C97" s="2">
        <f>COUNTIFS(Games[Team],Games[[#This Row],[Team]],Games[Season],Games[[#This Row],[Season]],Games[Date],"&lt;=" &amp; Games[[#This Row],[Date]])</f>
        <v>9</v>
      </c>
      <c r="D97" s="2" t="s">
        <v>83</v>
      </c>
      <c r="E97" s="2" t="s">
        <v>84</v>
      </c>
      <c r="F97" s="1" t="s">
        <v>67</v>
      </c>
      <c r="G97" s="1" t="s">
        <v>40</v>
      </c>
      <c r="H97" s="1" t="s">
        <v>86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7" s="2">
        <f>Games[[#This Row],[DaysOff]]-Games[[#This Row],[OppDaysOff]]</f>
        <v>0</v>
      </c>
      <c r="L97" s="2">
        <f>Games[[#This Row],[OppDaysOff]]-Games[[#This Row],[DaysOff]]</f>
        <v>0</v>
      </c>
      <c r="M97" s="1">
        <f>MAX(-16, MIN(16, Games[[#This Row],[RestDiff]]*8))</f>
        <v>0</v>
      </c>
      <c r="N97" s="1">
        <f>MAX(-16, MIN(16, Games[[#This Row],[OppRestDiff]]*8))</f>
        <v>0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1604.5875482892486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1597.1728162600054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0.62860233991267433</v>
      </c>
      <c r="R97" s="1">
        <v>71</v>
      </c>
      <c r="S97" s="1">
        <v>56</v>
      </c>
      <c r="T97" s="1">
        <v>0</v>
      </c>
      <c r="U97" s="1">
        <f>Games[[#This Row],[PointsFor]]-Games[[#This Row],[PointsAgainst]]</f>
        <v>15</v>
      </c>
      <c r="V97" s="1">
        <f>IF(Games[[#This Row],[MOV]]&gt;0,1,IF(Games[[#This Row],[MOV]]=0,0.5,0))</f>
        <v>1</v>
      </c>
      <c r="W97" s="4">
        <f>((ABS(Games[[#This Row],[MOV]])+5)^0.6)/(12+0.01*(ABS(Games[[#This Row],[PreGmRate]]-Games[[#This Row],[OppPreGmRate]])))*IF(Games[[#This Row],[OT]]=1,0.9,1)</f>
        <v>0.49976003907156369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74.650000000000006</v>
      </c>
      <c r="Z97" s="4">
        <f>Games[[#This Row],[K]]*Games[[#This Row],[POMult]]</f>
        <v>74.650000000000006</v>
      </c>
      <c r="AA97" s="4">
        <f>(Games[[#This Row],[Keff]]*Games[[#This Row],[MOVMult]])*(Games[[#This Row],[Result]]-Games[[#This Row],[ExpectedWin%]])</f>
        <v>13.855764785533978</v>
      </c>
      <c r="AB97" s="4">
        <f>Games[[#This Row],[PreGmRate]]+Games[[#This Row],[RatingChange]]</f>
        <v>1618.4433130747825</v>
      </c>
      <c r="AC97" s="2">
        <f>IF(Games[[#This Row],[Type]]="R",IF(Games[[#This Row],[Result]]&gt;0.5,1,0),0)</f>
        <v>1</v>
      </c>
      <c r="AD97" s="2">
        <f>IF(Games[[#This Row],[Type]]="R",IF(Games[[#This Row],[Result]]&lt;0.5,1,0),0)</f>
        <v>0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42182</v>
      </c>
      <c r="B98" s="2">
        <v>2015</v>
      </c>
      <c r="C98" s="2">
        <f>COUNTIFS(Games[Team],Games[[#This Row],[Team]],Games[Season],Games[[#This Row],[Season]],Games[Date],"&lt;=" &amp; Games[[#This Row],[Date]])</f>
        <v>8</v>
      </c>
      <c r="D98" s="2" t="s">
        <v>83</v>
      </c>
      <c r="E98" s="2" t="s">
        <v>84</v>
      </c>
      <c r="F98" s="1" t="s">
        <v>71</v>
      </c>
      <c r="G98" s="1" t="s">
        <v>74</v>
      </c>
      <c r="H98" s="1" t="s">
        <v>85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8" s="2">
        <f>Games[[#This Row],[DaysOff]]-Games[[#This Row],[OppDaysOff]]</f>
        <v>0</v>
      </c>
      <c r="L98" s="2">
        <f>Games[[#This Row],[OppDaysOff]]-Games[[#This Row],[DaysOff]]</f>
        <v>0</v>
      </c>
      <c r="M98" s="1">
        <f>MAX(-16, MIN(16, Games[[#This Row],[RestDiff]]*8))</f>
        <v>0</v>
      </c>
      <c r="N98" s="1">
        <f>MAX(-16, MIN(16, Games[[#This Row],[OppRestDiff]]*8))</f>
        <v>0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1421.6316944573261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1420.6964986875471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0.38268683841578666</v>
      </c>
      <c r="R98" s="1">
        <v>71</v>
      </c>
      <c r="S98" s="1">
        <v>73</v>
      </c>
      <c r="T98" s="1">
        <v>0</v>
      </c>
      <c r="U98" s="1">
        <f>Games[[#This Row],[PointsFor]]-Games[[#This Row],[PointsAgainst]]</f>
        <v>-2</v>
      </c>
      <c r="V98" s="1">
        <f>IF(Games[[#This Row],[MOV]]&gt;0,1,IF(Games[[#This Row],[MOV]]=0,0.5,0))</f>
        <v>0</v>
      </c>
      <c r="W98" s="4">
        <f>((ABS(Games[[#This Row],[MOV]])+5)^0.6)/(12+0.01*(ABS(Games[[#This Row],[PreGmRate]]-Games[[#This Row],[OppPreGmRate]])))*IF(Games[[#This Row],[OT]]=1,0.9,1)</f>
        <v>0.26763274663258224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74.8</v>
      </c>
      <c r="Z98" s="4">
        <f>Games[[#This Row],[K]]*Games[[#This Row],[POMult]]</f>
        <v>74.8</v>
      </c>
      <c r="AA98" s="4">
        <f>(Games[[#This Row],[Keff]]*Games[[#This Row],[MOVMult]])*(Games[[#This Row],[Result]]-Games[[#This Row],[ExpectedWin%]])</f>
        <v>-7.6609808189686417</v>
      </c>
      <c r="AB98" s="4">
        <f>Games[[#This Row],[PreGmRate]]+Games[[#This Row],[RatingChange]]</f>
        <v>1413.9707136383574</v>
      </c>
      <c r="AC98" s="2">
        <f>IF(Games[[#This Row],[Type]]="R",IF(Games[[#This Row],[Result]]&gt;0.5,1,0),0)</f>
        <v>0</v>
      </c>
      <c r="AD98" s="2">
        <f>IF(Games[[#This Row],[Type]]="R",IF(Games[[#This Row],[Result]]&lt;0.5,1,0),0)</f>
        <v>1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42182</v>
      </c>
      <c r="B99" s="2">
        <v>2015</v>
      </c>
      <c r="C99" s="2">
        <f>COUNTIFS(Games[Team],Games[[#This Row],[Team]],Games[Season],Games[[#This Row],[Season]],Games[Date],"&lt;=" &amp; Games[[#This Row],[Date]])</f>
        <v>8</v>
      </c>
      <c r="D99" s="2" t="s">
        <v>83</v>
      </c>
      <c r="E99" s="2" t="s">
        <v>84</v>
      </c>
      <c r="F99" s="1" t="s">
        <v>74</v>
      </c>
      <c r="G99" s="1" t="s">
        <v>71</v>
      </c>
      <c r="H99" s="1" t="s">
        <v>86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9" s="2">
        <f>Games[[#This Row],[DaysOff]]-Games[[#This Row],[OppDaysOff]]</f>
        <v>0</v>
      </c>
      <c r="L99" s="2">
        <f>Games[[#This Row],[OppDaysOff]]-Games[[#This Row],[DaysOff]]</f>
        <v>0</v>
      </c>
      <c r="M99" s="1">
        <f>MAX(-16, MIN(16, Games[[#This Row],[RestDiff]]*8))</f>
        <v>0</v>
      </c>
      <c r="N99" s="1">
        <f>MAX(-16, MIN(16, Games[[#This Row],[OppRestDiff]]*8))</f>
        <v>0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1420.6964986875471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1421.6316944573261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0.61731316158421345</v>
      </c>
      <c r="R99" s="1">
        <v>73</v>
      </c>
      <c r="S99" s="1">
        <v>71</v>
      </c>
      <c r="T99" s="1">
        <v>0</v>
      </c>
      <c r="U99" s="1">
        <f>Games[[#This Row],[PointsFor]]-Games[[#This Row],[PointsAgainst]]</f>
        <v>2</v>
      </c>
      <c r="V99" s="1">
        <f>IF(Games[[#This Row],[MOV]]&gt;0,1,IF(Games[[#This Row],[MOV]]=0,0.5,0))</f>
        <v>1</v>
      </c>
      <c r="W99" s="4">
        <f>((ABS(Games[[#This Row],[MOV]])+5)^0.6)/(12+0.01*(ABS(Games[[#This Row],[PreGmRate]]-Games[[#This Row],[OppPreGmRate]])))*IF(Games[[#This Row],[OT]]=1,0.9,1)</f>
        <v>0.26763274663258224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74.8</v>
      </c>
      <c r="Z99" s="4">
        <f>Games[[#This Row],[K]]*Games[[#This Row],[POMult]]</f>
        <v>74.8</v>
      </c>
      <c r="AA99" s="4">
        <f>(Games[[#This Row],[Keff]]*Games[[#This Row],[MOVMult]])*(Games[[#This Row],[Result]]-Games[[#This Row],[ExpectedWin%]])</f>
        <v>7.6609808189686399</v>
      </c>
      <c r="AB99" s="4">
        <f>Games[[#This Row],[PreGmRate]]+Games[[#This Row],[RatingChange]]</f>
        <v>1428.3574795065158</v>
      </c>
      <c r="AC99" s="2">
        <f>IF(Games[[#This Row],[Type]]="R",IF(Games[[#This Row],[Result]]&gt;0.5,1,0),0)</f>
        <v>1</v>
      </c>
      <c r="AD99" s="2">
        <f>IF(Games[[#This Row],[Type]]="R",IF(Games[[#This Row],[Result]]&lt;0.5,1,0),0)</f>
        <v>0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42183</v>
      </c>
      <c r="B100" s="2">
        <v>2015</v>
      </c>
      <c r="C100" s="2">
        <f>COUNTIFS(Games[Team],Games[[#This Row],[Team]],Games[Season],Games[[#This Row],[Season]],Games[Date],"&lt;=" &amp; Games[[#This Row],[Date]])</f>
        <v>7</v>
      </c>
      <c r="D100" s="2" t="s">
        <v>83</v>
      </c>
      <c r="E100" s="2" t="s">
        <v>84</v>
      </c>
      <c r="F100" s="1" t="s">
        <v>63</v>
      </c>
      <c r="G100" s="1" t="s">
        <v>60</v>
      </c>
      <c r="H100" s="1" t="s">
        <v>85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0" s="2">
        <f>Games[[#This Row],[DaysOff]]-Games[[#This Row],[OppDaysOff]]</f>
        <v>0</v>
      </c>
      <c r="L100" s="2">
        <f>Games[[#This Row],[OppDaysOff]]-Games[[#This Row],[DaysOff]]</f>
        <v>0</v>
      </c>
      <c r="M100" s="1">
        <f>MAX(-16, MIN(16, Games[[#This Row],[RestDiff]]*8))</f>
        <v>0</v>
      </c>
      <c r="N100" s="1">
        <f>MAX(-16, MIN(16, Games[[#This Row],[OppRestDiff]]*8))</f>
        <v>0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1428.0377815814672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1462.1342691824777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0.33630191768843226</v>
      </c>
      <c r="R100" s="1">
        <v>70</v>
      </c>
      <c r="S100" s="1">
        <v>79</v>
      </c>
      <c r="T100" s="1">
        <v>0</v>
      </c>
      <c r="U100" s="1">
        <f>Games[[#This Row],[PointsFor]]-Games[[#This Row],[PointsAgainst]]</f>
        <v>-9</v>
      </c>
      <c r="V100" s="1">
        <f>IF(Games[[#This Row],[MOV]]&gt;0,1,IF(Games[[#This Row],[MOV]]=0,0.5,0))</f>
        <v>0</v>
      </c>
      <c r="W100" s="4">
        <f>((ABS(Games[[#This Row],[MOV]])+5)^0.6)/(12+0.01*(ABS(Games[[#This Row],[PreGmRate]]-Games[[#This Row],[OppPreGmRate]])))*IF(Games[[#This Row],[OT]]=1,0.9,1)</f>
        <v>0.39475505964991819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74.95</v>
      </c>
      <c r="Z100" s="4">
        <f>Games[[#This Row],[K]]*Games[[#This Row],[POMult]]</f>
        <v>74.95</v>
      </c>
      <c r="AA100" s="4">
        <f>(Games[[#This Row],[Keff]]*Games[[#This Row],[MOVMult]])*(Games[[#This Row],[Result]]-Games[[#This Row],[ExpectedWin%]])</f>
        <v>-9.950128424132048</v>
      </c>
      <c r="AB100" s="4">
        <f>Games[[#This Row],[PreGmRate]]+Games[[#This Row],[RatingChange]]</f>
        <v>1418.0876531573351</v>
      </c>
      <c r="AC100" s="2">
        <f>IF(Games[[#This Row],[Type]]="R",IF(Games[[#This Row],[Result]]&gt;0.5,1,0),0)</f>
        <v>0</v>
      </c>
      <c r="AD100" s="2">
        <f>IF(Games[[#This Row],[Type]]="R",IF(Games[[#This Row],[Result]]&lt;0.5,1,0),0)</f>
        <v>1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42183</v>
      </c>
      <c r="B101" s="2">
        <v>2015</v>
      </c>
      <c r="C101" s="2">
        <f>COUNTIFS(Games[Team],Games[[#This Row],[Team]],Games[Season],Games[[#This Row],[Season]],Games[Date],"&lt;=" &amp; Games[[#This Row],[Date]])</f>
        <v>9</v>
      </c>
      <c r="D101" s="2" t="s">
        <v>83</v>
      </c>
      <c r="E101" s="2" t="s">
        <v>84</v>
      </c>
      <c r="F101" s="1" t="s">
        <v>60</v>
      </c>
      <c r="G101" s="1" t="s">
        <v>63</v>
      </c>
      <c r="H101" s="1" t="s">
        <v>86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1" s="2">
        <f>Games[[#This Row],[DaysOff]]-Games[[#This Row],[OppDaysOff]]</f>
        <v>0</v>
      </c>
      <c r="L101" s="2">
        <f>Games[[#This Row],[OppDaysOff]]-Games[[#This Row],[DaysOff]]</f>
        <v>0</v>
      </c>
      <c r="M101" s="1">
        <f>MAX(-16, MIN(16, Games[[#This Row],[RestDiff]]*8))</f>
        <v>0</v>
      </c>
      <c r="N101" s="1">
        <f>MAX(-16, MIN(16, Games[[#This Row],[OppRestDiff]]*8))</f>
        <v>0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1462.1342691824777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1428.0377815814672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0.66369808231156779</v>
      </c>
      <c r="R101" s="1">
        <v>79</v>
      </c>
      <c r="S101" s="1">
        <v>70</v>
      </c>
      <c r="T101" s="1">
        <v>0</v>
      </c>
      <c r="U101" s="1">
        <f>Games[[#This Row],[PointsFor]]-Games[[#This Row],[PointsAgainst]]</f>
        <v>9</v>
      </c>
      <c r="V101" s="1">
        <f>IF(Games[[#This Row],[MOV]]&gt;0,1,IF(Games[[#This Row],[MOV]]=0,0.5,0))</f>
        <v>1</v>
      </c>
      <c r="W101" s="4">
        <f>((ABS(Games[[#This Row],[MOV]])+5)^0.6)/(12+0.01*(ABS(Games[[#This Row],[PreGmRate]]-Games[[#This Row],[OppPreGmRate]])))*IF(Games[[#This Row],[OT]]=1,0.9,1)</f>
        <v>0.39475505964991819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74.650000000000006</v>
      </c>
      <c r="Z101" s="4">
        <f>Games[[#This Row],[K]]*Games[[#This Row],[POMult]]</f>
        <v>74.650000000000006</v>
      </c>
      <c r="AA101" s="4">
        <f>(Games[[#This Row],[Keff]]*Games[[#This Row],[MOVMult]])*(Games[[#This Row],[Result]]-Games[[#This Row],[ExpectedWin%]])</f>
        <v>9.9103013590588027</v>
      </c>
      <c r="AB101" s="4">
        <f>Games[[#This Row],[PreGmRate]]+Games[[#This Row],[RatingChange]]</f>
        <v>1472.0445705415366</v>
      </c>
      <c r="AC101" s="2">
        <f>IF(Games[[#This Row],[Type]]="R",IF(Games[[#This Row],[Result]]&gt;0.5,1,0),0)</f>
        <v>1</v>
      </c>
      <c r="AD101" s="2">
        <f>IF(Games[[#This Row],[Type]]="R",IF(Games[[#This Row],[Result]]&lt;0.5,1,0),0)</f>
        <v>0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42183</v>
      </c>
      <c r="B102" s="2">
        <v>2015</v>
      </c>
      <c r="C102" s="2">
        <f>COUNTIFS(Games[Team],Games[[#This Row],[Team]],Games[Season],Games[[#This Row],[Season]],Games[Date],"&lt;=" &amp; Games[[#This Row],[Date]])</f>
        <v>9</v>
      </c>
      <c r="D102" s="2" t="s">
        <v>83</v>
      </c>
      <c r="E102" s="2" t="s">
        <v>84</v>
      </c>
      <c r="F102" s="1" t="s">
        <v>71</v>
      </c>
      <c r="G102" s="1" t="s">
        <v>81</v>
      </c>
      <c r="H102" s="1" t="s">
        <v>85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2" s="2">
        <f>Games[[#This Row],[DaysOff]]-Games[[#This Row],[OppDaysOff]]</f>
        <v>-1</v>
      </c>
      <c r="L102" s="2">
        <f>Games[[#This Row],[OppDaysOff]]-Games[[#This Row],[DaysOff]]</f>
        <v>1</v>
      </c>
      <c r="M102" s="1">
        <f>MAX(-16, MIN(16, Games[[#This Row],[RestDiff]]*8))</f>
        <v>-8</v>
      </c>
      <c r="N102" s="1">
        <f>MAX(-16, MIN(16, Games[[#This Row],[OppRestDiff]]*8))</f>
        <v>8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1413.9707136383574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1558.8771071242193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0.19626646686697963</v>
      </c>
      <c r="R102" s="1">
        <v>89</v>
      </c>
      <c r="S102" s="1">
        <v>93</v>
      </c>
      <c r="T102" s="1">
        <v>0</v>
      </c>
      <c r="U102" s="1">
        <f>Games[[#This Row],[PointsFor]]-Games[[#This Row],[PointsAgainst]]</f>
        <v>-4</v>
      </c>
      <c r="V102" s="1">
        <f>IF(Games[[#This Row],[MOV]]&gt;0,1,IF(Games[[#This Row],[MOV]]=0,0.5,0))</f>
        <v>0</v>
      </c>
      <c r="W102" s="4">
        <f>((ABS(Games[[#This Row],[MOV]])+5)^0.6)/(12+0.01*(ABS(Games[[#This Row],[PreGmRate]]-Games[[#This Row],[OppPreGmRate]])))*IF(Games[[#This Row],[OT]]=1,0.9,1)</f>
        <v>0.27787754128821746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74.650000000000006</v>
      </c>
      <c r="Z102" s="4">
        <f>Games[[#This Row],[K]]*Games[[#This Row],[POMult]]</f>
        <v>74.650000000000006</v>
      </c>
      <c r="AA102" s="4">
        <f>(Games[[#This Row],[Keff]]*Games[[#This Row],[MOVMult]])*(Games[[#This Row],[Result]]-Games[[#This Row],[ExpectedWin%]])</f>
        <v>-4.0712649286365146</v>
      </c>
      <c r="AB102" s="4">
        <f>Games[[#This Row],[PreGmRate]]+Games[[#This Row],[RatingChange]]</f>
        <v>1409.8994487097209</v>
      </c>
      <c r="AC102" s="2">
        <f>IF(Games[[#This Row],[Type]]="R",IF(Games[[#This Row],[Result]]&gt;0.5,1,0),0)</f>
        <v>0</v>
      </c>
      <c r="AD102" s="2">
        <f>IF(Games[[#This Row],[Type]]="R",IF(Games[[#This Row],[Result]]&lt;0.5,1,0),0)</f>
        <v>1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42183</v>
      </c>
      <c r="B103" s="2">
        <v>2015</v>
      </c>
      <c r="C103" s="2">
        <f>COUNTIFS(Games[Team],Games[[#This Row],[Team]],Games[Season],Games[[#This Row],[Season]],Games[Date],"&lt;=" &amp; Games[[#This Row],[Date]])</f>
        <v>9</v>
      </c>
      <c r="D103" s="2" t="s">
        <v>83</v>
      </c>
      <c r="E103" s="2" t="s">
        <v>84</v>
      </c>
      <c r="F103" s="1" t="s">
        <v>81</v>
      </c>
      <c r="G103" s="1" t="s">
        <v>71</v>
      </c>
      <c r="H103" s="1" t="s">
        <v>86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3" s="2">
        <f>Games[[#This Row],[DaysOff]]-Games[[#This Row],[OppDaysOff]]</f>
        <v>1</v>
      </c>
      <c r="L103" s="2">
        <f>Games[[#This Row],[OppDaysOff]]-Games[[#This Row],[DaysOff]]</f>
        <v>-1</v>
      </c>
      <c r="M103" s="1">
        <f>MAX(-16, MIN(16, Games[[#This Row],[RestDiff]]*8))</f>
        <v>8</v>
      </c>
      <c r="N103" s="1">
        <f>MAX(-16, MIN(16, Games[[#This Row],[OppRestDiff]]*8))</f>
        <v>-8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1558.8771071242193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1413.9707136383574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0.80373353313302043</v>
      </c>
      <c r="R103" s="1">
        <v>93</v>
      </c>
      <c r="S103" s="1">
        <v>89</v>
      </c>
      <c r="T103" s="1">
        <v>0</v>
      </c>
      <c r="U103" s="1">
        <f>Games[[#This Row],[PointsFor]]-Games[[#This Row],[PointsAgainst]]</f>
        <v>4</v>
      </c>
      <c r="V103" s="1">
        <f>IF(Games[[#This Row],[MOV]]&gt;0,1,IF(Games[[#This Row],[MOV]]=0,0.5,0))</f>
        <v>1</v>
      </c>
      <c r="W103" s="4">
        <f>((ABS(Games[[#This Row],[MOV]])+5)^0.6)/(12+0.01*(ABS(Games[[#This Row],[PreGmRate]]-Games[[#This Row],[OppPreGmRate]])))*IF(Games[[#This Row],[OT]]=1,0.9,1)</f>
        <v>0.27787754128821746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74.650000000000006</v>
      </c>
      <c r="Z103" s="4">
        <f>Games[[#This Row],[K]]*Games[[#This Row],[POMult]]</f>
        <v>74.650000000000006</v>
      </c>
      <c r="AA103" s="4">
        <f>(Games[[#This Row],[Keff]]*Games[[#This Row],[MOVMult]])*(Games[[#This Row],[Result]]-Games[[#This Row],[ExpectedWin%]])</f>
        <v>4.0712649286365137</v>
      </c>
      <c r="AB103" s="4">
        <f>Games[[#This Row],[PreGmRate]]+Games[[#This Row],[RatingChange]]</f>
        <v>1562.9483720528558</v>
      </c>
      <c r="AC103" s="2">
        <f>IF(Games[[#This Row],[Type]]="R",IF(Games[[#This Row],[Result]]&gt;0.5,1,0),0)</f>
        <v>1</v>
      </c>
      <c r="AD103" s="2">
        <f>IF(Games[[#This Row],[Type]]="R",IF(Games[[#This Row],[Result]]&lt;0.5,1,0),0)</f>
        <v>0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42183</v>
      </c>
      <c r="B104" s="2">
        <v>2015</v>
      </c>
      <c r="C104" s="2">
        <f>COUNTIFS(Games[Team],Games[[#This Row],[Team]],Games[Season],Games[[#This Row],[Season]],Games[Date],"&lt;=" &amp; Games[[#This Row],[Date]])</f>
        <v>9</v>
      </c>
      <c r="D104" s="2" t="s">
        <v>83</v>
      </c>
      <c r="E104" s="2" t="s">
        <v>84</v>
      </c>
      <c r="F104" s="1" t="s">
        <v>77</v>
      </c>
      <c r="G104" s="1" t="s">
        <v>65</v>
      </c>
      <c r="H104" s="1" t="s">
        <v>85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4" s="2">
        <f>Games[[#This Row],[DaysOff]]-Games[[#This Row],[OppDaysOff]]</f>
        <v>0</v>
      </c>
      <c r="L104" s="2">
        <f>Games[[#This Row],[OppDaysOff]]-Games[[#This Row],[DaysOff]]</f>
        <v>0</v>
      </c>
      <c r="M104" s="1">
        <f>MAX(-16, MIN(16, Games[[#This Row],[RestDiff]]*8))</f>
        <v>0</v>
      </c>
      <c r="N104" s="1">
        <f>MAX(-16, MIN(16, Games[[#This Row],[OppRestDiff]]*8))</f>
        <v>0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1537.2958088924413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1514.9235006002093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0.41222921454735217</v>
      </c>
      <c r="R104" s="1">
        <v>71</v>
      </c>
      <c r="S104" s="1">
        <v>86</v>
      </c>
      <c r="T104" s="1">
        <v>0</v>
      </c>
      <c r="U104" s="1">
        <f>Games[[#This Row],[PointsFor]]-Games[[#This Row],[PointsAgainst]]</f>
        <v>-15</v>
      </c>
      <c r="V104" s="1">
        <f>IF(Games[[#This Row],[MOV]]&gt;0,1,IF(Games[[#This Row],[MOV]]=0,0.5,0))</f>
        <v>0</v>
      </c>
      <c r="W104" s="4">
        <f>((ABS(Games[[#This Row],[MOV]])+5)^0.6)/(12+0.01*(ABS(Games[[#This Row],[PreGmRate]]-Games[[#This Row],[OppPreGmRate]])))*IF(Games[[#This Row],[OT]]=1,0.9,1)</f>
        <v>0.49364471819354849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74.650000000000006</v>
      </c>
      <c r="Z104" s="4">
        <f>Games[[#This Row],[K]]*Games[[#This Row],[POMult]]</f>
        <v>74.650000000000006</v>
      </c>
      <c r="AA104" s="4">
        <f>(Games[[#This Row],[Keff]]*Games[[#This Row],[MOVMult]])*(Games[[#This Row],[Result]]-Games[[#This Row],[ExpectedWin%]])</f>
        <v>-15.190884912421932</v>
      </c>
      <c r="AB104" s="4">
        <f>Games[[#This Row],[PreGmRate]]+Games[[#This Row],[RatingChange]]</f>
        <v>1522.1049239800193</v>
      </c>
      <c r="AC104" s="2">
        <f>IF(Games[[#This Row],[Type]]="R",IF(Games[[#This Row],[Result]]&gt;0.5,1,0),0)</f>
        <v>0</v>
      </c>
      <c r="AD104" s="2">
        <f>IF(Games[[#This Row],[Type]]="R",IF(Games[[#This Row],[Result]]&lt;0.5,1,0),0)</f>
        <v>1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42183</v>
      </c>
      <c r="B105" s="2">
        <v>2015</v>
      </c>
      <c r="C105" s="2">
        <f>COUNTIFS(Games[Team],Games[[#This Row],[Team]],Games[Season],Games[[#This Row],[Season]],Games[Date],"&lt;=" &amp; Games[[#This Row],[Date]])</f>
        <v>9</v>
      </c>
      <c r="D105" s="2" t="s">
        <v>83</v>
      </c>
      <c r="E105" s="2" t="s">
        <v>84</v>
      </c>
      <c r="F105" s="1" t="s">
        <v>65</v>
      </c>
      <c r="G105" s="1" t="s">
        <v>77</v>
      </c>
      <c r="H105" s="1" t="s">
        <v>86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5" s="2">
        <f>Games[[#This Row],[DaysOff]]-Games[[#This Row],[OppDaysOff]]</f>
        <v>0</v>
      </c>
      <c r="L105" s="2">
        <f>Games[[#This Row],[OppDaysOff]]-Games[[#This Row],[DaysOff]]</f>
        <v>0</v>
      </c>
      <c r="M105" s="1">
        <f>MAX(-16, MIN(16, Games[[#This Row],[RestDiff]]*8))</f>
        <v>0</v>
      </c>
      <c r="N105" s="1">
        <f>MAX(-16, MIN(16, Games[[#This Row],[OppRestDiff]]*8))</f>
        <v>0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1514.9235006002093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1537.2958088924413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0.58777078545264794</v>
      </c>
      <c r="R105" s="1">
        <v>86</v>
      </c>
      <c r="S105" s="1">
        <v>71</v>
      </c>
      <c r="T105" s="1">
        <v>0</v>
      </c>
      <c r="U105" s="1">
        <f>Games[[#This Row],[PointsFor]]-Games[[#This Row],[PointsAgainst]]</f>
        <v>15</v>
      </c>
      <c r="V105" s="1">
        <f>IF(Games[[#This Row],[MOV]]&gt;0,1,IF(Games[[#This Row],[MOV]]=0,0.5,0))</f>
        <v>1</v>
      </c>
      <c r="W105" s="4">
        <f>((ABS(Games[[#This Row],[MOV]])+5)^0.6)/(12+0.01*(ABS(Games[[#This Row],[PreGmRate]]-Games[[#This Row],[OppPreGmRate]])))*IF(Games[[#This Row],[OT]]=1,0.9,1)</f>
        <v>0.49364471819354849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74.650000000000006</v>
      </c>
      <c r="Z105" s="4">
        <f>Games[[#This Row],[K]]*Games[[#This Row],[POMult]]</f>
        <v>74.650000000000006</v>
      </c>
      <c r="AA105" s="4">
        <f>(Games[[#This Row],[Keff]]*Games[[#This Row],[MOVMult]])*(Games[[#This Row],[Result]]-Games[[#This Row],[ExpectedWin%]])</f>
        <v>15.190884912421927</v>
      </c>
      <c r="AB105" s="4">
        <f>Games[[#This Row],[PreGmRate]]+Games[[#This Row],[RatingChange]]</f>
        <v>1530.1143855126313</v>
      </c>
      <c r="AC105" s="2">
        <f>IF(Games[[#This Row],[Type]]="R",IF(Games[[#This Row],[Result]]&gt;0.5,1,0),0)</f>
        <v>1</v>
      </c>
      <c r="AD105" s="2">
        <f>IF(Games[[#This Row],[Type]]="R",IF(Games[[#This Row],[Result]]&lt;0.5,1,0),0)</f>
        <v>0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42185</v>
      </c>
      <c r="B106" s="2">
        <v>2015</v>
      </c>
      <c r="C106" s="2">
        <f>COUNTIFS(Games[Team],Games[[#This Row],[Team]],Games[Season],Games[[#This Row],[Season]],Games[Date],"&lt;=" &amp; Games[[#This Row],[Date]])</f>
        <v>10</v>
      </c>
      <c r="D106" s="2" t="s">
        <v>83</v>
      </c>
      <c r="E106" s="2" t="s">
        <v>84</v>
      </c>
      <c r="F106" s="1" t="s">
        <v>60</v>
      </c>
      <c r="G106" s="1" t="s">
        <v>77</v>
      </c>
      <c r="H106" s="1" t="s">
        <v>85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6" s="2">
        <f>Games[[#This Row],[DaysOff]]-Games[[#This Row],[OppDaysOff]]</f>
        <v>0</v>
      </c>
      <c r="L106" s="2">
        <f>Games[[#This Row],[OppDaysOff]]-Games[[#This Row],[DaysOff]]</f>
        <v>0</v>
      </c>
      <c r="M106" s="1">
        <f>MAX(-16, MIN(16, Games[[#This Row],[RestDiff]]*8))</f>
        <v>0</v>
      </c>
      <c r="N106" s="1">
        <f>MAX(-16, MIN(16, Games[[#This Row],[OppRestDiff]]*8))</f>
        <v>0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1472.0445705415366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1522.1049239800193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0.31610857388131353</v>
      </c>
      <c r="R106" s="1">
        <v>89</v>
      </c>
      <c r="S106" s="1">
        <v>81</v>
      </c>
      <c r="T106" s="1">
        <v>0</v>
      </c>
      <c r="U106" s="1">
        <f>Games[[#This Row],[PointsFor]]-Games[[#This Row],[PointsAgainst]]</f>
        <v>8</v>
      </c>
      <c r="V106" s="1">
        <f>IF(Games[[#This Row],[MOV]]&gt;0,1,IF(Games[[#This Row],[MOV]]=0,0.5,0))</f>
        <v>1</v>
      </c>
      <c r="W106" s="4">
        <f>((ABS(Games[[#This Row],[MOV]])+5)^0.6)/(12+0.01*(ABS(Games[[#This Row],[PreGmRate]]-Games[[#This Row],[OppPreGmRate]])))*IF(Games[[#This Row],[OT]]=1,0.9,1)</f>
        <v>0.37276491548736895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74.5</v>
      </c>
      <c r="Z106" s="4">
        <f>Games[[#This Row],[K]]*Games[[#This Row],[POMult]]</f>
        <v>74.5</v>
      </c>
      <c r="AA106" s="4">
        <f>(Games[[#This Row],[Keff]]*Games[[#This Row],[MOVMult]])*(Games[[#This Row],[Result]]-Games[[#This Row],[ExpectedWin%]])</f>
        <v>18.992339359645296</v>
      </c>
      <c r="AB106" s="4">
        <f>Games[[#This Row],[PreGmRate]]+Games[[#This Row],[RatingChange]]</f>
        <v>1491.0369099011818</v>
      </c>
      <c r="AC106" s="2">
        <f>IF(Games[[#This Row],[Type]]="R",IF(Games[[#This Row],[Result]]&gt;0.5,1,0),0)</f>
        <v>1</v>
      </c>
      <c r="AD106" s="2">
        <f>IF(Games[[#This Row],[Type]]="R",IF(Games[[#This Row],[Result]]&lt;0.5,1,0),0)</f>
        <v>0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42185</v>
      </c>
      <c r="B107" s="2">
        <v>2015</v>
      </c>
      <c r="C107" s="2">
        <f>COUNTIFS(Games[Team],Games[[#This Row],[Team]],Games[Season],Games[[#This Row],[Season]],Games[Date],"&lt;=" &amp; Games[[#This Row],[Date]])</f>
        <v>10</v>
      </c>
      <c r="D107" s="2" t="s">
        <v>83</v>
      </c>
      <c r="E107" s="2" t="s">
        <v>84</v>
      </c>
      <c r="F107" s="1" t="s">
        <v>77</v>
      </c>
      <c r="G107" s="1" t="s">
        <v>60</v>
      </c>
      <c r="H107" s="1" t="s">
        <v>86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7" s="2">
        <f>Games[[#This Row],[DaysOff]]-Games[[#This Row],[OppDaysOff]]</f>
        <v>0</v>
      </c>
      <c r="L107" s="2">
        <f>Games[[#This Row],[OppDaysOff]]-Games[[#This Row],[DaysOff]]</f>
        <v>0</v>
      </c>
      <c r="M107" s="1">
        <f>MAX(-16, MIN(16, Games[[#This Row],[RestDiff]]*8))</f>
        <v>0</v>
      </c>
      <c r="N107" s="1">
        <f>MAX(-16, MIN(16, Games[[#This Row],[OppRestDiff]]*8))</f>
        <v>0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1522.1049239800193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1472.0445705415366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0.68389142611868659</v>
      </c>
      <c r="R107" s="1">
        <v>81</v>
      </c>
      <c r="S107" s="1">
        <v>89</v>
      </c>
      <c r="T107" s="1">
        <v>0</v>
      </c>
      <c r="U107" s="1">
        <f>Games[[#This Row],[PointsFor]]-Games[[#This Row],[PointsAgainst]]</f>
        <v>-8</v>
      </c>
      <c r="V107" s="1">
        <f>IF(Games[[#This Row],[MOV]]&gt;0,1,IF(Games[[#This Row],[MOV]]=0,0.5,0))</f>
        <v>0</v>
      </c>
      <c r="W107" s="4">
        <f>((ABS(Games[[#This Row],[MOV]])+5)^0.6)/(12+0.01*(ABS(Games[[#This Row],[PreGmRate]]-Games[[#This Row],[OppPreGmRate]])))*IF(Games[[#This Row],[OT]]=1,0.9,1)</f>
        <v>0.37276491548736895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74.5</v>
      </c>
      <c r="Z107" s="4">
        <f>Games[[#This Row],[K]]*Games[[#This Row],[POMult]]</f>
        <v>74.5</v>
      </c>
      <c r="AA107" s="4">
        <f>(Games[[#This Row],[Keff]]*Games[[#This Row],[MOVMult]])*(Games[[#This Row],[Result]]-Games[[#This Row],[ExpectedWin%]])</f>
        <v>-18.9923393596453</v>
      </c>
      <c r="AB107" s="4">
        <f>Games[[#This Row],[PreGmRate]]+Games[[#This Row],[RatingChange]]</f>
        <v>1503.112584620374</v>
      </c>
      <c r="AC107" s="2">
        <f>IF(Games[[#This Row],[Type]]="R",IF(Games[[#This Row],[Result]]&gt;0.5,1,0),0)</f>
        <v>0</v>
      </c>
      <c r="AD107" s="2">
        <f>IF(Games[[#This Row],[Type]]="R",IF(Games[[#This Row],[Result]]&lt;0.5,1,0),0)</f>
        <v>1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42185</v>
      </c>
      <c r="B108" s="2">
        <v>2015</v>
      </c>
      <c r="C108" s="2">
        <f>COUNTIFS(Games[Team],Games[[#This Row],[Team]],Games[Season],Games[[#This Row],[Season]],Games[Date],"&lt;=" &amp; Games[[#This Row],[Date]])</f>
        <v>10</v>
      </c>
      <c r="D108" s="2" t="s">
        <v>83</v>
      </c>
      <c r="E108" s="2" t="s">
        <v>84</v>
      </c>
      <c r="F108" s="1" t="s">
        <v>69</v>
      </c>
      <c r="G108" s="1" t="s">
        <v>76</v>
      </c>
      <c r="H108" s="1" t="s">
        <v>85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8" s="2">
        <f>Games[[#This Row],[DaysOff]]-Games[[#This Row],[OppDaysOff]]</f>
        <v>0</v>
      </c>
      <c r="L108" s="2">
        <f>Games[[#This Row],[OppDaysOff]]-Games[[#This Row],[DaysOff]]</f>
        <v>0</v>
      </c>
      <c r="M108" s="1">
        <f>MAX(-16, MIN(16, Games[[#This Row],[RestDiff]]*8))</f>
        <v>0</v>
      </c>
      <c r="N108" s="1">
        <f>MAX(-16, MIN(16, Games[[#This Row],[OppRestDiff]]*8))</f>
        <v>0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1449.0932380907491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1554.7921154811806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0.25124288372681397</v>
      </c>
      <c r="R108" s="1">
        <v>92</v>
      </c>
      <c r="S108" s="1">
        <v>84</v>
      </c>
      <c r="T108" s="1">
        <v>0</v>
      </c>
      <c r="U108" s="1">
        <f>Games[[#This Row],[PointsFor]]-Games[[#This Row],[PointsAgainst]]</f>
        <v>8</v>
      </c>
      <c r="V108" s="1">
        <f>IF(Games[[#This Row],[MOV]]&gt;0,1,IF(Games[[#This Row],[MOV]]=0,0.5,0))</f>
        <v>1</v>
      </c>
      <c r="W108" s="4">
        <f>((ABS(Games[[#This Row],[MOV]])+5)^0.6)/(12+0.01*(ABS(Games[[#This Row],[PreGmRate]]-Games[[#This Row],[OppPreGmRate]])))*IF(Games[[#This Row],[OT]]=1,0.9,1)</f>
        <v>0.35688063310195306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74.5</v>
      </c>
      <c r="Z108" s="4">
        <f>Games[[#This Row],[K]]*Games[[#This Row],[POMult]]</f>
        <v>74.5</v>
      </c>
      <c r="AA108" s="4">
        <f>(Games[[#This Row],[Keff]]*Games[[#This Row],[MOVMult]])*(Games[[#This Row],[Result]]-Games[[#This Row],[ExpectedWin%]])</f>
        <v>19.907660070289964</v>
      </c>
      <c r="AB108" s="4">
        <f>Games[[#This Row],[PreGmRate]]+Games[[#This Row],[RatingChange]]</f>
        <v>1469.000898161039</v>
      </c>
      <c r="AC108" s="2">
        <f>IF(Games[[#This Row],[Type]]="R",IF(Games[[#This Row],[Result]]&gt;0.5,1,0),0)</f>
        <v>1</v>
      </c>
      <c r="AD108" s="2">
        <f>IF(Games[[#This Row],[Type]]="R",IF(Games[[#This Row],[Result]]&lt;0.5,1,0),0)</f>
        <v>0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42185</v>
      </c>
      <c r="B109" s="2">
        <v>2015</v>
      </c>
      <c r="C109" s="2">
        <f>COUNTIFS(Games[Team],Games[[#This Row],[Team]],Games[Season],Games[[#This Row],[Season]],Games[Date],"&lt;=" &amp; Games[[#This Row],[Date]])</f>
        <v>9</v>
      </c>
      <c r="D109" s="2" t="s">
        <v>83</v>
      </c>
      <c r="E109" s="2" t="s">
        <v>84</v>
      </c>
      <c r="F109" s="1" t="s">
        <v>76</v>
      </c>
      <c r="G109" s="1" t="s">
        <v>69</v>
      </c>
      <c r="H109" s="1" t="s">
        <v>86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9" s="2">
        <f>Games[[#This Row],[DaysOff]]-Games[[#This Row],[OppDaysOff]]</f>
        <v>0</v>
      </c>
      <c r="L109" s="2">
        <f>Games[[#This Row],[OppDaysOff]]-Games[[#This Row],[DaysOff]]</f>
        <v>0</v>
      </c>
      <c r="M109" s="1">
        <f>MAX(-16, MIN(16, Games[[#This Row],[RestDiff]]*8))</f>
        <v>0</v>
      </c>
      <c r="N109" s="1">
        <f>MAX(-16, MIN(16, Games[[#This Row],[OppRestDiff]]*8))</f>
        <v>0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1554.7921154811806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1449.0932380907491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0.74875711627318597</v>
      </c>
      <c r="R109" s="1">
        <v>84</v>
      </c>
      <c r="S109" s="1">
        <v>92</v>
      </c>
      <c r="T109" s="1">
        <v>0</v>
      </c>
      <c r="U109" s="1">
        <f>Games[[#This Row],[PointsFor]]-Games[[#This Row],[PointsAgainst]]</f>
        <v>-8</v>
      </c>
      <c r="V109" s="1">
        <f>IF(Games[[#This Row],[MOV]]&gt;0,1,IF(Games[[#This Row],[MOV]]=0,0.5,0))</f>
        <v>0</v>
      </c>
      <c r="W109" s="4">
        <f>((ABS(Games[[#This Row],[MOV]])+5)^0.6)/(12+0.01*(ABS(Games[[#This Row],[PreGmRate]]-Games[[#This Row],[OppPreGmRate]])))*IF(Games[[#This Row],[OT]]=1,0.9,1)</f>
        <v>0.35688063310195306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74.650000000000006</v>
      </c>
      <c r="Z109" s="4">
        <f>Games[[#This Row],[K]]*Games[[#This Row],[POMult]]</f>
        <v>74.650000000000006</v>
      </c>
      <c r="AA109" s="4">
        <f>(Games[[#This Row],[Keff]]*Games[[#This Row],[MOVMult]])*(Games[[#This Row],[Result]]-Games[[#This Row],[ExpectedWin%]])</f>
        <v>-19.947742607344239</v>
      </c>
      <c r="AB109" s="4">
        <f>Games[[#This Row],[PreGmRate]]+Games[[#This Row],[RatingChange]]</f>
        <v>1534.8443728738364</v>
      </c>
      <c r="AC109" s="2">
        <f>IF(Games[[#This Row],[Type]]="R",IF(Games[[#This Row],[Result]]&gt;0.5,1,0),0)</f>
        <v>0</v>
      </c>
      <c r="AD109" s="2">
        <f>IF(Games[[#This Row],[Type]]="R",IF(Games[[#This Row],[Result]]&lt;0.5,1,0),0)</f>
        <v>1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42185</v>
      </c>
      <c r="B110" s="2">
        <v>2015</v>
      </c>
      <c r="C110" s="2">
        <f>COUNTIFS(Games[Team],Games[[#This Row],[Team]],Games[Season],Games[[#This Row],[Season]],Games[Date],"&lt;=" &amp; Games[[#This Row],[Date]])</f>
        <v>9</v>
      </c>
      <c r="D110" s="2" t="s">
        <v>83</v>
      </c>
      <c r="E110" s="2" t="s">
        <v>84</v>
      </c>
      <c r="F110" s="1" t="s">
        <v>74</v>
      </c>
      <c r="G110" s="1" t="s">
        <v>40</v>
      </c>
      <c r="H110" s="1" t="s">
        <v>85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0" s="2">
        <f>Games[[#This Row],[DaysOff]]-Games[[#This Row],[OppDaysOff]]</f>
        <v>0</v>
      </c>
      <c r="L110" s="2">
        <f>Games[[#This Row],[OppDaysOff]]-Games[[#This Row],[DaysOff]]</f>
        <v>0</v>
      </c>
      <c r="M110" s="1">
        <f>MAX(-16, MIN(16, Games[[#This Row],[RestDiff]]*8))</f>
        <v>0</v>
      </c>
      <c r="N110" s="1">
        <f>MAX(-16, MIN(16, Games[[#This Row],[OppRestDiff]]*8))</f>
        <v>0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1428.3574795065158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1583.2892100181041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0.20174853804348497</v>
      </c>
      <c r="R110" s="1">
        <v>78</v>
      </c>
      <c r="S110" s="1">
        <v>85</v>
      </c>
      <c r="T110" s="1">
        <v>0</v>
      </c>
      <c r="U110" s="1">
        <f>Games[[#This Row],[PointsFor]]-Games[[#This Row],[PointsAgainst]]</f>
        <v>-7</v>
      </c>
      <c r="V110" s="1">
        <f>IF(Games[[#This Row],[MOV]]&gt;0,1,IF(Games[[#This Row],[MOV]]=0,0.5,0))</f>
        <v>0</v>
      </c>
      <c r="W110" s="4">
        <f>((ABS(Games[[#This Row],[MOV]])+5)^0.6)/(12+0.01*(ABS(Games[[#This Row],[PreGmRate]]-Games[[#This Row],[OppPreGmRate]])))*IF(Games[[#This Row],[OT]]=1,0.9,1)</f>
        <v>0.3277867046606785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74.650000000000006</v>
      </c>
      <c r="Z110" s="4">
        <f>Games[[#This Row],[K]]*Games[[#This Row],[POMult]]</f>
        <v>74.650000000000006</v>
      </c>
      <c r="AA110" s="4">
        <f>(Games[[#This Row],[Keff]]*Games[[#This Row],[MOVMult]])*(Games[[#This Row],[Result]]-Games[[#This Row],[ExpectedWin%]])</f>
        <v>-4.9366409631943764</v>
      </c>
      <c r="AB110" s="4">
        <f>Games[[#This Row],[PreGmRate]]+Games[[#This Row],[RatingChange]]</f>
        <v>1423.4208385433215</v>
      </c>
      <c r="AC110" s="2">
        <f>IF(Games[[#This Row],[Type]]="R",IF(Games[[#This Row],[Result]]&gt;0.5,1,0),0)</f>
        <v>0</v>
      </c>
      <c r="AD110" s="2">
        <f>IF(Games[[#This Row],[Type]]="R",IF(Games[[#This Row],[Result]]&lt;0.5,1,0),0)</f>
        <v>1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42185</v>
      </c>
      <c r="B111" s="2">
        <v>2015</v>
      </c>
      <c r="C111" s="2">
        <f>COUNTIFS(Games[Team],Games[[#This Row],[Team]],Games[Season],Games[[#This Row],[Season]],Games[Date],"&lt;=" &amp; Games[[#This Row],[Date]])</f>
        <v>9</v>
      </c>
      <c r="D111" s="2" t="s">
        <v>83</v>
      </c>
      <c r="E111" s="2" t="s">
        <v>84</v>
      </c>
      <c r="F111" s="1" t="s">
        <v>40</v>
      </c>
      <c r="G111" s="1" t="s">
        <v>74</v>
      </c>
      <c r="H111" s="1" t="s">
        <v>86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1" s="2">
        <f>Games[[#This Row],[DaysOff]]-Games[[#This Row],[OppDaysOff]]</f>
        <v>0</v>
      </c>
      <c r="L111" s="2">
        <f>Games[[#This Row],[OppDaysOff]]-Games[[#This Row],[DaysOff]]</f>
        <v>0</v>
      </c>
      <c r="M111" s="1">
        <f>MAX(-16, MIN(16, Games[[#This Row],[RestDiff]]*8))</f>
        <v>0</v>
      </c>
      <c r="N111" s="1">
        <f>MAX(-16, MIN(16, Games[[#This Row],[OppRestDiff]]*8))</f>
        <v>0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1583.2892100181041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1428.3574795065158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0.79825146195651508</v>
      </c>
      <c r="R111" s="1">
        <v>85</v>
      </c>
      <c r="S111" s="1">
        <v>78</v>
      </c>
      <c r="T111" s="1">
        <v>0</v>
      </c>
      <c r="U111" s="1">
        <f>Games[[#This Row],[PointsFor]]-Games[[#This Row],[PointsAgainst]]</f>
        <v>7</v>
      </c>
      <c r="V111" s="1">
        <f>IF(Games[[#This Row],[MOV]]&gt;0,1,IF(Games[[#This Row],[MOV]]=0,0.5,0))</f>
        <v>1</v>
      </c>
      <c r="W111" s="4">
        <f>((ABS(Games[[#This Row],[MOV]])+5)^0.6)/(12+0.01*(ABS(Games[[#This Row],[PreGmRate]]-Games[[#This Row],[OppPreGmRate]])))*IF(Games[[#This Row],[OT]]=1,0.9,1)</f>
        <v>0.3277867046606785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74.650000000000006</v>
      </c>
      <c r="Z111" s="4">
        <f>Games[[#This Row],[K]]*Games[[#This Row],[POMult]]</f>
        <v>74.650000000000006</v>
      </c>
      <c r="AA111" s="4">
        <f>(Games[[#This Row],[Keff]]*Games[[#This Row],[MOVMult]])*(Games[[#This Row],[Result]]-Games[[#This Row],[ExpectedWin%]])</f>
        <v>4.9366409631943755</v>
      </c>
      <c r="AB111" s="4">
        <f>Games[[#This Row],[PreGmRate]]+Games[[#This Row],[RatingChange]]</f>
        <v>1588.2258509812984</v>
      </c>
      <c r="AC111" s="2">
        <f>IF(Games[[#This Row],[Type]]="R",IF(Games[[#This Row],[Result]]&gt;0.5,1,0),0)</f>
        <v>1</v>
      </c>
      <c r="AD111" s="2">
        <f>IF(Games[[#This Row],[Type]]="R",IF(Games[[#This Row],[Result]]&lt;0.5,1,0),0)</f>
        <v>0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42185</v>
      </c>
      <c r="B112" s="2">
        <v>2015</v>
      </c>
      <c r="C112" s="2">
        <f>COUNTIFS(Games[Team],Games[[#This Row],[Team]],Games[Season],Games[[#This Row],[Season]],Games[Date],"&lt;=" &amp; Games[[#This Row],[Date]])</f>
        <v>10</v>
      </c>
      <c r="D112" s="2" t="s">
        <v>83</v>
      </c>
      <c r="E112" s="2" t="s">
        <v>84</v>
      </c>
      <c r="F112" s="1" t="s">
        <v>81</v>
      </c>
      <c r="G112" s="1" t="s">
        <v>71</v>
      </c>
      <c r="H112" s="1" t="s">
        <v>85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2" s="2">
        <f>Games[[#This Row],[DaysOff]]-Games[[#This Row],[OppDaysOff]]</f>
        <v>0</v>
      </c>
      <c r="L112" s="2">
        <f>Games[[#This Row],[OppDaysOff]]-Games[[#This Row],[DaysOff]]</f>
        <v>0</v>
      </c>
      <c r="M112" s="1">
        <f>MAX(-16, MIN(16, Games[[#This Row],[RestDiff]]*8))</f>
        <v>0</v>
      </c>
      <c r="N112" s="1">
        <f>MAX(-16, MIN(16, Games[[#This Row],[OppRestDiff]]*8))</f>
        <v>0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1562.9483720528558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1409.8994487097209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0.59808146476030555</v>
      </c>
      <c r="R112" s="1">
        <v>69</v>
      </c>
      <c r="S112" s="1">
        <v>74</v>
      </c>
      <c r="T112" s="1">
        <v>0</v>
      </c>
      <c r="U112" s="1">
        <f>Games[[#This Row],[PointsFor]]-Games[[#This Row],[PointsAgainst]]</f>
        <v>-5</v>
      </c>
      <c r="V112" s="1">
        <f>IF(Games[[#This Row],[MOV]]&gt;0,1,IF(Games[[#This Row],[MOV]]=0,0.5,0))</f>
        <v>0</v>
      </c>
      <c r="W112" s="4">
        <f>((ABS(Games[[#This Row],[MOV]])+5)^0.6)/(12+0.01*(ABS(Games[[#This Row],[PreGmRate]]-Games[[#This Row],[OppPreGmRate]])))*IF(Games[[#This Row],[OT]]=1,0.9,1)</f>
        <v>0.29422969390482029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74.5</v>
      </c>
      <c r="Z112" s="4">
        <f>Games[[#This Row],[K]]*Games[[#This Row],[POMult]]</f>
        <v>74.5</v>
      </c>
      <c r="AA112" s="4">
        <f>(Games[[#This Row],[Keff]]*Games[[#This Row],[MOVMult]])*(Games[[#This Row],[Result]]-Games[[#This Row],[ExpectedWin%]])</f>
        <v>-13.11001280983956</v>
      </c>
      <c r="AB112" s="4">
        <f>Games[[#This Row],[PreGmRate]]+Games[[#This Row],[RatingChange]]</f>
        <v>1549.8383592430162</v>
      </c>
      <c r="AC112" s="2">
        <f>IF(Games[[#This Row],[Type]]="R",IF(Games[[#This Row],[Result]]&gt;0.5,1,0),0)</f>
        <v>0</v>
      </c>
      <c r="AD112" s="2">
        <f>IF(Games[[#This Row],[Type]]="R",IF(Games[[#This Row],[Result]]&lt;0.5,1,0),0)</f>
        <v>1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42185</v>
      </c>
      <c r="B113" s="2">
        <v>2015</v>
      </c>
      <c r="C113" s="2">
        <f>COUNTIFS(Games[Team],Games[[#This Row],[Team]],Games[Season],Games[[#This Row],[Season]],Games[Date],"&lt;=" &amp; Games[[#This Row],[Date]])</f>
        <v>10</v>
      </c>
      <c r="D113" s="2" t="s">
        <v>83</v>
      </c>
      <c r="E113" s="2" t="s">
        <v>84</v>
      </c>
      <c r="F113" s="1" t="s">
        <v>71</v>
      </c>
      <c r="G113" s="1" t="s">
        <v>81</v>
      </c>
      <c r="H113" s="1" t="s">
        <v>86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3" s="2">
        <f>Games[[#This Row],[DaysOff]]-Games[[#This Row],[OppDaysOff]]</f>
        <v>0</v>
      </c>
      <c r="L113" s="2">
        <f>Games[[#This Row],[OppDaysOff]]-Games[[#This Row],[DaysOff]]</f>
        <v>0</v>
      </c>
      <c r="M113" s="1">
        <f>MAX(-16, MIN(16, Games[[#This Row],[RestDiff]]*8))</f>
        <v>0</v>
      </c>
      <c r="N113" s="1">
        <f>MAX(-16, MIN(16, Games[[#This Row],[OppRestDiff]]*8))</f>
        <v>0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1409.8994487097209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1562.9483720528558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0.40191853523969451</v>
      </c>
      <c r="R113" s="1">
        <v>74</v>
      </c>
      <c r="S113" s="1">
        <v>69</v>
      </c>
      <c r="T113" s="1">
        <v>0</v>
      </c>
      <c r="U113" s="1">
        <f>Games[[#This Row],[PointsFor]]-Games[[#This Row],[PointsAgainst]]</f>
        <v>5</v>
      </c>
      <c r="V113" s="1">
        <f>IF(Games[[#This Row],[MOV]]&gt;0,1,IF(Games[[#This Row],[MOV]]=0,0.5,0))</f>
        <v>1</v>
      </c>
      <c r="W113" s="4">
        <f>((ABS(Games[[#This Row],[MOV]])+5)^0.6)/(12+0.01*(ABS(Games[[#This Row],[PreGmRate]]-Games[[#This Row],[OppPreGmRate]])))*IF(Games[[#This Row],[OT]]=1,0.9,1)</f>
        <v>0.29422969390482029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74.5</v>
      </c>
      <c r="Z113" s="4">
        <f>Games[[#This Row],[K]]*Games[[#This Row],[POMult]]</f>
        <v>74.5</v>
      </c>
      <c r="AA113" s="4">
        <f>(Games[[#This Row],[Keff]]*Games[[#This Row],[MOVMult]])*(Games[[#This Row],[Result]]-Games[[#This Row],[ExpectedWin%]])</f>
        <v>13.110012809839557</v>
      </c>
      <c r="AB113" s="4">
        <f>Games[[#This Row],[PreGmRate]]+Games[[#This Row],[RatingChange]]</f>
        <v>1423.0094615195605</v>
      </c>
      <c r="AC113" s="2">
        <f>IF(Games[[#This Row],[Type]]="R",IF(Games[[#This Row],[Result]]&gt;0.5,1,0),0)</f>
        <v>1</v>
      </c>
      <c r="AD113" s="2">
        <f>IF(Games[[#This Row],[Type]]="R",IF(Games[[#This Row],[Result]]&lt;0.5,1,0),0)</f>
        <v>0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42187</v>
      </c>
      <c r="B114" s="2">
        <v>2015</v>
      </c>
      <c r="C114" s="2">
        <f>COUNTIFS(Games[Team],Games[[#This Row],[Team]],Games[Season],Games[[#This Row],[Season]],Games[Date],"&lt;=" &amp; Games[[#This Row],[Date]])</f>
        <v>11</v>
      </c>
      <c r="D114" s="2" t="s">
        <v>83</v>
      </c>
      <c r="E114" s="2" t="s">
        <v>84</v>
      </c>
      <c r="F114" s="1" t="s">
        <v>77</v>
      </c>
      <c r="G114" s="1" t="s">
        <v>76</v>
      </c>
      <c r="H114" s="1" t="s">
        <v>85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4" s="2">
        <f>Games[[#This Row],[DaysOff]]-Games[[#This Row],[OppDaysOff]]</f>
        <v>0</v>
      </c>
      <c r="L114" s="2">
        <f>Games[[#This Row],[OppDaysOff]]-Games[[#This Row],[DaysOff]]</f>
        <v>0</v>
      </c>
      <c r="M114" s="1">
        <f>MAX(-16, MIN(16, Games[[#This Row],[RestDiff]]*8))</f>
        <v>0</v>
      </c>
      <c r="N114" s="1">
        <f>MAX(-16, MIN(16, Games[[#This Row],[OppRestDiff]]*8))</f>
        <v>0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1503.112584620374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1534.8443728738364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0.33934696213575566</v>
      </c>
      <c r="R114" s="1">
        <v>77</v>
      </c>
      <c r="S114" s="1">
        <v>74</v>
      </c>
      <c r="T114" s="1">
        <v>0</v>
      </c>
      <c r="U114" s="1">
        <f>Games[[#This Row],[PointsFor]]-Games[[#This Row],[PointsAgainst]]</f>
        <v>3</v>
      </c>
      <c r="V114" s="1">
        <f>IF(Games[[#This Row],[MOV]]&gt;0,1,IF(Games[[#This Row],[MOV]]=0,0.5,0))</f>
        <v>1</v>
      </c>
      <c r="W114" s="4">
        <f>((ABS(Games[[#This Row],[MOV]])+5)^0.6)/(12+0.01*(ABS(Games[[#This Row],[PreGmRate]]-Games[[#This Row],[OppPreGmRate]])))*IF(Games[[#This Row],[OT]]=1,0.9,1)</f>
        <v>0.28270783350668371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74.349999999999994</v>
      </c>
      <c r="Z114" s="4">
        <f>Games[[#This Row],[K]]*Games[[#This Row],[POMult]]</f>
        <v>74.349999999999994</v>
      </c>
      <c r="AA114" s="4">
        <f>(Games[[#This Row],[Keff]]*Games[[#This Row],[MOVMult]])*(Games[[#This Row],[Result]]-Games[[#This Row],[ExpectedWin%]])</f>
        <v>13.886482514693483</v>
      </c>
      <c r="AB114" s="4">
        <f>Games[[#This Row],[PreGmRate]]+Games[[#This Row],[RatingChange]]</f>
        <v>1516.9990671350674</v>
      </c>
      <c r="AC114" s="2">
        <f>IF(Games[[#This Row],[Type]]="R",IF(Games[[#This Row],[Result]]&gt;0.5,1,0),0)</f>
        <v>1</v>
      </c>
      <c r="AD114" s="2">
        <f>IF(Games[[#This Row],[Type]]="R",IF(Games[[#This Row],[Result]]&lt;0.5,1,0),0)</f>
        <v>0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42187</v>
      </c>
      <c r="B115" s="2">
        <v>2015</v>
      </c>
      <c r="C115" s="2">
        <f>COUNTIFS(Games[Team],Games[[#This Row],[Team]],Games[Season],Games[[#This Row],[Season]],Games[Date],"&lt;=" &amp; Games[[#This Row],[Date]])</f>
        <v>10</v>
      </c>
      <c r="D115" s="2" t="s">
        <v>83</v>
      </c>
      <c r="E115" s="2" t="s">
        <v>84</v>
      </c>
      <c r="F115" s="1" t="s">
        <v>76</v>
      </c>
      <c r="G115" s="1" t="s">
        <v>77</v>
      </c>
      <c r="H115" s="1" t="s">
        <v>86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5" s="2">
        <f>Games[[#This Row],[DaysOff]]-Games[[#This Row],[OppDaysOff]]</f>
        <v>0</v>
      </c>
      <c r="L115" s="2">
        <f>Games[[#This Row],[OppDaysOff]]-Games[[#This Row],[DaysOff]]</f>
        <v>0</v>
      </c>
      <c r="M115" s="1">
        <f>MAX(-16, MIN(16, Games[[#This Row],[RestDiff]]*8))</f>
        <v>0</v>
      </c>
      <c r="N115" s="1">
        <f>MAX(-16, MIN(16, Games[[#This Row],[OppRestDiff]]*8))</f>
        <v>0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1534.8443728738364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1503.112584620374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0.66065303786424434</v>
      </c>
      <c r="R115" s="1">
        <v>74</v>
      </c>
      <c r="S115" s="1">
        <v>77</v>
      </c>
      <c r="T115" s="1">
        <v>0</v>
      </c>
      <c r="U115" s="1">
        <f>Games[[#This Row],[PointsFor]]-Games[[#This Row],[PointsAgainst]]</f>
        <v>-3</v>
      </c>
      <c r="V115" s="1">
        <f>IF(Games[[#This Row],[MOV]]&gt;0,1,IF(Games[[#This Row],[MOV]]=0,0.5,0))</f>
        <v>0</v>
      </c>
      <c r="W115" s="4">
        <f>((ABS(Games[[#This Row],[MOV]])+5)^0.6)/(12+0.01*(ABS(Games[[#This Row],[PreGmRate]]-Games[[#This Row],[OppPreGmRate]])))*IF(Games[[#This Row],[OT]]=1,0.9,1)</f>
        <v>0.28270783350668371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74.5</v>
      </c>
      <c r="Z115" s="4">
        <f>Games[[#This Row],[K]]*Games[[#This Row],[POMult]]</f>
        <v>74.5</v>
      </c>
      <c r="AA115" s="4">
        <f>(Games[[#This Row],[Keff]]*Games[[#This Row],[MOVMult]])*(Games[[#This Row],[Result]]-Games[[#This Row],[ExpectedWin%]])</f>
        <v>-13.914498283048616</v>
      </c>
      <c r="AB115" s="4">
        <f>Games[[#This Row],[PreGmRate]]+Games[[#This Row],[RatingChange]]</f>
        <v>1520.9298745907877</v>
      </c>
      <c r="AC115" s="2">
        <f>IF(Games[[#This Row],[Type]]="R",IF(Games[[#This Row],[Result]]&gt;0.5,1,0),0)</f>
        <v>0</v>
      </c>
      <c r="AD115" s="2">
        <f>IF(Games[[#This Row],[Type]]="R",IF(Games[[#This Row],[Result]]&lt;0.5,1,0),0)</f>
        <v>1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42187</v>
      </c>
      <c r="B116" s="2">
        <v>2015</v>
      </c>
      <c r="C116" s="2">
        <f>COUNTIFS(Games[Team],Games[[#This Row],[Team]],Games[Season],Games[[#This Row],[Season]],Games[Date],"&lt;=" &amp; Games[[#This Row],[Date]])</f>
        <v>10</v>
      </c>
      <c r="D116" s="2" t="s">
        <v>83</v>
      </c>
      <c r="E116" s="2" t="s">
        <v>84</v>
      </c>
      <c r="F116" s="1" t="s">
        <v>65</v>
      </c>
      <c r="G116" s="1" t="s">
        <v>69</v>
      </c>
      <c r="H116" s="1" t="s">
        <v>85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6" s="2">
        <f>Games[[#This Row],[DaysOff]]-Games[[#This Row],[OppDaysOff]]</f>
        <v>2</v>
      </c>
      <c r="L116" s="2">
        <f>Games[[#This Row],[OppDaysOff]]-Games[[#This Row],[DaysOff]]</f>
        <v>-2</v>
      </c>
      <c r="M116" s="1">
        <f>MAX(-16, MIN(16, Games[[#This Row],[RestDiff]]*8))</f>
        <v>16</v>
      </c>
      <c r="N116" s="1">
        <f>MAX(-16, MIN(16, Games[[#This Row],[OppRestDiff]]*8))</f>
        <v>-16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1530.1143855126313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1469.000898161039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0.51311235539071498</v>
      </c>
      <c r="R116" s="1">
        <v>50</v>
      </c>
      <c r="S116" s="1">
        <v>73</v>
      </c>
      <c r="T116" s="1">
        <v>0</v>
      </c>
      <c r="U116" s="1">
        <f>Games[[#This Row],[PointsFor]]-Games[[#This Row],[PointsAgainst]]</f>
        <v>-23</v>
      </c>
      <c r="V116" s="1">
        <f>IF(Games[[#This Row],[MOV]]&gt;0,1,IF(Games[[#This Row],[MOV]]=0,0.5,0))</f>
        <v>0</v>
      </c>
      <c r="W116" s="4">
        <f>((ABS(Games[[#This Row],[MOV]])+5)^0.6)/(12+0.01*(ABS(Games[[#This Row],[PreGmRate]]-Games[[#This Row],[OppPreGmRate]])))*IF(Games[[#This Row],[OT]]=1,0.9,1)</f>
        <v>0.58551853618266658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74.5</v>
      </c>
      <c r="Z116" s="4">
        <f>Games[[#This Row],[K]]*Games[[#This Row],[POMult]]</f>
        <v>74.5</v>
      </c>
      <c r="AA116" s="4">
        <f>(Games[[#This Row],[Keff]]*Games[[#This Row],[MOVMult]])*(Games[[#This Row],[Result]]-Games[[#This Row],[ExpectedWin%]])</f>
        <v>-22.382541244308069</v>
      </c>
      <c r="AB116" s="4">
        <f>Games[[#This Row],[PreGmRate]]+Games[[#This Row],[RatingChange]]</f>
        <v>1507.7318442683234</v>
      </c>
      <c r="AC116" s="2">
        <f>IF(Games[[#This Row],[Type]]="R",IF(Games[[#This Row],[Result]]&gt;0.5,1,0),0)</f>
        <v>0</v>
      </c>
      <c r="AD116" s="2">
        <f>IF(Games[[#This Row],[Type]]="R",IF(Games[[#This Row],[Result]]&lt;0.5,1,0),0)</f>
        <v>1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42187</v>
      </c>
      <c r="B117" s="2">
        <v>2015</v>
      </c>
      <c r="C117" s="2">
        <f>COUNTIFS(Games[Team],Games[[#This Row],[Team]],Games[Season],Games[[#This Row],[Season]],Games[Date],"&lt;=" &amp; Games[[#This Row],[Date]])</f>
        <v>11</v>
      </c>
      <c r="D117" s="2" t="s">
        <v>83</v>
      </c>
      <c r="E117" s="2" t="s">
        <v>84</v>
      </c>
      <c r="F117" s="1" t="s">
        <v>69</v>
      </c>
      <c r="G117" s="1" t="s">
        <v>65</v>
      </c>
      <c r="H117" s="1" t="s">
        <v>86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7" s="2">
        <f>Games[[#This Row],[DaysOff]]-Games[[#This Row],[OppDaysOff]]</f>
        <v>-2</v>
      </c>
      <c r="L117" s="2">
        <f>Games[[#This Row],[OppDaysOff]]-Games[[#This Row],[DaysOff]]</f>
        <v>2</v>
      </c>
      <c r="M117" s="1">
        <f>MAX(-16, MIN(16, Games[[#This Row],[RestDiff]]*8))</f>
        <v>-16</v>
      </c>
      <c r="N117" s="1">
        <f>MAX(-16, MIN(16, Games[[#This Row],[OppRestDiff]]*8))</f>
        <v>16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1469.000898161039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1530.1143855126313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0.48688764460928508</v>
      </c>
      <c r="R117" s="1">
        <v>73</v>
      </c>
      <c r="S117" s="1">
        <v>50</v>
      </c>
      <c r="T117" s="1">
        <v>0</v>
      </c>
      <c r="U117" s="1">
        <f>Games[[#This Row],[PointsFor]]-Games[[#This Row],[PointsAgainst]]</f>
        <v>23</v>
      </c>
      <c r="V117" s="1">
        <f>IF(Games[[#This Row],[MOV]]&gt;0,1,IF(Games[[#This Row],[MOV]]=0,0.5,0))</f>
        <v>1</v>
      </c>
      <c r="W117" s="4">
        <f>((ABS(Games[[#This Row],[MOV]])+5)^0.6)/(12+0.01*(ABS(Games[[#This Row],[PreGmRate]]-Games[[#This Row],[OppPreGmRate]])))*IF(Games[[#This Row],[OT]]=1,0.9,1)</f>
        <v>0.58551853618266658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74.349999999999994</v>
      </c>
      <c r="Z117" s="4">
        <f>Games[[#This Row],[K]]*Games[[#This Row],[POMult]]</f>
        <v>74.349999999999994</v>
      </c>
      <c r="AA117" s="4">
        <f>(Games[[#This Row],[Keff]]*Games[[#This Row],[MOVMult]])*(Games[[#This Row],[Result]]-Games[[#This Row],[ExpectedWin%]])</f>
        <v>22.33747572502422</v>
      </c>
      <c r="AB117" s="4">
        <f>Games[[#This Row],[PreGmRate]]+Games[[#This Row],[RatingChange]]</f>
        <v>1491.3383738860632</v>
      </c>
      <c r="AC117" s="2">
        <f>IF(Games[[#This Row],[Type]]="R",IF(Games[[#This Row],[Result]]&gt;0.5,1,0),0)</f>
        <v>1</v>
      </c>
      <c r="AD117" s="2">
        <f>IF(Games[[#This Row],[Type]]="R",IF(Games[[#This Row],[Result]]&lt;0.5,1,0),0)</f>
        <v>0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42187</v>
      </c>
      <c r="B118" s="2">
        <v>2015</v>
      </c>
      <c r="C118" s="2">
        <f>COUNTIFS(Games[Team],Games[[#This Row],[Team]],Games[Season],Games[[#This Row],[Season]],Games[Date],"&lt;=" &amp; Games[[#This Row],[Date]])</f>
        <v>10</v>
      </c>
      <c r="D118" s="2" t="s">
        <v>83</v>
      </c>
      <c r="E118" s="2" t="s">
        <v>84</v>
      </c>
      <c r="F118" s="1" t="s">
        <v>74</v>
      </c>
      <c r="G118" s="1" t="s">
        <v>63</v>
      </c>
      <c r="H118" s="1" t="s">
        <v>85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8" s="2">
        <f>Games[[#This Row],[DaysOff]]-Games[[#This Row],[OppDaysOff]]</f>
        <v>-2</v>
      </c>
      <c r="L118" s="2">
        <f>Games[[#This Row],[OppDaysOff]]-Games[[#This Row],[DaysOff]]</f>
        <v>2</v>
      </c>
      <c r="M118" s="1">
        <f>MAX(-16, MIN(16, Games[[#This Row],[RestDiff]]*8))</f>
        <v>-16</v>
      </c>
      <c r="N118" s="1">
        <f>MAX(-16, MIN(16, Games[[#This Row],[OppRestDiff]]*8))</f>
        <v>16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1423.4208385433215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1418.0876531573351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0.34591383211356475</v>
      </c>
      <c r="R118" s="1">
        <v>81</v>
      </c>
      <c r="S118" s="1">
        <v>86</v>
      </c>
      <c r="T118" s="1">
        <v>0</v>
      </c>
      <c r="U118" s="1">
        <f>Games[[#This Row],[PointsFor]]-Games[[#This Row],[PointsAgainst]]</f>
        <v>-5</v>
      </c>
      <c r="V118" s="1">
        <f>IF(Games[[#This Row],[MOV]]&gt;0,1,IF(Games[[#This Row],[MOV]]=0,0.5,0))</f>
        <v>0</v>
      </c>
      <c r="W118" s="4">
        <f>((ABS(Games[[#This Row],[MOV]])+5)^0.6)/(12+0.01*(ABS(Games[[#This Row],[PreGmRate]]-Games[[#This Row],[OppPreGmRate]])))*IF(Games[[#This Row],[OT]]=1,0.9,1)</f>
        <v>0.33028806920802617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74.5</v>
      </c>
      <c r="Z118" s="4">
        <f>Games[[#This Row],[K]]*Games[[#This Row],[POMult]]</f>
        <v>74.5</v>
      </c>
      <c r="AA118" s="4">
        <f>(Games[[#This Row],[Keff]]*Games[[#This Row],[MOVMult]])*(Games[[#This Row],[Result]]-Games[[#This Row],[ExpectedWin%]])</f>
        <v>-8.5117152732248265</v>
      </c>
      <c r="AB118" s="4">
        <f>Games[[#This Row],[PreGmRate]]+Games[[#This Row],[RatingChange]]</f>
        <v>1414.9091232700966</v>
      </c>
      <c r="AC118" s="2">
        <f>IF(Games[[#This Row],[Type]]="R",IF(Games[[#This Row],[Result]]&gt;0.5,1,0),0)</f>
        <v>0</v>
      </c>
      <c r="AD118" s="2">
        <f>IF(Games[[#This Row],[Type]]="R",IF(Games[[#This Row],[Result]]&lt;0.5,1,0),0)</f>
        <v>1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42187</v>
      </c>
      <c r="B119" s="2">
        <v>2015</v>
      </c>
      <c r="C119" s="2">
        <f>COUNTIFS(Games[Team],Games[[#This Row],[Team]],Games[Season],Games[[#This Row],[Season]],Games[Date],"&lt;=" &amp; Games[[#This Row],[Date]])</f>
        <v>8</v>
      </c>
      <c r="D119" s="2" t="s">
        <v>83</v>
      </c>
      <c r="E119" s="2" t="s">
        <v>84</v>
      </c>
      <c r="F119" s="1" t="s">
        <v>63</v>
      </c>
      <c r="G119" s="1" t="s">
        <v>74</v>
      </c>
      <c r="H119" s="1" t="s">
        <v>86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9" s="2">
        <f>Games[[#This Row],[DaysOff]]-Games[[#This Row],[OppDaysOff]]</f>
        <v>2</v>
      </c>
      <c r="L119" s="2">
        <f>Games[[#This Row],[OppDaysOff]]-Games[[#This Row],[DaysOff]]</f>
        <v>-2</v>
      </c>
      <c r="M119" s="1">
        <f>MAX(-16, MIN(16, Games[[#This Row],[RestDiff]]*8))</f>
        <v>16</v>
      </c>
      <c r="N119" s="1">
        <f>MAX(-16, MIN(16, Games[[#This Row],[OppRestDiff]]*8))</f>
        <v>-16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1418.0876531573351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1423.4208385433215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0.65408616788643525</v>
      </c>
      <c r="R119" s="1">
        <v>86</v>
      </c>
      <c r="S119" s="1">
        <v>81</v>
      </c>
      <c r="T119" s="1">
        <v>0</v>
      </c>
      <c r="U119" s="1">
        <f>Games[[#This Row],[PointsFor]]-Games[[#This Row],[PointsAgainst]]</f>
        <v>5</v>
      </c>
      <c r="V119" s="1">
        <f>IF(Games[[#This Row],[MOV]]&gt;0,1,IF(Games[[#This Row],[MOV]]=0,0.5,0))</f>
        <v>1</v>
      </c>
      <c r="W119" s="4">
        <f>((ABS(Games[[#This Row],[MOV]])+5)^0.6)/(12+0.01*(ABS(Games[[#This Row],[PreGmRate]]-Games[[#This Row],[OppPreGmRate]])))*IF(Games[[#This Row],[OT]]=1,0.9,1)</f>
        <v>0.33028806920802617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74.8</v>
      </c>
      <c r="Z119" s="4">
        <f>Games[[#This Row],[K]]*Games[[#This Row],[POMult]]</f>
        <v>74.8</v>
      </c>
      <c r="AA119" s="4">
        <f>(Games[[#This Row],[Keff]]*Games[[#This Row],[MOVMult]])*(Games[[#This Row],[Result]]-Games[[#This Row],[ExpectedWin%]])</f>
        <v>8.545990636741168</v>
      </c>
      <c r="AB119" s="4">
        <f>Games[[#This Row],[PreGmRate]]+Games[[#This Row],[RatingChange]]</f>
        <v>1426.6336437940763</v>
      </c>
      <c r="AC119" s="2">
        <f>IF(Games[[#This Row],[Type]]="R",IF(Games[[#This Row],[Result]]&gt;0.5,1,0),0)</f>
        <v>1</v>
      </c>
      <c r="AD119" s="2">
        <f>IF(Games[[#This Row],[Type]]="R",IF(Games[[#This Row],[Result]]&lt;0.5,1,0),0)</f>
        <v>0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42187</v>
      </c>
      <c r="B120" s="2">
        <v>2015</v>
      </c>
      <c r="C120" s="2">
        <f>COUNTIFS(Games[Team],Games[[#This Row],[Team]],Games[Season],Games[[#This Row],[Season]],Games[Date],"&lt;=" &amp; Games[[#This Row],[Date]])</f>
        <v>11</v>
      </c>
      <c r="D120" s="2" t="s">
        <v>83</v>
      </c>
      <c r="E120" s="2" t="s">
        <v>84</v>
      </c>
      <c r="F120" s="1" t="s">
        <v>81</v>
      </c>
      <c r="G120" s="1" t="s">
        <v>40</v>
      </c>
      <c r="H120" s="1" t="s">
        <v>85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0" s="2">
        <f>Games[[#This Row],[DaysOff]]-Games[[#This Row],[OppDaysOff]]</f>
        <v>0</v>
      </c>
      <c r="L120" s="2">
        <f>Games[[#This Row],[OppDaysOff]]-Games[[#This Row],[DaysOff]]</f>
        <v>0</v>
      </c>
      <c r="M120" s="1">
        <f>MAX(-16, MIN(16, Games[[#This Row],[RestDiff]]*8))</f>
        <v>0</v>
      </c>
      <c r="N120" s="1">
        <f>MAX(-16, MIN(16, Games[[#This Row],[OppRestDiff]]*8))</f>
        <v>0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1549.8383592430162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1588.2258509812984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0.33081106220841722</v>
      </c>
      <c r="R120" s="1">
        <v>55</v>
      </c>
      <c r="S120" s="1">
        <v>86</v>
      </c>
      <c r="T120" s="1">
        <v>0</v>
      </c>
      <c r="U120" s="1">
        <f>Games[[#This Row],[PointsFor]]-Games[[#This Row],[PointsAgainst]]</f>
        <v>-31</v>
      </c>
      <c r="V120" s="1">
        <f>IF(Games[[#This Row],[MOV]]&gt;0,1,IF(Games[[#This Row],[MOV]]=0,0.5,0))</f>
        <v>0</v>
      </c>
      <c r="W120" s="4">
        <f>((ABS(Games[[#This Row],[MOV]])+5)^0.6)/(12+0.01*(ABS(Games[[#This Row],[PreGmRate]]-Games[[#This Row],[OppPreGmRate]])))*IF(Games[[#This Row],[OT]]=1,0.9,1)</f>
        <v>0.69330597603016131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74.349999999999994</v>
      </c>
      <c r="Z120" s="4">
        <f>Games[[#This Row],[K]]*Games[[#This Row],[POMult]]</f>
        <v>74.349999999999994</v>
      </c>
      <c r="AA120" s="4">
        <f>(Games[[#This Row],[Keff]]*Games[[#This Row],[MOVMult]])*(Games[[#This Row],[Result]]-Games[[#This Row],[ExpectedWin%]])</f>
        <v>-17.052416841310695</v>
      </c>
      <c r="AB120" s="4">
        <f>Games[[#This Row],[PreGmRate]]+Games[[#This Row],[RatingChange]]</f>
        <v>1532.7859424017054</v>
      </c>
      <c r="AC120" s="2">
        <f>IF(Games[[#This Row],[Type]]="R",IF(Games[[#This Row],[Result]]&gt;0.5,1,0),0)</f>
        <v>0</v>
      </c>
      <c r="AD120" s="2">
        <f>IF(Games[[#This Row],[Type]]="R",IF(Games[[#This Row],[Result]]&lt;0.5,1,0),0)</f>
        <v>1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42187</v>
      </c>
      <c r="B121" s="2">
        <v>2015</v>
      </c>
      <c r="C121" s="2">
        <f>COUNTIFS(Games[Team],Games[[#This Row],[Team]],Games[Season],Games[[#This Row],[Season]],Games[Date],"&lt;=" &amp; Games[[#This Row],[Date]])</f>
        <v>10</v>
      </c>
      <c r="D121" s="2" t="s">
        <v>83</v>
      </c>
      <c r="E121" s="2" t="s">
        <v>84</v>
      </c>
      <c r="F121" s="1" t="s">
        <v>40</v>
      </c>
      <c r="G121" s="1" t="s">
        <v>81</v>
      </c>
      <c r="H121" s="1" t="s">
        <v>86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1" s="2">
        <f>Games[[#This Row],[DaysOff]]-Games[[#This Row],[OppDaysOff]]</f>
        <v>0</v>
      </c>
      <c r="L121" s="2">
        <f>Games[[#This Row],[OppDaysOff]]-Games[[#This Row],[DaysOff]]</f>
        <v>0</v>
      </c>
      <c r="M121" s="1">
        <f>MAX(-16, MIN(16, Games[[#This Row],[RestDiff]]*8))</f>
        <v>0</v>
      </c>
      <c r="N121" s="1">
        <f>MAX(-16, MIN(16, Games[[#This Row],[OppRestDiff]]*8))</f>
        <v>0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1588.2258509812984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1549.8383592430162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0.66918893779158273</v>
      </c>
      <c r="R121" s="1">
        <v>86</v>
      </c>
      <c r="S121" s="1">
        <v>55</v>
      </c>
      <c r="T121" s="1">
        <v>0</v>
      </c>
      <c r="U121" s="1">
        <f>Games[[#This Row],[PointsFor]]-Games[[#This Row],[PointsAgainst]]</f>
        <v>31</v>
      </c>
      <c r="V121" s="1">
        <f>IF(Games[[#This Row],[MOV]]&gt;0,1,IF(Games[[#This Row],[MOV]]=0,0.5,0))</f>
        <v>1</v>
      </c>
      <c r="W121" s="4">
        <f>((ABS(Games[[#This Row],[MOV]])+5)^0.6)/(12+0.01*(ABS(Games[[#This Row],[PreGmRate]]-Games[[#This Row],[OppPreGmRate]])))*IF(Games[[#This Row],[OT]]=1,0.9,1)</f>
        <v>0.69330597603016131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74.5</v>
      </c>
      <c r="Z121" s="4">
        <f>Games[[#This Row],[K]]*Games[[#This Row],[POMult]]</f>
        <v>74.5</v>
      </c>
      <c r="AA121" s="4">
        <f>(Games[[#This Row],[Keff]]*Games[[#This Row],[MOVMult]])*(Games[[#This Row],[Result]]-Games[[#This Row],[ExpectedWin%]])</f>
        <v>17.086819834265594</v>
      </c>
      <c r="AB121" s="4">
        <f>Games[[#This Row],[PreGmRate]]+Games[[#This Row],[RatingChange]]</f>
        <v>1605.3126708155639</v>
      </c>
      <c r="AC121" s="2">
        <f>IF(Games[[#This Row],[Type]]="R",IF(Games[[#This Row],[Result]]&gt;0.5,1,0),0)</f>
        <v>1</v>
      </c>
      <c r="AD121" s="2">
        <f>IF(Games[[#This Row],[Type]]="R",IF(Games[[#This Row],[Result]]&lt;0.5,1,0),0)</f>
        <v>0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42188</v>
      </c>
      <c r="B122" s="2">
        <v>2015</v>
      </c>
      <c r="C122" s="2">
        <f>COUNTIFS(Games[Team],Games[[#This Row],[Team]],Games[Season],Games[[#This Row],[Season]],Games[Date],"&lt;=" &amp; Games[[#This Row],[Date]])</f>
        <v>12</v>
      </c>
      <c r="D122" s="2" t="s">
        <v>83</v>
      </c>
      <c r="E122" s="2" t="s">
        <v>84</v>
      </c>
      <c r="F122" s="1" t="s">
        <v>81</v>
      </c>
      <c r="G122" s="1" t="s">
        <v>63</v>
      </c>
      <c r="H122" s="1" t="s">
        <v>85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2" s="2">
        <f>Games[[#This Row],[DaysOff]]-Games[[#This Row],[OppDaysOff]]</f>
        <v>0</v>
      </c>
      <c r="L122" s="2">
        <f>Games[[#This Row],[OppDaysOff]]-Games[[#This Row],[DaysOff]]</f>
        <v>0</v>
      </c>
      <c r="M122" s="1">
        <f>MAX(-16, MIN(16, Games[[#This Row],[RestDiff]]*8))</f>
        <v>0</v>
      </c>
      <c r="N122" s="1">
        <f>MAX(-16, MIN(16, Games[[#This Row],[OppRestDiff]]*8))</f>
        <v>0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1532.7859424017054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1426.6336437940763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0.53183659062490896</v>
      </c>
      <c r="R122" s="1">
        <v>95</v>
      </c>
      <c r="S122" s="1">
        <v>98</v>
      </c>
      <c r="T122" s="1">
        <v>0</v>
      </c>
      <c r="U122" s="1">
        <f>Games[[#This Row],[PointsFor]]-Games[[#This Row],[PointsAgainst]]</f>
        <v>-3</v>
      </c>
      <c r="V122" s="1">
        <f>IF(Games[[#This Row],[MOV]]&gt;0,1,IF(Games[[#This Row],[MOV]]=0,0.5,0))</f>
        <v>0</v>
      </c>
      <c r="W122" s="4">
        <f>((ABS(Games[[#This Row],[MOV]])+5)^0.6)/(12+0.01*(ABS(Games[[#This Row],[PreGmRate]]-Games[[#This Row],[OppPreGmRate]])))*IF(Games[[#This Row],[OT]]=1,0.9,1)</f>
        <v>0.2666000172335613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74.2</v>
      </c>
      <c r="Z122" s="4">
        <f>Games[[#This Row],[K]]*Games[[#This Row],[POMult]]</f>
        <v>74.2</v>
      </c>
      <c r="AA122" s="4">
        <f>(Games[[#This Row],[Keff]]*Games[[#This Row],[MOVMult]])*(Games[[#This Row],[Result]]-Games[[#This Row],[ExpectedWin%]])</f>
        <v>-10.52064320157211</v>
      </c>
      <c r="AB122" s="4">
        <f>Games[[#This Row],[PreGmRate]]+Games[[#This Row],[RatingChange]]</f>
        <v>1522.2652992001333</v>
      </c>
      <c r="AC122" s="2">
        <f>IF(Games[[#This Row],[Type]]="R",IF(Games[[#This Row],[Result]]&gt;0.5,1,0),0)</f>
        <v>0</v>
      </c>
      <c r="AD122" s="2">
        <f>IF(Games[[#This Row],[Type]]="R",IF(Games[[#This Row],[Result]]&lt;0.5,1,0),0)</f>
        <v>1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42188</v>
      </c>
      <c r="B123" s="2">
        <v>2015</v>
      </c>
      <c r="C123" s="2">
        <f>COUNTIFS(Games[Team],Games[[#This Row],[Team]],Games[Season],Games[[#This Row],[Season]],Games[Date],"&lt;=" &amp; Games[[#This Row],[Date]])</f>
        <v>9</v>
      </c>
      <c r="D123" s="2" t="s">
        <v>83</v>
      </c>
      <c r="E123" s="2" t="s">
        <v>84</v>
      </c>
      <c r="F123" s="1" t="s">
        <v>63</v>
      </c>
      <c r="G123" s="1" t="s">
        <v>81</v>
      </c>
      <c r="H123" s="1" t="s">
        <v>86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3" s="2">
        <f>Games[[#This Row],[DaysOff]]-Games[[#This Row],[OppDaysOff]]</f>
        <v>0</v>
      </c>
      <c r="L123" s="2">
        <f>Games[[#This Row],[OppDaysOff]]-Games[[#This Row],[DaysOff]]</f>
        <v>0</v>
      </c>
      <c r="M123" s="1">
        <f>MAX(-16, MIN(16, Games[[#This Row],[RestDiff]]*8))</f>
        <v>0</v>
      </c>
      <c r="N123" s="1">
        <f>MAX(-16, MIN(16, Games[[#This Row],[OppRestDiff]]*8))</f>
        <v>0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1426.6336437940763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1532.7859424017054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0.46816340937509093</v>
      </c>
      <c r="R123" s="1">
        <v>98</v>
      </c>
      <c r="S123" s="1">
        <v>95</v>
      </c>
      <c r="T123" s="1">
        <v>0</v>
      </c>
      <c r="U123" s="1">
        <f>Games[[#This Row],[PointsFor]]-Games[[#This Row],[PointsAgainst]]</f>
        <v>3</v>
      </c>
      <c r="V123" s="1">
        <f>IF(Games[[#This Row],[MOV]]&gt;0,1,IF(Games[[#This Row],[MOV]]=0,0.5,0))</f>
        <v>1</v>
      </c>
      <c r="W123" s="4">
        <f>((ABS(Games[[#This Row],[MOV]])+5)^0.6)/(12+0.01*(ABS(Games[[#This Row],[PreGmRate]]-Games[[#This Row],[OppPreGmRate]])))*IF(Games[[#This Row],[OT]]=1,0.9,1)</f>
        <v>0.2666000172335613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74.650000000000006</v>
      </c>
      <c r="Z123" s="4">
        <f>Games[[#This Row],[K]]*Games[[#This Row],[POMult]]</f>
        <v>74.650000000000006</v>
      </c>
      <c r="AA123" s="4">
        <f>(Games[[#This Row],[Keff]]*Games[[#This Row],[MOVMult]])*(Games[[#This Row],[Result]]-Games[[#This Row],[ExpectedWin%]])</f>
        <v>10.58444764147383</v>
      </c>
      <c r="AB123" s="4">
        <f>Games[[#This Row],[PreGmRate]]+Games[[#This Row],[RatingChange]]</f>
        <v>1437.2180914355501</v>
      </c>
      <c r="AC123" s="2">
        <f>IF(Games[[#This Row],[Type]]="R",IF(Games[[#This Row],[Result]]&gt;0.5,1,0),0)</f>
        <v>1</v>
      </c>
      <c r="AD123" s="2">
        <f>IF(Games[[#This Row],[Type]]="R",IF(Games[[#This Row],[Result]]&lt;0.5,1,0),0)</f>
        <v>0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42188</v>
      </c>
      <c r="B124" s="2">
        <v>2015</v>
      </c>
      <c r="C124" s="2">
        <f>COUNTIFS(Games[Team],Games[[#This Row],[Team]],Games[Season],Games[[#This Row],[Season]],Games[Date],"&lt;=" &amp; Games[[#This Row],[Date]])</f>
        <v>11</v>
      </c>
      <c r="D124" s="2" t="s">
        <v>83</v>
      </c>
      <c r="E124" s="2" t="s">
        <v>84</v>
      </c>
      <c r="F124" s="1" t="s">
        <v>71</v>
      </c>
      <c r="G124" s="1" t="s">
        <v>67</v>
      </c>
      <c r="H124" s="1" t="s">
        <v>85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24" s="2">
        <f>Games[[#This Row],[DaysOff]]-Games[[#This Row],[OppDaysOff]]</f>
        <v>-3</v>
      </c>
      <c r="L124" s="2">
        <f>Games[[#This Row],[OppDaysOff]]-Games[[#This Row],[DaysOff]]</f>
        <v>3</v>
      </c>
      <c r="M124" s="1">
        <f>MAX(-16, MIN(16, Games[[#This Row],[RestDiff]]*8))</f>
        <v>-16</v>
      </c>
      <c r="N124" s="1">
        <f>MAX(-16, MIN(16, Games[[#This Row],[OppRestDiff]]*8))</f>
        <v>16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1423.0094615195605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1618.4433130747825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0.14273499567878778</v>
      </c>
      <c r="R124" s="1">
        <v>57</v>
      </c>
      <c r="S124" s="1">
        <v>82</v>
      </c>
      <c r="T124" s="1">
        <v>0</v>
      </c>
      <c r="U124" s="1">
        <f>Games[[#This Row],[PointsFor]]-Games[[#This Row],[PointsAgainst]]</f>
        <v>-25</v>
      </c>
      <c r="V124" s="1">
        <f>IF(Games[[#This Row],[MOV]]&gt;0,1,IF(Games[[#This Row],[MOV]]=0,0.5,0))</f>
        <v>0</v>
      </c>
      <c r="W124" s="4">
        <f>((ABS(Games[[#This Row],[MOV]])+5)^0.6)/(12+0.01*(ABS(Games[[#This Row],[PreGmRate]]-Games[[#This Row],[OppPreGmRate]])))*IF(Games[[#This Row],[OT]]=1,0.9,1)</f>
        <v>0.55152283514898781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74.349999999999994</v>
      </c>
      <c r="Z124" s="4">
        <f>Games[[#This Row],[K]]*Games[[#This Row],[POMult]]</f>
        <v>74.349999999999994</v>
      </c>
      <c r="AA124" s="4">
        <f>(Games[[#This Row],[Keff]]*Games[[#This Row],[MOVMult]])*(Games[[#This Row],[Result]]-Games[[#This Row],[ExpectedWin%]])</f>
        <v>-5.8529516657111325</v>
      </c>
      <c r="AB124" s="4">
        <f>Games[[#This Row],[PreGmRate]]+Games[[#This Row],[RatingChange]]</f>
        <v>1417.1565098538495</v>
      </c>
      <c r="AC124" s="2">
        <f>IF(Games[[#This Row],[Type]]="R",IF(Games[[#This Row],[Result]]&gt;0.5,1,0),0)</f>
        <v>0</v>
      </c>
      <c r="AD124" s="2">
        <f>IF(Games[[#This Row],[Type]]="R",IF(Games[[#This Row],[Result]]&lt;0.5,1,0),0)</f>
        <v>1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42188</v>
      </c>
      <c r="B125" s="2">
        <v>2015</v>
      </c>
      <c r="C125" s="2">
        <f>COUNTIFS(Games[Team],Games[[#This Row],[Team]],Games[Season],Games[[#This Row],[Season]],Games[Date],"&lt;=" &amp; Games[[#This Row],[Date]])</f>
        <v>10</v>
      </c>
      <c r="D125" s="2" t="s">
        <v>83</v>
      </c>
      <c r="E125" s="2" t="s">
        <v>84</v>
      </c>
      <c r="F125" s="1" t="s">
        <v>67</v>
      </c>
      <c r="G125" s="1" t="s">
        <v>71</v>
      </c>
      <c r="H125" s="1" t="s">
        <v>86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5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5" s="2">
        <f>Games[[#This Row],[DaysOff]]-Games[[#This Row],[OppDaysOff]]</f>
        <v>3</v>
      </c>
      <c r="L125" s="2">
        <f>Games[[#This Row],[OppDaysOff]]-Games[[#This Row],[DaysOff]]</f>
        <v>-3</v>
      </c>
      <c r="M125" s="1">
        <f>MAX(-16, MIN(16, Games[[#This Row],[RestDiff]]*8))</f>
        <v>16</v>
      </c>
      <c r="N125" s="1">
        <f>MAX(-16, MIN(16, Games[[#This Row],[OppRestDiff]]*8))</f>
        <v>-16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1618.4433130747825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1423.0094615195605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0.85726500432121222</v>
      </c>
      <c r="R125" s="1">
        <v>82</v>
      </c>
      <c r="S125" s="1">
        <v>57</v>
      </c>
      <c r="T125" s="1">
        <v>0</v>
      </c>
      <c r="U125" s="1">
        <f>Games[[#This Row],[PointsFor]]-Games[[#This Row],[PointsAgainst]]</f>
        <v>25</v>
      </c>
      <c r="V125" s="1">
        <f>IF(Games[[#This Row],[MOV]]&gt;0,1,IF(Games[[#This Row],[MOV]]=0,0.5,0))</f>
        <v>1</v>
      </c>
      <c r="W125" s="4">
        <f>((ABS(Games[[#This Row],[MOV]])+5)^0.6)/(12+0.01*(ABS(Games[[#This Row],[PreGmRate]]-Games[[#This Row],[OppPreGmRate]])))*IF(Games[[#This Row],[OT]]=1,0.9,1)</f>
        <v>0.55152283514898781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74.5</v>
      </c>
      <c r="Z125" s="4">
        <f>Games[[#This Row],[K]]*Games[[#This Row],[POMult]]</f>
        <v>74.5</v>
      </c>
      <c r="AA125" s="4">
        <f>(Games[[#This Row],[Keff]]*Games[[#This Row],[MOVMult]])*(Games[[#This Row],[Result]]-Games[[#This Row],[ExpectedWin%]])</f>
        <v>5.8647599071348955</v>
      </c>
      <c r="AB125" s="4">
        <f>Games[[#This Row],[PreGmRate]]+Games[[#This Row],[RatingChange]]</f>
        <v>1624.3080729819173</v>
      </c>
      <c r="AC125" s="2">
        <f>IF(Games[[#This Row],[Type]]="R",IF(Games[[#This Row],[Result]]&gt;0.5,1,0),0)</f>
        <v>1</v>
      </c>
      <c r="AD125" s="2">
        <f>IF(Games[[#This Row],[Type]]="R",IF(Games[[#This Row],[Result]]&lt;0.5,1,0),0)</f>
        <v>0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42190</v>
      </c>
      <c r="B126" s="2">
        <v>2015</v>
      </c>
      <c r="C126" s="2">
        <f>COUNTIFS(Games[Team],Games[[#This Row],[Team]],Games[Season],Games[[#This Row],[Season]],Games[Date],"&lt;=" &amp; Games[[#This Row],[Date]])</f>
        <v>12</v>
      </c>
      <c r="D126" s="2" t="s">
        <v>83</v>
      </c>
      <c r="E126" s="2" t="s">
        <v>84</v>
      </c>
      <c r="F126" s="1" t="s">
        <v>71</v>
      </c>
      <c r="G126" s="1" t="s">
        <v>79</v>
      </c>
      <c r="H126" s="1" t="s">
        <v>85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126" s="2">
        <f>Games[[#This Row],[DaysOff]]-Games[[#This Row],[OppDaysOff]]</f>
        <v>-7</v>
      </c>
      <c r="L126" s="2">
        <f>Games[[#This Row],[OppDaysOff]]-Games[[#This Row],[DaysOff]]</f>
        <v>7</v>
      </c>
      <c r="M126" s="1">
        <f>MAX(-16, MIN(16, Games[[#This Row],[RestDiff]]*8))</f>
        <v>-16</v>
      </c>
      <c r="N126" s="1">
        <f>MAX(-16, MIN(16, Games[[#This Row],[OppRestDiff]]*8))</f>
        <v>16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1417.1565098538495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1451.5417725949731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0.29615250594797682</v>
      </c>
      <c r="R126" s="1">
        <v>64</v>
      </c>
      <c r="S126" s="1">
        <v>72</v>
      </c>
      <c r="T126" s="1">
        <v>0</v>
      </c>
      <c r="U126" s="1">
        <f>Games[[#This Row],[PointsFor]]-Games[[#This Row],[PointsAgainst]]</f>
        <v>-8</v>
      </c>
      <c r="V126" s="1">
        <f>IF(Games[[#This Row],[MOV]]&gt;0,1,IF(Games[[#This Row],[MOV]]=0,0.5,0))</f>
        <v>0</v>
      </c>
      <c r="W126" s="4">
        <f>((ABS(Games[[#This Row],[MOV]])+5)^0.6)/(12+0.01*(ABS(Games[[#This Row],[PreGmRate]]-Games[[#This Row],[OppPreGmRate]])))*IF(Games[[#This Row],[OT]]=1,0.9,1)</f>
        <v>0.37749854609316741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74.2</v>
      </c>
      <c r="Z126" s="4">
        <f>Games[[#This Row],[K]]*Games[[#This Row],[POMult]]</f>
        <v>74.2</v>
      </c>
      <c r="AA126" s="4">
        <f>(Games[[#This Row],[Keff]]*Games[[#This Row],[MOVMult]])*(Games[[#This Row],[Result]]-Games[[#This Row],[ExpectedWin%]])</f>
        <v>-8.2953478189569338</v>
      </c>
      <c r="AB126" s="4">
        <f>Games[[#This Row],[PreGmRate]]+Games[[#This Row],[RatingChange]]</f>
        <v>1408.8611620348925</v>
      </c>
      <c r="AC126" s="2">
        <f>IF(Games[[#This Row],[Type]]="R",IF(Games[[#This Row],[Result]]&gt;0.5,1,0),0)</f>
        <v>0</v>
      </c>
      <c r="AD126" s="2">
        <f>IF(Games[[#This Row],[Type]]="R",IF(Games[[#This Row],[Result]]&lt;0.5,1,0),0)</f>
        <v>1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42190</v>
      </c>
      <c r="B127" s="2">
        <v>2015</v>
      </c>
      <c r="C127" s="2">
        <f>COUNTIFS(Games[Team],Games[[#This Row],[Team]],Games[Season],Games[[#This Row],[Season]],Games[Date],"&lt;=" &amp; Games[[#This Row],[Date]])</f>
        <v>11</v>
      </c>
      <c r="D127" s="2" t="s">
        <v>83</v>
      </c>
      <c r="E127" s="2" t="s">
        <v>84</v>
      </c>
      <c r="F127" s="1" t="s">
        <v>79</v>
      </c>
      <c r="G127" s="1" t="s">
        <v>71</v>
      </c>
      <c r="H127" s="1" t="s">
        <v>86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8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7" s="2">
        <f>Games[[#This Row],[DaysOff]]-Games[[#This Row],[OppDaysOff]]</f>
        <v>7</v>
      </c>
      <c r="L127" s="2">
        <f>Games[[#This Row],[OppDaysOff]]-Games[[#This Row],[DaysOff]]</f>
        <v>-7</v>
      </c>
      <c r="M127" s="1">
        <f>MAX(-16, MIN(16, Games[[#This Row],[RestDiff]]*8))</f>
        <v>16</v>
      </c>
      <c r="N127" s="1">
        <f>MAX(-16, MIN(16, Games[[#This Row],[OppRestDiff]]*8))</f>
        <v>-16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1451.5417725949731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1417.1565098538495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0.70384749405202318</v>
      </c>
      <c r="R127" s="1">
        <v>72</v>
      </c>
      <c r="S127" s="1">
        <v>64</v>
      </c>
      <c r="T127" s="1">
        <v>0</v>
      </c>
      <c r="U127" s="1">
        <f>Games[[#This Row],[PointsFor]]-Games[[#This Row],[PointsAgainst]]</f>
        <v>8</v>
      </c>
      <c r="V127" s="1">
        <f>IF(Games[[#This Row],[MOV]]&gt;0,1,IF(Games[[#This Row],[MOV]]=0,0.5,0))</f>
        <v>1</v>
      </c>
      <c r="W127" s="4">
        <f>((ABS(Games[[#This Row],[MOV]])+5)^0.6)/(12+0.01*(ABS(Games[[#This Row],[PreGmRate]]-Games[[#This Row],[OppPreGmRate]])))*IF(Games[[#This Row],[OT]]=1,0.9,1)</f>
        <v>0.37749854609316741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74.349999999999994</v>
      </c>
      <c r="Z127" s="4">
        <f>Games[[#This Row],[K]]*Games[[#This Row],[POMult]]</f>
        <v>74.349999999999994</v>
      </c>
      <c r="AA127" s="4">
        <f>(Games[[#This Row],[Keff]]*Games[[#This Row],[MOVMult]])*(Games[[#This Row],[Result]]-Games[[#This Row],[ExpectedWin%]])</f>
        <v>8.312117390019516</v>
      </c>
      <c r="AB127" s="4">
        <f>Games[[#This Row],[PreGmRate]]+Games[[#This Row],[RatingChange]]</f>
        <v>1459.8538899849925</v>
      </c>
      <c r="AC127" s="2">
        <f>IF(Games[[#This Row],[Type]]="R",IF(Games[[#This Row],[Result]]&gt;0.5,1,0),0)</f>
        <v>1</v>
      </c>
      <c r="AD127" s="2">
        <f>IF(Games[[#This Row],[Type]]="R",IF(Games[[#This Row],[Result]]&lt;0.5,1,0),0)</f>
        <v>0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42190</v>
      </c>
      <c r="B128" s="2">
        <v>2015</v>
      </c>
      <c r="C128" s="2">
        <f>COUNTIFS(Games[Team],Games[[#This Row],[Team]],Games[Season],Games[[#This Row],[Season]],Games[Date],"&lt;=" &amp; Games[[#This Row],[Date]])</f>
        <v>11</v>
      </c>
      <c r="D128" s="2" t="s">
        <v>83</v>
      </c>
      <c r="E128" s="2" t="s">
        <v>84</v>
      </c>
      <c r="F128" s="1" t="s">
        <v>40</v>
      </c>
      <c r="G128" s="1" t="s">
        <v>63</v>
      </c>
      <c r="H128" s="1" t="s">
        <v>85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8" s="2">
        <f>Games[[#This Row],[DaysOff]]-Games[[#This Row],[OppDaysOff]]</f>
        <v>1</v>
      </c>
      <c r="L128" s="2">
        <f>Games[[#This Row],[OppDaysOff]]-Games[[#This Row],[DaysOff]]</f>
        <v>-1</v>
      </c>
      <c r="M128" s="1">
        <f>MAX(-16, MIN(16, Games[[#This Row],[RestDiff]]*8))</f>
        <v>8</v>
      </c>
      <c r="N128" s="1">
        <f>MAX(-16, MIN(16, Games[[#This Row],[OppRestDiff]]*8))</f>
        <v>-8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1605.3126708155639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1437.2180914355501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0.64019041991707493</v>
      </c>
      <c r="R128" s="1">
        <v>94</v>
      </c>
      <c r="S128" s="1">
        <v>91</v>
      </c>
      <c r="T128" s="1">
        <v>1</v>
      </c>
      <c r="U128" s="1">
        <f>Games[[#This Row],[PointsFor]]-Games[[#This Row],[PointsAgainst]]</f>
        <v>3</v>
      </c>
      <c r="V128" s="1">
        <f>IF(Games[[#This Row],[MOV]]&gt;0,1,IF(Games[[#This Row],[MOV]]=0,0.5,0))</f>
        <v>1</v>
      </c>
      <c r="W128" s="4">
        <f>((ABS(Games[[#This Row],[MOV]])+5)^0.6)/(12+0.01*(ABS(Games[[#This Row],[PreGmRate]]-Games[[#This Row],[OppPreGmRate]])))*IF(Games[[#This Row],[OT]]=1,0.9,1)</f>
        <v>0.2290764158488435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74.349999999999994</v>
      </c>
      <c r="Z128" s="4">
        <f>Games[[#This Row],[K]]*Games[[#This Row],[POMult]]</f>
        <v>74.349999999999994</v>
      </c>
      <c r="AA128" s="4">
        <f>(Games[[#This Row],[Keff]]*Games[[#This Row],[MOVMult]])*(Games[[#This Row],[Result]]-Games[[#This Row],[ExpectedWin%]])</f>
        <v>6.1282161466647844</v>
      </c>
      <c r="AB128" s="4">
        <f>Games[[#This Row],[PreGmRate]]+Games[[#This Row],[RatingChange]]</f>
        <v>1611.4408869622287</v>
      </c>
      <c r="AC128" s="2">
        <f>IF(Games[[#This Row],[Type]]="R",IF(Games[[#This Row],[Result]]&gt;0.5,1,0),0)</f>
        <v>1</v>
      </c>
      <c r="AD128" s="2">
        <f>IF(Games[[#This Row],[Type]]="R",IF(Games[[#This Row],[Result]]&lt;0.5,1,0),0)</f>
        <v>0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42190</v>
      </c>
      <c r="B129" s="2">
        <v>2015</v>
      </c>
      <c r="C129" s="2">
        <f>COUNTIFS(Games[Team],Games[[#This Row],[Team]],Games[Season],Games[[#This Row],[Season]],Games[Date],"&lt;=" &amp; Games[[#This Row],[Date]])</f>
        <v>10</v>
      </c>
      <c r="D129" s="2" t="s">
        <v>83</v>
      </c>
      <c r="E129" s="2" t="s">
        <v>84</v>
      </c>
      <c r="F129" s="1" t="s">
        <v>63</v>
      </c>
      <c r="G129" s="1" t="s">
        <v>40</v>
      </c>
      <c r="H129" s="1" t="s">
        <v>86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9" s="2">
        <f>Games[[#This Row],[DaysOff]]-Games[[#This Row],[OppDaysOff]]</f>
        <v>-1</v>
      </c>
      <c r="L129" s="2">
        <f>Games[[#This Row],[OppDaysOff]]-Games[[#This Row],[DaysOff]]</f>
        <v>1</v>
      </c>
      <c r="M129" s="1">
        <f>MAX(-16, MIN(16, Games[[#This Row],[RestDiff]]*8))</f>
        <v>-8</v>
      </c>
      <c r="N129" s="1">
        <f>MAX(-16, MIN(16, Games[[#This Row],[OppRestDiff]]*8))</f>
        <v>8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1437.2180914355501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1605.3126708155639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0.35980958008292507</v>
      </c>
      <c r="R129" s="1">
        <v>91</v>
      </c>
      <c r="S129" s="1">
        <v>94</v>
      </c>
      <c r="T129" s="1">
        <v>1</v>
      </c>
      <c r="U129" s="1">
        <f>Games[[#This Row],[PointsFor]]-Games[[#This Row],[PointsAgainst]]</f>
        <v>-3</v>
      </c>
      <c r="V129" s="1">
        <f>IF(Games[[#This Row],[MOV]]&gt;0,1,IF(Games[[#This Row],[MOV]]=0,0.5,0))</f>
        <v>0</v>
      </c>
      <c r="W129" s="4">
        <f>((ABS(Games[[#This Row],[MOV]])+5)^0.6)/(12+0.01*(ABS(Games[[#This Row],[PreGmRate]]-Games[[#This Row],[OppPreGmRate]])))*IF(Games[[#This Row],[OT]]=1,0.9,1)</f>
        <v>0.2290764158488435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74.5</v>
      </c>
      <c r="Z129" s="4">
        <f>Games[[#This Row],[K]]*Games[[#This Row],[POMult]]</f>
        <v>74.5</v>
      </c>
      <c r="AA129" s="4">
        <f>(Games[[#This Row],[Keff]]*Games[[#This Row],[MOVMult]])*(Games[[#This Row],[Result]]-Games[[#This Row],[ExpectedWin%]])</f>
        <v>-6.1405797300138056</v>
      </c>
      <c r="AB129" s="4">
        <f>Games[[#This Row],[PreGmRate]]+Games[[#This Row],[RatingChange]]</f>
        <v>1431.0775117055364</v>
      </c>
      <c r="AC129" s="2">
        <f>IF(Games[[#This Row],[Type]]="R",IF(Games[[#This Row],[Result]]&gt;0.5,1,0),0)</f>
        <v>0</v>
      </c>
      <c r="AD129" s="2">
        <f>IF(Games[[#This Row],[Type]]="R",IF(Games[[#This Row],[Result]]&lt;0.5,1,0),0)</f>
        <v>1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42192</v>
      </c>
      <c r="B130" s="2">
        <v>2015</v>
      </c>
      <c r="C130" s="2">
        <f>COUNTIFS(Games[Team],Games[[#This Row],[Team]],Games[Season],Games[[#This Row],[Season]],Games[Date],"&lt;=" &amp; Games[[#This Row],[Date]])</f>
        <v>13</v>
      </c>
      <c r="D130" s="2" t="s">
        <v>83</v>
      </c>
      <c r="E130" s="2" t="s">
        <v>84</v>
      </c>
      <c r="F130" s="1" t="s">
        <v>81</v>
      </c>
      <c r="G130" s="1" t="s">
        <v>79</v>
      </c>
      <c r="H130" s="1" t="s">
        <v>85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0" s="2">
        <f>Games[[#This Row],[DaysOff]]-Games[[#This Row],[OppDaysOff]]</f>
        <v>2</v>
      </c>
      <c r="L130" s="2">
        <f>Games[[#This Row],[OppDaysOff]]-Games[[#This Row],[DaysOff]]</f>
        <v>-2</v>
      </c>
      <c r="M130" s="1">
        <f>MAX(-16, MIN(16, Games[[#This Row],[RestDiff]]*8))</f>
        <v>16</v>
      </c>
      <c r="N130" s="1">
        <f>MAX(-16, MIN(16, Games[[#This Row],[OppRestDiff]]*8))</f>
        <v>-16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1522.2652992001333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1459.8538899849925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0.5149787389783379</v>
      </c>
      <c r="R130" s="1">
        <v>85</v>
      </c>
      <c r="S130" s="1">
        <v>75</v>
      </c>
      <c r="T130" s="1">
        <v>0</v>
      </c>
      <c r="U130" s="1">
        <f>Games[[#This Row],[PointsFor]]-Games[[#This Row],[PointsAgainst]]</f>
        <v>10</v>
      </c>
      <c r="V130" s="1">
        <f>IF(Games[[#This Row],[MOV]]&gt;0,1,IF(Games[[#This Row],[MOV]]=0,0.5,0))</f>
        <v>1</v>
      </c>
      <c r="W130" s="4">
        <f>((ABS(Games[[#This Row],[MOV]])+5)^0.6)/(12+0.01*(ABS(Games[[#This Row],[PreGmRate]]-Games[[#This Row],[OppPreGmRate]])))*IF(Games[[#This Row],[OT]]=1,0.9,1)</f>
        <v>0.40221090802278131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74.05</v>
      </c>
      <c r="Z130" s="4">
        <f>Games[[#This Row],[K]]*Games[[#This Row],[POMult]]</f>
        <v>74.05</v>
      </c>
      <c r="AA130" s="4">
        <f>(Games[[#This Row],[Keff]]*Games[[#This Row],[MOVMult]])*(Games[[#This Row],[Result]]-Games[[#This Row],[ExpectedWin%]])</f>
        <v>14.445736335725202</v>
      </c>
      <c r="AB130" s="4">
        <f>Games[[#This Row],[PreGmRate]]+Games[[#This Row],[RatingChange]]</f>
        <v>1536.7110355358586</v>
      </c>
      <c r="AC130" s="2">
        <f>IF(Games[[#This Row],[Type]]="R",IF(Games[[#This Row],[Result]]&gt;0.5,1,0),0)</f>
        <v>1</v>
      </c>
      <c r="AD130" s="2">
        <f>IF(Games[[#This Row],[Type]]="R",IF(Games[[#This Row],[Result]]&lt;0.5,1,0),0)</f>
        <v>0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42192</v>
      </c>
      <c r="B131" s="2">
        <v>2015</v>
      </c>
      <c r="C131" s="2">
        <f>COUNTIFS(Games[Team],Games[[#This Row],[Team]],Games[Season],Games[[#This Row],[Season]],Games[Date],"&lt;=" &amp; Games[[#This Row],[Date]])</f>
        <v>12</v>
      </c>
      <c r="D131" s="2" t="s">
        <v>83</v>
      </c>
      <c r="E131" s="2" t="s">
        <v>84</v>
      </c>
      <c r="F131" s="1" t="s">
        <v>79</v>
      </c>
      <c r="G131" s="1" t="s">
        <v>81</v>
      </c>
      <c r="H131" s="1" t="s">
        <v>86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1" s="2">
        <f>Games[[#This Row],[DaysOff]]-Games[[#This Row],[OppDaysOff]]</f>
        <v>-2</v>
      </c>
      <c r="L131" s="2">
        <f>Games[[#This Row],[OppDaysOff]]-Games[[#This Row],[DaysOff]]</f>
        <v>2</v>
      </c>
      <c r="M131" s="1">
        <f>MAX(-16, MIN(16, Games[[#This Row],[RestDiff]]*8))</f>
        <v>-16</v>
      </c>
      <c r="N131" s="1">
        <f>MAX(-16, MIN(16, Games[[#This Row],[OppRestDiff]]*8))</f>
        <v>16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1459.8538899849925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1522.2652992001333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0.48502126102166215</v>
      </c>
      <c r="R131" s="1">
        <v>75</v>
      </c>
      <c r="S131" s="1">
        <v>85</v>
      </c>
      <c r="T131" s="1">
        <v>0</v>
      </c>
      <c r="U131" s="1">
        <f>Games[[#This Row],[PointsFor]]-Games[[#This Row],[PointsAgainst]]</f>
        <v>-10</v>
      </c>
      <c r="V131" s="1">
        <f>IF(Games[[#This Row],[MOV]]&gt;0,1,IF(Games[[#This Row],[MOV]]=0,0.5,0))</f>
        <v>0</v>
      </c>
      <c r="W131" s="4">
        <f>((ABS(Games[[#This Row],[MOV]])+5)^0.6)/(12+0.01*(ABS(Games[[#This Row],[PreGmRate]]-Games[[#This Row],[OppPreGmRate]])))*IF(Games[[#This Row],[OT]]=1,0.9,1)</f>
        <v>0.40221090802278131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74.2</v>
      </c>
      <c r="Z131" s="4">
        <f>Games[[#This Row],[K]]*Games[[#This Row],[POMult]]</f>
        <v>74.2</v>
      </c>
      <c r="AA131" s="4">
        <f>(Games[[#This Row],[Keff]]*Games[[#This Row],[MOVMult]])*(Games[[#This Row],[Result]]-Games[[#This Row],[ExpectedWin%]])</f>
        <v>-14.474998461996087</v>
      </c>
      <c r="AB131" s="4">
        <f>Games[[#This Row],[PreGmRate]]+Games[[#This Row],[RatingChange]]</f>
        <v>1445.3788915229964</v>
      </c>
      <c r="AC131" s="2">
        <f>IF(Games[[#This Row],[Type]]="R",IF(Games[[#This Row],[Result]]&gt;0.5,1,0),0)</f>
        <v>0</v>
      </c>
      <c r="AD131" s="2">
        <f>IF(Games[[#This Row],[Type]]="R",IF(Games[[#This Row],[Result]]&lt;0.5,1,0),0)</f>
        <v>1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42193</v>
      </c>
      <c r="B132" s="2">
        <v>2015</v>
      </c>
      <c r="C132" s="2">
        <f>COUNTIFS(Games[Team],Games[[#This Row],[Team]],Games[Season],Games[[#This Row],[Season]],Games[Date],"&lt;=" &amp; Games[[#This Row],[Date]])</f>
        <v>13</v>
      </c>
      <c r="D132" s="2" t="s">
        <v>83</v>
      </c>
      <c r="E132" s="2" t="s">
        <v>84</v>
      </c>
      <c r="F132" s="1" t="s">
        <v>71</v>
      </c>
      <c r="G132" s="1" t="s">
        <v>69</v>
      </c>
      <c r="H132" s="1" t="s">
        <v>85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32" s="2">
        <f>Games[[#This Row],[DaysOff]]-Games[[#This Row],[OppDaysOff]]</f>
        <v>-3</v>
      </c>
      <c r="L132" s="2">
        <f>Games[[#This Row],[OppDaysOff]]-Games[[#This Row],[DaysOff]]</f>
        <v>3</v>
      </c>
      <c r="M132" s="1">
        <f>MAX(-16, MIN(16, Games[[#This Row],[RestDiff]]*8))</f>
        <v>-16</v>
      </c>
      <c r="N132" s="1">
        <f>MAX(-16, MIN(16, Games[[#This Row],[OppRestDiff]]*8))</f>
        <v>16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1408.8611620348925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1491.3383738860632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0.241856762825472</v>
      </c>
      <c r="R132" s="1">
        <v>65</v>
      </c>
      <c r="S132" s="1">
        <v>88</v>
      </c>
      <c r="T132" s="1">
        <v>0</v>
      </c>
      <c r="U132" s="1">
        <f>Games[[#This Row],[PointsFor]]-Games[[#This Row],[PointsAgainst]]</f>
        <v>-23</v>
      </c>
      <c r="V132" s="1">
        <f>IF(Games[[#This Row],[MOV]]&gt;0,1,IF(Games[[#This Row],[MOV]]=0,0.5,0))</f>
        <v>0</v>
      </c>
      <c r="W132" s="4">
        <f>((ABS(Games[[#This Row],[MOV]])+5)^0.6)/(12+0.01*(ABS(Games[[#This Row],[PreGmRate]]-Games[[#This Row],[OppPreGmRate]])))*IF(Games[[#This Row],[OT]]=1,0.9,1)</f>
        <v>0.57576486837413898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74.05</v>
      </c>
      <c r="Z132" s="4">
        <f>Games[[#This Row],[K]]*Games[[#This Row],[POMult]]</f>
        <v>74.05</v>
      </c>
      <c r="AA132" s="4">
        <f>(Games[[#This Row],[Keff]]*Games[[#This Row],[MOVMult]])*(Games[[#This Row],[Result]]-Games[[#This Row],[ExpectedWin%]])</f>
        <v>-10.311657045167319</v>
      </c>
      <c r="AB132" s="4">
        <f>Games[[#This Row],[PreGmRate]]+Games[[#This Row],[RatingChange]]</f>
        <v>1398.5495049897252</v>
      </c>
      <c r="AC132" s="2">
        <f>IF(Games[[#This Row],[Type]]="R",IF(Games[[#This Row],[Result]]&gt;0.5,1,0),0)</f>
        <v>0</v>
      </c>
      <c r="AD132" s="2">
        <f>IF(Games[[#This Row],[Type]]="R",IF(Games[[#This Row],[Result]]&lt;0.5,1,0),0)</f>
        <v>1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42193</v>
      </c>
      <c r="B133" s="2">
        <v>2015</v>
      </c>
      <c r="C133" s="2">
        <f>COUNTIFS(Games[Team],Games[[#This Row],[Team]],Games[Season],Games[[#This Row],[Season]],Games[Date],"&lt;=" &amp; Games[[#This Row],[Date]])</f>
        <v>12</v>
      </c>
      <c r="D133" s="2" t="s">
        <v>83</v>
      </c>
      <c r="E133" s="2" t="s">
        <v>84</v>
      </c>
      <c r="F133" s="1" t="s">
        <v>69</v>
      </c>
      <c r="G133" s="1" t="s">
        <v>71</v>
      </c>
      <c r="H133" s="1" t="s">
        <v>86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5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3" s="2">
        <f>Games[[#This Row],[DaysOff]]-Games[[#This Row],[OppDaysOff]]</f>
        <v>3</v>
      </c>
      <c r="L133" s="2">
        <f>Games[[#This Row],[OppDaysOff]]-Games[[#This Row],[DaysOff]]</f>
        <v>-3</v>
      </c>
      <c r="M133" s="1">
        <f>MAX(-16, MIN(16, Games[[#This Row],[RestDiff]]*8))</f>
        <v>16</v>
      </c>
      <c r="N133" s="1">
        <f>MAX(-16, MIN(16, Games[[#This Row],[OppRestDiff]]*8))</f>
        <v>-16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1491.3383738860632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1408.8611620348925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0.75814323717452803</v>
      </c>
      <c r="R133" s="1">
        <v>88</v>
      </c>
      <c r="S133" s="1">
        <v>65</v>
      </c>
      <c r="T133" s="1">
        <v>0</v>
      </c>
      <c r="U133" s="1">
        <f>Games[[#This Row],[PointsFor]]-Games[[#This Row],[PointsAgainst]]</f>
        <v>23</v>
      </c>
      <c r="V133" s="1">
        <f>IF(Games[[#This Row],[MOV]]&gt;0,1,IF(Games[[#This Row],[MOV]]=0,0.5,0))</f>
        <v>1</v>
      </c>
      <c r="W133" s="4">
        <f>((ABS(Games[[#This Row],[MOV]])+5)^0.6)/(12+0.01*(ABS(Games[[#This Row],[PreGmRate]]-Games[[#This Row],[OppPreGmRate]])))*IF(Games[[#This Row],[OT]]=1,0.9,1)</f>
        <v>0.57576486837413898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74.2</v>
      </c>
      <c r="Z133" s="4">
        <f>Games[[#This Row],[K]]*Games[[#This Row],[POMult]]</f>
        <v>74.2</v>
      </c>
      <c r="AA133" s="4">
        <f>(Games[[#This Row],[Keff]]*Games[[#This Row],[MOVMult]])*(Games[[#This Row],[Result]]-Games[[#This Row],[ExpectedWin%]])</f>
        <v>10.33254493924936</v>
      </c>
      <c r="AB133" s="4">
        <f>Games[[#This Row],[PreGmRate]]+Games[[#This Row],[RatingChange]]</f>
        <v>1501.6709188253126</v>
      </c>
      <c r="AC133" s="2">
        <f>IF(Games[[#This Row],[Type]]="R",IF(Games[[#This Row],[Result]]&gt;0.5,1,0),0)</f>
        <v>1</v>
      </c>
      <c r="AD133" s="2">
        <f>IF(Games[[#This Row],[Type]]="R",IF(Games[[#This Row],[Result]]&lt;0.5,1,0),0)</f>
        <v>0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42193</v>
      </c>
      <c r="B134" s="2">
        <v>2015</v>
      </c>
      <c r="C134" s="2">
        <f>COUNTIFS(Games[Team],Games[[#This Row],[Team]],Games[Season],Games[[#This Row],[Season]],Games[Date],"&lt;=" &amp; Games[[#This Row],[Date]])</f>
        <v>11</v>
      </c>
      <c r="D134" s="2" t="s">
        <v>83</v>
      </c>
      <c r="E134" s="2" t="s">
        <v>84</v>
      </c>
      <c r="F134" s="1" t="s">
        <v>63</v>
      </c>
      <c r="G134" s="1" t="s">
        <v>74</v>
      </c>
      <c r="H134" s="1" t="s">
        <v>85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34" s="2">
        <f>Games[[#This Row],[DaysOff]]-Games[[#This Row],[OppDaysOff]]</f>
        <v>-3</v>
      </c>
      <c r="L134" s="2">
        <f>Games[[#This Row],[OppDaysOff]]-Games[[#This Row],[DaysOff]]</f>
        <v>3</v>
      </c>
      <c r="M134" s="1">
        <f>MAX(-16, MIN(16, Games[[#This Row],[RestDiff]]*8))</f>
        <v>-16</v>
      </c>
      <c r="N134" s="1">
        <f>MAX(-16, MIN(16, Games[[#This Row],[OppRestDiff]]*8))</f>
        <v>16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1431.0775117055364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1414.9091232700966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0.36015834458889739</v>
      </c>
      <c r="R134" s="1">
        <v>63</v>
      </c>
      <c r="S134" s="1">
        <v>70</v>
      </c>
      <c r="T134" s="1">
        <v>0</v>
      </c>
      <c r="U134" s="1">
        <f>Games[[#This Row],[PointsFor]]-Games[[#This Row],[PointsAgainst]]</f>
        <v>-7</v>
      </c>
      <c r="V134" s="1">
        <f>IF(Games[[#This Row],[MOV]]&gt;0,1,IF(Games[[#This Row],[MOV]]=0,0.5,0))</f>
        <v>0</v>
      </c>
      <c r="W134" s="4">
        <f>((ABS(Games[[#This Row],[MOV]])+5)^0.6)/(12+0.01*(ABS(Games[[#This Row],[PreGmRate]]-Games[[#This Row],[OppPreGmRate]])))*IF(Games[[#This Row],[OT]]=1,0.9,1)</f>
        <v>0.3651867711805441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74.349999999999994</v>
      </c>
      <c r="Z134" s="4">
        <f>Games[[#This Row],[K]]*Games[[#This Row],[POMult]]</f>
        <v>74.349999999999994</v>
      </c>
      <c r="AA134" s="4">
        <f>(Games[[#This Row],[Keff]]*Games[[#This Row],[MOVMult]])*(Games[[#This Row],[Result]]-Games[[#This Row],[ExpectedWin%]])</f>
        <v>-9.7788884321279941</v>
      </c>
      <c r="AB134" s="4">
        <f>Games[[#This Row],[PreGmRate]]+Games[[#This Row],[RatingChange]]</f>
        <v>1421.2986232734083</v>
      </c>
      <c r="AC134" s="2">
        <f>IF(Games[[#This Row],[Type]]="R",IF(Games[[#This Row],[Result]]&gt;0.5,1,0),0)</f>
        <v>0</v>
      </c>
      <c r="AD134" s="2">
        <f>IF(Games[[#This Row],[Type]]="R",IF(Games[[#This Row],[Result]]&lt;0.5,1,0),0)</f>
        <v>1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42193</v>
      </c>
      <c r="B135" s="2">
        <v>2015</v>
      </c>
      <c r="C135" s="2">
        <f>COUNTIFS(Games[Team],Games[[#This Row],[Team]],Games[Season],Games[[#This Row],[Season]],Games[Date],"&lt;=" &amp; Games[[#This Row],[Date]])</f>
        <v>11</v>
      </c>
      <c r="D135" s="2" t="s">
        <v>83</v>
      </c>
      <c r="E135" s="2" t="s">
        <v>84</v>
      </c>
      <c r="F135" s="1" t="s">
        <v>74</v>
      </c>
      <c r="G135" s="1" t="s">
        <v>63</v>
      </c>
      <c r="H135" s="1" t="s">
        <v>86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5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5" s="2">
        <f>Games[[#This Row],[DaysOff]]-Games[[#This Row],[OppDaysOff]]</f>
        <v>3</v>
      </c>
      <c r="L135" s="2">
        <f>Games[[#This Row],[OppDaysOff]]-Games[[#This Row],[DaysOff]]</f>
        <v>-3</v>
      </c>
      <c r="M135" s="1">
        <f>MAX(-16, MIN(16, Games[[#This Row],[RestDiff]]*8))</f>
        <v>16</v>
      </c>
      <c r="N135" s="1">
        <f>MAX(-16, MIN(16, Games[[#This Row],[OppRestDiff]]*8))</f>
        <v>-16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1414.9091232700966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1431.0775117055364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0.63984165541110261</v>
      </c>
      <c r="R135" s="1">
        <v>70</v>
      </c>
      <c r="S135" s="1">
        <v>63</v>
      </c>
      <c r="T135" s="1">
        <v>0</v>
      </c>
      <c r="U135" s="1">
        <f>Games[[#This Row],[PointsFor]]-Games[[#This Row],[PointsAgainst]]</f>
        <v>7</v>
      </c>
      <c r="V135" s="1">
        <f>IF(Games[[#This Row],[MOV]]&gt;0,1,IF(Games[[#This Row],[MOV]]=0,0.5,0))</f>
        <v>1</v>
      </c>
      <c r="W135" s="4">
        <f>((ABS(Games[[#This Row],[MOV]])+5)^0.6)/(12+0.01*(ABS(Games[[#This Row],[PreGmRate]]-Games[[#This Row],[OppPreGmRate]])))*IF(Games[[#This Row],[OT]]=1,0.9,1)</f>
        <v>0.3651867711805441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74.349999999999994</v>
      </c>
      <c r="Z135" s="4">
        <f>Games[[#This Row],[K]]*Games[[#This Row],[POMult]]</f>
        <v>74.349999999999994</v>
      </c>
      <c r="AA135" s="4">
        <f>(Games[[#This Row],[Keff]]*Games[[#This Row],[MOVMult]])*(Games[[#This Row],[Result]]-Games[[#This Row],[ExpectedWin%]])</f>
        <v>9.7788884321279941</v>
      </c>
      <c r="AB135" s="4">
        <f>Games[[#This Row],[PreGmRate]]+Games[[#This Row],[RatingChange]]</f>
        <v>1424.6880117022247</v>
      </c>
      <c r="AC135" s="2">
        <f>IF(Games[[#This Row],[Type]]="R",IF(Games[[#This Row],[Result]]&gt;0.5,1,0),0)</f>
        <v>1</v>
      </c>
      <c r="AD135" s="2">
        <f>IF(Games[[#This Row],[Type]]="R",IF(Games[[#This Row],[Result]]&lt;0.5,1,0),0)</f>
        <v>0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42194</v>
      </c>
      <c r="B136" s="2">
        <v>2015</v>
      </c>
      <c r="C136" s="2">
        <f>COUNTIFS(Games[Team],Games[[#This Row],[Team]],Games[Season],Games[[#This Row],[Season]],Games[Date],"&lt;=" &amp; Games[[#This Row],[Date]])</f>
        <v>11</v>
      </c>
      <c r="D136" s="2" t="s">
        <v>83</v>
      </c>
      <c r="E136" s="2" t="s">
        <v>84</v>
      </c>
      <c r="F136" s="1" t="s">
        <v>60</v>
      </c>
      <c r="G136" s="1" t="s">
        <v>65</v>
      </c>
      <c r="H136" s="1" t="s">
        <v>85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8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36" s="2">
        <f>Games[[#This Row],[DaysOff]]-Games[[#This Row],[OppDaysOff]]</f>
        <v>2</v>
      </c>
      <c r="L136" s="2">
        <f>Games[[#This Row],[OppDaysOff]]-Games[[#This Row],[DaysOff]]</f>
        <v>-2</v>
      </c>
      <c r="M136" s="1">
        <f>MAX(-16, MIN(16, Games[[#This Row],[RestDiff]]*8))</f>
        <v>16</v>
      </c>
      <c r="N136" s="1">
        <f>MAX(-16, MIN(16, Games[[#This Row],[OppRestDiff]]*8))</f>
        <v>-16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1491.0369099011818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1507.7318442683234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0.40240846122054602</v>
      </c>
      <c r="R136" s="1">
        <v>79</v>
      </c>
      <c r="S136" s="1">
        <v>76</v>
      </c>
      <c r="T136" s="1">
        <v>1</v>
      </c>
      <c r="U136" s="1">
        <f>Games[[#This Row],[PointsFor]]-Games[[#This Row],[PointsAgainst]]</f>
        <v>3</v>
      </c>
      <c r="V136" s="1">
        <f>IF(Games[[#This Row],[MOV]]&gt;0,1,IF(Games[[#This Row],[MOV]]=0,0.5,0))</f>
        <v>1</v>
      </c>
      <c r="W136" s="4">
        <f>((ABS(Games[[#This Row],[MOV]])+5)^0.6)/(12+0.01*(ABS(Games[[#This Row],[PreGmRate]]-Games[[#This Row],[OppPreGmRate]])))*IF(Games[[#This Row],[OT]]=1,0.9,1)</f>
        <v>0.25758157935425069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74.349999999999994</v>
      </c>
      <c r="Z136" s="4">
        <f>Games[[#This Row],[K]]*Games[[#This Row],[POMult]]</f>
        <v>74.349999999999994</v>
      </c>
      <c r="AA136" s="4">
        <f>(Games[[#This Row],[Keff]]*Games[[#This Row],[MOVMult]])*(Games[[#This Row],[Result]]-Games[[#This Row],[ExpectedWin%]])</f>
        <v>11.444589355527246</v>
      </c>
      <c r="AB136" s="4">
        <f>Games[[#This Row],[PreGmRate]]+Games[[#This Row],[RatingChange]]</f>
        <v>1502.4814992567092</v>
      </c>
      <c r="AC136" s="2">
        <f>IF(Games[[#This Row],[Type]]="R",IF(Games[[#This Row],[Result]]&gt;0.5,1,0),0)</f>
        <v>1</v>
      </c>
      <c r="AD136" s="2">
        <f>IF(Games[[#This Row],[Type]]="R",IF(Games[[#This Row],[Result]]&lt;0.5,1,0),0)</f>
        <v>0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42194</v>
      </c>
      <c r="B137" s="2">
        <v>2015</v>
      </c>
      <c r="C137" s="2">
        <f>COUNTIFS(Games[Team],Games[[#This Row],[Team]],Games[Season],Games[[#This Row],[Season]],Games[Date],"&lt;=" &amp; Games[[#This Row],[Date]])</f>
        <v>11</v>
      </c>
      <c r="D137" s="2" t="s">
        <v>83</v>
      </c>
      <c r="E137" s="2" t="s">
        <v>84</v>
      </c>
      <c r="F137" s="1" t="s">
        <v>65</v>
      </c>
      <c r="G137" s="1" t="s">
        <v>60</v>
      </c>
      <c r="H137" s="1" t="s">
        <v>86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6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137" s="2">
        <f>Games[[#This Row],[DaysOff]]-Games[[#This Row],[OppDaysOff]]</f>
        <v>-2</v>
      </c>
      <c r="L137" s="2">
        <f>Games[[#This Row],[OppDaysOff]]-Games[[#This Row],[DaysOff]]</f>
        <v>2</v>
      </c>
      <c r="M137" s="1">
        <f>MAX(-16, MIN(16, Games[[#This Row],[RestDiff]]*8))</f>
        <v>-16</v>
      </c>
      <c r="N137" s="1">
        <f>MAX(-16, MIN(16, Games[[#This Row],[OppRestDiff]]*8))</f>
        <v>16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1507.7318442683234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1491.0369099011818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0.59759153877945392</v>
      </c>
      <c r="R137" s="1">
        <v>76</v>
      </c>
      <c r="S137" s="1">
        <v>79</v>
      </c>
      <c r="T137" s="1">
        <v>1</v>
      </c>
      <c r="U137" s="1">
        <f>Games[[#This Row],[PointsFor]]-Games[[#This Row],[PointsAgainst]]</f>
        <v>-3</v>
      </c>
      <c r="V137" s="1">
        <f>IF(Games[[#This Row],[MOV]]&gt;0,1,IF(Games[[#This Row],[MOV]]=0,0.5,0))</f>
        <v>0</v>
      </c>
      <c r="W137" s="4">
        <f>((ABS(Games[[#This Row],[MOV]])+5)^0.6)/(12+0.01*(ABS(Games[[#This Row],[PreGmRate]]-Games[[#This Row],[OppPreGmRate]])))*IF(Games[[#This Row],[OT]]=1,0.9,1)</f>
        <v>0.25758157935425069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74.349999999999994</v>
      </c>
      <c r="Z137" s="4">
        <f>Games[[#This Row],[K]]*Games[[#This Row],[POMult]]</f>
        <v>74.349999999999994</v>
      </c>
      <c r="AA137" s="4">
        <f>(Games[[#This Row],[Keff]]*Games[[#This Row],[MOVMult]])*(Games[[#This Row],[Result]]-Games[[#This Row],[ExpectedWin%]])</f>
        <v>-11.444589355527246</v>
      </c>
      <c r="AB137" s="4">
        <f>Games[[#This Row],[PreGmRate]]+Games[[#This Row],[RatingChange]]</f>
        <v>1496.287254912796</v>
      </c>
      <c r="AC137" s="2">
        <f>IF(Games[[#This Row],[Type]]="R",IF(Games[[#This Row],[Result]]&gt;0.5,1,0),0)</f>
        <v>0</v>
      </c>
      <c r="AD137" s="2">
        <f>IF(Games[[#This Row],[Type]]="R",IF(Games[[#This Row],[Result]]&lt;0.5,1,0),0)</f>
        <v>1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42195</v>
      </c>
      <c r="B138" s="2">
        <v>2015</v>
      </c>
      <c r="C138" s="2">
        <f>COUNTIFS(Games[Team],Games[[#This Row],[Team]],Games[Season],Games[[#This Row],[Season]],Games[Date],"&lt;=" &amp; Games[[#This Row],[Date]])</f>
        <v>11</v>
      </c>
      <c r="D138" s="2" t="s">
        <v>83</v>
      </c>
      <c r="E138" s="2" t="s">
        <v>84</v>
      </c>
      <c r="F138" s="1" t="s">
        <v>67</v>
      </c>
      <c r="G138" s="1" t="s">
        <v>77</v>
      </c>
      <c r="H138" s="1" t="s">
        <v>85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6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138" s="2">
        <f>Games[[#This Row],[DaysOff]]-Games[[#This Row],[OppDaysOff]]</f>
        <v>-1</v>
      </c>
      <c r="L138" s="2">
        <f>Games[[#This Row],[OppDaysOff]]-Games[[#This Row],[DaysOff]]</f>
        <v>1</v>
      </c>
      <c r="M138" s="1">
        <f>MAX(-16, MIN(16, Games[[#This Row],[RestDiff]]*8))</f>
        <v>-8</v>
      </c>
      <c r="N138" s="1">
        <f>MAX(-16, MIN(16, Games[[#This Row],[OppRestDiff]]*8))</f>
        <v>8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1624.3080729819173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1516.9990671350674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0.51051695354178861</v>
      </c>
      <c r="R138" s="1">
        <v>83</v>
      </c>
      <c r="S138" s="1">
        <v>90</v>
      </c>
      <c r="T138" s="1">
        <v>0</v>
      </c>
      <c r="U138" s="1">
        <f>Games[[#This Row],[PointsFor]]-Games[[#This Row],[PointsAgainst]]</f>
        <v>-7</v>
      </c>
      <c r="V138" s="1">
        <f>IF(Games[[#This Row],[MOV]]&gt;0,1,IF(Games[[#This Row],[MOV]]=0,0.5,0))</f>
        <v>0</v>
      </c>
      <c r="W138" s="4">
        <f>((ABS(Games[[#This Row],[MOV]])+5)^0.6)/(12+0.01*(ABS(Games[[#This Row],[PreGmRate]]-Games[[#This Row],[OppPreGmRate]])))*IF(Games[[#This Row],[OT]]=1,0.9,1)</f>
        <v>0.33972733684098344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74.349999999999994</v>
      </c>
      <c r="Z138" s="4">
        <f>Games[[#This Row],[K]]*Games[[#This Row],[POMult]]</f>
        <v>74.349999999999994</v>
      </c>
      <c r="AA138" s="4">
        <f>(Games[[#This Row],[Keff]]*Games[[#This Row],[MOVMult]])*(Games[[#This Row],[Result]]-Games[[#This Row],[ExpectedWin%]])</f>
        <v>-12.895008610643993</v>
      </c>
      <c r="AB138" s="4">
        <f>Games[[#This Row],[PreGmRate]]+Games[[#This Row],[RatingChange]]</f>
        <v>1611.4130643712733</v>
      </c>
      <c r="AC138" s="2">
        <f>IF(Games[[#This Row],[Type]]="R",IF(Games[[#This Row],[Result]]&gt;0.5,1,0),0)</f>
        <v>0</v>
      </c>
      <c r="AD138" s="2">
        <f>IF(Games[[#This Row],[Type]]="R",IF(Games[[#This Row],[Result]]&lt;0.5,1,0),0)</f>
        <v>1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42195</v>
      </c>
      <c r="B139" s="2">
        <v>2015</v>
      </c>
      <c r="C139" s="2">
        <f>COUNTIFS(Games[Team],Games[[#This Row],[Team]],Games[Season],Games[[#This Row],[Season]],Games[Date],"&lt;=" &amp; Games[[#This Row],[Date]])</f>
        <v>12</v>
      </c>
      <c r="D139" s="2" t="s">
        <v>83</v>
      </c>
      <c r="E139" s="2" t="s">
        <v>84</v>
      </c>
      <c r="F139" s="1" t="s">
        <v>77</v>
      </c>
      <c r="G139" s="1" t="s">
        <v>67</v>
      </c>
      <c r="H139" s="1" t="s">
        <v>86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7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39" s="2">
        <f>Games[[#This Row],[DaysOff]]-Games[[#This Row],[OppDaysOff]]</f>
        <v>1</v>
      </c>
      <c r="L139" s="2">
        <f>Games[[#This Row],[OppDaysOff]]-Games[[#This Row],[DaysOff]]</f>
        <v>-1</v>
      </c>
      <c r="M139" s="1">
        <f>MAX(-16, MIN(16, Games[[#This Row],[RestDiff]]*8))</f>
        <v>8</v>
      </c>
      <c r="N139" s="1">
        <f>MAX(-16, MIN(16, Games[[#This Row],[OppRestDiff]]*8))</f>
        <v>-8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1516.9990671350674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1624.3080729819173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0.48948304645821139</v>
      </c>
      <c r="R139" s="1">
        <v>90</v>
      </c>
      <c r="S139" s="1">
        <v>83</v>
      </c>
      <c r="T139" s="1">
        <v>0</v>
      </c>
      <c r="U139" s="1">
        <f>Games[[#This Row],[PointsFor]]-Games[[#This Row],[PointsAgainst]]</f>
        <v>7</v>
      </c>
      <c r="V139" s="1">
        <f>IF(Games[[#This Row],[MOV]]&gt;0,1,IF(Games[[#This Row],[MOV]]=0,0.5,0))</f>
        <v>1</v>
      </c>
      <c r="W139" s="4">
        <f>((ABS(Games[[#This Row],[MOV]])+5)^0.6)/(12+0.01*(ABS(Games[[#This Row],[PreGmRate]]-Games[[#This Row],[OppPreGmRate]])))*IF(Games[[#This Row],[OT]]=1,0.9,1)</f>
        <v>0.33972733684098344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74.2</v>
      </c>
      <c r="Z139" s="4">
        <f>Games[[#This Row],[K]]*Games[[#This Row],[POMult]]</f>
        <v>74.2</v>
      </c>
      <c r="AA139" s="4">
        <f>(Games[[#This Row],[Keff]]*Games[[#This Row],[MOVMult]])*(Games[[#This Row],[Result]]-Games[[#This Row],[ExpectedWin%]])</f>
        <v>12.868993125888155</v>
      </c>
      <c r="AB139" s="4">
        <f>Games[[#This Row],[PreGmRate]]+Games[[#This Row],[RatingChange]]</f>
        <v>1529.8680602609556</v>
      </c>
      <c r="AC139" s="2">
        <f>IF(Games[[#This Row],[Type]]="R",IF(Games[[#This Row],[Result]]&gt;0.5,1,0),0)</f>
        <v>1</v>
      </c>
      <c r="AD139" s="2">
        <f>IF(Games[[#This Row],[Type]]="R",IF(Games[[#This Row],[Result]]&lt;0.5,1,0),0)</f>
        <v>0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42195</v>
      </c>
      <c r="B140" s="2">
        <v>2015</v>
      </c>
      <c r="C140" s="2">
        <f>COUNTIFS(Games[Team],Games[[#This Row],[Team]],Games[Season],Games[[#This Row],[Season]],Games[Date],"&lt;=" &amp; Games[[#This Row],[Date]])</f>
        <v>12</v>
      </c>
      <c r="D140" s="2" t="s">
        <v>83</v>
      </c>
      <c r="E140" s="2" t="s">
        <v>84</v>
      </c>
      <c r="F140" s="1" t="s">
        <v>74</v>
      </c>
      <c r="G140" s="1" t="s">
        <v>69</v>
      </c>
      <c r="H140" s="1" t="s">
        <v>85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0" s="2">
        <f>Games[[#This Row],[DaysOff]]-Games[[#This Row],[OppDaysOff]]</f>
        <v>0</v>
      </c>
      <c r="L140" s="2">
        <f>Games[[#This Row],[OppDaysOff]]-Games[[#This Row],[DaysOff]]</f>
        <v>0</v>
      </c>
      <c r="M140" s="1">
        <f>MAX(-16, MIN(16, Games[[#This Row],[RestDiff]]*8))</f>
        <v>0</v>
      </c>
      <c r="N140" s="1">
        <f>MAX(-16, MIN(16, Games[[#This Row],[OppRestDiff]]*8))</f>
        <v>0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1424.6880117022247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1501.6709188253126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0.28359629622837595</v>
      </c>
      <c r="R140" s="1">
        <v>76</v>
      </c>
      <c r="S140" s="1">
        <v>83</v>
      </c>
      <c r="T140" s="1">
        <v>0</v>
      </c>
      <c r="U140" s="1">
        <f>Games[[#This Row],[PointsFor]]-Games[[#This Row],[PointsAgainst]]</f>
        <v>-7</v>
      </c>
      <c r="V140" s="1">
        <f>IF(Games[[#This Row],[MOV]]&gt;0,1,IF(Games[[#This Row],[MOV]]=0,0.5,0))</f>
        <v>0</v>
      </c>
      <c r="W140" s="4">
        <f>((ABS(Games[[#This Row],[MOV]])+5)^0.6)/(12+0.01*(ABS(Games[[#This Row],[PreGmRate]]-Games[[#This Row],[OppPreGmRate]])))*IF(Games[[#This Row],[OT]]=1,0.9,1)</f>
        <v>0.34779526374801711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74.2</v>
      </c>
      <c r="Z140" s="4">
        <f>Games[[#This Row],[K]]*Games[[#This Row],[POMult]]</f>
        <v>74.2</v>
      </c>
      <c r="AA140" s="4">
        <f>(Games[[#This Row],[Keff]]*Games[[#This Row],[MOVMult]])*(Games[[#This Row],[Result]]-Games[[#This Row],[ExpectedWin%]])</f>
        <v>-7.3186018894373941</v>
      </c>
      <c r="AB140" s="4">
        <f>Games[[#This Row],[PreGmRate]]+Games[[#This Row],[RatingChange]]</f>
        <v>1417.3694098127874</v>
      </c>
      <c r="AC140" s="2">
        <f>IF(Games[[#This Row],[Type]]="R",IF(Games[[#This Row],[Result]]&gt;0.5,1,0),0)</f>
        <v>0</v>
      </c>
      <c r="AD140" s="2">
        <f>IF(Games[[#This Row],[Type]]="R",IF(Games[[#This Row],[Result]]&lt;0.5,1,0),0)</f>
        <v>1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42195</v>
      </c>
      <c r="B141" s="2">
        <v>2015</v>
      </c>
      <c r="C141" s="2">
        <f>COUNTIFS(Games[Team],Games[[#This Row],[Team]],Games[Season],Games[[#This Row],[Season]],Games[Date],"&lt;=" &amp; Games[[#This Row],[Date]])</f>
        <v>13</v>
      </c>
      <c r="D141" s="2" t="s">
        <v>83</v>
      </c>
      <c r="E141" s="2" t="s">
        <v>84</v>
      </c>
      <c r="F141" s="1" t="s">
        <v>69</v>
      </c>
      <c r="G141" s="1" t="s">
        <v>74</v>
      </c>
      <c r="H141" s="1" t="s">
        <v>86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1" s="2">
        <f>Games[[#This Row],[DaysOff]]-Games[[#This Row],[OppDaysOff]]</f>
        <v>0</v>
      </c>
      <c r="L141" s="2">
        <f>Games[[#This Row],[OppDaysOff]]-Games[[#This Row],[DaysOff]]</f>
        <v>0</v>
      </c>
      <c r="M141" s="1">
        <f>MAX(-16, MIN(16, Games[[#This Row],[RestDiff]]*8))</f>
        <v>0</v>
      </c>
      <c r="N141" s="1">
        <f>MAX(-16, MIN(16, Games[[#This Row],[OppRestDiff]]*8))</f>
        <v>0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1501.6709188253126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1424.6880117022247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0.7164037037716241</v>
      </c>
      <c r="R141" s="1">
        <v>83</v>
      </c>
      <c r="S141" s="1">
        <v>76</v>
      </c>
      <c r="T141" s="1">
        <v>0</v>
      </c>
      <c r="U141" s="1">
        <f>Games[[#This Row],[PointsFor]]-Games[[#This Row],[PointsAgainst]]</f>
        <v>7</v>
      </c>
      <c r="V141" s="1">
        <f>IF(Games[[#This Row],[MOV]]&gt;0,1,IF(Games[[#This Row],[MOV]]=0,0.5,0))</f>
        <v>1</v>
      </c>
      <c r="W141" s="4">
        <f>((ABS(Games[[#This Row],[MOV]])+5)^0.6)/(12+0.01*(ABS(Games[[#This Row],[PreGmRate]]-Games[[#This Row],[OppPreGmRate]])))*IF(Games[[#This Row],[OT]]=1,0.9,1)</f>
        <v>0.34779526374801711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74.05</v>
      </c>
      <c r="Z141" s="4">
        <f>Games[[#This Row],[K]]*Games[[#This Row],[POMult]]</f>
        <v>74.05</v>
      </c>
      <c r="AA141" s="4">
        <f>(Games[[#This Row],[Keff]]*Games[[#This Row],[MOVMult]])*(Games[[#This Row],[Result]]-Games[[#This Row],[ExpectedWin%]])</f>
        <v>7.3038068721406857</v>
      </c>
      <c r="AB141" s="4">
        <f>Games[[#This Row],[PreGmRate]]+Games[[#This Row],[RatingChange]]</f>
        <v>1508.9747256974533</v>
      </c>
      <c r="AC141" s="2">
        <f>IF(Games[[#This Row],[Type]]="R",IF(Games[[#This Row],[Result]]&gt;0.5,1,0),0)</f>
        <v>1</v>
      </c>
      <c r="AD141" s="2">
        <f>IF(Games[[#This Row],[Type]]="R",IF(Games[[#This Row],[Result]]&lt;0.5,1,0),0)</f>
        <v>0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42195</v>
      </c>
      <c r="B142" s="2">
        <v>2015</v>
      </c>
      <c r="C142" s="2">
        <f>COUNTIFS(Games[Team],Games[[#This Row],[Team]],Games[Season],Games[[#This Row],[Season]],Games[Date],"&lt;=" &amp; Games[[#This Row],[Date]])</f>
        <v>12</v>
      </c>
      <c r="D142" s="2" t="s">
        <v>83</v>
      </c>
      <c r="E142" s="2" t="s">
        <v>84</v>
      </c>
      <c r="F142" s="1" t="s">
        <v>40</v>
      </c>
      <c r="G142" s="1" t="s">
        <v>71</v>
      </c>
      <c r="H142" s="1" t="s">
        <v>85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4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2" s="2">
        <f>Games[[#This Row],[DaysOff]]-Games[[#This Row],[OppDaysOff]]</f>
        <v>3</v>
      </c>
      <c r="L142" s="2">
        <f>Games[[#This Row],[OppDaysOff]]-Games[[#This Row],[DaysOff]]</f>
        <v>-3</v>
      </c>
      <c r="M142" s="1">
        <f>MAX(-16, MIN(16, Games[[#This Row],[RestDiff]]*8))</f>
        <v>16</v>
      </c>
      <c r="N142" s="1">
        <f>MAX(-16, MIN(16, Games[[#This Row],[OppRestDiff]]*8))</f>
        <v>-16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1611.4408869622287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1398.5495049897252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0.71629664949153482</v>
      </c>
      <c r="R142" s="1">
        <v>94</v>
      </c>
      <c r="S142" s="1">
        <v>79</v>
      </c>
      <c r="T142" s="1">
        <v>0</v>
      </c>
      <c r="U142" s="1">
        <f>Games[[#This Row],[PointsFor]]-Games[[#This Row],[PointsAgainst]]</f>
        <v>15</v>
      </c>
      <c r="V142" s="1">
        <f>IF(Games[[#This Row],[MOV]]&gt;0,1,IF(Games[[#This Row],[MOV]]=0,0.5,0))</f>
        <v>1</v>
      </c>
      <c r="W142" s="4">
        <f>((ABS(Games[[#This Row],[MOV]])+5)^0.6)/(12+0.01*(ABS(Games[[#This Row],[PreGmRate]]-Games[[#This Row],[OppPreGmRate]])))*IF(Games[[#This Row],[OT]]=1,0.9,1)</f>
        <v>0.42707998743123438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74.2</v>
      </c>
      <c r="Z142" s="4">
        <f>Games[[#This Row],[K]]*Games[[#This Row],[POMult]]</f>
        <v>74.2</v>
      </c>
      <c r="AA142" s="4">
        <f>(Games[[#This Row],[Keff]]*Games[[#This Row],[MOVMult]])*(Games[[#This Row],[Result]]-Games[[#This Row],[ExpectedWin%]])</f>
        <v>8.9903705340060966</v>
      </c>
      <c r="AB142" s="4">
        <f>Games[[#This Row],[PreGmRate]]+Games[[#This Row],[RatingChange]]</f>
        <v>1620.4312574962348</v>
      </c>
      <c r="AC142" s="2">
        <f>IF(Games[[#This Row],[Type]]="R",IF(Games[[#This Row],[Result]]&gt;0.5,1,0),0)</f>
        <v>1</v>
      </c>
      <c r="AD142" s="2">
        <f>IF(Games[[#This Row],[Type]]="R",IF(Games[[#This Row],[Result]]&lt;0.5,1,0),0)</f>
        <v>0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42195</v>
      </c>
      <c r="B143" s="2">
        <v>2015</v>
      </c>
      <c r="C143" s="2">
        <f>COUNTIFS(Games[Team],Games[[#This Row],[Team]],Games[Season],Games[[#This Row],[Season]],Games[Date],"&lt;=" &amp; Games[[#This Row],[Date]])</f>
        <v>14</v>
      </c>
      <c r="D143" s="2" t="s">
        <v>83</v>
      </c>
      <c r="E143" s="2" t="s">
        <v>84</v>
      </c>
      <c r="F143" s="1" t="s">
        <v>71</v>
      </c>
      <c r="G143" s="1" t="s">
        <v>40</v>
      </c>
      <c r="H143" s="1" t="s">
        <v>86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43" s="2">
        <f>Games[[#This Row],[DaysOff]]-Games[[#This Row],[OppDaysOff]]</f>
        <v>-3</v>
      </c>
      <c r="L143" s="2">
        <f>Games[[#This Row],[OppDaysOff]]-Games[[#This Row],[DaysOff]]</f>
        <v>3</v>
      </c>
      <c r="M143" s="1">
        <f>MAX(-16, MIN(16, Games[[#This Row],[RestDiff]]*8))</f>
        <v>-16</v>
      </c>
      <c r="N143" s="1">
        <f>MAX(-16, MIN(16, Games[[#This Row],[OppRestDiff]]*8))</f>
        <v>16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1398.5495049897252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1611.4408869622287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0.28370335050846518</v>
      </c>
      <c r="R143" s="1">
        <v>79</v>
      </c>
      <c r="S143" s="1">
        <v>94</v>
      </c>
      <c r="T143" s="1">
        <v>0</v>
      </c>
      <c r="U143" s="1">
        <f>Games[[#This Row],[PointsFor]]-Games[[#This Row],[PointsAgainst]]</f>
        <v>-15</v>
      </c>
      <c r="V143" s="1">
        <f>IF(Games[[#This Row],[MOV]]&gt;0,1,IF(Games[[#This Row],[MOV]]=0,0.5,0))</f>
        <v>0</v>
      </c>
      <c r="W143" s="4">
        <f>((ABS(Games[[#This Row],[MOV]])+5)^0.6)/(12+0.01*(ABS(Games[[#This Row],[PreGmRate]]-Games[[#This Row],[OppPreGmRate]])))*IF(Games[[#This Row],[OT]]=1,0.9,1)</f>
        <v>0.42707998743123438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73.900000000000006</v>
      </c>
      <c r="Z143" s="4">
        <f>Games[[#This Row],[K]]*Games[[#This Row],[POMult]]</f>
        <v>73.900000000000006</v>
      </c>
      <c r="AA143" s="4">
        <f>(Games[[#This Row],[Keff]]*Games[[#This Row],[MOVMult]])*(Games[[#This Row],[Result]]-Games[[#This Row],[ExpectedWin%]])</f>
        <v>-8.9540213269952904</v>
      </c>
      <c r="AB143" s="4">
        <f>Games[[#This Row],[PreGmRate]]+Games[[#This Row],[RatingChange]]</f>
        <v>1389.59548366273</v>
      </c>
      <c r="AC143" s="2">
        <f>IF(Games[[#This Row],[Type]]="R",IF(Games[[#This Row],[Result]]&gt;0.5,1,0),0)</f>
        <v>0</v>
      </c>
      <c r="AD143" s="2">
        <f>IF(Games[[#This Row],[Type]]="R",IF(Games[[#This Row],[Result]]&lt;0.5,1,0),0)</f>
        <v>1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42196</v>
      </c>
      <c r="B144" s="2">
        <v>2015</v>
      </c>
      <c r="C144" s="2">
        <f>COUNTIFS(Games[Team],Games[[#This Row],[Team]],Games[Season],Games[[#This Row],[Season]],Games[Date],"&lt;=" &amp; Games[[#This Row],[Date]])</f>
        <v>12</v>
      </c>
      <c r="D144" s="2" t="s">
        <v>83</v>
      </c>
      <c r="E144" s="2" t="s">
        <v>84</v>
      </c>
      <c r="F144" s="1" t="s">
        <v>63</v>
      </c>
      <c r="G144" s="1" t="s">
        <v>81</v>
      </c>
      <c r="H144" s="1" t="s">
        <v>85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4" s="2">
        <f>Games[[#This Row],[DaysOff]]-Games[[#This Row],[OppDaysOff]]</f>
        <v>-1</v>
      </c>
      <c r="L144" s="2">
        <f>Games[[#This Row],[OppDaysOff]]-Games[[#This Row],[DaysOff]]</f>
        <v>1</v>
      </c>
      <c r="M144" s="1">
        <f>MAX(-16, MIN(16, Games[[#This Row],[RestDiff]]*8))</f>
        <v>-8</v>
      </c>
      <c r="N144" s="1">
        <f>MAX(-16, MIN(16, Games[[#This Row],[OppRestDiff]]*8))</f>
        <v>8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1421.2986232734083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1536.7110355358586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0.22443363181298501</v>
      </c>
      <c r="R144" s="1">
        <v>67</v>
      </c>
      <c r="S144" s="1">
        <v>82</v>
      </c>
      <c r="T144" s="1">
        <v>0</v>
      </c>
      <c r="U144" s="1">
        <f>Games[[#This Row],[PointsFor]]-Games[[#This Row],[PointsAgainst]]</f>
        <v>-15</v>
      </c>
      <c r="V144" s="1">
        <f>IF(Games[[#This Row],[MOV]]&gt;0,1,IF(Games[[#This Row],[MOV]]=0,0.5,0))</f>
        <v>0</v>
      </c>
      <c r="W144" s="4">
        <f>((ABS(Games[[#This Row],[MOV]])+5)^0.6)/(12+0.01*(ABS(Games[[#This Row],[PreGmRate]]-Games[[#This Row],[OppPreGmRate]])))*IF(Games[[#This Row],[OT]]=1,0.9,1)</f>
        <v>0.45872885798353158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74.2</v>
      </c>
      <c r="Z144" s="4">
        <f>Games[[#This Row],[K]]*Games[[#This Row],[POMult]]</f>
        <v>74.2</v>
      </c>
      <c r="AA144" s="4">
        <f>(Games[[#This Row],[Keff]]*Games[[#This Row],[MOVMult]])*(Games[[#This Row],[Result]]-Games[[#This Row],[ExpectedWin%]])</f>
        <v>-7.6392004242082923</v>
      </c>
      <c r="AB144" s="4">
        <f>Games[[#This Row],[PreGmRate]]+Games[[#This Row],[RatingChange]]</f>
        <v>1413.6594228492002</v>
      </c>
      <c r="AC144" s="2">
        <f>IF(Games[[#This Row],[Type]]="R",IF(Games[[#This Row],[Result]]&gt;0.5,1,0),0)</f>
        <v>0</v>
      </c>
      <c r="AD144" s="2">
        <f>IF(Games[[#This Row],[Type]]="R",IF(Games[[#This Row],[Result]]&lt;0.5,1,0),0)</f>
        <v>1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42196</v>
      </c>
      <c r="B145" s="2">
        <v>2015</v>
      </c>
      <c r="C145" s="2">
        <f>COUNTIFS(Games[Team],Games[[#This Row],[Team]],Games[Season],Games[[#This Row],[Season]],Games[Date],"&lt;=" &amp; Games[[#This Row],[Date]])</f>
        <v>14</v>
      </c>
      <c r="D145" s="2" t="s">
        <v>83</v>
      </c>
      <c r="E145" s="2" t="s">
        <v>84</v>
      </c>
      <c r="F145" s="1" t="s">
        <v>81</v>
      </c>
      <c r="G145" s="1" t="s">
        <v>63</v>
      </c>
      <c r="H145" s="1" t="s">
        <v>86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5" s="2">
        <f>Games[[#This Row],[DaysOff]]-Games[[#This Row],[OppDaysOff]]</f>
        <v>1</v>
      </c>
      <c r="L145" s="2">
        <f>Games[[#This Row],[OppDaysOff]]-Games[[#This Row],[DaysOff]]</f>
        <v>-1</v>
      </c>
      <c r="M145" s="1">
        <f>MAX(-16, MIN(16, Games[[#This Row],[RestDiff]]*8))</f>
        <v>8</v>
      </c>
      <c r="N145" s="1">
        <f>MAX(-16, MIN(16, Games[[#This Row],[OppRestDiff]]*8))</f>
        <v>-8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1536.7110355358586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1421.2986232734083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0.77556636818701497</v>
      </c>
      <c r="R145" s="1">
        <v>82</v>
      </c>
      <c r="S145" s="1">
        <v>67</v>
      </c>
      <c r="T145" s="1">
        <v>0</v>
      </c>
      <c r="U145" s="1">
        <f>Games[[#This Row],[PointsFor]]-Games[[#This Row],[PointsAgainst]]</f>
        <v>15</v>
      </c>
      <c r="V145" s="1">
        <f>IF(Games[[#This Row],[MOV]]&gt;0,1,IF(Games[[#This Row],[MOV]]=0,0.5,0))</f>
        <v>1</v>
      </c>
      <c r="W145" s="4">
        <f>((ABS(Games[[#This Row],[MOV]])+5)^0.6)/(12+0.01*(ABS(Games[[#This Row],[PreGmRate]]-Games[[#This Row],[OppPreGmRate]])))*IF(Games[[#This Row],[OT]]=1,0.9,1)</f>
        <v>0.45872885798353158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73.900000000000006</v>
      </c>
      <c r="Z145" s="4">
        <f>Games[[#This Row],[K]]*Games[[#This Row],[POMult]]</f>
        <v>73.900000000000006</v>
      </c>
      <c r="AA145" s="4">
        <f>(Games[[#This Row],[Keff]]*Games[[#This Row],[MOVMult]])*(Games[[#This Row],[Result]]-Games[[#This Row],[ExpectedWin%]])</f>
        <v>7.6083141691238936</v>
      </c>
      <c r="AB145" s="4">
        <f>Games[[#This Row],[PreGmRate]]+Games[[#This Row],[RatingChange]]</f>
        <v>1544.3193497049824</v>
      </c>
      <c r="AC145" s="2">
        <f>IF(Games[[#This Row],[Type]]="R",IF(Games[[#This Row],[Result]]&gt;0.5,1,0),0)</f>
        <v>1</v>
      </c>
      <c r="AD145" s="2">
        <f>IF(Games[[#This Row],[Type]]="R",IF(Games[[#This Row],[Result]]&lt;0.5,1,0),0)</f>
        <v>0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42197</v>
      </c>
      <c r="B146" s="2">
        <v>2015</v>
      </c>
      <c r="C146" s="2">
        <f>COUNTIFS(Games[Team],Games[[#This Row],[Team]],Games[Season],Games[[#This Row],[Season]],Games[Date],"&lt;=" &amp; Games[[#This Row],[Date]])</f>
        <v>12</v>
      </c>
      <c r="D146" s="2" t="s">
        <v>83</v>
      </c>
      <c r="E146" s="2" t="s">
        <v>84</v>
      </c>
      <c r="F146" s="1" t="s">
        <v>60</v>
      </c>
      <c r="G146" s="1" t="s">
        <v>79</v>
      </c>
      <c r="H146" s="1" t="s">
        <v>85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46" s="2">
        <f>Games[[#This Row],[DaysOff]]-Games[[#This Row],[OppDaysOff]]</f>
        <v>-2</v>
      </c>
      <c r="L146" s="2">
        <f>Games[[#This Row],[OppDaysOff]]-Games[[#This Row],[DaysOff]]</f>
        <v>2</v>
      </c>
      <c r="M146" s="1">
        <f>MAX(-16, MIN(16, Games[[#This Row],[RestDiff]]*8))</f>
        <v>-16</v>
      </c>
      <c r="N146" s="1">
        <f>MAX(-16, MIN(16, Games[[#This Row],[OppRestDiff]]*8))</f>
        <v>16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1502.4814992567092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1445.3788915229964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0.4160425350047795</v>
      </c>
      <c r="R146" s="1">
        <v>76</v>
      </c>
      <c r="S146" s="1">
        <v>84</v>
      </c>
      <c r="T146" s="1">
        <v>0</v>
      </c>
      <c r="U146" s="1">
        <f>Games[[#This Row],[PointsFor]]-Games[[#This Row],[PointsAgainst]]</f>
        <v>-8</v>
      </c>
      <c r="V146" s="1">
        <f>IF(Games[[#This Row],[MOV]]&gt;0,1,IF(Games[[#This Row],[MOV]]=0,0.5,0))</f>
        <v>0</v>
      </c>
      <c r="W146" s="4">
        <f>((ABS(Games[[#This Row],[MOV]])+5)^0.6)/(12+0.01*(ABS(Games[[#This Row],[PreGmRate]]-Games[[#This Row],[OppPreGmRate]])))*IF(Games[[#This Row],[OT]]=1,0.9,1)</f>
        <v>0.37067669666493369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74.2</v>
      </c>
      <c r="Z146" s="4">
        <f>Games[[#This Row],[K]]*Games[[#This Row],[POMult]]</f>
        <v>74.2</v>
      </c>
      <c r="AA146" s="4">
        <f>(Games[[#This Row],[Keff]]*Games[[#This Row],[MOVMult]])*(Games[[#This Row],[Result]]-Games[[#This Row],[ExpectedWin%]])</f>
        <v>-11.442921623037611</v>
      </c>
      <c r="AB146" s="4">
        <f>Games[[#This Row],[PreGmRate]]+Games[[#This Row],[RatingChange]]</f>
        <v>1491.0385776336716</v>
      </c>
      <c r="AC146" s="2">
        <f>IF(Games[[#This Row],[Type]]="R",IF(Games[[#This Row],[Result]]&gt;0.5,1,0),0)</f>
        <v>0</v>
      </c>
      <c r="AD146" s="2">
        <f>IF(Games[[#This Row],[Type]]="R",IF(Games[[#This Row],[Result]]&lt;0.5,1,0),0)</f>
        <v>1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42197</v>
      </c>
      <c r="B147" s="2">
        <v>2015</v>
      </c>
      <c r="C147" s="2">
        <f>COUNTIFS(Games[Team],Games[[#This Row],[Team]],Games[Season],Games[[#This Row],[Season]],Games[Date],"&lt;=" &amp; Games[[#This Row],[Date]])</f>
        <v>13</v>
      </c>
      <c r="D147" s="2" t="s">
        <v>83</v>
      </c>
      <c r="E147" s="2" t="s">
        <v>84</v>
      </c>
      <c r="F147" s="1" t="s">
        <v>79</v>
      </c>
      <c r="G147" s="1" t="s">
        <v>60</v>
      </c>
      <c r="H147" s="1" t="s">
        <v>86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4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7" s="2">
        <f>Games[[#This Row],[DaysOff]]-Games[[#This Row],[OppDaysOff]]</f>
        <v>2</v>
      </c>
      <c r="L147" s="2">
        <f>Games[[#This Row],[OppDaysOff]]-Games[[#This Row],[DaysOff]]</f>
        <v>-2</v>
      </c>
      <c r="M147" s="1">
        <f>MAX(-16, MIN(16, Games[[#This Row],[RestDiff]]*8))</f>
        <v>16</v>
      </c>
      <c r="N147" s="1">
        <f>MAX(-16, MIN(16, Games[[#This Row],[OppRestDiff]]*8))</f>
        <v>-16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1445.3788915229964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1502.4814992567092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0.5839574649952205</v>
      </c>
      <c r="R147" s="1">
        <v>84</v>
      </c>
      <c r="S147" s="1">
        <v>76</v>
      </c>
      <c r="T147" s="1">
        <v>0</v>
      </c>
      <c r="U147" s="1">
        <f>Games[[#This Row],[PointsFor]]-Games[[#This Row],[PointsAgainst]]</f>
        <v>8</v>
      </c>
      <c r="V147" s="1">
        <f>IF(Games[[#This Row],[MOV]]&gt;0,1,IF(Games[[#This Row],[MOV]]=0,0.5,0))</f>
        <v>1</v>
      </c>
      <c r="W147" s="4">
        <f>((ABS(Games[[#This Row],[MOV]])+5)^0.6)/(12+0.01*(ABS(Games[[#This Row],[PreGmRate]]-Games[[#This Row],[OppPreGmRate]])))*IF(Games[[#This Row],[OT]]=1,0.9,1)</f>
        <v>0.37067669666493369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74.05</v>
      </c>
      <c r="Z147" s="4">
        <f>Games[[#This Row],[K]]*Games[[#This Row],[POMult]]</f>
        <v>74.05</v>
      </c>
      <c r="AA147" s="4">
        <f>(Games[[#This Row],[Keff]]*Games[[#This Row],[MOVMult]])*(Games[[#This Row],[Result]]-Games[[#This Row],[ExpectedWin%]])</f>
        <v>11.41978903215546</v>
      </c>
      <c r="AB147" s="4">
        <f>Games[[#This Row],[PreGmRate]]+Games[[#This Row],[RatingChange]]</f>
        <v>1456.7986805551518</v>
      </c>
      <c r="AC147" s="2">
        <f>IF(Games[[#This Row],[Type]]="R",IF(Games[[#This Row],[Result]]&gt;0.5,1,0),0)</f>
        <v>1</v>
      </c>
      <c r="AD147" s="2">
        <f>IF(Games[[#This Row],[Type]]="R",IF(Games[[#This Row],[Result]]&lt;0.5,1,0),0)</f>
        <v>0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42197</v>
      </c>
      <c r="B148" s="2">
        <v>2015</v>
      </c>
      <c r="C148" s="2">
        <f>COUNTIFS(Games[Team],Games[[#This Row],[Team]],Games[Season],Games[[#This Row],[Season]],Games[Date],"&lt;=" &amp; Games[[#This Row],[Date]])</f>
        <v>11</v>
      </c>
      <c r="D148" s="2" t="s">
        <v>83</v>
      </c>
      <c r="E148" s="2" t="s">
        <v>84</v>
      </c>
      <c r="F148" s="1" t="s">
        <v>76</v>
      </c>
      <c r="G148" s="1" t="s">
        <v>77</v>
      </c>
      <c r="H148" s="1" t="s">
        <v>85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9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8" s="2">
        <f>Games[[#This Row],[DaysOff]]-Games[[#This Row],[OppDaysOff]]</f>
        <v>8</v>
      </c>
      <c r="L148" s="2">
        <f>Games[[#This Row],[OppDaysOff]]-Games[[#This Row],[DaysOff]]</f>
        <v>-8</v>
      </c>
      <c r="M148" s="1">
        <f>MAX(-16, MIN(16, Games[[#This Row],[RestDiff]]*8))</f>
        <v>16</v>
      </c>
      <c r="N148" s="1">
        <f>MAX(-16, MIN(16, Games[[#This Row],[OppRestDiff]]*8))</f>
        <v>-16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1520.9298745907877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1529.8680602609556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0.41319125046321603</v>
      </c>
      <c r="R148" s="1">
        <v>76</v>
      </c>
      <c r="S148" s="1">
        <v>96</v>
      </c>
      <c r="T148" s="1">
        <v>0</v>
      </c>
      <c r="U148" s="1">
        <f>Games[[#This Row],[PointsFor]]-Games[[#This Row],[PointsAgainst]]</f>
        <v>-20</v>
      </c>
      <c r="V148" s="1">
        <f>IF(Games[[#This Row],[MOV]]&gt;0,1,IF(Games[[#This Row],[MOV]]=0,0.5,0))</f>
        <v>0</v>
      </c>
      <c r="W148" s="4">
        <f>((ABS(Games[[#This Row],[MOV]])+5)^0.6)/(12+0.01*(ABS(Games[[#This Row],[PreGmRate]]-Games[[#This Row],[OppPreGmRate]])))*IF(Games[[#This Row],[OT]]=1,0.9,1)</f>
        <v>0.57063697623893372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74.349999999999994</v>
      </c>
      <c r="Z148" s="4">
        <f>Games[[#This Row],[K]]*Games[[#This Row],[POMult]]</f>
        <v>74.349999999999994</v>
      </c>
      <c r="AA148" s="4">
        <f>(Games[[#This Row],[Keff]]*Games[[#This Row],[MOVMult]])*(Games[[#This Row],[Result]]-Games[[#This Row],[ExpectedWin%]])</f>
        <v>-17.530406999201247</v>
      </c>
      <c r="AB148" s="4">
        <f>Games[[#This Row],[PreGmRate]]+Games[[#This Row],[RatingChange]]</f>
        <v>1503.3994675915865</v>
      </c>
      <c r="AC148" s="2">
        <f>IF(Games[[#This Row],[Type]]="R",IF(Games[[#This Row],[Result]]&gt;0.5,1,0),0)</f>
        <v>0</v>
      </c>
      <c r="AD148" s="2">
        <f>IF(Games[[#This Row],[Type]]="R",IF(Games[[#This Row],[Result]]&lt;0.5,1,0),0)</f>
        <v>1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42197</v>
      </c>
      <c r="B149" s="2">
        <v>2015</v>
      </c>
      <c r="C149" s="2">
        <f>COUNTIFS(Games[Team],Games[[#This Row],[Team]],Games[Season],Games[[#This Row],[Season]],Games[Date],"&lt;=" &amp; Games[[#This Row],[Date]])</f>
        <v>13</v>
      </c>
      <c r="D149" s="2" t="s">
        <v>83</v>
      </c>
      <c r="E149" s="2" t="s">
        <v>84</v>
      </c>
      <c r="F149" s="1" t="s">
        <v>77</v>
      </c>
      <c r="G149" s="1" t="s">
        <v>76</v>
      </c>
      <c r="H149" s="1" t="s">
        <v>86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9</v>
      </c>
      <c r="K149" s="2">
        <f>Games[[#This Row],[DaysOff]]-Games[[#This Row],[OppDaysOff]]</f>
        <v>-8</v>
      </c>
      <c r="L149" s="2">
        <f>Games[[#This Row],[OppDaysOff]]-Games[[#This Row],[DaysOff]]</f>
        <v>8</v>
      </c>
      <c r="M149" s="1">
        <f>MAX(-16, MIN(16, Games[[#This Row],[RestDiff]]*8))</f>
        <v>-16</v>
      </c>
      <c r="N149" s="1">
        <f>MAX(-16, MIN(16, Games[[#This Row],[OppRestDiff]]*8))</f>
        <v>16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1529.8680602609556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1520.9298745907877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0.58680874953678408</v>
      </c>
      <c r="R149" s="1">
        <v>96</v>
      </c>
      <c r="S149" s="1">
        <v>76</v>
      </c>
      <c r="T149" s="1">
        <v>0</v>
      </c>
      <c r="U149" s="1">
        <f>Games[[#This Row],[PointsFor]]-Games[[#This Row],[PointsAgainst]]</f>
        <v>20</v>
      </c>
      <c r="V149" s="1">
        <f>IF(Games[[#This Row],[MOV]]&gt;0,1,IF(Games[[#This Row],[MOV]]=0,0.5,0))</f>
        <v>1</v>
      </c>
      <c r="W149" s="4">
        <f>((ABS(Games[[#This Row],[MOV]])+5)^0.6)/(12+0.01*(ABS(Games[[#This Row],[PreGmRate]]-Games[[#This Row],[OppPreGmRate]])))*IF(Games[[#This Row],[OT]]=1,0.9,1)</f>
        <v>0.57063697623893372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74.05</v>
      </c>
      <c r="Z149" s="4">
        <f>Games[[#This Row],[K]]*Games[[#This Row],[POMult]]</f>
        <v>74.05</v>
      </c>
      <c r="AA149" s="4">
        <f>(Games[[#This Row],[Keff]]*Games[[#This Row],[MOVMult]])*(Games[[#This Row],[Result]]-Games[[#This Row],[ExpectedWin%]])</f>
        <v>17.459672337469431</v>
      </c>
      <c r="AB149" s="4">
        <f>Games[[#This Row],[PreGmRate]]+Games[[#This Row],[RatingChange]]</f>
        <v>1547.327732598425</v>
      </c>
      <c r="AC149" s="2">
        <f>IF(Games[[#This Row],[Type]]="R",IF(Games[[#This Row],[Result]]&gt;0.5,1,0),0)</f>
        <v>1</v>
      </c>
      <c r="AD149" s="2">
        <f>IF(Games[[#This Row],[Type]]="R",IF(Games[[#This Row],[Result]]&lt;0.5,1,0),0)</f>
        <v>0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42197</v>
      </c>
      <c r="B150" s="2">
        <v>2015</v>
      </c>
      <c r="C150" s="2">
        <f>COUNTIFS(Games[Team],Games[[#This Row],[Team]],Games[Season],Games[[#This Row],[Season]],Games[Date],"&lt;=" &amp; Games[[#This Row],[Date]])</f>
        <v>13</v>
      </c>
      <c r="D150" s="2" t="s">
        <v>83</v>
      </c>
      <c r="E150" s="2" t="s">
        <v>84</v>
      </c>
      <c r="F150" s="1" t="s">
        <v>74</v>
      </c>
      <c r="G150" s="1" t="s">
        <v>67</v>
      </c>
      <c r="H150" s="1" t="s">
        <v>85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0" s="2">
        <f>Games[[#This Row],[DaysOff]]-Games[[#This Row],[OppDaysOff]]</f>
        <v>0</v>
      </c>
      <c r="L150" s="2">
        <f>Games[[#This Row],[OppDaysOff]]-Games[[#This Row],[DaysOff]]</f>
        <v>0</v>
      </c>
      <c r="M150" s="1">
        <f>MAX(-16, MIN(16, Games[[#This Row],[RestDiff]]*8))</f>
        <v>0</v>
      </c>
      <c r="N150" s="1">
        <f>MAX(-16, MIN(16, Games[[#This Row],[OppRestDiff]]*8))</f>
        <v>0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1417.3694098127874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1611.4130643712733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0.16790504725852001</v>
      </c>
      <c r="R150" s="1">
        <v>49</v>
      </c>
      <c r="S150" s="1">
        <v>66</v>
      </c>
      <c r="T150" s="1">
        <v>0</v>
      </c>
      <c r="U150" s="1">
        <f>Games[[#This Row],[PointsFor]]-Games[[#This Row],[PointsAgainst]]</f>
        <v>-17</v>
      </c>
      <c r="V150" s="1">
        <f>IF(Games[[#This Row],[MOV]]&gt;0,1,IF(Games[[#This Row],[MOV]]=0,0.5,0))</f>
        <v>0</v>
      </c>
      <c r="W150" s="4">
        <f>((ABS(Games[[#This Row],[MOV]])+5)^0.6)/(12+0.01*(ABS(Games[[#This Row],[PreGmRate]]-Games[[#This Row],[OppPreGmRate]])))*IF(Games[[#This Row],[OT]]=1,0.9,1)</f>
        <v>0.45832889150143252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74.05</v>
      </c>
      <c r="Z150" s="4">
        <f>Games[[#This Row],[K]]*Games[[#This Row],[POMult]]</f>
        <v>74.05</v>
      </c>
      <c r="AA150" s="4">
        <f>(Games[[#This Row],[Keff]]*Games[[#This Row],[MOVMult]])*(Games[[#This Row],[Result]]-Games[[#This Row],[ExpectedWin%]])</f>
        <v>-5.6985721165838656</v>
      </c>
      <c r="AB150" s="4">
        <f>Games[[#This Row],[PreGmRate]]+Games[[#This Row],[RatingChange]]</f>
        <v>1411.6708376962035</v>
      </c>
      <c r="AC150" s="2">
        <f>IF(Games[[#This Row],[Type]]="R",IF(Games[[#This Row],[Result]]&gt;0.5,1,0),0)</f>
        <v>0</v>
      </c>
      <c r="AD150" s="2">
        <f>IF(Games[[#This Row],[Type]]="R",IF(Games[[#This Row],[Result]]&lt;0.5,1,0),0)</f>
        <v>1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42197</v>
      </c>
      <c r="B151" s="2">
        <v>2015</v>
      </c>
      <c r="C151" s="2">
        <f>COUNTIFS(Games[Team],Games[[#This Row],[Team]],Games[Season],Games[[#This Row],[Season]],Games[Date],"&lt;=" &amp; Games[[#This Row],[Date]])</f>
        <v>12</v>
      </c>
      <c r="D151" s="2" t="s">
        <v>83</v>
      </c>
      <c r="E151" s="2" t="s">
        <v>84</v>
      </c>
      <c r="F151" s="1" t="s">
        <v>67</v>
      </c>
      <c r="G151" s="1" t="s">
        <v>74</v>
      </c>
      <c r="H151" s="1" t="s">
        <v>86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1" s="2">
        <f>Games[[#This Row],[DaysOff]]-Games[[#This Row],[OppDaysOff]]</f>
        <v>0</v>
      </c>
      <c r="L151" s="2">
        <f>Games[[#This Row],[OppDaysOff]]-Games[[#This Row],[DaysOff]]</f>
        <v>0</v>
      </c>
      <c r="M151" s="1">
        <f>MAX(-16, MIN(16, Games[[#This Row],[RestDiff]]*8))</f>
        <v>0</v>
      </c>
      <c r="N151" s="1">
        <f>MAX(-16, MIN(16, Games[[#This Row],[OppRestDiff]]*8))</f>
        <v>0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1611.4130643712733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1417.3694098127874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0.83209495274148004</v>
      </c>
      <c r="R151" s="1">
        <v>66</v>
      </c>
      <c r="S151" s="1">
        <v>49</v>
      </c>
      <c r="T151" s="1">
        <v>0</v>
      </c>
      <c r="U151" s="1">
        <f>Games[[#This Row],[PointsFor]]-Games[[#This Row],[PointsAgainst]]</f>
        <v>17</v>
      </c>
      <c r="V151" s="1">
        <f>IF(Games[[#This Row],[MOV]]&gt;0,1,IF(Games[[#This Row],[MOV]]=0,0.5,0))</f>
        <v>1</v>
      </c>
      <c r="W151" s="4">
        <f>((ABS(Games[[#This Row],[MOV]])+5)^0.6)/(12+0.01*(ABS(Games[[#This Row],[PreGmRate]]-Games[[#This Row],[OppPreGmRate]])))*IF(Games[[#This Row],[OT]]=1,0.9,1)</f>
        <v>0.45832889150143252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74.2</v>
      </c>
      <c r="Z151" s="4">
        <f>Games[[#This Row],[K]]*Games[[#This Row],[POMult]]</f>
        <v>74.2</v>
      </c>
      <c r="AA151" s="4">
        <f>(Games[[#This Row],[Keff]]*Games[[#This Row],[MOVMult]])*(Games[[#This Row],[Result]]-Games[[#This Row],[ExpectedWin%]])</f>
        <v>5.7101154767119873</v>
      </c>
      <c r="AB151" s="4">
        <f>Games[[#This Row],[PreGmRate]]+Games[[#This Row],[RatingChange]]</f>
        <v>1617.1231798479853</v>
      </c>
      <c r="AC151" s="2">
        <f>IF(Games[[#This Row],[Type]]="R",IF(Games[[#This Row],[Result]]&gt;0.5,1,0),0)</f>
        <v>1</v>
      </c>
      <c r="AD151" s="2">
        <f>IF(Games[[#This Row],[Type]]="R",IF(Games[[#This Row],[Result]]&lt;0.5,1,0),0)</f>
        <v>0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42197</v>
      </c>
      <c r="B152" s="2">
        <v>2015</v>
      </c>
      <c r="C152" s="2">
        <f>COUNTIFS(Games[Team],Games[[#This Row],[Team]],Games[Season],Games[[#This Row],[Season]],Games[Date],"&lt;=" &amp; Games[[#This Row],[Date]])</f>
        <v>15</v>
      </c>
      <c r="D152" s="2" t="s">
        <v>83</v>
      </c>
      <c r="E152" s="2" t="s">
        <v>84</v>
      </c>
      <c r="F152" s="1" t="s">
        <v>71</v>
      </c>
      <c r="G152" s="1" t="s">
        <v>40</v>
      </c>
      <c r="H152" s="1" t="s">
        <v>85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2" s="2">
        <f>Games[[#This Row],[DaysOff]]-Games[[#This Row],[OppDaysOff]]</f>
        <v>0</v>
      </c>
      <c r="L152" s="2">
        <f>Games[[#This Row],[OppDaysOff]]-Games[[#This Row],[DaysOff]]</f>
        <v>0</v>
      </c>
      <c r="M152" s="1">
        <f>MAX(-16, MIN(16, Games[[#This Row],[RestDiff]]*8))</f>
        <v>0</v>
      </c>
      <c r="N152" s="1">
        <f>MAX(-16, MIN(16, Games[[#This Row],[OppRestDiff]]*8))</f>
        <v>0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1389.59548366273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1620.4312574962348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0.14035550518603584</v>
      </c>
      <c r="R152" s="1">
        <v>60</v>
      </c>
      <c r="S152" s="1">
        <v>70</v>
      </c>
      <c r="T152" s="1">
        <v>0</v>
      </c>
      <c r="U152" s="1">
        <f>Games[[#This Row],[PointsFor]]-Games[[#This Row],[PointsAgainst]]</f>
        <v>-10</v>
      </c>
      <c r="V152" s="1">
        <f>IF(Games[[#This Row],[MOV]]&gt;0,1,IF(Games[[#This Row],[MOV]]=0,0.5,0))</f>
        <v>0</v>
      </c>
      <c r="W152" s="4">
        <f>((ABS(Games[[#This Row],[MOV]])+5)^0.6)/(12+0.01*(ABS(Games[[#This Row],[PreGmRate]]-Games[[#This Row],[OppPreGmRate]])))*IF(Games[[#This Row],[OT]]=1,0.9,1)</f>
        <v>0.35486646929322879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73.75</v>
      </c>
      <c r="Z152" s="4">
        <f>Games[[#This Row],[K]]*Games[[#This Row],[POMult]]</f>
        <v>73.75</v>
      </c>
      <c r="AA152" s="4">
        <f>(Games[[#This Row],[Keff]]*Games[[#This Row],[MOVMult]])*(Games[[#This Row],[Result]]-Games[[#This Row],[ExpectedWin%]])</f>
        <v>-3.6733003646286555</v>
      </c>
      <c r="AB152" s="4">
        <f>Games[[#This Row],[PreGmRate]]+Games[[#This Row],[RatingChange]]</f>
        <v>1385.9221832981013</v>
      </c>
      <c r="AC152" s="2">
        <f>IF(Games[[#This Row],[Type]]="R",IF(Games[[#This Row],[Result]]&gt;0.5,1,0),0)</f>
        <v>0</v>
      </c>
      <c r="AD152" s="2">
        <f>IF(Games[[#This Row],[Type]]="R",IF(Games[[#This Row],[Result]]&lt;0.5,1,0),0)</f>
        <v>1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42197</v>
      </c>
      <c r="B153" s="2">
        <v>2015</v>
      </c>
      <c r="C153" s="2">
        <f>COUNTIFS(Games[Team],Games[[#This Row],[Team]],Games[Season],Games[[#This Row],[Season]],Games[Date],"&lt;=" &amp; Games[[#This Row],[Date]])</f>
        <v>13</v>
      </c>
      <c r="D153" s="2" t="s">
        <v>83</v>
      </c>
      <c r="E153" s="2" t="s">
        <v>84</v>
      </c>
      <c r="F153" s="1" t="s">
        <v>40</v>
      </c>
      <c r="G153" s="1" t="s">
        <v>71</v>
      </c>
      <c r="H153" s="1" t="s">
        <v>86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3" s="2">
        <f>Games[[#This Row],[DaysOff]]-Games[[#This Row],[OppDaysOff]]</f>
        <v>0</v>
      </c>
      <c r="L153" s="2">
        <f>Games[[#This Row],[OppDaysOff]]-Games[[#This Row],[DaysOff]]</f>
        <v>0</v>
      </c>
      <c r="M153" s="1">
        <f>MAX(-16, MIN(16, Games[[#This Row],[RestDiff]]*8))</f>
        <v>0</v>
      </c>
      <c r="N153" s="1">
        <f>MAX(-16, MIN(16, Games[[#This Row],[OppRestDiff]]*8))</f>
        <v>0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1620.4312574962348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1389.59548366273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0.8596444948139641</v>
      </c>
      <c r="R153" s="1">
        <v>70</v>
      </c>
      <c r="S153" s="1">
        <v>60</v>
      </c>
      <c r="T153" s="1">
        <v>0</v>
      </c>
      <c r="U153" s="1">
        <f>Games[[#This Row],[PointsFor]]-Games[[#This Row],[PointsAgainst]]</f>
        <v>10</v>
      </c>
      <c r="V153" s="1">
        <f>IF(Games[[#This Row],[MOV]]&gt;0,1,IF(Games[[#This Row],[MOV]]=0,0.5,0))</f>
        <v>1</v>
      </c>
      <c r="W153" s="4">
        <f>((ABS(Games[[#This Row],[MOV]])+5)^0.6)/(12+0.01*(ABS(Games[[#This Row],[PreGmRate]]-Games[[#This Row],[OppPreGmRate]])))*IF(Games[[#This Row],[OT]]=1,0.9,1)</f>
        <v>0.35486646929322879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74.05</v>
      </c>
      <c r="Z153" s="4">
        <f>Games[[#This Row],[K]]*Games[[#This Row],[POMult]]</f>
        <v>74.05</v>
      </c>
      <c r="AA153" s="4">
        <f>(Games[[#This Row],[Keff]]*Games[[#This Row],[MOVMult]])*(Games[[#This Row],[Result]]-Games[[#This Row],[ExpectedWin%]])</f>
        <v>3.6882426034000275</v>
      </c>
      <c r="AB153" s="4">
        <f>Games[[#This Row],[PreGmRate]]+Games[[#This Row],[RatingChange]]</f>
        <v>1624.1195000996349</v>
      </c>
      <c r="AC153" s="2">
        <f>IF(Games[[#This Row],[Type]]="R",IF(Games[[#This Row],[Result]]&gt;0.5,1,0),0)</f>
        <v>1</v>
      </c>
      <c r="AD153" s="2">
        <f>IF(Games[[#This Row],[Type]]="R",IF(Games[[#This Row],[Result]]&lt;0.5,1,0),0)</f>
        <v>0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42199</v>
      </c>
      <c r="B154" s="2">
        <v>2015</v>
      </c>
      <c r="C154" s="2">
        <f>COUNTIFS(Games[Team],Games[[#This Row],[Team]],Games[Season],Games[[#This Row],[Season]],Games[Date],"&lt;=" &amp; Games[[#This Row],[Date]])</f>
        <v>13</v>
      </c>
      <c r="D154" s="2" t="s">
        <v>83</v>
      </c>
      <c r="E154" s="2" t="s">
        <v>84</v>
      </c>
      <c r="F154" s="1" t="s">
        <v>67</v>
      </c>
      <c r="G154" s="1" t="s">
        <v>76</v>
      </c>
      <c r="H154" s="1" t="s">
        <v>85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4" s="2">
        <f>Games[[#This Row],[DaysOff]]-Games[[#This Row],[OppDaysOff]]</f>
        <v>0</v>
      </c>
      <c r="L154" s="2">
        <f>Games[[#This Row],[OppDaysOff]]-Games[[#This Row],[DaysOff]]</f>
        <v>0</v>
      </c>
      <c r="M154" s="1">
        <f>MAX(-16, MIN(16, Games[[#This Row],[RestDiff]]*8))</f>
        <v>0</v>
      </c>
      <c r="N154" s="1">
        <f>MAX(-16, MIN(16, Games[[#This Row],[OppRestDiff]]*8))</f>
        <v>0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1617.1231798479853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1503.3994675915865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0.54267180487198075</v>
      </c>
      <c r="R154" s="1">
        <v>85</v>
      </c>
      <c r="S154" s="1">
        <v>79</v>
      </c>
      <c r="T154" s="1">
        <v>0</v>
      </c>
      <c r="U154" s="1">
        <f>Games[[#This Row],[PointsFor]]-Games[[#This Row],[PointsAgainst]]</f>
        <v>6</v>
      </c>
      <c r="V154" s="1">
        <f>IF(Games[[#This Row],[MOV]]&gt;0,1,IF(Games[[#This Row],[MOV]]=0,0.5,0))</f>
        <v>1</v>
      </c>
      <c r="W154" s="4">
        <f>((ABS(Games[[#This Row],[MOV]])+5)^0.6)/(12+0.01*(ABS(Games[[#This Row],[PreGmRate]]-Games[[#This Row],[OppPreGmRate]])))*IF(Games[[#This Row],[OT]]=1,0.9,1)</f>
        <v>0.32087181602680764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74.05</v>
      </c>
      <c r="Z154" s="4">
        <f>Games[[#This Row],[K]]*Games[[#This Row],[POMult]]</f>
        <v>74.05</v>
      </c>
      <c r="AA154" s="4">
        <f>(Games[[#This Row],[Keff]]*Games[[#This Row],[MOVMult]])*(Games[[#This Row],[Result]]-Games[[#This Row],[ExpectedWin%]])</f>
        <v>10.866373094757792</v>
      </c>
      <c r="AB154" s="4">
        <f>Games[[#This Row],[PreGmRate]]+Games[[#This Row],[RatingChange]]</f>
        <v>1627.9895529427431</v>
      </c>
      <c r="AC154" s="2">
        <f>IF(Games[[#This Row],[Type]]="R",IF(Games[[#This Row],[Result]]&gt;0.5,1,0),0)</f>
        <v>1</v>
      </c>
      <c r="AD154" s="2">
        <f>IF(Games[[#This Row],[Type]]="R",IF(Games[[#This Row],[Result]]&lt;0.5,1,0),0)</f>
        <v>0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42199</v>
      </c>
      <c r="B155" s="2">
        <v>2015</v>
      </c>
      <c r="C155" s="2">
        <f>COUNTIFS(Games[Team],Games[[#This Row],[Team]],Games[Season],Games[[#This Row],[Season]],Games[Date],"&lt;=" &amp; Games[[#This Row],[Date]])</f>
        <v>12</v>
      </c>
      <c r="D155" s="2" t="s">
        <v>83</v>
      </c>
      <c r="E155" s="2" t="s">
        <v>84</v>
      </c>
      <c r="F155" s="1" t="s">
        <v>76</v>
      </c>
      <c r="G155" s="1" t="s">
        <v>67</v>
      </c>
      <c r="H155" s="1" t="s">
        <v>86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5" s="2">
        <f>Games[[#This Row],[DaysOff]]-Games[[#This Row],[OppDaysOff]]</f>
        <v>0</v>
      </c>
      <c r="L155" s="2">
        <f>Games[[#This Row],[OppDaysOff]]-Games[[#This Row],[DaysOff]]</f>
        <v>0</v>
      </c>
      <c r="M155" s="1">
        <f>MAX(-16, MIN(16, Games[[#This Row],[RestDiff]]*8))</f>
        <v>0</v>
      </c>
      <c r="N155" s="1">
        <f>MAX(-16, MIN(16, Games[[#This Row],[OppRestDiff]]*8))</f>
        <v>0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1503.3994675915865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1617.1231798479853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0.45732819512801914</v>
      </c>
      <c r="R155" s="1">
        <v>79</v>
      </c>
      <c r="S155" s="1">
        <v>85</v>
      </c>
      <c r="T155" s="1">
        <v>0</v>
      </c>
      <c r="U155" s="1">
        <f>Games[[#This Row],[PointsFor]]-Games[[#This Row],[PointsAgainst]]</f>
        <v>-6</v>
      </c>
      <c r="V155" s="1">
        <f>IF(Games[[#This Row],[MOV]]&gt;0,1,IF(Games[[#This Row],[MOV]]=0,0.5,0))</f>
        <v>0</v>
      </c>
      <c r="W155" s="4">
        <f>((ABS(Games[[#This Row],[MOV]])+5)^0.6)/(12+0.01*(ABS(Games[[#This Row],[PreGmRate]]-Games[[#This Row],[OppPreGmRate]])))*IF(Games[[#This Row],[OT]]=1,0.9,1)</f>
        <v>0.32087181602680764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74.2</v>
      </c>
      <c r="Z155" s="4">
        <f>Games[[#This Row],[K]]*Games[[#This Row],[POMult]]</f>
        <v>74.2</v>
      </c>
      <c r="AA155" s="4">
        <f>(Games[[#This Row],[Keff]]*Games[[#This Row],[MOVMult]])*(Games[[#This Row],[Result]]-Games[[#This Row],[ExpectedWin%]])</f>
        <v>-10.888384654031439</v>
      </c>
      <c r="AB155" s="4">
        <f>Games[[#This Row],[PreGmRate]]+Games[[#This Row],[RatingChange]]</f>
        <v>1492.5110829375551</v>
      </c>
      <c r="AC155" s="2">
        <f>IF(Games[[#This Row],[Type]]="R",IF(Games[[#This Row],[Result]]&gt;0.5,1,0),0)</f>
        <v>0</v>
      </c>
      <c r="AD155" s="2">
        <f>IF(Games[[#This Row],[Type]]="R",IF(Games[[#This Row],[Result]]&lt;0.5,1,0),0)</f>
        <v>1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42199</v>
      </c>
      <c r="B156" s="2">
        <v>2015</v>
      </c>
      <c r="C156" s="2">
        <f>COUNTIFS(Games[Team],Games[[#This Row],[Team]],Games[Season],Games[[#This Row],[Season]],Games[Date],"&lt;=" &amp; Games[[#This Row],[Date]])</f>
        <v>14</v>
      </c>
      <c r="D156" s="2" t="s">
        <v>83</v>
      </c>
      <c r="E156" s="2" t="s">
        <v>84</v>
      </c>
      <c r="F156" s="1" t="s">
        <v>79</v>
      </c>
      <c r="G156" s="1" t="s">
        <v>40</v>
      </c>
      <c r="H156" s="1" t="s">
        <v>85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6" s="2">
        <f>Games[[#This Row],[DaysOff]]-Games[[#This Row],[OppDaysOff]]</f>
        <v>0</v>
      </c>
      <c r="L156" s="2">
        <f>Games[[#This Row],[OppDaysOff]]-Games[[#This Row],[DaysOff]]</f>
        <v>0</v>
      </c>
      <c r="M156" s="1">
        <f>MAX(-16, MIN(16, Games[[#This Row],[RestDiff]]*8))</f>
        <v>0</v>
      </c>
      <c r="N156" s="1">
        <f>MAX(-16, MIN(16, Games[[#This Row],[OppRestDiff]]*8))</f>
        <v>0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1456.7986805551518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1624.1195000996349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0.19050703930350205</v>
      </c>
      <c r="R156" s="1">
        <v>71</v>
      </c>
      <c r="S156" s="1">
        <v>80</v>
      </c>
      <c r="T156" s="1">
        <v>0</v>
      </c>
      <c r="U156" s="1">
        <f>Games[[#This Row],[PointsFor]]-Games[[#This Row],[PointsAgainst]]</f>
        <v>-9</v>
      </c>
      <c r="V156" s="1">
        <f>IF(Games[[#This Row],[MOV]]&gt;0,1,IF(Games[[#This Row],[MOV]]=0,0.5,0))</f>
        <v>0</v>
      </c>
      <c r="W156" s="4">
        <f>((ABS(Games[[#This Row],[MOV]])+5)^0.6)/(12+0.01*(ABS(Games[[#This Row],[PreGmRate]]-Games[[#This Row],[OppPreGmRate]])))*IF(Games[[#This Row],[OT]]=1,0.9,1)</f>
        <v>0.35629226558474297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73.900000000000006</v>
      </c>
      <c r="Z156" s="4">
        <f>Games[[#This Row],[K]]*Games[[#This Row],[POMult]]</f>
        <v>73.900000000000006</v>
      </c>
      <c r="AA156" s="4">
        <f>(Games[[#This Row],[Keff]]*Games[[#This Row],[MOVMult]])*(Games[[#This Row],[Result]]-Games[[#This Row],[ExpectedWin%]])</f>
        <v>-5.0160500451388668</v>
      </c>
      <c r="AB156" s="4">
        <f>Games[[#This Row],[PreGmRate]]+Games[[#This Row],[RatingChange]]</f>
        <v>1451.782630510013</v>
      </c>
      <c r="AC156" s="2">
        <f>IF(Games[[#This Row],[Type]]="R",IF(Games[[#This Row],[Result]]&gt;0.5,1,0),0)</f>
        <v>0</v>
      </c>
      <c r="AD156" s="2">
        <f>IF(Games[[#This Row],[Type]]="R",IF(Games[[#This Row],[Result]]&lt;0.5,1,0),0)</f>
        <v>1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42199</v>
      </c>
      <c r="B157" s="2">
        <v>2015</v>
      </c>
      <c r="C157" s="2">
        <f>COUNTIFS(Games[Team],Games[[#This Row],[Team]],Games[Season],Games[[#This Row],[Season]],Games[Date],"&lt;=" &amp; Games[[#This Row],[Date]])</f>
        <v>14</v>
      </c>
      <c r="D157" s="2" t="s">
        <v>83</v>
      </c>
      <c r="E157" s="2" t="s">
        <v>84</v>
      </c>
      <c r="F157" s="1" t="s">
        <v>40</v>
      </c>
      <c r="G157" s="1" t="s">
        <v>79</v>
      </c>
      <c r="H157" s="1" t="s">
        <v>86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7" s="2">
        <f>Games[[#This Row],[DaysOff]]-Games[[#This Row],[OppDaysOff]]</f>
        <v>0</v>
      </c>
      <c r="L157" s="2">
        <f>Games[[#This Row],[OppDaysOff]]-Games[[#This Row],[DaysOff]]</f>
        <v>0</v>
      </c>
      <c r="M157" s="1">
        <f>MAX(-16, MIN(16, Games[[#This Row],[RestDiff]]*8))</f>
        <v>0</v>
      </c>
      <c r="N157" s="1">
        <f>MAX(-16, MIN(16, Games[[#This Row],[OppRestDiff]]*8))</f>
        <v>0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1624.1195000996349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1456.7986805551518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0.80949296069649801</v>
      </c>
      <c r="R157" s="1">
        <v>80</v>
      </c>
      <c r="S157" s="1">
        <v>71</v>
      </c>
      <c r="T157" s="1">
        <v>0</v>
      </c>
      <c r="U157" s="1">
        <f>Games[[#This Row],[PointsFor]]-Games[[#This Row],[PointsAgainst]]</f>
        <v>9</v>
      </c>
      <c r="V157" s="1">
        <f>IF(Games[[#This Row],[MOV]]&gt;0,1,IF(Games[[#This Row],[MOV]]=0,0.5,0))</f>
        <v>1</v>
      </c>
      <c r="W157" s="4">
        <f>((ABS(Games[[#This Row],[MOV]])+5)^0.6)/(12+0.01*(ABS(Games[[#This Row],[PreGmRate]]-Games[[#This Row],[OppPreGmRate]])))*IF(Games[[#This Row],[OT]]=1,0.9,1)</f>
        <v>0.35629226558474297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73.900000000000006</v>
      </c>
      <c r="Z157" s="4">
        <f>Games[[#This Row],[K]]*Games[[#This Row],[POMult]]</f>
        <v>73.900000000000006</v>
      </c>
      <c r="AA157" s="4">
        <f>(Games[[#This Row],[Keff]]*Games[[#This Row],[MOVMult]])*(Games[[#This Row],[Result]]-Games[[#This Row],[ExpectedWin%]])</f>
        <v>5.016050045138865</v>
      </c>
      <c r="AB157" s="4">
        <f>Games[[#This Row],[PreGmRate]]+Games[[#This Row],[RatingChange]]</f>
        <v>1629.1355501447738</v>
      </c>
      <c r="AC157" s="2">
        <f>IF(Games[[#This Row],[Type]]="R",IF(Games[[#This Row],[Result]]&gt;0.5,1,0),0)</f>
        <v>1</v>
      </c>
      <c r="AD157" s="2">
        <f>IF(Games[[#This Row],[Type]]="R",IF(Games[[#This Row],[Result]]&lt;0.5,1,0),0)</f>
        <v>0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42200</v>
      </c>
      <c r="B158" s="2">
        <v>2015</v>
      </c>
      <c r="C158" s="2">
        <f>COUNTIFS(Games[Team],Games[[#This Row],[Team]],Games[Season],Games[[#This Row],[Season]],Games[Date],"&lt;=" &amp; Games[[#This Row],[Date]])</f>
        <v>12</v>
      </c>
      <c r="D158" s="2" t="s">
        <v>83</v>
      </c>
      <c r="E158" s="2" t="s">
        <v>84</v>
      </c>
      <c r="F158" s="1" t="s">
        <v>65</v>
      </c>
      <c r="G158" s="1" t="s">
        <v>77</v>
      </c>
      <c r="H158" s="1" t="s">
        <v>85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5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8" s="2">
        <f>Games[[#This Row],[DaysOff]]-Games[[#This Row],[OppDaysOff]]</f>
        <v>3</v>
      </c>
      <c r="L158" s="2">
        <f>Games[[#This Row],[OppDaysOff]]-Games[[#This Row],[DaysOff]]</f>
        <v>-3</v>
      </c>
      <c r="M158" s="1">
        <f>MAX(-16, MIN(16, Games[[#This Row],[RestDiff]]*8))</f>
        <v>16</v>
      </c>
      <c r="N158" s="1">
        <f>MAX(-16, MIN(16, Games[[#This Row],[OppRestDiff]]*8))</f>
        <v>-16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1496.287254912796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1547.327732598425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0.35591272983040606</v>
      </c>
      <c r="R158" s="1">
        <v>57</v>
      </c>
      <c r="S158" s="1">
        <v>85</v>
      </c>
      <c r="T158" s="1">
        <v>0</v>
      </c>
      <c r="U158" s="1">
        <f>Games[[#This Row],[PointsFor]]-Games[[#This Row],[PointsAgainst]]</f>
        <v>-28</v>
      </c>
      <c r="V158" s="1">
        <f>IF(Games[[#This Row],[MOV]]&gt;0,1,IF(Games[[#This Row],[MOV]]=0,0.5,0))</f>
        <v>0</v>
      </c>
      <c r="W158" s="4">
        <f>((ABS(Games[[#This Row],[MOV]])+5)^0.6)/(12+0.01*(ABS(Games[[#This Row],[PreGmRate]]-Games[[#This Row],[OppPreGmRate]])))*IF(Games[[#This Row],[OT]]=1,0.9,1)</f>
        <v>0.65138387336021841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74.2</v>
      </c>
      <c r="Z158" s="4">
        <f>Games[[#This Row],[K]]*Games[[#This Row],[POMult]]</f>
        <v>74.2</v>
      </c>
      <c r="AA158" s="4">
        <f>(Games[[#This Row],[Keff]]*Games[[#This Row],[MOVMult]])*(Games[[#This Row],[Result]]-Games[[#This Row],[ExpectedWin%]])</f>
        <v>-17.202217290107306</v>
      </c>
      <c r="AB158" s="4">
        <f>Games[[#This Row],[PreGmRate]]+Games[[#This Row],[RatingChange]]</f>
        <v>1479.0850376226888</v>
      </c>
      <c r="AC158" s="2">
        <f>IF(Games[[#This Row],[Type]]="R",IF(Games[[#This Row],[Result]]&gt;0.5,1,0),0)</f>
        <v>0</v>
      </c>
      <c r="AD158" s="2">
        <f>IF(Games[[#This Row],[Type]]="R",IF(Games[[#This Row],[Result]]&lt;0.5,1,0),0)</f>
        <v>1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42200</v>
      </c>
      <c r="B159" s="2">
        <v>2015</v>
      </c>
      <c r="C159" s="2">
        <f>COUNTIFS(Games[Team],Games[[#This Row],[Team]],Games[Season],Games[[#This Row],[Season]],Games[Date],"&lt;=" &amp; Games[[#This Row],[Date]])</f>
        <v>14</v>
      </c>
      <c r="D159" s="2" t="s">
        <v>83</v>
      </c>
      <c r="E159" s="2" t="s">
        <v>84</v>
      </c>
      <c r="F159" s="1" t="s">
        <v>77</v>
      </c>
      <c r="G159" s="1" t="s">
        <v>65</v>
      </c>
      <c r="H159" s="1" t="s">
        <v>86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59" s="2">
        <f>Games[[#This Row],[DaysOff]]-Games[[#This Row],[OppDaysOff]]</f>
        <v>-3</v>
      </c>
      <c r="L159" s="2">
        <f>Games[[#This Row],[OppDaysOff]]-Games[[#This Row],[DaysOff]]</f>
        <v>3</v>
      </c>
      <c r="M159" s="1">
        <f>MAX(-16, MIN(16, Games[[#This Row],[RestDiff]]*8))</f>
        <v>-16</v>
      </c>
      <c r="N159" s="1">
        <f>MAX(-16, MIN(16, Games[[#This Row],[OppRestDiff]]*8))</f>
        <v>16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1547.327732598425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1496.287254912796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0.644087270169594</v>
      </c>
      <c r="R159" s="1">
        <v>85</v>
      </c>
      <c r="S159" s="1">
        <v>57</v>
      </c>
      <c r="T159" s="1">
        <v>0</v>
      </c>
      <c r="U159" s="1">
        <f>Games[[#This Row],[PointsFor]]-Games[[#This Row],[PointsAgainst]]</f>
        <v>28</v>
      </c>
      <c r="V159" s="1">
        <f>IF(Games[[#This Row],[MOV]]&gt;0,1,IF(Games[[#This Row],[MOV]]=0,0.5,0))</f>
        <v>1</v>
      </c>
      <c r="W159" s="4">
        <f>((ABS(Games[[#This Row],[MOV]])+5)^0.6)/(12+0.01*(ABS(Games[[#This Row],[PreGmRate]]-Games[[#This Row],[OppPreGmRate]])))*IF(Games[[#This Row],[OT]]=1,0.9,1)</f>
        <v>0.65138387336021841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73.900000000000006</v>
      </c>
      <c r="Z159" s="4">
        <f>Games[[#This Row],[K]]*Games[[#This Row],[POMult]]</f>
        <v>73.900000000000006</v>
      </c>
      <c r="AA159" s="4">
        <f>(Games[[#This Row],[Keff]]*Games[[#This Row],[MOVMult]])*(Games[[#This Row],[Result]]-Games[[#This Row],[ExpectedWin%]])</f>
        <v>17.132666546346758</v>
      </c>
      <c r="AB159" s="4">
        <f>Games[[#This Row],[PreGmRate]]+Games[[#This Row],[RatingChange]]</f>
        <v>1564.4603991447718</v>
      </c>
      <c r="AC159" s="2">
        <f>IF(Games[[#This Row],[Type]]="R",IF(Games[[#This Row],[Result]]&gt;0.5,1,0),0)</f>
        <v>1</v>
      </c>
      <c r="AD159" s="2">
        <f>IF(Games[[#This Row],[Type]]="R",IF(Games[[#This Row],[Result]]&lt;0.5,1,0),0)</f>
        <v>0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42200</v>
      </c>
      <c r="B160" s="2">
        <v>2015</v>
      </c>
      <c r="C160" s="2">
        <f>COUNTIFS(Games[Team],Games[[#This Row],[Team]],Games[Season],Games[[#This Row],[Season]],Games[Date],"&lt;=" &amp; Games[[#This Row],[Date]])</f>
        <v>15</v>
      </c>
      <c r="D160" s="2" t="s">
        <v>83</v>
      </c>
      <c r="E160" s="2" t="s">
        <v>84</v>
      </c>
      <c r="F160" s="1" t="s">
        <v>81</v>
      </c>
      <c r="G160" s="1" t="s">
        <v>69</v>
      </c>
      <c r="H160" s="1" t="s">
        <v>85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60" s="2">
        <f>Games[[#This Row],[DaysOff]]-Games[[#This Row],[OppDaysOff]]</f>
        <v>-1</v>
      </c>
      <c r="L160" s="2">
        <f>Games[[#This Row],[OppDaysOff]]-Games[[#This Row],[DaysOff]]</f>
        <v>1</v>
      </c>
      <c r="M160" s="1">
        <f>MAX(-16, MIN(16, Games[[#This Row],[RestDiff]]*8))</f>
        <v>-8</v>
      </c>
      <c r="N160" s="1">
        <f>MAX(-16, MIN(16, Games[[#This Row],[OppRestDiff]]*8))</f>
        <v>8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1544.3193497049824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1508.9747256974533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0.40801284932505288</v>
      </c>
      <c r="R160" s="1">
        <v>80</v>
      </c>
      <c r="S160" s="1">
        <v>83</v>
      </c>
      <c r="T160" s="1">
        <v>0</v>
      </c>
      <c r="U160" s="1">
        <f>Games[[#This Row],[PointsFor]]-Games[[#This Row],[PointsAgainst]]</f>
        <v>-3</v>
      </c>
      <c r="V160" s="1">
        <f>IF(Games[[#This Row],[MOV]]&gt;0,1,IF(Games[[#This Row],[MOV]]=0,0.5,0))</f>
        <v>0</v>
      </c>
      <c r="W160" s="4">
        <f>((ABS(Games[[#This Row],[MOV]])+5)^0.6)/(12+0.01*(ABS(Games[[#This Row],[PreGmRate]]-Games[[#This Row],[OppPreGmRate]])))*IF(Games[[#This Row],[OT]]=1,0.9,1)</f>
        <v>0.28188103833633338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73.75</v>
      </c>
      <c r="Z160" s="4">
        <f>Games[[#This Row],[K]]*Games[[#This Row],[POMult]]</f>
        <v>73.75</v>
      </c>
      <c r="AA160" s="4">
        <f>(Games[[#This Row],[Keff]]*Games[[#This Row],[MOVMult]])*(Games[[#This Row],[Result]]-Games[[#This Row],[ExpectedWin%]])</f>
        <v>-8.482067564645499</v>
      </c>
      <c r="AB160" s="4">
        <f>Games[[#This Row],[PreGmRate]]+Games[[#This Row],[RatingChange]]</f>
        <v>1535.8372821403368</v>
      </c>
      <c r="AC160" s="2">
        <f>IF(Games[[#This Row],[Type]]="R",IF(Games[[#This Row],[Result]]&gt;0.5,1,0),0)</f>
        <v>0</v>
      </c>
      <c r="AD160" s="2">
        <f>IF(Games[[#This Row],[Type]]="R",IF(Games[[#This Row],[Result]]&lt;0.5,1,0),0)</f>
        <v>1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42200</v>
      </c>
      <c r="B161" s="2">
        <v>2015</v>
      </c>
      <c r="C161" s="2">
        <f>COUNTIFS(Games[Team],Games[[#This Row],[Team]],Games[Season],Games[[#This Row],[Season]],Games[Date],"&lt;=" &amp; Games[[#This Row],[Date]])</f>
        <v>14</v>
      </c>
      <c r="D161" s="2" t="s">
        <v>83</v>
      </c>
      <c r="E161" s="2" t="s">
        <v>84</v>
      </c>
      <c r="F161" s="1" t="s">
        <v>69</v>
      </c>
      <c r="G161" s="1" t="s">
        <v>81</v>
      </c>
      <c r="H161" s="1" t="s">
        <v>86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1" s="2">
        <f>Games[[#This Row],[DaysOff]]-Games[[#This Row],[OppDaysOff]]</f>
        <v>1</v>
      </c>
      <c r="L161" s="2">
        <f>Games[[#This Row],[OppDaysOff]]-Games[[#This Row],[DaysOff]]</f>
        <v>-1</v>
      </c>
      <c r="M161" s="1">
        <f>MAX(-16, MIN(16, Games[[#This Row],[RestDiff]]*8))</f>
        <v>8</v>
      </c>
      <c r="N161" s="1">
        <f>MAX(-16, MIN(16, Games[[#This Row],[OppRestDiff]]*8))</f>
        <v>-8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1508.9747256974533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1544.3193497049824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0.59198715067494712</v>
      </c>
      <c r="R161" s="1">
        <v>83</v>
      </c>
      <c r="S161" s="1">
        <v>80</v>
      </c>
      <c r="T161" s="1">
        <v>0</v>
      </c>
      <c r="U161" s="1">
        <f>Games[[#This Row],[PointsFor]]-Games[[#This Row],[PointsAgainst]]</f>
        <v>3</v>
      </c>
      <c r="V161" s="1">
        <f>IF(Games[[#This Row],[MOV]]&gt;0,1,IF(Games[[#This Row],[MOV]]=0,0.5,0))</f>
        <v>1</v>
      </c>
      <c r="W161" s="4">
        <f>((ABS(Games[[#This Row],[MOV]])+5)^0.6)/(12+0.01*(ABS(Games[[#This Row],[PreGmRate]]-Games[[#This Row],[OppPreGmRate]])))*IF(Games[[#This Row],[OT]]=1,0.9,1)</f>
        <v>0.28188103833633338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73.900000000000006</v>
      </c>
      <c r="Z161" s="4">
        <f>Games[[#This Row],[K]]*Games[[#This Row],[POMult]]</f>
        <v>73.900000000000006</v>
      </c>
      <c r="AA161" s="4">
        <f>(Games[[#This Row],[Keff]]*Games[[#This Row],[MOVMult]])*(Games[[#This Row],[Result]]-Games[[#This Row],[ExpectedWin%]])</f>
        <v>8.4993192274888472</v>
      </c>
      <c r="AB161" s="4">
        <f>Games[[#This Row],[PreGmRate]]+Games[[#This Row],[RatingChange]]</f>
        <v>1517.4740449249421</v>
      </c>
      <c r="AC161" s="2">
        <f>IF(Games[[#This Row],[Type]]="R",IF(Games[[#This Row],[Result]]&gt;0.5,1,0),0)</f>
        <v>1</v>
      </c>
      <c r="AD161" s="2">
        <f>IF(Games[[#This Row],[Type]]="R",IF(Games[[#This Row],[Result]]&lt;0.5,1,0),0)</f>
        <v>0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42200</v>
      </c>
      <c r="B162" s="2">
        <v>2015</v>
      </c>
      <c r="C162" s="2">
        <f>COUNTIFS(Games[Team],Games[[#This Row],[Team]],Games[Season],Games[[#This Row],[Season]],Games[Date],"&lt;=" &amp; Games[[#This Row],[Date]])</f>
        <v>14</v>
      </c>
      <c r="D162" s="2" t="s">
        <v>83</v>
      </c>
      <c r="E162" s="2" t="s">
        <v>84</v>
      </c>
      <c r="F162" s="1" t="s">
        <v>74</v>
      </c>
      <c r="G162" s="1" t="s">
        <v>60</v>
      </c>
      <c r="H162" s="1" t="s">
        <v>85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2" s="2">
        <f>Games[[#This Row],[DaysOff]]-Games[[#This Row],[OppDaysOff]]</f>
        <v>0</v>
      </c>
      <c r="L162" s="2">
        <f>Games[[#This Row],[OppDaysOff]]-Games[[#This Row],[DaysOff]]</f>
        <v>0</v>
      </c>
      <c r="M162" s="1">
        <f>MAX(-16, MIN(16, Games[[#This Row],[RestDiff]]*8))</f>
        <v>0</v>
      </c>
      <c r="N162" s="1">
        <f>MAX(-16, MIN(16, Games[[#This Row],[OppRestDiff]]*8))</f>
        <v>0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1411.6708376962035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1491.0385776336716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0.28081545041973061</v>
      </c>
      <c r="R162" s="1">
        <v>68</v>
      </c>
      <c r="S162" s="1">
        <v>84</v>
      </c>
      <c r="T162" s="1">
        <v>0</v>
      </c>
      <c r="U162" s="1">
        <f>Games[[#This Row],[PointsFor]]-Games[[#This Row],[PointsAgainst]]</f>
        <v>-16</v>
      </c>
      <c r="V162" s="1">
        <f>IF(Games[[#This Row],[MOV]]&gt;0,1,IF(Games[[#This Row],[MOV]]=0,0.5,0))</f>
        <v>0</v>
      </c>
      <c r="W162" s="4">
        <f>((ABS(Games[[#This Row],[MOV]])+5)^0.6)/(12+0.01*(ABS(Games[[#This Row],[PreGmRate]]-Games[[#This Row],[OppPreGmRate]])))*IF(Games[[#This Row],[OT]]=1,0.9,1)</f>
        <v>0.48566430068530869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73.900000000000006</v>
      </c>
      <c r="Z162" s="4">
        <f>Games[[#This Row],[K]]*Games[[#This Row],[POMult]]</f>
        <v>73.900000000000006</v>
      </c>
      <c r="AA162" s="4">
        <f>(Games[[#This Row],[Keff]]*Games[[#This Row],[MOVMult]])*(Games[[#This Row],[Result]]-Games[[#This Row],[ExpectedWin%]])</f>
        <v>-10.078632707944934</v>
      </c>
      <c r="AB162" s="4">
        <f>Games[[#This Row],[PreGmRate]]+Games[[#This Row],[RatingChange]]</f>
        <v>1401.5922049882586</v>
      </c>
      <c r="AC162" s="2">
        <f>IF(Games[[#This Row],[Type]]="R",IF(Games[[#This Row],[Result]]&gt;0.5,1,0),0)</f>
        <v>0</v>
      </c>
      <c r="AD162" s="2">
        <f>IF(Games[[#This Row],[Type]]="R",IF(Games[[#This Row],[Result]]&lt;0.5,1,0),0)</f>
        <v>1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42200</v>
      </c>
      <c r="B163" s="2">
        <v>2015</v>
      </c>
      <c r="C163" s="2">
        <f>COUNTIFS(Games[Team],Games[[#This Row],[Team]],Games[Season],Games[[#This Row],[Season]],Games[Date],"&lt;=" &amp; Games[[#This Row],[Date]])</f>
        <v>13</v>
      </c>
      <c r="D163" s="2" t="s">
        <v>83</v>
      </c>
      <c r="E163" s="2" t="s">
        <v>84</v>
      </c>
      <c r="F163" s="1" t="s">
        <v>60</v>
      </c>
      <c r="G163" s="1" t="s">
        <v>74</v>
      </c>
      <c r="H163" s="1" t="s">
        <v>86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3" s="2">
        <f>Games[[#This Row],[DaysOff]]-Games[[#This Row],[OppDaysOff]]</f>
        <v>0</v>
      </c>
      <c r="L163" s="2">
        <f>Games[[#This Row],[OppDaysOff]]-Games[[#This Row],[DaysOff]]</f>
        <v>0</v>
      </c>
      <c r="M163" s="1">
        <f>MAX(-16, MIN(16, Games[[#This Row],[RestDiff]]*8))</f>
        <v>0</v>
      </c>
      <c r="N163" s="1">
        <f>MAX(-16, MIN(16, Games[[#This Row],[OppRestDiff]]*8))</f>
        <v>0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1491.0385776336716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1411.6708376962035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0.71918454958026934</v>
      </c>
      <c r="R163" s="1">
        <v>84</v>
      </c>
      <c r="S163" s="1">
        <v>68</v>
      </c>
      <c r="T163" s="1">
        <v>0</v>
      </c>
      <c r="U163" s="1">
        <f>Games[[#This Row],[PointsFor]]-Games[[#This Row],[PointsAgainst]]</f>
        <v>16</v>
      </c>
      <c r="V163" s="1">
        <f>IF(Games[[#This Row],[MOV]]&gt;0,1,IF(Games[[#This Row],[MOV]]=0,0.5,0))</f>
        <v>1</v>
      </c>
      <c r="W163" s="4">
        <f>((ABS(Games[[#This Row],[MOV]])+5)^0.6)/(12+0.01*(ABS(Games[[#This Row],[PreGmRate]]-Games[[#This Row],[OppPreGmRate]])))*IF(Games[[#This Row],[OT]]=1,0.9,1)</f>
        <v>0.48566430068530869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74.05</v>
      </c>
      <c r="Z163" s="4">
        <f>Games[[#This Row],[K]]*Games[[#This Row],[POMult]]</f>
        <v>74.05</v>
      </c>
      <c r="AA163" s="4">
        <f>(Games[[#This Row],[Keff]]*Games[[#This Row],[MOVMult]])*(Games[[#This Row],[Result]]-Games[[#This Row],[ExpectedWin%]])</f>
        <v>10.099090013847393</v>
      </c>
      <c r="AB163" s="4">
        <f>Games[[#This Row],[PreGmRate]]+Games[[#This Row],[RatingChange]]</f>
        <v>1501.137667647519</v>
      </c>
      <c r="AC163" s="2">
        <f>IF(Games[[#This Row],[Type]]="R",IF(Games[[#This Row],[Result]]&gt;0.5,1,0),0)</f>
        <v>1</v>
      </c>
      <c r="AD163" s="2">
        <f>IF(Games[[#This Row],[Type]]="R",IF(Games[[#This Row],[Result]]&lt;0.5,1,0),0)</f>
        <v>0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42200</v>
      </c>
      <c r="B164" s="2">
        <v>2015</v>
      </c>
      <c r="C164" s="2">
        <f>COUNTIFS(Games[Team],Games[[#This Row],[Team]],Games[Season],Games[[#This Row],[Season]],Games[Date],"&lt;=" &amp; Games[[#This Row],[Date]])</f>
        <v>13</v>
      </c>
      <c r="D164" s="2" t="s">
        <v>83</v>
      </c>
      <c r="E164" s="2" t="s">
        <v>84</v>
      </c>
      <c r="F164" s="1" t="s">
        <v>63</v>
      </c>
      <c r="G164" s="1" t="s">
        <v>71</v>
      </c>
      <c r="H164" s="1" t="s">
        <v>85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4" s="2">
        <f>Games[[#This Row],[DaysOff]]-Games[[#This Row],[OppDaysOff]]</f>
        <v>1</v>
      </c>
      <c r="L164" s="2">
        <f>Games[[#This Row],[OppDaysOff]]-Games[[#This Row],[DaysOff]]</f>
        <v>-1</v>
      </c>
      <c r="M164" s="1">
        <f>MAX(-16, MIN(16, Games[[#This Row],[RestDiff]]*8))</f>
        <v>8</v>
      </c>
      <c r="N164" s="1">
        <f>MAX(-16, MIN(16, Games[[#This Row],[OppRestDiff]]*8))</f>
        <v>-8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1413.6594228492002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1385.9221832981013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0.44231522419799674</v>
      </c>
      <c r="R164" s="1">
        <v>61</v>
      </c>
      <c r="S164" s="1">
        <v>68</v>
      </c>
      <c r="T164" s="1">
        <v>0</v>
      </c>
      <c r="U164" s="1">
        <f>Games[[#This Row],[PointsFor]]-Games[[#This Row],[PointsAgainst]]</f>
        <v>-7</v>
      </c>
      <c r="V164" s="1">
        <f>IF(Games[[#This Row],[MOV]]&gt;0,1,IF(Games[[#This Row],[MOV]]=0,0.5,0))</f>
        <v>0</v>
      </c>
      <c r="W164" s="4">
        <f>((ABS(Games[[#This Row],[MOV]])+5)^0.6)/(12+0.01*(ABS(Games[[#This Row],[PreGmRate]]-Games[[#This Row],[OppPreGmRate]])))*IF(Games[[#This Row],[OT]]=1,0.9,1)</f>
        <v>0.36174565100507344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74.05</v>
      </c>
      <c r="Z164" s="4">
        <f>Games[[#This Row],[K]]*Games[[#This Row],[POMult]]</f>
        <v>74.05</v>
      </c>
      <c r="AA164" s="4">
        <f>(Games[[#This Row],[Keff]]*Games[[#This Row],[MOVMult]])*(Games[[#This Row],[Result]]-Games[[#This Row],[ExpectedWin%]])</f>
        <v>-11.84841532623134</v>
      </c>
      <c r="AB164" s="4">
        <f>Games[[#This Row],[PreGmRate]]+Games[[#This Row],[RatingChange]]</f>
        <v>1401.8110075229688</v>
      </c>
      <c r="AC164" s="2">
        <f>IF(Games[[#This Row],[Type]]="R",IF(Games[[#This Row],[Result]]&gt;0.5,1,0),0)</f>
        <v>0</v>
      </c>
      <c r="AD164" s="2">
        <f>IF(Games[[#This Row],[Type]]="R",IF(Games[[#This Row],[Result]]&lt;0.5,1,0),0)</f>
        <v>1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42200</v>
      </c>
      <c r="B165" s="2">
        <v>2015</v>
      </c>
      <c r="C165" s="2">
        <f>COUNTIFS(Games[Team],Games[[#This Row],[Team]],Games[Season],Games[[#This Row],[Season]],Games[Date],"&lt;=" &amp; Games[[#This Row],[Date]])</f>
        <v>16</v>
      </c>
      <c r="D165" s="2" t="s">
        <v>83</v>
      </c>
      <c r="E165" s="2" t="s">
        <v>84</v>
      </c>
      <c r="F165" s="1" t="s">
        <v>71</v>
      </c>
      <c r="G165" s="1" t="s">
        <v>63</v>
      </c>
      <c r="H165" s="1" t="s">
        <v>86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5" s="2">
        <f>Games[[#This Row],[DaysOff]]-Games[[#This Row],[OppDaysOff]]</f>
        <v>-1</v>
      </c>
      <c r="L165" s="2">
        <f>Games[[#This Row],[OppDaysOff]]-Games[[#This Row],[DaysOff]]</f>
        <v>1</v>
      </c>
      <c r="M165" s="1">
        <f>MAX(-16, MIN(16, Games[[#This Row],[RestDiff]]*8))</f>
        <v>-8</v>
      </c>
      <c r="N165" s="1">
        <f>MAX(-16, MIN(16, Games[[#This Row],[OppRestDiff]]*8))</f>
        <v>8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1385.9221832981013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1413.6594228492002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0.55768477580200326</v>
      </c>
      <c r="R165" s="1">
        <v>68</v>
      </c>
      <c r="S165" s="1">
        <v>61</v>
      </c>
      <c r="T165" s="1">
        <v>0</v>
      </c>
      <c r="U165" s="1">
        <f>Games[[#This Row],[PointsFor]]-Games[[#This Row],[PointsAgainst]]</f>
        <v>7</v>
      </c>
      <c r="V165" s="1">
        <f>IF(Games[[#This Row],[MOV]]&gt;0,1,IF(Games[[#This Row],[MOV]]=0,0.5,0))</f>
        <v>1</v>
      </c>
      <c r="W165" s="4">
        <f>((ABS(Games[[#This Row],[MOV]])+5)^0.6)/(12+0.01*(ABS(Games[[#This Row],[PreGmRate]]-Games[[#This Row],[OppPreGmRate]])))*IF(Games[[#This Row],[OT]]=1,0.9,1)</f>
        <v>0.36174565100507344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73.599999999999994</v>
      </c>
      <c r="Z165" s="4">
        <f>Games[[#This Row],[K]]*Games[[#This Row],[POMult]]</f>
        <v>73.599999999999994</v>
      </c>
      <c r="AA165" s="4">
        <f>(Games[[#This Row],[Keff]]*Games[[#This Row],[MOVMult]])*(Games[[#This Row],[Result]]-Games[[#This Row],[ExpectedWin%]])</f>
        <v>11.776412802304206</v>
      </c>
      <c r="AB165" s="4">
        <f>Games[[#This Row],[PreGmRate]]+Games[[#This Row],[RatingChange]]</f>
        <v>1397.6985961004054</v>
      </c>
      <c r="AC165" s="2">
        <f>IF(Games[[#This Row],[Type]]="R",IF(Games[[#This Row],[Result]]&gt;0.5,1,0),0)</f>
        <v>1</v>
      </c>
      <c r="AD165" s="2">
        <f>IF(Games[[#This Row],[Type]]="R",IF(Games[[#This Row],[Result]]&lt;0.5,1,0),0)</f>
        <v>0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42201</v>
      </c>
      <c r="B166" s="2">
        <v>2015</v>
      </c>
      <c r="C166" s="2">
        <f>COUNTIFS(Games[Team],Games[[#This Row],[Team]],Games[Season],Games[[#This Row],[Season]],Games[Date],"&lt;=" &amp; Games[[#This Row],[Date]])</f>
        <v>15</v>
      </c>
      <c r="D166" s="2" t="s">
        <v>83</v>
      </c>
      <c r="E166" s="2" t="s">
        <v>84</v>
      </c>
      <c r="F166" s="1" t="s">
        <v>79</v>
      </c>
      <c r="G166" s="1" t="s">
        <v>63</v>
      </c>
      <c r="H166" s="1" t="s">
        <v>85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66" s="2">
        <f>Games[[#This Row],[DaysOff]]-Games[[#This Row],[OppDaysOff]]</f>
        <v>1</v>
      </c>
      <c r="L166" s="2">
        <f>Games[[#This Row],[OppDaysOff]]-Games[[#This Row],[DaysOff]]</f>
        <v>-1</v>
      </c>
      <c r="M166" s="1">
        <f>MAX(-16, MIN(16, Games[[#This Row],[RestDiff]]*8))</f>
        <v>8</v>
      </c>
      <c r="N166" s="1">
        <f>MAX(-16, MIN(16, Games[[#This Row],[OppRestDiff]]*8))</f>
        <v>-8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1451.782630510013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1401.8110075229688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0.47407834089305712</v>
      </c>
      <c r="R166" s="1">
        <v>76</v>
      </c>
      <c r="S166" s="1">
        <v>72</v>
      </c>
      <c r="T166" s="1">
        <v>0</v>
      </c>
      <c r="U166" s="1">
        <f>Games[[#This Row],[PointsFor]]-Games[[#This Row],[PointsAgainst]]</f>
        <v>4</v>
      </c>
      <c r="V166" s="1">
        <f>IF(Games[[#This Row],[MOV]]&gt;0,1,IF(Games[[#This Row],[MOV]]=0,0.5,0))</f>
        <v>1</v>
      </c>
      <c r="W166" s="4">
        <f>((ABS(Games[[#This Row],[MOV]])+5)^0.6)/(12+0.01*(ABS(Games[[#This Row],[PreGmRate]]-Games[[#This Row],[OppPreGmRate]])))*IF(Games[[#This Row],[OT]]=1,0.9,1)</f>
        <v>0.29898221288542703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73.75</v>
      </c>
      <c r="Z166" s="4">
        <f>Games[[#This Row],[K]]*Games[[#This Row],[POMult]]</f>
        <v>73.75</v>
      </c>
      <c r="AA166" s="4">
        <f>(Games[[#This Row],[Keff]]*Games[[#This Row],[MOVMult]])*(Games[[#This Row],[Result]]-Games[[#This Row],[ExpectedWin%]])</f>
        <v>11.596540081507461</v>
      </c>
      <c r="AB166" s="4">
        <f>Games[[#This Row],[PreGmRate]]+Games[[#This Row],[RatingChange]]</f>
        <v>1463.3791705915205</v>
      </c>
      <c r="AC166" s="2">
        <f>IF(Games[[#This Row],[Type]]="R",IF(Games[[#This Row],[Result]]&gt;0.5,1,0),0)</f>
        <v>1</v>
      </c>
      <c r="AD166" s="2">
        <f>IF(Games[[#This Row],[Type]]="R",IF(Games[[#This Row],[Result]]&lt;0.5,1,0),0)</f>
        <v>0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42201</v>
      </c>
      <c r="B167" s="2">
        <v>2015</v>
      </c>
      <c r="C167" s="2">
        <f>COUNTIFS(Games[Team],Games[[#This Row],[Team]],Games[Season],Games[[#This Row],[Season]],Games[Date],"&lt;=" &amp; Games[[#This Row],[Date]])</f>
        <v>14</v>
      </c>
      <c r="D167" s="2" t="s">
        <v>83</v>
      </c>
      <c r="E167" s="2" t="s">
        <v>84</v>
      </c>
      <c r="F167" s="1" t="s">
        <v>63</v>
      </c>
      <c r="G167" s="1" t="s">
        <v>79</v>
      </c>
      <c r="H167" s="1" t="s">
        <v>86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7" s="2">
        <f>Games[[#This Row],[DaysOff]]-Games[[#This Row],[OppDaysOff]]</f>
        <v>-1</v>
      </c>
      <c r="L167" s="2">
        <f>Games[[#This Row],[OppDaysOff]]-Games[[#This Row],[DaysOff]]</f>
        <v>1</v>
      </c>
      <c r="M167" s="1">
        <f>MAX(-16, MIN(16, Games[[#This Row],[RestDiff]]*8))</f>
        <v>-8</v>
      </c>
      <c r="N167" s="1">
        <f>MAX(-16, MIN(16, Games[[#This Row],[OppRestDiff]]*8))</f>
        <v>8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1401.8110075229688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1451.782630510013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0.52592165910694288</v>
      </c>
      <c r="R167" s="1">
        <v>72</v>
      </c>
      <c r="S167" s="1">
        <v>76</v>
      </c>
      <c r="T167" s="1">
        <v>0</v>
      </c>
      <c r="U167" s="1">
        <f>Games[[#This Row],[PointsFor]]-Games[[#This Row],[PointsAgainst]]</f>
        <v>-4</v>
      </c>
      <c r="V167" s="1">
        <f>IF(Games[[#This Row],[MOV]]&gt;0,1,IF(Games[[#This Row],[MOV]]=0,0.5,0))</f>
        <v>0</v>
      </c>
      <c r="W167" s="4">
        <f>((ABS(Games[[#This Row],[MOV]])+5)^0.6)/(12+0.01*(ABS(Games[[#This Row],[PreGmRate]]-Games[[#This Row],[OppPreGmRate]])))*IF(Games[[#This Row],[OT]]=1,0.9,1)</f>
        <v>0.29898221288542703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73.900000000000006</v>
      </c>
      <c r="Z167" s="4">
        <f>Games[[#This Row],[K]]*Games[[#This Row],[POMult]]</f>
        <v>73.900000000000006</v>
      </c>
      <c r="AA167" s="4">
        <f>(Games[[#This Row],[Keff]]*Games[[#This Row],[MOVMult]])*(Games[[#This Row],[Result]]-Games[[#This Row],[ExpectedWin%]])</f>
        <v>-11.620126264724089</v>
      </c>
      <c r="AB167" s="4">
        <f>Games[[#This Row],[PreGmRate]]+Games[[#This Row],[RatingChange]]</f>
        <v>1390.1908812582446</v>
      </c>
      <c r="AC167" s="2">
        <f>IF(Games[[#This Row],[Type]]="R",IF(Games[[#This Row],[Result]]&gt;0.5,1,0),0)</f>
        <v>0</v>
      </c>
      <c r="AD167" s="2">
        <f>IF(Games[[#This Row],[Type]]="R",IF(Games[[#This Row],[Result]]&lt;0.5,1,0),0)</f>
        <v>1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42201</v>
      </c>
      <c r="B168" s="2">
        <v>2015</v>
      </c>
      <c r="C168" s="2">
        <f>COUNTIFS(Games[Team],Games[[#This Row],[Team]],Games[Season],Games[[#This Row],[Season]],Games[Date],"&lt;=" &amp; Games[[#This Row],[Date]])</f>
        <v>13</v>
      </c>
      <c r="D168" s="2" t="s">
        <v>83</v>
      </c>
      <c r="E168" s="2" t="s">
        <v>84</v>
      </c>
      <c r="F168" s="1" t="s">
        <v>76</v>
      </c>
      <c r="G168" s="1" t="s">
        <v>60</v>
      </c>
      <c r="H168" s="1" t="s">
        <v>85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68" s="2">
        <f>Games[[#This Row],[DaysOff]]-Games[[#This Row],[OppDaysOff]]</f>
        <v>1</v>
      </c>
      <c r="L168" s="2">
        <f>Games[[#This Row],[OppDaysOff]]-Games[[#This Row],[DaysOff]]</f>
        <v>-1</v>
      </c>
      <c r="M168" s="1">
        <f>MAX(-16, MIN(16, Games[[#This Row],[RestDiff]]*8))</f>
        <v>8</v>
      </c>
      <c r="N168" s="1">
        <f>MAX(-16, MIN(16, Games[[#This Row],[OppRestDiff]]*8))</f>
        <v>-8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1492.5110829375551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1501.137667647519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0.39147935008785012</v>
      </c>
      <c r="R168" s="1">
        <v>57</v>
      </c>
      <c r="S168" s="1">
        <v>64</v>
      </c>
      <c r="T168" s="1">
        <v>0</v>
      </c>
      <c r="U168" s="1">
        <f>Games[[#This Row],[PointsFor]]-Games[[#This Row],[PointsAgainst]]</f>
        <v>-7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0.36746552872752031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74.05</v>
      </c>
      <c r="Z168" s="4">
        <f>Games[[#This Row],[K]]*Games[[#This Row],[POMult]]</f>
        <v>74.05</v>
      </c>
      <c r="AA168" s="4">
        <f>(Games[[#This Row],[Keff]]*Games[[#This Row],[MOVMult]])*(Games[[#This Row],[Result]]-Games[[#This Row],[ExpectedWin%]])</f>
        <v>-10.652475069397699</v>
      </c>
      <c r="AB168" s="4">
        <f>Games[[#This Row],[PreGmRate]]+Games[[#This Row],[RatingChange]]</f>
        <v>1481.8586078681574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42201</v>
      </c>
      <c r="B169" s="2">
        <v>2015</v>
      </c>
      <c r="C169" s="2">
        <f>COUNTIFS(Games[Team],Games[[#This Row],[Team]],Games[Season],Games[[#This Row],[Season]],Games[Date],"&lt;=" &amp; Games[[#This Row],[Date]])</f>
        <v>14</v>
      </c>
      <c r="D169" s="2" t="s">
        <v>83</v>
      </c>
      <c r="E169" s="2" t="s">
        <v>84</v>
      </c>
      <c r="F169" s="1" t="s">
        <v>60</v>
      </c>
      <c r="G169" s="1" t="s">
        <v>76</v>
      </c>
      <c r="H169" s="1" t="s">
        <v>86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9" s="2">
        <f>Games[[#This Row],[DaysOff]]-Games[[#This Row],[OppDaysOff]]</f>
        <v>-1</v>
      </c>
      <c r="L169" s="2">
        <f>Games[[#This Row],[OppDaysOff]]-Games[[#This Row],[DaysOff]]</f>
        <v>1</v>
      </c>
      <c r="M169" s="1">
        <f>MAX(-16, MIN(16, Games[[#This Row],[RestDiff]]*8))</f>
        <v>-8</v>
      </c>
      <c r="N169" s="1">
        <f>MAX(-16, MIN(16, Games[[#This Row],[OppRestDiff]]*8))</f>
        <v>8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1501.137667647519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1492.5110829375551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0.60852064991214982</v>
      </c>
      <c r="R169" s="1">
        <v>64</v>
      </c>
      <c r="S169" s="1">
        <v>57</v>
      </c>
      <c r="T169" s="1">
        <v>0</v>
      </c>
      <c r="U169" s="1">
        <f>Games[[#This Row],[PointsFor]]-Games[[#This Row],[PointsAgainst]]</f>
        <v>7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0.36746552872752031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73.900000000000006</v>
      </c>
      <c r="Z169" s="4">
        <f>Games[[#This Row],[K]]*Games[[#This Row],[POMult]]</f>
        <v>73.900000000000006</v>
      </c>
      <c r="AA169" s="4">
        <f>(Games[[#This Row],[Keff]]*Games[[#This Row],[MOVMult]])*(Games[[#This Row],[Result]]-Games[[#This Row],[ExpectedWin%]])</f>
        <v>10.630896794442812</v>
      </c>
      <c r="AB169" s="4">
        <f>Games[[#This Row],[PreGmRate]]+Games[[#This Row],[RatingChange]]</f>
        <v>1511.7685644419619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42202</v>
      </c>
      <c r="B170" s="2">
        <v>2015</v>
      </c>
      <c r="C170" s="2">
        <f>COUNTIFS(Games[Team],Games[[#This Row],[Team]],Games[Season],Games[[#This Row],[Season]],Games[Date],"&lt;=" &amp; Games[[#This Row],[Date]])</f>
        <v>15</v>
      </c>
      <c r="D170" s="2" t="s">
        <v>83</v>
      </c>
      <c r="E170" s="2" t="s">
        <v>84</v>
      </c>
      <c r="F170" s="1" t="s">
        <v>77</v>
      </c>
      <c r="G170" s="1" t="s">
        <v>67</v>
      </c>
      <c r="H170" s="1" t="s">
        <v>85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0" s="2">
        <f>Games[[#This Row],[DaysOff]]-Games[[#This Row],[OppDaysOff]]</f>
        <v>-1</v>
      </c>
      <c r="L170" s="2">
        <f>Games[[#This Row],[OppDaysOff]]-Games[[#This Row],[DaysOff]]</f>
        <v>1</v>
      </c>
      <c r="M170" s="1">
        <f>MAX(-16, MIN(16, Games[[#This Row],[RestDiff]]*8))</f>
        <v>-8</v>
      </c>
      <c r="N170" s="1">
        <f>MAX(-16, MIN(16, Games[[#This Row],[OppRestDiff]]*8))</f>
        <v>8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1564.4603991447718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1627.9895529427431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0.28062783462435287</v>
      </c>
      <c r="R170" s="1">
        <v>66</v>
      </c>
      <c r="S170" s="1">
        <v>84</v>
      </c>
      <c r="T170" s="1">
        <v>0</v>
      </c>
      <c r="U170" s="1">
        <f>Games[[#This Row],[PointsFor]]-Games[[#This Row],[PointsAgainst]]</f>
        <v>-18</v>
      </c>
      <c r="V170" s="1">
        <f>IF(Games[[#This Row],[MOV]]&gt;0,1,IF(Games[[#This Row],[MOV]]=0,0.5,0))</f>
        <v>0</v>
      </c>
      <c r="W170" s="4">
        <f>((ABS(Games[[#This Row],[MOV]])+5)^0.6)/(12+0.01*(ABS(Games[[#This Row],[PreGmRate]]-Games[[#This Row],[OppPreGmRate]])))*IF(Games[[#This Row],[OT]]=1,0.9,1)</f>
        <v>0.51933959464183999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73.75</v>
      </c>
      <c r="Z170" s="4">
        <f>Games[[#This Row],[K]]*Games[[#This Row],[POMult]]</f>
        <v>73.75</v>
      </c>
      <c r="AA170" s="4">
        <f>(Games[[#This Row],[Keff]]*Games[[#This Row],[MOVMult]])*(Games[[#This Row],[Result]]-Games[[#This Row],[ExpectedWin%]])</f>
        <v>-10.748409508578369</v>
      </c>
      <c r="AB170" s="4">
        <f>Games[[#This Row],[PreGmRate]]+Games[[#This Row],[RatingChange]]</f>
        <v>1553.7119896361935</v>
      </c>
      <c r="AC170" s="2">
        <f>IF(Games[[#This Row],[Type]]="R",IF(Games[[#This Row],[Result]]&gt;0.5,1,0),0)</f>
        <v>0</v>
      </c>
      <c r="AD170" s="2">
        <f>IF(Games[[#This Row],[Type]]="R",IF(Games[[#This Row],[Result]]&lt;0.5,1,0),0)</f>
        <v>1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42202</v>
      </c>
      <c r="B171" s="2">
        <v>2015</v>
      </c>
      <c r="C171" s="2">
        <f>COUNTIFS(Games[Team],Games[[#This Row],[Team]],Games[Season],Games[[#This Row],[Season]],Games[Date],"&lt;=" &amp; Games[[#This Row],[Date]])</f>
        <v>14</v>
      </c>
      <c r="D171" s="2" t="s">
        <v>83</v>
      </c>
      <c r="E171" s="2" t="s">
        <v>84</v>
      </c>
      <c r="F171" s="1" t="s">
        <v>67</v>
      </c>
      <c r="G171" s="1" t="s">
        <v>77</v>
      </c>
      <c r="H171" s="1" t="s">
        <v>86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1" s="2">
        <f>Games[[#This Row],[DaysOff]]-Games[[#This Row],[OppDaysOff]]</f>
        <v>1</v>
      </c>
      <c r="L171" s="2">
        <f>Games[[#This Row],[OppDaysOff]]-Games[[#This Row],[DaysOff]]</f>
        <v>-1</v>
      </c>
      <c r="M171" s="1">
        <f>MAX(-16, MIN(16, Games[[#This Row],[RestDiff]]*8))</f>
        <v>8</v>
      </c>
      <c r="N171" s="1">
        <f>MAX(-16, MIN(16, Games[[#This Row],[OppRestDiff]]*8))</f>
        <v>-8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1627.9895529427431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1564.4603991447718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0.71937216537564719</v>
      </c>
      <c r="R171" s="1">
        <v>84</v>
      </c>
      <c r="S171" s="1">
        <v>66</v>
      </c>
      <c r="T171" s="1">
        <v>0</v>
      </c>
      <c r="U171" s="1">
        <f>Games[[#This Row],[PointsFor]]-Games[[#This Row],[PointsAgainst]]</f>
        <v>18</v>
      </c>
      <c r="V171" s="1">
        <f>IF(Games[[#This Row],[MOV]]&gt;0,1,IF(Games[[#This Row],[MOV]]=0,0.5,0))</f>
        <v>1</v>
      </c>
      <c r="W171" s="4">
        <f>((ABS(Games[[#This Row],[MOV]])+5)^0.6)/(12+0.01*(ABS(Games[[#This Row],[PreGmRate]]-Games[[#This Row],[OppPreGmRate]])))*IF(Games[[#This Row],[OT]]=1,0.9,1)</f>
        <v>0.51933959464183999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73.900000000000006</v>
      </c>
      <c r="Z171" s="4">
        <f>Games[[#This Row],[K]]*Games[[#This Row],[POMult]]</f>
        <v>73.900000000000006</v>
      </c>
      <c r="AA171" s="4">
        <f>(Games[[#This Row],[Keff]]*Games[[#This Row],[MOVMult]])*(Games[[#This Row],[Result]]-Games[[#This Row],[ExpectedWin%]])</f>
        <v>10.770270680460222</v>
      </c>
      <c r="AB171" s="4">
        <f>Games[[#This Row],[PreGmRate]]+Games[[#This Row],[RatingChange]]</f>
        <v>1638.7598236232034</v>
      </c>
      <c r="AC171" s="2">
        <f>IF(Games[[#This Row],[Type]]="R",IF(Games[[#This Row],[Result]]&gt;0.5,1,0),0)</f>
        <v>1</v>
      </c>
      <c r="AD171" s="2">
        <f>IF(Games[[#This Row],[Type]]="R",IF(Games[[#This Row],[Result]]&lt;0.5,1,0),0)</f>
        <v>0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42202</v>
      </c>
      <c r="B172" s="2">
        <v>2015</v>
      </c>
      <c r="C172" s="2">
        <f>COUNTIFS(Games[Team],Games[[#This Row],[Team]],Games[Season],Games[[#This Row],[Season]],Games[Date],"&lt;=" &amp; Games[[#This Row],[Date]])</f>
        <v>16</v>
      </c>
      <c r="D172" s="2" t="s">
        <v>83</v>
      </c>
      <c r="E172" s="2" t="s">
        <v>84</v>
      </c>
      <c r="F172" s="1" t="s">
        <v>81</v>
      </c>
      <c r="G172" s="1" t="s">
        <v>74</v>
      </c>
      <c r="H172" s="1" t="s">
        <v>85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2" s="2">
        <f>Games[[#This Row],[DaysOff]]-Games[[#This Row],[OppDaysOff]]</f>
        <v>0</v>
      </c>
      <c r="L172" s="2">
        <f>Games[[#This Row],[OppDaysOff]]-Games[[#This Row],[DaysOff]]</f>
        <v>0</v>
      </c>
      <c r="M172" s="1">
        <f>MAX(-16, MIN(16, Games[[#This Row],[RestDiff]]*8))</f>
        <v>0</v>
      </c>
      <c r="N172" s="1">
        <f>MAX(-16, MIN(16, Games[[#This Row],[OppRestDiff]]*8))</f>
        <v>0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1535.8372821403368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1401.5922049882586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0.57180857208755553</v>
      </c>
      <c r="R172" s="1">
        <v>58</v>
      </c>
      <c r="S172" s="1">
        <v>65</v>
      </c>
      <c r="T172" s="1">
        <v>0</v>
      </c>
      <c r="U172" s="1">
        <f>Games[[#This Row],[PointsFor]]-Games[[#This Row],[PointsAgainst]]</f>
        <v>-7</v>
      </c>
      <c r="V172" s="1">
        <f>IF(Games[[#This Row],[MOV]]&gt;0,1,IF(Games[[#This Row],[MOV]]=0,0.5,0))</f>
        <v>0</v>
      </c>
      <c r="W172" s="4">
        <f>((ABS(Games[[#This Row],[MOV]])+5)^0.6)/(12+0.01*(ABS(Games[[#This Row],[PreGmRate]]-Games[[#This Row],[OppPreGmRate]])))*IF(Games[[#This Row],[OT]]=1,0.9,1)</f>
        <v>0.33286883691005881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73.599999999999994</v>
      </c>
      <c r="Z172" s="4">
        <f>Games[[#This Row],[K]]*Games[[#This Row],[POMult]]</f>
        <v>73.599999999999994</v>
      </c>
      <c r="AA172" s="4">
        <f>(Games[[#This Row],[Keff]]*Games[[#This Row],[MOVMult]])*(Games[[#This Row],[Result]]-Games[[#This Row],[ExpectedWin%]])</f>
        <v>-14.008821918392577</v>
      </c>
      <c r="AB172" s="4">
        <f>Games[[#This Row],[PreGmRate]]+Games[[#This Row],[RatingChange]]</f>
        <v>1521.8284602219442</v>
      </c>
      <c r="AC172" s="2">
        <f>IF(Games[[#This Row],[Type]]="R",IF(Games[[#This Row],[Result]]&gt;0.5,1,0),0)</f>
        <v>0</v>
      </c>
      <c r="AD172" s="2">
        <f>IF(Games[[#This Row],[Type]]="R",IF(Games[[#This Row],[Result]]&lt;0.5,1,0),0)</f>
        <v>1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42202</v>
      </c>
      <c r="B173" s="2">
        <v>2015</v>
      </c>
      <c r="C173" s="2">
        <f>COUNTIFS(Games[Team],Games[[#This Row],[Team]],Games[Season],Games[[#This Row],[Season]],Games[Date],"&lt;=" &amp; Games[[#This Row],[Date]])</f>
        <v>15</v>
      </c>
      <c r="D173" s="2" t="s">
        <v>83</v>
      </c>
      <c r="E173" s="2" t="s">
        <v>84</v>
      </c>
      <c r="F173" s="1" t="s">
        <v>74</v>
      </c>
      <c r="G173" s="1" t="s">
        <v>81</v>
      </c>
      <c r="H173" s="1" t="s">
        <v>86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3" s="2">
        <f>Games[[#This Row],[DaysOff]]-Games[[#This Row],[OppDaysOff]]</f>
        <v>0</v>
      </c>
      <c r="L173" s="2">
        <f>Games[[#This Row],[OppDaysOff]]-Games[[#This Row],[DaysOff]]</f>
        <v>0</v>
      </c>
      <c r="M173" s="1">
        <f>MAX(-16, MIN(16, Games[[#This Row],[RestDiff]]*8))</f>
        <v>0</v>
      </c>
      <c r="N173" s="1">
        <f>MAX(-16, MIN(16, Games[[#This Row],[OppRestDiff]]*8))</f>
        <v>0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1401.5922049882586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1535.8372821403368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0.42819142791244447</v>
      </c>
      <c r="R173" s="1">
        <v>65</v>
      </c>
      <c r="S173" s="1">
        <v>58</v>
      </c>
      <c r="T173" s="1">
        <v>0</v>
      </c>
      <c r="U173" s="1">
        <f>Games[[#This Row],[PointsFor]]-Games[[#This Row],[PointsAgainst]]</f>
        <v>7</v>
      </c>
      <c r="V173" s="1">
        <f>IF(Games[[#This Row],[MOV]]&gt;0,1,IF(Games[[#This Row],[MOV]]=0,0.5,0))</f>
        <v>1</v>
      </c>
      <c r="W173" s="4">
        <f>((ABS(Games[[#This Row],[MOV]])+5)^0.6)/(12+0.01*(ABS(Games[[#This Row],[PreGmRate]]-Games[[#This Row],[OppPreGmRate]])))*IF(Games[[#This Row],[OT]]=1,0.9,1)</f>
        <v>0.33286883691005881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73.75</v>
      </c>
      <c r="Z173" s="4">
        <f>Games[[#This Row],[K]]*Games[[#This Row],[POMult]]</f>
        <v>73.75</v>
      </c>
      <c r="AA173" s="4">
        <f>(Games[[#This Row],[Keff]]*Games[[#This Row],[MOVMult]])*(Games[[#This Row],[Result]]-Games[[#This Row],[ExpectedWin%]])</f>
        <v>14.037372506541477</v>
      </c>
      <c r="AB173" s="4">
        <f>Games[[#This Row],[PreGmRate]]+Games[[#This Row],[RatingChange]]</f>
        <v>1415.6295774948001</v>
      </c>
      <c r="AC173" s="2">
        <f>IF(Games[[#This Row],[Type]]="R",IF(Games[[#This Row],[Result]]&gt;0.5,1,0),0)</f>
        <v>1</v>
      </c>
      <c r="AD173" s="2">
        <f>IF(Games[[#This Row],[Type]]="R",IF(Games[[#This Row],[Result]]&lt;0.5,1,0),0)</f>
        <v>0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42202</v>
      </c>
      <c r="B174" s="2">
        <v>2015</v>
      </c>
      <c r="C174" s="2">
        <f>COUNTIFS(Games[Team],Games[[#This Row],[Team]],Games[Season],Games[[#This Row],[Season]],Games[Date],"&lt;=" &amp; Games[[#This Row],[Date]])</f>
        <v>15</v>
      </c>
      <c r="D174" s="2" t="s">
        <v>83</v>
      </c>
      <c r="E174" s="2" t="s">
        <v>84</v>
      </c>
      <c r="F174" s="1" t="s">
        <v>69</v>
      </c>
      <c r="G174" s="1" t="s">
        <v>65</v>
      </c>
      <c r="H174" s="1" t="s">
        <v>85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4" s="2">
        <f>Games[[#This Row],[DaysOff]]-Games[[#This Row],[OppDaysOff]]</f>
        <v>0</v>
      </c>
      <c r="L174" s="2">
        <f>Games[[#This Row],[OppDaysOff]]-Games[[#This Row],[DaysOff]]</f>
        <v>0</v>
      </c>
      <c r="M174" s="1">
        <f>MAX(-16, MIN(16, Games[[#This Row],[RestDiff]]*8))</f>
        <v>0</v>
      </c>
      <c r="N174" s="1">
        <f>MAX(-16, MIN(16, Games[[#This Row],[OppRestDiff]]*8))</f>
        <v>0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1517.4740449249421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1479.0850376226888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0.43473500443041652</v>
      </c>
      <c r="R174" s="1">
        <v>50</v>
      </c>
      <c r="S174" s="1">
        <v>68</v>
      </c>
      <c r="T174" s="1">
        <v>0</v>
      </c>
      <c r="U174" s="1">
        <f>Games[[#This Row],[PointsFor]]-Games[[#This Row],[PointsAgainst]]</f>
        <v>-18</v>
      </c>
      <c r="V174" s="1">
        <f>IF(Games[[#This Row],[MOV]]&gt;0,1,IF(Games[[#This Row],[MOV]]=0,0.5,0))</f>
        <v>0</v>
      </c>
      <c r="W174" s="4">
        <f>((ABS(Games[[#This Row],[MOV]])+5)^0.6)/(12+0.01*(ABS(Games[[#This Row],[PreGmRate]]-Games[[#This Row],[OppPreGmRate]])))*IF(Games[[#This Row],[OT]]=1,0.9,1)</f>
        <v>0.52988254472726171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73.75</v>
      </c>
      <c r="Z174" s="4">
        <f>Games[[#This Row],[K]]*Games[[#This Row],[POMult]]</f>
        <v>73.75</v>
      </c>
      <c r="AA174" s="4">
        <f>(Games[[#This Row],[Keff]]*Games[[#This Row],[MOVMult]])*(Games[[#This Row],[Result]]-Games[[#This Row],[ExpectedWin%]])</f>
        <v>-16.988938669183476</v>
      </c>
      <c r="AB174" s="4">
        <f>Games[[#This Row],[PreGmRate]]+Games[[#This Row],[RatingChange]]</f>
        <v>1500.4851062557586</v>
      </c>
      <c r="AC174" s="2">
        <f>IF(Games[[#This Row],[Type]]="R",IF(Games[[#This Row],[Result]]&gt;0.5,1,0),0)</f>
        <v>0</v>
      </c>
      <c r="AD174" s="2">
        <f>IF(Games[[#This Row],[Type]]="R",IF(Games[[#This Row],[Result]]&lt;0.5,1,0),0)</f>
        <v>1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42202</v>
      </c>
      <c r="B175" s="2">
        <v>2015</v>
      </c>
      <c r="C175" s="2">
        <f>COUNTIFS(Games[Team],Games[[#This Row],[Team]],Games[Season],Games[[#This Row],[Season]],Games[Date],"&lt;=" &amp; Games[[#This Row],[Date]])</f>
        <v>13</v>
      </c>
      <c r="D175" s="2" t="s">
        <v>83</v>
      </c>
      <c r="E175" s="2" t="s">
        <v>84</v>
      </c>
      <c r="F175" s="1" t="s">
        <v>65</v>
      </c>
      <c r="G175" s="1" t="s">
        <v>69</v>
      </c>
      <c r="H175" s="1" t="s">
        <v>86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5" s="2">
        <f>Games[[#This Row],[DaysOff]]-Games[[#This Row],[OppDaysOff]]</f>
        <v>0</v>
      </c>
      <c r="L175" s="2">
        <f>Games[[#This Row],[OppDaysOff]]-Games[[#This Row],[DaysOff]]</f>
        <v>0</v>
      </c>
      <c r="M175" s="1">
        <f>MAX(-16, MIN(16, Games[[#This Row],[RestDiff]]*8))</f>
        <v>0</v>
      </c>
      <c r="N175" s="1">
        <f>MAX(-16, MIN(16, Games[[#This Row],[OppRestDiff]]*8))</f>
        <v>0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1479.0850376226888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1517.4740449249421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0.56526499556958354</v>
      </c>
      <c r="R175" s="1">
        <v>68</v>
      </c>
      <c r="S175" s="1">
        <v>50</v>
      </c>
      <c r="T175" s="1">
        <v>0</v>
      </c>
      <c r="U175" s="1">
        <f>Games[[#This Row],[PointsFor]]-Games[[#This Row],[PointsAgainst]]</f>
        <v>18</v>
      </c>
      <c r="V175" s="1">
        <f>IF(Games[[#This Row],[MOV]]&gt;0,1,IF(Games[[#This Row],[MOV]]=0,0.5,0))</f>
        <v>1</v>
      </c>
      <c r="W175" s="4">
        <f>((ABS(Games[[#This Row],[MOV]])+5)^0.6)/(12+0.01*(ABS(Games[[#This Row],[PreGmRate]]-Games[[#This Row],[OppPreGmRate]])))*IF(Games[[#This Row],[OT]]=1,0.9,1)</f>
        <v>0.52988254472726171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74.05</v>
      </c>
      <c r="Z175" s="4">
        <f>Games[[#This Row],[K]]*Games[[#This Row],[POMult]]</f>
        <v>74.05</v>
      </c>
      <c r="AA175" s="4">
        <f>(Games[[#This Row],[Keff]]*Games[[#This Row],[MOVMult]])*(Games[[#This Row],[Result]]-Games[[#This Row],[ExpectedWin%]])</f>
        <v>17.058046216312359</v>
      </c>
      <c r="AB175" s="4">
        <f>Games[[#This Row],[PreGmRate]]+Games[[#This Row],[RatingChange]]</f>
        <v>1496.1430838390011</v>
      </c>
      <c r="AC175" s="2">
        <f>IF(Games[[#This Row],[Type]]="R",IF(Games[[#This Row],[Result]]&gt;0.5,1,0),0)</f>
        <v>1</v>
      </c>
      <c r="AD175" s="2">
        <f>IF(Games[[#This Row],[Type]]="R",IF(Games[[#This Row],[Result]]&lt;0.5,1,0),0)</f>
        <v>0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42203</v>
      </c>
      <c r="B176" s="2">
        <v>2015</v>
      </c>
      <c r="C176" s="2">
        <f>COUNTIFS(Games[Team],Games[[#This Row],[Team]],Games[Season],Games[[#This Row],[Season]],Games[Date],"&lt;=" &amp; Games[[#This Row],[Date]])</f>
        <v>15</v>
      </c>
      <c r="D176" s="2" t="s">
        <v>83</v>
      </c>
      <c r="E176" s="2" t="s">
        <v>84</v>
      </c>
      <c r="F176" s="1" t="s">
        <v>60</v>
      </c>
      <c r="G176" s="1" t="s">
        <v>40</v>
      </c>
      <c r="H176" s="1" t="s">
        <v>85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6" s="2">
        <f>Games[[#This Row],[DaysOff]]-Games[[#This Row],[OppDaysOff]]</f>
        <v>-2</v>
      </c>
      <c r="L176" s="2">
        <f>Games[[#This Row],[OppDaysOff]]-Games[[#This Row],[DaysOff]]</f>
        <v>2</v>
      </c>
      <c r="M176" s="1">
        <f>MAX(-16, MIN(16, Games[[#This Row],[RestDiff]]*8))</f>
        <v>-16</v>
      </c>
      <c r="N176" s="1">
        <f>MAX(-16, MIN(16, Games[[#This Row],[OppRestDiff]]*8))</f>
        <v>16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1511.7685644419619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1629.1355501447738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0.20695667933450676</v>
      </c>
      <c r="R176" s="1">
        <v>75</v>
      </c>
      <c r="S176" s="1">
        <v>73</v>
      </c>
      <c r="T176" s="1">
        <v>0</v>
      </c>
      <c r="U176" s="1">
        <f>Games[[#This Row],[PointsFor]]-Games[[#This Row],[PointsAgainst]]</f>
        <v>2</v>
      </c>
      <c r="V176" s="1">
        <f>IF(Games[[#This Row],[MOV]]&gt;0,1,IF(Games[[#This Row],[MOV]]=0,0.5,0))</f>
        <v>1</v>
      </c>
      <c r="W176" s="4">
        <f>((ABS(Games[[#This Row],[MOV]])+5)^0.6)/(12+0.01*(ABS(Games[[#This Row],[PreGmRate]]-Games[[#This Row],[OppPreGmRate]])))*IF(Games[[#This Row],[OT]]=1,0.9,1)</f>
        <v>0.243978776195103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73.75</v>
      </c>
      <c r="Z176" s="4">
        <f>Games[[#This Row],[K]]*Games[[#This Row],[POMult]]</f>
        <v>73.75</v>
      </c>
      <c r="AA176" s="4">
        <f>(Games[[#This Row],[Keff]]*Games[[#This Row],[MOVMult]])*(Games[[#This Row],[Result]]-Games[[#This Row],[ExpectedWin%]])</f>
        <v>14.269573239867992</v>
      </c>
      <c r="AB176" s="4">
        <f>Games[[#This Row],[PreGmRate]]+Games[[#This Row],[RatingChange]]</f>
        <v>1526.0381376818298</v>
      </c>
      <c r="AC176" s="2">
        <f>IF(Games[[#This Row],[Type]]="R",IF(Games[[#This Row],[Result]]&gt;0.5,1,0),0)</f>
        <v>1</v>
      </c>
      <c r="AD176" s="2">
        <f>IF(Games[[#This Row],[Type]]="R",IF(Games[[#This Row],[Result]]&lt;0.5,1,0),0)</f>
        <v>0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42203</v>
      </c>
      <c r="B177" s="2">
        <v>2015</v>
      </c>
      <c r="C177" s="2">
        <f>COUNTIFS(Games[Team],Games[[#This Row],[Team]],Games[Season],Games[[#This Row],[Season]],Games[Date],"&lt;=" &amp; Games[[#This Row],[Date]])</f>
        <v>15</v>
      </c>
      <c r="D177" s="2" t="s">
        <v>83</v>
      </c>
      <c r="E177" s="2" t="s">
        <v>84</v>
      </c>
      <c r="F177" s="1" t="s">
        <v>40</v>
      </c>
      <c r="G177" s="1" t="s">
        <v>60</v>
      </c>
      <c r="H177" s="1" t="s">
        <v>86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7" s="2">
        <f>Games[[#This Row],[DaysOff]]-Games[[#This Row],[OppDaysOff]]</f>
        <v>2</v>
      </c>
      <c r="L177" s="2">
        <f>Games[[#This Row],[OppDaysOff]]-Games[[#This Row],[DaysOff]]</f>
        <v>-2</v>
      </c>
      <c r="M177" s="1">
        <f>MAX(-16, MIN(16, Games[[#This Row],[RestDiff]]*8))</f>
        <v>16</v>
      </c>
      <c r="N177" s="1">
        <f>MAX(-16, MIN(16, Games[[#This Row],[OppRestDiff]]*8))</f>
        <v>-16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1629.1355501447738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1511.7685644419619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0.79304332066549321</v>
      </c>
      <c r="R177" s="1">
        <v>73</v>
      </c>
      <c r="S177" s="1">
        <v>75</v>
      </c>
      <c r="T177" s="1">
        <v>0</v>
      </c>
      <c r="U177" s="1">
        <f>Games[[#This Row],[PointsFor]]-Games[[#This Row],[PointsAgainst]]</f>
        <v>-2</v>
      </c>
      <c r="V177" s="1">
        <f>IF(Games[[#This Row],[MOV]]&gt;0,1,IF(Games[[#This Row],[MOV]]=0,0.5,0))</f>
        <v>0</v>
      </c>
      <c r="W177" s="4">
        <f>((ABS(Games[[#This Row],[MOV]])+5)^0.6)/(12+0.01*(ABS(Games[[#This Row],[PreGmRate]]-Games[[#This Row],[OppPreGmRate]])))*IF(Games[[#This Row],[OT]]=1,0.9,1)</f>
        <v>0.243978776195103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73.75</v>
      </c>
      <c r="Z177" s="4">
        <f>Games[[#This Row],[K]]*Games[[#This Row],[POMult]]</f>
        <v>73.75</v>
      </c>
      <c r="AA177" s="4">
        <f>(Games[[#This Row],[Keff]]*Games[[#This Row],[MOVMult]])*(Games[[#This Row],[Result]]-Games[[#This Row],[ExpectedWin%]])</f>
        <v>-14.269573239867992</v>
      </c>
      <c r="AB177" s="4">
        <f>Games[[#This Row],[PreGmRate]]+Games[[#This Row],[RatingChange]]</f>
        <v>1614.8659769049059</v>
      </c>
      <c r="AC177" s="2">
        <f>IF(Games[[#This Row],[Type]]="R",IF(Games[[#This Row],[Result]]&gt;0.5,1,0),0)</f>
        <v>0</v>
      </c>
      <c r="AD177" s="2">
        <f>IF(Games[[#This Row],[Type]]="R",IF(Games[[#This Row],[Result]]&lt;0.5,1,0),0)</f>
        <v>1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42203</v>
      </c>
      <c r="B178" s="2">
        <v>2015</v>
      </c>
      <c r="C178" s="2">
        <f>COUNTIFS(Games[Team],Games[[#This Row],[Team]],Games[Season],Games[[#This Row],[Season]],Games[Date],"&lt;=" &amp; Games[[#This Row],[Date]])</f>
        <v>16</v>
      </c>
      <c r="D178" s="2" t="s">
        <v>83</v>
      </c>
      <c r="E178" s="2" t="s">
        <v>84</v>
      </c>
      <c r="F178" s="1" t="s">
        <v>79</v>
      </c>
      <c r="G178" s="1" t="s">
        <v>71</v>
      </c>
      <c r="H178" s="1" t="s">
        <v>85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8" s="2">
        <f>Games[[#This Row],[DaysOff]]-Games[[#This Row],[OppDaysOff]]</f>
        <v>-1</v>
      </c>
      <c r="L178" s="2">
        <f>Games[[#This Row],[OppDaysOff]]-Games[[#This Row],[DaysOff]]</f>
        <v>1</v>
      </c>
      <c r="M178" s="1">
        <f>MAX(-16, MIN(16, Games[[#This Row],[RestDiff]]*8))</f>
        <v>-8</v>
      </c>
      <c r="N178" s="1">
        <f>MAX(-16, MIN(16, Games[[#This Row],[OppRestDiff]]*8))</f>
        <v>8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1463.3791705915205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1397.6985961004054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0.45077038913468154</v>
      </c>
      <c r="R178" s="1">
        <v>73</v>
      </c>
      <c r="S178" s="1">
        <v>86</v>
      </c>
      <c r="T178" s="1">
        <v>0</v>
      </c>
      <c r="U178" s="1">
        <f>Games[[#This Row],[PointsFor]]-Games[[#This Row],[PointsAgainst]]</f>
        <v>-13</v>
      </c>
      <c r="V178" s="1">
        <f>IF(Games[[#This Row],[MOV]]&gt;0,1,IF(Games[[#This Row],[MOV]]=0,0.5,0))</f>
        <v>0</v>
      </c>
      <c r="W178" s="4">
        <f>((ABS(Games[[#This Row],[MOV]])+5)^0.6)/(12+0.01*(ABS(Games[[#This Row],[PreGmRate]]-Games[[#This Row],[OppPreGmRate]])))*IF(Games[[#This Row],[OT]]=1,0.9,1)</f>
        <v>0.44754776062253421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73.599999999999994</v>
      </c>
      <c r="Z178" s="4">
        <f>Games[[#This Row],[K]]*Games[[#This Row],[POMult]]</f>
        <v>73.599999999999994</v>
      </c>
      <c r="AA178" s="4">
        <f>(Games[[#This Row],[Keff]]*Games[[#This Row],[MOVMult]])*(Games[[#This Row],[Result]]-Games[[#This Row],[ExpectedWin%]])</f>
        <v>-14.848158076416082</v>
      </c>
      <c r="AB178" s="4">
        <f>Games[[#This Row],[PreGmRate]]+Games[[#This Row],[RatingChange]]</f>
        <v>1448.5310125151045</v>
      </c>
      <c r="AC178" s="2">
        <f>IF(Games[[#This Row],[Type]]="R",IF(Games[[#This Row],[Result]]&gt;0.5,1,0),0)</f>
        <v>0</v>
      </c>
      <c r="AD178" s="2">
        <f>IF(Games[[#This Row],[Type]]="R",IF(Games[[#This Row],[Result]]&lt;0.5,1,0),0)</f>
        <v>1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42203</v>
      </c>
      <c r="B179" s="2">
        <v>2015</v>
      </c>
      <c r="C179" s="2">
        <f>COUNTIFS(Games[Team],Games[[#This Row],[Team]],Games[Season],Games[[#This Row],[Season]],Games[Date],"&lt;=" &amp; Games[[#This Row],[Date]])</f>
        <v>17</v>
      </c>
      <c r="D179" s="2" t="s">
        <v>83</v>
      </c>
      <c r="E179" s="2" t="s">
        <v>84</v>
      </c>
      <c r="F179" s="1" t="s">
        <v>71</v>
      </c>
      <c r="G179" s="1" t="s">
        <v>79</v>
      </c>
      <c r="H179" s="1" t="s">
        <v>86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9" s="2">
        <f>Games[[#This Row],[DaysOff]]-Games[[#This Row],[OppDaysOff]]</f>
        <v>1</v>
      </c>
      <c r="L179" s="2">
        <f>Games[[#This Row],[OppDaysOff]]-Games[[#This Row],[DaysOff]]</f>
        <v>-1</v>
      </c>
      <c r="M179" s="1">
        <f>MAX(-16, MIN(16, Games[[#This Row],[RestDiff]]*8))</f>
        <v>8</v>
      </c>
      <c r="N179" s="1">
        <f>MAX(-16, MIN(16, Games[[#This Row],[OppRestDiff]]*8))</f>
        <v>-8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1397.6985961004054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1463.3791705915205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0.54922961086531841</v>
      </c>
      <c r="R179" s="1">
        <v>86</v>
      </c>
      <c r="S179" s="1">
        <v>73</v>
      </c>
      <c r="T179" s="1">
        <v>0</v>
      </c>
      <c r="U179" s="1">
        <f>Games[[#This Row],[PointsFor]]-Games[[#This Row],[PointsAgainst]]</f>
        <v>13</v>
      </c>
      <c r="V179" s="1">
        <f>IF(Games[[#This Row],[MOV]]&gt;0,1,IF(Games[[#This Row],[MOV]]=0,0.5,0))</f>
        <v>1</v>
      </c>
      <c r="W179" s="4">
        <f>((ABS(Games[[#This Row],[MOV]])+5)^0.6)/(12+0.01*(ABS(Games[[#This Row],[PreGmRate]]-Games[[#This Row],[OppPreGmRate]])))*IF(Games[[#This Row],[OT]]=1,0.9,1)</f>
        <v>0.44754776062253421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73.45</v>
      </c>
      <c r="Z179" s="4">
        <f>Games[[#This Row],[K]]*Games[[#This Row],[POMult]]</f>
        <v>73.45</v>
      </c>
      <c r="AA179" s="4">
        <f>(Games[[#This Row],[Keff]]*Games[[#This Row],[MOVMult]])*(Games[[#This Row],[Result]]-Games[[#This Row],[ExpectedWin%]])</f>
        <v>14.817896884684261</v>
      </c>
      <c r="AB179" s="4">
        <f>Games[[#This Row],[PreGmRate]]+Games[[#This Row],[RatingChange]]</f>
        <v>1412.5164929850896</v>
      </c>
      <c r="AC179" s="2">
        <f>IF(Games[[#This Row],[Type]]="R",IF(Games[[#This Row],[Result]]&gt;0.5,1,0),0)</f>
        <v>1</v>
      </c>
      <c r="AD179" s="2">
        <f>IF(Games[[#This Row],[Type]]="R",IF(Games[[#This Row],[Result]]&lt;0.5,1,0),0)</f>
        <v>0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42204</v>
      </c>
      <c r="B180" s="2">
        <v>2015</v>
      </c>
      <c r="C180" s="2">
        <f>COUNTIFS(Games[Team],Games[[#This Row],[Team]],Games[Season],Games[[#This Row],[Season]],Games[Date],"&lt;=" &amp; Games[[#This Row],[Date]])</f>
        <v>16</v>
      </c>
      <c r="D180" s="2" t="s">
        <v>83</v>
      </c>
      <c r="E180" s="2" t="s">
        <v>84</v>
      </c>
      <c r="F180" s="1" t="s">
        <v>74</v>
      </c>
      <c r="G180" s="1" t="s">
        <v>77</v>
      </c>
      <c r="H180" s="1" t="s">
        <v>85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0" s="2">
        <f>Games[[#This Row],[DaysOff]]-Games[[#This Row],[OppDaysOff]]</f>
        <v>0</v>
      </c>
      <c r="L180" s="2">
        <f>Games[[#This Row],[OppDaysOff]]-Games[[#This Row],[DaysOff]]</f>
        <v>0</v>
      </c>
      <c r="M180" s="1">
        <f>MAX(-16, MIN(16, Games[[#This Row],[RestDiff]]*8))</f>
        <v>0</v>
      </c>
      <c r="N180" s="1">
        <f>MAX(-16, MIN(16, Games[[#This Row],[OppRestDiff]]*8))</f>
        <v>0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1415.6295774948001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1553.7119896361935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0.21782114669145786</v>
      </c>
      <c r="R180" s="1">
        <v>82</v>
      </c>
      <c r="S180" s="1">
        <v>93</v>
      </c>
      <c r="T180" s="1">
        <v>0</v>
      </c>
      <c r="U180" s="1">
        <f>Games[[#This Row],[PointsFor]]-Games[[#This Row],[PointsAgainst]]</f>
        <v>-11</v>
      </c>
      <c r="V180" s="1">
        <f>IF(Games[[#This Row],[MOV]]&gt;0,1,IF(Games[[#This Row],[MOV]]=0,0.5,0))</f>
        <v>0</v>
      </c>
      <c r="W180" s="4">
        <f>((ABS(Games[[#This Row],[MOV]])+5)^0.6)/(12+0.01*(ABS(Games[[#This Row],[PreGmRate]]-Games[[#This Row],[OppPreGmRate]])))*IF(Games[[#This Row],[OT]]=1,0.9,1)</f>
        <v>0.39444742679525291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73.599999999999994</v>
      </c>
      <c r="Z180" s="4">
        <f>Games[[#This Row],[K]]*Games[[#This Row],[POMult]]</f>
        <v>73.599999999999994</v>
      </c>
      <c r="AA180" s="4">
        <f>(Games[[#This Row],[Keff]]*Games[[#This Row],[MOVMult]])*(Games[[#This Row],[Result]]-Games[[#This Row],[ExpectedWin%]])</f>
        <v>-6.3236377239131132</v>
      </c>
      <c r="AB180" s="4">
        <f>Games[[#This Row],[PreGmRate]]+Games[[#This Row],[RatingChange]]</f>
        <v>1409.3059397708869</v>
      </c>
      <c r="AC180" s="2">
        <f>IF(Games[[#This Row],[Type]]="R",IF(Games[[#This Row],[Result]]&gt;0.5,1,0),0)</f>
        <v>0</v>
      </c>
      <c r="AD180" s="2">
        <f>IF(Games[[#This Row],[Type]]="R",IF(Games[[#This Row],[Result]]&lt;0.5,1,0),0)</f>
        <v>1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42204</v>
      </c>
      <c r="B181" s="2">
        <v>2015</v>
      </c>
      <c r="C181" s="2">
        <f>COUNTIFS(Games[Team],Games[[#This Row],[Team]],Games[Season],Games[[#This Row],[Season]],Games[Date],"&lt;=" &amp; Games[[#This Row],[Date]])</f>
        <v>16</v>
      </c>
      <c r="D181" s="2" t="s">
        <v>83</v>
      </c>
      <c r="E181" s="2" t="s">
        <v>84</v>
      </c>
      <c r="F181" s="1" t="s">
        <v>77</v>
      </c>
      <c r="G181" s="1" t="s">
        <v>74</v>
      </c>
      <c r="H181" s="1" t="s">
        <v>86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1" s="2">
        <f>Games[[#This Row],[DaysOff]]-Games[[#This Row],[OppDaysOff]]</f>
        <v>0</v>
      </c>
      <c r="L181" s="2">
        <f>Games[[#This Row],[OppDaysOff]]-Games[[#This Row],[DaysOff]]</f>
        <v>0</v>
      </c>
      <c r="M181" s="1">
        <f>MAX(-16, MIN(16, Games[[#This Row],[RestDiff]]*8))</f>
        <v>0</v>
      </c>
      <c r="N181" s="1">
        <f>MAX(-16, MIN(16, Games[[#This Row],[OppRestDiff]]*8))</f>
        <v>0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1553.7119896361935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1415.6295774948001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0.7821788533085422</v>
      </c>
      <c r="R181" s="1">
        <v>93</v>
      </c>
      <c r="S181" s="1">
        <v>82</v>
      </c>
      <c r="T181" s="1">
        <v>0</v>
      </c>
      <c r="U181" s="1">
        <f>Games[[#This Row],[PointsFor]]-Games[[#This Row],[PointsAgainst]]</f>
        <v>11</v>
      </c>
      <c r="V181" s="1">
        <f>IF(Games[[#This Row],[MOV]]&gt;0,1,IF(Games[[#This Row],[MOV]]=0,0.5,0))</f>
        <v>1</v>
      </c>
      <c r="W181" s="4">
        <f>((ABS(Games[[#This Row],[MOV]])+5)^0.6)/(12+0.01*(ABS(Games[[#This Row],[PreGmRate]]-Games[[#This Row],[OppPreGmRate]])))*IF(Games[[#This Row],[OT]]=1,0.9,1)</f>
        <v>0.39444742679525291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73.599999999999994</v>
      </c>
      <c r="Z181" s="4">
        <f>Games[[#This Row],[K]]*Games[[#This Row],[POMult]]</f>
        <v>73.599999999999994</v>
      </c>
      <c r="AA181" s="4">
        <f>(Games[[#This Row],[Keff]]*Games[[#This Row],[MOVMult]])*(Games[[#This Row],[Result]]-Games[[#This Row],[ExpectedWin%]])</f>
        <v>6.3236377239131114</v>
      </c>
      <c r="AB181" s="4">
        <f>Games[[#This Row],[PreGmRate]]+Games[[#This Row],[RatingChange]]</f>
        <v>1560.0356273601067</v>
      </c>
      <c r="AC181" s="2">
        <f>IF(Games[[#This Row],[Type]]="R",IF(Games[[#This Row],[Result]]&gt;0.5,1,0),0)</f>
        <v>1</v>
      </c>
      <c r="AD181" s="2">
        <f>IF(Games[[#This Row],[Type]]="R",IF(Games[[#This Row],[Result]]&lt;0.5,1,0),0)</f>
        <v>0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42204</v>
      </c>
      <c r="B182" s="2">
        <v>2015</v>
      </c>
      <c r="C182" s="2">
        <f>COUNTIFS(Games[Team],Games[[#This Row],[Team]],Games[Season],Games[[#This Row],[Season]],Games[Date],"&lt;=" &amp; Games[[#This Row],[Date]])</f>
        <v>15</v>
      </c>
      <c r="D182" s="2" t="s">
        <v>83</v>
      </c>
      <c r="E182" s="2" t="s">
        <v>84</v>
      </c>
      <c r="F182" s="1" t="s">
        <v>67</v>
      </c>
      <c r="G182" s="1" t="s">
        <v>81</v>
      </c>
      <c r="H182" s="1" t="s">
        <v>85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2" s="2">
        <f>Games[[#This Row],[DaysOff]]-Games[[#This Row],[OppDaysOff]]</f>
        <v>0</v>
      </c>
      <c r="L182" s="2">
        <f>Games[[#This Row],[OppDaysOff]]-Games[[#This Row],[DaysOff]]</f>
        <v>0</v>
      </c>
      <c r="M182" s="1">
        <f>MAX(-16, MIN(16, Games[[#This Row],[RestDiff]]*8))</f>
        <v>0</v>
      </c>
      <c r="N182" s="1">
        <f>MAX(-16, MIN(16, Games[[#This Row],[OppRestDiff]]*8))</f>
        <v>0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1638.7598236232034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1521.8284602219442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0.54725062598678997</v>
      </c>
      <c r="R182" s="1">
        <v>79</v>
      </c>
      <c r="S182" s="1">
        <v>72</v>
      </c>
      <c r="T182" s="1">
        <v>0</v>
      </c>
      <c r="U182" s="1">
        <f>Games[[#This Row],[PointsFor]]-Games[[#This Row],[PointsAgainst]]</f>
        <v>7</v>
      </c>
      <c r="V182" s="1">
        <f>IF(Games[[#This Row],[MOV]]&gt;0,1,IF(Games[[#This Row],[MOV]]=0,0.5,0))</f>
        <v>1</v>
      </c>
      <c r="W182" s="4">
        <f>((ABS(Games[[#This Row],[MOV]])+5)^0.6)/(12+0.01*(ABS(Games[[#This Row],[PreGmRate]]-Games[[#This Row],[OppPreGmRate]])))*IF(Games[[#This Row],[OT]]=1,0.9,1)</f>
        <v>0.33724506783521818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73.75</v>
      </c>
      <c r="Z182" s="4">
        <f>Games[[#This Row],[K]]*Games[[#This Row],[POMult]]</f>
        <v>73.75</v>
      </c>
      <c r="AA182" s="4">
        <f>(Games[[#This Row],[Keff]]*Games[[#This Row],[MOVMult]])*(Games[[#This Row],[Result]]-Games[[#This Row],[ExpectedWin%]])</f>
        <v>11.260702634668522</v>
      </c>
      <c r="AB182" s="4">
        <f>Games[[#This Row],[PreGmRate]]+Games[[#This Row],[RatingChange]]</f>
        <v>1650.020526257872</v>
      </c>
      <c r="AC182" s="2">
        <f>IF(Games[[#This Row],[Type]]="R",IF(Games[[#This Row],[Result]]&gt;0.5,1,0),0)</f>
        <v>1</v>
      </c>
      <c r="AD182" s="2">
        <f>IF(Games[[#This Row],[Type]]="R",IF(Games[[#This Row],[Result]]&lt;0.5,1,0),0)</f>
        <v>0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42204</v>
      </c>
      <c r="B183" s="2">
        <v>2015</v>
      </c>
      <c r="C183" s="2">
        <f>COUNTIFS(Games[Team],Games[[#This Row],[Team]],Games[Season],Games[[#This Row],[Season]],Games[Date],"&lt;=" &amp; Games[[#This Row],[Date]])</f>
        <v>17</v>
      </c>
      <c r="D183" s="2" t="s">
        <v>83</v>
      </c>
      <c r="E183" s="2" t="s">
        <v>84</v>
      </c>
      <c r="F183" s="1" t="s">
        <v>81</v>
      </c>
      <c r="G183" s="1" t="s">
        <v>67</v>
      </c>
      <c r="H183" s="1" t="s">
        <v>86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3" s="2">
        <f>Games[[#This Row],[DaysOff]]-Games[[#This Row],[OppDaysOff]]</f>
        <v>0</v>
      </c>
      <c r="L183" s="2">
        <f>Games[[#This Row],[OppDaysOff]]-Games[[#This Row],[DaysOff]]</f>
        <v>0</v>
      </c>
      <c r="M183" s="1">
        <f>MAX(-16, MIN(16, Games[[#This Row],[RestDiff]]*8))</f>
        <v>0</v>
      </c>
      <c r="N183" s="1">
        <f>MAX(-16, MIN(16, Games[[#This Row],[OppRestDiff]]*8))</f>
        <v>0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1521.8284602219442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1638.7598236232034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0.45274937401320997</v>
      </c>
      <c r="R183" s="1">
        <v>72</v>
      </c>
      <c r="S183" s="1">
        <v>79</v>
      </c>
      <c r="T183" s="1">
        <v>0</v>
      </c>
      <c r="U183" s="1">
        <f>Games[[#This Row],[PointsFor]]-Games[[#This Row],[PointsAgainst]]</f>
        <v>-7</v>
      </c>
      <c r="V183" s="1">
        <f>IF(Games[[#This Row],[MOV]]&gt;0,1,IF(Games[[#This Row],[MOV]]=0,0.5,0))</f>
        <v>0</v>
      </c>
      <c r="W183" s="4">
        <f>((ABS(Games[[#This Row],[MOV]])+5)^0.6)/(12+0.01*(ABS(Games[[#This Row],[PreGmRate]]-Games[[#This Row],[OppPreGmRate]])))*IF(Games[[#This Row],[OT]]=1,0.9,1)</f>
        <v>0.33724506783521818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73.45</v>
      </c>
      <c r="Z183" s="4">
        <f>Games[[#This Row],[K]]*Games[[#This Row],[POMult]]</f>
        <v>73.45</v>
      </c>
      <c r="AA183" s="4">
        <f>(Games[[#This Row],[Keff]]*Games[[#This Row],[MOVMult]])*(Games[[#This Row],[Result]]-Games[[#This Row],[ExpectedWin%]])</f>
        <v>-11.21489638666309</v>
      </c>
      <c r="AB183" s="4">
        <f>Games[[#This Row],[PreGmRate]]+Games[[#This Row],[RatingChange]]</f>
        <v>1510.6135638352812</v>
      </c>
      <c r="AC183" s="2">
        <f>IF(Games[[#This Row],[Type]]="R",IF(Games[[#This Row],[Result]]&gt;0.5,1,0),0)</f>
        <v>0</v>
      </c>
      <c r="AD183" s="2">
        <f>IF(Games[[#This Row],[Type]]="R",IF(Games[[#This Row],[Result]]&lt;0.5,1,0),0)</f>
        <v>1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42204</v>
      </c>
      <c r="B184" s="2">
        <v>2015</v>
      </c>
      <c r="C184" s="2">
        <f>COUNTIFS(Games[Team],Games[[#This Row],[Team]],Games[Season],Games[[#This Row],[Season]],Games[Date],"&lt;=" &amp; Games[[#This Row],[Date]])</f>
        <v>14</v>
      </c>
      <c r="D184" s="2" t="s">
        <v>83</v>
      </c>
      <c r="E184" s="2" t="s">
        <v>84</v>
      </c>
      <c r="F184" s="1" t="s">
        <v>76</v>
      </c>
      <c r="G184" s="1" t="s">
        <v>65</v>
      </c>
      <c r="H184" s="1" t="s">
        <v>85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4" s="2">
        <f>Games[[#This Row],[DaysOff]]-Games[[#This Row],[OppDaysOff]]</f>
        <v>1</v>
      </c>
      <c r="L184" s="2">
        <f>Games[[#This Row],[OppDaysOff]]-Games[[#This Row],[DaysOff]]</f>
        <v>-1</v>
      </c>
      <c r="M184" s="1">
        <f>MAX(-16, MIN(16, Games[[#This Row],[RestDiff]]*8))</f>
        <v>8</v>
      </c>
      <c r="N184" s="1">
        <f>MAX(-16, MIN(16, Games[[#This Row],[OppRestDiff]]*8))</f>
        <v>-8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1481.8586078681574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1496.1430838390011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0.38374855910811045</v>
      </c>
      <c r="R184" s="1">
        <v>82</v>
      </c>
      <c r="S184" s="1">
        <v>89</v>
      </c>
      <c r="T184" s="1">
        <v>0</v>
      </c>
      <c r="U184" s="1">
        <f>Games[[#This Row],[PointsFor]]-Games[[#This Row],[PointsAgainst]]</f>
        <v>-7</v>
      </c>
      <c r="V184" s="1">
        <f>IF(Games[[#This Row],[MOV]]&gt;0,1,IF(Games[[#This Row],[MOV]]=0,0.5,0))</f>
        <v>0</v>
      </c>
      <c r="W184" s="4">
        <f>((ABS(Games[[#This Row],[MOV]])+5)^0.6)/(12+0.01*(ABS(Games[[#This Row],[PreGmRate]]-Games[[#This Row],[OppPreGmRate]])))*IF(Games[[#This Row],[OT]]=1,0.9,1)</f>
        <v>0.36575334344902555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73.900000000000006</v>
      </c>
      <c r="Z184" s="4">
        <f>Games[[#This Row],[K]]*Games[[#This Row],[POMult]]</f>
        <v>73.900000000000006</v>
      </c>
      <c r="AA184" s="4">
        <f>(Games[[#This Row],[Keff]]*Games[[#This Row],[MOVMult]])*(Games[[#This Row],[Result]]-Games[[#This Row],[ExpectedWin%]])</f>
        <v>-10.372405839924015</v>
      </c>
      <c r="AB184" s="4">
        <f>Games[[#This Row],[PreGmRate]]+Games[[#This Row],[RatingChange]]</f>
        <v>1471.4862020282333</v>
      </c>
      <c r="AC184" s="2">
        <f>IF(Games[[#This Row],[Type]]="R",IF(Games[[#This Row],[Result]]&gt;0.5,1,0),0)</f>
        <v>0</v>
      </c>
      <c r="AD184" s="2">
        <f>IF(Games[[#This Row],[Type]]="R",IF(Games[[#This Row],[Result]]&lt;0.5,1,0),0)</f>
        <v>1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42204</v>
      </c>
      <c r="B185" s="2">
        <v>2015</v>
      </c>
      <c r="C185" s="2">
        <f>COUNTIFS(Games[Team],Games[[#This Row],[Team]],Games[Season],Games[[#This Row],[Season]],Games[Date],"&lt;=" &amp; Games[[#This Row],[Date]])</f>
        <v>14</v>
      </c>
      <c r="D185" s="2" t="s">
        <v>83</v>
      </c>
      <c r="E185" s="2" t="s">
        <v>84</v>
      </c>
      <c r="F185" s="1" t="s">
        <v>65</v>
      </c>
      <c r="G185" s="1" t="s">
        <v>76</v>
      </c>
      <c r="H185" s="1" t="s">
        <v>86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5" s="2">
        <f>Games[[#This Row],[DaysOff]]-Games[[#This Row],[OppDaysOff]]</f>
        <v>-1</v>
      </c>
      <c r="L185" s="2">
        <f>Games[[#This Row],[OppDaysOff]]-Games[[#This Row],[DaysOff]]</f>
        <v>1</v>
      </c>
      <c r="M185" s="1">
        <f>MAX(-16, MIN(16, Games[[#This Row],[RestDiff]]*8))</f>
        <v>-8</v>
      </c>
      <c r="N185" s="1">
        <f>MAX(-16, MIN(16, Games[[#This Row],[OppRestDiff]]*8))</f>
        <v>8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1496.1430838390011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1481.8586078681574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0.61625144089188955</v>
      </c>
      <c r="R185" s="1">
        <v>89</v>
      </c>
      <c r="S185" s="1">
        <v>82</v>
      </c>
      <c r="T185" s="1">
        <v>0</v>
      </c>
      <c r="U185" s="1">
        <f>Games[[#This Row],[PointsFor]]-Games[[#This Row],[PointsAgainst]]</f>
        <v>7</v>
      </c>
      <c r="V185" s="1">
        <f>IF(Games[[#This Row],[MOV]]&gt;0,1,IF(Games[[#This Row],[MOV]]=0,0.5,0))</f>
        <v>1</v>
      </c>
      <c r="W185" s="4">
        <f>((ABS(Games[[#This Row],[MOV]])+5)^0.6)/(12+0.01*(ABS(Games[[#This Row],[PreGmRate]]-Games[[#This Row],[OppPreGmRate]])))*IF(Games[[#This Row],[OT]]=1,0.9,1)</f>
        <v>0.36575334344902555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73.900000000000006</v>
      </c>
      <c r="Z185" s="4">
        <f>Games[[#This Row],[K]]*Games[[#This Row],[POMult]]</f>
        <v>73.900000000000006</v>
      </c>
      <c r="AA185" s="4">
        <f>(Games[[#This Row],[Keff]]*Games[[#This Row],[MOVMult]])*(Games[[#This Row],[Result]]-Games[[#This Row],[ExpectedWin%]])</f>
        <v>10.372405839924015</v>
      </c>
      <c r="AB185" s="4">
        <f>Games[[#This Row],[PreGmRate]]+Games[[#This Row],[RatingChange]]</f>
        <v>1506.5154896789252</v>
      </c>
      <c r="AC185" s="2">
        <f>IF(Games[[#This Row],[Type]]="R",IF(Games[[#This Row],[Result]]&gt;0.5,1,0),0)</f>
        <v>1</v>
      </c>
      <c r="AD185" s="2">
        <f>IF(Games[[#This Row],[Type]]="R",IF(Games[[#This Row],[Result]]&lt;0.5,1,0),0)</f>
        <v>0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42206</v>
      </c>
      <c r="B186" s="2">
        <v>2015</v>
      </c>
      <c r="C186" s="2">
        <f>COUNTIFS(Games[Team],Games[[#This Row],[Team]],Games[Season],Games[[#This Row],[Season]],Games[Date],"&lt;=" &amp; Games[[#This Row],[Date]])</f>
        <v>17</v>
      </c>
      <c r="D186" s="2" t="s">
        <v>83</v>
      </c>
      <c r="E186" s="2" t="s">
        <v>84</v>
      </c>
      <c r="F186" s="1" t="s">
        <v>79</v>
      </c>
      <c r="G186" s="1" t="s">
        <v>77</v>
      </c>
      <c r="H186" s="1" t="s">
        <v>85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6" s="2">
        <f>Games[[#This Row],[DaysOff]]-Games[[#This Row],[OppDaysOff]]</f>
        <v>1</v>
      </c>
      <c r="L186" s="2">
        <f>Games[[#This Row],[OppDaysOff]]-Games[[#This Row],[DaysOff]]</f>
        <v>-1</v>
      </c>
      <c r="M186" s="1">
        <f>MAX(-16, MIN(16, Games[[#This Row],[RestDiff]]*8))</f>
        <v>8</v>
      </c>
      <c r="N186" s="1">
        <f>MAX(-16, MIN(16, Games[[#This Row],[OppRestDiff]]*8))</f>
        <v>-8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1448.5310125151045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1560.0356273601067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0.26244258036761547</v>
      </c>
      <c r="R186" s="1">
        <v>92</v>
      </c>
      <c r="S186" s="1">
        <v>97</v>
      </c>
      <c r="T186" s="1">
        <v>0</v>
      </c>
      <c r="U186" s="1">
        <f>Games[[#This Row],[PointsFor]]-Games[[#This Row],[PointsAgainst]]</f>
        <v>-5</v>
      </c>
      <c r="V186" s="1">
        <f>IF(Games[[#This Row],[MOV]]&gt;0,1,IF(Games[[#This Row],[MOV]]=0,0.5,0))</f>
        <v>0</v>
      </c>
      <c r="W186" s="4">
        <f>((ABS(Games[[#This Row],[MOV]])+5)^0.6)/(12+0.01*(ABS(Games[[#This Row],[PreGmRate]]-Games[[#This Row],[OppPreGmRate]])))*IF(Games[[#This Row],[OT]]=1,0.9,1)</f>
        <v>0.30354995784787753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73.45</v>
      </c>
      <c r="Z186" s="4">
        <f>Games[[#This Row],[K]]*Games[[#This Row],[POMult]]</f>
        <v>73.45</v>
      </c>
      <c r="AA186" s="4">
        <f>(Games[[#This Row],[Keff]]*Games[[#This Row],[MOVMult]])*(Games[[#This Row],[Result]]-Games[[#This Row],[ExpectedWin%]])</f>
        <v>-5.8513526925833208</v>
      </c>
      <c r="AB186" s="4">
        <f>Games[[#This Row],[PreGmRate]]+Games[[#This Row],[RatingChange]]</f>
        <v>1442.6796598225212</v>
      </c>
      <c r="AC186" s="2">
        <f>IF(Games[[#This Row],[Type]]="R",IF(Games[[#This Row],[Result]]&gt;0.5,1,0),0)</f>
        <v>0</v>
      </c>
      <c r="AD186" s="2">
        <f>IF(Games[[#This Row],[Type]]="R",IF(Games[[#This Row],[Result]]&lt;0.5,1,0),0)</f>
        <v>1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42206</v>
      </c>
      <c r="B187" s="2">
        <v>2015</v>
      </c>
      <c r="C187" s="2">
        <f>COUNTIFS(Games[Team],Games[[#This Row],[Team]],Games[Season],Games[[#This Row],[Season]],Games[Date],"&lt;=" &amp; Games[[#This Row],[Date]])</f>
        <v>17</v>
      </c>
      <c r="D187" s="2" t="s">
        <v>83</v>
      </c>
      <c r="E187" s="2" t="s">
        <v>84</v>
      </c>
      <c r="F187" s="1" t="s">
        <v>77</v>
      </c>
      <c r="G187" s="1" t="s">
        <v>79</v>
      </c>
      <c r="H187" s="1" t="s">
        <v>86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7" s="2">
        <f>Games[[#This Row],[DaysOff]]-Games[[#This Row],[OppDaysOff]]</f>
        <v>-1</v>
      </c>
      <c r="L187" s="2">
        <f>Games[[#This Row],[OppDaysOff]]-Games[[#This Row],[DaysOff]]</f>
        <v>1</v>
      </c>
      <c r="M187" s="1">
        <f>MAX(-16, MIN(16, Games[[#This Row],[RestDiff]]*8))</f>
        <v>-8</v>
      </c>
      <c r="N187" s="1">
        <f>MAX(-16, MIN(16, Games[[#This Row],[OppRestDiff]]*8))</f>
        <v>8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1560.0356273601067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1448.5310125151045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0.73755741963238453</v>
      </c>
      <c r="R187" s="1">
        <v>97</v>
      </c>
      <c r="S187" s="1">
        <v>92</v>
      </c>
      <c r="T187" s="1">
        <v>0</v>
      </c>
      <c r="U187" s="1">
        <f>Games[[#This Row],[PointsFor]]-Games[[#This Row],[PointsAgainst]]</f>
        <v>5</v>
      </c>
      <c r="V187" s="1">
        <f>IF(Games[[#This Row],[MOV]]&gt;0,1,IF(Games[[#This Row],[MOV]]=0,0.5,0))</f>
        <v>1</v>
      </c>
      <c r="W187" s="4">
        <f>((ABS(Games[[#This Row],[MOV]])+5)^0.6)/(12+0.01*(ABS(Games[[#This Row],[PreGmRate]]-Games[[#This Row],[OppPreGmRate]])))*IF(Games[[#This Row],[OT]]=1,0.9,1)</f>
        <v>0.30354995784787753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73.45</v>
      </c>
      <c r="Z187" s="4">
        <f>Games[[#This Row],[K]]*Games[[#This Row],[POMult]]</f>
        <v>73.45</v>
      </c>
      <c r="AA187" s="4">
        <f>(Games[[#This Row],[Keff]]*Games[[#This Row],[MOVMult]])*(Games[[#This Row],[Result]]-Games[[#This Row],[ExpectedWin%]])</f>
        <v>5.8513526925833208</v>
      </c>
      <c r="AB187" s="4">
        <f>Games[[#This Row],[PreGmRate]]+Games[[#This Row],[RatingChange]]</f>
        <v>1565.88698005269</v>
      </c>
      <c r="AC187" s="2">
        <f>IF(Games[[#This Row],[Type]]="R",IF(Games[[#This Row],[Result]]&gt;0.5,1,0),0)</f>
        <v>1</v>
      </c>
      <c r="AD187" s="2">
        <f>IF(Games[[#This Row],[Type]]="R",IF(Games[[#This Row],[Result]]&lt;0.5,1,0),0)</f>
        <v>0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42206</v>
      </c>
      <c r="B188" s="2">
        <v>2015</v>
      </c>
      <c r="C188" s="2">
        <f>COUNTIFS(Games[Team],Games[[#This Row],[Team]],Games[Season],Games[[#This Row],[Season]],Games[Date],"&lt;=" &amp; Games[[#This Row],[Date]])</f>
        <v>16</v>
      </c>
      <c r="D188" s="2" t="s">
        <v>83</v>
      </c>
      <c r="E188" s="2" t="s">
        <v>84</v>
      </c>
      <c r="F188" s="1" t="s">
        <v>40</v>
      </c>
      <c r="G188" s="1" t="s">
        <v>63</v>
      </c>
      <c r="H188" s="1" t="s">
        <v>85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88" s="2">
        <f>Games[[#This Row],[DaysOff]]-Games[[#This Row],[OppDaysOff]]</f>
        <v>-2</v>
      </c>
      <c r="L188" s="2">
        <f>Games[[#This Row],[OppDaysOff]]-Games[[#This Row],[DaysOff]]</f>
        <v>2</v>
      </c>
      <c r="M188" s="1">
        <f>MAX(-16, MIN(16, Games[[#This Row],[RestDiff]]*8))</f>
        <v>-16</v>
      </c>
      <c r="N188" s="1">
        <f>MAX(-16, MIN(16, Games[[#This Row],[OppRestDiff]]*8))</f>
        <v>16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1614.8659769049059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1390.1908812582446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0.65148750583845072</v>
      </c>
      <c r="R188" s="1">
        <v>65</v>
      </c>
      <c r="S188" s="1">
        <v>70</v>
      </c>
      <c r="T188" s="1">
        <v>0</v>
      </c>
      <c r="U188" s="1">
        <f>Games[[#This Row],[PointsFor]]-Games[[#This Row],[PointsAgainst]]</f>
        <v>-5</v>
      </c>
      <c r="V188" s="1">
        <f>IF(Games[[#This Row],[MOV]]&gt;0,1,IF(Games[[#This Row],[MOV]]=0,0.5,0))</f>
        <v>0</v>
      </c>
      <c r="W188" s="4">
        <f>((ABS(Games[[#This Row],[MOV]])+5)^0.6)/(12+0.01*(ABS(Games[[#This Row],[PreGmRate]]-Games[[#This Row],[OppPreGmRate]])))*IF(Games[[#This Row],[OT]]=1,0.9,1)</f>
        <v>0.27943716554741632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73.599999999999994</v>
      </c>
      <c r="Z188" s="4">
        <f>Games[[#This Row],[K]]*Games[[#This Row],[POMult]]</f>
        <v>73.599999999999994</v>
      </c>
      <c r="AA188" s="4">
        <f>(Games[[#This Row],[Keff]]*Games[[#This Row],[MOVMult]])*(Games[[#This Row],[Result]]-Games[[#This Row],[ExpectedWin%]])</f>
        <v>-13.398866900749464</v>
      </c>
      <c r="AB188" s="4">
        <f>Games[[#This Row],[PreGmRate]]+Games[[#This Row],[RatingChange]]</f>
        <v>1601.4671100041564</v>
      </c>
      <c r="AC188" s="2">
        <f>IF(Games[[#This Row],[Type]]="R",IF(Games[[#This Row],[Result]]&gt;0.5,1,0),0)</f>
        <v>0</v>
      </c>
      <c r="AD188" s="2">
        <f>IF(Games[[#This Row],[Type]]="R",IF(Games[[#This Row],[Result]]&lt;0.5,1,0),0)</f>
        <v>1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42206</v>
      </c>
      <c r="B189" s="2">
        <v>2015</v>
      </c>
      <c r="C189" s="2">
        <f>COUNTIFS(Games[Team],Games[[#This Row],[Team]],Games[Season],Games[[#This Row],[Season]],Games[Date],"&lt;=" &amp; Games[[#This Row],[Date]])</f>
        <v>15</v>
      </c>
      <c r="D189" s="2" t="s">
        <v>83</v>
      </c>
      <c r="E189" s="2" t="s">
        <v>84</v>
      </c>
      <c r="F189" s="1" t="s">
        <v>63</v>
      </c>
      <c r="G189" s="1" t="s">
        <v>40</v>
      </c>
      <c r="H189" s="1" t="s">
        <v>86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4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9" s="2">
        <f>Games[[#This Row],[DaysOff]]-Games[[#This Row],[OppDaysOff]]</f>
        <v>2</v>
      </c>
      <c r="L189" s="2">
        <f>Games[[#This Row],[OppDaysOff]]-Games[[#This Row],[DaysOff]]</f>
        <v>-2</v>
      </c>
      <c r="M189" s="1">
        <f>MAX(-16, MIN(16, Games[[#This Row],[RestDiff]]*8))</f>
        <v>16</v>
      </c>
      <c r="N189" s="1">
        <f>MAX(-16, MIN(16, Games[[#This Row],[OppRestDiff]]*8))</f>
        <v>-16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1390.1908812582446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1614.8659769049059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0.34851249416154928</v>
      </c>
      <c r="R189" s="1">
        <v>70</v>
      </c>
      <c r="S189" s="1">
        <v>65</v>
      </c>
      <c r="T189" s="1">
        <v>0</v>
      </c>
      <c r="U189" s="1">
        <f>Games[[#This Row],[PointsFor]]-Games[[#This Row],[PointsAgainst]]</f>
        <v>5</v>
      </c>
      <c r="V189" s="1">
        <f>IF(Games[[#This Row],[MOV]]&gt;0,1,IF(Games[[#This Row],[MOV]]=0,0.5,0))</f>
        <v>1</v>
      </c>
      <c r="W189" s="4">
        <f>((ABS(Games[[#This Row],[MOV]])+5)^0.6)/(12+0.01*(ABS(Games[[#This Row],[PreGmRate]]-Games[[#This Row],[OppPreGmRate]])))*IF(Games[[#This Row],[OT]]=1,0.9,1)</f>
        <v>0.27943716554741632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73.75</v>
      </c>
      <c r="Z189" s="4">
        <f>Games[[#This Row],[K]]*Games[[#This Row],[POMult]]</f>
        <v>73.75</v>
      </c>
      <c r="AA189" s="4">
        <f>(Games[[#This Row],[Keff]]*Games[[#This Row],[MOVMult]])*(Games[[#This Row],[Result]]-Games[[#This Row],[ExpectedWin%]])</f>
        <v>13.426174374052623</v>
      </c>
      <c r="AB189" s="4">
        <f>Games[[#This Row],[PreGmRate]]+Games[[#This Row],[RatingChange]]</f>
        <v>1403.6170556322973</v>
      </c>
      <c r="AC189" s="2">
        <f>IF(Games[[#This Row],[Type]]="R",IF(Games[[#This Row],[Result]]&gt;0.5,1,0),0)</f>
        <v>1</v>
      </c>
      <c r="AD189" s="2">
        <f>IF(Games[[#This Row],[Type]]="R",IF(Games[[#This Row],[Result]]&lt;0.5,1,0),0)</f>
        <v>0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42206</v>
      </c>
      <c r="B190" s="2">
        <v>2015</v>
      </c>
      <c r="C190" s="2">
        <f>COUNTIFS(Games[Team],Games[[#This Row],[Team]],Games[Season],Games[[#This Row],[Season]],Games[Date],"&lt;=" &amp; Games[[#This Row],[Date]])</f>
        <v>16</v>
      </c>
      <c r="D190" s="2" t="s">
        <v>83</v>
      </c>
      <c r="E190" s="2" t="s">
        <v>84</v>
      </c>
      <c r="F190" s="1" t="s">
        <v>69</v>
      </c>
      <c r="G190" s="1" t="s">
        <v>74</v>
      </c>
      <c r="H190" s="1" t="s">
        <v>85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0" s="2">
        <f>Games[[#This Row],[DaysOff]]-Games[[#This Row],[OppDaysOff]]</f>
        <v>2</v>
      </c>
      <c r="L190" s="2">
        <f>Games[[#This Row],[OppDaysOff]]-Games[[#This Row],[DaysOff]]</f>
        <v>-2</v>
      </c>
      <c r="M190" s="1">
        <f>MAX(-16, MIN(16, Games[[#This Row],[RestDiff]]*8))</f>
        <v>16</v>
      </c>
      <c r="N190" s="1">
        <f>MAX(-16, MIN(16, Games[[#This Row],[OppRestDiff]]*8))</f>
        <v>-16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1500.4851062557586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1409.3059397708869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0.55614556593800457</v>
      </c>
      <c r="R190" s="1">
        <v>62</v>
      </c>
      <c r="S190" s="1">
        <v>80</v>
      </c>
      <c r="T190" s="1">
        <v>0</v>
      </c>
      <c r="U190" s="1">
        <f>Games[[#This Row],[PointsFor]]-Games[[#This Row],[PointsAgainst]]</f>
        <v>-18</v>
      </c>
      <c r="V190" s="1">
        <f>IF(Games[[#This Row],[MOV]]&gt;0,1,IF(Games[[#This Row],[MOV]]=0,0.5,0))</f>
        <v>0</v>
      </c>
      <c r="W190" s="4">
        <f>((ABS(Games[[#This Row],[MOV]])+5)^0.6)/(12+0.01*(ABS(Games[[#This Row],[PreGmRate]]-Games[[#This Row],[OppPreGmRate]])))*IF(Games[[#This Row],[OT]]=1,0.9,1)</f>
        <v>0.50821817419656601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73.599999999999994</v>
      </c>
      <c r="Z190" s="4">
        <f>Games[[#This Row],[K]]*Games[[#This Row],[POMult]]</f>
        <v>73.599999999999994</v>
      </c>
      <c r="AA190" s="4">
        <f>(Games[[#This Row],[Keff]]*Games[[#This Row],[MOVMult]])*(Games[[#This Row],[Result]]-Games[[#This Row],[ExpectedWin%]])</f>
        <v>-20.802545710387701</v>
      </c>
      <c r="AB190" s="4">
        <f>Games[[#This Row],[PreGmRate]]+Games[[#This Row],[RatingChange]]</f>
        <v>1479.682560545371</v>
      </c>
      <c r="AC190" s="2">
        <f>IF(Games[[#This Row],[Type]]="R",IF(Games[[#This Row],[Result]]&gt;0.5,1,0),0)</f>
        <v>0</v>
      </c>
      <c r="AD190" s="2">
        <f>IF(Games[[#This Row],[Type]]="R",IF(Games[[#This Row],[Result]]&lt;0.5,1,0),0)</f>
        <v>1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42206</v>
      </c>
      <c r="B191" s="2">
        <v>2015</v>
      </c>
      <c r="C191" s="2">
        <f>COUNTIFS(Games[Team],Games[[#This Row],[Team]],Games[Season],Games[[#This Row],[Season]],Games[Date],"&lt;=" &amp; Games[[#This Row],[Date]])</f>
        <v>17</v>
      </c>
      <c r="D191" s="2" t="s">
        <v>83</v>
      </c>
      <c r="E191" s="2" t="s">
        <v>84</v>
      </c>
      <c r="F191" s="1" t="s">
        <v>74</v>
      </c>
      <c r="G191" s="1" t="s">
        <v>69</v>
      </c>
      <c r="H191" s="1" t="s">
        <v>86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1" s="2">
        <f>Games[[#This Row],[DaysOff]]-Games[[#This Row],[OppDaysOff]]</f>
        <v>-2</v>
      </c>
      <c r="L191" s="2">
        <f>Games[[#This Row],[OppDaysOff]]-Games[[#This Row],[DaysOff]]</f>
        <v>2</v>
      </c>
      <c r="M191" s="1">
        <f>MAX(-16, MIN(16, Games[[#This Row],[RestDiff]]*8))</f>
        <v>-16</v>
      </c>
      <c r="N191" s="1">
        <f>MAX(-16, MIN(16, Games[[#This Row],[OppRestDiff]]*8))</f>
        <v>16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1409.3059397708869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1500.4851062557586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0.44385443406199543</v>
      </c>
      <c r="R191" s="1">
        <v>80</v>
      </c>
      <c r="S191" s="1">
        <v>62</v>
      </c>
      <c r="T191" s="1">
        <v>0</v>
      </c>
      <c r="U191" s="1">
        <f>Games[[#This Row],[PointsFor]]-Games[[#This Row],[PointsAgainst]]</f>
        <v>18</v>
      </c>
      <c r="V191" s="1">
        <f>IF(Games[[#This Row],[MOV]]&gt;0,1,IF(Games[[#This Row],[MOV]]=0,0.5,0))</f>
        <v>1</v>
      </c>
      <c r="W191" s="4">
        <f>((ABS(Games[[#This Row],[MOV]])+5)^0.6)/(12+0.01*(ABS(Games[[#This Row],[PreGmRate]]-Games[[#This Row],[OppPreGmRate]])))*IF(Games[[#This Row],[OT]]=1,0.9,1)</f>
        <v>0.50821817419656601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73.45</v>
      </c>
      <c r="Z191" s="4">
        <f>Games[[#This Row],[K]]*Games[[#This Row],[POMult]]</f>
        <v>73.45</v>
      </c>
      <c r="AA191" s="4">
        <f>(Games[[#This Row],[Keff]]*Games[[#This Row],[MOVMult]])*(Games[[#This Row],[Result]]-Games[[#This Row],[ExpectedWin%]])</f>
        <v>20.760149217771424</v>
      </c>
      <c r="AB191" s="4">
        <f>Games[[#This Row],[PreGmRate]]+Games[[#This Row],[RatingChange]]</f>
        <v>1430.0660889886583</v>
      </c>
      <c r="AC191" s="2">
        <f>IF(Games[[#This Row],[Type]]="R",IF(Games[[#This Row],[Result]]&gt;0.5,1,0),0)</f>
        <v>1</v>
      </c>
      <c r="AD191" s="2">
        <f>IF(Games[[#This Row],[Type]]="R",IF(Games[[#This Row],[Result]]&lt;0.5,1,0),0)</f>
        <v>0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42206</v>
      </c>
      <c r="B192" s="2">
        <v>2015</v>
      </c>
      <c r="C192" s="2">
        <f>COUNTIFS(Games[Team],Games[[#This Row],[Team]],Games[Season],Games[[#This Row],[Season]],Games[Date],"&lt;=" &amp; Games[[#This Row],[Date]])</f>
        <v>16</v>
      </c>
      <c r="D192" s="2" t="s">
        <v>83</v>
      </c>
      <c r="E192" s="2" t="s">
        <v>84</v>
      </c>
      <c r="F192" s="1" t="s">
        <v>60</v>
      </c>
      <c r="G192" s="1" t="s">
        <v>71</v>
      </c>
      <c r="H192" s="1" t="s">
        <v>85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2" s="2">
        <f>Games[[#This Row],[DaysOff]]-Games[[#This Row],[OppDaysOff]]</f>
        <v>0</v>
      </c>
      <c r="L192" s="2">
        <f>Games[[#This Row],[OppDaysOff]]-Games[[#This Row],[DaysOff]]</f>
        <v>0</v>
      </c>
      <c r="M192" s="1">
        <f>MAX(-16, MIN(16, Games[[#This Row],[RestDiff]]*8))</f>
        <v>0</v>
      </c>
      <c r="N192" s="1">
        <f>MAX(-16, MIN(16, Games[[#This Row],[OppRestDiff]]*8))</f>
        <v>0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1526.0381376818298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1412.5164929850896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0.54238311002161965</v>
      </c>
      <c r="R192" s="1">
        <v>81</v>
      </c>
      <c r="S192" s="1">
        <v>77</v>
      </c>
      <c r="T192" s="1">
        <v>0</v>
      </c>
      <c r="U192" s="1">
        <f>Games[[#This Row],[PointsFor]]-Games[[#This Row],[PointsAgainst]]</f>
        <v>4</v>
      </c>
      <c r="V192" s="1">
        <f>IF(Games[[#This Row],[MOV]]&gt;0,1,IF(Games[[#This Row],[MOV]]=0,0.5,0))</f>
        <v>1</v>
      </c>
      <c r="W192" s="4">
        <f>((ABS(Games[[#This Row],[MOV]])+5)^0.6)/(12+0.01*(ABS(Games[[#This Row],[PreGmRate]]-Games[[#This Row],[OppPreGmRate]])))*IF(Games[[#This Row],[OT]]=1,0.9,1)</f>
        <v>0.2845170335742262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73.599999999999994</v>
      </c>
      <c r="Z192" s="4">
        <f>Games[[#This Row],[K]]*Games[[#This Row],[POMult]]</f>
        <v>73.599999999999994</v>
      </c>
      <c r="AA192" s="4">
        <f>(Games[[#This Row],[Keff]]*Games[[#This Row],[MOVMult]])*(Games[[#This Row],[Result]]-Games[[#This Row],[ExpectedWin%]])</f>
        <v>9.5827052836882292</v>
      </c>
      <c r="AB192" s="4">
        <f>Games[[#This Row],[PreGmRate]]+Games[[#This Row],[RatingChange]]</f>
        <v>1535.620842965518</v>
      </c>
      <c r="AC192" s="2">
        <f>IF(Games[[#This Row],[Type]]="R",IF(Games[[#This Row],[Result]]&gt;0.5,1,0),0)</f>
        <v>1</v>
      </c>
      <c r="AD192" s="2">
        <f>IF(Games[[#This Row],[Type]]="R",IF(Games[[#This Row],[Result]]&lt;0.5,1,0),0)</f>
        <v>0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42206</v>
      </c>
      <c r="B193" s="2">
        <v>2015</v>
      </c>
      <c r="C193" s="2">
        <f>COUNTIFS(Games[Team],Games[[#This Row],[Team]],Games[Season],Games[[#This Row],[Season]],Games[Date],"&lt;=" &amp; Games[[#This Row],[Date]])</f>
        <v>18</v>
      </c>
      <c r="D193" s="2" t="s">
        <v>83</v>
      </c>
      <c r="E193" s="2" t="s">
        <v>84</v>
      </c>
      <c r="F193" s="1" t="s">
        <v>71</v>
      </c>
      <c r="G193" s="1" t="s">
        <v>60</v>
      </c>
      <c r="H193" s="1" t="s">
        <v>86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3" s="2">
        <f>Games[[#This Row],[DaysOff]]-Games[[#This Row],[OppDaysOff]]</f>
        <v>0</v>
      </c>
      <c r="L193" s="2">
        <f>Games[[#This Row],[OppDaysOff]]-Games[[#This Row],[DaysOff]]</f>
        <v>0</v>
      </c>
      <c r="M193" s="1">
        <f>MAX(-16, MIN(16, Games[[#This Row],[RestDiff]]*8))</f>
        <v>0</v>
      </c>
      <c r="N193" s="1">
        <f>MAX(-16, MIN(16, Games[[#This Row],[OppRestDiff]]*8))</f>
        <v>0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1412.5164929850896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1526.0381376818298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0.45761688997838035</v>
      </c>
      <c r="R193" s="1">
        <v>77</v>
      </c>
      <c r="S193" s="1">
        <v>81</v>
      </c>
      <c r="T193" s="1">
        <v>0</v>
      </c>
      <c r="U193" s="1">
        <f>Games[[#This Row],[PointsFor]]-Games[[#This Row],[PointsAgainst]]</f>
        <v>-4</v>
      </c>
      <c r="V193" s="1">
        <f>IF(Games[[#This Row],[MOV]]&gt;0,1,IF(Games[[#This Row],[MOV]]=0,0.5,0))</f>
        <v>0</v>
      </c>
      <c r="W193" s="4">
        <f>((ABS(Games[[#This Row],[MOV]])+5)^0.6)/(12+0.01*(ABS(Games[[#This Row],[PreGmRate]]-Games[[#This Row],[OppPreGmRate]])))*IF(Games[[#This Row],[OT]]=1,0.9,1)</f>
        <v>0.2845170335742262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73.3</v>
      </c>
      <c r="Z193" s="4">
        <f>Games[[#This Row],[K]]*Games[[#This Row],[POMult]]</f>
        <v>73.3</v>
      </c>
      <c r="AA193" s="4">
        <f>(Games[[#This Row],[Keff]]*Games[[#This Row],[MOVMult]])*(Games[[#This Row],[Result]]-Games[[#This Row],[ExpectedWin%]])</f>
        <v>-9.5436453436731963</v>
      </c>
      <c r="AB193" s="4">
        <f>Games[[#This Row],[PreGmRate]]+Games[[#This Row],[RatingChange]]</f>
        <v>1402.9728476414164</v>
      </c>
      <c r="AC193" s="2">
        <f>IF(Games[[#This Row],[Type]]="R",IF(Games[[#This Row],[Result]]&gt;0.5,1,0),0)</f>
        <v>0</v>
      </c>
      <c r="AD193" s="2">
        <f>IF(Games[[#This Row],[Type]]="R",IF(Games[[#This Row],[Result]]&lt;0.5,1,0),0)</f>
        <v>1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42206</v>
      </c>
      <c r="B194" s="2">
        <v>2015</v>
      </c>
      <c r="C194" s="2">
        <f>COUNTIFS(Games[Team],Games[[#This Row],[Team]],Games[Season],Games[[#This Row],[Season]],Games[Date],"&lt;=" &amp; Games[[#This Row],[Date]])</f>
        <v>15</v>
      </c>
      <c r="D194" s="2" t="s">
        <v>83</v>
      </c>
      <c r="E194" s="2" t="s">
        <v>84</v>
      </c>
      <c r="F194" s="1" t="s">
        <v>65</v>
      </c>
      <c r="G194" s="1" t="s">
        <v>81</v>
      </c>
      <c r="H194" s="1" t="s">
        <v>85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4" s="2">
        <f>Games[[#This Row],[DaysOff]]-Games[[#This Row],[OppDaysOff]]</f>
        <v>0</v>
      </c>
      <c r="L194" s="2">
        <f>Games[[#This Row],[OppDaysOff]]-Games[[#This Row],[DaysOff]]</f>
        <v>0</v>
      </c>
      <c r="M194" s="1">
        <f>MAX(-16, MIN(16, Games[[#This Row],[RestDiff]]*8))</f>
        <v>0</v>
      </c>
      <c r="N194" s="1">
        <f>MAX(-16, MIN(16, Games[[#This Row],[OppRestDiff]]*8))</f>
        <v>0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1506.5154896789252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1510.6135638352812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0.37586579152593941</v>
      </c>
      <c r="R194" s="1">
        <v>76</v>
      </c>
      <c r="S194" s="1">
        <v>69</v>
      </c>
      <c r="T194" s="1">
        <v>0</v>
      </c>
      <c r="U194" s="1">
        <f>Games[[#This Row],[PointsFor]]-Games[[#This Row],[PointsAgainst]]</f>
        <v>7</v>
      </c>
      <c r="V194" s="1">
        <f>IF(Games[[#This Row],[MOV]]&gt;0,1,IF(Games[[#This Row],[MOV]]=0,0.5,0))</f>
        <v>1</v>
      </c>
      <c r="W194" s="4">
        <f>((ABS(Games[[#This Row],[MOV]])+5)^0.6)/(12+0.01*(ABS(Games[[#This Row],[PreGmRate]]-Games[[#This Row],[OppPreGmRate]])))*IF(Games[[#This Row],[OT]]=1,0.9,1)</f>
        <v>0.36884753536024051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73.75</v>
      </c>
      <c r="Z194" s="4">
        <f>Games[[#This Row],[K]]*Games[[#This Row],[POMult]]</f>
        <v>73.75</v>
      </c>
      <c r="AA194" s="4">
        <f>(Games[[#This Row],[Keff]]*Games[[#This Row],[MOVMult]])*(Games[[#This Row],[Result]]-Games[[#This Row],[ExpectedWin%]])</f>
        <v>16.978014384063297</v>
      </c>
      <c r="AB194" s="4">
        <f>Games[[#This Row],[PreGmRate]]+Games[[#This Row],[RatingChange]]</f>
        <v>1523.4935040629884</v>
      </c>
      <c r="AC194" s="2">
        <f>IF(Games[[#This Row],[Type]]="R",IF(Games[[#This Row],[Result]]&gt;0.5,1,0),0)</f>
        <v>1</v>
      </c>
      <c r="AD194" s="2">
        <f>IF(Games[[#This Row],[Type]]="R",IF(Games[[#This Row],[Result]]&lt;0.5,1,0),0)</f>
        <v>0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42206</v>
      </c>
      <c r="B195" s="2">
        <v>2015</v>
      </c>
      <c r="C195" s="2">
        <f>COUNTIFS(Games[Team],Games[[#This Row],[Team]],Games[Season],Games[[#This Row],[Season]],Games[Date],"&lt;=" &amp; Games[[#This Row],[Date]])</f>
        <v>18</v>
      </c>
      <c r="D195" s="2" t="s">
        <v>83</v>
      </c>
      <c r="E195" s="2" t="s">
        <v>84</v>
      </c>
      <c r="F195" s="1" t="s">
        <v>81</v>
      </c>
      <c r="G195" s="1" t="s">
        <v>65</v>
      </c>
      <c r="H195" s="1" t="s">
        <v>86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5" s="2">
        <f>Games[[#This Row],[DaysOff]]-Games[[#This Row],[OppDaysOff]]</f>
        <v>0</v>
      </c>
      <c r="L195" s="2">
        <f>Games[[#This Row],[OppDaysOff]]-Games[[#This Row],[DaysOff]]</f>
        <v>0</v>
      </c>
      <c r="M195" s="1">
        <f>MAX(-16, MIN(16, Games[[#This Row],[RestDiff]]*8))</f>
        <v>0</v>
      </c>
      <c r="N195" s="1">
        <f>MAX(-16, MIN(16, Games[[#This Row],[OppRestDiff]]*8))</f>
        <v>0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1510.6135638352812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1506.5154896789252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0.62413420847406065</v>
      </c>
      <c r="R195" s="1">
        <v>69</v>
      </c>
      <c r="S195" s="1">
        <v>76</v>
      </c>
      <c r="T195" s="1">
        <v>0</v>
      </c>
      <c r="U195" s="1">
        <f>Games[[#This Row],[PointsFor]]-Games[[#This Row],[PointsAgainst]]</f>
        <v>-7</v>
      </c>
      <c r="V195" s="1">
        <f>IF(Games[[#This Row],[MOV]]&gt;0,1,IF(Games[[#This Row],[MOV]]=0,0.5,0))</f>
        <v>0</v>
      </c>
      <c r="W195" s="4">
        <f>((ABS(Games[[#This Row],[MOV]])+5)^0.6)/(12+0.01*(ABS(Games[[#This Row],[PreGmRate]]-Games[[#This Row],[OppPreGmRate]])))*IF(Games[[#This Row],[OT]]=1,0.9,1)</f>
        <v>0.36884753536024051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73.3</v>
      </c>
      <c r="Z195" s="4">
        <f>Games[[#This Row],[K]]*Games[[#This Row],[POMult]]</f>
        <v>73.3</v>
      </c>
      <c r="AA195" s="4">
        <f>(Games[[#This Row],[Keff]]*Games[[#This Row],[MOVMult]])*(Games[[#This Row],[Result]]-Games[[#This Row],[ExpectedWin%]])</f>
        <v>-16.874419720024942</v>
      </c>
      <c r="AB195" s="4">
        <f>Games[[#This Row],[PreGmRate]]+Games[[#This Row],[RatingChange]]</f>
        <v>1493.7391441152563</v>
      </c>
      <c r="AC195" s="2">
        <f>IF(Games[[#This Row],[Type]]="R",IF(Games[[#This Row],[Result]]&gt;0.5,1,0),0)</f>
        <v>0</v>
      </c>
      <c r="AD195" s="2">
        <f>IF(Games[[#This Row],[Type]]="R",IF(Games[[#This Row],[Result]]&lt;0.5,1,0),0)</f>
        <v>1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42207</v>
      </c>
      <c r="B196" s="2">
        <v>2015</v>
      </c>
      <c r="C196" s="2">
        <f>COUNTIFS(Games[Team],Games[[#This Row],[Team]],Games[Season],Games[[#This Row],[Season]],Games[Date],"&lt;=" &amp; Games[[#This Row],[Date]])</f>
        <v>17</v>
      </c>
      <c r="D196" s="2" t="s">
        <v>83</v>
      </c>
      <c r="E196" s="2" t="s">
        <v>84</v>
      </c>
      <c r="F196" s="1" t="s">
        <v>60</v>
      </c>
      <c r="G196" s="1" t="s">
        <v>63</v>
      </c>
      <c r="H196" s="1" t="s">
        <v>85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6" s="2">
        <f>Games[[#This Row],[DaysOff]]-Games[[#This Row],[OppDaysOff]]</f>
        <v>0</v>
      </c>
      <c r="L196" s="2">
        <f>Games[[#This Row],[OppDaysOff]]-Games[[#This Row],[DaysOff]]</f>
        <v>0</v>
      </c>
      <c r="M196" s="1">
        <f>MAX(-16, MIN(16, Games[[#This Row],[RestDiff]]*8))</f>
        <v>0</v>
      </c>
      <c r="N196" s="1">
        <f>MAX(-16, MIN(16, Games[[#This Row],[OppRestDiff]]*8))</f>
        <v>0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1535.620842965518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1403.6170556322973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0.56864673956479395</v>
      </c>
      <c r="R196" s="1">
        <v>59</v>
      </c>
      <c r="S196" s="1">
        <v>53</v>
      </c>
      <c r="T196" s="1">
        <v>0</v>
      </c>
      <c r="U196" s="1">
        <f>Games[[#This Row],[PointsFor]]-Games[[#This Row],[PointsAgainst]]</f>
        <v>6</v>
      </c>
      <c r="V196" s="1">
        <f>IF(Games[[#This Row],[MOV]]&gt;0,1,IF(Games[[#This Row],[MOV]]=0,0.5,0))</f>
        <v>1</v>
      </c>
      <c r="W196" s="4">
        <f>((ABS(Games[[#This Row],[MOV]])+5)^0.6)/(12+0.01*(ABS(Games[[#This Row],[PreGmRate]]-Games[[#This Row],[OppPreGmRate]])))*IF(Games[[#This Row],[OT]]=1,0.9,1)</f>
        <v>0.31646825430815101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73.45</v>
      </c>
      <c r="Z196" s="4">
        <f>Games[[#This Row],[K]]*Games[[#This Row],[POMult]]</f>
        <v>73.45</v>
      </c>
      <c r="AA196" s="4">
        <f>(Games[[#This Row],[Keff]]*Games[[#This Row],[MOVMult]])*(Games[[#This Row],[Result]]-Games[[#This Row],[ExpectedWin%]])</f>
        <v>10.026631098358326</v>
      </c>
      <c r="AB196" s="4">
        <f>Games[[#This Row],[PreGmRate]]+Games[[#This Row],[RatingChange]]</f>
        <v>1545.6474740638764</v>
      </c>
      <c r="AC196" s="2">
        <f>IF(Games[[#This Row],[Type]]="R",IF(Games[[#This Row],[Result]]&gt;0.5,1,0),0)</f>
        <v>1</v>
      </c>
      <c r="AD196" s="2">
        <f>IF(Games[[#This Row],[Type]]="R",IF(Games[[#This Row],[Result]]&lt;0.5,1,0),0)</f>
        <v>0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42207</v>
      </c>
      <c r="B197" s="2">
        <v>2015</v>
      </c>
      <c r="C197" s="2">
        <f>COUNTIFS(Games[Team],Games[[#This Row],[Team]],Games[Season],Games[[#This Row],[Season]],Games[Date],"&lt;=" &amp; Games[[#This Row],[Date]])</f>
        <v>16</v>
      </c>
      <c r="D197" s="2" t="s">
        <v>83</v>
      </c>
      <c r="E197" s="2" t="s">
        <v>84</v>
      </c>
      <c r="F197" s="1" t="s">
        <v>63</v>
      </c>
      <c r="G197" s="1" t="s">
        <v>60</v>
      </c>
      <c r="H197" s="1" t="s">
        <v>86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7" s="2">
        <f>Games[[#This Row],[DaysOff]]-Games[[#This Row],[OppDaysOff]]</f>
        <v>0</v>
      </c>
      <c r="L197" s="2">
        <f>Games[[#This Row],[OppDaysOff]]-Games[[#This Row],[DaysOff]]</f>
        <v>0</v>
      </c>
      <c r="M197" s="1">
        <f>MAX(-16, MIN(16, Games[[#This Row],[RestDiff]]*8))</f>
        <v>0</v>
      </c>
      <c r="N197" s="1">
        <f>MAX(-16, MIN(16, Games[[#This Row],[OppRestDiff]]*8))</f>
        <v>0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1403.6170556322973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1535.620842965518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0.431353260435206</v>
      </c>
      <c r="R197" s="1">
        <v>53</v>
      </c>
      <c r="S197" s="1">
        <v>59</v>
      </c>
      <c r="T197" s="1">
        <v>0</v>
      </c>
      <c r="U197" s="1">
        <f>Games[[#This Row],[PointsFor]]-Games[[#This Row],[PointsAgainst]]</f>
        <v>-6</v>
      </c>
      <c r="V197" s="1">
        <f>IF(Games[[#This Row],[MOV]]&gt;0,1,IF(Games[[#This Row],[MOV]]=0,0.5,0))</f>
        <v>0</v>
      </c>
      <c r="W197" s="4">
        <f>((ABS(Games[[#This Row],[MOV]])+5)^0.6)/(12+0.01*(ABS(Games[[#This Row],[PreGmRate]]-Games[[#This Row],[OppPreGmRate]])))*IF(Games[[#This Row],[OT]]=1,0.9,1)</f>
        <v>0.31646825430815101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73.599999999999994</v>
      </c>
      <c r="Z197" s="4">
        <f>Games[[#This Row],[K]]*Games[[#This Row],[POMult]]</f>
        <v>73.599999999999994</v>
      </c>
      <c r="AA197" s="4">
        <f>(Games[[#This Row],[Keff]]*Games[[#This Row],[MOVMult]])*(Games[[#This Row],[Result]]-Games[[#This Row],[ExpectedWin%]])</f>
        <v>-10.047107540356333</v>
      </c>
      <c r="AB197" s="4">
        <f>Games[[#This Row],[PreGmRate]]+Games[[#This Row],[RatingChange]]</f>
        <v>1393.5699480919409</v>
      </c>
      <c r="AC197" s="2">
        <f>IF(Games[[#This Row],[Type]]="R",IF(Games[[#This Row],[Result]]&gt;0.5,1,0),0)</f>
        <v>0</v>
      </c>
      <c r="AD197" s="2">
        <f>IF(Games[[#This Row],[Type]]="R",IF(Games[[#This Row],[Result]]&lt;0.5,1,0),0)</f>
        <v>1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42207</v>
      </c>
      <c r="B198" s="2">
        <v>2015</v>
      </c>
      <c r="C198" s="2">
        <f>COUNTIFS(Games[Team],Games[[#This Row],[Team]],Games[Season],Games[[#This Row],[Season]],Games[Date],"&lt;=" &amp; Games[[#This Row],[Date]])</f>
        <v>15</v>
      </c>
      <c r="D198" s="2" t="s">
        <v>83</v>
      </c>
      <c r="E198" s="2" t="s">
        <v>84</v>
      </c>
      <c r="F198" s="1" t="s">
        <v>76</v>
      </c>
      <c r="G198" s="1" t="s">
        <v>67</v>
      </c>
      <c r="H198" s="1" t="s">
        <v>85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8" s="2">
        <f>Games[[#This Row],[DaysOff]]-Games[[#This Row],[OppDaysOff]]</f>
        <v>0</v>
      </c>
      <c r="L198" s="2">
        <f>Games[[#This Row],[OppDaysOff]]-Games[[#This Row],[DaysOff]]</f>
        <v>0</v>
      </c>
      <c r="M198" s="1">
        <f>MAX(-16, MIN(16, Games[[#This Row],[RestDiff]]*8))</f>
        <v>0</v>
      </c>
      <c r="N198" s="1">
        <f>MAX(-16, MIN(16, Games[[#This Row],[OppRestDiff]]*8))</f>
        <v>0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1471.4862020282333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1650.020526257872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0.18075079564905921</v>
      </c>
      <c r="R198" s="1">
        <v>78</v>
      </c>
      <c r="S198" s="1">
        <v>77</v>
      </c>
      <c r="T198" s="1">
        <v>1</v>
      </c>
      <c r="U198" s="1">
        <f>Games[[#This Row],[PointsFor]]-Games[[#This Row],[PointsAgainst]]</f>
        <v>1</v>
      </c>
      <c r="V198" s="1">
        <f>IF(Games[[#This Row],[MOV]]&gt;0,1,IF(Games[[#This Row],[MOV]]=0,0.5,0))</f>
        <v>1</v>
      </c>
      <c r="W198" s="4">
        <f>((ABS(Games[[#This Row],[MOV]])+5)^0.6)/(12+0.01*(ABS(Games[[#This Row],[PreGmRate]]-Games[[#This Row],[OppPreGmRate]])))*IF(Games[[#This Row],[OT]]=1,0.9,1)</f>
        <v>0.19130031077745363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73.75</v>
      </c>
      <c r="Z198" s="4">
        <f>Games[[#This Row],[K]]*Games[[#This Row],[POMult]]</f>
        <v>73.75</v>
      </c>
      <c r="AA198" s="4">
        <f>(Games[[#This Row],[Keff]]*Games[[#This Row],[MOVMult]])*(Games[[#This Row],[Result]]-Games[[#This Row],[ExpectedWin%]])</f>
        <v>11.558293770493098</v>
      </c>
      <c r="AB198" s="4">
        <f>Games[[#This Row],[PreGmRate]]+Games[[#This Row],[RatingChange]]</f>
        <v>1483.0444957987263</v>
      </c>
      <c r="AC198" s="2">
        <f>IF(Games[[#This Row],[Type]]="R",IF(Games[[#This Row],[Result]]&gt;0.5,1,0),0)</f>
        <v>1</v>
      </c>
      <c r="AD198" s="2">
        <f>IF(Games[[#This Row],[Type]]="R",IF(Games[[#This Row],[Result]]&lt;0.5,1,0),0)</f>
        <v>0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42207</v>
      </c>
      <c r="B199" s="2">
        <v>2015</v>
      </c>
      <c r="C199" s="2">
        <f>COUNTIFS(Games[Team],Games[[#This Row],[Team]],Games[Season],Games[[#This Row],[Season]],Games[Date],"&lt;=" &amp; Games[[#This Row],[Date]])</f>
        <v>16</v>
      </c>
      <c r="D199" s="2" t="s">
        <v>83</v>
      </c>
      <c r="E199" s="2" t="s">
        <v>84</v>
      </c>
      <c r="F199" s="1" t="s">
        <v>67</v>
      </c>
      <c r="G199" s="1" t="s">
        <v>76</v>
      </c>
      <c r="H199" s="1" t="s">
        <v>86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9" s="2">
        <f>Games[[#This Row],[DaysOff]]-Games[[#This Row],[OppDaysOff]]</f>
        <v>0</v>
      </c>
      <c r="L199" s="2">
        <f>Games[[#This Row],[OppDaysOff]]-Games[[#This Row],[DaysOff]]</f>
        <v>0</v>
      </c>
      <c r="M199" s="1">
        <f>MAX(-16, MIN(16, Games[[#This Row],[RestDiff]]*8))</f>
        <v>0</v>
      </c>
      <c r="N199" s="1">
        <f>MAX(-16, MIN(16, Games[[#This Row],[OppRestDiff]]*8))</f>
        <v>0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1650.020526257872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1471.4862020282333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0.81924920435094073</v>
      </c>
      <c r="R199" s="1">
        <v>77</v>
      </c>
      <c r="S199" s="1">
        <v>78</v>
      </c>
      <c r="T199" s="1">
        <v>1</v>
      </c>
      <c r="U199" s="1">
        <f>Games[[#This Row],[PointsFor]]-Games[[#This Row],[PointsAgainst]]</f>
        <v>-1</v>
      </c>
      <c r="V199" s="1">
        <f>IF(Games[[#This Row],[MOV]]&gt;0,1,IF(Games[[#This Row],[MOV]]=0,0.5,0))</f>
        <v>0</v>
      </c>
      <c r="W199" s="4">
        <f>((ABS(Games[[#This Row],[MOV]])+5)^0.6)/(12+0.01*(ABS(Games[[#This Row],[PreGmRate]]-Games[[#This Row],[OppPreGmRate]])))*IF(Games[[#This Row],[OT]]=1,0.9,1)</f>
        <v>0.19130031077745363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73.599999999999994</v>
      </c>
      <c r="Z199" s="4">
        <f>Games[[#This Row],[K]]*Games[[#This Row],[POMult]]</f>
        <v>73.599999999999994</v>
      </c>
      <c r="AA199" s="4">
        <f>(Games[[#This Row],[Keff]]*Games[[#This Row],[MOVMult]])*(Games[[#This Row],[Result]]-Games[[#This Row],[ExpectedWin%]])</f>
        <v>-11.534785376383621</v>
      </c>
      <c r="AB199" s="4">
        <f>Games[[#This Row],[PreGmRate]]+Games[[#This Row],[RatingChange]]</f>
        <v>1638.4857408814885</v>
      </c>
      <c r="AC199" s="2">
        <f>IF(Games[[#This Row],[Type]]="R",IF(Games[[#This Row],[Result]]&gt;0.5,1,0),0)</f>
        <v>0</v>
      </c>
      <c r="AD199" s="2">
        <f>IF(Games[[#This Row],[Type]]="R",IF(Games[[#This Row],[Result]]&lt;0.5,1,0),0)</f>
        <v>1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42213</v>
      </c>
      <c r="B200" s="2">
        <v>2015</v>
      </c>
      <c r="C200" s="2">
        <f>COUNTIFS(Games[Team],Games[[#This Row],[Team]],Games[Season],Games[[#This Row],[Season]],Games[Date],"&lt;=" &amp; Games[[#This Row],[Date]])</f>
        <v>17</v>
      </c>
      <c r="D200" s="2" t="s">
        <v>83</v>
      </c>
      <c r="E200" s="2" t="s">
        <v>84</v>
      </c>
      <c r="F200" s="1" t="s">
        <v>69</v>
      </c>
      <c r="G200" s="1" t="s">
        <v>76</v>
      </c>
      <c r="H200" s="1" t="s">
        <v>85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6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00" s="2">
        <f>Games[[#This Row],[DaysOff]]-Games[[#This Row],[OppDaysOff]]</f>
        <v>1</v>
      </c>
      <c r="L200" s="2">
        <f>Games[[#This Row],[OppDaysOff]]-Games[[#This Row],[DaysOff]]</f>
        <v>-1</v>
      </c>
      <c r="M200" s="1">
        <f>MAX(-16, MIN(16, Games[[#This Row],[RestDiff]]*8))</f>
        <v>8</v>
      </c>
      <c r="N200" s="1">
        <f>MAX(-16, MIN(16, Games[[#This Row],[OppRestDiff]]*8))</f>
        <v>-8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1479.682560545371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1483.0444957987263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0.39872215271146166</v>
      </c>
      <c r="R200" s="1">
        <v>75</v>
      </c>
      <c r="S200" s="1">
        <v>73</v>
      </c>
      <c r="T200" s="1">
        <v>1</v>
      </c>
      <c r="U200" s="1">
        <f>Games[[#This Row],[PointsFor]]-Games[[#This Row],[PointsAgainst]]</f>
        <v>2</v>
      </c>
      <c r="V200" s="1">
        <f>IF(Games[[#This Row],[MOV]]&gt;0,1,IF(Games[[#This Row],[MOV]]=0,0.5,0))</f>
        <v>1</v>
      </c>
      <c r="W200" s="4">
        <f>((ABS(Games[[#This Row],[MOV]])+5)^0.6)/(12+0.01*(ABS(Games[[#This Row],[PreGmRate]]-Games[[#This Row],[OppPreGmRate]])))*IF(Games[[#This Row],[OT]]=1,0.9,1)</f>
        <v>0.24038372662464261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73.45</v>
      </c>
      <c r="Z200" s="4">
        <f>Games[[#This Row],[K]]*Games[[#This Row],[POMult]]</f>
        <v>73.45</v>
      </c>
      <c r="AA200" s="4">
        <f>(Games[[#This Row],[Keff]]*Games[[#This Row],[MOVMult]])*(Games[[#This Row],[Result]]-Games[[#This Row],[ExpectedWin%]])</f>
        <v>10.616272740119124</v>
      </c>
      <c r="AB200" s="4">
        <f>Games[[#This Row],[PreGmRate]]+Games[[#This Row],[RatingChange]]</f>
        <v>1490.29883328549</v>
      </c>
      <c r="AC200" s="2">
        <f>IF(Games[[#This Row],[Type]]="R",IF(Games[[#This Row],[Result]]&gt;0.5,1,0),0)</f>
        <v>1</v>
      </c>
      <c r="AD200" s="2">
        <f>IF(Games[[#This Row],[Type]]="R",IF(Games[[#This Row],[Result]]&lt;0.5,1,0),0)</f>
        <v>0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42213</v>
      </c>
      <c r="B201" s="2">
        <v>2015</v>
      </c>
      <c r="C201" s="2">
        <f>COUNTIFS(Games[Team],Games[[#This Row],[Team]],Games[Season],Games[[#This Row],[Season]],Games[Date],"&lt;=" &amp; Games[[#This Row],[Date]])</f>
        <v>16</v>
      </c>
      <c r="D201" s="2" t="s">
        <v>83</v>
      </c>
      <c r="E201" s="2" t="s">
        <v>84</v>
      </c>
      <c r="F201" s="1" t="s">
        <v>76</v>
      </c>
      <c r="G201" s="1" t="s">
        <v>69</v>
      </c>
      <c r="H201" s="1" t="s">
        <v>86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5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01" s="2">
        <f>Games[[#This Row],[DaysOff]]-Games[[#This Row],[OppDaysOff]]</f>
        <v>-1</v>
      </c>
      <c r="L201" s="2">
        <f>Games[[#This Row],[OppDaysOff]]-Games[[#This Row],[DaysOff]]</f>
        <v>1</v>
      </c>
      <c r="M201" s="1">
        <f>MAX(-16, MIN(16, Games[[#This Row],[RestDiff]]*8))</f>
        <v>-8</v>
      </c>
      <c r="N201" s="1">
        <f>MAX(-16, MIN(16, Games[[#This Row],[OppRestDiff]]*8))</f>
        <v>8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1483.0444957987263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1479.682560545371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0.60127784728853839</v>
      </c>
      <c r="R201" s="1">
        <v>73</v>
      </c>
      <c r="S201" s="1">
        <v>75</v>
      </c>
      <c r="T201" s="1">
        <v>1</v>
      </c>
      <c r="U201" s="1">
        <f>Games[[#This Row],[PointsFor]]-Games[[#This Row],[PointsAgainst]]</f>
        <v>-2</v>
      </c>
      <c r="V201" s="1">
        <f>IF(Games[[#This Row],[MOV]]&gt;0,1,IF(Games[[#This Row],[MOV]]=0,0.5,0))</f>
        <v>0</v>
      </c>
      <c r="W201" s="4">
        <f>((ABS(Games[[#This Row],[MOV]])+5)^0.6)/(12+0.01*(ABS(Games[[#This Row],[PreGmRate]]-Games[[#This Row],[OppPreGmRate]])))*IF(Games[[#This Row],[OT]]=1,0.9,1)</f>
        <v>0.24038372662464261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73.599999999999994</v>
      </c>
      <c r="Z201" s="4">
        <f>Games[[#This Row],[K]]*Games[[#This Row],[POMult]]</f>
        <v>73.599999999999994</v>
      </c>
      <c r="AA201" s="4">
        <f>(Games[[#This Row],[Keff]]*Games[[#This Row],[MOVMult]])*(Games[[#This Row],[Result]]-Games[[#This Row],[ExpectedWin%]])</f>
        <v>-10.637953351569333</v>
      </c>
      <c r="AB201" s="4">
        <f>Games[[#This Row],[PreGmRate]]+Games[[#This Row],[RatingChange]]</f>
        <v>1472.4065424471569</v>
      </c>
      <c r="AC201" s="2">
        <f>IF(Games[[#This Row],[Type]]="R",IF(Games[[#This Row],[Result]]&gt;0.5,1,0),0)</f>
        <v>0</v>
      </c>
      <c r="AD201" s="2">
        <f>IF(Games[[#This Row],[Type]]="R",IF(Games[[#This Row],[Result]]&lt;0.5,1,0),0)</f>
        <v>1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42213</v>
      </c>
      <c r="B202" s="2">
        <v>2015</v>
      </c>
      <c r="C202" s="2">
        <f>COUNTIFS(Games[Team],Games[[#This Row],[Team]],Games[Season],Games[[#This Row],[Season]],Games[Date],"&lt;=" &amp; Games[[#This Row],[Date]])</f>
        <v>18</v>
      </c>
      <c r="D202" s="2" t="s">
        <v>83</v>
      </c>
      <c r="E202" s="2" t="s">
        <v>84</v>
      </c>
      <c r="F202" s="1" t="s">
        <v>77</v>
      </c>
      <c r="G202" s="1" t="s">
        <v>40</v>
      </c>
      <c r="H202" s="1" t="s">
        <v>85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6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02" s="2">
        <f>Games[[#This Row],[DaysOff]]-Games[[#This Row],[OppDaysOff]]</f>
        <v>0</v>
      </c>
      <c r="L202" s="2">
        <f>Games[[#This Row],[OppDaysOff]]-Games[[#This Row],[DaysOff]]</f>
        <v>0</v>
      </c>
      <c r="M202" s="1">
        <f>MAX(-16, MIN(16, Games[[#This Row],[RestDiff]]*8))</f>
        <v>0</v>
      </c>
      <c r="N202" s="1">
        <f>MAX(-16, MIN(16, Games[[#This Row],[OppRestDiff]]*8))</f>
        <v>0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1565.88698005269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1601.4671100041564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0.33439831881065352</v>
      </c>
      <c r="R202" s="1">
        <v>87</v>
      </c>
      <c r="S202" s="1">
        <v>89</v>
      </c>
      <c r="T202" s="1">
        <v>1</v>
      </c>
      <c r="U202" s="1">
        <f>Games[[#This Row],[PointsFor]]-Games[[#This Row],[PointsAgainst]]</f>
        <v>-2</v>
      </c>
      <c r="V202" s="1">
        <f>IF(Games[[#This Row],[MOV]]&gt;0,1,IF(Games[[#This Row],[MOV]]=0,0.5,0))</f>
        <v>0</v>
      </c>
      <c r="W202" s="4">
        <f>((ABS(Games[[#This Row],[MOV]])+5)^0.6)/(12+0.01*(ABS(Games[[#This Row],[PreGmRate]]-Games[[#This Row],[OppPreGmRate]])))*IF(Games[[#This Row],[OT]]=1,0.9,1)</f>
        <v>0.23411563480371436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73.3</v>
      </c>
      <c r="Z202" s="4">
        <f>Games[[#This Row],[K]]*Games[[#This Row],[POMult]]</f>
        <v>73.3</v>
      </c>
      <c r="AA202" s="4">
        <f>(Games[[#This Row],[Keff]]*Games[[#This Row],[MOVMult]])*(Games[[#This Row],[Result]]-Games[[#This Row],[ExpectedWin%]])</f>
        <v>-5.7385012144582186</v>
      </c>
      <c r="AB202" s="4">
        <f>Games[[#This Row],[PreGmRate]]+Games[[#This Row],[RatingChange]]</f>
        <v>1560.1484788382318</v>
      </c>
      <c r="AC202" s="2">
        <f>IF(Games[[#This Row],[Type]]="R",IF(Games[[#This Row],[Result]]&gt;0.5,1,0),0)</f>
        <v>0</v>
      </c>
      <c r="AD202" s="2">
        <f>IF(Games[[#This Row],[Type]]="R",IF(Games[[#This Row],[Result]]&lt;0.5,1,0),0)</f>
        <v>1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42213</v>
      </c>
      <c r="B203" s="2">
        <v>2015</v>
      </c>
      <c r="C203" s="2">
        <f>COUNTIFS(Games[Team],Games[[#This Row],[Team]],Games[Season],Games[[#This Row],[Season]],Games[Date],"&lt;=" &amp; Games[[#This Row],[Date]])</f>
        <v>17</v>
      </c>
      <c r="D203" s="2" t="s">
        <v>83</v>
      </c>
      <c r="E203" s="2" t="s">
        <v>84</v>
      </c>
      <c r="F203" s="1" t="s">
        <v>40</v>
      </c>
      <c r="G203" s="1" t="s">
        <v>77</v>
      </c>
      <c r="H203" s="1" t="s">
        <v>86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6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03" s="2">
        <f>Games[[#This Row],[DaysOff]]-Games[[#This Row],[OppDaysOff]]</f>
        <v>0</v>
      </c>
      <c r="L203" s="2">
        <f>Games[[#This Row],[OppDaysOff]]-Games[[#This Row],[DaysOff]]</f>
        <v>0</v>
      </c>
      <c r="M203" s="1">
        <f>MAX(-16, MIN(16, Games[[#This Row],[RestDiff]]*8))</f>
        <v>0</v>
      </c>
      <c r="N203" s="1">
        <f>MAX(-16, MIN(16, Games[[#This Row],[OppRestDiff]]*8))</f>
        <v>0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1601.4671100041564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1565.88698005269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0.66560168118934648</v>
      </c>
      <c r="R203" s="1">
        <v>89</v>
      </c>
      <c r="S203" s="1">
        <v>87</v>
      </c>
      <c r="T203" s="1">
        <v>1</v>
      </c>
      <c r="U203" s="1">
        <f>Games[[#This Row],[PointsFor]]-Games[[#This Row],[PointsAgainst]]</f>
        <v>2</v>
      </c>
      <c r="V203" s="1">
        <f>IF(Games[[#This Row],[MOV]]&gt;0,1,IF(Games[[#This Row],[MOV]]=0,0.5,0))</f>
        <v>1</v>
      </c>
      <c r="W203" s="4">
        <f>((ABS(Games[[#This Row],[MOV]])+5)^0.6)/(12+0.01*(ABS(Games[[#This Row],[PreGmRate]]-Games[[#This Row],[OppPreGmRate]])))*IF(Games[[#This Row],[OT]]=1,0.9,1)</f>
        <v>0.23411563480371436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73.45</v>
      </c>
      <c r="Z203" s="4">
        <f>Games[[#This Row],[K]]*Games[[#This Row],[POMult]]</f>
        <v>73.45</v>
      </c>
      <c r="AA203" s="4">
        <f>(Games[[#This Row],[Keff]]*Games[[#This Row],[MOVMult]])*(Games[[#This Row],[Result]]-Games[[#This Row],[ExpectedWin%]])</f>
        <v>5.750244395661066</v>
      </c>
      <c r="AB203" s="4">
        <f>Games[[#This Row],[PreGmRate]]+Games[[#This Row],[RatingChange]]</f>
        <v>1607.2173543998174</v>
      </c>
      <c r="AC203" s="2">
        <f>IF(Games[[#This Row],[Type]]="R",IF(Games[[#This Row],[Result]]&gt;0.5,1,0),0)</f>
        <v>1</v>
      </c>
      <c r="AD203" s="2">
        <f>IF(Games[[#This Row],[Type]]="R",IF(Games[[#This Row],[Result]]&lt;0.5,1,0),0)</f>
        <v>0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42214</v>
      </c>
      <c r="B204" s="2">
        <v>2015</v>
      </c>
      <c r="C204" s="2">
        <f>COUNTIFS(Games[Team],Games[[#This Row],[Team]],Games[Season],Games[[#This Row],[Season]],Games[Date],"&lt;=" &amp; Games[[#This Row],[Date]])</f>
        <v>18</v>
      </c>
      <c r="D204" s="2" t="s">
        <v>83</v>
      </c>
      <c r="E204" s="2" t="s">
        <v>84</v>
      </c>
      <c r="F204" s="1" t="s">
        <v>60</v>
      </c>
      <c r="G204" s="1" t="s">
        <v>69</v>
      </c>
      <c r="H204" s="1" t="s">
        <v>85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6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4" s="2">
        <f>Games[[#This Row],[DaysOff]]-Games[[#This Row],[OppDaysOff]]</f>
        <v>6</v>
      </c>
      <c r="L204" s="2">
        <f>Games[[#This Row],[OppDaysOff]]-Games[[#This Row],[DaysOff]]</f>
        <v>-6</v>
      </c>
      <c r="M204" s="1">
        <f>MAX(-16, MIN(16, Games[[#This Row],[RestDiff]]*8))</f>
        <v>16</v>
      </c>
      <c r="N204" s="1">
        <f>MAX(-16, MIN(16, Games[[#This Row],[OppRestDiff]]*8))</f>
        <v>-16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1545.6474740638764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1490.29883328549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0.50481893224531238</v>
      </c>
      <c r="R204" s="1">
        <v>72</v>
      </c>
      <c r="S204" s="1">
        <v>84</v>
      </c>
      <c r="T204" s="1">
        <v>0</v>
      </c>
      <c r="U204" s="1">
        <f>Games[[#This Row],[PointsFor]]-Games[[#This Row],[PointsAgainst]]</f>
        <v>-12</v>
      </c>
      <c r="V204" s="1">
        <f>IF(Games[[#This Row],[MOV]]&gt;0,1,IF(Games[[#This Row],[MOV]]=0,0.5,0))</f>
        <v>0</v>
      </c>
      <c r="W204" s="4">
        <f>((ABS(Games[[#This Row],[MOV]])+5)^0.6)/(12+0.01*(ABS(Games[[#This Row],[PreGmRate]]-Games[[#This Row],[OppPreGmRate]])))*IF(Games[[#This Row],[OT]]=1,0.9,1)</f>
        <v>0.43601857994800386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73.3</v>
      </c>
      <c r="Z204" s="4">
        <f>Games[[#This Row],[K]]*Games[[#This Row],[POMult]]</f>
        <v>73.3</v>
      </c>
      <c r="AA204" s="4">
        <f>(Games[[#This Row],[Keff]]*Games[[#This Row],[MOVMult]])*(Games[[#This Row],[Result]]-Games[[#This Row],[ExpectedWin%]])</f>
        <v>-16.134094809888754</v>
      </c>
      <c r="AB204" s="4">
        <f>Games[[#This Row],[PreGmRate]]+Games[[#This Row],[RatingChange]]</f>
        <v>1529.5133792539878</v>
      </c>
      <c r="AC204" s="2">
        <f>IF(Games[[#This Row],[Type]]="R",IF(Games[[#This Row],[Result]]&gt;0.5,1,0),0)</f>
        <v>0</v>
      </c>
      <c r="AD204" s="2">
        <f>IF(Games[[#This Row],[Type]]="R",IF(Games[[#This Row],[Result]]&lt;0.5,1,0),0)</f>
        <v>1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42214</v>
      </c>
      <c r="B205" s="2">
        <v>2015</v>
      </c>
      <c r="C205" s="2">
        <f>COUNTIFS(Games[Team],Games[[#This Row],[Team]],Games[Season],Games[[#This Row],[Season]],Games[Date],"&lt;=" &amp; Games[[#This Row],[Date]])</f>
        <v>18</v>
      </c>
      <c r="D205" s="2" t="s">
        <v>83</v>
      </c>
      <c r="E205" s="2" t="s">
        <v>84</v>
      </c>
      <c r="F205" s="1" t="s">
        <v>69</v>
      </c>
      <c r="G205" s="1" t="s">
        <v>60</v>
      </c>
      <c r="H205" s="1" t="s">
        <v>86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05" s="2">
        <f>Games[[#This Row],[DaysOff]]-Games[[#This Row],[OppDaysOff]]</f>
        <v>-6</v>
      </c>
      <c r="L205" s="2">
        <f>Games[[#This Row],[OppDaysOff]]-Games[[#This Row],[DaysOff]]</f>
        <v>6</v>
      </c>
      <c r="M205" s="1">
        <f>MAX(-16, MIN(16, Games[[#This Row],[RestDiff]]*8))</f>
        <v>-16</v>
      </c>
      <c r="N205" s="1">
        <f>MAX(-16, MIN(16, Games[[#This Row],[OppRestDiff]]*8))</f>
        <v>16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1490.29883328549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1545.6474740638764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0.49518106775468762</v>
      </c>
      <c r="R205" s="1">
        <v>84</v>
      </c>
      <c r="S205" s="1">
        <v>72</v>
      </c>
      <c r="T205" s="1">
        <v>0</v>
      </c>
      <c r="U205" s="1">
        <f>Games[[#This Row],[PointsFor]]-Games[[#This Row],[PointsAgainst]]</f>
        <v>12</v>
      </c>
      <c r="V205" s="1">
        <f>IF(Games[[#This Row],[MOV]]&gt;0,1,IF(Games[[#This Row],[MOV]]=0,0.5,0))</f>
        <v>1</v>
      </c>
      <c r="W205" s="4">
        <f>((ABS(Games[[#This Row],[MOV]])+5)^0.6)/(12+0.01*(ABS(Games[[#This Row],[PreGmRate]]-Games[[#This Row],[OppPreGmRate]])))*IF(Games[[#This Row],[OT]]=1,0.9,1)</f>
        <v>0.43601857994800386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73.3</v>
      </c>
      <c r="Z205" s="4">
        <f>Games[[#This Row],[K]]*Games[[#This Row],[POMult]]</f>
        <v>73.3</v>
      </c>
      <c r="AA205" s="4">
        <f>(Games[[#This Row],[Keff]]*Games[[#This Row],[MOVMult]])*(Games[[#This Row],[Result]]-Games[[#This Row],[ExpectedWin%]])</f>
        <v>16.134094809888754</v>
      </c>
      <c r="AB205" s="4">
        <f>Games[[#This Row],[PreGmRate]]+Games[[#This Row],[RatingChange]]</f>
        <v>1506.4329280953787</v>
      </c>
      <c r="AC205" s="2">
        <f>IF(Games[[#This Row],[Type]]="R",IF(Games[[#This Row],[Result]]&gt;0.5,1,0),0)</f>
        <v>1</v>
      </c>
      <c r="AD205" s="2">
        <f>IF(Games[[#This Row],[Type]]="R",IF(Games[[#This Row],[Result]]&lt;0.5,1,0),0)</f>
        <v>0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42214</v>
      </c>
      <c r="B206" s="2">
        <v>2015</v>
      </c>
      <c r="C206" s="2">
        <f>COUNTIFS(Games[Team],Games[[#This Row],[Team]],Games[Season],Games[[#This Row],[Season]],Games[Date],"&lt;=" &amp; Games[[#This Row],[Date]])</f>
        <v>17</v>
      </c>
      <c r="D206" s="2" t="s">
        <v>83</v>
      </c>
      <c r="E206" s="2" t="s">
        <v>84</v>
      </c>
      <c r="F206" s="1" t="s">
        <v>63</v>
      </c>
      <c r="G206" s="1" t="s">
        <v>67</v>
      </c>
      <c r="H206" s="1" t="s">
        <v>85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6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06" s="2">
        <f>Games[[#This Row],[DaysOff]]-Games[[#This Row],[OppDaysOff]]</f>
        <v>0</v>
      </c>
      <c r="L206" s="2">
        <f>Games[[#This Row],[OppDaysOff]]-Games[[#This Row],[DaysOff]]</f>
        <v>0</v>
      </c>
      <c r="M206" s="1">
        <f>MAX(-16, MIN(16, Games[[#This Row],[RestDiff]]*8))</f>
        <v>0</v>
      </c>
      <c r="N206" s="1">
        <f>MAX(-16, MIN(16, Games[[#This Row],[OppRestDiff]]*8))</f>
        <v>0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1393.5699480919409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1638.4857408814885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0.1308582557878866</v>
      </c>
      <c r="R206" s="1">
        <v>76</v>
      </c>
      <c r="S206" s="1">
        <v>82</v>
      </c>
      <c r="T206" s="1">
        <v>0</v>
      </c>
      <c r="U206" s="1">
        <f>Games[[#This Row],[PointsFor]]-Games[[#This Row],[PointsAgainst]]</f>
        <v>-6</v>
      </c>
      <c r="V206" s="1">
        <f>IF(Games[[#This Row],[MOV]]&gt;0,1,IF(Games[[#This Row],[MOV]]=0,0.5,0))</f>
        <v>0</v>
      </c>
      <c r="W206" s="4">
        <f>((ABS(Games[[#This Row],[MOV]])+5)^0.6)/(12+0.01*(ABS(Games[[#This Row],[PreGmRate]]-Games[[#This Row],[OppPreGmRate]])))*IF(Games[[#This Row],[OT]]=1,0.9,1)</f>
        <v>0.29173804827433775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73.45</v>
      </c>
      <c r="Z206" s="4">
        <f>Games[[#This Row],[K]]*Games[[#This Row],[POMult]]</f>
        <v>73.45</v>
      </c>
      <c r="AA206" s="4">
        <f>(Games[[#This Row],[Keff]]*Games[[#This Row],[MOVMult]])*(Games[[#This Row],[Result]]-Games[[#This Row],[ExpectedWin%]])</f>
        <v>-2.8040515959872367</v>
      </c>
      <c r="AB206" s="4">
        <f>Games[[#This Row],[PreGmRate]]+Games[[#This Row],[RatingChange]]</f>
        <v>1390.7658964959537</v>
      </c>
      <c r="AC206" s="2">
        <f>IF(Games[[#This Row],[Type]]="R",IF(Games[[#This Row],[Result]]&gt;0.5,1,0),0)</f>
        <v>0</v>
      </c>
      <c r="AD206" s="2">
        <f>IF(Games[[#This Row],[Type]]="R",IF(Games[[#This Row],[Result]]&lt;0.5,1,0),0)</f>
        <v>1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42214</v>
      </c>
      <c r="B207" s="2">
        <v>2015</v>
      </c>
      <c r="C207" s="2">
        <f>COUNTIFS(Games[Team],Games[[#This Row],[Team]],Games[Season],Games[[#This Row],[Season]],Games[Date],"&lt;=" &amp; Games[[#This Row],[Date]])</f>
        <v>17</v>
      </c>
      <c r="D207" s="2" t="s">
        <v>83</v>
      </c>
      <c r="E207" s="2" t="s">
        <v>84</v>
      </c>
      <c r="F207" s="1" t="s">
        <v>67</v>
      </c>
      <c r="G207" s="1" t="s">
        <v>63</v>
      </c>
      <c r="H207" s="1" t="s">
        <v>86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6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07" s="2">
        <f>Games[[#This Row],[DaysOff]]-Games[[#This Row],[OppDaysOff]]</f>
        <v>0</v>
      </c>
      <c r="L207" s="2">
        <f>Games[[#This Row],[OppDaysOff]]-Games[[#This Row],[DaysOff]]</f>
        <v>0</v>
      </c>
      <c r="M207" s="1">
        <f>MAX(-16, MIN(16, Games[[#This Row],[RestDiff]]*8))</f>
        <v>0</v>
      </c>
      <c r="N207" s="1">
        <f>MAX(-16, MIN(16, Games[[#This Row],[OppRestDiff]]*8))</f>
        <v>0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1638.4857408814885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1393.5699480919409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0.86914174421211343</v>
      </c>
      <c r="R207" s="1">
        <v>82</v>
      </c>
      <c r="S207" s="1">
        <v>76</v>
      </c>
      <c r="T207" s="1">
        <v>0</v>
      </c>
      <c r="U207" s="1">
        <f>Games[[#This Row],[PointsFor]]-Games[[#This Row],[PointsAgainst]]</f>
        <v>6</v>
      </c>
      <c r="V207" s="1">
        <f>IF(Games[[#This Row],[MOV]]&gt;0,1,IF(Games[[#This Row],[MOV]]=0,0.5,0))</f>
        <v>1</v>
      </c>
      <c r="W207" s="4">
        <f>((ABS(Games[[#This Row],[MOV]])+5)^0.6)/(12+0.01*(ABS(Games[[#This Row],[PreGmRate]]-Games[[#This Row],[OppPreGmRate]])))*IF(Games[[#This Row],[OT]]=1,0.9,1)</f>
        <v>0.29173804827433775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73.45</v>
      </c>
      <c r="Z207" s="4">
        <f>Games[[#This Row],[K]]*Games[[#This Row],[POMult]]</f>
        <v>73.45</v>
      </c>
      <c r="AA207" s="4">
        <f>(Games[[#This Row],[Keff]]*Games[[#This Row],[MOVMult]])*(Games[[#This Row],[Result]]-Games[[#This Row],[ExpectedWin%]])</f>
        <v>2.8040515959872363</v>
      </c>
      <c r="AB207" s="4">
        <f>Games[[#This Row],[PreGmRate]]+Games[[#This Row],[RatingChange]]</f>
        <v>1641.2897924774757</v>
      </c>
      <c r="AC207" s="2">
        <f>IF(Games[[#This Row],[Type]]="R",IF(Games[[#This Row],[Result]]&gt;0.5,1,0),0)</f>
        <v>1</v>
      </c>
      <c r="AD207" s="2">
        <f>IF(Games[[#This Row],[Type]]="R",IF(Games[[#This Row],[Result]]&lt;0.5,1,0),0)</f>
        <v>0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42214</v>
      </c>
      <c r="B208" s="2">
        <v>2015</v>
      </c>
      <c r="C208" s="2">
        <f>COUNTIFS(Games[Team],Games[[#This Row],[Team]],Games[Season],Games[[#This Row],[Season]],Games[Date],"&lt;=" &amp; Games[[#This Row],[Date]])</f>
        <v>18</v>
      </c>
      <c r="D208" s="2" t="s">
        <v>83</v>
      </c>
      <c r="E208" s="2" t="s">
        <v>84</v>
      </c>
      <c r="F208" s="1" t="s">
        <v>79</v>
      </c>
      <c r="G208" s="1" t="s">
        <v>74</v>
      </c>
      <c r="H208" s="1" t="s">
        <v>85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7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08" s="2">
        <f>Games[[#This Row],[DaysOff]]-Games[[#This Row],[OppDaysOff]]</f>
        <v>0</v>
      </c>
      <c r="L208" s="2">
        <f>Games[[#This Row],[OppDaysOff]]-Games[[#This Row],[DaysOff]]</f>
        <v>0</v>
      </c>
      <c r="M208" s="1">
        <f>MAX(-16, MIN(16, Games[[#This Row],[RestDiff]]*8))</f>
        <v>0</v>
      </c>
      <c r="N208" s="1">
        <f>MAX(-16, MIN(16, Games[[#This Row],[OppRestDiff]]*8))</f>
        <v>0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1442.6796598225212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1430.0660889886583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0.39868834986825147</v>
      </c>
      <c r="R208" s="1">
        <v>85</v>
      </c>
      <c r="S208" s="1">
        <v>102</v>
      </c>
      <c r="T208" s="1">
        <v>0</v>
      </c>
      <c r="U208" s="1">
        <f>Games[[#This Row],[PointsFor]]-Games[[#This Row],[PointsAgainst]]</f>
        <v>-17</v>
      </c>
      <c r="V208" s="1">
        <f>IF(Games[[#This Row],[MOV]]&gt;0,1,IF(Games[[#This Row],[MOV]]=0,0.5,0))</f>
        <v>0</v>
      </c>
      <c r="W208" s="4">
        <f>((ABS(Games[[#This Row],[MOV]])+5)^0.6)/(12+0.01*(ABS(Games[[#This Row],[PreGmRate]]-Games[[#This Row],[OppPreGmRate]])))*IF(Games[[#This Row],[OT]]=1,0.9,1)</f>
        <v>0.52690362228012289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73.3</v>
      </c>
      <c r="Z208" s="4">
        <f>Games[[#This Row],[K]]*Games[[#This Row],[POMult]]</f>
        <v>73.3</v>
      </c>
      <c r="AA208" s="4">
        <f>(Games[[#This Row],[Keff]]*Games[[#This Row],[MOVMult]])*(Games[[#This Row],[Result]]-Games[[#This Row],[ExpectedWin%]])</f>
        <v>-15.398155607284005</v>
      </c>
      <c r="AB208" s="4">
        <f>Games[[#This Row],[PreGmRate]]+Games[[#This Row],[RatingChange]]</f>
        <v>1427.2815042152372</v>
      </c>
      <c r="AC208" s="2">
        <f>IF(Games[[#This Row],[Type]]="R",IF(Games[[#This Row],[Result]]&gt;0.5,1,0),0)</f>
        <v>0</v>
      </c>
      <c r="AD208" s="2">
        <f>IF(Games[[#This Row],[Type]]="R",IF(Games[[#This Row],[Result]]&lt;0.5,1,0),0)</f>
        <v>1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42214</v>
      </c>
      <c r="B209" s="2">
        <v>2015</v>
      </c>
      <c r="C209" s="2">
        <f>COUNTIFS(Games[Team],Games[[#This Row],[Team]],Games[Season],Games[[#This Row],[Season]],Games[Date],"&lt;=" &amp; Games[[#This Row],[Date]])</f>
        <v>18</v>
      </c>
      <c r="D209" s="2" t="s">
        <v>83</v>
      </c>
      <c r="E209" s="2" t="s">
        <v>84</v>
      </c>
      <c r="F209" s="1" t="s">
        <v>74</v>
      </c>
      <c r="G209" s="1" t="s">
        <v>79</v>
      </c>
      <c r="H209" s="1" t="s">
        <v>86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7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09" s="2">
        <f>Games[[#This Row],[DaysOff]]-Games[[#This Row],[OppDaysOff]]</f>
        <v>0</v>
      </c>
      <c r="L209" s="2">
        <f>Games[[#This Row],[OppDaysOff]]-Games[[#This Row],[DaysOff]]</f>
        <v>0</v>
      </c>
      <c r="M209" s="1">
        <f>MAX(-16, MIN(16, Games[[#This Row],[RestDiff]]*8))</f>
        <v>0</v>
      </c>
      <c r="N209" s="1">
        <f>MAX(-16, MIN(16, Games[[#This Row],[OppRestDiff]]*8))</f>
        <v>0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1430.0660889886583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1442.6796598225212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0.60131165013174848</v>
      </c>
      <c r="R209" s="1">
        <v>102</v>
      </c>
      <c r="S209" s="1">
        <v>85</v>
      </c>
      <c r="T209" s="1">
        <v>0</v>
      </c>
      <c r="U209" s="1">
        <f>Games[[#This Row],[PointsFor]]-Games[[#This Row],[PointsAgainst]]</f>
        <v>17</v>
      </c>
      <c r="V209" s="1">
        <f>IF(Games[[#This Row],[MOV]]&gt;0,1,IF(Games[[#This Row],[MOV]]=0,0.5,0))</f>
        <v>1</v>
      </c>
      <c r="W209" s="4">
        <f>((ABS(Games[[#This Row],[MOV]])+5)^0.6)/(12+0.01*(ABS(Games[[#This Row],[PreGmRate]]-Games[[#This Row],[OppPreGmRate]])))*IF(Games[[#This Row],[OT]]=1,0.9,1)</f>
        <v>0.52690362228012289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73.3</v>
      </c>
      <c r="Z209" s="4">
        <f>Games[[#This Row],[K]]*Games[[#This Row],[POMult]]</f>
        <v>73.3</v>
      </c>
      <c r="AA209" s="4">
        <f>(Games[[#This Row],[Keff]]*Games[[#This Row],[MOVMult]])*(Games[[#This Row],[Result]]-Games[[#This Row],[ExpectedWin%]])</f>
        <v>15.398155607284007</v>
      </c>
      <c r="AB209" s="4">
        <f>Games[[#This Row],[PreGmRate]]+Games[[#This Row],[RatingChange]]</f>
        <v>1445.4642445959423</v>
      </c>
      <c r="AC209" s="2">
        <f>IF(Games[[#This Row],[Type]]="R",IF(Games[[#This Row],[Result]]&gt;0.5,1,0),0)</f>
        <v>1</v>
      </c>
      <c r="AD209" s="2">
        <f>IF(Games[[#This Row],[Type]]="R",IF(Games[[#This Row],[Result]]&lt;0.5,1,0),0)</f>
        <v>0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42214</v>
      </c>
      <c r="B210" s="2">
        <v>2015</v>
      </c>
      <c r="C210" s="2">
        <f>COUNTIFS(Games[Team],Games[[#This Row],[Team]],Games[Season],Games[[#This Row],[Season]],Games[Date],"&lt;=" &amp; Games[[#This Row],[Date]])</f>
        <v>19</v>
      </c>
      <c r="D210" s="2" t="s">
        <v>83</v>
      </c>
      <c r="E210" s="2" t="s">
        <v>84</v>
      </c>
      <c r="F210" s="1" t="s">
        <v>71</v>
      </c>
      <c r="G210" s="1" t="s">
        <v>65</v>
      </c>
      <c r="H210" s="1" t="s">
        <v>85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7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10" s="2">
        <f>Games[[#This Row],[DaysOff]]-Games[[#This Row],[OppDaysOff]]</f>
        <v>0</v>
      </c>
      <c r="L210" s="2">
        <f>Games[[#This Row],[OppDaysOff]]-Games[[#This Row],[DaysOff]]</f>
        <v>0</v>
      </c>
      <c r="M210" s="1">
        <f>MAX(-16, MIN(16, Games[[#This Row],[RestDiff]]*8))</f>
        <v>0</v>
      </c>
      <c r="N210" s="1">
        <f>MAX(-16, MIN(16, Games[[#This Row],[OppRestDiff]]*8))</f>
        <v>0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1402.9728476414164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1523.4935040629884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0.2355352131312895</v>
      </c>
      <c r="R210" s="1">
        <v>74</v>
      </c>
      <c r="S210" s="1">
        <v>87</v>
      </c>
      <c r="T210" s="1">
        <v>0</v>
      </c>
      <c r="U210" s="1">
        <f>Games[[#This Row],[PointsFor]]-Games[[#This Row],[PointsAgainst]]</f>
        <v>-13</v>
      </c>
      <c r="V210" s="1">
        <f>IF(Games[[#This Row],[MOV]]&gt;0,1,IF(Games[[#This Row],[MOV]]=0,0.5,0))</f>
        <v>0</v>
      </c>
      <c r="W210" s="4">
        <f>((ABS(Games[[#This Row],[MOV]])+5)^0.6)/(12+0.01*(ABS(Games[[#This Row],[PreGmRate]]-Games[[#This Row],[OppPreGmRate]])))*IF(Games[[#This Row],[OT]]=1,0.9,1)</f>
        <v>0.42896148880544499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73.150000000000006</v>
      </c>
      <c r="Z210" s="4">
        <f>Games[[#This Row],[K]]*Games[[#This Row],[POMult]]</f>
        <v>73.150000000000006</v>
      </c>
      <c r="AA210" s="4">
        <f>(Games[[#This Row],[Keff]]*Games[[#This Row],[MOVMult]])*(Games[[#This Row],[Result]]-Games[[#This Row],[ExpectedWin%]])</f>
        <v>-7.390749435789755</v>
      </c>
      <c r="AB210" s="4">
        <f>Games[[#This Row],[PreGmRate]]+Games[[#This Row],[RatingChange]]</f>
        <v>1395.5820982056266</v>
      </c>
      <c r="AC210" s="2">
        <f>IF(Games[[#This Row],[Type]]="R",IF(Games[[#This Row],[Result]]&gt;0.5,1,0),0)</f>
        <v>0</v>
      </c>
      <c r="AD210" s="2">
        <f>IF(Games[[#This Row],[Type]]="R",IF(Games[[#This Row],[Result]]&lt;0.5,1,0),0)</f>
        <v>1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42214</v>
      </c>
      <c r="B211" s="2">
        <v>2015</v>
      </c>
      <c r="C211" s="2">
        <f>COUNTIFS(Games[Team],Games[[#This Row],[Team]],Games[Season],Games[[#This Row],[Season]],Games[Date],"&lt;=" &amp; Games[[#This Row],[Date]])</f>
        <v>16</v>
      </c>
      <c r="D211" s="2" t="s">
        <v>83</v>
      </c>
      <c r="E211" s="2" t="s">
        <v>84</v>
      </c>
      <c r="F211" s="1" t="s">
        <v>65</v>
      </c>
      <c r="G211" s="1" t="s">
        <v>71</v>
      </c>
      <c r="H211" s="1" t="s">
        <v>86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7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11" s="2">
        <f>Games[[#This Row],[DaysOff]]-Games[[#This Row],[OppDaysOff]]</f>
        <v>0</v>
      </c>
      <c r="L211" s="2">
        <f>Games[[#This Row],[OppDaysOff]]-Games[[#This Row],[DaysOff]]</f>
        <v>0</v>
      </c>
      <c r="M211" s="1">
        <f>MAX(-16, MIN(16, Games[[#This Row],[RestDiff]]*8))</f>
        <v>0</v>
      </c>
      <c r="N211" s="1">
        <f>MAX(-16, MIN(16, Games[[#This Row],[OppRestDiff]]*8))</f>
        <v>0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1523.4935040629884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1402.9728476414164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0.76446478686871044</v>
      </c>
      <c r="R211" s="1">
        <v>87</v>
      </c>
      <c r="S211" s="1">
        <v>74</v>
      </c>
      <c r="T211" s="1">
        <v>0</v>
      </c>
      <c r="U211" s="1">
        <f>Games[[#This Row],[PointsFor]]-Games[[#This Row],[PointsAgainst]]</f>
        <v>13</v>
      </c>
      <c r="V211" s="1">
        <f>IF(Games[[#This Row],[MOV]]&gt;0,1,IF(Games[[#This Row],[MOV]]=0,0.5,0))</f>
        <v>1</v>
      </c>
      <c r="W211" s="4">
        <f>((ABS(Games[[#This Row],[MOV]])+5)^0.6)/(12+0.01*(ABS(Games[[#This Row],[PreGmRate]]-Games[[#This Row],[OppPreGmRate]])))*IF(Games[[#This Row],[OT]]=1,0.9,1)</f>
        <v>0.42896148880544499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73.599999999999994</v>
      </c>
      <c r="Z211" s="4">
        <f>Games[[#This Row],[K]]*Games[[#This Row],[POMult]]</f>
        <v>73.599999999999994</v>
      </c>
      <c r="AA211" s="4">
        <f>(Games[[#This Row],[Keff]]*Games[[#This Row],[MOVMult]])*(Games[[#This Row],[Result]]-Games[[#This Row],[ExpectedWin%]])</f>
        <v>7.4362154268506631</v>
      </c>
      <c r="AB211" s="4">
        <f>Games[[#This Row],[PreGmRate]]+Games[[#This Row],[RatingChange]]</f>
        <v>1530.929719489839</v>
      </c>
      <c r="AC211" s="2">
        <f>IF(Games[[#This Row],[Type]]="R",IF(Games[[#This Row],[Result]]&gt;0.5,1,0),0)</f>
        <v>1</v>
      </c>
      <c r="AD211" s="2">
        <f>IF(Games[[#This Row],[Type]]="R",IF(Games[[#This Row],[Result]]&lt;0.5,1,0),0)</f>
        <v>0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42215</v>
      </c>
      <c r="B212" s="2">
        <v>2015</v>
      </c>
      <c r="C212" s="2">
        <f>COUNTIFS(Games[Team],Games[[#This Row],[Team]],Games[Season],Games[[#This Row],[Season]],Games[Date],"&lt;=" &amp; Games[[#This Row],[Date]])</f>
        <v>18</v>
      </c>
      <c r="D212" s="2" t="s">
        <v>83</v>
      </c>
      <c r="E212" s="2" t="s">
        <v>84</v>
      </c>
      <c r="F212" s="1" t="s">
        <v>40</v>
      </c>
      <c r="G212" s="1" t="s">
        <v>81</v>
      </c>
      <c r="H212" s="1" t="s">
        <v>85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212" s="2">
        <f>Games[[#This Row],[DaysOff]]-Games[[#This Row],[OppDaysOff]]</f>
        <v>-7</v>
      </c>
      <c r="L212" s="2">
        <f>Games[[#This Row],[OppDaysOff]]-Games[[#This Row],[DaysOff]]</f>
        <v>7</v>
      </c>
      <c r="M212" s="1">
        <f>MAX(-16, MIN(16, Games[[#This Row],[RestDiff]]*8))</f>
        <v>-16</v>
      </c>
      <c r="N212" s="1">
        <f>MAX(-16, MIN(16, Games[[#This Row],[OppRestDiff]]*8))</f>
        <v>16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1607.2173543998174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1493.7391441152563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0.49637091660088878</v>
      </c>
      <c r="R212" s="1">
        <v>78</v>
      </c>
      <c r="S212" s="1">
        <v>66</v>
      </c>
      <c r="T212" s="1">
        <v>0</v>
      </c>
      <c r="U212" s="1">
        <f>Games[[#This Row],[PointsFor]]-Games[[#This Row],[PointsAgainst]]</f>
        <v>12</v>
      </c>
      <c r="V212" s="1">
        <f>IF(Games[[#This Row],[MOV]]&gt;0,1,IF(Games[[#This Row],[MOV]]=0,0.5,0))</f>
        <v>1</v>
      </c>
      <c r="W212" s="4">
        <f>((ABS(Games[[#This Row],[MOV]])+5)^0.6)/(12+0.01*(ABS(Games[[#This Row],[PreGmRate]]-Games[[#This Row],[OppPreGmRate]])))*IF(Games[[#This Row],[OT]]=1,0.9,1)</f>
        <v>0.41672204944554503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73.3</v>
      </c>
      <c r="Z212" s="4">
        <f>Games[[#This Row],[K]]*Games[[#This Row],[POMult]]</f>
        <v>73.3</v>
      </c>
      <c r="AA212" s="4">
        <f>(Games[[#This Row],[Keff]]*Games[[#This Row],[MOVMult]])*(Games[[#This Row],[Result]]-Games[[#This Row],[ExpectedWin%]])</f>
        <v>15.383716100133842</v>
      </c>
      <c r="AB212" s="4">
        <f>Games[[#This Row],[PreGmRate]]+Games[[#This Row],[RatingChange]]</f>
        <v>1622.6010704999512</v>
      </c>
      <c r="AC212" s="2">
        <f>IF(Games[[#This Row],[Type]]="R",IF(Games[[#This Row],[Result]]&gt;0.5,1,0),0)</f>
        <v>1</v>
      </c>
      <c r="AD212" s="2">
        <f>IF(Games[[#This Row],[Type]]="R",IF(Games[[#This Row],[Result]]&lt;0.5,1,0),0)</f>
        <v>0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42215</v>
      </c>
      <c r="B213" s="2">
        <v>2015</v>
      </c>
      <c r="C213" s="2">
        <f>COUNTIFS(Games[Team],Games[[#This Row],[Team]],Games[Season],Games[[#This Row],[Season]],Games[Date],"&lt;=" &amp; Games[[#This Row],[Date]])</f>
        <v>19</v>
      </c>
      <c r="D213" s="2" t="s">
        <v>83</v>
      </c>
      <c r="E213" s="2" t="s">
        <v>84</v>
      </c>
      <c r="F213" s="1" t="s">
        <v>81</v>
      </c>
      <c r="G213" s="1" t="s">
        <v>40</v>
      </c>
      <c r="H213" s="1" t="s">
        <v>86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8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3" s="2">
        <f>Games[[#This Row],[DaysOff]]-Games[[#This Row],[OppDaysOff]]</f>
        <v>7</v>
      </c>
      <c r="L213" s="2">
        <f>Games[[#This Row],[OppDaysOff]]-Games[[#This Row],[DaysOff]]</f>
        <v>-7</v>
      </c>
      <c r="M213" s="1">
        <f>MAX(-16, MIN(16, Games[[#This Row],[RestDiff]]*8))</f>
        <v>16</v>
      </c>
      <c r="N213" s="1">
        <f>MAX(-16, MIN(16, Games[[#This Row],[OppRestDiff]]*8))</f>
        <v>-16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1493.7391441152563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1607.2173543998174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0.50362908339911128</v>
      </c>
      <c r="R213" s="1">
        <v>66</v>
      </c>
      <c r="S213" s="1">
        <v>78</v>
      </c>
      <c r="T213" s="1">
        <v>0</v>
      </c>
      <c r="U213" s="1">
        <f>Games[[#This Row],[PointsFor]]-Games[[#This Row],[PointsAgainst]]</f>
        <v>-12</v>
      </c>
      <c r="V213" s="1">
        <f>IF(Games[[#This Row],[MOV]]&gt;0,1,IF(Games[[#This Row],[MOV]]=0,0.5,0))</f>
        <v>0</v>
      </c>
      <c r="W213" s="4">
        <f>((ABS(Games[[#This Row],[MOV]])+5)^0.6)/(12+0.01*(ABS(Games[[#This Row],[PreGmRate]]-Games[[#This Row],[OppPreGmRate]])))*IF(Games[[#This Row],[OT]]=1,0.9,1)</f>
        <v>0.41672204944554503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73.150000000000006</v>
      </c>
      <c r="Z213" s="4">
        <f>Games[[#This Row],[K]]*Games[[#This Row],[POMult]]</f>
        <v>73.150000000000006</v>
      </c>
      <c r="AA213" s="4">
        <f>(Games[[#This Row],[Keff]]*Games[[#This Row],[MOVMult]])*(Games[[#This Row],[Result]]-Games[[#This Row],[ExpectedWin%]])</f>
        <v>-15.352235098564675</v>
      </c>
      <c r="AB213" s="4">
        <f>Games[[#This Row],[PreGmRate]]+Games[[#This Row],[RatingChange]]</f>
        <v>1478.3869090166916</v>
      </c>
      <c r="AC213" s="2">
        <f>IF(Games[[#This Row],[Type]]="R",IF(Games[[#This Row],[Result]]&gt;0.5,1,0),0)</f>
        <v>0</v>
      </c>
      <c r="AD213" s="2">
        <f>IF(Games[[#This Row],[Type]]="R",IF(Games[[#This Row],[Result]]&lt;0.5,1,0),0)</f>
        <v>1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42216</v>
      </c>
      <c r="B214" s="2">
        <v>2015</v>
      </c>
      <c r="C214" s="2">
        <f>COUNTIFS(Games[Team],Games[[#This Row],[Team]],Games[Season],Games[[#This Row],[Season]],Games[Date],"&lt;=" &amp; Games[[#This Row],[Date]])</f>
        <v>18</v>
      </c>
      <c r="D214" s="2" t="s">
        <v>83</v>
      </c>
      <c r="E214" s="2" t="s">
        <v>84</v>
      </c>
      <c r="F214" s="1" t="s">
        <v>63</v>
      </c>
      <c r="G214" s="1" t="s">
        <v>77</v>
      </c>
      <c r="H214" s="1" t="s">
        <v>85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4" s="2">
        <f>Games[[#This Row],[DaysOff]]-Games[[#This Row],[OppDaysOff]]</f>
        <v>-1</v>
      </c>
      <c r="L214" s="2">
        <f>Games[[#This Row],[OppDaysOff]]-Games[[#This Row],[DaysOff]]</f>
        <v>1</v>
      </c>
      <c r="M214" s="1">
        <f>MAX(-16, MIN(16, Games[[#This Row],[RestDiff]]*8))</f>
        <v>-8</v>
      </c>
      <c r="N214" s="1">
        <f>MAX(-16, MIN(16, Games[[#This Row],[OppRestDiff]]*8))</f>
        <v>8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1390.7658964959537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1560.1484788382318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0.17498651814864372</v>
      </c>
      <c r="R214" s="1">
        <v>88</v>
      </c>
      <c r="S214" s="1">
        <v>77</v>
      </c>
      <c r="T214" s="1">
        <v>0</v>
      </c>
      <c r="U214" s="1">
        <f>Games[[#This Row],[PointsFor]]-Games[[#This Row],[PointsAgainst]]</f>
        <v>11</v>
      </c>
      <c r="V214" s="1">
        <f>IF(Games[[#This Row],[MOV]]&gt;0,1,IF(Games[[#This Row],[MOV]]=0,0.5,0))</f>
        <v>1</v>
      </c>
      <c r="W214" s="4">
        <f>((ABS(Games[[#This Row],[MOV]])+5)^0.6)/(12+0.01*(ABS(Games[[#This Row],[PreGmRate]]-Games[[#This Row],[OppPreGmRate]])))*IF(Games[[#This Row],[OT]]=1,0.9,1)</f>
        <v>0.38543148650713077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73.3</v>
      </c>
      <c r="Z214" s="4">
        <f>Games[[#This Row],[K]]*Games[[#This Row],[POMult]]</f>
        <v>73.3</v>
      </c>
      <c r="AA214" s="4">
        <f>(Games[[#This Row],[Keff]]*Games[[#This Row],[MOVMult]])*(Games[[#This Row],[Result]]-Games[[#This Row],[ExpectedWin%]])</f>
        <v>23.308386458792135</v>
      </c>
      <c r="AB214" s="4">
        <f>Games[[#This Row],[PreGmRate]]+Games[[#This Row],[RatingChange]]</f>
        <v>1414.0742829547457</v>
      </c>
      <c r="AC214" s="2">
        <f>IF(Games[[#This Row],[Type]]="R",IF(Games[[#This Row],[Result]]&gt;0.5,1,0),0)</f>
        <v>1</v>
      </c>
      <c r="AD214" s="2">
        <f>IF(Games[[#This Row],[Type]]="R",IF(Games[[#This Row],[Result]]&lt;0.5,1,0),0)</f>
        <v>0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42216</v>
      </c>
      <c r="B215" s="2">
        <v>2015</v>
      </c>
      <c r="C215" s="2">
        <f>COUNTIFS(Games[Team],Games[[#This Row],[Team]],Games[Season],Games[[#This Row],[Season]],Games[Date],"&lt;=" &amp; Games[[#This Row],[Date]])</f>
        <v>19</v>
      </c>
      <c r="D215" s="2" t="s">
        <v>83</v>
      </c>
      <c r="E215" s="2" t="s">
        <v>84</v>
      </c>
      <c r="F215" s="1" t="s">
        <v>77</v>
      </c>
      <c r="G215" s="1" t="s">
        <v>63</v>
      </c>
      <c r="H215" s="1" t="s">
        <v>86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5" s="2">
        <f>Games[[#This Row],[DaysOff]]-Games[[#This Row],[OppDaysOff]]</f>
        <v>1</v>
      </c>
      <c r="L215" s="2">
        <f>Games[[#This Row],[OppDaysOff]]-Games[[#This Row],[DaysOff]]</f>
        <v>-1</v>
      </c>
      <c r="M215" s="1">
        <f>MAX(-16, MIN(16, Games[[#This Row],[RestDiff]]*8))</f>
        <v>8</v>
      </c>
      <c r="N215" s="1">
        <f>MAX(-16, MIN(16, Games[[#This Row],[OppRestDiff]]*8))</f>
        <v>-8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1560.1484788382318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1390.7658964959537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0.82501348185135626</v>
      </c>
      <c r="R215" s="1">
        <v>77</v>
      </c>
      <c r="S215" s="1">
        <v>88</v>
      </c>
      <c r="T215" s="1">
        <v>0</v>
      </c>
      <c r="U215" s="1">
        <f>Games[[#This Row],[PointsFor]]-Games[[#This Row],[PointsAgainst]]</f>
        <v>-11</v>
      </c>
      <c r="V215" s="1">
        <f>IF(Games[[#This Row],[MOV]]&gt;0,1,IF(Games[[#This Row],[MOV]]=0,0.5,0))</f>
        <v>0</v>
      </c>
      <c r="W215" s="4">
        <f>((ABS(Games[[#This Row],[MOV]])+5)^0.6)/(12+0.01*(ABS(Games[[#This Row],[PreGmRate]]-Games[[#This Row],[OppPreGmRate]])))*IF(Games[[#This Row],[OT]]=1,0.9,1)</f>
        <v>0.38543148650713077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73.150000000000006</v>
      </c>
      <c r="Z215" s="4">
        <f>Games[[#This Row],[K]]*Games[[#This Row],[POMult]]</f>
        <v>73.150000000000006</v>
      </c>
      <c r="AA215" s="4">
        <f>(Games[[#This Row],[Keff]]*Games[[#This Row],[MOVMult]])*(Games[[#This Row],[Result]]-Games[[#This Row],[ExpectedWin%]])</f>
        <v>-23.260688532887375</v>
      </c>
      <c r="AB215" s="4">
        <f>Games[[#This Row],[PreGmRate]]+Games[[#This Row],[RatingChange]]</f>
        <v>1536.8877903053444</v>
      </c>
      <c r="AC215" s="2">
        <f>IF(Games[[#This Row],[Type]]="R",IF(Games[[#This Row],[Result]]&gt;0.5,1,0),0)</f>
        <v>0</v>
      </c>
      <c r="AD215" s="2">
        <f>IF(Games[[#This Row],[Type]]="R",IF(Games[[#This Row],[Result]]&lt;0.5,1,0),0)</f>
        <v>1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42216</v>
      </c>
      <c r="B216" s="2">
        <v>2015</v>
      </c>
      <c r="C216" s="2">
        <f>COUNTIFS(Games[Team],Games[[#This Row],[Team]],Games[Season],Games[[#This Row],[Season]],Games[Date],"&lt;=" &amp; Games[[#This Row],[Date]])</f>
        <v>20</v>
      </c>
      <c r="D216" s="2" t="s">
        <v>83</v>
      </c>
      <c r="E216" s="2" t="s">
        <v>84</v>
      </c>
      <c r="F216" s="1" t="s">
        <v>71</v>
      </c>
      <c r="G216" s="1" t="s">
        <v>76</v>
      </c>
      <c r="H216" s="1" t="s">
        <v>85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6" s="2">
        <f>Games[[#This Row],[DaysOff]]-Games[[#This Row],[OppDaysOff]]</f>
        <v>-1</v>
      </c>
      <c r="L216" s="2">
        <f>Games[[#This Row],[OppDaysOff]]-Games[[#This Row],[DaysOff]]</f>
        <v>1</v>
      </c>
      <c r="M216" s="1">
        <f>MAX(-16, MIN(16, Games[[#This Row],[RestDiff]]*8))</f>
        <v>-8</v>
      </c>
      <c r="N216" s="1">
        <f>MAX(-16, MIN(16, Games[[#This Row],[OppRestDiff]]*8))</f>
        <v>8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1395.5820982056266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1472.4065424471569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0.26543990847369742</v>
      </c>
      <c r="R216" s="1">
        <v>66</v>
      </c>
      <c r="S216" s="1">
        <v>67</v>
      </c>
      <c r="T216" s="1">
        <v>0</v>
      </c>
      <c r="U216" s="1">
        <f>Games[[#This Row],[PointsFor]]-Games[[#This Row],[PointsAgainst]]</f>
        <v>-1</v>
      </c>
      <c r="V216" s="1">
        <f>IF(Games[[#This Row],[MOV]]&gt;0,1,IF(Games[[#This Row],[MOV]]=0,0.5,0))</f>
        <v>0</v>
      </c>
      <c r="W216" s="4">
        <f>((ABS(Games[[#This Row],[MOV]])+5)^0.6)/(12+0.01*(ABS(Games[[#This Row],[PreGmRate]]-Games[[#This Row],[OppPreGmRate]])))*IF(Games[[#This Row],[OT]]=1,0.9,1)</f>
        <v>0.22948777843332382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73</v>
      </c>
      <c r="Z216" s="4">
        <f>Games[[#This Row],[K]]*Games[[#This Row],[POMult]]</f>
        <v>73</v>
      </c>
      <c r="AA216" s="4">
        <f>(Games[[#This Row],[Keff]]*Games[[#This Row],[MOVMult]])*(Games[[#This Row],[Result]]-Games[[#This Row],[ExpectedWin%]])</f>
        <v>-4.4468106879316753</v>
      </c>
      <c r="AB216" s="4">
        <f>Games[[#This Row],[PreGmRate]]+Games[[#This Row],[RatingChange]]</f>
        <v>1391.1352875176949</v>
      </c>
      <c r="AC216" s="2">
        <f>IF(Games[[#This Row],[Type]]="R",IF(Games[[#This Row],[Result]]&gt;0.5,1,0),0)</f>
        <v>0</v>
      </c>
      <c r="AD216" s="2">
        <f>IF(Games[[#This Row],[Type]]="R",IF(Games[[#This Row],[Result]]&lt;0.5,1,0),0)</f>
        <v>1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42216</v>
      </c>
      <c r="B217" s="2">
        <v>2015</v>
      </c>
      <c r="C217" s="2">
        <f>COUNTIFS(Games[Team],Games[[#This Row],[Team]],Games[Season],Games[[#This Row],[Season]],Games[Date],"&lt;=" &amp; Games[[#This Row],[Date]])</f>
        <v>17</v>
      </c>
      <c r="D217" s="2" t="s">
        <v>83</v>
      </c>
      <c r="E217" s="2" t="s">
        <v>84</v>
      </c>
      <c r="F217" s="1" t="s">
        <v>76</v>
      </c>
      <c r="G217" s="1" t="s">
        <v>71</v>
      </c>
      <c r="H217" s="1" t="s">
        <v>86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7" s="2">
        <f>Games[[#This Row],[DaysOff]]-Games[[#This Row],[OppDaysOff]]</f>
        <v>1</v>
      </c>
      <c r="L217" s="2">
        <f>Games[[#This Row],[OppDaysOff]]-Games[[#This Row],[DaysOff]]</f>
        <v>-1</v>
      </c>
      <c r="M217" s="1">
        <f>MAX(-16, MIN(16, Games[[#This Row],[RestDiff]]*8))</f>
        <v>8</v>
      </c>
      <c r="N217" s="1">
        <f>MAX(-16, MIN(16, Games[[#This Row],[OppRestDiff]]*8))</f>
        <v>-8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1472.4065424471569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1395.5820982056266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0.73456009152630264</v>
      </c>
      <c r="R217" s="1">
        <v>67</v>
      </c>
      <c r="S217" s="1">
        <v>66</v>
      </c>
      <c r="T217" s="1">
        <v>0</v>
      </c>
      <c r="U217" s="1">
        <f>Games[[#This Row],[PointsFor]]-Games[[#This Row],[PointsAgainst]]</f>
        <v>1</v>
      </c>
      <c r="V217" s="1">
        <f>IF(Games[[#This Row],[MOV]]&gt;0,1,IF(Games[[#This Row],[MOV]]=0,0.5,0))</f>
        <v>1</v>
      </c>
      <c r="W217" s="4">
        <f>((ABS(Games[[#This Row],[MOV]])+5)^0.6)/(12+0.01*(ABS(Games[[#This Row],[PreGmRate]]-Games[[#This Row],[OppPreGmRate]])))*IF(Games[[#This Row],[OT]]=1,0.9,1)</f>
        <v>0.22948777843332382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73.45</v>
      </c>
      <c r="Z217" s="4">
        <f>Games[[#This Row],[K]]*Games[[#This Row],[POMult]]</f>
        <v>73.45</v>
      </c>
      <c r="AA217" s="4">
        <f>(Games[[#This Row],[Keff]]*Games[[#This Row],[MOVMult]])*(Games[[#This Row],[Result]]-Games[[#This Row],[ExpectedWin%]])</f>
        <v>4.4742225346381028</v>
      </c>
      <c r="AB217" s="4">
        <f>Games[[#This Row],[PreGmRate]]+Games[[#This Row],[RatingChange]]</f>
        <v>1476.880764981795</v>
      </c>
      <c r="AC217" s="2">
        <f>IF(Games[[#This Row],[Type]]="R",IF(Games[[#This Row],[Result]]&gt;0.5,1,0),0)</f>
        <v>1</v>
      </c>
      <c r="AD217" s="2">
        <f>IF(Games[[#This Row],[Type]]="R",IF(Games[[#This Row],[Result]]&lt;0.5,1,0),0)</f>
        <v>0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42216</v>
      </c>
      <c r="B218" s="2">
        <v>2015</v>
      </c>
      <c r="C218" s="2">
        <f>COUNTIFS(Games[Team],Games[[#This Row],[Team]],Games[Season],Games[[#This Row],[Season]],Games[Date],"&lt;=" &amp; Games[[#This Row],[Date]])</f>
        <v>19</v>
      </c>
      <c r="D218" s="2" t="s">
        <v>83</v>
      </c>
      <c r="E218" s="2" t="s">
        <v>84</v>
      </c>
      <c r="F218" s="1" t="s">
        <v>79</v>
      </c>
      <c r="G218" s="1" t="s">
        <v>67</v>
      </c>
      <c r="H218" s="1" t="s">
        <v>85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8" s="2">
        <f>Games[[#This Row],[DaysOff]]-Games[[#This Row],[OppDaysOff]]</f>
        <v>0</v>
      </c>
      <c r="L218" s="2">
        <f>Games[[#This Row],[OppDaysOff]]-Games[[#This Row],[DaysOff]]</f>
        <v>0</v>
      </c>
      <c r="M218" s="1">
        <f>MAX(-16, MIN(16, Games[[#This Row],[RestDiff]]*8))</f>
        <v>0</v>
      </c>
      <c r="N218" s="1">
        <f>MAX(-16, MIN(16, Games[[#This Row],[OppRestDiff]]*8))</f>
        <v>0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1427.2815042152372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1641.2897924774757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0.15245511103255202</v>
      </c>
      <c r="R218" s="1">
        <v>70</v>
      </c>
      <c r="S218" s="1">
        <v>86</v>
      </c>
      <c r="T218" s="1">
        <v>0</v>
      </c>
      <c r="U218" s="1">
        <f>Games[[#This Row],[PointsFor]]-Games[[#This Row],[PointsAgainst]]</f>
        <v>-16</v>
      </c>
      <c r="V218" s="1">
        <f>IF(Games[[#This Row],[MOV]]&gt;0,1,IF(Games[[#This Row],[MOV]]=0,0.5,0))</f>
        <v>0</v>
      </c>
      <c r="W218" s="4">
        <f>((ABS(Games[[#This Row],[MOV]])+5)^0.6)/(12+0.01*(ABS(Games[[#This Row],[PreGmRate]]-Games[[#This Row],[OppPreGmRate]])))*IF(Games[[#This Row],[OT]]=1,0.9,1)</f>
        <v>0.43941979965314143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73.150000000000006</v>
      </c>
      <c r="Z218" s="4">
        <f>Games[[#This Row],[K]]*Games[[#This Row],[POMult]]</f>
        <v>73.150000000000006</v>
      </c>
      <c r="AA218" s="4">
        <f>(Games[[#This Row],[Keff]]*Games[[#This Row],[MOVMult]])*(Games[[#This Row],[Result]]-Games[[#This Row],[ExpectedWin%]])</f>
        <v>-4.9004497564114695</v>
      </c>
      <c r="AB218" s="4">
        <f>Games[[#This Row],[PreGmRate]]+Games[[#This Row],[RatingChange]]</f>
        <v>1422.3810544588257</v>
      </c>
      <c r="AC218" s="2">
        <f>IF(Games[[#This Row],[Type]]="R",IF(Games[[#This Row],[Result]]&gt;0.5,1,0),0)</f>
        <v>0</v>
      </c>
      <c r="AD218" s="2">
        <f>IF(Games[[#This Row],[Type]]="R",IF(Games[[#This Row],[Result]]&lt;0.5,1,0),0)</f>
        <v>1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42216</v>
      </c>
      <c r="B219" s="2">
        <v>2015</v>
      </c>
      <c r="C219" s="2">
        <f>COUNTIFS(Games[Team],Games[[#This Row],[Team]],Games[Season],Games[[#This Row],[Season]],Games[Date],"&lt;=" &amp; Games[[#This Row],[Date]])</f>
        <v>18</v>
      </c>
      <c r="D219" s="2" t="s">
        <v>83</v>
      </c>
      <c r="E219" s="2" t="s">
        <v>84</v>
      </c>
      <c r="F219" s="1" t="s">
        <v>67</v>
      </c>
      <c r="G219" s="1" t="s">
        <v>79</v>
      </c>
      <c r="H219" s="1" t="s">
        <v>86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9" s="2">
        <f>Games[[#This Row],[DaysOff]]-Games[[#This Row],[OppDaysOff]]</f>
        <v>0</v>
      </c>
      <c r="L219" s="2">
        <f>Games[[#This Row],[OppDaysOff]]-Games[[#This Row],[DaysOff]]</f>
        <v>0</v>
      </c>
      <c r="M219" s="1">
        <f>MAX(-16, MIN(16, Games[[#This Row],[RestDiff]]*8))</f>
        <v>0</v>
      </c>
      <c r="N219" s="1">
        <f>MAX(-16, MIN(16, Games[[#This Row],[OppRestDiff]]*8))</f>
        <v>0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1641.2897924774757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1427.2815042152372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0.84754488896744795</v>
      </c>
      <c r="R219" s="1">
        <v>86</v>
      </c>
      <c r="S219" s="1">
        <v>70</v>
      </c>
      <c r="T219" s="1">
        <v>0</v>
      </c>
      <c r="U219" s="1">
        <f>Games[[#This Row],[PointsFor]]-Games[[#This Row],[PointsAgainst]]</f>
        <v>16</v>
      </c>
      <c r="V219" s="1">
        <f>IF(Games[[#This Row],[MOV]]&gt;0,1,IF(Games[[#This Row],[MOV]]=0,0.5,0))</f>
        <v>1</v>
      </c>
      <c r="W219" s="4">
        <f>((ABS(Games[[#This Row],[MOV]])+5)^0.6)/(12+0.01*(ABS(Games[[#This Row],[PreGmRate]]-Games[[#This Row],[OppPreGmRate]])))*IF(Games[[#This Row],[OT]]=1,0.9,1)</f>
        <v>0.43941979965314143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73.3</v>
      </c>
      <c r="Z219" s="4">
        <f>Games[[#This Row],[K]]*Games[[#This Row],[POMult]]</f>
        <v>73.3</v>
      </c>
      <c r="AA219" s="4">
        <f>(Games[[#This Row],[Keff]]*Games[[#This Row],[MOVMult]])*(Games[[#This Row],[Result]]-Games[[#This Row],[ExpectedWin%]])</f>
        <v>4.9104985255633729</v>
      </c>
      <c r="AB219" s="4">
        <f>Games[[#This Row],[PreGmRate]]+Games[[#This Row],[RatingChange]]</f>
        <v>1646.200291003039</v>
      </c>
      <c r="AC219" s="2">
        <f>IF(Games[[#This Row],[Type]]="R",IF(Games[[#This Row],[Result]]&gt;0.5,1,0),0)</f>
        <v>1</v>
      </c>
      <c r="AD219" s="2">
        <f>IF(Games[[#This Row],[Type]]="R",IF(Games[[#This Row],[Result]]&lt;0.5,1,0),0)</f>
        <v>0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42216</v>
      </c>
      <c r="B220" s="2">
        <v>2015</v>
      </c>
      <c r="C220" s="2">
        <f>COUNTIFS(Games[Team],Games[[#This Row],[Team]],Games[Season],Games[[#This Row],[Season]],Games[Date],"&lt;=" &amp; Games[[#This Row],[Date]])</f>
        <v>17</v>
      </c>
      <c r="D220" s="2" t="s">
        <v>83</v>
      </c>
      <c r="E220" s="2" t="s">
        <v>84</v>
      </c>
      <c r="F220" s="1" t="s">
        <v>65</v>
      </c>
      <c r="G220" s="1" t="s">
        <v>74</v>
      </c>
      <c r="H220" s="1" t="s">
        <v>85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0" s="2">
        <f>Games[[#This Row],[DaysOff]]-Games[[#This Row],[OppDaysOff]]</f>
        <v>0</v>
      </c>
      <c r="L220" s="2">
        <f>Games[[#This Row],[OppDaysOff]]-Games[[#This Row],[DaysOff]]</f>
        <v>0</v>
      </c>
      <c r="M220" s="1">
        <f>MAX(-16, MIN(16, Games[[#This Row],[RestDiff]]*8))</f>
        <v>0</v>
      </c>
      <c r="N220" s="1">
        <f>MAX(-16, MIN(16, Games[[#This Row],[OppRestDiff]]*8))</f>
        <v>0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1530.929719489839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1445.4642445959423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0.50210897539589006</v>
      </c>
      <c r="R220" s="1">
        <v>88</v>
      </c>
      <c r="S220" s="1">
        <v>53</v>
      </c>
      <c r="T220" s="1">
        <v>0</v>
      </c>
      <c r="U220" s="1">
        <f>Games[[#This Row],[PointsFor]]-Games[[#This Row],[PointsAgainst]]</f>
        <v>35</v>
      </c>
      <c r="V220" s="1">
        <f>IF(Games[[#This Row],[MOV]]&gt;0,1,IF(Games[[#This Row],[MOV]]=0,0.5,0))</f>
        <v>1</v>
      </c>
      <c r="W220" s="4">
        <f>((ABS(Games[[#This Row],[MOV]])+5)^0.6)/(12+0.01*(ABS(Games[[#This Row],[PreGmRate]]-Games[[#This Row],[OppPreGmRate]])))*IF(Games[[#This Row],[OT]]=1,0.9,1)</f>
        <v>0.71150110346615492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73.45</v>
      </c>
      <c r="Z220" s="4">
        <f>Games[[#This Row],[K]]*Games[[#This Row],[POMult]]</f>
        <v>73.45</v>
      </c>
      <c r="AA220" s="4">
        <f>(Games[[#This Row],[Keff]]*Games[[#This Row],[MOVMult]])*(Games[[#This Row],[Result]]-Games[[#This Row],[ExpectedWin%]])</f>
        <v>26.019663485090739</v>
      </c>
      <c r="AB220" s="4">
        <f>Games[[#This Row],[PreGmRate]]+Games[[#This Row],[RatingChange]]</f>
        <v>1556.9493829749297</v>
      </c>
      <c r="AC220" s="2">
        <f>IF(Games[[#This Row],[Type]]="R",IF(Games[[#This Row],[Result]]&gt;0.5,1,0),0)</f>
        <v>1</v>
      </c>
      <c r="AD220" s="2">
        <f>IF(Games[[#This Row],[Type]]="R",IF(Games[[#This Row],[Result]]&lt;0.5,1,0),0)</f>
        <v>0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42216</v>
      </c>
      <c r="B221" s="2">
        <v>2015</v>
      </c>
      <c r="C221" s="2">
        <f>COUNTIFS(Games[Team],Games[[#This Row],[Team]],Games[Season],Games[[#This Row],[Season]],Games[Date],"&lt;=" &amp; Games[[#This Row],[Date]])</f>
        <v>19</v>
      </c>
      <c r="D221" s="2" t="s">
        <v>83</v>
      </c>
      <c r="E221" s="2" t="s">
        <v>84</v>
      </c>
      <c r="F221" s="1" t="s">
        <v>74</v>
      </c>
      <c r="G221" s="1" t="s">
        <v>65</v>
      </c>
      <c r="H221" s="1" t="s">
        <v>86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1" s="2">
        <f>Games[[#This Row],[DaysOff]]-Games[[#This Row],[OppDaysOff]]</f>
        <v>0</v>
      </c>
      <c r="L221" s="2">
        <f>Games[[#This Row],[OppDaysOff]]-Games[[#This Row],[DaysOff]]</f>
        <v>0</v>
      </c>
      <c r="M221" s="1">
        <f>MAX(-16, MIN(16, Games[[#This Row],[RestDiff]]*8))</f>
        <v>0</v>
      </c>
      <c r="N221" s="1">
        <f>MAX(-16, MIN(16, Games[[#This Row],[OppRestDiff]]*8))</f>
        <v>0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1445.4642445959423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1530.929719489839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0.49789102460410994</v>
      </c>
      <c r="R221" s="1">
        <v>53</v>
      </c>
      <c r="S221" s="1">
        <v>88</v>
      </c>
      <c r="T221" s="1">
        <v>0</v>
      </c>
      <c r="U221" s="1">
        <f>Games[[#This Row],[PointsFor]]-Games[[#This Row],[PointsAgainst]]</f>
        <v>-35</v>
      </c>
      <c r="V221" s="1">
        <f>IF(Games[[#This Row],[MOV]]&gt;0,1,IF(Games[[#This Row],[MOV]]=0,0.5,0))</f>
        <v>0</v>
      </c>
      <c r="W221" s="4">
        <f>((ABS(Games[[#This Row],[MOV]])+5)^0.6)/(12+0.01*(ABS(Games[[#This Row],[PreGmRate]]-Games[[#This Row],[OppPreGmRate]])))*IF(Games[[#This Row],[OT]]=1,0.9,1)</f>
        <v>0.71150110346615492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73.150000000000006</v>
      </c>
      <c r="Z221" s="4">
        <f>Games[[#This Row],[K]]*Games[[#This Row],[POMult]]</f>
        <v>73.150000000000006</v>
      </c>
      <c r="AA221" s="4">
        <f>(Games[[#This Row],[Keff]]*Games[[#This Row],[MOVMult]])*(Games[[#This Row],[Result]]-Games[[#This Row],[ExpectedWin%]])</f>
        <v>-25.913388481067226</v>
      </c>
      <c r="AB221" s="4">
        <f>Games[[#This Row],[PreGmRate]]+Games[[#This Row],[RatingChange]]</f>
        <v>1419.5508561148752</v>
      </c>
      <c r="AC221" s="2">
        <f>IF(Games[[#This Row],[Type]]="R",IF(Games[[#This Row],[Result]]&gt;0.5,1,0),0)</f>
        <v>0</v>
      </c>
      <c r="AD221" s="2">
        <f>IF(Games[[#This Row],[Type]]="R",IF(Games[[#This Row],[Result]]&lt;0.5,1,0),0)</f>
        <v>1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42217</v>
      </c>
      <c r="B222" s="2">
        <v>2015</v>
      </c>
      <c r="C222" s="2">
        <f>COUNTIFS(Games[Team],Games[[#This Row],[Team]],Games[Season],Games[[#This Row],[Season]],Games[Date],"&lt;=" &amp; Games[[#This Row],[Date]])</f>
        <v>19</v>
      </c>
      <c r="D222" s="2" t="s">
        <v>83</v>
      </c>
      <c r="E222" s="2" t="s">
        <v>84</v>
      </c>
      <c r="F222" s="1" t="s">
        <v>67</v>
      </c>
      <c r="G222" s="1" t="s">
        <v>81</v>
      </c>
      <c r="H222" s="1" t="s">
        <v>85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2" s="2">
        <f>Games[[#This Row],[DaysOff]]-Games[[#This Row],[OppDaysOff]]</f>
        <v>-1</v>
      </c>
      <c r="L222" s="2">
        <f>Games[[#This Row],[OppDaysOff]]-Games[[#This Row],[DaysOff]]</f>
        <v>1</v>
      </c>
      <c r="M222" s="1">
        <f>MAX(-16, MIN(16, Games[[#This Row],[RestDiff]]*8))</f>
        <v>-8</v>
      </c>
      <c r="N222" s="1">
        <f>MAX(-16, MIN(16, Games[[#This Row],[OppRestDiff]]*8))</f>
        <v>8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1646.200291003039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1478.3869090166916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0.59637061215458431</v>
      </c>
      <c r="R222" s="1">
        <v>86</v>
      </c>
      <c r="S222" s="1">
        <v>80</v>
      </c>
      <c r="T222" s="1">
        <v>0</v>
      </c>
      <c r="U222" s="1">
        <f>Games[[#This Row],[PointsFor]]-Games[[#This Row],[PointsAgainst]]</f>
        <v>6</v>
      </c>
      <c r="V222" s="1">
        <f>IF(Games[[#This Row],[MOV]]&gt;0,1,IF(Games[[#This Row],[MOV]]=0,0.5,0))</f>
        <v>1</v>
      </c>
      <c r="W222" s="4">
        <f>((ABS(Games[[#This Row],[MOV]])+5)^0.6)/(12+0.01*(ABS(Games[[#This Row],[PreGmRate]]-Games[[#This Row],[OppPreGmRate]])))*IF(Games[[#This Row],[OT]]=1,0.9,1)</f>
        <v>0.30818305980968791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73.150000000000006</v>
      </c>
      <c r="Z222" s="4">
        <f>Games[[#This Row],[K]]*Games[[#This Row],[POMult]]</f>
        <v>73.150000000000006</v>
      </c>
      <c r="AA222" s="4">
        <f>(Games[[#This Row],[Keff]]*Games[[#This Row],[MOVMult]])*(Games[[#This Row],[Result]]-Games[[#This Row],[ExpectedWin%]])</f>
        <v>9.0992557645640346</v>
      </c>
      <c r="AB222" s="4">
        <f>Games[[#This Row],[PreGmRate]]+Games[[#This Row],[RatingChange]]</f>
        <v>1655.299546767603</v>
      </c>
      <c r="AC222" s="2">
        <f>IF(Games[[#This Row],[Type]]="R",IF(Games[[#This Row],[Result]]&gt;0.5,1,0),0)</f>
        <v>1</v>
      </c>
      <c r="AD222" s="2">
        <f>IF(Games[[#This Row],[Type]]="R",IF(Games[[#This Row],[Result]]&lt;0.5,1,0),0)</f>
        <v>0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42217</v>
      </c>
      <c r="B223" s="2">
        <v>2015</v>
      </c>
      <c r="C223" s="2">
        <f>COUNTIFS(Games[Team],Games[[#This Row],[Team]],Games[Season],Games[[#This Row],[Season]],Games[Date],"&lt;=" &amp; Games[[#This Row],[Date]])</f>
        <v>20</v>
      </c>
      <c r="D223" s="2" t="s">
        <v>83</v>
      </c>
      <c r="E223" s="2" t="s">
        <v>84</v>
      </c>
      <c r="F223" s="1" t="s">
        <v>81</v>
      </c>
      <c r="G223" s="1" t="s">
        <v>67</v>
      </c>
      <c r="H223" s="1" t="s">
        <v>86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3" s="2">
        <f>Games[[#This Row],[DaysOff]]-Games[[#This Row],[OppDaysOff]]</f>
        <v>1</v>
      </c>
      <c r="L223" s="2">
        <f>Games[[#This Row],[OppDaysOff]]-Games[[#This Row],[DaysOff]]</f>
        <v>-1</v>
      </c>
      <c r="M223" s="1">
        <f>MAX(-16, MIN(16, Games[[#This Row],[RestDiff]]*8))</f>
        <v>8</v>
      </c>
      <c r="N223" s="1">
        <f>MAX(-16, MIN(16, Games[[#This Row],[OppRestDiff]]*8))</f>
        <v>-8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1478.3869090166916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1646.200291003039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0.40362938784541574</v>
      </c>
      <c r="R223" s="1">
        <v>80</v>
      </c>
      <c r="S223" s="1">
        <v>86</v>
      </c>
      <c r="T223" s="1">
        <v>0</v>
      </c>
      <c r="U223" s="1">
        <f>Games[[#This Row],[PointsFor]]-Games[[#This Row],[PointsAgainst]]</f>
        <v>-6</v>
      </c>
      <c r="V223" s="1">
        <f>IF(Games[[#This Row],[MOV]]&gt;0,1,IF(Games[[#This Row],[MOV]]=0,0.5,0))</f>
        <v>0</v>
      </c>
      <c r="W223" s="4">
        <f>((ABS(Games[[#This Row],[MOV]])+5)^0.6)/(12+0.01*(ABS(Games[[#This Row],[PreGmRate]]-Games[[#This Row],[OppPreGmRate]])))*IF(Games[[#This Row],[OT]]=1,0.9,1)</f>
        <v>0.30818305980968791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73</v>
      </c>
      <c r="Z223" s="4">
        <f>Games[[#This Row],[K]]*Games[[#This Row],[POMult]]</f>
        <v>73</v>
      </c>
      <c r="AA223" s="4">
        <f>(Games[[#This Row],[Keff]]*Games[[#This Row],[MOVMult]])*(Games[[#This Row],[Result]]-Games[[#This Row],[ExpectedWin%]])</f>
        <v>-9.0805970035977364</v>
      </c>
      <c r="AB223" s="4">
        <f>Games[[#This Row],[PreGmRate]]+Games[[#This Row],[RatingChange]]</f>
        <v>1469.3063120130939</v>
      </c>
      <c r="AC223" s="2">
        <f>IF(Games[[#This Row],[Type]]="R",IF(Games[[#This Row],[Result]]&gt;0.5,1,0),0)</f>
        <v>0</v>
      </c>
      <c r="AD223" s="2">
        <f>IF(Games[[#This Row],[Type]]="R",IF(Games[[#This Row],[Result]]&lt;0.5,1,0),0)</f>
        <v>1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42218</v>
      </c>
      <c r="B224" s="2">
        <v>2015</v>
      </c>
      <c r="C224" s="2">
        <f>COUNTIFS(Games[Team],Games[[#This Row],[Team]],Games[Season],Games[[#This Row],[Season]],Games[Date],"&lt;=" &amp; Games[[#This Row],[Date]])</f>
        <v>19</v>
      </c>
      <c r="D224" s="2" t="s">
        <v>83</v>
      </c>
      <c r="E224" s="2" t="s">
        <v>84</v>
      </c>
      <c r="F224" s="1" t="s">
        <v>40</v>
      </c>
      <c r="G224" s="1" t="s">
        <v>79</v>
      </c>
      <c r="H224" s="1" t="s">
        <v>85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4" s="2">
        <f>Games[[#This Row],[DaysOff]]-Games[[#This Row],[OppDaysOff]]</f>
        <v>1</v>
      </c>
      <c r="L224" s="2">
        <f>Games[[#This Row],[OppDaysOff]]-Games[[#This Row],[DaysOff]]</f>
        <v>-1</v>
      </c>
      <c r="M224" s="1">
        <f>MAX(-16, MIN(16, Games[[#This Row],[RestDiff]]*8))</f>
        <v>8</v>
      </c>
      <c r="N224" s="1">
        <f>MAX(-16, MIN(16, Games[[#This Row],[OppRestDiff]]*8))</f>
        <v>-8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1622.6010704999512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1422.3810544588257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0.68159676057391483</v>
      </c>
      <c r="R224" s="1">
        <v>71</v>
      </c>
      <c r="S224" s="1">
        <v>68</v>
      </c>
      <c r="T224" s="1">
        <v>0</v>
      </c>
      <c r="U224" s="1">
        <f>Games[[#This Row],[PointsFor]]-Games[[#This Row],[PointsAgainst]]</f>
        <v>3</v>
      </c>
      <c r="V224" s="1">
        <f>IF(Games[[#This Row],[MOV]]&gt;0,1,IF(Games[[#This Row],[MOV]]=0,0.5,0))</f>
        <v>1</v>
      </c>
      <c r="W224" s="4">
        <f>((ABS(Games[[#This Row],[MOV]])+5)^0.6)/(12+0.01*(ABS(Games[[#This Row],[PreGmRate]]-Games[[#This Row],[OppPreGmRate]])))*IF(Games[[#This Row],[OT]]=1,0.9,1)</f>
        <v>0.24868964971874974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73.150000000000006</v>
      </c>
      <c r="Z224" s="4">
        <f>Games[[#This Row],[K]]*Games[[#This Row],[POMult]]</f>
        <v>73.150000000000006</v>
      </c>
      <c r="AA224" s="4">
        <f>(Games[[#This Row],[Keff]]*Games[[#This Row],[MOVMult]])*(Games[[#This Row],[Result]]-Games[[#This Row],[ExpectedWin%]])</f>
        <v>5.7922796145120765</v>
      </c>
      <c r="AB224" s="4">
        <f>Games[[#This Row],[PreGmRate]]+Games[[#This Row],[RatingChange]]</f>
        <v>1628.3933501144634</v>
      </c>
      <c r="AC224" s="2">
        <f>IF(Games[[#This Row],[Type]]="R",IF(Games[[#This Row],[Result]]&gt;0.5,1,0),0)</f>
        <v>1</v>
      </c>
      <c r="AD224" s="2">
        <f>IF(Games[[#This Row],[Type]]="R",IF(Games[[#This Row],[Result]]&lt;0.5,1,0),0)</f>
        <v>0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42218</v>
      </c>
      <c r="B225" s="2">
        <v>2015</v>
      </c>
      <c r="C225" s="2">
        <f>COUNTIFS(Games[Team],Games[[#This Row],[Team]],Games[Season],Games[[#This Row],[Season]],Games[Date],"&lt;=" &amp; Games[[#This Row],[Date]])</f>
        <v>20</v>
      </c>
      <c r="D225" s="2" t="s">
        <v>83</v>
      </c>
      <c r="E225" s="2" t="s">
        <v>84</v>
      </c>
      <c r="F225" s="1" t="s">
        <v>79</v>
      </c>
      <c r="G225" s="1" t="s">
        <v>40</v>
      </c>
      <c r="H225" s="1" t="s">
        <v>86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5" s="2">
        <f>Games[[#This Row],[DaysOff]]-Games[[#This Row],[OppDaysOff]]</f>
        <v>-1</v>
      </c>
      <c r="L225" s="2">
        <f>Games[[#This Row],[OppDaysOff]]-Games[[#This Row],[DaysOff]]</f>
        <v>1</v>
      </c>
      <c r="M225" s="1">
        <f>MAX(-16, MIN(16, Games[[#This Row],[RestDiff]]*8))</f>
        <v>-8</v>
      </c>
      <c r="N225" s="1">
        <f>MAX(-16, MIN(16, Games[[#This Row],[OppRestDiff]]*8))</f>
        <v>8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1422.3810544588257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1622.6010704999512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0.31840323942608523</v>
      </c>
      <c r="R225" s="1">
        <v>68</v>
      </c>
      <c r="S225" s="1">
        <v>71</v>
      </c>
      <c r="T225" s="1">
        <v>0</v>
      </c>
      <c r="U225" s="1">
        <f>Games[[#This Row],[PointsFor]]-Games[[#This Row],[PointsAgainst]]</f>
        <v>-3</v>
      </c>
      <c r="V225" s="1">
        <f>IF(Games[[#This Row],[MOV]]&gt;0,1,IF(Games[[#This Row],[MOV]]=0,0.5,0))</f>
        <v>0</v>
      </c>
      <c r="W225" s="4">
        <f>((ABS(Games[[#This Row],[MOV]])+5)^0.6)/(12+0.01*(ABS(Games[[#This Row],[PreGmRate]]-Games[[#This Row],[OppPreGmRate]])))*IF(Games[[#This Row],[OT]]=1,0.9,1)</f>
        <v>0.24868964971874974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73</v>
      </c>
      <c r="Z225" s="4">
        <f>Games[[#This Row],[K]]*Games[[#This Row],[POMult]]</f>
        <v>73</v>
      </c>
      <c r="AA225" s="4">
        <f>(Games[[#This Row],[Keff]]*Games[[#This Row],[MOVMult]])*(Games[[#This Row],[Result]]-Games[[#This Row],[ExpectedWin%]])</f>
        <v>-5.7804020759997492</v>
      </c>
      <c r="AB225" s="4">
        <f>Games[[#This Row],[PreGmRate]]+Games[[#This Row],[RatingChange]]</f>
        <v>1416.600652382826</v>
      </c>
      <c r="AC225" s="2">
        <f>IF(Games[[#This Row],[Type]]="R",IF(Games[[#This Row],[Result]]&gt;0.5,1,0),0)</f>
        <v>0</v>
      </c>
      <c r="AD225" s="2">
        <f>IF(Games[[#This Row],[Type]]="R",IF(Games[[#This Row],[Result]]&lt;0.5,1,0),0)</f>
        <v>1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42218</v>
      </c>
      <c r="B226" s="2">
        <v>2015</v>
      </c>
      <c r="C226" s="2">
        <f>COUNTIFS(Games[Team],Games[[#This Row],[Team]],Games[Season],Games[[#This Row],[Season]],Games[Date],"&lt;=" &amp; Games[[#This Row],[Date]])</f>
        <v>18</v>
      </c>
      <c r="D226" s="2" t="s">
        <v>83</v>
      </c>
      <c r="E226" s="2" t="s">
        <v>84</v>
      </c>
      <c r="F226" s="1" t="s">
        <v>65</v>
      </c>
      <c r="G226" s="1" t="s">
        <v>77</v>
      </c>
      <c r="H226" s="1" t="s">
        <v>85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6" s="2">
        <f>Games[[#This Row],[DaysOff]]-Games[[#This Row],[OppDaysOff]]</f>
        <v>0</v>
      </c>
      <c r="L226" s="2">
        <f>Games[[#This Row],[OppDaysOff]]-Games[[#This Row],[DaysOff]]</f>
        <v>0</v>
      </c>
      <c r="M226" s="1">
        <f>MAX(-16, MIN(16, Games[[#This Row],[RestDiff]]*8))</f>
        <v>0</v>
      </c>
      <c r="N226" s="1">
        <f>MAX(-16, MIN(16, Games[[#This Row],[OppRestDiff]]*8))</f>
        <v>0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1556.9493829749297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1536.8877903053444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0.40901010447066138</v>
      </c>
      <c r="R226" s="1">
        <v>68</v>
      </c>
      <c r="S226" s="1">
        <v>71</v>
      </c>
      <c r="T226" s="1">
        <v>0</v>
      </c>
      <c r="U226" s="1">
        <f>Games[[#This Row],[PointsFor]]-Games[[#This Row],[PointsAgainst]]</f>
        <v>-3</v>
      </c>
      <c r="V226" s="1">
        <f>IF(Games[[#This Row],[MOV]]&gt;0,1,IF(Games[[#This Row],[MOV]]=0,0.5,0))</f>
        <v>0</v>
      </c>
      <c r="W226" s="4">
        <f>((ABS(Games[[#This Row],[MOV]])+5)^0.6)/(12+0.01*(ABS(Games[[#This Row],[PreGmRate]]-Games[[#This Row],[OppPreGmRate]])))*IF(Games[[#This Row],[OT]]=1,0.9,1)</f>
        <v>0.28541200494355201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6" s="9">
        <f>MAX(kmin, kmax - 0.15 * MIN(Games[[#This Row],[GamesPlayed]], 82))</f>
        <v>73.3</v>
      </c>
      <c r="Z226" s="4">
        <f>Games[[#This Row],[K]]*Games[[#This Row],[POMult]]</f>
        <v>73.3</v>
      </c>
      <c r="AA226" s="4">
        <f>(Games[[#This Row],[Keff]]*Games[[#This Row],[MOVMult]])*(Games[[#This Row],[Result]]-Games[[#This Row],[ExpectedWin%]])</f>
        <v>-8.5567776772051918</v>
      </c>
      <c r="AB226" s="4">
        <f>Games[[#This Row],[PreGmRate]]+Games[[#This Row],[RatingChange]]</f>
        <v>1548.3926052977245</v>
      </c>
      <c r="AC226" s="2">
        <f>IF(Games[[#This Row],[Type]]="R",IF(Games[[#This Row],[Result]]&gt;0.5,1,0),0)</f>
        <v>0</v>
      </c>
      <c r="AD226" s="2">
        <f>IF(Games[[#This Row],[Type]]="R",IF(Games[[#This Row],[Result]]&lt;0.5,1,0),0)</f>
        <v>1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42218</v>
      </c>
      <c r="B227" s="2">
        <v>2015</v>
      </c>
      <c r="C227" s="2">
        <f>COUNTIFS(Games[Team],Games[[#This Row],[Team]],Games[Season],Games[[#This Row],[Season]],Games[Date],"&lt;=" &amp; Games[[#This Row],[Date]])</f>
        <v>20</v>
      </c>
      <c r="D227" s="2" t="s">
        <v>83</v>
      </c>
      <c r="E227" s="2" t="s">
        <v>84</v>
      </c>
      <c r="F227" s="1" t="s">
        <v>77</v>
      </c>
      <c r="G227" s="1" t="s">
        <v>65</v>
      </c>
      <c r="H227" s="1" t="s">
        <v>86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7" s="2">
        <f>Games[[#This Row],[DaysOff]]-Games[[#This Row],[OppDaysOff]]</f>
        <v>0</v>
      </c>
      <c r="L227" s="2">
        <f>Games[[#This Row],[OppDaysOff]]-Games[[#This Row],[DaysOff]]</f>
        <v>0</v>
      </c>
      <c r="M227" s="1">
        <f>MAX(-16, MIN(16, Games[[#This Row],[RestDiff]]*8))</f>
        <v>0</v>
      </c>
      <c r="N227" s="1">
        <f>MAX(-16, MIN(16, Games[[#This Row],[OppRestDiff]]*8))</f>
        <v>0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1536.8877903053444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1556.9493829749297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0.59098989552933867</v>
      </c>
      <c r="R227" s="1">
        <v>71</v>
      </c>
      <c r="S227" s="1">
        <v>68</v>
      </c>
      <c r="T227" s="1">
        <v>0</v>
      </c>
      <c r="U227" s="1">
        <f>Games[[#This Row],[PointsFor]]-Games[[#This Row],[PointsAgainst]]</f>
        <v>3</v>
      </c>
      <c r="V227" s="1">
        <f>IF(Games[[#This Row],[MOV]]&gt;0,1,IF(Games[[#This Row],[MOV]]=0,0.5,0))</f>
        <v>1</v>
      </c>
      <c r="W227" s="4">
        <f>((ABS(Games[[#This Row],[MOV]])+5)^0.6)/(12+0.01*(ABS(Games[[#This Row],[PreGmRate]]-Games[[#This Row],[OppPreGmRate]])))*IF(Games[[#This Row],[OT]]=1,0.9,1)</f>
        <v>0.28541200494355201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7" s="9">
        <f>MAX(kmin, kmax - 0.15 * MIN(Games[[#This Row],[GamesPlayed]], 82))</f>
        <v>73</v>
      </c>
      <c r="Z227" s="4">
        <f>Games[[#This Row],[K]]*Games[[#This Row],[POMult]]</f>
        <v>73</v>
      </c>
      <c r="AA227" s="4">
        <f>(Games[[#This Row],[Keff]]*Games[[#This Row],[MOVMult]])*(Games[[#This Row],[Result]]-Games[[#This Row],[ExpectedWin%]])</f>
        <v>8.5217567590174461</v>
      </c>
      <c r="AB227" s="4">
        <f>Games[[#This Row],[PreGmRate]]+Games[[#This Row],[RatingChange]]</f>
        <v>1545.409547064362</v>
      </c>
      <c r="AC227" s="2">
        <f>IF(Games[[#This Row],[Type]]="R",IF(Games[[#This Row],[Result]]&gt;0.5,1,0),0)</f>
        <v>1</v>
      </c>
      <c r="AD227" s="2">
        <f>IF(Games[[#This Row],[Type]]="R",IF(Games[[#This Row],[Result]]&lt;0.5,1,0),0)</f>
        <v>0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42218</v>
      </c>
      <c r="B228" s="2">
        <v>2015</v>
      </c>
      <c r="C228" s="2">
        <f>COUNTIFS(Games[Team],Games[[#This Row],[Team]],Games[Season],Games[[#This Row],[Season]],Games[Date],"&lt;=" &amp; Games[[#This Row],[Date]])</f>
        <v>18</v>
      </c>
      <c r="D228" s="2" t="s">
        <v>83</v>
      </c>
      <c r="E228" s="2" t="s">
        <v>84</v>
      </c>
      <c r="F228" s="1" t="s">
        <v>76</v>
      </c>
      <c r="G228" s="1" t="s">
        <v>69</v>
      </c>
      <c r="H228" s="1" t="s">
        <v>85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8" s="2">
        <f>Games[[#This Row],[DaysOff]]-Games[[#This Row],[OppDaysOff]]</f>
        <v>-2</v>
      </c>
      <c r="L228" s="2">
        <f>Games[[#This Row],[OppDaysOff]]-Games[[#This Row],[DaysOff]]</f>
        <v>2</v>
      </c>
      <c r="M228" s="1">
        <f>MAX(-16, MIN(16, Games[[#This Row],[RestDiff]]*8))</f>
        <v>-16</v>
      </c>
      <c r="N228" s="1">
        <f>MAX(-16, MIN(16, Games[[#This Row],[OppRestDiff]]*8))</f>
        <v>16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1476.880764981795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1506.4329280953787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0.30198450309211677</v>
      </c>
      <c r="R228" s="1">
        <v>70</v>
      </c>
      <c r="S228" s="1">
        <v>83</v>
      </c>
      <c r="T228" s="1">
        <v>0</v>
      </c>
      <c r="U228" s="1">
        <f>Games[[#This Row],[PointsFor]]-Games[[#This Row],[PointsAgainst]]</f>
        <v>-13</v>
      </c>
      <c r="V228" s="1">
        <f>IF(Games[[#This Row],[MOV]]&gt;0,1,IF(Games[[#This Row],[MOV]]=0,0.5,0))</f>
        <v>0</v>
      </c>
      <c r="W228" s="4">
        <f>((ABS(Games[[#This Row],[MOV]])+5)^0.6)/(12+0.01*(ABS(Games[[#This Row],[PreGmRate]]-Games[[#This Row],[OppPreGmRate]])))*IF(Games[[#This Row],[OT]]=1,0.9,1)</f>
        <v>0.46069823125073328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8" s="9">
        <f>MAX(kmin, kmax - 0.15 * MIN(Games[[#This Row],[GamesPlayed]], 82))</f>
        <v>73.3</v>
      </c>
      <c r="Z228" s="4">
        <f>Games[[#This Row],[K]]*Games[[#This Row],[POMult]]</f>
        <v>73.3</v>
      </c>
      <c r="AA228" s="4">
        <f>(Games[[#This Row],[Keff]]*Games[[#This Row],[MOVMult]])*(Games[[#This Row],[Result]]-Games[[#This Row],[ExpectedWin%]])</f>
        <v>-10.197769148027794</v>
      </c>
      <c r="AB228" s="4">
        <f>Games[[#This Row],[PreGmRate]]+Games[[#This Row],[RatingChange]]</f>
        <v>1466.6829958337671</v>
      </c>
      <c r="AC228" s="2">
        <f>IF(Games[[#This Row],[Type]]="R",IF(Games[[#This Row],[Result]]&gt;0.5,1,0),0)</f>
        <v>0</v>
      </c>
      <c r="AD228" s="2">
        <f>IF(Games[[#This Row],[Type]]="R",IF(Games[[#This Row],[Result]]&lt;0.5,1,0),0)</f>
        <v>1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42218</v>
      </c>
      <c r="B229" s="2">
        <v>2015</v>
      </c>
      <c r="C229" s="2">
        <f>COUNTIFS(Games[Team],Games[[#This Row],[Team]],Games[Season],Games[[#This Row],[Season]],Games[Date],"&lt;=" &amp; Games[[#This Row],[Date]])</f>
        <v>19</v>
      </c>
      <c r="D229" s="2" t="s">
        <v>83</v>
      </c>
      <c r="E229" s="2" t="s">
        <v>84</v>
      </c>
      <c r="F229" s="1" t="s">
        <v>69</v>
      </c>
      <c r="G229" s="1" t="s">
        <v>76</v>
      </c>
      <c r="H229" s="1" t="s">
        <v>86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9" s="2">
        <f>Games[[#This Row],[DaysOff]]-Games[[#This Row],[OppDaysOff]]</f>
        <v>2</v>
      </c>
      <c r="L229" s="2">
        <f>Games[[#This Row],[OppDaysOff]]-Games[[#This Row],[DaysOff]]</f>
        <v>-2</v>
      </c>
      <c r="M229" s="1">
        <f>MAX(-16, MIN(16, Games[[#This Row],[RestDiff]]*8))</f>
        <v>16</v>
      </c>
      <c r="N229" s="1">
        <f>MAX(-16, MIN(16, Games[[#This Row],[OppRestDiff]]*8))</f>
        <v>-16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1506.4329280953787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1476.880764981795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0.69801549690788323</v>
      </c>
      <c r="R229" s="1">
        <v>83</v>
      </c>
      <c r="S229" s="1">
        <v>70</v>
      </c>
      <c r="T229" s="1">
        <v>0</v>
      </c>
      <c r="U229" s="1">
        <f>Games[[#This Row],[PointsFor]]-Games[[#This Row],[PointsAgainst]]</f>
        <v>13</v>
      </c>
      <c r="V229" s="1">
        <f>IF(Games[[#This Row],[MOV]]&gt;0,1,IF(Games[[#This Row],[MOV]]=0,0.5,0))</f>
        <v>1</v>
      </c>
      <c r="W229" s="4">
        <f>((ABS(Games[[#This Row],[MOV]])+5)^0.6)/(12+0.01*(ABS(Games[[#This Row],[PreGmRate]]-Games[[#This Row],[OppPreGmRate]])))*IF(Games[[#This Row],[OT]]=1,0.9,1)</f>
        <v>0.46069823125073328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9" s="9">
        <f>MAX(kmin, kmax - 0.15 * MIN(Games[[#This Row],[GamesPlayed]], 82))</f>
        <v>73.150000000000006</v>
      </c>
      <c r="Z229" s="4">
        <f>Games[[#This Row],[K]]*Games[[#This Row],[POMult]]</f>
        <v>73.150000000000006</v>
      </c>
      <c r="AA229" s="4">
        <f>(Games[[#This Row],[Keff]]*Games[[#This Row],[MOVMult]])*(Games[[#This Row],[Result]]-Games[[#This Row],[ExpectedWin%]])</f>
        <v>10.176900589061844</v>
      </c>
      <c r="AB229" s="4">
        <f>Games[[#This Row],[PreGmRate]]+Games[[#This Row],[RatingChange]]</f>
        <v>1516.6098286844406</v>
      </c>
      <c r="AC229" s="2">
        <f>IF(Games[[#This Row],[Type]]="R",IF(Games[[#This Row],[Result]]&gt;0.5,1,0),0)</f>
        <v>1</v>
      </c>
      <c r="AD229" s="2">
        <f>IF(Games[[#This Row],[Type]]="R",IF(Games[[#This Row],[Result]]&lt;0.5,1,0),0)</f>
        <v>0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42218</v>
      </c>
      <c r="B230" s="2">
        <v>2015</v>
      </c>
      <c r="C230" s="2">
        <f>COUNTIFS(Games[Team],Games[[#This Row],[Team]],Games[Season],Games[[#This Row],[Season]],Games[Date],"&lt;=" &amp; Games[[#This Row],[Date]])</f>
        <v>21</v>
      </c>
      <c r="D230" s="2" t="s">
        <v>83</v>
      </c>
      <c r="E230" s="2" t="s">
        <v>84</v>
      </c>
      <c r="F230" s="1" t="s">
        <v>71</v>
      </c>
      <c r="G230" s="1" t="s">
        <v>60</v>
      </c>
      <c r="H230" s="1" t="s">
        <v>85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30" s="2">
        <f>Games[[#This Row],[DaysOff]]-Games[[#This Row],[OppDaysOff]]</f>
        <v>-2</v>
      </c>
      <c r="L230" s="2">
        <f>Games[[#This Row],[OppDaysOff]]-Games[[#This Row],[DaysOff]]</f>
        <v>2</v>
      </c>
      <c r="M230" s="1">
        <f>MAX(-16, MIN(16, Games[[#This Row],[RestDiff]]*8))</f>
        <v>-16</v>
      </c>
      <c r="N230" s="1">
        <f>MAX(-16, MIN(16, Games[[#This Row],[OppRestDiff]]*8))</f>
        <v>16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1391.1352875176949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1529.5133792539878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0.18780778583878632</v>
      </c>
      <c r="R230" s="1">
        <v>62</v>
      </c>
      <c r="S230" s="1">
        <v>78</v>
      </c>
      <c r="T230" s="1">
        <v>0</v>
      </c>
      <c r="U230" s="1">
        <f>Games[[#This Row],[PointsFor]]-Games[[#This Row],[PointsAgainst]]</f>
        <v>-16</v>
      </c>
      <c r="V230" s="1">
        <f>IF(Games[[#This Row],[MOV]]&gt;0,1,IF(Games[[#This Row],[MOV]]=0,0.5,0))</f>
        <v>0</v>
      </c>
      <c r="W230" s="4">
        <f>((ABS(Games[[#This Row],[MOV]])+5)^0.6)/(12+0.01*(ABS(Games[[#This Row],[PreGmRate]]-Games[[#This Row],[OppPreGmRate]])))*IF(Games[[#This Row],[OT]]=1,0.9,1)</f>
        <v>0.46425090381597528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0" s="9">
        <f>MAX(kmin, kmax - 0.15 * MIN(Games[[#This Row],[GamesPlayed]], 82))</f>
        <v>72.849999999999994</v>
      </c>
      <c r="Z230" s="4">
        <f>Games[[#This Row],[K]]*Games[[#This Row],[POMult]]</f>
        <v>72.849999999999994</v>
      </c>
      <c r="AA230" s="4">
        <f>(Games[[#This Row],[Keff]]*Games[[#This Row],[MOVMult]])*(Games[[#This Row],[Result]]-Games[[#This Row],[ExpectedWin%]])</f>
        <v>-6.3517867151634571</v>
      </c>
      <c r="AB230" s="4">
        <f>Games[[#This Row],[PreGmRate]]+Games[[#This Row],[RatingChange]]</f>
        <v>1384.7835008025315</v>
      </c>
      <c r="AC230" s="2">
        <f>IF(Games[[#This Row],[Type]]="R",IF(Games[[#This Row],[Result]]&gt;0.5,1,0),0)</f>
        <v>0</v>
      </c>
      <c r="AD230" s="2">
        <f>IF(Games[[#This Row],[Type]]="R",IF(Games[[#This Row],[Result]]&lt;0.5,1,0),0)</f>
        <v>1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42218</v>
      </c>
      <c r="B231" s="2">
        <v>2015</v>
      </c>
      <c r="C231" s="2">
        <f>COUNTIFS(Games[Team],Games[[#This Row],[Team]],Games[Season],Games[[#This Row],[Season]],Games[Date],"&lt;=" &amp; Games[[#This Row],[Date]])</f>
        <v>19</v>
      </c>
      <c r="D231" s="2" t="s">
        <v>83</v>
      </c>
      <c r="E231" s="2" t="s">
        <v>84</v>
      </c>
      <c r="F231" s="1" t="s">
        <v>60</v>
      </c>
      <c r="G231" s="1" t="s">
        <v>71</v>
      </c>
      <c r="H231" s="1" t="s">
        <v>86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1" s="2">
        <f>Games[[#This Row],[DaysOff]]-Games[[#This Row],[OppDaysOff]]</f>
        <v>2</v>
      </c>
      <c r="L231" s="2">
        <f>Games[[#This Row],[OppDaysOff]]-Games[[#This Row],[DaysOff]]</f>
        <v>-2</v>
      </c>
      <c r="M231" s="1">
        <f>MAX(-16, MIN(16, Games[[#This Row],[RestDiff]]*8))</f>
        <v>16</v>
      </c>
      <c r="N231" s="1">
        <f>MAX(-16, MIN(16, Games[[#This Row],[OppRestDiff]]*8))</f>
        <v>-16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1529.5133792539878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1391.1352875176949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0.81219221416121357</v>
      </c>
      <c r="R231" s="1">
        <v>78</v>
      </c>
      <c r="S231" s="1">
        <v>62</v>
      </c>
      <c r="T231" s="1">
        <v>0</v>
      </c>
      <c r="U231" s="1">
        <f>Games[[#This Row],[PointsFor]]-Games[[#This Row],[PointsAgainst]]</f>
        <v>16</v>
      </c>
      <c r="V231" s="1">
        <f>IF(Games[[#This Row],[MOV]]&gt;0,1,IF(Games[[#This Row],[MOV]]=0,0.5,0))</f>
        <v>1</v>
      </c>
      <c r="W231" s="4">
        <f>((ABS(Games[[#This Row],[MOV]])+5)^0.6)/(12+0.01*(ABS(Games[[#This Row],[PreGmRate]]-Games[[#This Row],[OppPreGmRate]])))*IF(Games[[#This Row],[OT]]=1,0.9,1)</f>
        <v>0.46425090381597528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1" s="9">
        <f>MAX(kmin, kmax - 0.15 * MIN(Games[[#This Row],[GamesPlayed]], 82))</f>
        <v>73.150000000000006</v>
      </c>
      <c r="Z231" s="4">
        <f>Games[[#This Row],[K]]*Games[[#This Row],[POMult]]</f>
        <v>73.150000000000006</v>
      </c>
      <c r="AA231" s="4">
        <f>(Games[[#This Row],[Keff]]*Games[[#This Row],[MOVMult]])*(Games[[#This Row],[Result]]-Games[[#This Row],[ExpectedWin%]])</f>
        <v>6.3779436954592619</v>
      </c>
      <c r="AB231" s="4">
        <f>Games[[#This Row],[PreGmRate]]+Games[[#This Row],[RatingChange]]</f>
        <v>1535.8913229494469</v>
      </c>
      <c r="AC231" s="2">
        <f>IF(Games[[#This Row],[Type]]="R",IF(Games[[#This Row],[Result]]&gt;0.5,1,0),0)</f>
        <v>1</v>
      </c>
      <c r="AD231" s="2">
        <f>IF(Games[[#This Row],[Type]]="R",IF(Games[[#This Row],[Result]]&lt;0.5,1,0),0)</f>
        <v>0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42218</v>
      </c>
      <c r="B232" s="2">
        <v>2015</v>
      </c>
      <c r="C232" s="2">
        <f>COUNTIFS(Games[Team],Games[[#This Row],[Team]],Games[Season],Games[[#This Row],[Season]],Games[Date],"&lt;=" &amp; Games[[#This Row],[Date]])</f>
        <v>19</v>
      </c>
      <c r="D232" s="2" t="s">
        <v>83</v>
      </c>
      <c r="E232" s="2" t="s">
        <v>84</v>
      </c>
      <c r="F232" s="1" t="s">
        <v>63</v>
      </c>
      <c r="G232" s="1" t="s">
        <v>74</v>
      </c>
      <c r="H232" s="1" t="s">
        <v>85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2" s="2">
        <f>Games[[#This Row],[DaysOff]]-Games[[#This Row],[OppDaysOff]]</f>
        <v>0</v>
      </c>
      <c r="L232" s="2">
        <f>Games[[#This Row],[OppDaysOff]]-Games[[#This Row],[DaysOff]]</f>
        <v>0</v>
      </c>
      <c r="M232" s="1">
        <f>MAX(-16, MIN(16, Games[[#This Row],[RestDiff]]*8))</f>
        <v>0</v>
      </c>
      <c r="N232" s="1">
        <f>MAX(-16, MIN(16, Games[[#This Row],[OppRestDiff]]*8))</f>
        <v>0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1414.0742829547457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1419.5508561148752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0.3740060907227668</v>
      </c>
      <c r="R232" s="1">
        <v>80</v>
      </c>
      <c r="S232" s="1">
        <v>78</v>
      </c>
      <c r="T232" s="1">
        <v>0</v>
      </c>
      <c r="U232" s="1">
        <f>Games[[#This Row],[PointsFor]]-Games[[#This Row],[PointsAgainst]]</f>
        <v>2</v>
      </c>
      <c r="V232" s="1">
        <f>IF(Games[[#This Row],[MOV]]&gt;0,1,IF(Games[[#This Row],[MOV]]=0,0.5,0))</f>
        <v>1</v>
      </c>
      <c r="W232" s="4">
        <f>((ABS(Games[[#This Row],[MOV]])+5)^0.6)/(12+0.01*(ABS(Games[[#This Row],[PreGmRate]]-Games[[#This Row],[OppPreGmRate]])))*IF(Games[[#This Row],[OT]]=1,0.9,1)</f>
        <v>0.26662449700622209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2" s="9">
        <f>MAX(kmin, kmax - 0.15 * MIN(Games[[#This Row],[GamesPlayed]], 82))</f>
        <v>73.150000000000006</v>
      </c>
      <c r="Z232" s="4">
        <f>Games[[#This Row],[K]]*Games[[#This Row],[POMult]]</f>
        <v>73.150000000000006</v>
      </c>
      <c r="AA232" s="4">
        <f>(Games[[#This Row],[Keff]]*Games[[#This Row],[MOVMult]])*(Games[[#This Row],[Result]]-Games[[#This Row],[ExpectedWin%]])</f>
        <v>12.209123513548569</v>
      </c>
      <c r="AB232" s="4">
        <f>Games[[#This Row],[PreGmRate]]+Games[[#This Row],[RatingChange]]</f>
        <v>1426.2834064682943</v>
      </c>
      <c r="AC232" s="2">
        <f>IF(Games[[#This Row],[Type]]="R",IF(Games[[#This Row],[Result]]&gt;0.5,1,0),0)</f>
        <v>1</v>
      </c>
      <c r="AD232" s="2">
        <f>IF(Games[[#This Row],[Type]]="R",IF(Games[[#This Row],[Result]]&lt;0.5,1,0),0)</f>
        <v>0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42218</v>
      </c>
      <c r="B233" s="2">
        <v>2015</v>
      </c>
      <c r="C233" s="2">
        <f>COUNTIFS(Games[Team],Games[[#This Row],[Team]],Games[Season],Games[[#This Row],[Season]],Games[Date],"&lt;=" &amp; Games[[#This Row],[Date]])</f>
        <v>20</v>
      </c>
      <c r="D233" s="2" t="s">
        <v>83</v>
      </c>
      <c r="E233" s="2" t="s">
        <v>84</v>
      </c>
      <c r="F233" s="1" t="s">
        <v>74</v>
      </c>
      <c r="G233" s="1" t="s">
        <v>63</v>
      </c>
      <c r="H233" s="1" t="s">
        <v>86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3" s="2">
        <f>Games[[#This Row],[DaysOff]]-Games[[#This Row],[OppDaysOff]]</f>
        <v>0</v>
      </c>
      <c r="L233" s="2">
        <f>Games[[#This Row],[OppDaysOff]]-Games[[#This Row],[DaysOff]]</f>
        <v>0</v>
      </c>
      <c r="M233" s="1">
        <f>MAX(-16, MIN(16, Games[[#This Row],[RestDiff]]*8))</f>
        <v>0</v>
      </c>
      <c r="N233" s="1">
        <f>MAX(-16, MIN(16, Games[[#This Row],[OppRestDiff]]*8))</f>
        <v>0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1419.5508561148752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1414.0742829547457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0.6259939092772332</v>
      </c>
      <c r="R233" s="1">
        <v>78</v>
      </c>
      <c r="S233" s="1">
        <v>80</v>
      </c>
      <c r="T233" s="1">
        <v>0</v>
      </c>
      <c r="U233" s="1">
        <f>Games[[#This Row],[PointsFor]]-Games[[#This Row],[PointsAgainst]]</f>
        <v>-2</v>
      </c>
      <c r="V233" s="1">
        <f>IF(Games[[#This Row],[MOV]]&gt;0,1,IF(Games[[#This Row],[MOV]]=0,0.5,0))</f>
        <v>0</v>
      </c>
      <c r="W233" s="4">
        <f>((ABS(Games[[#This Row],[MOV]])+5)^0.6)/(12+0.01*(ABS(Games[[#This Row],[PreGmRate]]-Games[[#This Row],[OppPreGmRate]])))*IF(Games[[#This Row],[OT]]=1,0.9,1)</f>
        <v>0.26662449700622209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3" s="9">
        <f>MAX(kmin, kmax - 0.15 * MIN(Games[[#This Row],[GamesPlayed]], 82))</f>
        <v>73</v>
      </c>
      <c r="Z233" s="4">
        <f>Games[[#This Row],[K]]*Games[[#This Row],[POMult]]</f>
        <v>73</v>
      </c>
      <c r="AA233" s="4">
        <f>(Games[[#This Row],[Keff]]*Games[[#This Row],[MOVMult]])*(Games[[#This Row],[Result]]-Games[[#This Row],[ExpectedWin%]])</f>
        <v>-12.184087716870069</v>
      </c>
      <c r="AB233" s="4">
        <f>Games[[#This Row],[PreGmRate]]+Games[[#This Row],[RatingChange]]</f>
        <v>1407.366768398005</v>
      </c>
      <c r="AC233" s="2">
        <f>IF(Games[[#This Row],[Type]]="R",IF(Games[[#This Row],[Result]]&gt;0.5,1,0),0)</f>
        <v>0</v>
      </c>
      <c r="AD233" s="2">
        <f>IF(Games[[#This Row],[Type]]="R",IF(Games[[#This Row],[Result]]&lt;0.5,1,0),0)</f>
        <v>1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42220</v>
      </c>
      <c r="B234" s="2">
        <v>2015</v>
      </c>
      <c r="C234" s="2">
        <f>COUNTIFS(Games[Team],Games[[#This Row],[Team]],Games[Season],Games[[#This Row],[Season]],Games[Date],"&lt;=" &amp; Games[[#This Row],[Date]])</f>
        <v>20</v>
      </c>
      <c r="D234" s="2" t="s">
        <v>83</v>
      </c>
      <c r="E234" s="2" t="s">
        <v>84</v>
      </c>
      <c r="F234" s="1" t="s">
        <v>69</v>
      </c>
      <c r="G234" s="1" t="s">
        <v>77</v>
      </c>
      <c r="H234" s="1" t="s">
        <v>85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4" s="2">
        <f>Games[[#This Row],[DaysOff]]-Games[[#This Row],[OppDaysOff]]</f>
        <v>0</v>
      </c>
      <c r="L234" s="2">
        <f>Games[[#This Row],[OppDaysOff]]-Games[[#This Row],[DaysOff]]</f>
        <v>0</v>
      </c>
      <c r="M234" s="1">
        <f>MAX(-16, MIN(16, Games[[#This Row],[RestDiff]]*8))</f>
        <v>0</v>
      </c>
      <c r="N234" s="1">
        <f>MAX(-16, MIN(16, Games[[#This Row],[OppRestDiff]]*8))</f>
        <v>0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1516.6098286844406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1545.409547064362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0.34314112781665035</v>
      </c>
      <c r="R234" s="1">
        <v>82</v>
      </c>
      <c r="S234" s="1">
        <v>106</v>
      </c>
      <c r="T234" s="1">
        <v>0</v>
      </c>
      <c r="U234" s="1">
        <f>Games[[#This Row],[PointsFor]]-Games[[#This Row],[PointsAgainst]]</f>
        <v>-24</v>
      </c>
      <c r="V234" s="1">
        <f>IF(Games[[#This Row],[MOV]]&gt;0,1,IF(Games[[#This Row],[MOV]]=0,0.5,0))</f>
        <v>0</v>
      </c>
      <c r="W234" s="4">
        <f>((ABS(Games[[#This Row],[MOV]])+5)^0.6)/(12+0.01*(ABS(Games[[#This Row],[PreGmRate]]-Games[[#This Row],[OppPreGmRate]])))*IF(Games[[#This Row],[OT]]=1,0.9,1)</f>
        <v>0.61370222181692058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4" s="9">
        <f>MAX(kmin, kmax - 0.15 * MIN(Games[[#This Row],[GamesPlayed]], 82))</f>
        <v>73</v>
      </c>
      <c r="Z234" s="4">
        <f>Games[[#This Row],[K]]*Games[[#This Row],[POMult]]</f>
        <v>73</v>
      </c>
      <c r="AA234" s="4">
        <f>(Games[[#This Row],[Keff]]*Games[[#This Row],[MOVMult]])*(Games[[#This Row],[Result]]-Games[[#This Row],[ExpectedWin%]])</f>
        <v>-15.372812495262485</v>
      </c>
      <c r="AB234" s="4">
        <f>Games[[#This Row],[PreGmRate]]+Games[[#This Row],[RatingChange]]</f>
        <v>1501.2370161891781</v>
      </c>
      <c r="AC234" s="2">
        <f>IF(Games[[#This Row],[Type]]="R",IF(Games[[#This Row],[Result]]&gt;0.5,1,0),0)</f>
        <v>0</v>
      </c>
      <c r="AD234" s="2">
        <f>IF(Games[[#This Row],[Type]]="R",IF(Games[[#This Row],[Result]]&lt;0.5,1,0),0)</f>
        <v>1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42220</v>
      </c>
      <c r="B235" s="2">
        <v>2015</v>
      </c>
      <c r="C235" s="2">
        <f>COUNTIFS(Games[Team],Games[[#This Row],[Team]],Games[Season],Games[[#This Row],[Season]],Games[Date],"&lt;=" &amp; Games[[#This Row],[Date]])</f>
        <v>21</v>
      </c>
      <c r="D235" s="2" t="s">
        <v>83</v>
      </c>
      <c r="E235" s="2" t="s">
        <v>84</v>
      </c>
      <c r="F235" s="1" t="s">
        <v>77</v>
      </c>
      <c r="G235" s="1" t="s">
        <v>69</v>
      </c>
      <c r="H235" s="1" t="s">
        <v>86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5" s="2">
        <f>Games[[#This Row],[DaysOff]]-Games[[#This Row],[OppDaysOff]]</f>
        <v>0</v>
      </c>
      <c r="L235" s="2">
        <f>Games[[#This Row],[OppDaysOff]]-Games[[#This Row],[DaysOff]]</f>
        <v>0</v>
      </c>
      <c r="M235" s="1">
        <f>MAX(-16, MIN(16, Games[[#This Row],[RestDiff]]*8))</f>
        <v>0</v>
      </c>
      <c r="N235" s="1">
        <f>MAX(-16, MIN(16, Games[[#This Row],[OppRestDiff]]*8))</f>
        <v>0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1545.409547064362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1516.6098286844406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0.65685887218334971</v>
      </c>
      <c r="R235" s="1">
        <v>106</v>
      </c>
      <c r="S235" s="1">
        <v>82</v>
      </c>
      <c r="T235" s="1">
        <v>0</v>
      </c>
      <c r="U235" s="1">
        <f>Games[[#This Row],[PointsFor]]-Games[[#This Row],[PointsAgainst]]</f>
        <v>24</v>
      </c>
      <c r="V235" s="1">
        <f>IF(Games[[#This Row],[MOV]]&gt;0,1,IF(Games[[#This Row],[MOV]]=0,0.5,0))</f>
        <v>1</v>
      </c>
      <c r="W235" s="4">
        <f>((ABS(Games[[#This Row],[MOV]])+5)^0.6)/(12+0.01*(ABS(Games[[#This Row],[PreGmRate]]-Games[[#This Row],[OppPreGmRate]])))*IF(Games[[#This Row],[OT]]=1,0.9,1)</f>
        <v>0.61370222181692058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5" s="9">
        <f>MAX(kmin, kmax - 0.15 * MIN(Games[[#This Row],[GamesPlayed]], 82))</f>
        <v>72.849999999999994</v>
      </c>
      <c r="Z235" s="4">
        <f>Games[[#This Row],[K]]*Games[[#This Row],[POMult]]</f>
        <v>72.849999999999994</v>
      </c>
      <c r="AA235" s="4">
        <f>(Games[[#This Row],[Keff]]*Games[[#This Row],[MOVMult]])*(Games[[#This Row],[Result]]-Games[[#This Row],[ExpectedWin%]])</f>
        <v>15.341224524381804</v>
      </c>
      <c r="AB235" s="4">
        <f>Games[[#This Row],[PreGmRate]]+Games[[#This Row],[RatingChange]]</f>
        <v>1560.7507715887439</v>
      </c>
      <c r="AC235" s="2">
        <f>IF(Games[[#This Row],[Type]]="R",IF(Games[[#This Row],[Result]]&gt;0.5,1,0),0)</f>
        <v>1</v>
      </c>
      <c r="AD235" s="2">
        <f>IF(Games[[#This Row],[Type]]="R",IF(Games[[#This Row],[Result]]&lt;0.5,1,0),0)</f>
        <v>0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42220</v>
      </c>
      <c r="B236" s="2">
        <v>2015</v>
      </c>
      <c r="C236" s="2">
        <f>COUNTIFS(Games[Team],Games[[#This Row],[Team]],Games[Season],Games[[#This Row],[Season]],Games[Date],"&lt;=" &amp; Games[[#This Row],[Date]])</f>
        <v>21</v>
      </c>
      <c r="D236" s="2" t="s">
        <v>83</v>
      </c>
      <c r="E236" s="2" t="s">
        <v>84</v>
      </c>
      <c r="F236" s="1" t="s">
        <v>74</v>
      </c>
      <c r="G236" s="1" t="s">
        <v>76</v>
      </c>
      <c r="H236" s="1" t="s">
        <v>85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6" s="2">
        <f>Games[[#This Row],[DaysOff]]-Games[[#This Row],[OppDaysOff]]</f>
        <v>0</v>
      </c>
      <c r="L236" s="2">
        <f>Games[[#This Row],[OppDaysOff]]-Games[[#This Row],[DaysOff]]</f>
        <v>0</v>
      </c>
      <c r="M236" s="1">
        <f>MAX(-16, MIN(16, Games[[#This Row],[RestDiff]]*8))</f>
        <v>0</v>
      </c>
      <c r="N236" s="1">
        <f>MAX(-16, MIN(16, Games[[#This Row],[OppRestDiff]]*8))</f>
        <v>0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1407.366768398005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1466.6829958337671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0.30470449117726406</v>
      </c>
      <c r="R236" s="1">
        <v>51</v>
      </c>
      <c r="S236" s="1">
        <v>82</v>
      </c>
      <c r="T236" s="1">
        <v>0</v>
      </c>
      <c r="U236" s="1">
        <f>Games[[#This Row],[PointsFor]]-Games[[#This Row],[PointsAgainst]]</f>
        <v>-31</v>
      </c>
      <c r="V236" s="1">
        <f>IF(Games[[#This Row],[MOV]]&gt;0,1,IF(Games[[#This Row],[MOV]]=0,0.5,0))</f>
        <v>0</v>
      </c>
      <c r="W236" s="4">
        <f>((ABS(Games[[#This Row],[MOV]])+5)^0.6)/(12+0.01*(ABS(Games[[#This Row],[PreGmRate]]-Games[[#This Row],[OppPreGmRate]])))*IF(Games[[#This Row],[OT]]=1,0.9,1)</f>
        <v>0.6817838363056824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6" s="9">
        <f>MAX(kmin, kmax - 0.15 * MIN(Games[[#This Row],[GamesPlayed]], 82))</f>
        <v>72.849999999999994</v>
      </c>
      <c r="Z236" s="4">
        <f>Games[[#This Row],[K]]*Games[[#This Row],[POMult]]</f>
        <v>72.849999999999994</v>
      </c>
      <c r="AA236" s="4">
        <f>(Games[[#This Row],[Keff]]*Games[[#This Row],[MOVMult]])*(Games[[#This Row],[Result]]-Games[[#This Row],[ExpectedWin%]])</f>
        <v>-15.13404818667148</v>
      </c>
      <c r="AB236" s="4">
        <f>Games[[#This Row],[PreGmRate]]+Games[[#This Row],[RatingChange]]</f>
        <v>1392.2327202113336</v>
      </c>
      <c r="AC236" s="2">
        <f>IF(Games[[#This Row],[Type]]="R",IF(Games[[#This Row],[Result]]&gt;0.5,1,0),0)</f>
        <v>0</v>
      </c>
      <c r="AD236" s="2">
        <f>IF(Games[[#This Row],[Type]]="R",IF(Games[[#This Row],[Result]]&lt;0.5,1,0),0)</f>
        <v>1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42220</v>
      </c>
      <c r="B237" s="2">
        <v>2015</v>
      </c>
      <c r="C237" s="2">
        <f>COUNTIFS(Games[Team],Games[[#This Row],[Team]],Games[Season],Games[[#This Row],[Season]],Games[Date],"&lt;=" &amp; Games[[#This Row],[Date]])</f>
        <v>19</v>
      </c>
      <c r="D237" s="2" t="s">
        <v>83</v>
      </c>
      <c r="E237" s="2" t="s">
        <v>84</v>
      </c>
      <c r="F237" s="1" t="s">
        <v>76</v>
      </c>
      <c r="G237" s="1" t="s">
        <v>74</v>
      </c>
      <c r="H237" s="1" t="s">
        <v>86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7" s="2">
        <f>Games[[#This Row],[DaysOff]]-Games[[#This Row],[OppDaysOff]]</f>
        <v>0</v>
      </c>
      <c r="L237" s="2">
        <f>Games[[#This Row],[OppDaysOff]]-Games[[#This Row],[DaysOff]]</f>
        <v>0</v>
      </c>
      <c r="M237" s="1">
        <f>MAX(-16, MIN(16, Games[[#This Row],[RestDiff]]*8))</f>
        <v>0</v>
      </c>
      <c r="N237" s="1">
        <f>MAX(-16, MIN(16, Games[[#This Row],[OppRestDiff]]*8))</f>
        <v>0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1466.6829958337671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1407.366768398005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0.69529550882273594</v>
      </c>
      <c r="R237" s="1">
        <v>82</v>
      </c>
      <c r="S237" s="1">
        <v>51</v>
      </c>
      <c r="T237" s="1">
        <v>0</v>
      </c>
      <c r="U237" s="1">
        <f>Games[[#This Row],[PointsFor]]-Games[[#This Row],[PointsAgainst]]</f>
        <v>31</v>
      </c>
      <c r="V237" s="1">
        <f>IF(Games[[#This Row],[MOV]]&gt;0,1,IF(Games[[#This Row],[MOV]]=0,0.5,0))</f>
        <v>1</v>
      </c>
      <c r="W237" s="4">
        <f>((ABS(Games[[#This Row],[MOV]])+5)^0.6)/(12+0.01*(ABS(Games[[#This Row],[PreGmRate]]-Games[[#This Row],[OppPreGmRate]])))*IF(Games[[#This Row],[OT]]=1,0.9,1)</f>
        <v>0.6817838363056824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7" s="9">
        <f>MAX(kmin, kmax - 0.15 * MIN(Games[[#This Row],[GamesPlayed]], 82))</f>
        <v>73.150000000000006</v>
      </c>
      <c r="Z237" s="4">
        <f>Games[[#This Row],[K]]*Games[[#This Row],[POMult]]</f>
        <v>73.150000000000006</v>
      </c>
      <c r="AA237" s="4">
        <f>(Games[[#This Row],[Keff]]*Games[[#This Row],[MOVMult]])*(Games[[#This Row],[Result]]-Games[[#This Row],[ExpectedWin%]])</f>
        <v>15.196370965751802</v>
      </c>
      <c r="AB237" s="4">
        <f>Games[[#This Row],[PreGmRate]]+Games[[#This Row],[RatingChange]]</f>
        <v>1481.8793667995189</v>
      </c>
      <c r="AC237" s="2">
        <f>IF(Games[[#This Row],[Type]]="R",IF(Games[[#This Row],[Result]]&gt;0.5,1,0),0)</f>
        <v>1</v>
      </c>
      <c r="AD237" s="2">
        <f>IF(Games[[#This Row],[Type]]="R",IF(Games[[#This Row],[Result]]&lt;0.5,1,0),0)</f>
        <v>0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42220</v>
      </c>
      <c r="B238" s="2">
        <v>2015</v>
      </c>
      <c r="C238" s="2">
        <f>COUNTIFS(Games[Team],Games[[#This Row],[Team]],Games[Season],Games[[#This Row],[Season]],Games[Date],"&lt;=" &amp; Games[[#This Row],[Date]])</f>
        <v>20</v>
      </c>
      <c r="D238" s="2" t="s">
        <v>83</v>
      </c>
      <c r="E238" s="2" t="s">
        <v>84</v>
      </c>
      <c r="F238" s="1" t="s">
        <v>67</v>
      </c>
      <c r="G238" s="1" t="s">
        <v>63</v>
      </c>
      <c r="H238" s="1" t="s">
        <v>85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8" s="2">
        <f>Games[[#This Row],[DaysOff]]-Games[[#This Row],[OppDaysOff]]</f>
        <v>1</v>
      </c>
      <c r="L238" s="2">
        <f>Games[[#This Row],[OppDaysOff]]-Games[[#This Row],[DaysOff]]</f>
        <v>-1</v>
      </c>
      <c r="M238" s="1">
        <f>MAX(-16, MIN(16, Games[[#This Row],[RestDiff]]*8))</f>
        <v>8</v>
      </c>
      <c r="N238" s="1">
        <f>MAX(-16, MIN(16, Games[[#This Row],[OppRestDiff]]*8))</f>
        <v>-8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1655.299546767603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1426.2834064682943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0.71644256960142649</v>
      </c>
      <c r="R238" s="1">
        <v>61</v>
      </c>
      <c r="S238" s="1">
        <v>83</v>
      </c>
      <c r="T238" s="1">
        <v>0</v>
      </c>
      <c r="U238" s="1">
        <f>Games[[#This Row],[PointsFor]]-Games[[#This Row],[PointsAgainst]]</f>
        <v>-22</v>
      </c>
      <c r="V238" s="1">
        <f>IF(Games[[#This Row],[MOV]]&gt;0,1,IF(Games[[#This Row],[MOV]]=0,0.5,0))</f>
        <v>0</v>
      </c>
      <c r="W238" s="4">
        <f>((ABS(Games[[#This Row],[MOV]])+5)^0.6)/(12+0.01*(ABS(Games[[#This Row],[PreGmRate]]-Games[[#This Row],[OppPreGmRate]])))*IF(Games[[#This Row],[OT]]=1,0.9,1)</f>
        <v>0.50556980093512882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8" s="9">
        <f>MAX(kmin, kmax - 0.15 * MIN(Games[[#This Row],[GamesPlayed]], 82))</f>
        <v>73</v>
      </c>
      <c r="Z238" s="4">
        <f>Games[[#This Row],[K]]*Games[[#This Row],[POMult]]</f>
        <v>73</v>
      </c>
      <c r="AA238" s="4">
        <f>(Games[[#This Row],[Keff]]*Games[[#This Row],[MOVMult]])*(Games[[#This Row],[Result]]-Games[[#This Row],[ExpectedWin%]])</f>
        <v>-26.441456092523712</v>
      </c>
      <c r="AB238" s="4">
        <f>Games[[#This Row],[PreGmRate]]+Games[[#This Row],[RatingChange]]</f>
        <v>1628.8580906750792</v>
      </c>
      <c r="AC238" s="2">
        <f>IF(Games[[#This Row],[Type]]="R",IF(Games[[#This Row],[Result]]&gt;0.5,1,0),0)</f>
        <v>0</v>
      </c>
      <c r="AD238" s="2">
        <f>IF(Games[[#This Row],[Type]]="R",IF(Games[[#This Row],[Result]]&lt;0.5,1,0),0)</f>
        <v>1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42220</v>
      </c>
      <c r="B239" s="2">
        <v>2015</v>
      </c>
      <c r="C239" s="2">
        <f>COUNTIFS(Games[Team],Games[[#This Row],[Team]],Games[Season],Games[[#This Row],[Season]],Games[Date],"&lt;=" &amp; Games[[#This Row],[Date]])</f>
        <v>20</v>
      </c>
      <c r="D239" s="2" t="s">
        <v>83</v>
      </c>
      <c r="E239" s="2" t="s">
        <v>84</v>
      </c>
      <c r="F239" s="1" t="s">
        <v>63</v>
      </c>
      <c r="G239" s="1" t="s">
        <v>67</v>
      </c>
      <c r="H239" s="1" t="s">
        <v>86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9" s="2">
        <f>Games[[#This Row],[DaysOff]]-Games[[#This Row],[OppDaysOff]]</f>
        <v>-1</v>
      </c>
      <c r="L239" s="2">
        <f>Games[[#This Row],[OppDaysOff]]-Games[[#This Row],[DaysOff]]</f>
        <v>1</v>
      </c>
      <c r="M239" s="1">
        <f>MAX(-16, MIN(16, Games[[#This Row],[RestDiff]]*8))</f>
        <v>-8</v>
      </c>
      <c r="N239" s="1">
        <f>MAX(-16, MIN(16, Games[[#This Row],[OppRestDiff]]*8))</f>
        <v>8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1426.2834064682943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1655.299546767603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0.28355743039857345</v>
      </c>
      <c r="R239" s="1">
        <v>83</v>
      </c>
      <c r="S239" s="1">
        <v>61</v>
      </c>
      <c r="T239" s="1">
        <v>0</v>
      </c>
      <c r="U239" s="1">
        <f>Games[[#This Row],[PointsFor]]-Games[[#This Row],[PointsAgainst]]</f>
        <v>22</v>
      </c>
      <c r="V239" s="1">
        <f>IF(Games[[#This Row],[MOV]]&gt;0,1,IF(Games[[#This Row],[MOV]]=0,0.5,0))</f>
        <v>1</v>
      </c>
      <c r="W239" s="4">
        <f>((ABS(Games[[#This Row],[MOV]])+5)^0.6)/(12+0.01*(ABS(Games[[#This Row],[PreGmRate]]-Games[[#This Row],[OppPreGmRate]])))*IF(Games[[#This Row],[OT]]=1,0.9,1)</f>
        <v>0.50556980093512882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9" s="9">
        <f>MAX(kmin, kmax - 0.15 * MIN(Games[[#This Row],[GamesPlayed]], 82))</f>
        <v>73</v>
      </c>
      <c r="Z239" s="4">
        <f>Games[[#This Row],[K]]*Games[[#This Row],[POMult]]</f>
        <v>73</v>
      </c>
      <c r="AA239" s="4">
        <f>(Games[[#This Row],[Keff]]*Games[[#This Row],[MOVMult]])*(Games[[#This Row],[Result]]-Games[[#This Row],[ExpectedWin%]])</f>
        <v>26.441456092523712</v>
      </c>
      <c r="AB239" s="4">
        <f>Games[[#This Row],[PreGmRate]]+Games[[#This Row],[RatingChange]]</f>
        <v>1452.7248625608181</v>
      </c>
      <c r="AC239" s="2">
        <f>IF(Games[[#This Row],[Type]]="R",IF(Games[[#This Row],[Result]]&gt;0.5,1,0),0)</f>
        <v>1</v>
      </c>
      <c r="AD239" s="2">
        <f>IF(Games[[#This Row],[Type]]="R",IF(Games[[#This Row],[Result]]&lt;0.5,1,0),0)</f>
        <v>0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42220</v>
      </c>
      <c r="B240" s="2">
        <v>2015</v>
      </c>
      <c r="C240" s="2">
        <f>COUNTIFS(Games[Team],Games[[#This Row],[Team]],Games[Season],Games[[#This Row],[Season]],Games[Date],"&lt;=" &amp; Games[[#This Row],[Date]])</f>
        <v>21</v>
      </c>
      <c r="D240" s="2" t="s">
        <v>83</v>
      </c>
      <c r="E240" s="2" t="s">
        <v>84</v>
      </c>
      <c r="F240" s="1" t="s">
        <v>81</v>
      </c>
      <c r="G240" s="1" t="s">
        <v>40</v>
      </c>
      <c r="H240" s="1" t="s">
        <v>85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0" s="2">
        <f>Games[[#This Row],[DaysOff]]-Games[[#This Row],[OppDaysOff]]</f>
        <v>1</v>
      </c>
      <c r="L240" s="2">
        <f>Games[[#This Row],[OppDaysOff]]-Games[[#This Row],[DaysOff]]</f>
        <v>-1</v>
      </c>
      <c r="M240" s="1">
        <f>MAX(-16, MIN(16, Games[[#This Row],[RestDiff]]*8))</f>
        <v>8</v>
      </c>
      <c r="N240" s="1">
        <f>MAX(-16, MIN(16, Games[[#This Row],[OppRestDiff]]*8))</f>
        <v>-8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1469.3063120130939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1628.3933501144634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0.21295273370191303</v>
      </c>
      <c r="R240" s="1">
        <v>84</v>
      </c>
      <c r="S240" s="1">
        <v>87</v>
      </c>
      <c r="T240" s="1">
        <v>1</v>
      </c>
      <c r="U240" s="1">
        <f>Games[[#This Row],[PointsFor]]-Games[[#This Row],[PointsAgainst]]</f>
        <v>-3</v>
      </c>
      <c r="V240" s="1">
        <f>IF(Games[[#This Row],[MOV]]&gt;0,1,IF(Games[[#This Row],[MOV]]=0,0.5,0))</f>
        <v>0</v>
      </c>
      <c r="W240" s="4">
        <f>((ABS(Games[[#This Row],[MOV]])+5)^0.6)/(12+0.01*(ABS(Games[[#This Row],[PreGmRate]]-Games[[#This Row],[OppPreGmRate]])))*IF(Games[[#This Row],[OT]]=1,0.9,1)</f>
        <v>0.23059465214561883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0" s="9">
        <f>MAX(kmin, kmax - 0.15 * MIN(Games[[#This Row],[GamesPlayed]], 82))</f>
        <v>72.849999999999994</v>
      </c>
      <c r="Z240" s="4">
        <f>Games[[#This Row],[K]]*Games[[#This Row],[POMult]]</f>
        <v>72.849999999999994</v>
      </c>
      <c r="AA240" s="4">
        <f>(Games[[#This Row],[Keff]]*Games[[#This Row],[MOVMult]])*(Games[[#This Row],[Result]]-Games[[#This Row],[ExpectedWin%]])</f>
        <v>-3.5773547290232224</v>
      </c>
      <c r="AB240" s="4">
        <f>Games[[#This Row],[PreGmRate]]+Games[[#This Row],[RatingChange]]</f>
        <v>1465.7289572840707</v>
      </c>
      <c r="AC240" s="2">
        <f>IF(Games[[#This Row],[Type]]="R",IF(Games[[#This Row],[Result]]&gt;0.5,1,0),0)</f>
        <v>0</v>
      </c>
      <c r="AD240" s="2">
        <f>IF(Games[[#This Row],[Type]]="R",IF(Games[[#This Row],[Result]]&lt;0.5,1,0),0)</f>
        <v>1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42220</v>
      </c>
      <c r="B241" s="2">
        <v>2015</v>
      </c>
      <c r="C241" s="2">
        <f>COUNTIFS(Games[Team],Games[[#This Row],[Team]],Games[Season],Games[[#This Row],[Season]],Games[Date],"&lt;=" &amp; Games[[#This Row],[Date]])</f>
        <v>20</v>
      </c>
      <c r="D241" s="2" t="s">
        <v>83</v>
      </c>
      <c r="E241" s="2" t="s">
        <v>84</v>
      </c>
      <c r="F241" s="1" t="s">
        <v>40</v>
      </c>
      <c r="G241" s="1" t="s">
        <v>81</v>
      </c>
      <c r="H241" s="1" t="s">
        <v>86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1" s="2">
        <f>Games[[#This Row],[DaysOff]]-Games[[#This Row],[OppDaysOff]]</f>
        <v>-1</v>
      </c>
      <c r="L241" s="2">
        <f>Games[[#This Row],[OppDaysOff]]-Games[[#This Row],[DaysOff]]</f>
        <v>1</v>
      </c>
      <c r="M241" s="1">
        <f>MAX(-16, MIN(16, Games[[#This Row],[RestDiff]]*8))</f>
        <v>-8</v>
      </c>
      <c r="N241" s="1">
        <f>MAX(-16, MIN(16, Games[[#This Row],[OppRestDiff]]*8))</f>
        <v>8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1628.3933501144634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1469.3063120130939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0.78704726629808686</v>
      </c>
      <c r="R241" s="1">
        <v>87</v>
      </c>
      <c r="S241" s="1">
        <v>84</v>
      </c>
      <c r="T241" s="1">
        <v>1</v>
      </c>
      <c r="U241" s="1">
        <f>Games[[#This Row],[PointsFor]]-Games[[#This Row],[PointsAgainst]]</f>
        <v>3</v>
      </c>
      <c r="V241" s="1">
        <f>IF(Games[[#This Row],[MOV]]&gt;0,1,IF(Games[[#This Row],[MOV]]=0,0.5,0))</f>
        <v>1</v>
      </c>
      <c r="W241" s="4">
        <f>((ABS(Games[[#This Row],[MOV]])+5)^0.6)/(12+0.01*(ABS(Games[[#This Row],[PreGmRate]]-Games[[#This Row],[OppPreGmRate]])))*IF(Games[[#This Row],[OT]]=1,0.9,1)</f>
        <v>0.23059465214561883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1" s="9">
        <f>MAX(kmin, kmax - 0.15 * MIN(Games[[#This Row],[GamesPlayed]], 82))</f>
        <v>73</v>
      </c>
      <c r="Z241" s="4">
        <f>Games[[#This Row],[K]]*Games[[#This Row],[POMult]]</f>
        <v>73</v>
      </c>
      <c r="AA241" s="4">
        <f>(Games[[#This Row],[Keff]]*Games[[#This Row],[MOVMult]])*(Games[[#This Row],[Result]]-Games[[#This Row],[ExpectedWin%]])</f>
        <v>3.5847205932559416</v>
      </c>
      <c r="AB241" s="4">
        <f>Games[[#This Row],[PreGmRate]]+Games[[#This Row],[RatingChange]]</f>
        <v>1631.9780707077193</v>
      </c>
      <c r="AC241" s="2">
        <f>IF(Games[[#This Row],[Type]]="R",IF(Games[[#This Row],[Result]]&gt;0.5,1,0),0)</f>
        <v>1</v>
      </c>
      <c r="AD241" s="2">
        <f>IF(Games[[#This Row],[Type]]="R",IF(Games[[#This Row],[Result]]&lt;0.5,1,0),0)</f>
        <v>0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42221</v>
      </c>
      <c r="B242" s="2">
        <v>2015</v>
      </c>
      <c r="C242" s="2">
        <f>COUNTIFS(Games[Team],Games[[#This Row],[Team]],Games[Season],Games[[#This Row],[Season]],Games[Date],"&lt;=" &amp; Games[[#This Row],[Date]])</f>
        <v>22</v>
      </c>
      <c r="D242" s="2" t="s">
        <v>83</v>
      </c>
      <c r="E242" s="2" t="s">
        <v>84</v>
      </c>
      <c r="F242" s="1" t="s">
        <v>74</v>
      </c>
      <c r="G242" s="1" t="s">
        <v>65</v>
      </c>
      <c r="H242" s="1" t="s">
        <v>85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2" s="2">
        <f>Games[[#This Row],[DaysOff]]-Games[[#This Row],[OppDaysOff]]</f>
        <v>-2</v>
      </c>
      <c r="L242" s="2">
        <f>Games[[#This Row],[OppDaysOff]]-Games[[#This Row],[DaysOff]]</f>
        <v>2</v>
      </c>
      <c r="M242" s="1">
        <f>MAX(-16, MIN(16, Games[[#This Row],[RestDiff]]*8))</f>
        <v>-16</v>
      </c>
      <c r="N242" s="1">
        <f>MAX(-16, MIN(16, Games[[#This Row],[OppRestDiff]]*8))</f>
        <v>16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1392.2327202113336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1548.3926052977245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0.1726904512156828</v>
      </c>
      <c r="R242" s="1">
        <v>63</v>
      </c>
      <c r="S242" s="1">
        <v>66</v>
      </c>
      <c r="T242" s="1">
        <v>0</v>
      </c>
      <c r="U242" s="1">
        <f>Games[[#This Row],[PointsFor]]-Games[[#This Row],[PointsAgainst]]</f>
        <v>-3</v>
      </c>
      <c r="V242" s="1">
        <f>IF(Games[[#This Row],[MOV]]&gt;0,1,IF(Games[[#This Row],[MOV]]=0,0.5,0))</f>
        <v>0</v>
      </c>
      <c r="W242" s="4">
        <f>((ABS(Games[[#This Row],[MOV]])+5)^0.6)/(12+0.01*(ABS(Games[[#This Row],[PreGmRate]]-Games[[#This Row],[OppPreGmRate]])))*IF(Games[[#This Row],[OT]]=1,0.9,1)</f>
        <v>0.25676930069072729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2" s="9">
        <f>MAX(kmin, kmax - 0.15 * MIN(Games[[#This Row],[GamesPlayed]], 82))</f>
        <v>72.7</v>
      </c>
      <c r="Z242" s="4">
        <f>Games[[#This Row],[K]]*Games[[#This Row],[POMult]]</f>
        <v>72.7</v>
      </c>
      <c r="AA242" s="4">
        <f>(Games[[#This Row],[Keff]]*Games[[#This Row],[MOVMult]])*(Games[[#This Row],[Result]]-Games[[#This Row],[ExpectedWin%]])</f>
        <v>-3.2236347848886582</v>
      </c>
      <c r="AB242" s="4">
        <f>Games[[#This Row],[PreGmRate]]+Games[[#This Row],[RatingChange]]</f>
        <v>1389.0090854264449</v>
      </c>
      <c r="AC242" s="2">
        <f>IF(Games[[#This Row],[Type]]="R",IF(Games[[#This Row],[Result]]&gt;0.5,1,0),0)</f>
        <v>0</v>
      </c>
      <c r="AD242" s="2">
        <f>IF(Games[[#This Row],[Type]]="R",IF(Games[[#This Row],[Result]]&lt;0.5,1,0),0)</f>
        <v>1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42221</v>
      </c>
      <c r="B243" s="2">
        <v>2015</v>
      </c>
      <c r="C243" s="2">
        <f>COUNTIFS(Games[Team],Games[[#This Row],[Team]],Games[Season],Games[[#This Row],[Season]],Games[Date],"&lt;=" &amp; Games[[#This Row],[Date]])</f>
        <v>19</v>
      </c>
      <c r="D243" s="2" t="s">
        <v>83</v>
      </c>
      <c r="E243" s="2" t="s">
        <v>84</v>
      </c>
      <c r="F243" s="1" t="s">
        <v>65</v>
      </c>
      <c r="G243" s="1" t="s">
        <v>74</v>
      </c>
      <c r="H243" s="1" t="s">
        <v>86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43" s="2">
        <f>Games[[#This Row],[DaysOff]]-Games[[#This Row],[OppDaysOff]]</f>
        <v>2</v>
      </c>
      <c r="L243" s="2">
        <f>Games[[#This Row],[OppDaysOff]]-Games[[#This Row],[DaysOff]]</f>
        <v>-2</v>
      </c>
      <c r="M243" s="1">
        <f>MAX(-16, MIN(16, Games[[#This Row],[RestDiff]]*8))</f>
        <v>16</v>
      </c>
      <c r="N243" s="1">
        <f>MAX(-16, MIN(16, Games[[#This Row],[OppRestDiff]]*8))</f>
        <v>-16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1548.3926052977245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1392.2327202113336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0.82730954878431717</v>
      </c>
      <c r="R243" s="1">
        <v>66</v>
      </c>
      <c r="S243" s="1">
        <v>63</v>
      </c>
      <c r="T243" s="1">
        <v>0</v>
      </c>
      <c r="U243" s="1">
        <f>Games[[#This Row],[PointsFor]]-Games[[#This Row],[PointsAgainst]]</f>
        <v>3</v>
      </c>
      <c r="V243" s="1">
        <f>IF(Games[[#This Row],[MOV]]&gt;0,1,IF(Games[[#This Row],[MOV]]=0,0.5,0))</f>
        <v>1</v>
      </c>
      <c r="W243" s="4">
        <f>((ABS(Games[[#This Row],[MOV]])+5)^0.6)/(12+0.01*(ABS(Games[[#This Row],[PreGmRate]]-Games[[#This Row],[OppPreGmRate]])))*IF(Games[[#This Row],[OT]]=1,0.9,1)</f>
        <v>0.25676930069072729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3" s="9">
        <f>MAX(kmin, kmax - 0.15 * MIN(Games[[#This Row],[GamesPlayed]], 82))</f>
        <v>73.150000000000006</v>
      </c>
      <c r="Z243" s="4">
        <f>Games[[#This Row],[K]]*Games[[#This Row],[POMult]]</f>
        <v>73.150000000000006</v>
      </c>
      <c r="AA243" s="4">
        <f>(Games[[#This Row],[Keff]]*Games[[#This Row],[MOVMult]])*(Games[[#This Row],[Result]]-Games[[#This Row],[ExpectedWin%]])</f>
        <v>3.2435885077662365</v>
      </c>
      <c r="AB243" s="4">
        <f>Games[[#This Row],[PreGmRate]]+Games[[#This Row],[RatingChange]]</f>
        <v>1551.6361938054906</v>
      </c>
      <c r="AC243" s="2">
        <f>IF(Games[[#This Row],[Type]]="R",IF(Games[[#This Row],[Result]]&gt;0.5,1,0),0)</f>
        <v>1</v>
      </c>
      <c r="AD243" s="2">
        <f>IF(Games[[#This Row],[Type]]="R",IF(Games[[#This Row],[Result]]&lt;0.5,1,0),0)</f>
        <v>0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42222</v>
      </c>
      <c r="B244" s="2">
        <v>2015</v>
      </c>
      <c r="C244" s="2">
        <f>COUNTIFS(Games[Team],Games[[#This Row],[Team]],Games[Season],Games[[#This Row],[Season]],Games[Date],"&lt;=" &amp; Games[[#This Row],[Date]])</f>
        <v>22</v>
      </c>
      <c r="D244" s="2" t="s">
        <v>83</v>
      </c>
      <c r="E244" s="2" t="s">
        <v>84</v>
      </c>
      <c r="F244" s="1" t="s">
        <v>81</v>
      </c>
      <c r="G244" s="1" t="s">
        <v>63</v>
      </c>
      <c r="H244" s="1" t="s">
        <v>85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4" s="2">
        <f>Games[[#This Row],[DaysOff]]-Games[[#This Row],[OppDaysOff]]</f>
        <v>0</v>
      </c>
      <c r="L244" s="2">
        <f>Games[[#This Row],[OppDaysOff]]-Games[[#This Row],[DaysOff]]</f>
        <v>0</v>
      </c>
      <c r="M244" s="1">
        <f>MAX(-16, MIN(16, Games[[#This Row],[RestDiff]]*8))</f>
        <v>0</v>
      </c>
      <c r="N244" s="1">
        <f>MAX(-16, MIN(16, Games[[#This Row],[OppRestDiff]]*8))</f>
        <v>0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1465.7289572840707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1452.7248625608181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0.39922740750954894</v>
      </c>
      <c r="R244" s="1">
        <v>57</v>
      </c>
      <c r="S244" s="1">
        <v>84</v>
      </c>
      <c r="T244" s="1">
        <v>0</v>
      </c>
      <c r="U244" s="1">
        <f>Games[[#This Row],[PointsFor]]-Games[[#This Row],[PointsAgainst]]</f>
        <v>-27</v>
      </c>
      <c r="V244" s="1">
        <f>IF(Games[[#This Row],[MOV]]&gt;0,1,IF(Games[[#This Row],[MOV]]=0,0.5,0))</f>
        <v>0</v>
      </c>
      <c r="W244" s="4">
        <f>((ABS(Games[[#This Row],[MOV]])+5)^0.6)/(12+0.01*(ABS(Games[[#This Row],[PreGmRate]]-Games[[#This Row],[OppPreGmRate]])))*IF(Games[[#This Row],[OT]]=1,0.9,1)</f>
        <v>0.65951962032124889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4" s="9">
        <f>MAX(kmin, kmax - 0.15 * MIN(Games[[#This Row],[GamesPlayed]], 82))</f>
        <v>72.7</v>
      </c>
      <c r="Z244" s="4">
        <f>Games[[#This Row],[K]]*Games[[#This Row],[POMult]]</f>
        <v>72.7</v>
      </c>
      <c r="AA244" s="4">
        <f>(Games[[#This Row],[Keff]]*Games[[#This Row],[MOVMult]])*(Games[[#This Row],[Result]]-Games[[#This Row],[ExpectedWin%]])</f>
        <v>-19.141787007778241</v>
      </c>
      <c r="AB244" s="4">
        <f>Games[[#This Row],[PreGmRate]]+Games[[#This Row],[RatingChange]]</f>
        <v>1446.5871702762925</v>
      </c>
      <c r="AC244" s="2">
        <f>IF(Games[[#This Row],[Type]]="R",IF(Games[[#This Row],[Result]]&gt;0.5,1,0),0)</f>
        <v>0</v>
      </c>
      <c r="AD244" s="2">
        <f>IF(Games[[#This Row],[Type]]="R",IF(Games[[#This Row],[Result]]&lt;0.5,1,0),0)</f>
        <v>1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42222</v>
      </c>
      <c r="B245" s="2">
        <v>2015</v>
      </c>
      <c r="C245" s="2">
        <f>COUNTIFS(Games[Team],Games[[#This Row],[Team]],Games[Season],Games[[#This Row],[Season]],Games[Date],"&lt;=" &amp; Games[[#This Row],[Date]])</f>
        <v>21</v>
      </c>
      <c r="D245" s="2" t="s">
        <v>83</v>
      </c>
      <c r="E245" s="2" t="s">
        <v>84</v>
      </c>
      <c r="F245" s="1" t="s">
        <v>63</v>
      </c>
      <c r="G245" s="1" t="s">
        <v>81</v>
      </c>
      <c r="H245" s="1" t="s">
        <v>86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5" s="2">
        <f>Games[[#This Row],[DaysOff]]-Games[[#This Row],[OppDaysOff]]</f>
        <v>0</v>
      </c>
      <c r="L245" s="2">
        <f>Games[[#This Row],[OppDaysOff]]-Games[[#This Row],[DaysOff]]</f>
        <v>0</v>
      </c>
      <c r="M245" s="1">
        <f>MAX(-16, MIN(16, Games[[#This Row],[RestDiff]]*8))</f>
        <v>0</v>
      </c>
      <c r="N245" s="1">
        <f>MAX(-16, MIN(16, Games[[#This Row],[OppRestDiff]]*8))</f>
        <v>0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1452.7248625608181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1465.7289572840707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0.60077259249045112</v>
      </c>
      <c r="R245" s="1">
        <v>84</v>
      </c>
      <c r="S245" s="1">
        <v>57</v>
      </c>
      <c r="T245" s="1">
        <v>0</v>
      </c>
      <c r="U245" s="1">
        <f>Games[[#This Row],[PointsFor]]-Games[[#This Row],[PointsAgainst]]</f>
        <v>27</v>
      </c>
      <c r="V245" s="1">
        <f>IF(Games[[#This Row],[MOV]]&gt;0,1,IF(Games[[#This Row],[MOV]]=0,0.5,0))</f>
        <v>1</v>
      </c>
      <c r="W245" s="4">
        <f>((ABS(Games[[#This Row],[MOV]])+5)^0.6)/(12+0.01*(ABS(Games[[#This Row],[PreGmRate]]-Games[[#This Row],[OppPreGmRate]])))*IF(Games[[#This Row],[OT]]=1,0.9,1)</f>
        <v>0.65951962032124889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5" s="9">
        <f>MAX(kmin, kmax - 0.15 * MIN(Games[[#This Row],[GamesPlayed]], 82))</f>
        <v>72.849999999999994</v>
      </c>
      <c r="Z245" s="4">
        <f>Games[[#This Row],[K]]*Games[[#This Row],[POMult]]</f>
        <v>72.849999999999994</v>
      </c>
      <c r="AA245" s="4">
        <f>(Games[[#This Row],[Keff]]*Games[[#This Row],[MOVMult]])*(Games[[#This Row],[Result]]-Games[[#This Row],[ExpectedWin%]])</f>
        <v>19.181281754011614</v>
      </c>
      <c r="AB245" s="4">
        <f>Games[[#This Row],[PreGmRate]]+Games[[#This Row],[RatingChange]]</f>
        <v>1471.9061443148298</v>
      </c>
      <c r="AC245" s="2">
        <f>IF(Games[[#This Row],[Type]]="R",IF(Games[[#This Row],[Result]]&gt;0.5,1,0),0)</f>
        <v>1</v>
      </c>
      <c r="AD245" s="2">
        <f>IF(Games[[#This Row],[Type]]="R",IF(Games[[#This Row],[Result]]&lt;0.5,1,0),0)</f>
        <v>0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42223</v>
      </c>
      <c r="B246" s="2">
        <v>2015</v>
      </c>
      <c r="C246" s="2">
        <f>COUNTIFS(Games[Team],Games[[#This Row],[Team]],Games[Season],Games[[#This Row],[Season]],Games[Date],"&lt;=" &amp; Games[[#This Row],[Date]])</f>
        <v>20</v>
      </c>
      <c r="D246" s="2" t="s">
        <v>83</v>
      </c>
      <c r="E246" s="2" t="s">
        <v>84</v>
      </c>
      <c r="F246" s="1" t="s">
        <v>60</v>
      </c>
      <c r="G246" s="1" t="s">
        <v>77</v>
      </c>
      <c r="H246" s="1" t="s">
        <v>85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4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6" s="2">
        <f>Games[[#This Row],[DaysOff]]-Games[[#This Row],[OppDaysOff]]</f>
        <v>2</v>
      </c>
      <c r="L246" s="2">
        <f>Games[[#This Row],[OppDaysOff]]-Games[[#This Row],[DaysOff]]</f>
        <v>-2</v>
      </c>
      <c r="M246" s="1">
        <f>MAX(-16, MIN(16, Games[[#This Row],[RestDiff]]*8))</f>
        <v>16</v>
      </c>
      <c r="N246" s="1">
        <f>MAX(-16, MIN(16, Games[[#This Row],[OppRestDiff]]*8))</f>
        <v>-16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1535.8913229494469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1560.7507715887439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0.39116006483403676</v>
      </c>
      <c r="R246" s="1">
        <v>77</v>
      </c>
      <c r="S246" s="1">
        <v>63</v>
      </c>
      <c r="T246" s="1">
        <v>0</v>
      </c>
      <c r="U246" s="1">
        <f>Games[[#This Row],[PointsFor]]-Games[[#This Row],[PointsAgainst]]</f>
        <v>14</v>
      </c>
      <c r="V246" s="1">
        <f>IF(Games[[#This Row],[MOV]]&gt;0,1,IF(Games[[#This Row],[MOV]]=0,0.5,0))</f>
        <v>1</v>
      </c>
      <c r="W246" s="4">
        <f>((ABS(Games[[#This Row],[MOV]])+5)^0.6)/(12+0.01*(ABS(Games[[#This Row],[PreGmRate]]-Games[[#This Row],[OppPreGmRate]])))*IF(Games[[#This Row],[OT]]=1,0.9,1)</f>
        <v>0.47771172838724096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6" s="9">
        <f>MAX(kmin, kmax - 0.15 * MIN(Games[[#This Row],[GamesPlayed]], 82))</f>
        <v>73</v>
      </c>
      <c r="Z246" s="4">
        <f>Games[[#This Row],[K]]*Games[[#This Row],[POMult]]</f>
        <v>73</v>
      </c>
      <c r="AA246" s="4">
        <f>(Games[[#This Row],[Keff]]*Games[[#This Row],[MOVMult]])*(Games[[#This Row],[Result]]-Games[[#This Row],[ExpectedWin%]])</f>
        <v>21.232048374969484</v>
      </c>
      <c r="AB246" s="4">
        <f>Games[[#This Row],[PreGmRate]]+Games[[#This Row],[RatingChange]]</f>
        <v>1557.1233713244164</v>
      </c>
      <c r="AC246" s="2">
        <f>IF(Games[[#This Row],[Type]]="R",IF(Games[[#This Row],[Result]]&gt;0.5,1,0),0)</f>
        <v>1</v>
      </c>
      <c r="AD246" s="2">
        <f>IF(Games[[#This Row],[Type]]="R",IF(Games[[#This Row],[Result]]&lt;0.5,1,0),0)</f>
        <v>0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42223</v>
      </c>
      <c r="B247" s="2">
        <v>2015</v>
      </c>
      <c r="C247" s="2">
        <f>COUNTIFS(Games[Team],Games[[#This Row],[Team]],Games[Season],Games[[#This Row],[Season]],Games[Date],"&lt;=" &amp; Games[[#This Row],[Date]])</f>
        <v>22</v>
      </c>
      <c r="D247" s="2" t="s">
        <v>83</v>
      </c>
      <c r="E247" s="2" t="s">
        <v>84</v>
      </c>
      <c r="F247" s="1" t="s">
        <v>77</v>
      </c>
      <c r="G247" s="1" t="s">
        <v>60</v>
      </c>
      <c r="H247" s="1" t="s">
        <v>86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47" s="2">
        <f>Games[[#This Row],[DaysOff]]-Games[[#This Row],[OppDaysOff]]</f>
        <v>-2</v>
      </c>
      <c r="L247" s="2">
        <f>Games[[#This Row],[OppDaysOff]]-Games[[#This Row],[DaysOff]]</f>
        <v>2</v>
      </c>
      <c r="M247" s="1">
        <f>MAX(-16, MIN(16, Games[[#This Row],[RestDiff]]*8))</f>
        <v>-16</v>
      </c>
      <c r="N247" s="1">
        <f>MAX(-16, MIN(16, Games[[#This Row],[OppRestDiff]]*8))</f>
        <v>16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1560.7507715887439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1535.8913229494469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0.60883993516596324</v>
      </c>
      <c r="R247" s="1">
        <v>63</v>
      </c>
      <c r="S247" s="1">
        <v>77</v>
      </c>
      <c r="T247" s="1">
        <v>0</v>
      </c>
      <c r="U247" s="1">
        <f>Games[[#This Row],[PointsFor]]-Games[[#This Row],[PointsAgainst]]</f>
        <v>-14</v>
      </c>
      <c r="V247" s="1">
        <f>IF(Games[[#This Row],[MOV]]&gt;0,1,IF(Games[[#This Row],[MOV]]=0,0.5,0))</f>
        <v>0</v>
      </c>
      <c r="W247" s="4">
        <f>((ABS(Games[[#This Row],[MOV]])+5)^0.6)/(12+0.01*(ABS(Games[[#This Row],[PreGmRate]]-Games[[#This Row],[OppPreGmRate]])))*IF(Games[[#This Row],[OT]]=1,0.9,1)</f>
        <v>0.47771172838724096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7" s="9">
        <f>MAX(kmin, kmax - 0.15 * MIN(Games[[#This Row],[GamesPlayed]], 82))</f>
        <v>72.7</v>
      </c>
      <c r="Z247" s="4">
        <f>Games[[#This Row],[K]]*Games[[#This Row],[POMult]]</f>
        <v>72.7</v>
      </c>
      <c r="AA247" s="4">
        <f>(Games[[#This Row],[Keff]]*Games[[#This Row],[MOVMult]])*(Games[[#This Row],[Result]]-Games[[#This Row],[ExpectedWin%]])</f>
        <v>-21.144793381647695</v>
      </c>
      <c r="AB247" s="4">
        <f>Games[[#This Row],[PreGmRate]]+Games[[#This Row],[RatingChange]]</f>
        <v>1539.6059782070961</v>
      </c>
      <c r="AC247" s="2">
        <f>IF(Games[[#This Row],[Type]]="R",IF(Games[[#This Row],[Result]]&gt;0.5,1,0),0)</f>
        <v>0</v>
      </c>
      <c r="AD247" s="2">
        <f>IF(Games[[#This Row],[Type]]="R",IF(Games[[#This Row],[Result]]&lt;0.5,1,0),0)</f>
        <v>1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42223</v>
      </c>
      <c r="B248" s="2">
        <v>2015</v>
      </c>
      <c r="C248" s="2">
        <f>COUNTIFS(Games[Team],Games[[#This Row],[Team]],Games[Season],Games[[#This Row],[Season]],Games[Date],"&lt;=" &amp; Games[[#This Row],[Date]])</f>
        <v>20</v>
      </c>
      <c r="D248" s="2" t="s">
        <v>83</v>
      </c>
      <c r="E248" s="2" t="s">
        <v>84</v>
      </c>
      <c r="F248" s="1" t="s">
        <v>65</v>
      </c>
      <c r="G248" s="1" t="s">
        <v>76</v>
      </c>
      <c r="H248" s="1" t="s">
        <v>85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8" s="2">
        <f>Games[[#This Row],[DaysOff]]-Games[[#This Row],[OppDaysOff]]</f>
        <v>-1</v>
      </c>
      <c r="L248" s="2">
        <f>Games[[#This Row],[OppDaysOff]]-Games[[#This Row],[DaysOff]]</f>
        <v>1</v>
      </c>
      <c r="M248" s="1">
        <f>MAX(-16, MIN(16, Games[[#This Row],[RestDiff]]*8))</f>
        <v>-8</v>
      </c>
      <c r="N248" s="1">
        <f>MAX(-16, MIN(16, Games[[#This Row],[OppRestDiff]]*8))</f>
        <v>8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1551.6361938054906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1481.8793667995189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0.45658617117542277</v>
      </c>
      <c r="R248" s="1">
        <v>72</v>
      </c>
      <c r="S248" s="1">
        <v>86</v>
      </c>
      <c r="T248" s="1">
        <v>0</v>
      </c>
      <c r="U248" s="1">
        <f>Games[[#This Row],[PointsFor]]-Games[[#This Row],[PointsAgainst]]</f>
        <v>-14</v>
      </c>
      <c r="V248" s="1">
        <f>IF(Games[[#This Row],[MOV]]&gt;0,1,IF(Games[[#This Row],[MOV]]=0,0.5,0))</f>
        <v>0</v>
      </c>
      <c r="W248" s="4">
        <f>((ABS(Games[[#This Row],[MOV]])+5)^0.6)/(12+0.01*(ABS(Games[[#This Row],[PreGmRate]]-Games[[#This Row],[OppPreGmRate]])))*IF(Games[[#This Row],[OT]]=1,0.9,1)</f>
        <v>0.46082030180584305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8" s="9">
        <f>MAX(kmin, kmax - 0.15 * MIN(Games[[#This Row],[GamesPlayed]], 82))</f>
        <v>73</v>
      </c>
      <c r="Z248" s="4">
        <f>Games[[#This Row],[K]]*Games[[#This Row],[POMult]]</f>
        <v>73</v>
      </c>
      <c r="AA248" s="4">
        <f>(Games[[#This Row],[Keff]]*Games[[#This Row],[MOVMult]])*(Games[[#This Row],[Result]]-Games[[#This Row],[ExpectedWin%]])</f>
        <v>-15.359504935704583</v>
      </c>
      <c r="AB248" s="4">
        <f>Games[[#This Row],[PreGmRate]]+Games[[#This Row],[RatingChange]]</f>
        <v>1536.2766888697861</v>
      </c>
      <c r="AC248" s="2">
        <f>IF(Games[[#This Row],[Type]]="R",IF(Games[[#This Row],[Result]]&gt;0.5,1,0),0)</f>
        <v>0</v>
      </c>
      <c r="AD248" s="2">
        <f>IF(Games[[#This Row],[Type]]="R",IF(Games[[#This Row],[Result]]&lt;0.5,1,0),0)</f>
        <v>1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42223</v>
      </c>
      <c r="B249" s="2">
        <v>2015</v>
      </c>
      <c r="C249" s="2">
        <f>COUNTIFS(Games[Team],Games[[#This Row],[Team]],Games[Season],Games[[#This Row],[Season]],Games[Date],"&lt;=" &amp; Games[[#This Row],[Date]])</f>
        <v>20</v>
      </c>
      <c r="D249" s="2" t="s">
        <v>83</v>
      </c>
      <c r="E249" s="2" t="s">
        <v>84</v>
      </c>
      <c r="F249" s="1" t="s">
        <v>76</v>
      </c>
      <c r="G249" s="1" t="s">
        <v>65</v>
      </c>
      <c r="H249" s="1" t="s">
        <v>86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9" s="2">
        <f>Games[[#This Row],[DaysOff]]-Games[[#This Row],[OppDaysOff]]</f>
        <v>1</v>
      </c>
      <c r="L249" s="2">
        <f>Games[[#This Row],[OppDaysOff]]-Games[[#This Row],[DaysOff]]</f>
        <v>-1</v>
      </c>
      <c r="M249" s="1">
        <f>MAX(-16, MIN(16, Games[[#This Row],[RestDiff]]*8))</f>
        <v>8</v>
      </c>
      <c r="N249" s="1">
        <f>MAX(-16, MIN(16, Games[[#This Row],[OppRestDiff]]*8))</f>
        <v>-8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1481.8793667995189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1551.6361938054906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0.54341382882457723</v>
      </c>
      <c r="R249" s="1">
        <v>86</v>
      </c>
      <c r="S249" s="1">
        <v>72</v>
      </c>
      <c r="T249" s="1">
        <v>0</v>
      </c>
      <c r="U249" s="1">
        <f>Games[[#This Row],[PointsFor]]-Games[[#This Row],[PointsAgainst]]</f>
        <v>14</v>
      </c>
      <c r="V249" s="1">
        <f>IF(Games[[#This Row],[MOV]]&gt;0,1,IF(Games[[#This Row],[MOV]]=0,0.5,0))</f>
        <v>1</v>
      </c>
      <c r="W249" s="4">
        <f>((ABS(Games[[#This Row],[MOV]])+5)^0.6)/(12+0.01*(ABS(Games[[#This Row],[PreGmRate]]-Games[[#This Row],[OppPreGmRate]])))*IF(Games[[#This Row],[OT]]=1,0.9,1)</f>
        <v>0.46082030180584305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9" s="9">
        <f>MAX(kmin, kmax - 0.15 * MIN(Games[[#This Row],[GamesPlayed]], 82))</f>
        <v>73</v>
      </c>
      <c r="Z249" s="4">
        <f>Games[[#This Row],[K]]*Games[[#This Row],[POMult]]</f>
        <v>73</v>
      </c>
      <c r="AA249" s="4">
        <f>(Games[[#This Row],[Keff]]*Games[[#This Row],[MOVMult]])*(Games[[#This Row],[Result]]-Games[[#This Row],[ExpectedWin%]])</f>
        <v>15.359504935704583</v>
      </c>
      <c r="AB249" s="4">
        <f>Games[[#This Row],[PreGmRate]]+Games[[#This Row],[RatingChange]]</f>
        <v>1497.2388717352235</v>
      </c>
      <c r="AC249" s="2">
        <f>IF(Games[[#This Row],[Type]]="R",IF(Games[[#This Row],[Result]]&gt;0.5,1,0),0)</f>
        <v>1</v>
      </c>
      <c r="AD249" s="2">
        <f>IF(Games[[#This Row],[Type]]="R",IF(Games[[#This Row],[Result]]&lt;0.5,1,0),0)</f>
        <v>0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42223</v>
      </c>
      <c r="B250" s="2">
        <v>2015</v>
      </c>
      <c r="C250" s="2">
        <f>COUNTIFS(Games[Team],Games[[#This Row],[Team]],Games[Season],Games[[#This Row],[Season]],Games[Date],"&lt;=" &amp; Games[[#This Row],[Date]])</f>
        <v>21</v>
      </c>
      <c r="D250" s="2" t="s">
        <v>83</v>
      </c>
      <c r="E250" s="2" t="s">
        <v>84</v>
      </c>
      <c r="F250" s="1" t="s">
        <v>79</v>
      </c>
      <c r="G250" s="1" t="s">
        <v>69</v>
      </c>
      <c r="H250" s="1" t="s">
        <v>85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4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0" s="2">
        <f>Games[[#This Row],[DaysOff]]-Games[[#This Row],[OppDaysOff]]</f>
        <v>2</v>
      </c>
      <c r="L250" s="2">
        <f>Games[[#This Row],[OppDaysOff]]-Games[[#This Row],[DaysOff]]</f>
        <v>-2</v>
      </c>
      <c r="M250" s="1">
        <f>MAX(-16, MIN(16, Games[[#This Row],[RestDiff]]*8))</f>
        <v>16</v>
      </c>
      <c r="N250" s="1">
        <f>MAX(-16, MIN(16, Games[[#This Row],[OppRestDiff]]*8))</f>
        <v>-16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1416.600652382826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1501.2370161891781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0.31291162164090108</v>
      </c>
      <c r="R250" s="1">
        <v>77</v>
      </c>
      <c r="S250" s="1">
        <v>106</v>
      </c>
      <c r="T250" s="1">
        <v>0</v>
      </c>
      <c r="U250" s="1">
        <f>Games[[#This Row],[PointsFor]]-Games[[#This Row],[PointsAgainst]]</f>
        <v>-29</v>
      </c>
      <c r="V250" s="1">
        <f>IF(Games[[#This Row],[MOV]]&gt;0,1,IF(Games[[#This Row],[MOV]]=0,0.5,0))</f>
        <v>0</v>
      </c>
      <c r="W250" s="4">
        <f>((ABS(Games[[#This Row],[MOV]])+5)^0.6)/(12+0.01*(ABS(Games[[#This Row],[PreGmRate]]-Games[[#This Row],[OppPreGmRate]])))*IF(Games[[#This Row],[OT]]=1,0.9,1)</f>
        <v>0.64581352932820257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0" s="9">
        <f>MAX(kmin, kmax - 0.15 * MIN(Games[[#This Row],[GamesPlayed]], 82))</f>
        <v>72.849999999999994</v>
      </c>
      <c r="Z250" s="4">
        <f>Games[[#This Row],[K]]*Games[[#This Row],[POMult]]</f>
        <v>72.849999999999994</v>
      </c>
      <c r="AA250" s="4">
        <f>(Games[[#This Row],[Keff]]*Games[[#This Row],[MOVMult]])*(Games[[#This Row],[Result]]-Games[[#This Row],[ExpectedWin%]])</f>
        <v>-14.72171440418871</v>
      </c>
      <c r="AB250" s="4">
        <f>Games[[#This Row],[PreGmRate]]+Games[[#This Row],[RatingChange]]</f>
        <v>1401.8789379786372</v>
      </c>
      <c r="AC250" s="2">
        <f>IF(Games[[#This Row],[Type]]="R",IF(Games[[#This Row],[Result]]&gt;0.5,1,0),0)</f>
        <v>0</v>
      </c>
      <c r="AD250" s="2">
        <f>IF(Games[[#This Row],[Type]]="R",IF(Games[[#This Row],[Result]]&lt;0.5,1,0),0)</f>
        <v>1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42223</v>
      </c>
      <c r="B251" s="2">
        <v>2015</v>
      </c>
      <c r="C251" s="2">
        <f>COUNTIFS(Games[Team],Games[[#This Row],[Team]],Games[Season],Games[[#This Row],[Season]],Games[Date],"&lt;=" &amp; Games[[#This Row],[Date]])</f>
        <v>21</v>
      </c>
      <c r="D251" s="2" t="s">
        <v>83</v>
      </c>
      <c r="E251" s="2" t="s">
        <v>84</v>
      </c>
      <c r="F251" s="1" t="s">
        <v>69</v>
      </c>
      <c r="G251" s="1" t="s">
        <v>79</v>
      </c>
      <c r="H251" s="1" t="s">
        <v>86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51" s="2">
        <f>Games[[#This Row],[DaysOff]]-Games[[#This Row],[OppDaysOff]]</f>
        <v>-2</v>
      </c>
      <c r="L251" s="2">
        <f>Games[[#This Row],[OppDaysOff]]-Games[[#This Row],[DaysOff]]</f>
        <v>2</v>
      </c>
      <c r="M251" s="1">
        <f>MAX(-16, MIN(16, Games[[#This Row],[RestDiff]]*8))</f>
        <v>-16</v>
      </c>
      <c r="N251" s="1">
        <f>MAX(-16, MIN(16, Games[[#This Row],[OppRestDiff]]*8))</f>
        <v>16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1501.2370161891781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1416.600652382826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0.68708837835909886</v>
      </c>
      <c r="R251" s="1">
        <v>106</v>
      </c>
      <c r="S251" s="1">
        <v>77</v>
      </c>
      <c r="T251" s="1">
        <v>0</v>
      </c>
      <c r="U251" s="1">
        <f>Games[[#This Row],[PointsFor]]-Games[[#This Row],[PointsAgainst]]</f>
        <v>29</v>
      </c>
      <c r="V251" s="1">
        <f>IF(Games[[#This Row],[MOV]]&gt;0,1,IF(Games[[#This Row],[MOV]]=0,0.5,0))</f>
        <v>1</v>
      </c>
      <c r="W251" s="4">
        <f>((ABS(Games[[#This Row],[MOV]])+5)^0.6)/(12+0.01*(ABS(Games[[#This Row],[PreGmRate]]-Games[[#This Row],[OppPreGmRate]])))*IF(Games[[#This Row],[OT]]=1,0.9,1)</f>
        <v>0.64581352932820257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1" s="9">
        <f>MAX(kmin, kmax - 0.15 * MIN(Games[[#This Row],[GamesPlayed]], 82))</f>
        <v>72.849999999999994</v>
      </c>
      <c r="Z251" s="4">
        <f>Games[[#This Row],[K]]*Games[[#This Row],[POMult]]</f>
        <v>72.849999999999994</v>
      </c>
      <c r="AA251" s="4">
        <f>(Games[[#This Row],[Keff]]*Games[[#This Row],[MOVMult]])*(Games[[#This Row],[Result]]-Games[[#This Row],[ExpectedWin%]])</f>
        <v>14.721714404188713</v>
      </c>
      <c r="AB251" s="4">
        <f>Games[[#This Row],[PreGmRate]]+Games[[#This Row],[RatingChange]]</f>
        <v>1515.9587305933669</v>
      </c>
      <c r="AC251" s="2">
        <f>IF(Games[[#This Row],[Type]]="R",IF(Games[[#This Row],[Result]]&gt;0.5,1,0),0)</f>
        <v>1</v>
      </c>
      <c r="AD251" s="2">
        <f>IF(Games[[#This Row],[Type]]="R",IF(Games[[#This Row],[Result]]&lt;0.5,1,0),0)</f>
        <v>0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42223</v>
      </c>
      <c r="B252" s="2">
        <v>2015</v>
      </c>
      <c r="C252" s="2">
        <f>COUNTIFS(Games[Team],Games[[#This Row],[Team]],Games[Season],Games[[#This Row],[Season]],Games[Date],"&lt;=" &amp; Games[[#This Row],[Date]])</f>
        <v>21</v>
      </c>
      <c r="D252" s="2" t="s">
        <v>83</v>
      </c>
      <c r="E252" s="2" t="s">
        <v>84</v>
      </c>
      <c r="F252" s="1" t="s">
        <v>67</v>
      </c>
      <c r="G252" s="1" t="s">
        <v>40</v>
      </c>
      <c r="H252" s="1" t="s">
        <v>85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2" s="2">
        <f>Games[[#This Row],[DaysOff]]-Games[[#This Row],[OppDaysOff]]</f>
        <v>0</v>
      </c>
      <c r="L252" s="2">
        <f>Games[[#This Row],[OppDaysOff]]-Games[[#This Row],[DaysOff]]</f>
        <v>0</v>
      </c>
      <c r="M252" s="1">
        <f>MAX(-16, MIN(16, Games[[#This Row],[RestDiff]]*8))</f>
        <v>0</v>
      </c>
      <c r="N252" s="1">
        <f>MAX(-16, MIN(16, Games[[#This Row],[OppRestDiff]]*8))</f>
        <v>0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1628.8580906750792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1631.9780707077193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0.37718754247360348</v>
      </c>
      <c r="R252" s="1">
        <v>66</v>
      </c>
      <c r="S252" s="1">
        <v>73</v>
      </c>
      <c r="T252" s="1">
        <v>0</v>
      </c>
      <c r="U252" s="1">
        <f>Games[[#This Row],[PointsFor]]-Games[[#This Row],[PointsAgainst]]</f>
        <v>-7</v>
      </c>
      <c r="V252" s="1">
        <f>IF(Games[[#This Row],[MOV]]&gt;0,1,IF(Games[[#This Row],[MOV]]=0,0.5,0))</f>
        <v>0</v>
      </c>
      <c r="W252" s="4">
        <f>((ABS(Games[[#This Row],[MOV]])+5)^0.6)/(12+0.01*(ABS(Games[[#This Row],[PreGmRate]]-Games[[#This Row],[OppPreGmRate]])))*IF(Games[[#This Row],[OT]]=1,0.9,1)</f>
        <v>0.36914739540152508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2" s="9">
        <f>MAX(kmin, kmax - 0.15 * MIN(Games[[#This Row],[GamesPlayed]], 82))</f>
        <v>72.849999999999994</v>
      </c>
      <c r="Z252" s="4">
        <f>Games[[#This Row],[K]]*Games[[#This Row],[POMult]]</f>
        <v>72.849999999999994</v>
      </c>
      <c r="AA252" s="4">
        <f>(Games[[#This Row],[Keff]]*Games[[#This Row],[MOVMult]])*(Games[[#This Row],[Result]]-Games[[#This Row],[ExpectedWin%]])</f>
        <v>-10.143473648556091</v>
      </c>
      <c r="AB252" s="4">
        <f>Games[[#This Row],[PreGmRate]]+Games[[#This Row],[RatingChange]]</f>
        <v>1618.7146170265232</v>
      </c>
      <c r="AC252" s="2">
        <f>IF(Games[[#This Row],[Type]]="R",IF(Games[[#This Row],[Result]]&gt;0.5,1,0),0)</f>
        <v>0</v>
      </c>
      <c r="AD252" s="2">
        <f>IF(Games[[#This Row],[Type]]="R",IF(Games[[#This Row],[Result]]&lt;0.5,1,0),0)</f>
        <v>1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42223</v>
      </c>
      <c r="B253" s="2">
        <v>2015</v>
      </c>
      <c r="C253" s="2">
        <f>COUNTIFS(Games[Team],Games[[#This Row],[Team]],Games[Season],Games[[#This Row],[Season]],Games[Date],"&lt;=" &amp; Games[[#This Row],[Date]])</f>
        <v>21</v>
      </c>
      <c r="D253" s="2" t="s">
        <v>83</v>
      </c>
      <c r="E253" s="2" t="s">
        <v>84</v>
      </c>
      <c r="F253" s="1" t="s">
        <v>40</v>
      </c>
      <c r="G253" s="1" t="s">
        <v>67</v>
      </c>
      <c r="H253" s="1" t="s">
        <v>86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3" s="2">
        <f>Games[[#This Row],[DaysOff]]-Games[[#This Row],[OppDaysOff]]</f>
        <v>0</v>
      </c>
      <c r="L253" s="2">
        <f>Games[[#This Row],[OppDaysOff]]-Games[[#This Row],[DaysOff]]</f>
        <v>0</v>
      </c>
      <c r="M253" s="1">
        <f>MAX(-16, MIN(16, Games[[#This Row],[RestDiff]]*8))</f>
        <v>0</v>
      </c>
      <c r="N253" s="1">
        <f>MAX(-16, MIN(16, Games[[#This Row],[OppRestDiff]]*8))</f>
        <v>0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1631.9780707077193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1628.8580906750792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0.62281245752639647</v>
      </c>
      <c r="R253" s="1">
        <v>73</v>
      </c>
      <c r="S253" s="1">
        <v>66</v>
      </c>
      <c r="T253" s="1">
        <v>0</v>
      </c>
      <c r="U253" s="1">
        <f>Games[[#This Row],[PointsFor]]-Games[[#This Row],[PointsAgainst]]</f>
        <v>7</v>
      </c>
      <c r="V253" s="1">
        <f>IF(Games[[#This Row],[MOV]]&gt;0,1,IF(Games[[#This Row],[MOV]]=0,0.5,0))</f>
        <v>1</v>
      </c>
      <c r="W253" s="4">
        <f>((ABS(Games[[#This Row],[MOV]])+5)^0.6)/(12+0.01*(ABS(Games[[#This Row],[PreGmRate]]-Games[[#This Row],[OppPreGmRate]])))*IF(Games[[#This Row],[OT]]=1,0.9,1)</f>
        <v>0.36914739540152508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3" s="9">
        <f>MAX(kmin, kmax - 0.15 * MIN(Games[[#This Row],[GamesPlayed]], 82))</f>
        <v>72.849999999999994</v>
      </c>
      <c r="Z253" s="4">
        <f>Games[[#This Row],[K]]*Games[[#This Row],[POMult]]</f>
        <v>72.849999999999994</v>
      </c>
      <c r="AA253" s="4">
        <f>(Games[[#This Row],[Keff]]*Games[[#This Row],[MOVMult]])*(Games[[#This Row],[Result]]-Games[[#This Row],[ExpectedWin%]])</f>
        <v>10.143473648556093</v>
      </c>
      <c r="AB253" s="4">
        <f>Games[[#This Row],[PreGmRate]]+Games[[#This Row],[RatingChange]]</f>
        <v>1642.1215443562753</v>
      </c>
      <c r="AC253" s="2">
        <f>IF(Games[[#This Row],[Type]]="R",IF(Games[[#This Row],[Result]]&gt;0.5,1,0),0)</f>
        <v>1</v>
      </c>
      <c r="AD253" s="2">
        <f>IF(Games[[#This Row],[Type]]="R",IF(Games[[#This Row],[Result]]&lt;0.5,1,0),0)</f>
        <v>0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42224</v>
      </c>
      <c r="B254" s="2">
        <v>2015</v>
      </c>
      <c r="C254" s="2">
        <f>COUNTIFS(Games[Team],Games[[#This Row],[Team]],Games[Season],Games[[#This Row],[Season]],Games[Date],"&lt;=" &amp; Games[[#This Row],[Date]])</f>
        <v>22</v>
      </c>
      <c r="D254" s="2" t="s">
        <v>83</v>
      </c>
      <c r="E254" s="2" t="s">
        <v>84</v>
      </c>
      <c r="F254" s="1" t="s">
        <v>71</v>
      </c>
      <c r="G254" s="1" t="s">
        <v>74</v>
      </c>
      <c r="H254" s="1" t="s">
        <v>85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5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4" s="2">
        <f>Games[[#This Row],[DaysOff]]-Games[[#This Row],[OppDaysOff]]</f>
        <v>3</v>
      </c>
      <c r="L254" s="2">
        <f>Games[[#This Row],[OppDaysOff]]-Games[[#This Row],[DaysOff]]</f>
        <v>-3</v>
      </c>
      <c r="M254" s="1">
        <f>MAX(-16, MIN(16, Games[[#This Row],[RestDiff]]*8))</f>
        <v>16</v>
      </c>
      <c r="N254" s="1">
        <f>MAX(-16, MIN(16, Games[[#This Row],[OppRestDiff]]*8))</f>
        <v>-16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1384.7835008025315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1389.0090854264449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0.41978392016709598</v>
      </c>
      <c r="R254" s="1">
        <v>81</v>
      </c>
      <c r="S254" s="1">
        <v>88</v>
      </c>
      <c r="T254" s="1">
        <v>0</v>
      </c>
      <c r="U254" s="1">
        <f>Games[[#This Row],[PointsFor]]-Games[[#This Row],[PointsAgainst]]</f>
        <v>-7</v>
      </c>
      <c r="V254" s="1">
        <f>IF(Games[[#This Row],[MOV]]&gt;0,1,IF(Games[[#This Row],[MOV]]=0,0.5,0))</f>
        <v>0</v>
      </c>
      <c r="W254" s="4">
        <f>((ABS(Games[[#This Row],[MOV]])+5)^0.6)/(12+0.01*(ABS(Games[[#This Row],[PreGmRate]]-Games[[#This Row],[OppPreGmRate]])))*IF(Games[[#This Row],[OT]]=1,0.9,1)</f>
        <v>0.36880847961994423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4" s="9">
        <f>MAX(kmin, kmax - 0.15 * MIN(Games[[#This Row],[GamesPlayed]], 82))</f>
        <v>72.7</v>
      </c>
      <c r="Z254" s="4">
        <f>Games[[#This Row],[K]]*Games[[#This Row],[POMult]]</f>
        <v>72.7</v>
      </c>
      <c r="AA254" s="4">
        <f>(Games[[#This Row],[Keff]]*Games[[#This Row],[MOVMult]])*(Games[[#This Row],[Result]]-Games[[#This Row],[ExpectedWin%]])</f>
        <v>-11.255404502888332</v>
      </c>
      <c r="AB254" s="4">
        <f>Games[[#This Row],[PreGmRate]]+Games[[#This Row],[RatingChange]]</f>
        <v>1373.5280962996433</v>
      </c>
      <c r="AC254" s="2">
        <f>IF(Games[[#This Row],[Type]]="R",IF(Games[[#This Row],[Result]]&gt;0.5,1,0),0)</f>
        <v>0</v>
      </c>
      <c r="AD254" s="2">
        <f>IF(Games[[#This Row],[Type]]="R",IF(Games[[#This Row],[Result]]&lt;0.5,1,0),0)</f>
        <v>1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42224</v>
      </c>
      <c r="B255" s="2">
        <v>2015</v>
      </c>
      <c r="C255" s="2">
        <f>COUNTIFS(Games[Team],Games[[#This Row],[Team]],Games[Season],Games[[#This Row],[Season]],Games[Date],"&lt;=" &amp; Games[[#This Row],[Date]])</f>
        <v>23</v>
      </c>
      <c r="D255" s="2" t="s">
        <v>83</v>
      </c>
      <c r="E255" s="2" t="s">
        <v>84</v>
      </c>
      <c r="F255" s="1" t="s">
        <v>74</v>
      </c>
      <c r="G255" s="1" t="s">
        <v>71</v>
      </c>
      <c r="H255" s="1" t="s">
        <v>86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55" s="2">
        <f>Games[[#This Row],[DaysOff]]-Games[[#This Row],[OppDaysOff]]</f>
        <v>-3</v>
      </c>
      <c r="L255" s="2">
        <f>Games[[#This Row],[OppDaysOff]]-Games[[#This Row],[DaysOff]]</f>
        <v>3</v>
      </c>
      <c r="M255" s="1">
        <f>MAX(-16, MIN(16, Games[[#This Row],[RestDiff]]*8))</f>
        <v>-16</v>
      </c>
      <c r="N255" s="1">
        <f>MAX(-16, MIN(16, Games[[#This Row],[OppRestDiff]]*8))</f>
        <v>16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1389.0090854264449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1384.7835008025315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0.58021607983290402</v>
      </c>
      <c r="R255" s="1">
        <v>88</v>
      </c>
      <c r="S255" s="1">
        <v>81</v>
      </c>
      <c r="T255" s="1">
        <v>0</v>
      </c>
      <c r="U255" s="1">
        <f>Games[[#This Row],[PointsFor]]-Games[[#This Row],[PointsAgainst]]</f>
        <v>7</v>
      </c>
      <c r="V255" s="1">
        <f>IF(Games[[#This Row],[MOV]]&gt;0,1,IF(Games[[#This Row],[MOV]]=0,0.5,0))</f>
        <v>1</v>
      </c>
      <c r="W255" s="4">
        <f>((ABS(Games[[#This Row],[MOV]])+5)^0.6)/(12+0.01*(ABS(Games[[#This Row],[PreGmRate]]-Games[[#This Row],[OppPreGmRate]])))*IF(Games[[#This Row],[OT]]=1,0.9,1)</f>
        <v>0.36880847961994423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5" s="9">
        <f>MAX(kmin, kmax - 0.15 * MIN(Games[[#This Row],[GamesPlayed]], 82))</f>
        <v>72.55</v>
      </c>
      <c r="Z255" s="4">
        <f>Games[[#This Row],[K]]*Games[[#This Row],[POMult]]</f>
        <v>72.55</v>
      </c>
      <c r="AA255" s="4">
        <f>(Games[[#This Row],[Keff]]*Games[[#This Row],[MOVMult]])*(Games[[#This Row],[Result]]-Games[[#This Row],[ExpectedWin%]])</f>
        <v>11.232181522483474</v>
      </c>
      <c r="AB255" s="4">
        <f>Games[[#This Row],[PreGmRate]]+Games[[#This Row],[RatingChange]]</f>
        <v>1400.2412669489283</v>
      </c>
      <c r="AC255" s="2">
        <f>IF(Games[[#This Row],[Type]]="R",IF(Games[[#This Row],[Result]]&gt;0.5,1,0),0)</f>
        <v>1</v>
      </c>
      <c r="AD255" s="2">
        <f>IF(Games[[#This Row],[Type]]="R",IF(Games[[#This Row],[Result]]&lt;0.5,1,0),0)</f>
        <v>0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42225</v>
      </c>
      <c r="B256" s="2">
        <v>2015</v>
      </c>
      <c r="C256" s="2">
        <f>COUNTIFS(Games[Team],Games[[#This Row],[Team]],Games[Season],Games[[#This Row],[Season]],Games[Date],"&lt;=" &amp; Games[[#This Row],[Date]])</f>
        <v>22</v>
      </c>
      <c r="D256" s="2" t="s">
        <v>83</v>
      </c>
      <c r="E256" s="2" t="s">
        <v>84</v>
      </c>
      <c r="F256" s="1" t="s">
        <v>40</v>
      </c>
      <c r="G256" s="1" t="s">
        <v>77</v>
      </c>
      <c r="H256" s="1" t="s">
        <v>85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6" s="2">
        <f>Games[[#This Row],[DaysOff]]-Games[[#This Row],[OppDaysOff]]</f>
        <v>0</v>
      </c>
      <c r="L256" s="2">
        <f>Games[[#This Row],[OppDaysOff]]-Games[[#This Row],[DaysOff]]</f>
        <v>0</v>
      </c>
      <c r="M256" s="1">
        <f>MAX(-16, MIN(16, Games[[#This Row],[RestDiff]]*8))</f>
        <v>0</v>
      </c>
      <c r="N256" s="1">
        <f>MAX(-16, MIN(16, Games[[#This Row],[OppRestDiff]]*8))</f>
        <v>0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1642.1215443562753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1539.6059782070961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0.5266208449214872</v>
      </c>
      <c r="R256" s="1">
        <v>64</v>
      </c>
      <c r="S256" s="1">
        <v>74</v>
      </c>
      <c r="T256" s="1">
        <v>0</v>
      </c>
      <c r="U256" s="1">
        <f>Games[[#This Row],[PointsFor]]-Games[[#This Row],[PointsAgainst]]</f>
        <v>-10</v>
      </c>
      <c r="V256" s="1">
        <f>IF(Games[[#This Row],[MOV]]&gt;0,1,IF(Games[[#This Row],[MOV]]=0,0.5,0))</f>
        <v>0</v>
      </c>
      <c r="W256" s="4">
        <f>((ABS(Games[[#This Row],[MOV]])+5)^0.6)/(12+0.01*(ABS(Games[[#This Row],[PreGmRate]]-Games[[#This Row],[OppPreGmRate]])))*IF(Games[[#This Row],[OT]]=1,0.9,1)</f>
        <v>0.3898269259843814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6" s="9">
        <f>MAX(kmin, kmax - 0.15 * MIN(Games[[#This Row],[GamesPlayed]], 82))</f>
        <v>72.7</v>
      </c>
      <c r="Z256" s="4">
        <f>Games[[#This Row],[K]]*Games[[#This Row],[POMult]]</f>
        <v>72.7</v>
      </c>
      <c r="AA256" s="4">
        <f>(Games[[#This Row],[Keff]]*Games[[#This Row],[MOVMult]])*(Games[[#This Row],[Result]]-Games[[#This Row],[ExpectedWin%]])</f>
        <v>-14.924654619317481</v>
      </c>
      <c r="AB256" s="4">
        <f>Games[[#This Row],[PreGmRate]]+Games[[#This Row],[RatingChange]]</f>
        <v>1627.1968897369579</v>
      </c>
      <c r="AC256" s="2">
        <f>IF(Games[[#This Row],[Type]]="R",IF(Games[[#This Row],[Result]]&gt;0.5,1,0),0)</f>
        <v>0</v>
      </c>
      <c r="AD256" s="2">
        <f>IF(Games[[#This Row],[Type]]="R",IF(Games[[#This Row],[Result]]&lt;0.5,1,0),0)</f>
        <v>1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42225</v>
      </c>
      <c r="B257" s="2">
        <v>2015</v>
      </c>
      <c r="C257" s="2">
        <f>COUNTIFS(Games[Team],Games[[#This Row],[Team]],Games[Season],Games[[#This Row],[Season]],Games[Date],"&lt;=" &amp; Games[[#This Row],[Date]])</f>
        <v>23</v>
      </c>
      <c r="D257" s="2" t="s">
        <v>83</v>
      </c>
      <c r="E257" s="2" t="s">
        <v>84</v>
      </c>
      <c r="F257" s="1" t="s">
        <v>77</v>
      </c>
      <c r="G257" s="1" t="s">
        <v>40</v>
      </c>
      <c r="H257" s="1" t="s">
        <v>86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7" s="2">
        <f>Games[[#This Row],[DaysOff]]-Games[[#This Row],[OppDaysOff]]</f>
        <v>0</v>
      </c>
      <c r="L257" s="2">
        <f>Games[[#This Row],[OppDaysOff]]-Games[[#This Row],[DaysOff]]</f>
        <v>0</v>
      </c>
      <c r="M257" s="1">
        <f>MAX(-16, MIN(16, Games[[#This Row],[RestDiff]]*8))</f>
        <v>0</v>
      </c>
      <c r="N257" s="1">
        <f>MAX(-16, MIN(16, Games[[#This Row],[OppRestDiff]]*8))</f>
        <v>0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1539.6059782070961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1642.1215443562753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0.47337915507851286</v>
      </c>
      <c r="R257" s="1">
        <v>74</v>
      </c>
      <c r="S257" s="1">
        <v>64</v>
      </c>
      <c r="T257" s="1">
        <v>0</v>
      </c>
      <c r="U257" s="1">
        <f>Games[[#This Row],[PointsFor]]-Games[[#This Row],[PointsAgainst]]</f>
        <v>10</v>
      </c>
      <c r="V257" s="1">
        <f>IF(Games[[#This Row],[MOV]]&gt;0,1,IF(Games[[#This Row],[MOV]]=0,0.5,0))</f>
        <v>1</v>
      </c>
      <c r="W257" s="4">
        <f>((ABS(Games[[#This Row],[MOV]])+5)^0.6)/(12+0.01*(ABS(Games[[#This Row],[PreGmRate]]-Games[[#This Row],[OppPreGmRate]])))*IF(Games[[#This Row],[OT]]=1,0.9,1)</f>
        <v>0.3898269259843814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7" s="9">
        <f>MAX(kmin, kmax - 0.15 * MIN(Games[[#This Row],[GamesPlayed]], 82))</f>
        <v>72.55</v>
      </c>
      <c r="Z257" s="4">
        <f>Games[[#This Row],[K]]*Games[[#This Row],[POMult]]</f>
        <v>72.55</v>
      </c>
      <c r="AA257" s="4">
        <f>(Games[[#This Row],[Keff]]*Games[[#This Row],[MOVMult]])*(Games[[#This Row],[Result]]-Games[[#This Row],[ExpectedWin%]])</f>
        <v>14.89386097154722</v>
      </c>
      <c r="AB257" s="4">
        <f>Games[[#This Row],[PreGmRate]]+Games[[#This Row],[RatingChange]]</f>
        <v>1554.4998391786432</v>
      </c>
      <c r="AC257" s="2">
        <f>IF(Games[[#This Row],[Type]]="R",IF(Games[[#This Row],[Result]]&gt;0.5,1,0),0)</f>
        <v>1</v>
      </c>
      <c r="AD257" s="2">
        <f>IF(Games[[#This Row],[Type]]="R",IF(Games[[#This Row],[Result]]&lt;0.5,1,0),0)</f>
        <v>0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42225</v>
      </c>
      <c r="B258" s="2">
        <v>2015</v>
      </c>
      <c r="C258" s="2">
        <f>COUNTIFS(Games[Team],Games[[#This Row],[Team]],Games[Season],Games[[#This Row],[Season]],Games[Date],"&lt;=" &amp; Games[[#This Row],[Date]])</f>
        <v>22</v>
      </c>
      <c r="D258" s="2" t="s">
        <v>83</v>
      </c>
      <c r="E258" s="2" t="s">
        <v>84</v>
      </c>
      <c r="F258" s="1" t="s">
        <v>63</v>
      </c>
      <c r="G258" s="1" t="s">
        <v>67</v>
      </c>
      <c r="H258" s="1" t="s">
        <v>85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8" s="2">
        <f>Games[[#This Row],[DaysOff]]-Games[[#This Row],[OppDaysOff]]</f>
        <v>1</v>
      </c>
      <c r="L258" s="2">
        <f>Games[[#This Row],[OppDaysOff]]-Games[[#This Row],[DaysOff]]</f>
        <v>-1</v>
      </c>
      <c r="M258" s="1">
        <f>MAX(-16, MIN(16, Games[[#This Row],[RestDiff]]*8))</f>
        <v>8</v>
      </c>
      <c r="N258" s="1">
        <f>MAX(-16, MIN(16, Games[[#This Row],[OppRestDiff]]*8))</f>
        <v>-8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1471.9061443148298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1618.7146170265232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0.22503935179311255</v>
      </c>
      <c r="R258" s="1">
        <v>64</v>
      </c>
      <c r="S258" s="1">
        <v>72</v>
      </c>
      <c r="T258" s="1">
        <v>0</v>
      </c>
      <c r="U258" s="1">
        <f>Games[[#This Row],[PointsFor]]-Games[[#This Row],[PointsAgainst]]</f>
        <v>-8</v>
      </c>
      <c r="V258" s="1">
        <f>IF(Games[[#This Row],[MOV]]&gt;0,1,IF(Games[[#This Row],[MOV]]=0,0.5,0))</f>
        <v>0</v>
      </c>
      <c r="W258" s="4">
        <f>((ABS(Games[[#This Row],[MOV]])+5)^0.6)/(12+0.01*(ABS(Games[[#This Row],[PreGmRate]]-Games[[#This Row],[OppPreGmRate]])))*IF(Games[[#This Row],[OT]]=1,0.9,1)</f>
        <v>0.34598731107281727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8" s="9">
        <f>MAX(kmin, kmax - 0.15 * MIN(Games[[#This Row],[GamesPlayed]], 82))</f>
        <v>72.7</v>
      </c>
      <c r="Z258" s="4">
        <f>Games[[#This Row],[K]]*Games[[#This Row],[POMult]]</f>
        <v>72.7</v>
      </c>
      <c r="AA258" s="4">
        <f>(Games[[#This Row],[Keff]]*Games[[#This Row],[MOVMult]])*(Games[[#This Row],[Result]]-Games[[#This Row],[ExpectedWin%]])</f>
        <v>-5.6604772674464812</v>
      </c>
      <c r="AB258" s="4">
        <f>Games[[#This Row],[PreGmRate]]+Games[[#This Row],[RatingChange]]</f>
        <v>1466.2456670473834</v>
      </c>
      <c r="AC258" s="2">
        <f>IF(Games[[#This Row],[Type]]="R",IF(Games[[#This Row],[Result]]&gt;0.5,1,0),0)</f>
        <v>0</v>
      </c>
      <c r="AD258" s="2">
        <f>IF(Games[[#This Row],[Type]]="R",IF(Games[[#This Row],[Result]]&lt;0.5,1,0),0)</f>
        <v>1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42225</v>
      </c>
      <c r="B259" s="2">
        <v>2015</v>
      </c>
      <c r="C259" s="2">
        <f>COUNTIFS(Games[Team],Games[[#This Row],[Team]],Games[Season],Games[[#This Row],[Season]],Games[Date],"&lt;=" &amp; Games[[#This Row],[Date]])</f>
        <v>22</v>
      </c>
      <c r="D259" s="2" t="s">
        <v>83</v>
      </c>
      <c r="E259" s="2" t="s">
        <v>84</v>
      </c>
      <c r="F259" s="1" t="s">
        <v>67</v>
      </c>
      <c r="G259" s="1" t="s">
        <v>63</v>
      </c>
      <c r="H259" s="1" t="s">
        <v>86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9" s="2">
        <f>Games[[#This Row],[DaysOff]]-Games[[#This Row],[OppDaysOff]]</f>
        <v>-1</v>
      </c>
      <c r="L259" s="2">
        <f>Games[[#This Row],[OppDaysOff]]-Games[[#This Row],[DaysOff]]</f>
        <v>1</v>
      </c>
      <c r="M259" s="1">
        <f>MAX(-16, MIN(16, Games[[#This Row],[RestDiff]]*8))</f>
        <v>-8</v>
      </c>
      <c r="N259" s="1">
        <f>MAX(-16, MIN(16, Games[[#This Row],[OppRestDiff]]*8))</f>
        <v>8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1618.7146170265232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1471.9061443148298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0.77496064820688748</v>
      </c>
      <c r="R259" s="1">
        <v>72</v>
      </c>
      <c r="S259" s="1">
        <v>64</v>
      </c>
      <c r="T259" s="1">
        <v>0</v>
      </c>
      <c r="U259" s="1">
        <f>Games[[#This Row],[PointsFor]]-Games[[#This Row],[PointsAgainst]]</f>
        <v>8</v>
      </c>
      <c r="V259" s="1">
        <f>IF(Games[[#This Row],[MOV]]&gt;0,1,IF(Games[[#This Row],[MOV]]=0,0.5,0))</f>
        <v>1</v>
      </c>
      <c r="W259" s="4">
        <f>((ABS(Games[[#This Row],[MOV]])+5)^0.6)/(12+0.01*(ABS(Games[[#This Row],[PreGmRate]]-Games[[#This Row],[OppPreGmRate]])))*IF(Games[[#This Row],[OT]]=1,0.9,1)</f>
        <v>0.34598731107281727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9" s="9">
        <f>MAX(kmin, kmax - 0.15 * MIN(Games[[#This Row],[GamesPlayed]], 82))</f>
        <v>72.7</v>
      </c>
      <c r="Z259" s="4">
        <f>Games[[#This Row],[K]]*Games[[#This Row],[POMult]]</f>
        <v>72.7</v>
      </c>
      <c r="AA259" s="4">
        <f>(Games[[#This Row],[Keff]]*Games[[#This Row],[MOVMult]])*(Games[[#This Row],[Result]]-Games[[#This Row],[ExpectedWin%]])</f>
        <v>5.6604772674464812</v>
      </c>
      <c r="AB259" s="4">
        <f>Games[[#This Row],[PreGmRate]]+Games[[#This Row],[RatingChange]]</f>
        <v>1624.3750942939696</v>
      </c>
      <c r="AC259" s="2">
        <f>IF(Games[[#This Row],[Type]]="R",IF(Games[[#This Row],[Result]]&gt;0.5,1,0),0)</f>
        <v>1</v>
      </c>
      <c r="AD259" s="2">
        <f>IF(Games[[#This Row],[Type]]="R",IF(Games[[#This Row],[Result]]&lt;0.5,1,0),0)</f>
        <v>0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42225</v>
      </c>
      <c r="B260" s="2">
        <v>2015</v>
      </c>
      <c r="C260" s="2">
        <f>COUNTIFS(Games[Team],Games[[#This Row],[Team]],Games[Season],Games[[#This Row],[Season]],Games[Date],"&lt;=" &amp; Games[[#This Row],[Date]])</f>
        <v>22</v>
      </c>
      <c r="D260" s="2" t="s">
        <v>83</v>
      </c>
      <c r="E260" s="2" t="s">
        <v>84</v>
      </c>
      <c r="F260" s="1" t="s">
        <v>79</v>
      </c>
      <c r="G260" s="1" t="s">
        <v>81</v>
      </c>
      <c r="H260" s="1" t="s">
        <v>85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0" s="2">
        <f>Games[[#This Row],[DaysOff]]-Games[[#This Row],[OppDaysOff]]</f>
        <v>-1</v>
      </c>
      <c r="L260" s="2">
        <f>Games[[#This Row],[OppDaysOff]]-Games[[#This Row],[DaysOff]]</f>
        <v>1</v>
      </c>
      <c r="M260" s="1">
        <f>MAX(-16, MIN(16, Games[[#This Row],[RestDiff]]*8))</f>
        <v>-8</v>
      </c>
      <c r="N260" s="1">
        <f>MAX(-16, MIN(16, Games[[#This Row],[OppRestDiff]]*8))</f>
        <v>8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1401.8789379786372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1446.5871702762925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0.30300951612831367</v>
      </c>
      <c r="R260" s="1">
        <v>98</v>
      </c>
      <c r="S260" s="1">
        <v>90</v>
      </c>
      <c r="T260" s="1">
        <v>0</v>
      </c>
      <c r="U260" s="1">
        <f>Games[[#This Row],[PointsFor]]-Games[[#This Row],[PointsAgainst]]</f>
        <v>8</v>
      </c>
      <c r="V260" s="1">
        <f>IF(Games[[#This Row],[MOV]]&gt;0,1,IF(Games[[#This Row],[MOV]]=0,0.5,0))</f>
        <v>1</v>
      </c>
      <c r="W260" s="4">
        <f>((ABS(Games[[#This Row],[MOV]])+5)^0.6)/(12+0.01*(ABS(Games[[#This Row],[PreGmRate]]-Games[[#This Row],[OppPreGmRate]])))*IF(Games[[#This Row],[OT]]=1,0.9,1)</f>
        <v>0.37436776741119365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0" s="9">
        <f>MAX(kmin, kmax - 0.15 * MIN(Games[[#This Row],[GamesPlayed]], 82))</f>
        <v>72.7</v>
      </c>
      <c r="Z260" s="4">
        <f>Games[[#This Row],[K]]*Games[[#This Row],[POMult]]</f>
        <v>72.7</v>
      </c>
      <c r="AA260" s="4">
        <f>(Games[[#This Row],[Keff]]*Games[[#This Row],[MOVMult]])*(Games[[#This Row],[Result]]-Games[[#This Row],[ExpectedWin%]])</f>
        <v>18.969667077427861</v>
      </c>
      <c r="AB260" s="4">
        <f>Games[[#This Row],[PreGmRate]]+Games[[#This Row],[RatingChange]]</f>
        <v>1420.848605056065</v>
      </c>
      <c r="AC260" s="2">
        <f>IF(Games[[#This Row],[Type]]="R",IF(Games[[#This Row],[Result]]&gt;0.5,1,0),0)</f>
        <v>1</v>
      </c>
      <c r="AD260" s="2">
        <f>IF(Games[[#This Row],[Type]]="R",IF(Games[[#This Row],[Result]]&lt;0.5,1,0),0)</f>
        <v>0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42225</v>
      </c>
      <c r="B261" s="2">
        <v>2015</v>
      </c>
      <c r="C261" s="2">
        <f>COUNTIFS(Games[Team],Games[[#This Row],[Team]],Games[Season],Games[[#This Row],[Season]],Games[Date],"&lt;=" &amp; Games[[#This Row],[Date]])</f>
        <v>23</v>
      </c>
      <c r="D261" s="2" t="s">
        <v>83</v>
      </c>
      <c r="E261" s="2" t="s">
        <v>84</v>
      </c>
      <c r="F261" s="1" t="s">
        <v>81</v>
      </c>
      <c r="G261" s="1" t="s">
        <v>79</v>
      </c>
      <c r="H261" s="1" t="s">
        <v>86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1" s="2">
        <f>Games[[#This Row],[DaysOff]]-Games[[#This Row],[OppDaysOff]]</f>
        <v>1</v>
      </c>
      <c r="L261" s="2">
        <f>Games[[#This Row],[OppDaysOff]]-Games[[#This Row],[DaysOff]]</f>
        <v>-1</v>
      </c>
      <c r="M261" s="1">
        <f>MAX(-16, MIN(16, Games[[#This Row],[RestDiff]]*8))</f>
        <v>8</v>
      </c>
      <c r="N261" s="1">
        <f>MAX(-16, MIN(16, Games[[#This Row],[OppRestDiff]]*8))</f>
        <v>-8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1446.5871702762925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1401.8789379786372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0.69699048387168638</v>
      </c>
      <c r="R261" s="1">
        <v>90</v>
      </c>
      <c r="S261" s="1">
        <v>98</v>
      </c>
      <c r="T261" s="1">
        <v>0</v>
      </c>
      <c r="U261" s="1">
        <f>Games[[#This Row],[PointsFor]]-Games[[#This Row],[PointsAgainst]]</f>
        <v>-8</v>
      </c>
      <c r="V261" s="1">
        <f>IF(Games[[#This Row],[MOV]]&gt;0,1,IF(Games[[#This Row],[MOV]]=0,0.5,0))</f>
        <v>0</v>
      </c>
      <c r="W261" s="4">
        <f>((ABS(Games[[#This Row],[MOV]])+5)^0.6)/(12+0.01*(ABS(Games[[#This Row],[PreGmRate]]-Games[[#This Row],[OppPreGmRate]])))*IF(Games[[#This Row],[OT]]=1,0.9,1)</f>
        <v>0.37436776741119365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1" s="9">
        <f>MAX(kmin, kmax - 0.15 * MIN(Games[[#This Row],[GamesPlayed]], 82))</f>
        <v>72.55</v>
      </c>
      <c r="Z261" s="4">
        <f>Games[[#This Row],[K]]*Games[[#This Row],[POMult]]</f>
        <v>72.55</v>
      </c>
      <c r="AA261" s="4">
        <f>(Games[[#This Row],[Keff]]*Games[[#This Row],[MOVMult]])*(Games[[#This Row],[Result]]-Games[[#This Row],[ExpectedWin%]])</f>
        <v>-18.930527461724775</v>
      </c>
      <c r="AB261" s="4">
        <f>Games[[#This Row],[PreGmRate]]+Games[[#This Row],[RatingChange]]</f>
        <v>1427.6566428145677</v>
      </c>
      <c r="AC261" s="2">
        <f>IF(Games[[#This Row],[Type]]="R",IF(Games[[#This Row],[Result]]&gt;0.5,1,0),0)</f>
        <v>0</v>
      </c>
      <c r="AD261" s="2">
        <f>IF(Games[[#This Row],[Type]]="R",IF(Games[[#This Row],[Result]]&lt;0.5,1,0),0)</f>
        <v>1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42225</v>
      </c>
      <c r="B262" s="2">
        <v>2015</v>
      </c>
      <c r="C262" s="2">
        <f>COUNTIFS(Games[Team],Games[[#This Row],[Team]],Games[Season],Games[[#This Row],[Season]],Games[Date],"&lt;=" &amp; Games[[#This Row],[Date]])</f>
        <v>21</v>
      </c>
      <c r="D262" s="2" t="s">
        <v>83</v>
      </c>
      <c r="E262" s="2" t="s">
        <v>84</v>
      </c>
      <c r="F262" s="1" t="s">
        <v>76</v>
      </c>
      <c r="G262" s="1" t="s">
        <v>65</v>
      </c>
      <c r="H262" s="1" t="s">
        <v>85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2" s="2">
        <f>Games[[#This Row],[DaysOff]]-Games[[#This Row],[OppDaysOff]]</f>
        <v>0</v>
      </c>
      <c r="L262" s="2">
        <f>Games[[#This Row],[OppDaysOff]]-Games[[#This Row],[DaysOff]]</f>
        <v>0</v>
      </c>
      <c r="M262" s="1">
        <f>MAX(-16, MIN(16, Games[[#This Row],[RestDiff]]*8))</f>
        <v>0</v>
      </c>
      <c r="N262" s="1">
        <f>MAX(-16, MIN(16, Games[[#This Row],[OppRestDiff]]*8))</f>
        <v>0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1497.2388717352235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1536.2766888697861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0.32998285367852637</v>
      </c>
      <c r="R262" s="1">
        <v>73</v>
      </c>
      <c r="S262" s="1">
        <v>84</v>
      </c>
      <c r="T262" s="1">
        <v>0</v>
      </c>
      <c r="U262" s="1">
        <f>Games[[#This Row],[PointsFor]]-Games[[#This Row],[PointsAgainst]]</f>
        <v>-11</v>
      </c>
      <c r="V262" s="1">
        <f>IF(Games[[#This Row],[MOV]]&gt;0,1,IF(Games[[#This Row],[MOV]]=0,0.5,0))</f>
        <v>0</v>
      </c>
      <c r="W262" s="4">
        <f>((ABS(Games[[#This Row],[MOV]])+5)^0.6)/(12+0.01*(ABS(Games[[#This Row],[PreGmRate]]-Games[[#This Row],[OppPreGmRate]])))*IF(Games[[#This Row],[OT]]=1,0.9,1)</f>
        <v>0.42597825264911743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2" s="9">
        <f>MAX(kmin, kmax - 0.15 * MIN(Games[[#This Row],[GamesPlayed]], 82))</f>
        <v>72.849999999999994</v>
      </c>
      <c r="Z262" s="4">
        <f>Games[[#This Row],[K]]*Games[[#This Row],[POMult]]</f>
        <v>72.849999999999994</v>
      </c>
      <c r="AA262" s="4">
        <f>(Games[[#This Row],[Keff]]*Games[[#This Row],[MOVMult]])*(Games[[#This Row],[Result]]-Games[[#This Row],[ExpectedWin%]])</f>
        <v>-10.240198089320685</v>
      </c>
      <c r="AB262" s="4">
        <f>Games[[#This Row],[PreGmRate]]+Games[[#This Row],[RatingChange]]</f>
        <v>1486.9986736459027</v>
      </c>
      <c r="AC262" s="2">
        <f>IF(Games[[#This Row],[Type]]="R",IF(Games[[#This Row],[Result]]&gt;0.5,1,0),0)</f>
        <v>0</v>
      </c>
      <c r="AD262" s="2">
        <f>IF(Games[[#This Row],[Type]]="R",IF(Games[[#This Row],[Result]]&lt;0.5,1,0),0)</f>
        <v>1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42225</v>
      </c>
      <c r="B263" s="2">
        <v>2015</v>
      </c>
      <c r="C263" s="2">
        <f>COUNTIFS(Games[Team],Games[[#This Row],[Team]],Games[Season],Games[[#This Row],[Season]],Games[Date],"&lt;=" &amp; Games[[#This Row],[Date]])</f>
        <v>21</v>
      </c>
      <c r="D263" s="2" t="s">
        <v>83</v>
      </c>
      <c r="E263" s="2" t="s">
        <v>84</v>
      </c>
      <c r="F263" s="1" t="s">
        <v>65</v>
      </c>
      <c r="G263" s="1" t="s">
        <v>76</v>
      </c>
      <c r="H263" s="1" t="s">
        <v>86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3" s="2">
        <f>Games[[#This Row],[DaysOff]]-Games[[#This Row],[OppDaysOff]]</f>
        <v>0</v>
      </c>
      <c r="L263" s="2">
        <f>Games[[#This Row],[OppDaysOff]]-Games[[#This Row],[DaysOff]]</f>
        <v>0</v>
      </c>
      <c r="M263" s="1">
        <f>MAX(-16, MIN(16, Games[[#This Row],[RestDiff]]*8))</f>
        <v>0</v>
      </c>
      <c r="N263" s="1">
        <f>MAX(-16, MIN(16, Games[[#This Row],[OppRestDiff]]*8))</f>
        <v>0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1536.2766888697861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1497.2388717352235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0.67001714632147358</v>
      </c>
      <c r="R263" s="1">
        <v>84</v>
      </c>
      <c r="S263" s="1">
        <v>73</v>
      </c>
      <c r="T263" s="1">
        <v>0</v>
      </c>
      <c r="U263" s="1">
        <f>Games[[#This Row],[PointsFor]]-Games[[#This Row],[PointsAgainst]]</f>
        <v>11</v>
      </c>
      <c r="V263" s="1">
        <f>IF(Games[[#This Row],[MOV]]&gt;0,1,IF(Games[[#This Row],[MOV]]=0,0.5,0))</f>
        <v>1</v>
      </c>
      <c r="W263" s="4">
        <f>((ABS(Games[[#This Row],[MOV]])+5)^0.6)/(12+0.01*(ABS(Games[[#This Row],[PreGmRate]]-Games[[#This Row],[OppPreGmRate]])))*IF(Games[[#This Row],[OT]]=1,0.9,1)</f>
        <v>0.42597825264911743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3" s="9">
        <f>MAX(kmin, kmax - 0.15 * MIN(Games[[#This Row],[GamesPlayed]], 82))</f>
        <v>72.849999999999994</v>
      </c>
      <c r="Z263" s="4">
        <f>Games[[#This Row],[K]]*Games[[#This Row],[POMult]]</f>
        <v>72.849999999999994</v>
      </c>
      <c r="AA263" s="4">
        <f>(Games[[#This Row],[Keff]]*Games[[#This Row],[MOVMult]])*(Games[[#This Row],[Result]]-Games[[#This Row],[ExpectedWin%]])</f>
        <v>10.240198089320685</v>
      </c>
      <c r="AB263" s="4">
        <f>Games[[#This Row],[PreGmRate]]+Games[[#This Row],[RatingChange]]</f>
        <v>1546.5168869591068</v>
      </c>
      <c r="AC263" s="2">
        <f>IF(Games[[#This Row],[Type]]="R",IF(Games[[#This Row],[Result]]&gt;0.5,1,0),0)</f>
        <v>1</v>
      </c>
      <c r="AD263" s="2">
        <f>IF(Games[[#This Row],[Type]]="R",IF(Games[[#This Row],[Result]]&lt;0.5,1,0),0)</f>
        <v>0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42227</v>
      </c>
      <c r="B264" s="2">
        <v>2015</v>
      </c>
      <c r="C264" s="2">
        <f>COUNTIFS(Games[Team],Games[[#This Row],[Team]],Games[Season],Games[[#This Row],[Season]],Games[Date],"&lt;=" &amp; Games[[#This Row],[Date]])</f>
        <v>23</v>
      </c>
      <c r="D264" s="2" t="s">
        <v>83</v>
      </c>
      <c r="E264" s="2" t="s">
        <v>84</v>
      </c>
      <c r="F264" s="1" t="s">
        <v>71</v>
      </c>
      <c r="G264" s="1" t="s">
        <v>63</v>
      </c>
      <c r="H264" s="1" t="s">
        <v>85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4" s="2">
        <f>Games[[#This Row],[DaysOff]]-Games[[#This Row],[OppDaysOff]]</f>
        <v>1</v>
      </c>
      <c r="L264" s="2">
        <f>Games[[#This Row],[OppDaysOff]]-Games[[#This Row],[DaysOff]]</f>
        <v>-1</v>
      </c>
      <c r="M264" s="1">
        <f>MAX(-16, MIN(16, Games[[#This Row],[RestDiff]]*8))</f>
        <v>8</v>
      </c>
      <c r="N264" s="1">
        <f>MAX(-16, MIN(16, Games[[#This Row],[OppRestDiff]]*8))</f>
        <v>-8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1373.5280962996433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1466.2456670473834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0.28390671955974572</v>
      </c>
      <c r="R264" s="1">
        <v>85</v>
      </c>
      <c r="S264" s="1">
        <v>77</v>
      </c>
      <c r="T264" s="1">
        <v>0</v>
      </c>
      <c r="U264" s="1">
        <f>Games[[#This Row],[PointsFor]]-Games[[#This Row],[PointsAgainst]]</f>
        <v>8</v>
      </c>
      <c r="V264" s="1">
        <f>IF(Games[[#This Row],[MOV]]&gt;0,1,IF(Games[[#This Row],[MOV]]=0,0.5,0))</f>
        <v>1</v>
      </c>
      <c r="W264" s="4">
        <f>((ABS(Games[[#This Row],[MOV]])+5)^0.6)/(12+0.01*(ABS(Games[[#This Row],[PreGmRate]]-Games[[#This Row],[OppPreGmRate]])))*IF(Games[[#This Row],[OT]]=1,0.9,1)</f>
        <v>0.36046438336416586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4" s="9">
        <f>MAX(kmin, kmax - 0.15 * MIN(Games[[#This Row],[GamesPlayed]], 82))</f>
        <v>72.55</v>
      </c>
      <c r="Z264" s="4">
        <f>Games[[#This Row],[K]]*Games[[#This Row],[POMult]]</f>
        <v>72.55</v>
      </c>
      <c r="AA264" s="4">
        <f>(Games[[#This Row],[Keff]]*Games[[#This Row],[MOVMult]])*(Games[[#This Row],[Result]]-Games[[#This Row],[ExpectedWin%]])</f>
        <v>18.727050206609377</v>
      </c>
      <c r="AB264" s="4">
        <f>Games[[#This Row],[PreGmRate]]+Games[[#This Row],[RatingChange]]</f>
        <v>1392.2551465062527</v>
      </c>
      <c r="AC264" s="2">
        <f>IF(Games[[#This Row],[Type]]="R",IF(Games[[#This Row],[Result]]&gt;0.5,1,0),0)</f>
        <v>1</v>
      </c>
      <c r="AD264" s="2">
        <f>IF(Games[[#This Row],[Type]]="R",IF(Games[[#This Row],[Result]]&lt;0.5,1,0),0)</f>
        <v>0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42227</v>
      </c>
      <c r="B265" s="2">
        <v>2015</v>
      </c>
      <c r="C265" s="2">
        <f>COUNTIFS(Games[Team],Games[[#This Row],[Team]],Games[Season],Games[[#This Row],[Season]],Games[Date],"&lt;=" &amp; Games[[#This Row],[Date]])</f>
        <v>23</v>
      </c>
      <c r="D265" s="2" t="s">
        <v>83</v>
      </c>
      <c r="E265" s="2" t="s">
        <v>84</v>
      </c>
      <c r="F265" s="1" t="s">
        <v>63</v>
      </c>
      <c r="G265" s="1" t="s">
        <v>71</v>
      </c>
      <c r="H265" s="1" t="s">
        <v>86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5" s="2">
        <f>Games[[#This Row],[DaysOff]]-Games[[#This Row],[OppDaysOff]]</f>
        <v>-1</v>
      </c>
      <c r="L265" s="2">
        <f>Games[[#This Row],[OppDaysOff]]-Games[[#This Row],[DaysOff]]</f>
        <v>1</v>
      </c>
      <c r="M265" s="1">
        <f>MAX(-16, MIN(16, Games[[#This Row],[RestDiff]]*8))</f>
        <v>-8</v>
      </c>
      <c r="N265" s="1">
        <f>MAX(-16, MIN(16, Games[[#This Row],[OppRestDiff]]*8))</f>
        <v>8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1466.2456670473834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1373.5280962996433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0.71609328044025433</v>
      </c>
      <c r="R265" s="1">
        <v>77</v>
      </c>
      <c r="S265" s="1">
        <v>85</v>
      </c>
      <c r="T265" s="1">
        <v>0</v>
      </c>
      <c r="U265" s="1">
        <f>Games[[#This Row],[PointsFor]]-Games[[#This Row],[PointsAgainst]]</f>
        <v>-8</v>
      </c>
      <c r="V265" s="1">
        <f>IF(Games[[#This Row],[MOV]]&gt;0,1,IF(Games[[#This Row],[MOV]]=0,0.5,0))</f>
        <v>0</v>
      </c>
      <c r="W265" s="4">
        <f>((ABS(Games[[#This Row],[MOV]])+5)^0.6)/(12+0.01*(ABS(Games[[#This Row],[PreGmRate]]-Games[[#This Row],[OppPreGmRate]])))*IF(Games[[#This Row],[OT]]=1,0.9,1)</f>
        <v>0.36046438336416586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5" s="9">
        <f>MAX(kmin, kmax - 0.15 * MIN(Games[[#This Row],[GamesPlayed]], 82))</f>
        <v>72.55</v>
      </c>
      <c r="Z265" s="4">
        <f>Games[[#This Row],[K]]*Games[[#This Row],[POMult]]</f>
        <v>72.55</v>
      </c>
      <c r="AA265" s="4">
        <f>(Games[[#This Row],[Keff]]*Games[[#This Row],[MOVMult]])*(Games[[#This Row],[Result]]-Games[[#This Row],[ExpectedWin%]])</f>
        <v>-18.72705020660938</v>
      </c>
      <c r="AB265" s="4">
        <f>Games[[#This Row],[PreGmRate]]+Games[[#This Row],[RatingChange]]</f>
        <v>1447.518616840774</v>
      </c>
      <c r="AC265" s="2">
        <f>IF(Games[[#This Row],[Type]]="R",IF(Games[[#This Row],[Result]]&gt;0.5,1,0),0)</f>
        <v>0</v>
      </c>
      <c r="AD265" s="2">
        <f>IF(Games[[#This Row],[Type]]="R",IF(Games[[#This Row],[Result]]&lt;0.5,1,0),0)</f>
        <v>1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42227</v>
      </c>
      <c r="B266" s="2">
        <v>2015</v>
      </c>
      <c r="C266" s="2">
        <f>COUNTIFS(Games[Team],Games[[#This Row],[Team]],Games[Season],Games[[#This Row],[Season]],Games[Date],"&lt;=" &amp; Games[[#This Row],[Date]])</f>
        <v>24</v>
      </c>
      <c r="D266" s="2" t="s">
        <v>83</v>
      </c>
      <c r="E266" s="2" t="s">
        <v>84</v>
      </c>
      <c r="F266" s="1" t="s">
        <v>74</v>
      </c>
      <c r="G266" s="1" t="s">
        <v>67</v>
      </c>
      <c r="H266" s="1" t="s">
        <v>85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6" s="2">
        <f>Games[[#This Row],[DaysOff]]-Games[[#This Row],[OppDaysOff]]</f>
        <v>1</v>
      </c>
      <c r="L266" s="2">
        <f>Games[[#This Row],[OppDaysOff]]-Games[[#This Row],[DaysOff]]</f>
        <v>-1</v>
      </c>
      <c r="M266" s="1">
        <f>MAX(-16, MIN(16, Games[[#This Row],[RestDiff]]*8))</f>
        <v>8</v>
      </c>
      <c r="N266" s="1">
        <f>MAX(-16, MIN(16, Games[[#This Row],[OppRestDiff]]*8))</f>
        <v>-8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1400.2412669489283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1624.3750942939696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0.15687611461108267</v>
      </c>
      <c r="R266" s="1">
        <v>76</v>
      </c>
      <c r="S266" s="1">
        <v>83</v>
      </c>
      <c r="T266" s="1">
        <v>0</v>
      </c>
      <c r="U266" s="1">
        <f>Games[[#This Row],[PointsFor]]-Games[[#This Row],[PointsAgainst]]</f>
        <v>-7</v>
      </c>
      <c r="V266" s="1">
        <f>IF(Games[[#This Row],[MOV]]&gt;0,1,IF(Games[[#This Row],[MOV]]=0,0.5,0))</f>
        <v>0</v>
      </c>
      <c r="W266" s="4">
        <f>((ABS(Games[[#This Row],[MOV]])+5)^0.6)/(12+0.01*(ABS(Games[[#This Row],[PreGmRate]]-Games[[#This Row],[OppPreGmRate]])))*IF(Games[[#This Row],[OT]]=1,0.9,1)</f>
        <v>0.3118587582548728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6" s="9">
        <f>MAX(kmin, kmax - 0.15 * MIN(Games[[#This Row],[GamesPlayed]], 82))</f>
        <v>72.400000000000006</v>
      </c>
      <c r="Z266" s="4">
        <f>Games[[#This Row],[K]]*Games[[#This Row],[POMult]]</f>
        <v>72.400000000000006</v>
      </c>
      <c r="AA266" s="4">
        <f>(Games[[#This Row],[Keff]]*Games[[#This Row],[MOVMult]])*(Games[[#This Row],[Result]]-Games[[#This Row],[ExpectedWin%]])</f>
        <v>-3.5420389778982022</v>
      </c>
      <c r="AB266" s="4">
        <f>Games[[#This Row],[PreGmRate]]+Games[[#This Row],[RatingChange]]</f>
        <v>1396.69922797103</v>
      </c>
      <c r="AC266" s="2">
        <f>IF(Games[[#This Row],[Type]]="R",IF(Games[[#This Row],[Result]]&gt;0.5,1,0),0)</f>
        <v>0</v>
      </c>
      <c r="AD266" s="2">
        <f>IF(Games[[#This Row],[Type]]="R",IF(Games[[#This Row],[Result]]&lt;0.5,1,0),0)</f>
        <v>1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42227</v>
      </c>
      <c r="B267" s="2">
        <v>2015</v>
      </c>
      <c r="C267" s="2">
        <f>COUNTIFS(Games[Team],Games[[#This Row],[Team]],Games[Season],Games[[#This Row],[Season]],Games[Date],"&lt;=" &amp; Games[[#This Row],[Date]])</f>
        <v>23</v>
      </c>
      <c r="D267" s="2" t="s">
        <v>83</v>
      </c>
      <c r="E267" s="2" t="s">
        <v>84</v>
      </c>
      <c r="F267" s="1" t="s">
        <v>67</v>
      </c>
      <c r="G267" s="1" t="s">
        <v>74</v>
      </c>
      <c r="H267" s="1" t="s">
        <v>86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7" s="2">
        <f>Games[[#This Row],[DaysOff]]-Games[[#This Row],[OppDaysOff]]</f>
        <v>-1</v>
      </c>
      <c r="L267" s="2">
        <f>Games[[#This Row],[OppDaysOff]]-Games[[#This Row],[DaysOff]]</f>
        <v>1</v>
      </c>
      <c r="M267" s="1">
        <f>MAX(-16, MIN(16, Games[[#This Row],[RestDiff]]*8))</f>
        <v>-8</v>
      </c>
      <c r="N267" s="1">
        <f>MAX(-16, MIN(16, Games[[#This Row],[OppRestDiff]]*8))</f>
        <v>8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1624.3750942939696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1400.2412669489283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0.84312388538891725</v>
      </c>
      <c r="R267" s="1">
        <v>83</v>
      </c>
      <c r="S267" s="1">
        <v>76</v>
      </c>
      <c r="T267" s="1">
        <v>0</v>
      </c>
      <c r="U267" s="1">
        <f>Games[[#This Row],[PointsFor]]-Games[[#This Row],[PointsAgainst]]</f>
        <v>7</v>
      </c>
      <c r="V267" s="1">
        <f>IF(Games[[#This Row],[MOV]]&gt;0,1,IF(Games[[#This Row],[MOV]]=0,0.5,0))</f>
        <v>1</v>
      </c>
      <c r="W267" s="4">
        <f>((ABS(Games[[#This Row],[MOV]])+5)^0.6)/(12+0.01*(ABS(Games[[#This Row],[PreGmRate]]-Games[[#This Row],[OppPreGmRate]])))*IF(Games[[#This Row],[OT]]=1,0.9,1)</f>
        <v>0.3118587582548728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7" s="9">
        <f>MAX(kmin, kmax - 0.15 * MIN(Games[[#This Row],[GamesPlayed]], 82))</f>
        <v>72.55</v>
      </c>
      <c r="Z267" s="4">
        <f>Games[[#This Row],[K]]*Games[[#This Row],[POMult]]</f>
        <v>72.55</v>
      </c>
      <c r="AA267" s="4">
        <f>(Games[[#This Row],[Keff]]*Games[[#This Row],[MOVMult]])*(Games[[#This Row],[Result]]-Games[[#This Row],[ExpectedWin%]])</f>
        <v>3.5493774564435729</v>
      </c>
      <c r="AB267" s="4">
        <f>Games[[#This Row],[PreGmRate]]+Games[[#This Row],[RatingChange]]</f>
        <v>1627.9244717504132</v>
      </c>
      <c r="AC267" s="2">
        <f>IF(Games[[#This Row],[Type]]="R",IF(Games[[#This Row],[Result]]&gt;0.5,1,0),0)</f>
        <v>1</v>
      </c>
      <c r="AD267" s="2">
        <f>IF(Games[[#This Row],[Type]]="R",IF(Games[[#This Row],[Result]]&lt;0.5,1,0),0)</f>
        <v>0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42227</v>
      </c>
      <c r="B268" s="2">
        <v>2015</v>
      </c>
      <c r="C268" s="2">
        <f>COUNTIFS(Games[Team],Games[[#This Row],[Team]],Games[Season],Games[[#This Row],[Season]],Games[Date],"&lt;=" &amp; Games[[#This Row],[Date]])</f>
        <v>24</v>
      </c>
      <c r="D268" s="2" t="s">
        <v>83</v>
      </c>
      <c r="E268" s="2" t="s">
        <v>84</v>
      </c>
      <c r="F268" s="1" t="s">
        <v>77</v>
      </c>
      <c r="G268" s="1" t="s">
        <v>60</v>
      </c>
      <c r="H268" s="1" t="s">
        <v>85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8" s="2">
        <f>Games[[#This Row],[DaysOff]]-Games[[#This Row],[OppDaysOff]]</f>
        <v>-2</v>
      </c>
      <c r="L268" s="2">
        <f>Games[[#This Row],[OppDaysOff]]-Games[[#This Row],[DaysOff]]</f>
        <v>2</v>
      </c>
      <c r="M268" s="1">
        <f>MAX(-16, MIN(16, Games[[#This Row],[RestDiff]]*8))</f>
        <v>-16</v>
      </c>
      <c r="N268" s="1">
        <f>MAX(-16, MIN(16, Games[[#This Row],[OppRestDiff]]*8))</f>
        <v>16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1554.4998391786432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1557.1233713244164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0.33562507622382359</v>
      </c>
      <c r="R268" s="1">
        <v>63</v>
      </c>
      <c r="S268" s="1">
        <v>84</v>
      </c>
      <c r="T268" s="1">
        <v>0</v>
      </c>
      <c r="U268" s="1">
        <f>Games[[#This Row],[PointsFor]]-Games[[#This Row],[PointsAgainst]]</f>
        <v>-21</v>
      </c>
      <c r="V268" s="1">
        <f>IF(Games[[#This Row],[MOV]]&gt;0,1,IF(Games[[#This Row],[MOV]]=0,0.5,0))</f>
        <v>0</v>
      </c>
      <c r="W268" s="4">
        <f>((ABS(Games[[#This Row],[MOV]])+5)^0.6)/(12+0.01*(ABS(Games[[#This Row],[PreGmRate]]-Games[[#This Row],[OppPreGmRate]])))*IF(Games[[#This Row],[OT]]=1,0.9,1)</f>
        <v>0.58729230590115633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8" s="9">
        <f>MAX(kmin, kmax - 0.15 * MIN(Games[[#This Row],[GamesPlayed]], 82))</f>
        <v>72.400000000000006</v>
      </c>
      <c r="Z268" s="4">
        <f>Games[[#This Row],[K]]*Games[[#This Row],[POMult]]</f>
        <v>72.400000000000006</v>
      </c>
      <c r="AA268" s="4">
        <f>(Games[[#This Row],[Keff]]*Games[[#This Row],[MOVMult]])*(Games[[#This Row],[Result]]-Games[[#This Row],[ExpectedWin%]])</f>
        <v>-14.270765805202828</v>
      </c>
      <c r="AB268" s="4">
        <f>Games[[#This Row],[PreGmRate]]+Games[[#This Row],[RatingChange]]</f>
        <v>1540.2290733734403</v>
      </c>
      <c r="AC268" s="2">
        <f>IF(Games[[#This Row],[Type]]="R",IF(Games[[#This Row],[Result]]&gt;0.5,1,0),0)</f>
        <v>0</v>
      </c>
      <c r="AD268" s="2">
        <f>IF(Games[[#This Row],[Type]]="R",IF(Games[[#This Row],[Result]]&lt;0.5,1,0),0)</f>
        <v>1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42227</v>
      </c>
      <c r="B269" s="2">
        <v>2015</v>
      </c>
      <c r="C269" s="2">
        <f>COUNTIFS(Games[Team],Games[[#This Row],[Team]],Games[Season],Games[[#This Row],[Season]],Games[Date],"&lt;=" &amp; Games[[#This Row],[Date]])</f>
        <v>21</v>
      </c>
      <c r="D269" s="2" t="s">
        <v>83</v>
      </c>
      <c r="E269" s="2" t="s">
        <v>84</v>
      </c>
      <c r="F269" s="1" t="s">
        <v>60</v>
      </c>
      <c r="G269" s="1" t="s">
        <v>77</v>
      </c>
      <c r="H269" s="1" t="s">
        <v>86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9" s="2">
        <f>Games[[#This Row],[DaysOff]]-Games[[#This Row],[OppDaysOff]]</f>
        <v>2</v>
      </c>
      <c r="L269" s="2">
        <f>Games[[#This Row],[OppDaysOff]]-Games[[#This Row],[DaysOff]]</f>
        <v>-2</v>
      </c>
      <c r="M269" s="1">
        <f>MAX(-16, MIN(16, Games[[#This Row],[RestDiff]]*8))</f>
        <v>16</v>
      </c>
      <c r="N269" s="1">
        <f>MAX(-16, MIN(16, Games[[#This Row],[OppRestDiff]]*8))</f>
        <v>-16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1557.1233713244164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1554.4998391786432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0.66437492377617646</v>
      </c>
      <c r="R269" s="1">
        <v>84</v>
      </c>
      <c r="S269" s="1">
        <v>63</v>
      </c>
      <c r="T269" s="1">
        <v>0</v>
      </c>
      <c r="U269" s="1">
        <f>Games[[#This Row],[PointsFor]]-Games[[#This Row],[PointsAgainst]]</f>
        <v>21</v>
      </c>
      <c r="V269" s="1">
        <f>IF(Games[[#This Row],[MOV]]&gt;0,1,IF(Games[[#This Row],[MOV]]=0,0.5,0))</f>
        <v>1</v>
      </c>
      <c r="W269" s="4">
        <f>((ABS(Games[[#This Row],[MOV]])+5)^0.6)/(12+0.01*(ABS(Games[[#This Row],[PreGmRate]]-Games[[#This Row],[OppPreGmRate]])))*IF(Games[[#This Row],[OT]]=1,0.9,1)</f>
        <v>0.58729230590115633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9" s="9">
        <f>MAX(kmin, kmax - 0.15 * MIN(Games[[#This Row],[GamesPlayed]], 82))</f>
        <v>72.849999999999994</v>
      </c>
      <c r="Z269" s="4">
        <f>Games[[#This Row],[K]]*Games[[#This Row],[POMult]]</f>
        <v>72.849999999999994</v>
      </c>
      <c r="AA269" s="4">
        <f>(Games[[#This Row],[Keff]]*Games[[#This Row],[MOVMult]])*(Games[[#This Row],[Result]]-Games[[#This Row],[ExpectedWin%]])</f>
        <v>14.359465316423007</v>
      </c>
      <c r="AB269" s="4">
        <f>Games[[#This Row],[PreGmRate]]+Games[[#This Row],[RatingChange]]</f>
        <v>1571.4828366408394</v>
      </c>
      <c r="AC269" s="2">
        <f>IF(Games[[#This Row],[Type]]="R",IF(Games[[#This Row],[Result]]&gt;0.5,1,0),0)</f>
        <v>1</v>
      </c>
      <c r="AD269" s="2">
        <f>IF(Games[[#This Row],[Type]]="R",IF(Games[[#This Row],[Result]]&lt;0.5,1,0),0)</f>
        <v>0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42227</v>
      </c>
      <c r="B270" s="2">
        <v>2015</v>
      </c>
      <c r="C270" s="2">
        <f>COUNTIFS(Games[Team],Games[[#This Row],[Team]],Games[Season],Games[[#This Row],[Season]],Games[Date],"&lt;=" &amp; Games[[#This Row],[Date]])</f>
        <v>22</v>
      </c>
      <c r="D270" s="2" t="s">
        <v>83</v>
      </c>
      <c r="E270" s="2" t="s">
        <v>84</v>
      </c>
      <c r="F270" s="1" t="s">
        <v>69</v>
      </c>
      <c r="G270" s="1" t="s">
        <v>65</v>
      </c>
      <c r="H270" s="1" t="s">
        <v>85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0" s="2">
        <f>Games[[#This Row],[DaysOff]]-Games[[#This Row],[OppDaysOff]]</f>
        <v>2</v>
      </c>
      <c r="L270" s="2">
        <f>Games[[#This Row],[OppDaysOff]]-Games[[#This Row],[DaysOff]]</f>
        <v>-2</v>
      </c>
      <c r="M270" s="1">
        <f>MAX(-16, MIN(16, Games[[#This Row],[RestDiff]]*8))</f>
        <v>16</v>
      </c>
      <c r="N270" s="1">
        <f>MAX(-16, MIN(16, Games[[#This Row],[OppRestDiff]]*8))</f>
        <v>-16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1515.9587305933669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1546.5168869591068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0.38337606065904312</v>
      </c>
      <c r="R270" s="1">
        <v>73</v>
      </c>
      <c r="S270" s="1">
        <v>62</v>
      </c>
      <c r="T270" s="1">
        <v>0</v>
      </c>
      <c r="U270" s="1">
        <f>Games[[#This Row],[PointsFor]]-Games[[#This Row],[PointsAgainst]]</f>
        <v>11</v>
      </c>
      <c r="V270" s="1">
        <f>IF(Games[[#This Row],[MOV]]&gt;0,1,IF(Games[[#This Row],[MOV]]=0,0.5,0))</f>
        <v>1</v>
      </c>
      <c r="W270" s="4">
        <f>((ABS(Games[[#This Row],[MOV]])+5)^0.6)/(12+0.01*(ABS(Games[[#This Row],[PreGmRate]]-Games[[#This Row],[OppPreGmRate]])))*IF(Games[[#This Row],[OT]]=1,0.9,1)</f>
        <v>0.42891362881047518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0" s="9">
        <f>MAX(kmin, kmax - 0.15 * MIN(Games[[#This Row],[GamesPlayed]], 82))</f>
        <v>72.7</v>
      </c>
      <c r="Z270" s="4">
        <f>Games[[#This Row],[K]]*Games[[#This Row],[POMult]]</f>
        <v>72.7</v>
      </c>
      <c r="AA270" s="4">
        <f>(Games[[#This Row],[Keff]]*Games[[#This Row],[MOVMult]])*(Games[[#This Row],[Result]]-Games[[#This Row],[ExpectedWin%]])</f>
        <v>19.227580511261991</v>
      </c>
      <c r="AB270" s="4">
        <f>Games[[#This Row],[PreGmRate]]+Games[[#This Row],[RatingChange]]</f>
        <v>1535.1863111046289</v>
      </c>
      <c r="AC270" s="2">
        <f>IF(Games[[#This Row],[Type]]="R",IF(Games[[#This Row],[Result]]&gt;0.5,1,0),0)</f>
        <v>1</v>
      </c>
      <c r="AD270" s="2">
        <f>IF(Games[[#This Row],[Type]]="R",IF(Games[[#This Row],[Result]]&lt;0.5,1,0),0)</f>
        <v>0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42227</v>
      </c>
      <c r="B271" s="2">
        <v>2015</v>
      </c>
      <c r="C271" s="2">
        <f>COUNTIFS(Games[Team],Games[[#This Row],[Team]],Games[Season],Games[[#This Row],[Season]],Games[Date],"&lt;=" &amp; Games[[#This Row],[Date]])</f>
        <v>22</v>
      </c>
      <c r="D271" s="2" t="s">
        <v>83</v>
      </c>
      <c r="E271" s="2" t="s">
        <v>84</v>
      </c>
      <c r="F271" s="1" t="s">
        <v>65</v>
      </c>
      <c r="G271" s="1" t="s">
        <v>69</v>
      </c>
      <c r="H271" s="1" t="s">
        <v>86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1" s="2">
        <f>Games[[#This Row],[DaysOff]]-Games[[#This Row],[OppDaysOff]]</f>
        <v>-2</v>
      </c>
      <c r="L271" s="2">
        <f>Games[[#This Row],[OppDaysOff]]-Games[[#This Row],[DaysOff]]</f>
        <v>2</v>
      </c>
      <c r="M271" s="1">
        <f>MAX(-16, MIN(16, Games[[#This Row],[RestDiff]]*8))</f>
        <v>-16</v>
      </c>
      <c r="N271" s="1">
        <f>MAX(-16, MIN(16, Games[[#This Row],[OppRestDiff]]*8))</f>
        <v>16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1546.5168869591068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1515.9587305933669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0.61662393934095683</v>
      </c>
      <c r="R271" s="1">
        <v>62</v>
      </c>
      <c r="S271" s="1">
        <v>73</v>
      </c>
      <c r="T271" s="1">
        <v>0</v>
      </c>
      <c r="U271" s="1">
        <f>Games[[#This Row],[PointsFor]]-Games[[#This Row],[PointsAgainst]]</f>
        <v>-11</v>
      </c>
      <c r="V271" s="1">
        <f>IF(Games[[#This Row],[MOV]]&gt;0,1,IF(Games[[#This Row],[MOV]]=0,0.5,0))</f>
        <v>0</v>
      </c>
      <c r="W271" s="4">
        <f>((ABS(Games[[#This Row],[MOV]])+5)^0.6)/(12+0.01*(ABS(Games[[#This Row],[PreGmRate]]-Games[[#This Row],[OppPreGmRate]])))*IF(Games[[#This Row],[OT]]=1,0.9,1)</f>
        <v>0.42891362881047518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1" s="9">
        <f>MAX(kmin, kmax - 0.15 * MIN(Games[[#This Row],[GamesPlayed]], 82))</f>
        <v>72.7</v>
      </c>
      <c r="Z271" s="4">
        <f>Games[[#This Row],[K]]*Games[[#This Row],[POMult]]</f>
        <v>72.7</v>
      </c>
      <c r="AA271" s="4">
        <f>(Games[[#This Row],[Keff]]*Games[[#This Row],[MOVMult]])*(Games[[#This Row],[Result]]-Games[[#This Row],[ExpectedWin%]])</f>
        <v>-19.227580511261987</v>
      </c>
      <c r="AB271" s="4">
        <f>Games[[#This Row],[PreGmRate]]+Games[[#This Row],[RatingChange]]</f>
        <v>1527.2893064478449</v>
      </c>
      <c r="AC271" s="2">
        <f>IF(Games[[#This Row],[Type]]="R",IF(Games[[#This Row],[Result]]&gt;0.5,1,0),0)</f>
        <v>0</v>
      </c>
      <c r="AD271" s="2">
        <f>IF(Games[[#This Row],[Type]]="R",IF(Games[[#This Row],[Result]]&lt;0.5,1,0),0)</f>
        <v>1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42228</v>
      </c>
      <c r="B272" s="2">
        <v>2015</v>
      </c>
      <c r="C272" s="2">
        <f>COUNTIFS(Games[Team],Games[[#This Row],[Team]],Games[Season],Games[[#This Row],[Season]],Games[Date],"&lt;=" &amp; Games[[#This Row],[Date]])</f>
        <v>24</v>
      </c>
      <c r="D272" s="2" t="s">
        <v>83</v>
      </c>
      <c r="E272" s="2" t="s">
        <v>84</v>
      </c>
      <c r="F272" s="1" t="s">
        <v>81</v>
      </c>
      <c r="G272" s="1" t="s">
        <v>76</v>
      </c>
      <c r="H272" s="1" t="s">
        <v>85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2" s="2">
        <f>Games[[#This Row],[DaysOff]]-Games[[#This Row],[OppDaysOff]]</f>
        <v>0</v>
      </c>
      <c r="L272" s="2">
        <f>Games[[#This Row],[OppDaysOff]]-Games[[#This Row],[DaysOff]]</f>
        <v>0</v>
      </c>
      <c r="M272" s="1">
        <f>MAX(-16, MIN(16, Games[[#This Row],[RestDiff]]*8))</f>
        <v>0</v>
      </c>
      <c r="N272" s="1">
        <f>MAX(-16, MIN(16, Games[[#This Row],[OppRestDiff]]*8))</f>
        <v>0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1427.6566428145677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1486.9986736459027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0.30467302324269463</v>
      </c>
      <c r="R272" s="1">
        <v>74</v>
      </c>
      <c r="S272" s="1">
        <v>80</v>
      </c>
      <c r="T272" s="1">
        <v>0</v>
      </c>
      <c r="U272" s="1">
        <f>Games[[#This Row],[PointsFor]]-Games[[#This Row],[PointsAgainst]]</f>
        <v>-6</v>
      </c>
      <c r="V272" s="1">
        <f>IF(Games[[#This Row],[MOV]]&gt;0,1,IF(Games[[#This Row],[MOV]]=0,0.5,0))</f>
        <v>0</v>
      </c>
      <c r="W272" s="4">
        <f>((ABS(Games[[#This Row],[MOV]])+5)^0.6)/(12+0.01*(ABS(Games[[#This Row],[PreGmRate]]-Games[[#This Row],[OppPreGmRate]])))*IF(Games[[#This Row],[OT]]=1,0.9,1)</f>
        <v>0.33472789995813845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2" s="9">
        <f>MAX(kmin, kmax - 0.15 * MIN(Games[[#This Row],[GamesPlayed]], 82))</f>
        <v>72.400000000000006</v>
      </c>
      <c r="Z272" s="4">
        <f>Games[[#This Row],[K]]*Games[[#This Row],[POMult]]</f>
        <v>72.400000000000006</v>
      </c>
      <c r="AA272" s="4">
        <f>(Games[[#This Row],[Keff]]*Games[[#This Row],[MOVMult]])*(Games[[#This Row],[Result]]-Games[[#This Row],[ExpectedWin%]])</f>
        <v>-7.383537434060119</v>
      </c>
      <c r="AB272" s="4">
        <f>Games[[#This Row],[PreGmRate]]+Games[[#This Row],[RatingChange]]</f>
        <v>1420.2731053805076</v>
      </c>
      <c r="AC272" s="2">
        <f>IF(Games[[#This Row],[Type]]="R",IF(Games[[#This Row],[Result]]&gt;0.5,1,0),0)</f>
        <v>0</v>
      </c>
      <c r="AD272" s="2">
        <f>IF(Games[[#This Row],[Type]]="R",IF(Games[[#This Row],[Result]]&lt;0.5,1,0),0)</f>
        <v>1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42228</v>
      </c>
      <c r="B273" s="2">
        <v>2015</v>
      </c>
      <c r="C273" s="2">
        <f>COUNTIFS(Games[Team],Games[[#This Row],[Team]],Games[Season],Games[[#This Row],[Season]],Games[Date],"&lt;=" &amp; Games[[#This Row],[Date]])</f>
        <v>22</v>
      </c>
      <c r="D273" s="2" t="s">
        <v>83</v>
      </c>
      <c r="E273" s="2" t="s">
        <v>84</v>
      </c>
      <c r="F273" s="1" t="s">
        <v>76</v>
      </c>
      <c r="G273" s="1" t="s">
        <v>81</v>
      </c>
      <c r="H273" s="1" t="s">
        <v>86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3" s="2">
        <f>Games[[#This Row],[DaysOff]]-Games[[#This Row],[OppDaysOff]]</f>
        <v>0</v>
      </c>
      <c r="L273" s="2">
        <f>Games[[#This Row],[OppDaysOff]]-Games[[#This Row],[DaysOff]]</f>
        <v>0</v>
      </c>
      <c r="M273" s="1">
        <f>MAX(-16, MIN(16, Games[[#This Row],[RestDiff]]*8))</f>
        <v>0</v>
      </c>
      <c r="N273" s="1">
        <f>MAX(-16, MIN(16, Games[[#This Row],[OppRestDiff]]*8))</f>
        <v>0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1486.9986736459027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1427.6566428145677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0.69532697675730537</v>
      </c>
      <c r="R273" s="1">
        <v>80</v>
      </c>
      <c r="S273" s="1">
        <v>74</v>
      </c>
      <c r="T273" s="1">
        <v>0</v>
      </c>
      <c r="U273" s="1">
        <f>Games[[#This Row],[PointsFor]]-Games[[#This Row],[PointsAgainst]]</f>
        <v>6</v>
      </c>
      <c r="V273" s="1">
        <f>IF(Games[[#This Row],[MOV]]&gt;0,1,IF(Games[[#This Row],[MOV]]=0,0.5,0))</f>
        <v>1</v>
      </c>
      <c r="W273" s="4">
        <f>((ABS(Games[[#This Row],[MOV]])+5)^0.6)/(12+0.01*(ABS(Games[[#This Row],[PreGmRate]]-Games[[#This Row],[OppPreGmRate]])))*IF(Games[[#This Row],[OT]]=1,0.9,1)</f>
        <v>0.33472789995813845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3" s="9">
        <f>MAX(kmin, kmax - 0.15 * MIN(Games[[#This Row],[GamesPlayed]], 82))</f>
        <v>72.7</v>
      </c>
      <c r="Z273" s="4">
        <f>Games[[#This Row],[K]]*Games[[#This Row],[POMult]]</f>
        <v>72.7</v>
      </c>
      <c r="AA273" s="4">
        <f>(Games[[#This Row],[Keff]]*Games[[#This Row],[MOVMult]])*(Games[[#This Row],[Result]]-Games[[#This Row],[ExpectedWin%]])</f>
        <v>7.4141322024332945</v>
      </c>
      <c r="AB273" s="4">
        <f>Games[[#This Row],[PreGmRate]]+Games[[#This Row],[RatingChange]]</f>
        <v>1494.4128058483361</v>
      </c>
      <c r="AC273" s="2">
        <f>IF(Games[[#This Row],[Type]]="R",IF(Games[[#This Row],[Result]]&gt;0.5,1,0),0)</f>
        <v>1</v>
      </c>
      <c r="AD273" s="2">
        <f>IF(Games[[#This Row],[Type]]="R",IF(Games[[#This Row],[Result]]&lt;0.5,1,0),0)</f>
        <v>0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42228</v>
      </c>
      <c r="B274" s="2">
        <v>2015</v>
      </c>
      <c r="C274" s="2">
        <f>COUNTIFS(Games[Team],Games[[#This Row],[Team]],Games[Season],Games[[#This Row],[Season]],Games[Date],"&lt;=" &amp; Games[[#This Row],[Date]])</f>
        <v>24</v>
      </c>
      <c r="D274" s="2" t="s">
        <v>83</v>
      </c>
      <c r="E274" s="2" t="s">
        <v>84</v>
      </c>
      <c r="F274" s="1" t="s">
        <v>71</v>
      </c>
      <c r="G274" s="1" t="s">
        <v>40</v>
      </c>
      <c r="H274" s="1" t="s">
        <v>85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4" s="2">
        <f>Games[[#This Row],[DaysOff]]-Games[[#This Row],[OppDaysOff]]</f>
        <v>-2</v>
      </c>
      <c r="L274" s="2">
        <f>Games[[#This Row],[OppDaysOff]]-Games[[#This Row],[DaysOff]]</f>
        <v>2</v>
      </c>
      <c r="M274" s="1">
        <f>MAX(-16, MIN(16, Games[[#This Row],[RestDiff]]*8))</f>
        <v>-16</v>
      </c>
      <c r="N274" s="1">
        <f>MAX(-16, MIN(16, Games[[#This Row],[OppRestDiff]]*8))</f>
        <v>16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1392.2551465062527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1627.1968897369579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0.11710006276899323</v>
      </c>
      <c r="R274" s="1">
        <v>66</v>
      </c>
      <c r="S274" s="1">
        <v>83</v>
      </c>
      <c r="T274" s="1">
        <v>0</v>
      </c>
      <c r="U274" s="1">
        <f>Games[[#This Row],[PointsFor]]-Games[[#This Row],[PointsAgainst]]</f>
        <v>-17</v>
      </c>
      <c r="V274" s="1">
        <f>IF(Games[[#This Row],[MOV]]&gt;0,1,IF(Games[[#This Row],[MOV]]=0,0.5,0))</f>
        <v>0</v>
      </c>
      <c r="W274" s="4">
        <f>((ABS(Games[[#This Row],[MOV]])+5)^0.6)/(12+0.01*(ABS(Games[[#This Row],[PreGmRate]]-Games[[#This Row],[OppPreGmRate]])))*IF(Games[[#This Row],[OT]]=1,0.9,1)</f>
        <v>0.44526579975286956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4" s="9">
        <f>MAX(kmin, kmax - 0.15 * MIN(Games[[#This Row],[GamesPlayed]], 82))</f>
        <v>72.400000000000006</v>
      </c>
      <c r="Z274" s="4">
        <f>Games[[#This Row],[K]]*Games[[#This Row],[POMult]]</f>
        <v>72.400000000000006</v>
      </c>
      <c r="AA274" s="4">
        <f>(Games[[#This Row],[Keff]]*Games[[#This Row],[MOVMult]])*(Games[[#This Row],[Result]]-Games[[#This Row],[ExpectedWin%]])</f>
        <v>-3.7749832844361628</v>
      </c>
      <c r="AB274" s="4">
        <f>Games[[#This Row],[PreGmRate]]+Games[[#This Row],[RatingChange]]</f>
        <v>1388.4801632218166</v>
      </c>
      <c r="AC274" s="2">
        <f>IF(Games[[#This Row],[Type]]="R",IF(Games[[#This Row],[Result]]&gt;0.5,1,0),0)</f>
        <v>0</v>
      </c>
      <c r="AD274" s="2">
        <f>IF(Games[[#This Row],[Type]]="R",IF(Games[[#This Row],[Result]]&lt;0.5,1,0),0)</f>
        <v>1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42228</v>
      </c>
      <c r="B275" s="2">
        <v>2015</v>
      </c>
      <c r="C275" s="2">
        <f>COUNTIFS(Games[Team],Games[[#This Row],[Team]],Games[Season],Games[[#This Row],[Season]],Games[Date],"&lt;=" &amp; Games[[#This Row],[Date]])</f>
        <v>23</v>
      </c>
      <c r="D275" s="2" t="s">
        <v>83</v>
      </c>
      <c r="E275" s="2" t="s">
        <v>84</v>
      </c>
      <c r="F275" s="1" t="s">
        <v>40</v>
      </c>
      <c r="G275" s="1" t="s">
        <v>71</v>
      </c>
      <c r="H275" s="1" t="s">
        <v>86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5" s="2">
        <f>Games[[#This Row],[DaysOff]]-Games[[#This Row],[OppDaysOff]]</f>
        <v>2</v>
      </c>
      <c r="L275" s="2">
        <f>Games[[#This Row],[OppDaysOff]]-Games[[#This Row],[DaysOff]]</f>
        <v>-2</v>
      </c>
      <c r="M275" s="1">
        <f>MAX(-16, MIN(16, Games[[#This Row],[RestDiff]]*8))</f>
        <v>16</v>
      </c>
      <c r="N275" s="1">
        <f>MAX(-16, MIN(16, Games[[#This Row],[OppRestDiff]]*8))</f>
        <v>-16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1627.1968897369579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1392.2551465062527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0.88289993723100668</v>
      </c>
      <c r="R275" s="1">
        <v>83</v>
      </c>
      <c r="S275" s="1">
        <v>66</v>
      </c>
      <c r="T275" s="1">
        <v>0</v>
      </c>
      <c r="U275" s="1">
        <f>Games[[#This Row],[PointsFor]]-Games[[#This Row],[PointsAgainst]]</f>
        <v>17</v>
      </c>
      <c r="V275" s="1">
        <f>IF(Games[[#This Row],[MOV]]&gt;0,1,IF(Games[[#This Row],[MOV]]=0,0.5,0))</f>
        <v>1</v>
      </c>
      <c r="W275" s="4">
        <f>((ABS(Games[[#This Row],[MOV]])+5)^0.6)/(12+0.01*(ABS(Games[[#This Row],[PreGmRate]]-Games[[#This Row],[OppPreGmRate]])))*IF(Games[[#This Row],[OT]]=1,0.9,1)</f>
        <v>0.44526579975286956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5" s="9">
        <f>MAX(kmin, kmax - 0.15 * MIN(Games[[#This Row],[GamesPlayed]], 82))</f>
        <v>72.55</v>
      </c>
      <c r="Z275" s="4">
        <f>Games[[#This Row],[K]]*Games[[#This Row],[POMult]]</f>
        <v>72.55</v>
      </c>
      <c r="AA275" s="4">
        <f>(Games[[#This Row],[Keff]]*Games[[#This Row],[MOVMult]])*(Games[[#This Row],[Result]]-Games[[#This Row],[ExpectedWin%]])</f>
        <v>3.7828043824011575</v>
      </c>
      <c r="AB275" s="4">
        <f>Games[[#This Row],[PreGmRate]]+Games[[#This Row],[RatingChange]]</f>
        <v>1630.979694119359</v>
      </c>
      <c r="AC275" s="2">
        <f>IF(Games[[#This Row],[Type]]="R",IF(Games[[#This Row],[Result]]&gt;0.5,1,0),0)</f>
        <v>1</v>
      </c>
      <c r="AD275" s="2">
        <f>IF(Games[[#This Row],[Type]]="R",IF(Games[[#This Row],[Result]]&lt;0.5,1,0),0)</f>
        <v>0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42230</v>
      </c>
      <c r="B276" s="2">
        <v>2015</v>
      </c>
      <c r="C276" s="2">
        <f>COUNTIFS(Games[Team],Games[[#This Row],[Team]],Games[Season],Games[[#This Row],[Season]],Games[Date],"&lt;=" &amp; Games[[#This Row],[Date]])</f>
        <v>24</v>
      </c>
      <c r="D276" s="2" t="s">
        <v>83</v>
      </c>
      <c r="E276" s="2" t="s">
        <v>84</v>
      </c>
      <c r="F276" s="1" t="s">
        <v>67</v>
      </c>
      <c r="G276" s="1" t="s">
        <v>79</v>
      </c>
      <c r="H276" s="1" t="s">
        <v>85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6" s="2">
        <f>Games[[#This Row],[DaysOff]]-Games[[#This Row],[OppDaysOff]]</f>
        <v>-2</v>
      </c>
      <c r="L276" s="2">
        <f>Games[[#This Row],[OppDaysOff]]-Games[[#This Row],[DaysOff]]</f>
        <v>2</v>
      </c>
      <c r="M276" s="1">
        <f>MAX(-16, MIN(16, Games[[#This Row],[RestDiff]]*8))</f>
        <v>-16</v>
      </c>
      <c r="N276" s="1">
        <f>MAX(-16, MIN(16, Games[[#This Row],[OppRestDiff]]*8))</f>
        <v>16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1627.9244717504132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1420.848605056065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0.62814682057236515</v>
      </c>
      <c r="R276" s="1">
        <v>84</v>
      </c>
      <c r="S276" s="1">
        <v>82</v>
      </c>
      <c r="T276" s="1">
        <v>0</v>
      </c>
      <c r="U276" s="1">
        <f>Games[[#This Row],[PointsFor]]-Games[[#This Row],[PointsAgainst]]</f>
        <v>2</v>
      </c>
      <c r="V276" s="1">
        <f>IF(Games[[#This Row],[MOV]]&gt;0,1,IF(Games[[#This Row],[MOV]]=0,0.5,0))</f>
        <v>1</v>
      </c>
      <c r="W276" s="4">
        <f>((ABS(Games[[#This Row],[MOV]])+5)^0.6)/(12+0.01*(ABS(Games[[#This Row],[PreGmRate]]-Games[[#This Row],[OppPreGmRate]])))*IF(Games[[#This Row],[OT]]=1,0.9,1)</f>
        <v>0.22842377769344685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6" s="9">
        <f>MAX(kmin, kmax - 0.15 * MIN(Games[[#This Row],[GamesPlayed]], 82))</f>
        <v>72.400000000000006</v>
      </c>
      <c r="Z276" s="4">
        <f>Games[[#This Row],[K]]*Games[[#This Row],[POMult]]</f>
        <v>72.400000000000006</v>
      </c>
      <c r="AA276" s="4">
        <f>(Games[[#This Row],[Keff]]*Games[[#This Row],[MOVMult]])*(Games[[#This Row],[Result]]-Games[[#This Row],[ExpectedWin%]])</f>
        <v>6.149663818633794</v>
      </c>
      <c r="AB276" s="4">
        <f>Games[[#This Row],[PreGmRate]]+Games[[#This Row],[RatingChange]]</f>
        <v>1634.074135569047</v>
      </c>
      <c r="AC276" s="2">
        <f>IF(Games[[#This Row],[Type]]="R",IF(Games[[#This Row],[Result]]&gt;0.5,1,0),0)</f>
        <v>1</v>
      </c>
      <c r="AD276" s="2">
        <f>IF(Games[[#This Row],[Type]]="R",IF(Games[[#This Row],[Result]]&lt;0.5,1,0),0)</f>
        <v>0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42230</v>
      </c>
      <c r="B277" s="2">
        <v>2015</v>
      </c>
      <c r="C277" s="2">
        <f>COUNTIFS(Games[Team],Games[[#This Row],[Team]],Games[Season],Games[[#This Row],[Season]],Games[Date],"&lt;=" &amp; Games[[#This Row],[Date]])</f>
        <v>23</v>
      </c>
      <c r="D277" s="2" t="s">
        <v>83</v>
      </c>
      <c r="E277" s="2" t="s">
        <v>84</v>
      </c>
      <c r="F277" s="1" t="s">
        <v>79</v>
      </c>
      <c r="G277" s="1" t="s">
        <v>67</v>
      </c>
      <c r="H277" s="1" t="s">
        <v>86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7" s="2">
        <f>Games[[#This Row],[DaysOff]]-Games[[#This Row],[OppDaysOff]]</f>
        <v>2</v>
      </c>
      <c r="L277" s="2">
        <f>Games[[#This Row],[OppDaysOff]]-Games[[#This Row],[DaysOff]]</f>
        <v>-2</v>
      </c>
      <c r="M277" s="1">
        <f>MAX(-16, MIN(16, Games[[#This Row],[RestDiff]]*8))</f>
        <v>16</v>
      </c>
      <c r="N277" s="1">
        <f>MAX(-16, MIN(16, Games[[#This Row],[OppRestDiff]]*8))</f>
        <v>-16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1420.848605056065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1627.9244717504132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0.37185317942763479</v>
      </c>
      <c r="R277" s="1">
        <v>82</v>
      </c>
      <c r="S277" s="1">
        <v>84</v>
      </c>
      <c r="T277" s="1">
        <v>0</v>
      </c>
      <c r="U277" s="1">
        <f>Games[[#This Row],[PointsFor]]-Games[[#This Row],[PointsAgainst]]</f>
        <v>-2</v>
      </c>
      <c r="V277" s="1">
        <f>IF(Games[[#This Row],[MOV]]&gt;0,1,IF(Games[[#This Row],[MOV]]=0,0.5,0))</f>
        <v>0</v>
      </c>
      <c r="W277" s="4">
        <f>((ABS(Games[[#This Row],[MOV]])+5)^0.6)/(12+0.01*(ABS(Games[[#This Row],[PreGmRate]]-Games[[#This Row],[OppPreGmRate]])))*IF(Games[[#This Row],[OT]]=1,0.9,1)</f>
        <v>0.22842377769344685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7" s="9">
        <f>MAX(kmin, kmax - 0.15 * MIN(Games[[#This Row],[GamesPlayed]], 82))</f>
        <v>72.55</v>
      </c>
      <c r="Z277" s="4">
        <f>Games[[#This Row],[K]]*Games[[#This Row],[POMult]]</f>
        <v>72.55</v>
      </c>
      <c r="AA277" s="4">
        <f>(Games[[#This Row],[Keff]]*Games[[#This Row],[MOVMult]])*(Games[[#This Row],[Result]]-Games[[#This Row],[ExpectedWin%]])</f>
        <v>-6.1624048348326195</v>
      </c>
      <c r="AB277" s="4">
        <f>Games[[#This Row],[PreGmRate]]+Games[[#This Row],[RatingChange]]</f>
        <v>1414.6862002212324</v>
      </c>
      <c r="AC277" s="2">
        <f>IF(Games[[#This Row],[Type]]="R",IF(Games[[#This Row],[Result]]&gt;0.5,1,0),0)</f>
        <v>0</v>
      </c>
      <c r="AD277" s="2">
        <f>IF(Games[[#This Row],[Type]]="R",IF(Games[[#This Row],[Result]]&lt;0.5,1,0),0)</f>
        <v>1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42230</v>
      </c>
      <c r="B278" s="2">
        <v>2015</v>
      </c>
      <c r="C278" s="2">
        <f>COUNTIFS(Games[Team],Games[[#This Row],[Team]],Games[Season],Games[[#This Row],[Season]],Games[Date],"&lt;=" &amp; Games[[#This Row],[Date]])</f>
        <v>22</v>
      </c>
      <c r="D278" s="2" t="s">
        <v>83</v>
      </c>
      <c r="E278" s="2" t="s">
        <v>84</v>
      </c>
      <c r="F278" s="1" t="s">
        <v>60</v>
      </c>
      <c r="G278" s="1" t="s">
        <v>76</v>
      </c>
      <c r="H278" s="1" t="s">
        <v>85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8" s="2">
        <f>Games[[#This Row],[DaysOff]]-Games[[#This Row],[OppDaysOff]]</f>
        <v>1</v>
      </c>
      <c r="L278" s="2">
        <f>Games[[#This Row],[OppDaysOff]]-Games[[#This Row],[DaysOff]]</f>
        <v>-1</v>
      </c>
      <c r="M278" s="1">
        <f>MAX(-16, MIN(16, Games[[#This Row],[RestDiff]]*8))</f>
        <v>8</v>
      </c>
      <c r="N278" s="1">
        <f>MAX(-16, MIN(16, Games[[#This Row],[OppRestDiff]]*8))</f>
        <v>-8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1571.4828366408394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1494.4128058483361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0.51304985918062385</v>
      </c>
      <c r="R278" s="1">
        <v>90</v>
      </c>
      <c r="S278" s="1">
        <v>78</v>
      </c>
      <c r="T278" s="1">
        <v>0</v>
      </c>
      <c r="U278" s="1">
        <f>Games[[#This Row],[PointsFor]]-Games[[#This Row],[PointsAgainst]]</f>
        <v>12</v>
      </c>
      <c r="V278" s="1">
        <f>IF(Games[[#This Row],[MOV]]&gt;0,1,IF(Games[[#This Row],[MOV]]=0,0.5,0))</f>
        <v>1</v>
      </c>
      <c r="W278" s="4">
        <f>((ABS(Games[[#This Row],[MOV]])+5)^0.6)/(12+0.01*(ABS(Games[[#This Row],[PreGmRate]]-Games[[#This Row],[OppPreGmRate]])))*IF(Games[[#This Row],[OT]]=1,0.9,1)</f>
        <v>0.42860244034712808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8" s="9">
        <f>MAX(kmin, kmax - 0.15 * MIN(Games[[#This Row],[GamesPlayed]], 82))</f>
        <v>72.7</v>
      </c>
      <c r="Z278" s="4">
        <f>Games[[#This Row],[K]]*Games[[#This Row],[POMult]]</f>
        <v>72.7</v>
      </c>
      <c r="AA278" s="4">
        <f>(Games[[#This Row],[Keff]]*Games[[#This Row],[MOVMult]])*(Games[[#This Row],[Result]]-Games[[#This Row],[ExpectedWin%]])</f>
        <v>15.17307295822228</v>
      </c>
      <c r="AB278" s="4">
        <f>Games[[#This Row],[PreGmRate]]+Games[[#This Row],[RatingChange]]</f>
        <v>1586.6559095990617</v>
      </c>
      <c r="AC278" s="2">
        <f>IF(Games[[#This Row],[Type]]="R",IF(Games[[#This Row],[Result]]&gt;0.5,1,0),0)</f>
        <v>1</v>
      </c>
      <c r="AD278" s="2">
        <f>IF(Games[[#This Row],[Type]]="R",IF(Games[[#This Row],[Result]]&lt;0.5,1,0),0)</f>
        <v>0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42230</v>
      </c>
      <c r="B279" s="2">
        <v>2015</v>
      </c>
      <c r="C279" s="2">
        <f>COUNTIFS(Games[Team],Games[[#This Row],[Team]],Games[Season],Games[[#This Row],[Season]],Games[Date],"&lt;=" &amp; Games[[#This Row],[Date]])</f>
        <v>23</v>
      </c>
      <c r="D279" s="2" t="s">
        <v>83</v>
      </c>
      <c r="E279" s="2" t="s">
        <v>84</v>
      </c>
      <c r="F279" s="1" t="s">
        <v>76</v>
      </c>
      <c r="G279" s="1" t="s">
        <v>60</v>
      </c>
      <c r="H279" s="1" t="s">
        <v>86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9" s="2">
        <f>Games[[#This Row],[DaysOff]]-Games[[#This Row],[OppDaysOff]]</f>
        <v>-1</v>
      </c>
      <c r="L279" s="2">
        <f>Games[[#This Row],[OppDaysOff]]-Games[[#This Row],[DaysOff]]</f>
        <v>1</v>
      </c>
      <c r="M279" s="1">
        <f>MAX(-16, MIN(16, Games[[#This Row],[RestDiff]]*8))</f>
        <v>-8</v>
      </c>
      <c r="N279" s="1">
        <f>MAX(-16, MIN(16, Games[[#This Row],[OppRestDiff]]*8))</f>
        <v>8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1494.4128058483361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1571.4828366408394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0.48695014081937604</v>
      </c>
      <c r="R279" s="1">
        <v>78</v>
      </c>
      <c r="S279" s="1">
        <v>90</v>
      </c>
      <c r="T279" s="1">
        <v>0</v>
      </c>
      <c r="U279" s="1">
        <f>Games[[#This Row],[PointsFor]]-Games[[#This Row],[PointsAgainst]]</f>
        <v>-12</v>
      </c>
      <c r="V279" s="1">
        <f>IF(Games[[#This Row],[MOV]]&gt;0,1,IF(Games[[#This Row],[MOV]]=0,0.5,0))</f>
        <v>0</v>
      </c>
      <c r="W279" s="4">
        <f>((ABS(Games[[#This Row],[MOV]])+5)^0.6)/(12+0.01*(ABS(Games[[#This Row],[PreGmRate]]-Games[[#This Row],[OppPreGmRate]])))*IF(Games[[#This Row],[OT]]=1,0.9,1)</f>
        <v>0.42860244034712808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9" s="9">
        <f>MAX(kmin, kmax - 0.15 * MIN(Games[[#This Row],[GamesPlayed]], 82))</f>
        <v>72.55</v>
      </c>
      <c r="Z279" s="4">
        <f>Games[[#This Row],[K]]*Games[[#This Row],[POMult]]</f>
        <v>72.55</v>
      </c>
      <c r="AA279" s="4">
        <f>(Games[[#This Row],[Keff]]*Games[[#This Row],[MOVMult]])*(Games[[#This Row],[Result]]-Games[[#This Row],[ExpectedWin%]])</f>
        <v>-15.141766755419889</v>
      </c>
      <c r="AB279" s="4">
        <f>Games[[#This Row],[PreGmRate]]+Games[[#This Row],[RatingChange]]</f>
        <v>1479.2710390929162</v>
      </c>
      <c r="AC279" s="2">
        <f>IF(Games[[#This Row],[Type]]="R",IF(Games[[#This Row],[Result]]&gt;0.5,1,0),0)</f>
        <v>0</v>
      </c>
      <c r="AD279" s="2">
        <f>IF(Games[[#This Row],[Type]]="R",IF(Games[[#This Row],[Result]]&lt;0.5,1,0),0)</f>
        <v>1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42230</v>
      </c>
      <c r="B280" s="2">
        <v>2015</v>
      </c>
      <c r="C280" s="2">
        <f>COUNTIFS(Games[Team],Games[[#This Row],[Team]],Games[Season],Games[[#This Row],[Season]],Games[Date],"&lt;=" &amp; Games[[#This Row],[Date]])</f>
        <v>25</v>
      </c>
      <c r="D280" s="2" t="s">
        <v>83</v>
      </c>
      <c r="E280" s="2" t="s">
        <v>84</v>
      </c>
      <c r="F280" s="1" t="s">
        <v>77</v>
      </c>
      <c r="G280" s="1" t="s">
        <v>71</v>
      </c>
      <c r="H280" s="1" t="s">
        <v>85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0" s="2">
        <f>Games[[#This Row],[DaysOff]]-Games[[#This Row],[OppDaysOff]]</f>
        <v>1</v>
      </c>
      <c r="L280" s="2">
        <f>Games[[#This Row],[OppDaysOff]]-Games[[#This Row],[DaysOff]]</f>
        <v>-1</v>
      </c>
      <c r="M280" s="1">
        <f>MAX(-16, MIN(16, Games[[#This Row],[RestDiff]]*8))</f>
        <v>8</v>
      </c>
      <c r="N280" s="1">
        <f>MAX(-16, MIN(16, Games[[#This Row],[OppRestDiff]]*8))</f>
        <v>-8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1540.2290733734403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1388.4801632218166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0.61824304169401112</v>
      </c>
      <c r="R280" s="1">
        <v>94</v>
      </c>
      <c r="S280" s="1">
        <v>84</v>
      </c>
      <c r="T280" s="1">
        <v>0</v>
      </c>
      <c r="U280" s="1">
        <f>Games[[#This Row],[PointsFor]]-Games[[#This Row],[PointsAgainst]]</f>
        <v>10</v>
      </c>
      <c r="V280" s="1">
        <f>IF(Games[[#This Row],[MOV]]&gt;0,1,IF(Games[[#This Row],[MOV]]=0,0.5,0))</f>
        <v>1</v>
      </c>
      <c r="W280" s="4">
        <f>((ABS(Games[[#This Row],[MOV]])+5)^0.6)/(12+0.01*(ABS(Games[[#This Row],[PreGmRate]]-Games[[#This Row],[OppPreGmRate]])))*IF(Games[[#This Row],[OT]]=1,0.9,1)</f>
        <v>0.37562866549068386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0" s="9">
        <f>MAX(kmin, kmax - 0.15 * MIN(Games[[#This Row],[GamesPlayed]], 82))</f>
        <v>72.25</v>
      </c>
      <c r="Z280" s="4">
        <f>Games[[#This Row],[K]]*Games[[#This Row],[POMult]]</f>
        <v>72.25</v>
      </c>
      <c r="AA280" s="4">
        <f>(Games[[#This Row],[Keff]]*Games[[#This Row],[MOVMult]])*(Games[[#This Row],[Result]]-Games[[#This Row],[ExpectedWin%]])</f>
        <v>10.360567403096375</v>
      </c>
      <c r="AB280" s="4">
        <f>Games[[#This Row],[PreGmRate]]+Games[[#This Row],[RatingChange]]</f>
        <v>1550.5896407765367</v>
      </c>
      <c r="AC280" s="2">
        <f>IF(Games[[#This Row],[Type]]="R",IF(Games[[#This Row],[Result]]&gt;0.5,1,0),0)</f>
        <v>1</v>
      </c>
      <c r="AD280" s="2">
        <f>IF(Games[[#This Row],[Type]]="R",IF(Games[[#This Row],[Result]]&lt;0.5,1,0),0)</f>
        <v>0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42230</v>
      </c>
      <c r="B281" s="2">
        <v>2015</v>
      </c>
      <c r="C281" s="2">
        <f>COUNTIFS(Games[Team],Games[[#This Row],[Team]],Games[Season],Games[[#This Row],[Season]],Games[Date],"&lt;=" &amp; Games[[#This Row],[Date]])</f>
        <v>25</v>
      </c>
      <c r="D281" s="2" t="s">
        <v>83</v>
      </c>
      <c r="E281" s="2" t="s">
        <v>84</v>
      </c>
      <c r="F281" s="1" t="s">
        <v>71</v>
      </c>
      <c r="G281" s="1" t="s">
        <v>77</v>
      </c>
      <c r="H281" s="1" t="s">
        <v>86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1" s="2">
        <f>Games[[#This Row],[DaysOff]]-Games[[#This Row],[OppDaysOff]]</f>
        <v>-1</v>
      </c>
      <c r="L281" s="2">
        <f>Games[[#This Row],[OppDaysOff]]-Games[[#This Row],[DaysOff]]</f>
        <v>1</v>
      </c>
      <c r="M281" s="1">
        <f>MAX(-16, MIN(16, Games[[#This Row],[RestDiff]]*8))</f>
        <v>-8</v>
      </c>
      <c r="N281" s="1">
        <f>MAX(-16, MIN(16, Games[[#This Row],[OppRestDiff]]*8))</f>
        <v>8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1388.4801632218166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1540.2290733734403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0.38175695830598894</v>
      </c>
      <c r="R281" s="1">
        <v>84</v>
      </c>
      <c r="S281" s="1">
        <v>94</v>
      </c>
      <c r="T281" s="1">
        <v>0</v>
      </c>
      <c r="U281" s="1">
        <f>Games[[#This Row],[PointsFor]]-Games[[#This Row],[PointsAgainst]]</f>
        <v>-10</v>
      </c>
      <c r="V281" s="1">
        <f>IF(Games[[#This Row],[MOV]]&gt;0,1,IF(Games[[#This Row],[MOV]]=0,0.5,0))</f>
        <v>0</v>
      </c>
      <c r="W281" s="4">
        <f>((ABS(Games[[#This Row],[MOV]])+5)^0.6)/(12+0.01*(ABS(Games[[#This Row],[PreGmRate]]-Games[[#This Row],[OppPreGmRate]])))*IF(Games[[#This Row],[OT]]=1,0.9,1)</f>
        <v>0.37562866549068386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1" s="9">
        <f>MAX(kmin, kmax - 0.15 * MIN(Games[[#This Row],[GamesPlayed]], 82))</f>
        <v>72.25</v>
      </c>
      <c r="Z281" s="4">
        <f>Games[[#This Row],[K]]*Games[[#This Row],[POMult]]</f>
        <v>72.25</v>
      </c>
      <c r="AA281" s="4">
        <f>(Games[[#This Row],[Keff]]*Games[[#This Row],[MOVMult]])*(Games[[#This Row],[Result]]-Games[[#This Row],[ExpectedWin%]])</f>
        <v>-10.360567403096377</v>
      </c>
      <c r="AB281" s="4">
        <f>Games[[#This Row],[PreGmRate]]+Games[[#This Row],[RatingChange]]</f>
        <v>1378.1195958187202</v>
      </c>
      <c r="AC281" s="2">
        <f>IF(Games[[#This Row],[Type]]="R",IF(Games[[#This Row],[Result]]&gt;0.5,1,0),0)</f>
        <v>0</v>
      </c>
      <c r="AD281" s="2">
        <f>IF(Games[[#This Row],[Type]]="R",IF(Games[[#This Row],[Result]]&lt;0.5,1,0),0)</f>
        <v>1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42231</v>
      </c>
      <c r="B282" s="2">
        <v>2015</v>
      </c>
      <c r="C282" s="2">
        <f>COUNTIFS(Games[Team],Games[[#This Row],[Team]],Games[Season],Games[[#This Row],[Season]],Games[Date],"&lt;=" &amp; Games[[#This Row],[Date]])</f>
        <v>25</v>
      </c>
      <c r="D282" s="2" t="s">
        <v>83</v>
      </c>
      <c r="E282" s="2" t="s">
        <v>84</v>
      </c>
      <c r="F282" s="1" t="s">
        <v>81</v>
      </c>
      <c r="G282" s="1" t="s">
        <v>60</v>
      </c>
      <c r="H282" s="1" t="s">
        <v>85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2" s="2">
        <f>Games[[#This Row],[DaysOff]]-Games[[#This Row],[OppDaysOff]]</f>
        <v>2</v>
      </c>
      <c r="L282" s="2">
        <f>Games[[#This Row],[OppDaysOff]]-Games[[#This Row],[DaysOff]]</f>
        <v>-2</v>
      </c>
      <c r="M282" s="1">
        <f>MAX(-16, MIN(16, Games[[#This Row],[RestDiff]]*8))</f>
        <v>16</v>
      </c>
      <c r="N282" s="1">
        <f>MAX(-16, MIN(16, Games[[#This Row],[OppRestDiff]]*8))</f>
        <v>-16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1420.2731053805076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1586.6559095990617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0.22147136422337096</v>
      </c>
      <c r="R282" s="1">
        <v>81</v>
      </c>
      <c r="S282" s="1">
        <v>76</v>
      </c>
      <c r="T282" s="1">
        <v>0</v>
      </c>
      <c r="U282" s="1">
        <f>Games[[#This Row],[PointsFor]]-Games[[#This Row],[PointsAgainst]]</f>
        <v>5</v>
      </c>
      <c r="V282" s="1">
        <f>IF(Games[[#This Row],[MOV]]&gt;0,1,IF(Games[[#This Row],[MOV]]=0,0.5,0))</f>
        <v>1</v>
      </c>
      <c r="W282" s="4">
        <f>((ABS(Games[[#This Row],[MOV]])+5)^0.6)/(12+0.01*(ABS(Games[[#This Row],[PreGmRate]]-Games[[#This Row],[OppPreGmRate]])))*IF(Games[[#This Row],[OT]]=1,0.9,1)</f>
        <v>0.2913584460550776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2" s="9">
        <f>MAX(kmin, kmax - 0.15 * MIN(Games[[#This Row],[GamesPlayed]], 82))</f>
        <v>72.25</v>
      </c>
      <c r="Z282" s="4">
        <f>Games[[#This Row],[K]]*Games[[#This Row],[POMult]]</f>
        <v>72.25</v>
      </c>
      <c r="AA282" s="4">
        <f>(Games[[#This Row],[Keff]]*Games[[#This Row],[MOVMult]])*(Games[[#This Row],[Result]]-Games[[#This Row],[ExpectedWin%]])</f>
        <v>16.388532057488899</v>
      </c>
      <c r="AB282" s="4">
        <f>Games[[#This Row],[PreGmRate]]+Games[[#This Row],[RatingChange]]</f>
        <v>1436.6616374379964</v>
      </c>
      <c r="AC282" s="2">
        <f>IF(Games[[#This Row],[Type]]="R",IF(Games[[#This Row],[Result]]&gt;0.5,1,0),0)</f>
        <v>1</v>
      </c>
      <c r="AD282" s="2">
        <f>IF(Games[[#This Row],[Type]]="R",IF(Games[[#This Row],[Result]]&lt;0.5,1,0),0)</f>
        <v>0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42231</v>
      </c>
      <c r="B283" s="2">
        <v>2015</v>
      </c>
      <c r="C283" s="2">
        <f>COUNTIFS(Games[Team],Games[[#This Row],[Team]],Games[Season],Games[[#This Row],[Season]],Games[Date],"&lt;=" &amp; Games[[#This Row],[Date]])</f>
        <v>23</v>
      </c>
      <c r="D283" s="2" t="s">
        <v>83</v>
      </c>
      <c r="E283" s="2" t="s">
        <v>84</v>
      </c>
      <c r="F283" s="1" t="s">
        <v>60</v>
      </c>
      <c r="G283" s="1" t="s">
        <v>81</v>
      </c>
      <c r="H283" s="1" t="s">
        <v>86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3" s="2">
        <f>Games[[#This Row],[DaysOff]]-Games[[#This Row],[OppDaysOff]]</f>
        <v>-2</v>
      </c>
      <c r="L283" s="2">
        <f>Games[[#This Row],[OppDaysOff]]-Games[[#This Row],[DaysOff]]</f>
        <v>2</v>
      </c>
      <c r="M283" s="1">
        <f>MAX(-16, MIN(16, Games[[#This Row],[RestDiff]]*8))</f>
        <v>-16</v>
      </c>
      <c r="N283" s="1">
        <f>MAX(-16, MIN(16, Games[[#This Row],[OppRestDiff]]*8))</f>
        <v>16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1586.6559095990617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1420.2731053805076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0.77852863577662901</v>
      </c>
      <c r="R283" s="1">
        <v>76</v>
      </c>
      <c r="S283" s="1">
        <v>81</v>
      </c>
      <c r="T283" s="1">
        <v>0</v>
      </c>
      <c r="U283" s="1">
        <f>Games[[#This Row],[PointsFor]]-Games[[#This Row],[PointsAgainst]]</f>
        <v>-5</v>
      </c>
      <c r="V283" s="1">
        <f>IF(Games[[#This Row],[MOV]]&gt;0,1,IF(Games[[#This Row],[MOV]]=0,0.5,0))</f>
        <v>0</v>
      </c>
      <c r="W283" s="4">
        <f>((ABS(Games[[#This Row],[MOV]])+5)^0.6)/(12+0.01*(ABS(Games[[#This Row],[PreGmRate]]-Games[[#This Row],[OppPreGmRate]])))*IF(Games[[#This Row],[OT]]=1,0.9,1)</f>
        <v>0.2913584460550776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3" s="9">
        <f>MAX(kmin, kmax - 0.15 * MIN(Games[[#This Row],[GamesPlayed]], 82))</f>
        <v>72.55</v>
      </c>
      <c r="Z283" s="4">
        <f>Games[[#This Row],[K]]*Games[[#This Row],[POMult]]</f>
        <v>72.55</v>
      </c>
      <c r="AA283" s="4">
        <f>(Games[[#This Row],[Keff]]*Games[[#This Row],[MOVMult]])*(Games[[#This Row],[Result]]-Games[[#This Row],[ExpectedWin%]])</f>
        <v>-16.456581325547674</v>
      </c>
      <c r="AB283" s="4">
        <f>Games[[#This Row],[PreGmRate]]+Games[[#This Row],[RatingChange]]</f>
        <v>1570.1993282735141</v>
      </c>
      <c r="AC283" s="2">
        <f>IF(Games[[#This Row],[Type]]="R",IF(Games[[#This Row],[Result]]&gt;0.5,1,0),0)</f>
        <v>0</v>
      </c>
      <c r="AD283" s="2">
        <f>IF(Games[[#This Row],[Type]]="R",IF(Games[[#This Row],[Result]]&lt;0.5,1,0),0)</f>
        <v>1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42232</v>
      </c>
      <c r="B284" s="2">
        <v>2015</v>
      </c>
      <c r="C284" s="2">
        <f>COUNTIFS(Games[Team],Games[[#This Row],[Team]],Games[Season],Games[[#This Row],[Season]],Games[Date],"&lt;=" &amp; Games[[#This Row],[Date]])</f>
        <v>24</v>
      </c>
      <c r="D284" s="2" t="s">
        <v>83</v>
      </c>
      <c r="E284" s="2" t="s">
        <v>84</v>
      </c>
      <c r="F284" s="1" t="s">
        <v>76</v>
      </c>
      <c r="G284" s="1" t="s">
        <v>79</v>
      </c>
      <c r="H284" s="1" t="s">
        <v>85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4" s="2">
        <f>Games[[#This Row],[DaysOff]]-Games[[#This Row],[OppDaysOff]]</f>
        <v>0</v>
      </c>
      <c r="L284" s="2">
        <f>Games[[#This Row],[OppDaysOff]]-Games[[#This Row],[DaysOff]]</f>
        <v>0</v>
      </c>
      <c r="M284" s="1">
        <f>MAX(-16, MIN(16, Games[[#This Row],[RestDiff]]*8))</f>
        <v>0</v>
      </c>
      <c r="N284" s="1">
        <f>MAX(-16, MIN(16, Games[[#This Row],[OppRestDiff]]*8))</f>
        <v>0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1479.2710390929162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1414.6862002212324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0.47208838449386509</v>
      </c>
      <c r="R284" s="1">
        <v>77</v>
      </c>
      <c r="S284" s="1">
        <v>90</v>
      </c>
      <c r="T284" s="1">
        <v>0</v>
      </c>
      <c r="U284" s="1">
        <f>Games[[#This Row],[PointsFor]]-Games[[#This Row],[PointsAgainst]]</f>
        <v>-13</v>
      </c>
      <c r="V284" s="1">
        <f>IF(Games[[#This Row],[MOV]]&gt;0,1,IF(Games[[#This Row],[MOV]]=0,0.5,0))</f>
        <v>0</v>
      </c>
      <c r="W284" s="4">
        <f>((ABS(Games[[#This Row],[MOV]])+5)^0.6)/(12+0.01*(ABS(Games[[#This Row],[PreGmRate]]-Games[[#This Row],[OppPreGmRate]])))*IF(Games[[#This Row],[OT]]=1,0.9,1)</f>
        <v>0.44793555115080619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4" s="9">
        <f>MAX(kmin, kmax - 0.15 * MIN(Games[[#This Row],[GamesPlayed]], 82))</f>
        <v>72.400000000000006</v>
      </c>
      <c r="Z284" s="4">
        <f>Games[[#This Row],[K]]*Games[[#This Row],[POMult]]</f>
        <v>72.400000000000006</v>
      </c>
      <c r="AA284" s="4">
        <f>(Games[[#This Row],[Keff]]*Games[[#This Row],[MOVMult]])*(Games[[#This Row],[Result]]-Games[[#This Row],[ExpectedWin%]])</f>
        <v>-15.31007835869109</v>
      </c>
      <c r="AB284" s="4">
        <f>Games[[#This Row],[PreGmRate]]+Games[[#This Row],[RatingChange]]</f>
        <v>1463.9609607342252</v>
      </c>
      <c r="AC284" s="2">
        <f>IF(Games[[#This Row],[Type]]="R",IF(Games[[#This Row],[Result]]&gt;0.5,1,0),0)</f>
        <v>0</v>
      </c>
      <c r="AD284" s="2">
        <f>IF(Games[[#This Row],[Type]]="R",IF(Games[[#This Row],[Result]]&lt;0.5,1,0),0)</f>
        <v>1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42232</v>
      </c>
      <c r="B285" s="2">
        <v>2015</v>
      </c>
      <c r="C285" s="2">
        <f>COUNTIFS(Games[Team],Games[[#This Row],[Team]],Games[Season],Games[[#This Row],[Season]],Games[Date],"&lt;=" &amp; Games[[#This Row],[Date]])</f>
        <v>24</v>
      </c>
      <c r="D285" s="2" t="s">
        <v>83</v>
      </c>
      <c r="E285" s="2" t="s">
        <v>84</v>
      </c>
      <c r="F285" s="1" t="s">
        <v>79</v>
      </c>
      <c r="G285" s="1" t="s">
        <v>76</v>
      </c>
      <c r="H285" s="1" t="s">
        <v>86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5" s="2">
        <f>Games[[#This Row],[DaysOff]]-Games[[#This Row],[OppDaysOff]]</f>
        <v>0</v>
      </c>
      <c r="L285" s="2">
        <f>Games[[#This Row],[OppDaysOff]]-Games[[#This Row],[DaysOff]]</f>
        <v>0</v>
      </c>
      <c r="M285" s="1">
        <f>MAX(-16, MIN(16, Games[[#This Row],[RestDiff]]*8))</f>
        <v>0</v>
      </c>
      <c r="N285" s="1">
        <f>MAX(-16, MIN(16, Games[[#This Row],[OppRestDiff]]*8))</f>
        <v>0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1414.6862002212324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1479.2710390929162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0.52791161550613497</v>
      </c>
      <c r="R285" s="1">
        <v>90</v>
      </c>
      <c r="S285" s="1">
        <v>77</v>
      </c>
      <c r="T285" s="1">
        <v>0</v>
      </c>
      <c r="U285" s="1">
        <f>Games[[#This Row],[PointsFor]]-Games[[#This Row],[PointsAgainst]]</f>
        <v>13</v>
      </c>
      <c r="V285" s="1">
        <f>IF(Games[[#This Row],[MOV]]&gt;0,1,IF(Games[[#This Row],[MOV]]=0,0.5,0))</f>
        <v>1</v>
      </c>
      <c r="W285" s="4">
        <f>((ABS(Games[[#This Row],[MOV]])+5)^0.6)/(12+0.01*(ABS(Games[[#This Row],[PreGmRate]]-Games[[#This Row],[OppPreGmRate]])))*IF(Games[[#This Row],[OT]]=1,0.9,1)</f>
        <v>0.44793555115080619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5" s="9">
        <f>MAX(kmin, kmax - 0.15 * MIN(Games[[#This Row],[GamesPlayed]], 82))</f>
        <v>72.400000000000006</v>
      </c>
      <c r="Z285" s="4">
        <f>Games[[#This Row],[K]]*Games[[#This Row],[POMult]]</f>
        <v>72.400000000000006</v>
      </c>
      <c r="AA285" s="4">
        <f>(Games[[#This Row],[Keff]]*Games[[#This Row],[MOVMult]])*(Games[[#This Row],[Result]]-Games[[#This Row],[ExpectedWin%]])</f>
        <v>15.310078358691088</v>
      </c>
      <c r="AB285" s="4">
        <f>Games[[#This Row],[PreGmRate]]+Games[[#This Row],[RatingChange]]</f>
        <v>1429.9962785799235</v>
      </c>
      <c r="AC285" s="2">
        <f>IF(Games[[#This Row],[Type]]="R",IF(Games[[#This Row],[Result]]&gt;0.5,1,0),0)</f>
        <v>1</v>
      </c>
      <c r="AD285" s="2">
        <f>IF(Games[[#This Row],[Type]]="R",IF(Games[[#This Row],[Result]]&lt;0.5,1,0),0)</f>
        <v>0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42232</v>
      </c>
      <c r="B286" s="2">
        <v>2015</v>
      </c>
      <c r="C286" s="2">
        <f>COUNTIFS(Games[Team],Games[[#This Row],[Team]],Games[Season],Games[[#This Row],[Season]],Games[Date],"&lt;=" &amp; Games[[#This Row],[Date]])</f>
        <v>26</v>
      </c>
      <c r="D286" s="2" t="s">
        <v>83</v>
      </c>
      <c r="E286" s="2" t="s">
        <v>84</v>
      </c>
      <c r="F286" s="1" t="s">
        <v>77</v>
      </c>
      <c r="G286" s="1" t="s">
        <v>63</v>
      </c>
      <c r="H286" s="1" t="s">
        <v>85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6" s="2">
        <f>Games[[#This Row],[DaysOff]]-Games[[#This Row],[OppDaysOff]]</f>
        <v>-3</v>
      </c>
      <c r="L286" s="2">
        <f>Games[[#This Row],[OppDaysOff]]-Games[[#This Row],[DaysOff]]</f>
        <v>3</v>
      </c>
      <c r="M286" s="1">
        <f>MAX(-16, MIN(16, Games[[#This Row],[RestDiff]]*8))</f>
        <v>-16</v>
      </c>
      <c r="N286" s="1">
        <f>MAX(-16, MIN(16, Games[[#This Row],[OppRestDiff]]*8))</f>
        <v>16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1550.5896407765367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1447.518616840774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0.48140229154302305</v>
      </c>
      <c r="R286" s="1">
        <v>64</v>
      </c>
      <c r="S286" s="1">
        <v>76</v>
      </c>
      <c r="T286" s="1">
        <v>0</v>
      </c>
      <c r="U286" s="1">
        <f>Games[[#This Row],[PointsFor]]-Games[[#This Row],[PointsAgainst]]</f>
        <v>-12</v>
      </c>
      <c r="V286" s="1">
        <f>IF(Games[[#This Row],[MOV]]&gt;0,1,IF(Games[[#This Row],[MOV]]=0,0.5,0))</f>
        <v>0</v>
      </c>
      <c r="W286" s="4">
        <f>((ABS(Games[[#This Row],[MOV]])+5)^0.6)/(12+0.01*(ABS(Games[[#This Row],[PreGmRate]]-Games[[#This Row],[OppPreGmRate]])))*IF(Games[[#This Row],[OT]]=1,0.9,1)</f>
        <v>0.42005026712867166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6" s="9">
        <f>MAX(kmin, kmax - 0.15 * MIN(Games[[#This Row],[GamesPlayed]], 82))</f>
        <v>72.099999999999994</v>
      </c>
      <c r="Z286" s="4">
        <f>Games[[#This Row],[K]]*Games[[#This Row],[POMult]]</f>
        <v>72.099999999999994</v>
      </c>
      <c r="AA286" s="4">
        <f>(Games[[#This Row],[Keff]]*Games[[#This Row],[MOVMult]])*(Games[[#This Row],[Result]]-Games[[#This Row],[ExpectedWin%]])</f>
        <v>-14.579568919564009</v>
      </c>
      <c r="AB286" s="4">
        <f>Games[[#This Row],[PreGmRate]]+Games[[#This Row],[RatingChange]]</f>
        <v>1536.0100718569727</v>
      </c>
      <c r="AC286" s="2">
        <f>IF(Games[[#This Row],[Type]]="R",IF(Games[[#This Row],[Result]]&gt;0.5,1,0),0)</f>
        <v>0</v>
      </c>
      <c r="AD286" s="2">
        <f>IF(Games[[#This Row],[Type]]="R",IF(Games[[#This Row],[Result]]&lt;0.5,1,0),0)</f>
        <v>1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42232</v>
      </c>
      <c r="B287" s="2">
        <v>2015</v>
      </c>
      <c r="C287" s="2">
        <f>COUNTIFS(Games[Team],Games[[#This Row],[Team]],Games[Season],Games[[#This Row],[Season]],Games[Date],"&lt;=" &amp; Games[[#This Row],[Date]])</f>
        <v>24</v>
      </c>
      <c r="D287" s="2" t="s">
        <v>83</v>
      </c>
      <c r="E287" s="2" t="s">
        <v>84</v>
      </c>
      <c r="F287" s="1" t="s">
        <v>63</v>
      </c>
      <c r="G287" s="1" t="s">
        <v>77</v>
      </c>
      <c r="H287" s="1" t="s">
        <v>86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7" s="2">
        <f>Games[[#This Row],[DaysOff]]-Games[[#This Row],[OppDaysOff]]</f>
        <v>3</v>
      </c>
      <c r="L287" s="2">
        <f>Games[[#This Row],[OppDaysOff]]-Games[[#This Row],[DaysOff]]</f>
        <v>-3</v>
      </c>
      <c r="M287" s="1">
        <f>MAX(-16, MIN(16, Games[[#This Row],[RestDiff]]*8))</f>
        <v>16</v>
      </c>
      <c r="N287" s="1">
        <f>MAX(-16, MIN(16, Games[[#This Row],[OppRestDiff]]*8))</f>
        <v>-16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1447.518616840774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1550.5896407765367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0.51859770845697706</v>
      </c>
      <c r="R287" s="1">
        <v>76</v>
      </c>
      <c r="S287" s="1">
        <v>64</v>
      </c>
      <c r="T287" s="1">
        <v>0</v>
      </c>
      <c r="U287" s="1">
        <f>Games[[#This Row],[PointsFor]]-Games[[#This Row],[PointsAgainst]]</f>
        <v>12</v>
      </c>
      <c r="V287" s="1">
        <f>IF(Games[[#This Row],[MOV]]&gt;0,1,IF(Games[[#This Row],[MOV]]=0,0.5,0))</f>
        <v>1</v>
      </c>
      <c r="W287" s="4">
        <f>((ABS(Games[[#This Row],[MOV]])+5)^0.6)/(12+0.01*(ABS(Games[[#This Row],[PreGmRate]]-Games[[#This Row],[OppPreGmRate]])))*IF(Games[[#This Row],[OT]]=1,0.9,1)</f>
        <v>0.42005026712867166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7" s="9">
        <f>MAX(kmin, kmax - 0.15 * MIN(Games[[#This Row],[GamesPlayed]], 82))</f>
        <v>72.400000000000006</v>
      </c>
      <c r="Z287" s="4">
        <f>Games[[#This Row],[K]]*Games[[#This Row],[POMult]]</f>
        <v>72.400000000000006</v>
      </c>
      <c r="AA287" s="4">
        <f>(Games[[#This Row],[Keff]]*Games[[#This Row],[MOVMult]])*(Games[[#This Row],[Result]]-Games[[#This Row],[ExpectedWin%]])</f>
        <v>14.640232867911706</v>
      </c>
      <c r="AB287" s="4">
        <f>Games[[#This Row],[PreGmRate]]+Games[[#This Row],[RatingChange]]</f>
        <v>1462.1588497086857</v>
      </c>
      <c r="AC287" s="2">
        <f>IF(Games[[#This Row],[Type]]="R",IF(Games[[#This Row],[Result]]&gt;0.5,1,0),0)</f>
        <v>1</v>
      </c>
      <c r="AD287" s="2">
        <f>IF(Games[[#This Row],[Type]]="R",IF(Games[[#This Row],[Result]]&lt;0.5,1,0),0)</f>
        <v>0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42232</v>
      </c>
      <c r="B288" s="2">
        <v>2015</v>
      </c>
      <c r="C288" s="2">
        <f>COUNTIFS(Games[Team],Games[[#This Row],[Team]],Games[Season],Games[[#This Row],[Season]],Games[Date],"&lt;=" &amp; Games[[#This Row],[Date]])</f>
        <v>23</v>
      </c>
      <c r="D288" s="2" t="s">
        <v>83</v>
      </c>
      <c r="E288" s="2" t="s">
        <v>84</v>
      </c>
      <c r="F288" s="1" t="s">
        <v>69</v>
      </c>
      <c r="G288" s="1" t="s">
        <v>40</v>
      </c>
      <c r="H288" s="1" t="s">
        <v>85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88" s="2">
        <f>Games[[#This Row],[DaysOff]]-Games[[#This Row],[OppDaysOff]]</f>
        <v>1</v>
      </c>
      <c r="L288" s="2">
        <f>Games[[#This Row],[OppDaysOff]]-Games[[#This Row],[DaysOff]]</f>
        <v>-1</v>
      </c>
      <c r="M288" s="1">
        <f>MAX(-16, MIN(16, Games[[#This Row],[RestDiff]]*8))</f>
        <v>8</v>
      </c>
      <c r="N288" s="1">
        <f>MAX(-16, MIN(16, Games[[#This Row],[OppRestDiff]]*8))</f>
        <v>-8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1535.1863111046289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1630.979694119359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0.280320878757289</v>
      </c>
      <c r="R288" s="1">
        <v>75</v>
      </c>
      <c r="S288" s="1">
        <v>63</v>
      </c>
      <c r="T288" s="1">
        <v>0</v>
      </c>
      <c r="U288" s="1">
        <f>Games[[#This Row],[PointsFor]]-Games[[#This Row],[PointsAgainst]]</f>
        <v>12</v>
      </c>
      <c r="V288" s="1">
        <f>IF(Games[[#This Row],[MOV]]&gt;0,1,IF(Games[[#This Row],[MOV]]=0,0.5,0))</f>
        <v>1</v>
      </c>
      <c r="W288" s="4">
        <f>((ABS(Games[[#This Row],[MOV]])+5)^0.6)/(12+0.01*(ABS(Games[[#This Row],[PreGmRate]]-Games[[#This Row],[OppPreGmRate]])))*IF(Games[[#This Row],[OT]]=1,0.9,1)</f>
        <v>0.42240942025679934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8" s="9">
        <f>MAX(kmin, kmax - 0.15 * MIN(Games[[#This Row],[GamesPlayed]], 82))</f>
        <v>72.55</v>
      </c>
      <c r="Z288" s="4">
        <f>Games[[#This Row],[K]]*Games[[#This Row],[POMult]]</f>
        <v>72.55</v>
      </c>
      <c r="AA288" s="4">
        <f>(Games[[#This Row],[Keff]]*Games[[#This Row],[MOVMult]])*(Games[[#This Row],[Result]]-Games[[#This Row],[ExpectedWin%]])</f>
        <v>22.055144889210336</v>
      </c>
      <c r="AB288" s="4">
        <f>Games[[#This Row],[PreGmRate]]+Games[[#This Row],[RatingChange]]</f>
        <v>1557.2414559938393</v>
      </c>
      <c r="AC288" s="2">
        <f>IF(Games[[#This Row],[Type]]="R",IF(Games[[#This Row],[Result]]&gt;0.5,1,0),0)</f>
        <v>1</v>
      </c>
      <c r="AD288" s="2">
        <f>IF(Games[[#This Row],[Type]]="R",IF(Games[[#This Row],[Result]]&lt;0.5,1,0),0)</f>
        <v>0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42232</v>
      </c>
      <c r="B289" s="2">
        <v>2015</v>
      </c>
      <c r="C289" s="2">
        <f>COUNTIFS(Games[Team],Games[[#This Row],[Team]],Games[Season],Games[[#This Row],[Season]],Games[Date],"&lt;=" &amp; Games[[#This Row],[Date]])</f>
        <v>24</v>
      </c>
      <c r="D289" s="2" t="s">
        <v>83</v>
      </c>
      <c r="E289" s="2" t="s">
        <v>84</v>
      </c>
      <c r="F289" s="1" t="s">
        <v>40</v>
      </c>
      <c r="G289" s="1" t="s">
        <v>69</v>
      </c>
      <c r="H289" s="1" t="s">
        <v>86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9" s="2">
        <f>Games[[#This Row],[DaysOff]]-Games[[#This Row],[OppDaysOff]]</f>
        <v>-1</v>
      </c>
      <c r="L289" s="2">
        <f>Games[[#This Row],[OppDaysOff]]-Games[[#This Row],[DaysOff]]</f>
        <v>1</v>
      </c>
      <c r="M289" s="1">
        <f>MAX(-16, MIN(16, Games[[#This Row],[RestDiff]]*8))</f>
        <v>-8</v>
      </c>
      <c r="N289" s="1">
        <f>MAX(-16, MIN(16, Games[[#This Row],[OppRestDiff]]*8))</f>
        <v>8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1630.979694119359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1535.1863111046289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0.71967912124271094</v>
      </c>
      <c r="R289" s="1">
        <v>63</v>
      </c>
      <c r="S289" s="1">
        <v>75</v>
      </c>
      <c r="T289" s="1">
        <v>0</v>
      </c>
      <c r="U289" s="1">
        <f>Games[[#This Row],[PointsFor]]-Games[[#This Row],[PointsAgainst]]</f>
        <v>-12</v>
      </c>
      <c r="V289" s="1">
        <f>IF(Games[[#This Row],[MOV]]&gt;0,1,IF(Games[[#This Row],[MOV]]=0,0.5,0))</f>
        <v>0</v>
      </c>
      <c r="W289" s="4">
        <f>((ABS(Games[[#This Row],[MOV]])+5)^0.6)/(12+0.01*(ABS(Games[[#This Row],[PreGmRate]]-Games[[#This Row],[OppPreGmRate]])))*IF(Games[[#This Row],[OT]]=1,0.9,1)</f>
        <v>0.42240942025679934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9" s="9">
        <f>MAX(kmin, kmax - 0.15 * MIN(Games[[#This Row],[GamesPlayed]], 82))</f>
        <v>72.400000000000006</v>
      </c>
      <c r="Z289" s="4">
        <f>Games[[#This Row],[K]]*Games[[#This Row],[POMult]]</f>
        <v>72.400000000000006</v>
      </c>
      <c r="AA289" s="4">
        <f>(Games[[#This Row],[Keff]]*Games[[#This Row],[MOVMult]])*(Games[[#This Row],[Result]]-Games[[#This Row],[ExpectedWin%]])</f>
        <v>-22.009545003154081</v>
      </c>
      <c r="AB289" s="4">
        <f>Games[[#This Row],[PreGmRate]]+Games[[#This Row],[RatingChange]]</f>
        <v>1608.970149116205</v>
      </c>
      <c r="AC289" s="2">
        <f>IF(Games[[#This Row],[Type]]="R",IF(Games[[#This Row],[Result]]&gt;0.5,1,0),0)</f>
        <v>0</v>
      </c>
      <c r="AD289" s="2">
        <f>IF(Games[[#This Row],[Type]]="R",IF(Games[[#This Row],[Result]]&lt;0.5,1,0),0)</f>
        <v>1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42232</v>
      </c>
      <c r="B290" s="2">
        <v>2015</v>
      </c>
      <c r="C290" s="2">
        <f>COUNTIFS(Games[Team],Games[[#This Row],[Team]],Games[Season],Games[[#This Row],[Season]],Games[Date],"&lt;=" &amp; Games[[#This Row],[Date]])</f>
        <v>25</v>
      </c>
      <c r="D290" s="2" t="s">
        <v>83</v>
      </c>
      <c r="E290" s="2" t="s">
        <v>84</v>
      </c>
      <c r="F290" s="1" t="s">
        <v>74</v>
      </c>
      <c r="G290" s="1" t="s">
        <v>71</v>
      </c>
      <c r="H290" s="1" t="s">
        <v>85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4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0" s="2">
        <f>Games[[#This Row],[DaysOff]]-Games[[#This Row],[OppDaysOff]]</f>
        <v>3</v>
      </c>
      <c r="L290" s="2">
        <f>Games[[#This Row],[OppDaysOff]]-Games[[#This Row],[DaysOff]]</f>
        <v>-3</v>
      </c>
      <c r="M290" s="1">
        <f>MAX(-16, MIN(16, Games[[#This Row],[RestDiff]]*8))</f>
        <v>16</v>
      </c>
      <c r="N290" s="1">
        <f>MAX(-16, MIN(16, Games[[#This Row],[OppRestDiff]]*8))</f>
        <v>-16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1396.69922797103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1378.1195958187202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0.45205201794607758</v>
      </c>
      <c r="R290" s="1">
        <v>63</v>
      </c>
      <c r="S290" s="1">
        <v>72</v>
      </c>
      <c r="T290" s="1">
        <v>0</v>
      </c>
      <c r="U290" s="1">
        <f>Games[[#This Row],[PointsFor]]-Games[[#This Row],[PointsAgainst]]</f>
        <v>-9</v>
      </c>
      <c r="V290" s="1">
        <f>IF(Games[[#This Row],[MOV]]&gt;0,1,IF(Games[[#This Row],[MOV]]=0,0.5,0))</f>
        <v>0</v>
      </c>
      <c r="W290" s="4">
        <f>((ABS(Games[[#This Row],[MOV]])+5)^0.6)/(12+0.01*(ABS(Games[[#This Row],[PreGmRate]]-Games[[#This Row],[OppPreGmRate]])))*IF(Games[[#This Row],[OT]]=1,0.9,1)</f>
        <v>0.3997816964298323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0" s="9">
        <f>MAX(kmin, kmax - 0.15 * MIN(Games[[#This Row],[GamesPlayed]], 82))</f>
        <v>72.25</v>
      </c>
      <c r="Z290" s="4">
        <f>Games[[#This Row],[K]]*Games[[#This Row],[POMult]]</f>
        <v>72.25</v>
      </c>
      <c r="AA290" s="4">
        <f>(Games[[#This Row],[Keff]]*Games[[#This Row],[MOVMult]])*(Games[[#This Row],[Result]]-Games[[#This Row],[ExpectedWin%]])</f>
        <v>-13.057173358501108</v>
      </c>
      <c r="AB290" s="4">
        <f>Games[[#This Row],[PreGmRate]]+Games[[#This Row],[RatingChange]]</f>
        <v>1383.6420546125289</v>
      </c>
      <c r="AC290" s="2">
        <f>IF(Games[[#This Row],[Type]]="R",IF(Games[[#This Row],[Result]]&gt;0.5,1,0),0)</f>
        <v>0</v>
      </c>
      <c r="AD290" s="2">
        <f>IF(Games[[#This Row],[Type]]="R",IF(Games[[#This Row],[Result]]&lt;0.5,1,0),0)</f>
        <v>1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42232</v>
      </c>
      <c r="B291" s="2">
        <v>2015</v>
      </c>
      <c r="C291" s="2">
        <f>COUNTIFS(Games[Team],Games[[#This Row],[Team]],Games[Season],Games[[#This Row],[Season]],Games[Date],"&lt;=" &amp; Games[[#This Row],[Date]])</f>
        <v>26</v>
      </c>
      <c r="D291" s="2" t="s">
        <v>83</v>
      </c>
      <c r="E291" s="2" t="s">
        <v>84</v>
      </c>
      <c r="F291" s="1" t="s">
        <v>71</v>
      </c>
      <c r="G291" s="1" t="s">
        <v>74</v>
      </c>
      <c r="H291" s="1" t="s">
        <v>86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91" s="2">
        <f>Games[[#This Row],[DaysOff]]-Games[[#This Row],[OppDaysOff]]</f>
        <v>-3</v>
      </c>
      <c r="L291" s="2">
        <f>Games[[#This Row],[OppDaysOff]]-Games[[#This Row],[DaysOff]]</f>
        <v>3</v>
      </c>
      <c r="M291" s="1">
        <f>MAX(-16, MIN(16, Games[[#This Row],[RestDiff]]*8))</f>
        <v>-16</v>
      </c>
      <c r="N291" s="1">
        <f>MAX(-16, MIN(16, Games[[#This Row],[OppRestDiff]]*8))</f>
        <v>16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1378.1195958187202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1396.69922797103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0.54794798205392248</v>
      </c>
      <c r="R291" s="1">
        <v>72</v>
      </c>
      <c r="S291" s="1">
        <v>63</v>
      </c>
      <c r="T291" s="1">
        <v>0</v>
      </c>
      <c r="U291" s="1">
        <f>Games[[#This Row],[PointsFor]]-Games[[#This Row],[PointsAgainst]]</f>
        <v>9</v>
      </c>
      <c r="V291" s="1">
        <f>IF(Games[[#This Row],[MOV]]&gt;0,1,IF(Games[[#This Row],[MOV]]=0,0.5,0))</f>
        <v>1</v>
      </c>
      <c r="W291" s="4">
        <f>((ABS(Games[[#This Row],[MOV]])+5)^0.6)/(12+0.01*(ABS(Games[[#This Row],[PreGmRate]]-Games[[#This Row],[OppPreGmRate]])))*IF(Games[[#This Row],[OT]]=1,0.9,1)</f>
        <v>0.3997816964298323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1" s="9">
        <f>MAX(kmin, kmax - 0.15 * MIN(Games[[#This Row],[GamesPlayed]], 82))</f>
        <v>72.099999999999994</v>
      </c>
      <c r="Z291" s="4">
        <f>Games[[#This Row],[K]]*Games[[#This Row],[POMult]]</f>
        <v>72.099999999999994</v>
      </c>
      <c r="AA291" s="4">
        <f>(Games[[#This Row],[Keff]]*Games[[#This Row],[MOVMult]])*(Games[[#This Row],[Result]]-Games[[#This Row],[ExpectedWin%]])</f>
        <v>13.030065040109754</v>
      </c>
      <c r="AB291" s="4">
        <f>Games[[#This Row],[PreGmRate]]+Games[[#This Row],[RatingChange]]</f>
        <v>1391.14966085883</v>
      </c>
      <c r="AC291" s="2">
        <f>IF(Games[[#This Row],[Type]]="R",IF(Games[[#This Row],[Result]]&gt;0.5,1,0),0)</f>
        <v>1</v>
      </c>
      <c r="AD291" s="2">
        <f>IF(Games[[#This Row],[Type]]="R",IF(Games[[#This Row],[Result]]&lt;0.5,1,0),0)</f>
        <v>0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42232</v>
      </c>
      <c r="B292" s="2">
        <v>2015</v>
      </c>
      <c r="C292" s="2">
        <f>COUNTIFS(Games[Team],Games[[#This Row],[Team]],Games[Season],Games[[#This Row],[Season]],Games[Date],"&lt;=" &amp; Games[[#This Row],[Date]])</f>
        <v>25</v>
      </c>
      <c r="D292" s="2" t="s">
        <v>83</v>
      </c>
      <c r="E292" s="2" t="s">
        <v>84</v>
      </c>
      <c r="F292" s="1" t="s">
        <v>67</v>
      </c>
      <c r="G292" s="1" t="s">
        <v>65</v>
      </c>
      <c r="H292" s="1" t="s">
        <v>85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92" s="2">
        <f>Games[[#This Row],[DaysOff]]-Games[[#This Row],[OppDaysOff]]</f>
        <v>-3</v>
      </c>
      <c r="L292" s="2">
        <f>Games[[#This Row],[OppDaysOff]]-Games[[#This Row],[DaysOff]]</f>
        <v>3</v>
      </c>
      <c r="M292" s="1">
        <f>MAX(-16, MIN(16, Games[[#This Row],[RestDiff]]*8))</f>
        <v>-16</v>
      </c>
      <c r="N292" s="1">
        <f>MAX(-16, MIN(16, Games[[#This Row],[OppRestDiff]]*8))</f>
        <v>16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1634.074135569047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1527.2893064478449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0.4867414120164279</v>
      </c>
      <c r="R292" s="1">
        <v>69</v>
      </c>
      <c r="S292" s="1">
        <v>77</v>
      </c>
      <c r="T292" s="1">
        <v>0</v>
      </c>
      <c r="U292" s="1">
        <f>Games[[#This Row],[PointsFor]]-Games[[#This Row],[PointsAgainst]]</f>
        <v>-8</v>
      </c>
      <c r="V292" s="1">
        <f>IF(Games[[#This Row],[MOV]]&gt;0,1,IF(Games[[#This Row],[MOV]]=0,0.5,0))</f>
        <v>0</v>
      </c>
      <c r="W292" s="4">
        <f>((ABS(Games[[#This Row],[MOV]])+5)^0.6)/(12+0.01*(ABS(Games[[#This Row],[PreGmRate]]-Games[[#This Row],[OppPreGmRate]])))*IF(Games[[#This Row],[OT]]=1,0.9,1)</f>
        <v>0.35658406159870398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2" s="9">
        <f>MAX(kmin, kmax - 0.15 * MIN(Games[[#This Row],[GamesPlayed]], 82))</f>
        <v>72.25</v>
      </c>
      <c r="Z292" s="4">
        <f>Games[[#This Row],[K]]*Games[[#This Row],[POMult]]</f>
        <v>72.25</v>
      </c>
      <c r="AA292" s="4">
        <f>(Games[[#This Row],[Keff]]*Games[[#This Row],[MOVMult]])*(Games[[#This Row],[Result]]-Games[[#This Row],[ExpectedWin%]])</f>
        <v>-12.540015591858914</v>
      </c>
      <c r="AB292" s="4">
        <f>Games[[#This Row],[PreGmRate]]+Games[[#This Row],[RatingChange]]</f>
        <v>1621.5341199771881</v>
      </c>
      <c r="AC292" s="2">
        <f>IF(Games[[#This Row],[Type]]="R",IF(Games[[#This Row],[Result]]&gt;0.5,1,0),0)</f>
        <v>0</v>
      </c>
      <c r="AD292" s="2">
        <f>IF(Games[[#This Row],[Type]]="R",IF(Games[[#This Row],[Result]]&lt;0.5,1,0),0)</f>
        <v>1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42232</v>
      </c>
      <c r="B293" s="2">
        <v>2015</v>
      </c>
      <c r="C293" s="2">
        <f>COUNTIFS(Games[Team],Games[[#This Row],[Team]],Games[Season],Games[[#This Row],[Season]],Games[Date],"&lt;=" &amp; Games[[#This Row],[Date]])</f>
        <v>23</v>
      </c>
      <c r="D293" s="2" t="s">
        <v>83</v>
      </c>
      <c r="E293" s="2" t="s">
        <v>84</v>
      </c>
      <c r="F293" s="1" t="s">
        <v>65</v>
      </c>
      <c r="G293" s="1" t="s">
        <v>67</v>
      </c>
      <c r="H293" s="1" t="s">
        <v>86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4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3" s="2">
        <f>Games[[#This Row],[DaysOff]]-Games[[#This Row],[OppDaysOff]]</f>
        <v>3</v>
      </c>
      <c r="L293" s="2">
        <f>Games[[#This Row],[OppDaysOff]]-Games[[#This Row],[DaysOff]]</f>
        <v>-3</v>
      </c>
      <c r="M293" s="1">
        <f>MAX(-16, MIN(16, Games[[#This Row],[RestDiff]]*8))</f>
        <v>16</v>
      </c>
      <c r="N293" s="1">
        <f>MAX(-16, MIN(16, Games[[#This Row],[OppRestDiff]]*8))</f>
        <v>-16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1527.2893064478449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1634.074135569047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0.51325858798357205</v>
      </c>
      <c r="R293" s="1">
        <v>77</v>
      </c>
      <c r="S293" s="1">
        <v>69</v>
      </c>
      <c r="T293" s="1">
        <v>0</v>
      </c>
      <c r="U293" s="1">
        <f>Games[[#This Row],[PointsFor]]-Games[[#This Row],[PointsAgainst]]</f>
        <v>8</v>
      </c>
      <c r="V293" s="1">
        <f>IF(Games[[#This Row],[MOV]]&gt;0,1,IF(Games[[#This Row],[MOV]]=0,0.5,0))</f>
        <v>1</v>
      </c>
      <c r="W293" s="4">
        <f>((ABS(Games[[#This Row],[MOV]])+5)^0.6)/(12+0.01*(ABS(Games[[#This Row],[PreGmRate]]-Games[[#This Row],[OppPreGmRate]])))*IF(Games[[#This Row],[OT]]=1,0.9,1)</f>
        <v>0.35658406159870398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3" s="9">
        <f>MAX(kmin, kmax - 0.15 * MIN(Games[[#This Row],[GamesPlayed]], 82))</f>
        <v>72.55</v>
      </c>
      <c r="Z293" s="4">
        <f>Games[[#This Row],[K]]*Games[[#This Row],[POMult]]</f>
        <v>72.55</v>
      </c>
      <c r="AA293" s="4">
        <f>(Games[[#This Row],[Keff]]*Games[[#This Row],[MOVMult]])*(Games[[#This Row],[Result]]-Games[[#This Row],[ExpectedWin%]])</f>
        <v>12.592084860752447</v>
      </c>
      <c r="AB293" s="4">
        <f>Games[[#This Row],[PreGmRate]]+Games[[#This Row],[RatingChange]]</f>
        <v>1539.8813913085974</v>
      </c>
      <c r="AC293" s="2">
        <f>IF(Games[[#This Row],[Type]]="R",IF(Games[[#This Row],[Result]]&gt;0.5,1,0),0)</f>
        <v>1</v>
      </c>
      <c r="AD293" s="2">
        <f>IF(Games[[#This Row],[Type]]="R",IF(Games[[#This Row],[Result]]&lt;0.5,1,0),0)</f>
        <v>0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42234</v>
      </c>
      <c r="B294" s="2">
        <v>2015</v>
      </c>
      <c r="C294" s="2">
        <f>COUNTIFS(Games[Team],Games[[#This Row],[Team]],Games[Season],Games[[#This Row],[Season]],Games[Date],"&lt;=" &amp; Games[[#This Row],[Date]])</f>
        <v>24</v>
      </c>
      <c r="D294" s="2" t="s">
        <v>83</v>
      </c>
      <c r="E294" s="2" t="s">
        <v>84</v>
      </c>
      <c r="F294" s="1" t="s">
        <v>69</v>
      </c>
      <c r="G294" s="1" t="s">
        <v>63</v>
      </c>
      <c r="H294" s="1" t="s">
        <v>85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4" s="2">
        <f>Games[[#This Row],[DaysOff]]-Games[[#This Row],[OppDaysOff]]</f>
        <v>0</v>
      </c>
      <c r="L294" s="2">
        <f>Games[[#This Row],[OppDaysOff]]-Games[[#This Row],[DaysOff]]</f>
        <v>0</v>
      </c>
      <c r="M294" s="1">
        <f>MAX(-16, MIN(16, Games[[#This Row],[RestDiff]]*8))</f>
        <v>0</v>
      </c>
      <c r="N294" s="1">
        <f>MAX(-16, MIN(16, Games[[#This Row],[OppRestDiff]]*8))</f>
        <v>0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1557.2414559938393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1462.1588497086857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0.51594374528475584</v>
      </c>
      <c r="R294" s="1">
        <v>79</v>
      </c>
      <c r="S294" s="1">
        <v>68</v>
      </c>
      <c r="T294" s="1">
        <v>0</v>
      </c>
      <c r="U294" s="1">
        <f>Games[[#This Row],[PointsFor]]-Games[[#This Row],[PointsAgainst]]</f>
        <v>11</v>
      </c>
      <c r="V294" s="1">
        <f>IF(Games[[#This Row],[MOV]]&gt;0,1,IF(Games[[#This Row],[MOV]]=0,0.5,0))</f>
        <v>1</v>
      </c>
      <c r="W294" s="4">
        <f>((ABS(Games[[#This Row],[MOV]])+5)^0.6)/(12+0.01*(ABS(Games[[#This Row],[PreGmRate]]-Games[[#This Row],[OppPreGmRate]])))*IF(Games[[#This Row],[OT]]=1,0.9,1)</f>
        <v>0.40754401437227317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4" s="9">
        <f>MAX(kmin, kmax - 0.15 * MIN(Games[[#This Row],[GamesPlayed]], 82))</f>
        <v>72.400000000000006</v>
      </c>
      <c r="Z294" s="4">
        <f>Games[[#This Row],[K]]*Games[[#This Row],[POMult]]</f>
        <v>72.400000000000006</v>
      </c>
      <c r="AA294" s="4">
        <f>(Games[[#This Row],[Keff]]*Games[[#This Row],[MOVMult]])*(Games[[#This Row],[Result]]-Games[[#This Row],[ExpectedWin%]])</f>
        <v>14.282654196154855</v>
      </c>
      <c r="AB294" s="4">
        <f>Games[[#This Row],[PreGmRate]]+Games[[#This Row],[RatingChange]]</f>
        <v>1571.5241101899942</v>
      </c>
      <c r="AC294" s="2">
        <f>IF(Games[[#This Row],[Type]]="R",IF(Games[[#This Row],[Result]]&gt;0.5,1,0),0)</f>
        <v>1</v>
      </c>
      <c r="AD294" s="2">
        <f>IF(Games[[#This Row],[Type]]="R",IF(Games[[#This Row],[Result]]&lt;0.5,1,0),0)</f>
        <v>0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42234</v>
      </c>
      <c r="B295" s="2">
        <v>2015</v>
      </c>
      <c r="C295" s="2">
        <f>COUNTIFS(Games[Team],Games[[#This Row],[Team]],Games[Season],Games[[#This Row],[Season]],Games[Date],"&lt;=" &amp; Games[[#This Row],[Date]])</f>
        <v>25</v>
      </c>
      <c r="D295" s="2" t="s">
        <v>83</v>
      </c>
      <c r="E295" s="2" t="s">
        <v>84</v>
      </c>
      <c r="F295" s="1" t="s">
        <v>63</v>
      </c>
      <c r="G295" s="1" t="s">
        <v>69</v>
      </c>
      <c r="H295" s="1" t="s">
        <v>86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5" s="2">
        <f>Games[[#This Row],[DaysOff]]-Games[[#This Row],[OppDaysOff]]</f>
        <v>0</v>
      </c>
      <c r="L295" s="2">
        <f>Games[[#This Row],[OppDaysOff]]-Games[[#This Row],[DaysOff]]</f>
        <v>0</v>
      </c>
      <c r="M295" s="1">
        <f>MAX(-16, MIN(16, Games[[#This Row],[RestDiff]]*8))</f>
        <v>0</v>
      </c>
      <c r="N295" s="1">
        <f>MAX(-16, MIN(16, Games[[#This Row],[OppRestDiff]]*8))</f>
        <v>0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1462.1588497086857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1557.2414559938393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0.48405625471524411</v>
      </c>
      <c r="R295" s="1">
        <v>68</v>
      </c>
      <c r="S295" s="1">
        <v>79</v>
      </c>
      <c r="T295" s="1">
        <v>0</v>
      </c>
      <c r="U295" s="1">
        <f>Games[[#This Row],[PointsFor]]-Games[[#This Row],[PointsAgainst]]</f>
        <v>-11</v>
      </c>
      <c r="V295" s="1">
        <f>IF(Games[[#This Row],[MOV]]&gt;0,1,IF(Games[[#This Row],[MOV]]=0,0.5,0))</f>
        <v>0</v>
      </c>
      <c r="W295" s="4">
        <f>((ABS(Games[[#This Row],[MOV]])+5)^0.6)/(12+0.01*(ABS(Games[[#This Row],[PreGmRate]]-Games[[#This Row],[OppPreGmRate]])))*IF(Games[[#This Row],[OT]]=1,0.9,1)</f>
        <v>0.40754401437227317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5" s="9">
        <f>MAX(kmin, kmax - 0.15 * MIN(Games[[#This Row],[GamesPlayed]], 82))</f>
        <v>72.25</v>
      </c>
      <c r="Z295" s="4">
        <f>Games[[#This Row],[K]]*Games[[#This Row],[POMult]]</f>
        <v>72.25</v>
      </c>
      <c r="AA295" s="4">
        <f>(Games[[#This Row],[Keff]]*Games[[#This Row],[MOVMult]])*(Games[[#This Row],[Result]]-Games[[#This Row],[ExpectedWin%]])</f>
        <v>-14.253063061770552</v>
      </c>
      <c r="AB295" s="4">
        <f>Games[[#This Row],[PreGmRate]]+Games[[#This Row],[RatingChange]]</f>
        <v>1447.9057866469152</v>
      </c>
      <c r="AC295" s="2">
        <f>IF(Games[[#This Row],[Type]]="R",IF(Games[[#This Row],[Result]]&gt;0.5,1,0),0)</f>
        <v>0</v>
      </c>
      <c r="AD295" s="2">
        <f>IF(Games[[#This Row],[Type]]="R",IF(Games[[#This Row],[Result]]&lt;0.5,1,0),0)</f>
        <v>1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42234</v>
      </c>
      <c r="B296" s="2">
        <v>2015</v>
      </c>
      <c r="C296" s="2">
        <f>COUNTIFS(Games[Team],Games[[#This Row],[Team]],Games[Season],Games[[#This Row],[Season]],Games[Date],"&lt;=" &amp; Games[[#This Row],[Date]])</f>
        <v>25</v>
      </c>
      <c r="D296" s="2" t="s">
        <v>83</v>
      </c>
      <c r="E296" s="2" t="s">
        <v>84</v>
      </c>
      <c r="F296" s="1" t="s">
        <v>40</v>
      </c>
      <c r="G296" s="1" t="s">
        <v>81</v>
      </c>
      <c r="H296" s="1" t="s">
        <v>85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6" s="2">
        <f>Games[[#This Row],[DaysOff]]-Games[[#This Row],[OppDaysOff]]</f>
        <v>-1</v>
      </c>
      <c r="L296" s="2">
        <f>Games[[#This Row],[OppDaysOff]]-Games[[#This Row],[DaysOff]]</f>
        <v>1</v>
      </c>
      <c r="M296" s="1">
        <f>MAX(-16, MIN(16, Games[[#This Row],[RestDiff]]*8))</f>
        <v>-8</v>
      </c>
      <c r="N296" s="1">
        <f>MAX(-16, MIN(16, Games[[#This Row],[OppRestDiff]]*8))</f>
        <v>8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1608.970149116205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1436.6616374379964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0.60258346572568489</v>
      </c>
      <c r="R296" s="1">
        <v>59</v>
      </c>
      <c r="S296" s="1">
        <v>74</v>
      </c>
      <c r="T296" s="1">
        <v>0</v>
      </c>
      <c r="U296" s="1">
        <f>Games[[#This Row],[PointsFor]]-Games[[#This Row],[PointsAgainst]]</f>
        <v>-15</v>
      </c>
      <c r="V296" s="1">
        <f>IF(Games[[#This Row],[MOV]]&gt;0,1,IF(Games[[#This Row],[MOV]]=0,0.5,0))</f>
        <v>0</v>
      </c>
      <c r="W296" s="4">
        <f>((ABS(Games[[#This Row],[MOV]])+5)^0.6)/(12+0.01*(ABS(Games[[#This Row],[PreGmRate]]-Games[[#This Row],[OppPreGmRate]])))*IF(Games[[#This Row],[OT]]=1,0.9,1)</f>
        <v>0.43970989651342413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6" s="9">
        <f>MAX(kmin, kmax - 0.15 * MIN(Games[[#This Row],[GamesPlayed]], 82))</f>
        <v>72.25</v>
      </c>
      <c r="Z296" s="4">
        <f>Games[[#This Row],[K]]*Games[[#This Row],[POMult]]</f>
        <v>72.25</v>
      </c>
      <c r="AA296" s="4">
        <f>(Games[[#This Row],[Keff]]*Games[[#This Row],[MOVMult]])*(Games[[#This Row],[Result]]-Games[[#This Row],[ExpectedWin%]])</f>
        <v>-19.143498239894512</v>
      </c>
      <c r="AB296" s="4">
        <f>Games[[#This Row],[PreGmRate]]+Games[[#This Row],[RatingChange]]</f>
        <v>1589.8266508763104</v>
      </c>
      <c r="AC296" s="2">
        <f>IF(Games[[#This Row],[Type]]="R",IF(Games[[#This Row],[Result]]&gt;0.5,1,0),0)</f>
        <v>0</v>
      </c>
      <c r="AD296" s="2">
        <f>IF(Games[[#This Row],[Type]]="R",IF(Games[[#This Row],[Result]]&lt;0.5,1,0),0)</f>
        <v>1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42234</v>
      </c>
      <c r="B297" s="2">
        <v>2015</v>
      </c>
      <c r="C297" s="2">
        <f>COUNTIFS(Games[Team],Games[[#This Row],[Team]],Games[Season],Games[[#This Row],[Season]],Games[Date],"&lt;=" &amp; Games[[#This Row],[Date]])</f>
        <v>26</v>
      </c>
      <c r="D297" s="2" t="s">
        <v>83</v>
      </c>
      <c r="E297" s="2" t="s">
        <v>84</v>
      </c>
      <c r="F297" s="1" t="s">
        <v>81</v>
      </c>
      <c r="G297" s="1" t="s">
        <v>40</v>
      </c>
      <c r="H297" s="1" t="s">
        <v>86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7" s="2">
        <f>Games[[#This Row],[DaysOff]]-Games[[#This Row],[OppDaysOff]]</f>
        <v>1</v>
      </c>
      <c r="L297" s="2">
        <f>Games[[#This Row],[OppDaysOff]]-Games[[#This Row],[DaysOff]]</f>
        <v>-1</v>
      </c>
      <c r="M297" s="1">
        <f>MAX(-16, MIN(16, Games[[#This Row],[RestDiff]]*8))</f>
        <v>8</v>
      </c>
      <c r="N297" s="1">
        <f>MAX(-16, MIN(16, Games[[#This Row],[OppRestDiff]]*8))</f>
        <v>-8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1436.6616374379964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1608.970149116205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0.39741653427431511</v>
      </c>
      <c r="R297" s="1">
        <v>74</v>
      </c>
      <c r="S297" s="1">
        <v>59</v>
      </c>
      <c r="T297" s="1">
        <v>0</v>
      </c>
      <c r="U297" s="1">
        <f>Games[[#This Row],[PointsFor]]-Games[[#This Row],[PointsAgainst]]</f>
        <v>15</v>
      </c>
      <c r="V297" s="1">
        <f>IF(Games[[#This Row],[MOV]]&gt;0,1,IF(Games[[#This Row],[MOV]]=0,0.5,0))</f>
        <v>1</v>
      </c>
      <c r="W297" s="4">
        <f>((ABS(Games[[#This Row],[MOV]])+5)^0.6)/(12+0.01*(ABS(Games[[#This Row],[PreGmRate]]-Games[[#This Row],[OppPreGmRate]])))*IF(Games[[#This Row],[OT]]=1,0.9,1)</f>
        <v>0.43970989651342413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7" s="9">
        <f>MAX(kmin, kmax - 0.15 * MIN(Games[[#This Row],[GamesPlayed]], 82))</f>
        <v>72.099999999999994</v>
      </c>
      <c r="Z297" s="4">
        <f>Games[[#This Row],[K]]*Games[[#This Row],[POMult]]</f>
        <v>72.099999999999994</v>
      </c>
      <c r="AA297" s="4">
        <f>(Games[[#This Row],[Keff]]*Games[[#This Row],[MOVMult]])*(Games[[#This Row],[Result]]-Games[[#This Row],[ExpectedWin%]])</f>
        <v>19.103753952891271</v>
      </c>
      <c r="AB297" s="4">
        <f>Games[[#This Row],[PreGmRate]]+Games[[#This Row],[RatingChange]]</f>
        <v>1455.7653913908878</v>
      </c>
      <c r="AC297" s="2">
        <f>IF(Games[[#This Row],[Type]]="R",IF(Games[[#This Row],[Result]]&gt;0.5,1,0),0)</f>
        <v>1</v>
      </c>
      <c r="AD297" s="2">
        <f>IF(Games[[#This Row],[Type]]="R",IF(Games[[#This Row],[Result]]&lt;0.5,1,0),0)</f>
        <v>0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42235</v>
      </c>
      <c r="B298" s="2">
        <v>2015</v>
      </c>
      <c r="C298" s="2">
        <f>COUNTIFS(Games[Team],Games[[#This Row],[Team]],Games[Season],Games[[#This Row],[Season]],Games[Date],"&lt;=" &amp; Games[[#This Row],[Date]])</f>
        <v>24</v>
      </c>
      <c r="D298" s="2" t="s">
        <v>83</v>
      </c>
      <c r="E298" s="2" t="s">
        <v>84</v>
      </c>
      <c r="F298" s="1" t="s">
        <v>65</v>
      </c>
      <c r="G298" s="1" t="s">
        <v>67</v>
      </c>
      <c r="H298" s="1" t="s">
        <v>85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8" s="2">
        <f>Games[[#This Row],[DaysOff]]-Games[[#This Row],[OppDaysOff]]</f>
        <v>0</v>
      </c>
      <c r="L298" s="2">
        <f>Games[[#This Row],[OppDaysOff]]-Games[[#This Row],[DaysOff]]</f>
        <v>0</v>
      </c>
      <c r="M298" s="1">
        <f>MAX(-16, MIN(16, Games[[#This Row],[RestDiff]]*8))</f>
        <v>0</v>
      </c>
      <c r="N298" s="1">
        <f>MAX(-16, MIN(16, Games[[#This Row],[OppRestDiff]]*8))</f>
        <v>0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1539.8813913085974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1621.5341199771881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0.27816667840034698</v>
      </c>
      <c r="R298" s="1">
        <v>79</v>
      </c>
      <c r="S298" s="1">
        <v>61</v>
      </c>
      <c r="T298" s="1">
        <v>0</v>
      </c>
      <c r="U298" s="1">
        <f>Games[[#This Row],[PointsFor]]-Games[[#This Row],[PointsAgainst]]</f>
        <v>18</v>
      </c>
      <c r="V298" s="1">
        <f>IF(Games[[#This Row],[MOV]]&gt;0,1,IF(Games[[#This Row],[MOV]]=0,0.5,0))</f>
        <v>1</v>
      </c>
      <c r="W298" s="4">
        <f>((ABS(Games[[#This Row],[MOV]])+5)^0.6)/(12+0.01*(ABS(Games[[#This Row],[PreGmRate]]-Games[[#This Row],[OppPreGmRate]])))*IF(Games[[#This Row],[OT]]=1,0.9,1)</f>
        <v>0.51199572542030269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8" s="9">
        <f>MAX(kmin, kmax - 0.15 * MIN(Games[[#This Row],[GamesPlayed]], 82))</f>
        <v>72.400000000000006</v>
      </c>
      <c r="Z298" s="4">
        <f>Games[[#This Row],[K]]*Games[[#This Row],[POMult]]</f>
        <v>72.400000000000006</v>
      </c>
      <c r="AA298" s="4">
        <f>(Games[[#This Row],[Keff]]*Games[[#This Row],[MOVMult]])*(Games[[#This Row],[Result]]-Games[[#This Row],[ExpectedWin%]])</f>
        <v>26.757271639047183</v>
      </c>
      <c r="AB298" s="4">
        <f>Games[[#This Row],[PreGmRate]]+Games[[#This Row],[RatingChange]]</f>
        <v>1566.6386629476444</v>
      </c>
      <c r="AC298" s="2">
        <f>IF(Games[[#This Row],[Type]]="R",IF(Games[[#This Row],[Result]]&gt;0.5,1,0),0)</f>
        <v>1</v>
      </c>
      <c r="AD298" s="2">
        <f>IF(Games[[#This Row],[Type]]="R",IF(Games[[#This Row],[Result]]&lt;0.5,1,0),0)</f>
        <v>0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42235</v>
      </c>
      <c r="B299" s="2">
        <v>2015</v>
      </c>
      <c r="C299" s="2">
        <f>COUNTIFS(Games[Team],Games[[#This Row],[Team]],Games[Season],Games[[#This Row],[Season]],Games[Date],"&lt;=" &amp; Games[[#This Row],[Date]])</f>
        <v>26</v>
      </c>
      <c r="D299" s="2" t="s">
        <v>83</v>
      </c>
      <c r="E299" s="2" t="s">
        <v>84</v>
      </c>
      <c r="F299" s="1" t="s">
        <v>67</v>
      </c>
      <c r="G299" s="1" t="s">
        <v>65</v>
      </c>
      <c r="H299" s="1" t="s">
        <v>86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9" s="2">
        <f>Games[[#This Row],[DaysOff]]-Games[[#This Row],[OppDaysOff]]</f>
        <v>0</v>
      </c>
      <c r="L299" s="2">
        <f>Games[[#This Row],[OppDaysOff]]-Games[[#This Row],[DaysOff]]</f>
        <v>0</v>
      </c>
      <c r="M299" s="1">
        <f>MAX(-16, MIN(16, Games[[#This Row],[RestDiff]]*8))</f>
        <v>0</v>
      </c>
      <c r="N299" s="1">
        <f>MAX(-16, MIN(16, Games[[#This Row],[OppRestDiff]]*8))</f>
        <v>0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1621.5341199771881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1539.8813913085974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0.72183332159965297</v>
      </c>
      <c r="R299" s="1">
        <v>61</v>
      </c>
      <c r="S299" s="1">
        <v>79</v>
      </c>
      <c r="T299" s="1">
        <v>0</v>
      </c>
      <c r="U299" s="1">
        <f>Games[[#This Row],[PointsFor]]-Games[[#This Row],[PointsAgainst]]</f>
        <v>-18</v>
      </c>
      <c r="V299" s="1">
        <f>IF(Games[[#This Row],[MOV]]&gt;0,1,IF(Games[[#This Row],[MOV]]=0,0.5,0))</f>
        <v>0</v>
      </c>
      <c r="W299" s="4">
        <f>((ABS(Games[[#This Row],[MOV]])+5)^0.6)/(12+0.01*(ABS(Games[[#This Row],[PreGmRate]]-Games[[#This Row],[OppPreGmRate]])))*IF(Games[[#This Row],[OT]]=1,0.9,1)</f>
        <v>0.51199572542030269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9" s="9">
        <f>MAX(kmin, kmax - 0.15 * MIN(Games[[#This Row],[GamesPlayed]], 82))</f>
        <v>72.099999999999994</v>
      </c>
      <c r="Z299" s="4">
        <f>Games[[#This Row],[K]]*Games[[#This Row],[POMult]]</f>
        <v>72.099999999999994</v>
      </c>
      <c r="AA299" s="4">
        <f>(Games[[#This Row],[Keff]]*Games[[#This Row],[MOVMult]])*(Games[[#This Row],[Result]]-Games[[#This Row],[ExpectedWin%]])</f>
        <v>-26.646398966509686</v>
      </c>
      <c r="AB299" s="4">
        <f>Games[[#This Row],[PreGmRate]]+Games[[#This Row],[RatingChange]]</f>
        <v>1594.8877210106784</v>
      </c>
      <c r="AC299" s="2">
        <f>IF(Games[[#This Row],[Type]]="R",IF(Games[[#This Row],[Result]]&gt;0.5,1,0),0)</f>
        <v>0</v>
      </c>
      <c r="AD299" s="2">
        <f>IF(Games[[#This Row],[Type]]="R",IF(Games[[#This Row],[Result]]&lt;0.5,1,0),0)</f>
        <v>1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42235</v>
      </c>
      <c r="B300" s="2">
        <v>2015</v>
      </c>
      <c r="C300" s="2">
        <f>COUNTIFS(Games[Team],Games[[#This Row],[Team]],Games[Season],Games[[#This Row],[Season]],Games[Date],"&lt;=" &amp; Games[[#This Row],[Date]])</f>
        <v>24</v>
      </c>
      <c r="D300" s="2" t="s">
        <v>83</v>
      </c>
      <c r="E300" s="2" t="s">
        <v>84</v>
      </c>
      <c r="F300" s="1" t="s">
        <v>60</v>
      </c>
      <c r="G300" s="1" t="s">
        <v>74</v>
      </c>
      <c r="H300" s="1" t="s">
        <v>85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0" s="2">
        <f>Games[[#This Row],[DaysOff]]-Games[[#This Row],[OppDaysOff]]</f>
        <v>1</v>
      </c>
      <c r="L300" s="2">
        <f>Games[[#This Row],[OppDaysOff]]-Games[[#This Row],[DaysOff]]</f>
        <v>-1</v>
      </c>
      <c r="M300" s="1">
        <f>MAX(-16, MIN(16, Games[[#This Row],[RestDiff]]*8))</f>
        <v>8</v>
      </c>
      <c r="N300" s="1">
        <f>MAX(-16, MIN(16, Games[[#This Row],[OppRestDiff]]*8))</f>
        <v>-8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1570.1993282735141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1383.6420546125289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0.66428987030259423</v>
      </c>
      <c r="R300" s="1">
        <v>73</v>
      </c>
      <c r="S300" s="1">
        <v>45</v>
      </c>
      <c r="T300" s="1">
        <v>0</v>
      </c>
      <c r="U300" s="1">
        <f>Games[[#This Row],[PointsFor]]-Games[[#This Row],[PointsAgainst]]</f>
        <v>28</v>
      </c>
      <c r="V300" s="1">
        <f>IF(Games[[#This Row],[MOV]]&gt;0,1,IF(Games[[#This Row],[MOV]]=0,0.5,0))</f>
        <v>1</v>
      </c>
      <c r="W300" s="4">
        <f>((ABS(Games[[#This Row],[MOV]])+5)^0.6)/(12+0.01*(ABS(Games[[#This Row],[PreGmRate]]-Games[[#This Row],[OppPreGmRate]])))*IF(Games[[#This Row],[OT]]=1,0.9,1)</f>
        <v>0.5877201090537344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0" s="9">
        <f>MAX(kmin, kmax - 0.15 * MIN(Games[[#This Row],[GamesPlayed]], 82))</f>
        <v>72.400000000000006</v>
      </c>
      <c r="Z300" s="4">
        <f>Games[[#This Row],[K]]*Games[[#This Row],[POMult]]</f>
        <v>72.400000000000006</v>
      </c>
      <c r="AA300" s="4">
        <f>(Games[[#This Row],[Keff]]*Games[[#This Row],[MOVMult]])*(Games[[#This Row],[Result]]-Games[[#This Row],[ExpectedWin%]])</f>
        <v>14.284780208221072</v>
      </c>
      <c r="AB300" s="4">
        <f>Games[[#This Row],[PreGmRate]]+Games[[#This Row],[RatingChange]]</f>
        <v>1584.4841084817351</v>
      </c>
      <c r="AC300" s="2">
        <f>IF(Games[[#This Row],[Type]]="R",IF(Games[[#This Row],[Result]]&gt;0.5,1,0),0)</f>
        <v>1</v>
      </c>
      <c r="AD300" s="2">
        <f>IF(Games[[#This Row],[Type]]="R",IF(Games[[#This Row],[Result]]&lt;0.5,1,0),0)</f>
        <v>0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42235</v>
      </c>
      <c r="B301" s="2">
        <v>2015</v>
      </c>
      <c r="C301" s="2">
        <f>COUNTIFS(Games[Team],Games[[#This Row],[Team]],Games[Season],Games[[#This Row],[Season]],Games[Date],"&lt;=" &amp; Games[[#This Row],[Date]])</f>
        <v>26</v>
      </c>
      <c r="D301" s="2" t="s">
        <v>83</v>
      </c>
      <c r="E301" s="2" t="s">
        <v>84</v>
      </c>
      <c r="F301" s="1" t="s">
        <v>74</v>
      </c>
      <c r="G301" s="1" t="s">
        <v>60</v>
      </c>
      <c r="H301" s="1" t="s">
        <v>86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1" s="2">
        <f>Games[[#This Row],[DaysOff]]-Games[[#This Row],[OppDaysOff]]</f>
        <v>-1</v>
      </c>
      <c r="L301" s="2">
        <f>Games[[#This Row],[OppDaysOff]]-Games[[#This Row],[DaysOff]]</f>
        <v>1</v>
      </c>
      <c r="M301" s="1">
        <f>MAX(-16, MIN(16, Games[[#This Row],[RestDiff]]*8))</f>
        <v>-8</v>
      </c>
      <c r="N301" s="1">
        <f>MAX(-16, MIN(16, Games[[#This Row],[OppRestDiff]]*8))</f>
        <v>8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1383.6420546125289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1570.1993282735141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0.33571012969740571</v>
      </c>
      <c r="R301" s="1">
        <v>45</v>
      </c>
      <c r="S301" s="1">
        <v>73</v>
      </c>
      <c r="T301" s="1">
        <v>0</v>
      </c>
      <c r="U301" s="1">
        <f>Games[[#This Row],[PointsFor]]-Games[[#This Row],[PointsAgainst]]</f>
        <v>-28</v>
      </c>
      <c r="V301" s="1">
        <f>IF(Games[[#This Row],[MOV]]&gt;0,1,IF(Games[[#This Row],[MOV]]=0,0.5,0))</f>
        <v>0</v>
      </c>
      <c r="W301" s="4">
        <f>((ABS(Games[[#This Row],[MOV]])+5)^0.6)/(12+0.01*(ABS(Games[[#This Row],[PreGmRate]]-Games[[#This Row],[OppPreGmRate]])))*IF(Games[[#This Row],[OT]]=1,0.9,1)</f>
        <v>0.5877201090537344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1" s="9">
        <f>MAX(kmin, kmax - 0.15 * MIN(Games[[#This Row],[GamesPlayed]], 82))</f>
        <v>72.099999999999994</v>
      </c>
      <c r="Z301" s="4">
        <f>Games[[#This Row],[K]]*Games[[#This Row],[POMult]]</f>
        <v>72.099999999999994</v>
      </c>
      <c r="AA301" s="4">
        <f>(Games[[#This Row],[Keff]]*Games[[#This Row],[MOVMult]])*(Games[[#This Row],[Result]]-Games[[#This Row],[ExpectedWin%]])</f>
        <v>-14.225589130010206</v>
      </c>
      <c r="AB301" s="4">
        <f>Games[[#This Row],[PreGmRate]]+Games[[#This Row],[RatingChange]]</f>
        <v>1369.4164654825188</v>
      </c>
      <c r="AC301" s="2">
        <f>IF(Games[[#This Row],[Type]]="R",IF(Games[[#This Row],[Result]]&gt;0.5,1,0),0)</f>
        <v>0</v>
      </c>
      <c r="AD301" s="2">
        <f>IF(Games[[#This Row],[Type]]="R",IF(Games[[#This Row],[Result]]&lt;0.5,1,0),0)</f>
        <v>1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42237</v>
      </c>
      <c r="B302" s="2">
        <v>2015</v>
      </c>
      <c r="C302" s="2">
        <f>COUNTIFS(Games[Team],Games[[#This Row],[Team]],Games[Season],Games[[#This Row],[Season]],Games[Date],"&lt;=" &amp; Games[[#This Row],[Date]])</f>
        <v>25</v>
      </c>
      <c r="D302" s="2" t="s">
        <v>83</v>
      </c>
      <c r="E302" s="2" t="s">
        <v>84</v>
      </c>
      <c r="F302" s="1" t="s">
        <v>65</v>
      </c>
      <c r="G302" s="1" t="s">
        <v>77</v>
      </c>
      <c r="H302" s="1" t="s">
        <v>85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02" s="2">
        <f>Games[[#This Row],[DaysOff]]-Games[[#This Row],[OppDaysOff]]</f>
        <v>-3</v>
      </c>
      <c r="L302" s="2">
        <f>Games[[#This Row],[OppDaysOff]]-Games[[#This Row],[DaysOff]]</f>
        <v>3</v>
      </c>
      <c r="M302" s="1">
        <f>MAX(-16, MIN(16, Games[[#This Row],[RestDiff]]*8))</f>
        <v>-16</v>
      </c>
      <c r="N302" s="1">
        <f>MAX(-16, MIN(16, Games[[#This Row],[OppRestDiff]]*8))</f>
        <v>16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1566.6386629476444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1536.0100718569727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0.37955502704491856</v>
      </c>
      <c r="R302" s="1">
        <v>85</v>
      </c>
      <c r="S302" s="1">
        <v>87</v>
      </c>
      <c r="T302" s="1">
        <v>0</v>
      </c>
      <c r="U302" s="1">
        <f>Games[[#This Row],[PointsFor]]-Games[[#This Row],[PointsAgainst]]</f>
        <v>-2</v>
      </c>
      <c r="V302" s="1">
        <f>IF(Games[[#This Row],[MOV]]&gt;0,1,IF(Games[[#This Row],[MOV]]=0,0.5,0))</f>
        <v>0</v>
      </c>
      <c r="W302" s="4">
        <f>((ABS(Games[[#This Row],[MOV]])+5)^0.6)/(12+0.01*(ABS(Games[[#This Row],[PreGmRate]]-Games[[#This Row],[OppPreGmRate]])))*IF(Games[[#This Row],[OT]]=1,0.9,1)</f>
        <v>0.26117513220357369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2" s="9">
        <f>MAX(kmin, kmax - 0.15 * MIN(Games[[#This Row],[GamesPlayed]], 82))</f>
        <v>72.25</v>
      </c>
      <c r="Z302" s="4">
        <f>Games[[#This Row],[K]]*Games[[#This Row],[POMult]]</f>
        <v>72.25</v>
      </c>
      <c r="AA302" s="4">
        <f>(Games[[#This Row],[Keff]]*Games[[#This Row],[MOVMult]])*(Games[[#This Row],[Result]]-Games[[#This Row],[ExpectedWin%]])</f>
        <v>-7.1621666580148533</v>
      </c>
      <c r="AB302" s="4">
        <f>Games[[#This Row],[PreGmRate]]+Games[[#This Row],[RatingChange]]</f>
        <v>1559.4764962896295</v>
      </c>
      <c r="AC302" s="2">
        <f>IF(Games[[#This Row],[Type]]="R",IF(Games[[#This Row],[Result]]&gt;0.5,1,0),0)</f>
        <v>0</v>
      </c>
      <c r="AD302" s="2">
        <f>IF(Games[[#This Row],[Type]]="R",IF(Games[[#This Row],[Result]]&lt;0.5,1,0),0)</f>
        <v>1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42237</v>
      </c>
      <c r="B303" s="2">
        <v>2015</v>
      </c>
      <c r="C303" s="2">
        <f>COUNTIFS(Games[Team],Games[[#This Row],[Team]],Games[Season],Games[[#This Row],[Season]],Games[Date],"&lt;=" &amp; Games[[#This Row],[Date]])</f>
        <v>27</v>
      </c>
      <c r="D303" s="2" t="s">
        <v>83</v>
      </c>
      <c r="E303" s="2" t="s">
        <v>84</v>
      </c>
      <c r="F303" s="1" t="s">
        <v>77</v>
      </c>
      <c r="G303" s="1" t="s">
        <v>65</v>
      </c>
      <c r="H303" s="1" t="s">
        <v>86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4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3" s="2">
        <f>Games[[#This Row],[DaysOff]]-Games[[#This Row],[OppDaysOff]]</f>
        <v>3</v>
      </c>
      <c r="L303" s="2">
        <f>Games[[#This Row],[OppDaysOff]]-Games[[#This Row],[DaysOff]]</f>
        <v>-3</v>
      </c>
      <c r="M303" s="1">
        <f>MAX(-16, MIN(16, Games[[#This Row],[RestDiff]]*8))</f>
        <v>16</v>
      </c>
      <c r="N303" s="1">
        <f>MAX(-16, MIN(16, Games[[#This Row],[OppRestDiff]]*8))</f>
        <v>-16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1536.0100718569727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1566.6386629476444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0.6204449729550815</v>
      </c>
      <c r="R303" s="1">
        <v>87</v>
      </c>
      <c r="S303" s="1">
        <v>85</v>
      </c>
      <c r="T303" s="1">
        <v>0</v>
      </c>
      <c r="U303" s="1">
        <f>Games[[#This Row],[PointsFor]]-Games[[#This Row],[PointsAgainst]]</f>
        <v>2</v>
      </c>
      <c r="V303" s="1">
        <f>IF(Games[[#This Row],[MOV]]&gt;0,1,IF(Games[[#This Row],[MOV]]=0,0.5,0))</f>
        <v>1</v>
      </c>
      <c r="W303" s="4">
        <f>((ABS(Games[[#This Row],[MOV]])+5)^0.6)/(12+0.01*(ABS(Games[[#This Row],[PreGmRate]]-Games[[#This Row],[OppPreGmRate]])))*IF(Games[[#This Row],[OT]]=1,0.9,1)</f>
        <v>0.26117513220357369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3" s="9">
        <f>MAX(kmin, kmax - 0.15 * MIN(Games[[#This Row],[GamesPlayed]], 82))</f>
        <v>71.95</v>
      </c>
      <c r="Z303" s="4">
        <f>Games[[#This Row],[K]]*Games[[#This Row],[POMult]]</f>
        <v>71.95</v>
      </c>
      <c r="AA303" s="4">
        <f>(Games[[#This Row],[Keff]]*Games[[#This Row],[MOVMult]])*(Games[[#This Row],[Result]]-Games[[#This Row],[ExpectedWin%]])</f>
        <v>7.132427557704756</v>
      </c>
      <c r="AB303" s="4">
        <f>Games[[#This Row],[PreGmRate]]+Games[[#This Row],[RatingChange]]</f>
        <v>1543.1424994146773</v>
      </c>
      <c r="AC303" s="2">
        <f>IF(Games[[#This Row],[Type]]="R",IF(Games[[#This Row],[Result]]&gt;0.5,1,0),0)</f>
        <v>1</v>
      </c>
      <c r="AD303" s="2">
        <f>IF(Games[[#This Row],[Type]]="R",IF(Games[[#This Row],[Result]]&lt;0.5,1,0),0)</f>
        <v>0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42237</v>
      </c>
      <c r="B304" s="2">
        <v>2015</v>
      </c>
      <c r="C304" s="2">
        <f>COUNTIFS(Games[Team],Games[[#This Row],[Team]],Games[Season],Games[[#This Row],[Season]],Games[Date],"&lt;=" &amp; Games[[#This Row],[Date]])</f>
        <v>25</v>
      </c>
      <c r="D304" s="2" t="s">
        <v>83</v>
      </c>
      <c r="E304" s="2" t="s">
        <v>84</v>
      </c>
      <c r="F304" s="1" t="s">
        <v>79</v>
      </c>
      <c r="G304" s="1" t="s">
        <v>60</v>
      </c>
      <c r="H304" s="1" t="s">
        <v>85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4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4" s="2">
        <f>Games[[#This Row],[DaysOff]]-Games[[#This Row],[OppDaysOff]]</f>
        <v>3</v>
      </c>
      <c r="L304" s="2">
        <f>Games[[#This Row],[OppDaysOff]]-Games[[#This Row],[DaysOff]]</f>
        <v>-3</v>
      </c>
      <c r="M304" s="1">
        <f>MAX(-16, MIN(16, Games[[#This Row],[RestDiff]]*8))</f>
        <v>16</v>
      </c>
      <c r="N304" s="1">
        <f>MAX(-16, MIN(16, Games[[#This Row],[OppRestDiff]]*8))</f>
        <v>-16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1429.9962785799235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1584.4841084817351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0.23350234885160634</v>
      </c>
      <c r="R304" s="1">
        <v>67</v>
      </c>
      <c r="S304" s="1">
        <v>78</v>
      </c>
      <c r="T304" s="1">
        <v>0</v>
      </c>
      <c r="U304" s="1">
        <f>Games[[#This Row],[PointsFor]]-Games[[#This Row],[PointsAgainst]]</f>
        <v>-11</v>
      </c>
      <c r="V304" s="1">
        <f>IF(Games[[#This Row],[MOV]]&gt;0,1,IF(Games[[#This Row],[MOV]]=0,0.5,0))</f>
        <v>0</v>
      </c>
      <c r="W304" s="4">
        <f>((ABS(Games[[#This Row],[MOV]])+5)^0.6)/(12+0.01*(ABS(Games[[#This Row],[PreGmRate]]-Games[[#This Row],[OppPreGmRate]])))*IF(Games[[#This Row],[OT]]=1,0.9,1)</f>
        <v>0.38966991999287198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4" s="9">
        <f>MAX(kmin, kmax - 0.15 * MIN(Games[[#This Row],[GamesPlayed]], 82))</f>
        <v>72.25</v>
      </c>
      <c r="Z304" s="4">
        <f>Games[[#This Row],[K]]*Games[[#This Row],[POMult]]</f>
        <v>72.25</v>
      </c>
      <c r="AA304" s="4">
        <f>(Games[[#This Row],[Keff]]*Games[[#This Row],[MOVMult]])*(Games[[#This Row],[Result]]-Games[[#This Row],[ExpectedWin%]])</f>
        <v>-6.5739438052498134</v>
      </c>
      <c r="AB304" s="4">
        <f>Games[[#This Row],[PreGmRate]]+Games[[#This Row],[RatingChange]]</f>
        <v>1423.4223347746736</v>
      </c>
      <c r="AC304" s="2">
        <f>IF(Games[[#This Row],[Type]]="R",IF(Games[[#This Row],[Result]]&gt;0.5,1,0),0)</f>
        <v>0</v>
      </c>
      <c r="AD304" s="2">
        <f>IF(Games[[#This Row],[Type]]="R",IF(Games[[#This Row],[Result]]&lt;0.5,1,0),0)</f>
        <v>1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42237</v>
      </c>
      <c r="B305" s="2">
        <v>2015</v>
      </c>
      <c r="C305" s="2">
        <f>COUNTIFS(Games[Team],Games[[#This Row],[Team]],Games[Season],Games[[#This Row],[Season]],Games[Date],"&lt;=" &amp; Games[[#This Row],[Date]])</f>
        <v>25</v>
      </c>
      <c r="D305" s="2" t="s">
        <v>83</v>
      </c>
      <c r="E305" s="2" t="s">
        <v>84</v>
      </c>
      <c r="F305" s="1" t="s">
        <v>60</v>
      </c>
      <c r="G305" s="1" t="s">
        <v>79</v>
      </c>
      <c r="H305" s="1" t="s">
        <v>86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05" s="2">
        <f>Games[[#This Row],[DaysOff]]-Games[[#This Row],[OppDaysOff]]</f>
        <v>-3</v>
      </c>
      <c r="L305" s="2">
        <f>Games[[#This Row],[OppDaysOff]]-Games[[#This Row],[DaysOff]]</f>
        <v>3</v>
      </c>
      <c r="M305" s="1">
        <f>MAX(-16, MIN(16, Games[[#This Row],[RestDiff]]*8))</f>
        <v>-16</v>
      </c>
      <c r="N305" s="1">
        <f>MAX(-16, MIN(16, Games[[#This Row],[OppRestDiff]]*8))</f>
        <v>16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1584.4841084817351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1429.9962785799235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0.76649765114839374</v>
      </c>
      <c r="R305" s="1">
        <v>78</v>
      </c>
      <c r="S305" s="1">
        <v>67</v>
      </c>
      <c r="T305" s="1">
        <v>0</v>
      </c>
      <c r="U305" s="1">
        <f>Games[[#This Row],[PointsFor]]-Games[[#This Row],[PointsAgainst]]</f>
        <v>11</v>
      </c>
      <c r="V305" s="1">
        <f>IF(Games[[#This Row],[MOV]]&gt;0,1,IF(Games[[#This Row],[MOV]]=0,0.5,0))</f>
        <v>1</v>
      </c>
      <c r="W305" s="4">
        <f>((ABS(Games[[#This Row],[MOV]])+5)^0.6)/(12+0.01*(ABS(Games[[#This Row],[PreGmRate]]-Games[[#This Row],[OppPreGmRate]])))*IF(Games[[#This Row],[OT]]=1,0.9,1)</f>
        <v>0.38966991999287198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5" s="9">
        <f>MAX(kmin, kmax - 0.15 * MIN(Games[[#This Row],[GamesPlayed]], 82))</f>
        <v>72.25</v>
      </c>
      <c r="Z305" s="4">
        <f>Games[[#This Row],[K]]*Games[[#This Row],[POMult]]</f>
        <v>72.25</v>
      </c>
      <c r="AA305" s="4">
        <f>(Games[[#This Row],[Keff]]*Games[[#This Row],[MOVMult]])*(Games[[#This Row],[Result]]-Games[[#This Row],[ExpectedWin%]])</f>
        <v>6.5739438052498107</v>
      </c>
      <c r="AB305" s="4">
        <f>Games[[#This Row],[PreGmRate]]+Games[[#This Row],[RatingChange]]</f>
        <v>1591.058052286985</v>
      </c>
      <c r="AC305" s="2">
        <f>IF(Games[[#This Row],[Type]]="R",IF(Games[[#This Row],[Result]]&gt;0.5,1,0),0)</f>
        <v>1</v>
      </c>
      <c r="AD305" s="2">
        <f>IF(Games[[#This Row],[Type]]="R",IF(Games[[#This Row],[Result]]&lt;0.5,1,0),0)</f>
        <v>0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42237</v>
      </c>
      <c r="B306" s="2">
        <v>2015</v>
      </c>
      <c r="C306" s="2">
        <f>COUNTIFS(Games[Team],Games[[#This Row],[Team]],Games[Season],Games[[#This Row],[Season]],Games[Date],"&lt;=" &amp; Games[[#This Row],[Date]])</f>
        <v>26</v>
      </c>
      <c r="D306" s="2" t="s">
        <v>83</v>
      </c>
      <c r="E306" s="2" t="s">
        <v>84</v>
      </c>
      <c r="F306" s="1" t="s">
        <v>63</v>
      </c>
      <c r="G306" s="1" t="s">
        <v>40</v>
      </c>
      <c r="H306" s="1" t="s">
        <v>85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6" s="2">
        <f>Games[[#This Row],[DaysOff]]-Games[[#This Row],[OppDaysOff]]</f>
        <v>0</v>
      </c>
      <c r="L306" s="2">
        <f>Games[[#This Row],[OppDaysOff]]-Games[[#This Row],[DaysOff]]</f>
        <v>0</v>
      </c>
      <c r="M306" s="1">
        <f>MAX(-16, MIN(16, Games[[#This Row],[RestDiff]]*8))</f>
        <v>0</v>
      </c>
      <c r="N306" s="1">
        <f>MAX(-16, MIN(16, Games[[#This Row],[OppRestDiff]]*8))</f>
        <v>0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1447.9057866469152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1589.8266508763104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0.2140800325919075</v>
      </c>
      <c r="R306" s="1">
        <v>78</v>
      </c>
      <c r="S306" s="1">
        <v>68</v>
      </c>
      <c r="T306" s="1">
        <v>0</v>
      </c>
      <c r="U306" s="1">
        <f>Games[[#This Row],[PointsFor]]-Games[[#This Row],[PointsAgainst]]</f>
        <v>10</v>
      </c>
      <c r="V306" s="1">
        <f>IF(Games[[#This Row],[MOV]]&gt;0,1,IF(Games[[#This Row],[MOV]]=0,0.5,0))</f>
        <v>1</v>
      </c>
      <c r="W306" s="4">
        <f>((ABS(Games[[#This Row],[MOV]])+5)^0.6)/(12+0.01*(ABS(Games[[#This Row],[PreGmRate]]-Games[[#This Row],[OppPreGmRate]])))*IF(Games[[#This Row],[OT]]=1,0.9,1)</f>
        <v>0.37837971875511595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6" s="9">
        <f>MAX(kmin, kmax - 0.15 * MIN(Games[[#This Row],[GamesPlayed]], 82))</f>
        <v>72.099999999999994</v>
      </c>
      <c r="Z306" s="4">
        <f>Games[[#This Row],[K]]*Games[[#This Row],[POMult]]</f>
        <v>72.099999999999994</v>
      </c>
      <c r="AA306" s="4">
        <f>(Games[[#This Row],[Keff]]*Games[[#This Row],[MOVMult]])*(Games[[#This Row],[Result]]-Games[[#This Row],[ExpectedWin%]])</f>
        <v>21.440822306320271</v>
      </c>
      <c r="AB306" s="4">
        <f>Games[[#This Row],[PreGmRate]]+Games[[#This Row],[RatingChange]]</f>
        <v>1469.3466089532355</v>
      </c>
      <c r="AC306" s="2">
        <f>IF(Games[[#This Row],[Type]]="R",IF(Games[[#This Row],[Result]]&gt;0.5,1,0),0)</f>
        <v>1</v>
      </c>
      <c r="AD306" s="2">
        <f>IF(Games[[#This Row],[Type]]="R",IF(Games[[#This Row],[Result]]&lt;0.5,1,0),0)</f>
        <v>0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42237</v>
      </c>
      <c r="B307" s="2">
        <v>2015</v>
      </c>
      <c r="C307" s="2">
        <f>COUNTIFS(Games[Team],Games[[#This Row],[Team]],Games[Season],Games[[#This Row],[Season]],Games[Date],"&lt;=" &amp; Games[[#This Row],[Date]])</f>
        <v>26</v>
      </c>
      <c r="D307" s="2" t="s">
        <v>83</v>
      </c>
      <c r="E307" s="2" t="s">
        <v>84</v>
      </c>
      <c r="F307" s="1" t="s">
        <v>40</v>
      </c>
      <c r="G307" s="1" t="s">
        <v>63</v>
      </c>
      <c r="H307" s="1" t="s">
        <v>86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7" s="2">
        <f>Games[[#This Row],[DaysOff]]-Games[[#This Row],[OppDaysOff]]</f>
        <v>0</v>
      </c>
      <c r="L307" s="2">
        <f>Games[[#This Row],[OppDaysOff]]-Games[[#This Row],[DaysOff]]</f>
        <v>0</v>
      </c>
      <c r="M307" s="1">
        <f>MAX(-16, MIN(16, Games[[#This Row],[RestDiff]]*8))</f>
        <v>0</v>
      </c>
      <c r="N307" s="1">
        <f>MAX(-16, MIN(16, Games[[#This Row],[OppRestDiff]]*8))</f>
        <v>0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1589.8266508763104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1447.9057866469152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0.78591996740809256</v>
      </c>
      <c r="R307" s="1">
        <v>68</v>
      </c>
      <c r="S307" s="1">
        <v>78</v>
      </c>
      <c r="T307" s="1">
        <v>0</v>
      </c>
      <c r="U307" s="1">
        <f>Games[[#This Row],[PointsFor]]-Games[[#This Row],[PointsAgainst]]</f>
        <v>-10</v>
      </c>
      <c r="V307" s="1">
        <f>IF(Games[[#This Row],[MOV]]&gt;0,1,IF(Games[[#This Row],[MOV]]=0,0.5,0))</f>
        <v>0</v>
      </c>
      <c r="W307" s="4">
        <f>((ABS(Games[[#This Row],[MOV]])+5)^0.6)/(12+0.01*(ABS(Games[[#This Row],[PreGmRate]]-Games[[#This Row],[OppPreGmRate]])))*IF(Games[[#This Row],[OT]]=1,0.9,1)</f>
        <v>0.37837971875511595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7" s="9">
        <f>MAX(kmin, kmax - 0.15 * MIN(Games[[#This Row],[GamesPlayed]], 82))</f>
        <v>72.099999999999994</v>
      </c>
      <c r="Z307" s="4">
        <f>Games[[#This Row],[K]]*Games[[#This Row],[POMult]]</f>
        <v>72.099999999999994</v>
      </c>
      <c r="AA307" s="4">
        <f>(Games[[#This Row],[Keff]]*Games[[#This Row],[MOVMult]])*(Games[[#This Row],[Result]]-Games[[#This Row],[ExpectedWin%]])</f>
        <v>-21.440822306320271</v>
      </c>
      <c r="AB307" s="4">
        <f>Games[[#This Row],[PreGmRate]]+Games[[#This Row],[RatingChange]]</f>
        <v>1568.3858285699901</v>
      </c>
      <c r="AC307" s="2">
        <f>IF(Games[[#This Row],[Type]]="R",IF(Games[[#This Row],[Result]]&gt;0.5,1,0),0)</f>
        <v>0</v>
      </c>
      <c r="AD307" s="2">
        <f>IF(Games[[#This Row],[Type]]="R",IF(Games[[#This Row],[Result]]&lt;0.5,1,0),0)</f>
        <v>1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42237</v>
      </c>
      <c r="B308" s="2">
        <v>2015</v>
      </c>
      <c r="C308" s="2">
        <f>COUNTIFS(Games[Team],Games[[#This Row],[Team]],Games[Season],Games[[#This Row],[Season]],Games[Date],"&lt;=" &amp; Games[[#This Row],[Date]])</f>
        <v>27</v>
      </c>
      <c r="D308" s="2" t="s">
        <v>83</v>
      </c>
      <c r="E308" s="2" t="s">
        <v>84</v>
      </c>
      <c r="F308" s="1" t="s">
        <v>67</v>
      </c>
      <c r="G308" s="1" t="s">
        <v>74</v>
      </c>
      <c r="H308" s="1" t="s">
        <v>85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8" s="2">
        <f>Games[[#This Row],[DaysOff]]-Games[[#This Row],[OppDaysOff]]</f>
        <v>0</v>
      </c>
      <c r="L308" s="2">
        <f>Games[[#This Row],[OppDaysOff]]-Games[[#This Row],[DaysOff]]</f>
        <v>0</v>
      </c>
      <c r="M308" s="1">
        <f>MAX(-16, MIN(16, Games[[#This Row],[RestDiff]]*8))</f>
        <v>0</v>
      </c>
      <c r="N308" s="1">
        <f>MAX(-16, MIN(16, Games[[#This Row],[OppRestDiff]]*8))</f>
        <v>0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1594.8877210106784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1369.4164654825188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0.69304079531610652</v>
      </c>
      <c r="R308" s="1">
        <v>78</v>
      </c>
      <c r="S308" s="1">
        <v>61</v>
      </c>
      <c r="T308" s="1">
        <v>0</v>
      </c>
      <c r="U308" s="1">
        <f>Games[[#This Row],[PointsFor]]-Games[[#This Row],[PointsAgainst]]</f>
        <v>17</v>
      </c>
      <c r="V308" s="1">
        <f>IF(Games[[#This Row],[MOV]]&gt;0,1,IF(Games[[#This Row],[MOV]]=0,0.5,0))</f>
        <v>1</v>
      </c>
      <c r="W308" s="4">
        <f>((ABS(Games[[#This Row],[MOV]])+5)^0.6)/(12+0.01*(ABS(Games[[#This Row],[PreGmRate]]-Games[[#This Row],[OppPreGmRate]])))*IF(Games[[#This Row],[OT]]=1,0.9,1)</f>
        <v>0.44822403848589915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8" s="9">
        <f>MAX(kmin, kmax - 0.15 * MIN(Games[[#This Row],[GamesPlayed]], 82))</f>
        <v>71.95</v>
      </c>
      <c r="Z308" s="4">
        <f>Games[[#This Row],[K]]*Games[[#This Row],[POMult]]</f>
        <v>71.95</v>
      </c>
      <c r="AA308" s="4">
        <f>(Games[[#This Row],[Keff]]*Games[[#This Row],[MOVMult]])*(Games[[#This Row],[Result]]-Games[[#This Row],[ExpectedWin%]])</f>
        <v>9.8993482701973896</v>
      </c>
      <c r="AB308" s="4">
        <f>Games[[#This Row],[PreGmRate]]+Games[[#This Row],[RatingChange]]</f>
        <v>1604.7870692808758</v>
      </c>
      <c r="AC308" s="2">
        <f>IF(Games[[#This Row],[Type]]="R",IF(Games[[#This Row],[Result]]&gt;0.5,1,0),0)</f>
        <v>1</v>
      </c>
      <c r="AD308" s="2">
        <f>IF(Games[[#This Row],[Type]]="R",IF(Games[[#This Row],[Result]]&lt;0.5,1,0),0)</f>
        <v>0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42237</v>
      </c>
      <c r="B309" s="2">
        <v>2015</v>
      </c>
      <c r="C309" s="2">
        <f>COUNTIFS(Games[Team],Games[[#This Row],[Team]],Games[Season],Games[[#This Row],[Season]],Games[Date],"&lt;=" &amp; Games[[#This Row],[Date]])</f>
        <v>27</v>
      </c>
      <c r="D309" s="2" t="s">
        <v>83</v>
      </c>
      <c r="E309" s="2" t="s">
        <v>84</v>
      </c>
      <c r="F309" s="1" t="s">
        <v>74</v>
      </c>
      <c r="G309" s="1" t="s">
        <v>67</v>
      </c>
      <c r="H309" s="1" t="s">
        <v>86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9" s="2">
        <f>Games[[#This Row],[DaysOff]]-Games[[#This Row],[OppDaysOff]]</f>
        <v>0</v>
      </c>
      <c r="L309" s="2">
        <f>Games[[#This Row],[OppDaysOff]]-Games[[#This Row],[DaysOff]]</f>
        <v>0</v>
      </c>
      <c r="M309" s="1">
        <f>MAX(-16, MIN(16, Games[[#This Row],[RestDiff]]*8))</f>
        <v>0</v>
      </c>
      <c r="N309" s="1">
        <f>MAX(-16, MIN(16, Games[[#This Row],[OppRestDiff]]*8))</f>
        <v>0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1369.4164654825188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1594.8877210106784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0.30695920468389343</v>
      </c>
      <c r="R309" s="1">
        <v>61</v>
      </c>
      <c r="S309" s="1">
        <v>78</v>
      </c>
      <c r="T309" s="1">
        <v>0</v>
      </c>
      <c r="U309" s="1">
        <f>Games[[#This Row],[PointsFor]]-Games[[#This Row],[PointsAgainst]]</f>
        <v>-17</v>
      </c>
      <c r="V309" s="1">
        <f>IF(Games[[#This Row],[MOV]]&gt;0,1,IF(Games[[#This Row],[MOV]]=0,0.5,0))</f>
        <v>0</v>
      </c>
      <c r="W309" s="4">
        <f>((ABS(Games[[#This Row],[MOV]])+5)^0.6)/(12+0.01*(ABS(Games[[#This Row],[PreGmRate]]-Games[[#This Row],[OppPreGmRate]])))*IF(Games[[#This Row],[OT]]=1,0.9,1)</f>
        <v>0.44822403848589915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9" s="9">
        <f>MAX(kmin, kmax - 0.15 * MIN(Games[[#This Row],[GamesPlayed]], 82))</f>
        <v>71.95</v>
      </c>
      <c r="Z309" s="4">
        <f>Games[[#This Row],[K]]*Games[[#This Row],[POMult]]</f>
        <v>71.95</v>
      </c>
      <c r="AA309" s="4">
        <f>(Games[[#This Row],[Keff]]*Games[[#This Row],[MOVMult]])*(Games[[#This Row],[Result]]-Games[[#This Row],[ExpectedWin%]])</f>
        <v>-9.8993482701973878</v>
      </c>
      <c r="AB309" s="4">
        <f>Games[[#This Row],[PreGmRate]]+Games[[#This Row],[RatingChange]]</f>
        <v>1359.5171172123214</v>
      </c>
      <c r="AC309" s="2">
        <f>IF(Games[[#This Row],[Type]]="R",IF(Games[[#This Row],[Result]]&gt;0.5,1,0),0)</f>
        <v>0</v>
      </c>
      <c r="AD309" s="2">
        <f>IF(Games[[#This Row],[Type]]="R",IF(Games[[#This Row],[Result]]&lt;0.5,1,0),0)</f>
        <v>1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42237</v>
      </c>
      <c r="B310" s="2">
        <v>2015</v>
      </c>
      <c r="C310" s="2">
        <f>COUNTIFS(Games[Team],Games[[#This Row],[Team]],Games[Season],Games[[#This Row],[Season]],Games[Date],"&lt;=" &amp; Games[[#This Row],[Date]])</f>
        <v>25</v>
      </c>
      <c r="D310" s="2" t="s">
        <v>83</v>
      </c>
      <c r="E310" s="2" t="s">
        <v>84</v>
      </c>
      <c r="F310" s="1" t="s">
        <v>69</v>
      </c>
      <c r="G310" s="1" t="s">
        <v>71</v>
      </c>
      <c r="H310" s="1" t="s">
        <v>85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0" s="2">
        <f>Games[[#This Row],[DaysOff]]-Games[[#This Row],[OppDaysOff]]</f>
        <v>-2</v>
      </c>
      <c r="L310" s="2">
        <f>Games[[#This Row],[OppDaysOff]]-Games[[#This Row],[DaysOff]]</f>
        <v>2</v>
      </c>
      <c r="M310" s="1">
        <f>MAX(-16, MIN(16, Games[[#This Row],[RestDiff]]*8))</f>
        <v>-16</v>
      </c>
      <c r="N310" s="1">
        <f>MAX(-16, MIN(16, Games[[#This Row],[OppRestDiff]]*8))</f>
        <v>16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1571.5241101899942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1391.14966085883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0.59159649036524042</v>
      </c>
      <c r="R310" s="1">
        <v>75</v>
      </c>
      <c r="S310" s="1">
        <v>63</v>
      </c>
      <c r="T310" s="1">
        <v>0</v>
      </c>
      <c r="U310" s="1">
        <f>Games[[#This Row],[PointsFor]]-Games[[#This Row],[PointsAgainst]]</f>
        <v>12</v>
      </c>
      <c r="V310" s="1">
        <f>IF(Games[[#This Row],[MOV]]&gt;0,1,IF(Games[[#This Row],[MOV]]=0,0.5,0))</f>
        <v>1</v>
      </c>
      <c r="W310" s="4">
        <f>((ABS(Games[[#This Row],[MOV]])+5)^0.6)/(12+0.01*(ABS(Games[[#This Row],[PreGmRate]]-Games[[#This Row],[OppPreGmRate]])))*IF(Games[[#This Row],[OT]]=1,0.9,1)</f>
        <v>0.39652670473367579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0" s="9">
        <f>MAX(kmin, kmax - 0.15 * MIN(Games[[#This Row],[GamesPlayed]], 82))</f>
        <v>72.25</v>
      </c>
      <c r="Z310" s="4">
        <f>Games[[#This Row],[K]]*Games[[#This Row],[POMult]]</f>
        <v>72.25</v>
      </c>
      <c r="AA310" s="4">
        <f>(Games[[#This Row],[Keff]]*Games[[#This Row],[MOVMult]])*(Games[[#This Row],[Result]]-Games[[#This Row],[ExpectedWin%]])</f>
        <v>11.70037437162331</v>
      </c>
      <c r="AB310" s="4">
        <f>Games[[#This Row],[PreGmRate]]+Games[[#This Row],[RatingChange]]</f>
        <v>1583.2244845616176</v>
      </c>
      <c r="AC310" s="2">
        <f>IF(Games[[#This Row],[Type]]="R",IF(Games[[#This Row],[Result]]&gt;0.5,1,0),0)</f>
        <v>1</v>
      </c>
      <c r="AD310" s="2">
        <f>IF(Games[[#This Row],[Type]]="R",IF(Games[[#This Row],[Result]]&lt;0.5,1,0),0)</f>
        <v>0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42237</v>
      </c>
      <c r="B311" s="2">
        <v>2015</v>
      </c>
      <c r="C311" s="2">
        <f>COUNTIFS(Games[Team],Games[[#This Row],[Team]],Games[Season],Games[[#This Row],[Season]],Games[Date],"&lt;=" &amp; Games[[#This Row],[Date]])</f>
        <v>27</v>
      </c>
      <c r="D311" s="2" t="s">
        <v>83</v>
      </c>
      <c r="E311" s="2" t="s">
        <v>84</v>
      </c>
      <c r="F311" s="1" t="s">
        <v>71</v>
      </c>
      <c r="G311" s="1" t="s">
        <v>69</v>
      </c>
      <c r="H311" s="1" t="s">
        <v>86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1" s="2">
        <f>Games[[#This Row],[DaysOff]]-Games[[#This Row],[OppDaysOff]]</f>
        <v>2</v>
      </c>
      <c r="L311" s="2">
        <f>Games[[#This Row],[OppDaysOff]]-Games[[#This Row],[DaysOff]]</f>
        <v>-2</v>
      </c>
      <c r="M311" s="1">
        <f>MAX(-16, MIN(16, Games[[#This Row],[RestDiff]]*8))</f>
        <v>16</v>
      </c>
      <c r="N311" s="1">
        <f>MAX(-16, MIN(16, Games[[#This Row],[OppRestDiff]]*8))</f>
        <v>-16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1391.14966085883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1571.5241101899942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0.40840350963475958</v>
      </c>
      <c r="R311" s="1">
        <v>63</v>
      </c>
      <c r="S311" s="1">
        <v>75</v>
      </c>
      <c r="T311" s="1">
        <v>0</v>
      </c>
      <c r="U311" s="1">
        <f>Games[[#This Row],[PointsFor]]-Games[[#This Row],[PointsAgainst]]</f>
        <v>-12</v>
      </c>
      <c r="V311" s="1">
        <f>IF(Games[[#This Row],[MOV]]&gt;0,1,IF(Games[[#This Row],[MOV]]=0,0.5,0))</f>
        <v>0</v>
      </c>
      <c r="W311" s="4">
        <f>((ABS(Games[[#This Row],[MOV]])+5)^0.6)/(12+0.01*(ABS(Games[[#This Row],[PreGmRate]]-Games[[#This Row],[OppPreGmRate]])))*IF(Games[[#This Row],[OT]]=1,0.9,1)</f>
        <v>0.39652670473367579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1" s="9">
        <f>MAX(kmin, kmax - 0.15 * MIN(Games[[#This Row],[GamesPlayed]], 82))</f>
        <v>71.95</v>
      </c>
      <c r="Z311" s="4">
        <f>Games[[#This Row],[K]]*Games[[#This Row],[POMult]]</f>
        <v>71.95</v>
      </c>
      <c r="AA311" s="4">
        <f>(Games[[#This Row],[Keff]]*Games[[#This Row],[MOVMult]])*(Games[[#This Row],[Result]]-Games[[#This Row],[ExpectedWin%]])</f>
        <v>-11.651791502260169</v>
      </c>
      <c r="AB311" s="4">
        <f>Games[[#This Row],[PreGmRate]]+Games[[#This Row],[RatingChange]]</f>
        <v>1379.4978693565697</v>
      </c>
      <c r="AC311" s="2">
        <f>IF(Games[[#This Row],[Type]]="R",IF(Games[[#This Row],[Result]]&gt;0.5,1,0),0)</f>
        <v>0</v>
      </c>
      <c r="AD311" s="2">
        <f>IF(Games[[#This Row],[Type]]="R",IF(Games[[#This Row],[Result]]&lt;0.5,1,0),0)</f>
        <v>1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42237</v>
      </c>
      <c r="B312" s="2">
        <v>2015</v>
      </c>
      <c r="C312" s="2">
        <f>COUNTIFS(Games[Team],Games[[#This Row],[Team]],Games[Season],Games[[#This Row],[Season]],Games[Date],"&lt;=" &amp; Games[[#This Row],[Date]])</f>
        <v>25</v>
      </c>
      <c r="D312" s="2" t="s">
        <v>83</v>
      </c>
      <c r="E312" s="2" t="s">
        <v>84</v>
      </c>
      <c r="F312" s="1" t="s">
        <v>76</v>
      </c>
      <c r="G312" s="1" t="s">
        <v>81</v>
      </c>
      <c r="H312" s="1" t="s">
        <v>85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2" s="2">
        <f>Games[[#This Row],[DaysOff]]-Games[[#This Row],[OppDaysOff]]</f>
        <v>2</v>
      </c>
      <c r="L312" s="2">
        <f>Games[[#This Row],[OppDaysOff]]-Games[[#This Row],[DaysOff]]</f>
        <v>-2</v>
      </c>
      <c r="M312" s="1">
        <f>MAX(-16, MIN(16, Games[[#This Row],[RestDiff]]*8))</f>
        <v>16</v>
      </c>
      <c r="N312" s="1">
        <f>MAX(-16, MIN(16, Games[[#This Row],[OppRestDiff]]*8))</f>
        <v>-16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1463.9609607342252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1455.7653913908878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0.4372922723325865</v>
      </c>
      <c r="R312" s="1">
        <v>76</v>
      </c>
      <c r="S312" s="1">
        <v>84</v>
      </c>
      <c r="T312" s="1">
        <v>1</v>
      </c>
      <c r="U312" s="1">
        <f>Games[[#This Row],[PointsFor]]-Games[[#This Row],[PointsAgainst]]</f>
        <v>-8</v>
      </c>
      <c r="V312" s="1">
        <f>IF(Games[[#This Row],[MOV]]&gt;0,1,IF(Games[[#This Row],[MOV]]=0,0.5,0))</f>
        <v>0</v>
      </c>
      <c r="W312" s="4">
        <f>((ABS(Games[[#This Row],[MOV]])+5)^0.6)/(12+0.01*(ABS(Games[[#This Row],[PreGmRate]]-Games[[#This Row],[OppPreGmRate]])))*IF(Games[[#This Row],[OT]]=1,0.9,1)</f>
        <v>0.34711332208508455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2" s="9">
        <f>MAX(kmin, kmax - 0.15 * MIN(Games[[#This Row],[GamesPlayed]], 82))</f>
        <v>72.25</v>
      </c>
      <c r="Z312" s="4">
        <f>Games[[#This Row],[K]]*Games[[#This Row],[POMult]]</f>
        <v>72.25</v>
      </c>
      <c r="AA312" s="4">
        <f>(Games[[#This Row],[Keff]]*Games[[#This Row],[MOVMult]])*(Games[[#This Row],[Result]]-Games[[#This Row],[ExpectedWin%]])</f>
        <v>-10.966825576090846</v>
      </c>
      <c r="AB312" s="4">
        <f>Games[[#This Row],[PreGmRate]]+Games[[#This Row],[RatingChange]]</f>
        <v>1452.9941351581344</v>
      </c>
      <c r="AC312" s="2">
        <f>IF(Games[[#This Row],[Type]]="R",IF(Games[[#This Row],[Result]]&gt;0.5,1,0),0)</f>
        <v>0</v>
      </c>
      <c r="AD312" s="2">
        <f>IF(Games[[#This Row],[Type]]="R",IF(Games[[#This Row],[Result]]&lt;0.5,1,0),0)</f>
        <v>1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42237</v>
      </c>
      <c r="B313" s="2">
        <v>2015</v>
      </c>
      <c r="C313" s="2">
        <f>COUNTIFS(Games[Team],Games[[#This Row],[Team]],Games[Season],Games[[#This Row],[Season]],Games[Date],"&lt;=" &amp; Games[[#This Row],[Date]])</f>
        <v>27</v>
      </c>
      <c r="D313" s="2" t="s">
        <v>83</v>
      </c>
      <c r="E313" s="2" t="s">
        <v>84</v>
      </c>
      <c r="F313" s="1" t="s">
        <v>81</v>
      </c>
      <c r="G313" s="1" t="s">
        <v>76</v>
      </c>
      <c r="H313" s="1" t="s">
        <v>86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3" s="2">
        <f>Games[[#This Row],[DaysOff]]-Games[[#This Row],[OppDaysOff]]</f>
        <v>-2</v>
      </c>
      <c r="L313" s="2">
        <f>Games[[#This Row],[OppDaysOff]]-Games[[#This Row],[DaysOff]]</f>
        <v>2</v>
      </c>
      <c r="M313" s="1">
        <f>MAX(-16, MIN(16, Games[[#This Row],[RestDiff]]*8))</f>
        <v>-16</v>
      </c>
      <c r="N313" s="1">
        <f>MAX(-16, MIN(16, Games[[#This Row],[OppRestDiff]]*8))</f>
        <v>16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1455.7653913908878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1463.9609607342252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0.5627077276674135</v>
      </c>
      <c r="R313" s="1">
        <v>84</v>
      </c>
      <c r="S313" s="1">
        <v>76</v>
      </c>
      <c r="T313" s="1">
        <v>1</v>
      </c>
      <c r="U313" s="1">
        <f>Games[[#This Row],[PointsFor]]-Games[[#This Row],[PointsAgainst]]</f>
        <v>8</v>
      </c>
      <c r="V313" s="1">
        <f>IF(Games[[#This Row],[MOV]]&gt;0,1,IF(Games[[#This Row],[MOV]]=0,0.5,0))</f>
        <v>1</v>
      </c>
      <c r="W313" s="4">
        <f>((ABS(Games[[#This Row],[MOV]])+5)^0.6)/(12+0.01*(ABS(Games[[#This Row],[PreGmRate]]-Games[[#This Row],[OppPreGmRate]])))*IF(Games[[#This Row],[OT]]=1,0.9,1)</f>
        <v>0.34711332208508455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3" s="9">
        <f>MAX(kmin, kmax - 0.15 * MIN(Games[[#This Row],[GamesPlayed]], 82))</f>
        <v>71.95</v>
      </c>
      <c r="Z313" s="4">
        <f>Games[[#This Row],[K]]*Games[[#This Row],[POMult]]</f>
        <v>71.95</v>
      </c>
      <c r="AA313" s="4">
        <f>(Games[[#This Row],[Keff]]*Games[[#This Row],[MOVMult]])*(Games[[#This Row],[Result]]-Games[[#This Row],[ExpectedWin%]])</f>
        <v>10.921288584079397</v>
      </c>
      <c r="AB313" s="4">
        <f>Games[[#This Row],[PreGmRate]]+Games[[#This Row],[RatingChange]]</f>
        <v>1466.6866799749671</v>
      </c>
      <c r="AC313" s="2">
        <f>IF(Games[[#This Row],[Type]]="R",IF(Games[[#This Row],[Result]]&gt;0.5,1,0),0)</f>
        <v>1</v>
      </c>
      <c r="AD313" s="2">
        <f>IF(Games[[#This Row],[Type]]="R",IF(Games[[#This Row],[Result]]&lt;0.5,1,0),0)</f>
        <v>0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42239</v>
      </c>
      <c r="B314" s="2">
        <v>2015</v>
      </c>
      <c r="C314" s="2">
        <f>COUNTIFS(Games[Team],Games[[#This Row],[Team]],Games[Season],Games[[#This Row],[Season]],Games[Date],"&lt;=" &amp; Games[[#This Row],[Date]])</f>
        <v>26</v>
      </c>
      <c r="D314" s="2" t="s">
        <v>83</v>
      </c>
      <c r="E314" s="2" t="s">
        <v>84</v>
      </c>
      <c r="F314" s="1" t="s">
        <v>79</v>
      </c>
      <c r="G314" s="1" t="s">
        <v>76</v>
      </c>
      <c r="H314" s="1" t="s">
        <v>85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4" s="2">
        <f>Games[[#This Row],[DaysOff]]-Games[[#This Row],[OppDaysOff]]</f>
        <v>0</v>
      </c>
      <c r="L314" s="2">
        <f>Games[[#This Row],[OppDaysOff]]-Games[[#This Row],[DaysOff]]</f>
        <v>0</v>
      </c>
      <c r="M314" s="1">
        <f>MAX(-16, MIN(16, Games[[#This Row],[RestDiff]]*8))</f>
        <v>0</v>
      </c>
      <c r="N314" s="1">
        <f>MAX(-16, MIN(16, Games[[#This Row],[OppRestDiff]]*8))</f>
        <v>0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1423.4223347746736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1452.9941351581344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0.34214006669964675</v>
      </c>
      <c r="R314" s="1">
        <v>102</v>
      </c>
      <c r="S314" s="1">
        <v>92</v>
      </c>
      <c r="T314" s="1">
        <v>0</v>
      </c>
      <c r="U314" s="1">
        <f>Games[[#This Row],[PointsFor]]-Games[[#This Row],[PointsAgainst]]</f>
        <v>10</v>
      </c>
      <c r="V314" s="1">
        <f>IF(Games[[#This Row],[MOV]]&gt;0,1,IF(Games[[#This Row],[MOV]]=0,0.5,0))</f>
        <v>1</v>
      </c>
      <c r="W314" s="4">
        <f>((ABS(Games[[#This Row],[MOV]])+5)^0.6)/(12+0.01*(ABS(Games[[#This Row],[PreGmRate]]-Games[[#This Row],[OppPreGmRate]])))*IF(Games[[#This Row],[OT]]=1,0.9,1)</f>
        <v>0.4129532240739332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4" s="9">
        <f>MAX(kmin, kmax - 0.15 * MIN(Games[[#This Row],[GamesPlayed]], 82))</f>
        <v>72.099999999999994</v>
      </c>
      <c r="Z314" s="4">
        <f>Games[[#This Row],[K]]*Games[[#This Row],[POMult]]</f>
        <v>72.099999999999994</v>
      </c>
      <c r="AA314" s="4">
        <f>(Games[[#This Row],[Keff]]*Games[[#This Row],[MOVMult]])*(Games[[#This Row],[Result]]-Games[[#This Row],[ExpectedWin%]])</f>
        <v>19.587073930116475</v>
      </c>
      <c r="AB314" s="4">
        <f>Games[[#This Row],[PreGmRate]]+Games[[#This Row],[RatingChange]]</f>
        <v>1443.0094087047901</v>
      </c>
      <c r="AC314" s="2">
        <f>IF(Games[[#This Row],[Type]]="R",IF(Games[[#This Row],[Result]]&gt;0.5,1,0),0)</f>
        <v>1</v>
      </c>
      <c r="AD314" s="2">
        <f>IF(Games[[#This Row],[Type]]="R",IF(Games[[#This Row],[Result]]&lt;0.5,1,0),0)</f>
        <v>0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42239</v>
      </c>
      <c r="B315" s="2">
        <v>2015</v>
      </c>
      <c r="C315" s="2">
        <f>COUNTIFS(Games[Team],Games[[#This Row],[Team]],Games[Season],Games[[#This Row],[Season]],Games[Date],"&lt;=" &amp; Games[[#This Row],[Date]])</f>
        <v>26</v>
      </c>
      <c r="D315" s="2" t="s">
        <v>83</v>
      </c>
      <c r="E315" s="2" t="s">
        <v>84</v>
      </c>
      <c r="F315" s="1" t="s">
        <v>76</v>
      </c>
      <c r="G315" s="1" t="s">
        <v>79</v>
      </c>
      <c r="H315" s="1" t="s">
        <v>86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5" s="2">
        <f>Games[[#This Row],[DaysOff]]-Games[[#This Row],[OppDaysOff]]</f>
        <v>0</v>
      </c>
      <c r="L315" s="2">
        <f>Games[[#This Row],[OppDaysOff]]-Games[[#This Row],[DaysOff]]</f>
        <v>0</v>
      </c>
      <c r="M315" s="1">
        <f>MAX(-16, MIN(16, Games[[#This Row],[RestDiff]]*8))</f>
        <v>0</v>
      </c>
      <c r="N315" s="1">
        <f>MAX(-16, MIN(16, Games[[#This Row],[OppRestDiff]]*8))</f>
        <v>0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1452.9941351581344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1423.4223347746736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0.65785993330035319</v>
      </c>
      <c r="R315" s="1">
        <v>92</v>
      </c>
      <c r="S315" s="1">
        <v>102</v>
      </c>
      <c r="T315" s="1">
        <v>0</v>
      </c>
      <c r="U315" s="1">
        <f>Games[[#This Row],[PointsFor]]-Games[[#This Row],[PointsAgainst]]</f>
        <v>-10</v>
      </c>
      <c r="V315" s="1">
        <f>IF(Games[[#This Row],[MOV]]&gt;0,1,IF(Games[[#This Row],[MOV]]=0,0.5,0))</f>
        <v>0</v>
      </c>
      <c r="W315" s="4">
        <f>((ABS(Games[[#This Row],[MOV]])+5)^0.6)/(12+0.01*(ABS(Games[[#This Row],[PreGmRate]]-Games[[#This Row],[OppPreGmRate]])))*IF(Games[[#This Row],[OT]]=1,0.9,1)</f>
        <v>0.4129532240739332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5" s="9">
        <f>MAX(kmin, kmax - 0.15 * MIN(Games[[#This Row],[GamesPlayed]], 82))</f>
        <v>72.099999999999994</v>
      </c>
      <c r="Z315" s="4">
        <f>Games[[#This Row],[K]]*Games[[#This Row],[POMult]]</f>
        <v>72.099999999999994</v>
      </c>
      <c r="AA315" s="4">
        <f>(Games[[#This Row],[Keff]]*Games[[#This Row],[MOVMult]])*(Games[[#This Row],[Result]]-Games[[#This Row],[ExpectedWin%]])</f>
        <v>-19.587073930116475</v>
      </c>
      <c r="AB315" s="4">
        <f>Games[[#This Row],[PreGmRate]]+Games[[#This Row],[RatingChange]]</f>
        <v>1433.4070612280179</v>
      </c>
      <c r="AC315" s="2">
        <f>IF(Games[[#This Row],[Type]]="R",IF(Games[[#This Row],[Result]]&gt;0.5,1,0),0)</f>
        <v>0</v>
      </c>
      <c r="AD315" s="2">
        <f>IF(Games[[#This Row],[Type]]="R",IF(Games[[#This Row],[Result]]&lt;0.5,1,0),0)</f>
        <v>1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42239</v>
      </c>
      <c r="B316" s="2">
        <v>2015</v>
      </c>
      <c r="C316" s="2">
        <f>COUNTIFS(Games[Team],Games[[#This Row],[Team]],Games[Season],Games[[#This Row],[Season]],Games[Date],"&lt;=" &amp; Games[[#This Row],[Date]])</f>
        <v>26</v>
      </c>
      <c r="D316" s="2" t="s">
        <v>83</v>
      </c>
      <c r="E316" s="2" t="s">
        <v>84</v>
      </c>
      <c r="F316" s="1" t="s">
        <v>60</v>
      </c>
      <c r="G316" s="1" t="s">
        <v>69</v>
      </c>
      <c r="H316" s="1" t="s">
        <v>85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6" s="2">
        <f>Games[[#This Row],[DaysOff]]-Games[[#This Row],[OppDaysOff]]</f>
        <v>0</v>
      </c>
      <c r="L316" s="2">
        <f>Games[[#This Row],[OppDaysOff]]-Games[[#This Row],[DaysOff]]</f>
        <v>0</v>
      </c>
      <c r="M316" s="1">
        <f>MAX(-16, MIN(16, Games[[#This Row],[RestDiff]]*8))</f>
        <v>0</v>
      </c>
      <c r="N316" s="1">
        <f>MAX(-16, MIN(16, Games[[#This Row],[OppRestDiff]]*8))</f>
        <v>0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1591.058052286985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1583.2244845616176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0.39211054894715636</v>
      </c>
      <c r="R316" s="1">
        <v>79</v>
      </c>
      <c r="S316" s="1">
        <v>80</v>
      </c>
      <c r="T316" s="1">
        <v>0</v>
      </c>
      <c r="U316" s="1">
        <f>Games[[#This Row],[PointsFor]]-Games[[#This Row],[PointsAgainst]]</f>
        <v>-1</v>
      </c>
      <c r="V316" s="1">
        <f>IF(Games[[#This Row],[MOV]]&gt;0,1,IF(Games[[#This Row],[MOV]]=0,0.5,0))</f>
        <v>0</v>
      </c>
      <c r="W316" s="4">
        <f>((ABS(Games[[#This Row],[MOV]])+5)^0.6)/(12+0.01*(ABS(Games[[#This Row],[PreGmRate]]-Games[[#This Row],[OppPreGmRate]])))*IF(Games[[#This Row],[OT]]=1,0.9,1)</f>
        <v>0.24259601073198264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6" s="9">
        <f>MAX(kmin, kmax - 0.15 * MIN(Games[[#This Row],[GamesPlayed]], 82))</f>
        <v>72.099999999999994</v>
      </c>
      <c r="Z316" s="4">
        <f>Games[[#This Row],[K]]*Games[[#This Row],[POMult]]</f>
        <v>72.099999999999994</v>
      </c>
      <c r="AA316" s="4">
        <f>(Games[[#This Row],[Keff]]*Games[[#This Row],[MOVMult]])*(Games[[#This Row],[Result]]-Games[[#This Row],[ExpectedWin%]])</f>
        <v>-6.8584732012106224</v>
      </c>
      <c r="AB316" s="4">
        <f>Games[[#This Row],[PreGmRate]]+Games[[#This Row],[RatingChange]]</f>
        <v>1584.1995790857743</v>
      </c>
      <c r="AC316" s="2">
        <f>IF(Games[[#This Row],[Type]]="R",IF(Games[[#This Row],[Result]]&gt;0.5,1,0),0)</f>
        <v>0</v>
      </c>
      <c r="AD316" s="2">
        <f>IF(Games[[#This Row],[Type]]="R",IF(Games[[#This Row],[Result]]&lt;0.5,1,0),0)</f>
        <v>1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42239</v>
      </c>
      <c r="B317" s="2">
        <v>2015</v>
      </c>
      <c r="C317" s="2">
        <f>COUNTIFS(Games[Team],Games[[#This Row],[Team]],Games[Season],Games[[#This Row],[Season]],Games[Date],"&lt;=" &amp; Games[[#This Row],[Date]])</f>
        <v>26</v>
      </c>
      <c r="D317" s="2" t="s">
        <v>83</v>
      </c>
      <c r="E317" s="2" t="s">
        <v>84</v>
      </c>
      <c r="F317" s="1" t="s">
        <v>69</v>
      </c>
      <c r="G317" s="1" t="s">
        <v>60</v>
      </c>
      <c r="H317" s="1" t="s">
        <v>86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7" s="2">
        <f>Games[[#This Row],[DaysOff]]-Games[[#This Row],[OppDaysOff]]</f>
        <v>0</v>
      </c>
      <c r="L317" s="2">
        <f>Games[[#This Row],[OppDaysOff]]-Games[[#This Row],[DaysOff]]</f>
        <v>0</v>
      </c>
      <c r="M317" s="1">
        <f>MAX(-16, MIN(16, Games[[#This Row],[RestDiff]]*8))</f>
        <v>0</v>
      </c>
      <c r="N317" s="1">
        <f>MAX(-16, MIN(16, Games[[#This Row],[OppRestDiff]]*8))</f>
        <v>0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1583.2244845616176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1591.058052286985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0.60788945105284364</v>
      </c>
      <c r="R317" s="1">
        <v>80</v>
      </c>
      <c r="S317" s="1">
        <v>79</v>
      </c>
      <c r="T317" s="1">
        <v>0</v>
      </c>
      <c r="U317" s="1">
        <f>Games[[#This Row],[PointsFor]]-Games[[#This Row],[PointsAgainst]]</f>
        <v>1</v>
      </c>
      <c r="V317" s="1">
        <f>IF(Games[[#This Row],[MOV]]&gt;0,1,IF(Games[[#This Row],[MOV]]=0,0.5,0))</f>
        <v>1</v>
      </c>
      <c r="W317" s="4">
        <f>((ABS(Games[[#This Row],[MOV]])+5)^0.6)/(12+0.01*(ABS(Games[[#This Row],[PreGmRate]]-Games[[#This Row],[OppPreGmRate]])))*IF(Games[[#This Row],[OT]]=1,0.9,1)</f>
        <v>0.24259601073198264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7" s="9">
        <f>MAX(kmin, kmax - 0.15 * MIN(Games[[#This Row],[GamesPlayed]], 82))</f>
        <v>72.099999999999994</v>
      </c>
      <c r="Z317" s="4">
        <f>Games[[#This Row],[K]]*Games[[#This Row],[POMult]]</f>
        <v>72.099999999999994</v>
      </c>
      <c r="AA317" s="4">
        <f>(Games[[#This Row],[Keff]]*Games[[#This Row],[MOVMult]])*(Games[[#This Row],[Result]]-Games[[#This Row],[ExpectedWin%]])</f>
        <v>6.8584732012106224</v>
      </c>
      <c r="AB317" s="4">
        <f>Games[[#This Row],[PreGmRate]]+Games[[#This Row],[RatingChange]]</f>
        <v>1590.0829577628283</v>
      </c>
      <c r="AC317" s="2">
        <f>IF(Games[[#This Row],[Type]]="R",IF(Games[[#This Row],[Result]]&gt;0.5,1,0),0)</f>
        <v>1</v>
      </c>
      <c r="AD317" s="2">
        <f>IF(Games[[#This Row],[Type]]="R",IF(Games[[#This Row],[Result]]&lt;0.5,1,0),0)</f>
        <v>0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42239</v>
      </c>
      <c r="B318" s="2">
        <v>2015</v>
      </c>
      <c r="C318" s="2">
        <f>COUNTIFS(Games[Team],Games[[#This Row],[Team]],Games[Season],Games[[#This Row],[Season]],Games[Date],"&lt;=" &amp; Games[[#This Row],[Date]])</f>
        <v>28</v>
      </c>
      <c r="D318" s="2" t="s">
        <v>83</v>
      </c>
      <c r="E318" s="2" t="s">
        <v>84</v>
      </c>
      <c r="F318" s="1" t="s">
        <v>67</v>
      </c>
      <c r="G318" s="1" t="s">
        <v>40</v>
      </c>
      <c r="H318" s="1" t="s">
        <v>85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8" s="2">
        <f>Games[[#This Row],[DaysOff]]-Games[[#This Row],[OppDaysOff]]</f>
        <v>0</v>
      </c>
      <c r="L318" s="2">
        <f>Games[[#This Row],[OppDaysOff]]-Games[[#This Row],[DaysOff]]</f>
        <v>0</v>
      </c>
      <c r="M318" s="1">
        <f>MAX(-16, MIN(16, Games[[#This Row],[RestDiff]]*8))</f>
        <v>0</v>
      </c>
      <c r="N318" s="1">
        <f>MAX(-16, MIN(16, Games[[#This Row],[OppRestDiff]]*8))</f>
        <v>0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1604.7870692808758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1568.3858285699901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0.43192524689608414</v>
      </c>
      <c r="R318" s="1">
        <v>67</v>
      </c>
      <c r="S318" s="1">
        <v>79</v>
      </c>
      <c r="T318" s="1">
        <v>0</v>
      </c>
      <c r="U318" s="1">
        <f>Games[[#This Row],[PointsFor]]-Games[[#This Row],[PointsAgainst]]</f>
        <v>-12</v>
      </c>
      <c r="V318" s="1">
        <f>IF(Games[[#This Row],[MOV]]&gt;0,1,IF(Games[[#This Row],[MOV]]=0,0.5,0))</f>
        <v>0</v>
      </c>
      <c r="W318" s="4">
        <f>((ABS(Games[[#This Row],[MOV]])+5)^0.6)/(12+0.01*(ABS(Games[[#This Row],[PreGmRate]]-Games[[#This Row],[OppPreGmRate]])))*IF(Games[[#This Row],[OT]]=1,0.9,1)</f>
        <v>0.44270040636415042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8" s="9">
        <f>MAX(kmin, kmax - 0.15 * MIN(Games[[#This Row],[GamesPlayed]], 82))</f>
        <v>71.8</v>
      </c>
      <c r="Z318" s="4">
        <f>Games[[#This Row],[K]]*Games[[#This Row],[POMult]]</f>
        <v>71.8</v>
      </c>
      <c r="AA318" s="4">
        <f>(Games[[#This Row],[Keff]]*Games[[#This Row],[MOVMult]])*(Games[[#This Row],[Result]]-Games[[#This Row],[ExpectedWin%]])</f>
        <v>-13.72912803056397</v>
      </c>
      <c r="AB318" s="4">
        <f>Games[[#This Row],[PreGmRate]]+Games[[#This Row],[RatingChange]]</f>
        <v>1591.0579412503118</v>
      </c>
      <c r="AC318" s="2">
        <f>IF(Games[[#This Row],[Type]]="R",IF(Games[[#This Row],[Result]]&gt;0.5,1,0),0)</f>
        <v>0</v>
      </c>
      <c r="AD318" s="2">
        <f>IF(Games[[#This Row],[Type]]="R",IF(Games[[#This Row],[Result]]&lt;0.5,1,0),0)</f>
        <v>1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42239</v>
      </c>
      <c r="B319" s="2">
        <v>2015</v>
      </c>
      <c r="C319" s="2">
        <f>COUNTIFS(Games[Team],Games[[#This Row],[Team]],Games[Season],Games[[#This Row],[Season]],Games[Date],"&lt;=" &amp; Games[[#This Row],[Date]])</f>
        <v>27</v>
      </c>
      <c r="D319" s="2" t="s">
        <v>83</v>
      </c>
      <c r="E319" s="2" t="s">
        <v>84</v>
      </c>
      <c r="F319" s="1" t="s">
        <v>40</v>
      </c>
      <c r="G319" s="1" t="s">
        <v>67</v>
      </c>
      <c r="H319" s="1" t="s">
        <v>86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9" s="2">
        <f>Games[[#This Row],[DaysOff]]-Games[[#This Row],[OppDaysOff]]</f>
        <v>0</v>
      </c>
      <c r="L319" s="2">
        <f>Games[[#This Row],[OppDaysOff]]-Games[[#This Row],[DaysOff]]</f>
        <v>0</v>
      </c>
      <c r="M319" s="1">
        <f>MAX(-16, MIN(16, Games[[#This Row],[RestDiff]]*8))</f>
        <v>0</v>
      </c>
      <c r="N319" s="1">
        <f>MAX(-16, MIN(16, Games[[#This Row],[OppRestDiff]]*8))</f>
        <v>0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1568.3858285699901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1604.7870692808758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0.56807475310391586</v>
      </c>
      <c r="R319" s="1">
        <v>79</v>
      </c>
      <c r="S319" s="1">
        <v>67</v>
      </c>
      <c r="T319" s="1">
        <v>0</v>
      </c>
      <c r="U319" s="1">
        <f>Games[[#This Row],[PointsFor]]-Games[[#This Row],[PointsAgainst]]</f>
        <v>12</v>
      </c>
      <c r="V319" s="1">
        <f>IF(Games[[#This Row],[MOV]]&gt;0,1,IF(Games[[#This Row],[MOV]]=0,0.5,0))</f>
        <v>1</v>
      </c>
      <c r="W319" s="4">
        <f>((ABS(Games[[#This Row],[MOV]])+5)^0.6)/(12+0.01*(ABS(Games[[#This Row],[PreGmRate]]-Games[[#This Row],[OppPreGmRate]])))*IF(Games[[#This Row],[OT]]=1,0.9,1)</f>
        <v>0.44270040636415042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9" s="9">
        <f>MAX(kmin, kmax - 0.15 * MIN(Games[[#This Row],[GamesPlayed]], 82))</f>
        <v>71.95</v>
      </c>
      <c r="Z319" s="4">
        <f>Games[[#This Row],[K]]*Games[[#This Row],[POMult]]</f>
        <v>71.95</v>
      </c>
      <c r="AA319" s="4">
        <f>(Games[[#This Row],[Keff]]*Games[[#This Row],[MOVMult]])*(Games[[#This Row],[Result]]-Games[[#This Row],[ExpectedWin%]])</f>
        <v>13.757810052911944</v>
      </c>
      <c r="AB319" s="4">
        <f>Games[[#This Row],[PreGmRate]]+Games[[#This Row],[RatingChange]]</f>
        <v>1582.143638622902</v>
      </c>
      <c r="AC319" s="2">
        <f>IF(Games[[#This Row],[Type]]="R",IF(Games[[#This Row],[Result]]&gt;0.5,1,0),0)</f>
        <v>1</v>
      </c>
      <c r="AD319" s="2">
        <f>IF(Games[[#This Row],[Type]]="R",IF(Games[[#This Row],[Result]]&lt;0.5,1,0),0)</f>
        <v>0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42239</v>
      </c>
      <c r="B320" s="2">
        <v>2015</v>
      </c>
      <c r="C320" s="2">
        <f>COUNTIFS(Games[Team],Games[[#This Row],[Team]],Games[Season],Games[[#This Row],[Season]],Games[Date],"&lt;=" &amp; Games[[#This Row],[Date]])</f>
        <v>27</v>
      </c>
      <c r="D320" s="2" t="s">
        <v>83</v>
      </c>
      <c r="E320" s="2" t="s">
        <v>84</v>
      </c>
      <c r="F320" s="1" t="s">
        <v>63</v>
      </c>
      <c r="G320" s="1" t="s">
        <v>74</v>
      </c>
      <c r="H320" s="1" t="s">
        <v>85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0" s="2">
        <f>Games[[#This Row],[DaysOff]]-Games[[#This Row],[OppDaysOff]]</f>
        <v>0</v>
      </c>
      <c r="L320" s="2">
        <f>Games[[#This Row],[OppDaysOff]]-Games[[#This Row],[DaysOff]]</f>
        <v>0</v>
      </c>
      <c r="M320" s="1">
        <f>MAX(-16, MIN(16, Games[[#This Row],[RestDiff]]*8))</f>
        <v>0</v>
      </c>
      <c r="N320" s="1">
        <f>MAX(-16, MIN(16, Games[[#This Row],[OppRestDiff]]*8))</f>
        <v>0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1469.3466089532355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1359.5171172123214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0.53710329618315844</v>
      </c>
      <c r="R320" s="1">
        <v>90</v>
      </c>
      <c r="S320" s="1">
        <v>59</v>
      </c>
      <c r="T320" s="1">
        <v>0</v>
      </c>
      <c r="U320" s="1">
        <f>Games[[#This Row],[PointsFor]]-Games[[#This Row],[PointsAgainst]]</f>
        <v>31</v>
      </c>
      <c r="V320" s="1">
        <f>IF(Games[[#This Row],[MOV]]&gt;0,1,IF(Games[[#This Row],[MOV]]=0,0.5,0))</f>
        <v>1</v>
      </c>
      <c r="W320" s="4">
        <f>((ABS(Games[[#This Row],[MOV]])+5)^0.6)/(12+0.01*(ABS(Games[[#This Row],[PreGmRate]]-Games[[#This Row],[OppPreGmRate]])))*IF(Games[[#This Row],[OT]]=1,0.9,1)</f>
        <v>0.65549100404053318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0" s="9">
        <f>MAX(kmin, kmax - 0.15 * MIN(Games[[#This Row],[GamesPlayed]], 82))</f>
        <v>71.95</v>
      </c>
      <c r="Z320" s="4">
        <f>Games[[#This Row],[K]]*Games[[#This Row],[POMult]]</f>
        <v>71.95</v>
      </c>
      <c r="AA320" s="4">
        <f>(Games[[#This Row],[Keff]]*Games[[#This Row],[MOVMult]])*(Games[[#This Row],[Result]]-Games[[#This Row],[ExpectedWin%]])</f>
        <v>21.831401779683148</v>
      </c>
      <c r="AB320" s="4">
        <f>Games[[#This Row],[PreGmRate]]+Games[[#This Row],[RatingChange]]</f>
        <v>1491.1780107329187</v>
      </c>
      <c r="AC320" s="2">
        <f>IF(Games[[#This Row],[Type]]="R",IF(Games[[#This Row],[Result]]&gt;0.5,1,0),0)</f>
        <v>1</v>
      </c>
      <c r="AD320" s="2">
        <f>IF(Games[[#This Row],[Type]]="R",IF(Games[[#This Row],[Result]]&lt;0.5,1,0),0)</f>
        <v>0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42239</v>
      </c>
      <c r="B321" s="2">
        <v>2015</v>
      </c>
      <c r="C321" s="2">
        <f>COUNTIFS(Games[Team],Games[[#This Row],[Team]],Games[Season],Games[[#This Row],[Season]],Games[Date],"&lt;=" &amp; Games[[#This Row],[Date]])</f>
        <v>28</v>
      </c>
      <c r="D321" s="2" t="s">
        <v>83</v>
      </c>
      <c r="E321" s="2" t="s">
        <v>84</v>
      </c>
      <c r="F321" s="1" t="s">
        <v>74</v>
      </c>
      <c r="G321" s="1" t="s">
        <v>63</v>
      </c>
      <c r="H321" s="1" t="s">
        <v>86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1" s="2">
        <f>Games[[#This Row],[DaysOff]]-Games[[#This Row],[OppDaysOff]]</f>
        <v>0</v>
      </c>
      <c r="L321" s="2">
        <f>Games[[#This Row],[OppDaysOff]]-Games[[#This Row],[DaysOff]]</f>
        <v>0</v>
      </c>
      <c r="M321" s="1">
        <f>MAX(-16, MIN(16, Games[[#This Row],[RestDiff]]*8))</f>
        <v>0</v>
      </c>
      <c r="N321" s="1">
        <f>MAX(-16, MIN(16, Games[[#This Row],[OppRestDiff]]*8))</f>
        <v>0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1359.5171172123214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1469.3466089532355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0.4628967038168415</v>
      </c>
      <c r="R321" s="1">
        <v>59</v>
      </c>
      <c r="S321" s="1">
        <v>90</v>
      </c>
      <c r="T321" s="1">
        <v>0</v>
      </c>
      <c r="U321" s="1">
        <f>Games[[#This Row],[PointsFor]]-Games[[#This Row],[PointsAgainst]]</f>
        <v>-31</v>
      </c>
      <c r="V321" s="1">
        <f>IF(Games[[#This Row],[MOV]]&gt;0,1,IF(Games[[#This Row],[MOV]]=0,0.5,0))</f>
        <v>0</v>
      </c>
      <c r="W321" s="4">
        <f>((ABS(Games[[#This Row],[MOV]])+5)^0.6)/(12+0.01*(ABS(Games[[#This Row],[PreGmRate]]-Games[[#This Row],[OppPreGmRate]])))*IF(Games[[#This Row],[OT]]=1,0.9,1)</f>
        <v>0.65549100404053318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1" s="9">
        <f>MAX(kmin, kmax - 0.15 * MIN(Games[[#This Row],[GamesPlayed]], 82))</f>
        <v>71.8</v>
      </c>
      <c r="Z321" s="4">
        <f>Games[[#This Row],[K]]*Games[[#This Row],[POMult]]</f>
        <v>71.8</v>
      </c>
      <c r="AA321" s="4">
        <f>(Games[[#This Row],[Keff]]*Games[[#This Row],[MOVMult]])*(Games[[#This Row],[Result]]-Games[[#This Row],[ExpectedWin%]])</f>
        <v>-21.785888085910351</v>
      </c>
      <c r="AB321" s="4">
        <f>Games[[#This Row],[PreGmRate]]+Games[[#This Row],[RatingChange]]</f>
        <v>1337.7312291264111</v>
      </c>
      <c r="AC321" s="2">
        <f>IF(Games[[#This Row],[Type]]="R",IF(Games[[#This Row],[Result]]&gt;0.5,1,0),0)</f>
        <v>0</v>
      </c>
      <c r="AD321" s="2">
        <f>IF(Games[[#This Row],[Type]]="R",IF(Games[[#This Row],[Result]]&lt;0.5,1,0),0)</f>
        <v>1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42239</v>
      </c>
      <c r="B322" s="2">
        <v>2015</v>
      </c>
      <c r="C322" s="2">
        <f>COUNTIFS(Games[Team],Games[[#This Row],[Team]],Games[Season],Games[[#This Row],[Season]],Games[Date],"&lt;=" &amp; Games[[#This Row],[Date]])</f>
        <v>28</v>
      </c>
      <c r="D322" s="2" t="s">
        <v>83</v>
      </c>
      <c r="E322" s="2" t="s">
        <v>84</v>
      </c>
      <c r="F322" s="1" t="s">
        <v>77</v>
      </c>
      <c r="G322" s="1" t="s">
        <v>65</v>
      </c>
      <c r="H322" s="1" t="s">
        <v>85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2" s="2">
        <f>Games[[#This Row],[DaysOff]]-Games[[#This Row],[OppDaysOff]]</f>
        <v>0</v>
      </c>
      <c r="L322" s="2">
        <f>Games[[#This Row],[OppDaysOff]]-Games[[#This Row],[DaysOff]]</f>
        <v>0</v>
      </c>
      <c r="M322" s="1">
        <f>MAX(-16, MIN(16, Games[[#This Row],[RestDiff]]*8))</f>
        <v>0</v>
      </c>
      <c r="N322" s="1">
        <f>MAX(-16, MIN(16, Games[[#This Row],[OppRestDiff]]*8))</f>
        <v>0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1543.1424994146773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1559.4764962896295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0.35949217819738105</v>
      </c>
      <c r="R322" s="1">
        <v>66</v>
      </c>
      <c r="S322" s="1">
        <v>64</v>
      </c>
      <c r="T322" s="1">
        <v>0</v>
      </c>
      <c r="U322" s="1">
        <f>Games[[#This Row],[PointsFor]]-Games[[#This Row],[PointsAgainst]]</f>
        <v>2</v>
      </c>
      <c r="V322" s="1">
        <f>IF(Games[[#This Row],[MOV]]&gt;0,1,IF(Games[[#This Row],[MOV]]=0,0.5,0))</f>
        <v>1</v>
      </c>
      <c r="W322" s="4">
        <f>((ABS(Games[[#This Row],[MOV]])+5)^0.6)/(12+0.01*(ABS(Games[[#This Row],[PreGmRate]]-Games[[#This Row],[OppPreGmRate]])))*IF(Games[[#This Row],[OT]]=1,0.9,1)</f>
        <v>0.26424451326476162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2" s="9">
        <f>MAX(kmin, kmax - 0.15 * MIN(Games[[#This Row],[GamesPlayed]], 82))</f>
        <v>71.8</v>
      </c>
      <c r="Z322" s="4">
        <f>Games[[#This Row],[K]]*Games[[#This Row],[POMult]]</f>
        <v>71.8</v>
      </c>
      <c r="AA322" s="4">
        <f>(Games[[#This Row],[Keff]]*Games[[#This Row],[MOVMult]])*(Games[[#This Row],[Result]]-Games[[#This Row],[ExpectedWin%]])</f>
        <v>12.152198652721511</v>
      </c>
      <c r="AB322" s="4">
        <f>Games[[#This Row],[PreGmRate]]+Games[[#This Row],[RatingChange]]</f>
        <v>1555.2946980673989</v>
      </c>
      <c r="AC322" s="2">
        <f>IF(Games[[#This Row],[Type]]="R",IF(Games[[#This Row],[Result]]&gt;0.5,1,0),0)</f>
        <v>1</v>
      </c>
      <c r="AD322" s="2">
        <f>IF(Games[[#This Row],[Type]]="R",IF(Games[[#This Row],[Result]]&lt;0.5,1,0),0)</f>
        <v>0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42239</v>
      </c>
      <c r="B323" s="2">
        <v>2015</v>
      </c>
      <c r="C323" s="2">
        <f>COUNTIFS(Games[Team],Games[[#This Row],[Team]],Games[Season],Games[[#This Row],[Season]],Games[Date],"&lt;=" &amp; Games[[#This Row],[Date]])</f>
        <v>26</v>
      </c>
      <c r="D323" s="2" t="s">
        <v>83</v>
      </c>
      <c r="E323" s="2" t="s">
        <v>84</v>
      </c>
      <c r="F323" s="1" t="s">
        <v>65</v>
      </c>
      <c r="G323" s="1" t="s">
        <v>77</v>
      </c>
      <c r="H323" s="1" t="s">
        <v>86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3" s="2">
        <f>Games[[#This Row],[DaysOff]]-Games[[#This Row],[OppDaysOff]]</f>
        <v>0</v>
      </c>
      <c r="L323" s="2">
        <f>Games[[#This Row],[OppDaysOff]]-Games[[#This Row],[DaysOff]]</f>
        <v>0</v>
      </c>
      <c r="M323" s="1">
        <f>MAX(-16, MIN(16, Games[[#This Row],[RestDiff]]*8))</f>
        <v>0</v>
      </c>
      <c r="N323" s="1">
        <f>MAX(-16, MIN(16, Games[[#This Row],[OppRestDiff]]*8))</f>
        <v>0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1559.4764962896295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1543.1424994146773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0.64050782180261889</v>
      </c>
      <c r="R323" s="1">
        <v>64</v>
      </c>
      <c r="S323" s="1">
        <v>66</v>
      </c>
      <c r="T323" s="1">
        <v>0</v>
      </c>
      <c r="U323" s="1">
        <f>Games[[#This Row],[PointsFor]]-Games[[#This Row],[PointsAgainst]]</f>
        <v>-2</v>
      </c>
      <c r="V323" s="1">
        <f>IF(Games[[#This Row],[MOV]]&gt;0,1,IF(Games[[#This Row],[MOV]]=0,0.5,0))</f>
        <v>0</v>
      </c>
      <c r="W323" s="4">
        <f>((ABS(Games[[#This Row],[MOV]])+5)^0.6)/(12+0.01*(ABS(Games[[#This Row],[PreGmRate]]-Games[[#This Row],[OppPreGmRate]])))*IF(Games[[#This Row],[OT]]=1,0.9,1)</f>
        <v>0.26424451326476162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3" s="9">
        <f>MAX(kmin, kmax - 0.15 * MIN(Games[[#This Row],[GamesPlayed]], 82))</f>
        <v>72.099999999999994</v>
      </c>
      <c r="Z323" s="4">
        <f>Games[[#This Row],[K]]*Games[[#This Row],[POMult]]</f>
        <v>72.099999999999994</v>
      </c>
      <c r="AA323" s="4">
        <f>(Games[[#This Row],[Keff]]*Games[[#This Row],[MOVMult]])*(Games[[#This Row],[Result]]-Games[[#This Row],[ExpectedWin%]])</f>
        <v>-12.20297385600586</v>
      </c>
      <c r="AB323" s="4">
        <f>Games[[#This Row],[PreGmRate]]+Games[[#This Row],[RatingChange]]</f>
        <v>1547.2735224336236</v>
      </c>
      <c r="AC323" s="2">
        <f>IF(Games[[#This Row],[Type]]="R",IF(Games[[#This Row],[Result]]&gt;0.5,1,0),0)</f>
        <v>0</v>
      </c>
      <c r="AD323" s="2">
        <f>IF(Games[[#This Row],[Type]]="R",IF(Games[[#This Row],[Result]]&lt;0.5,1,0),0)</f>
        <v>1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42241</v>
      </c>
      <c r="B324" s="2">
        <v>2015</v>
      </c>
      <c r="C324" s="2">
        <f>COUNTIFS(Games[Team],Games[[#This Row],[Team]],Games[Season],Games[[#This Row],[Season]],Games[Date],"&lt;=" &amp; Games[[#This Row],[Date]])</f>
        <v>27</v>
      </c>
      <c r="D324" s="2" t="s">
        <v>83</v>
      </c>
      <c r="E324" s="2" t="s">
        <v>84</v>
      </c>
      <c r="F324" s="1" t="s">
        <v>76</v>
      </c>
      <c r="G324" s="1" t="s">
        <v>79</v>
      </c>
      <c r="H324" s="1" t="s">
        <v>85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4" s="2">
        <f>Games[[#This Row],[DaysOff]]-Games[[#This Row],[OppDaysOff]]</f>
        <v>0</v>
      </c>
      <c r="L324" s="2">
        <f>Games[[#This Row],[OppDaysOff]]-Games[[#This Row],[DaysOff]]</f>
        <v>0</v>
      </c>
      <c r="M324" s="1">
        <f>MAX(-16, MIN(16, Games[[#This Row],[RestDiff]]*8))</f>
        <v>0</v>
      </c>
      <c r="N324" s="1">
        <f>MAX(-16, MIN(16, Games[[#This Row],[OppRestDiff]]*8))</f>
        <v>0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1433.4070612280179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1443.0094087047901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0.36846248952481664</v>
      </c>
      <c r="R324" s="1">
        <v>57</v>
      </c>
      <c r="S324" s="1">
        <v>71</v>
      </c>
      <c r="T324" s="1">
        <v>0</v>
      </c>
      <c r="U324" s="1">
        <f>Games[[#This Row],[PointsFor]]-Games[[#This Row],[PointsAgainst]]</f>
        <v>-14</v>
      </c>
      <c r="V324" s="1">
        <f>IF(Games[[#This Row],[MOV]]&gt;0,1,IF(Games[[#This Row],[MOV]]=0,0.5,0))</f>
        <v>0</v>
      </c>
      <c r="W324" s="4">
        <f>((ABS(Games[[#This Row],[MOV]])+5)^0.6)/(12+0.01*(ABS(Games[[#This Row],[PreGmRate]]-Games[[#This Row],[OppPreGmRate]])))*IF(Games[[#This Row],[OT]]=1,0.9,1)</f>
        <v>0.48373725915917809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4" s="9">
        <f>MAX(kmin, kmax - 0.15 * MIN(Games[[#This Row],[GamesPlayed]], 82))</f>
        <v>71.95</v>
      </c>
      <c r="Z324" s="4">
        <f>Games[[#This Row],[K]]*Games[[#This Row],[POMult]]</f>
        <v>71.95</v>
      </c>
      <c r="AA324" s="4">
        <f>(Games[[#This Row],[Keff]]*Games[[#This Row],[MOVMult]])*(Games[[#This Row],[Result]]-Games[[#This Row],[ExpectedWin%]])</f>
        <v>-12.824298552831271</v>
      </c>
      <c r="AB324" s="4">
        <f>Games[[#This Row],[PreGmRate]]+Games[[#This Row],[RatingChange]]</f>
        <v>1420.5827626751866</v>
      </c>
      <c r="AC324" s="2">
        <f>IF(Games[[#This Row],[Type]]="R",IF(Games[[#This Row],[Result]]&gt;0.5,1,0),0)</f>
        <v>0</v>
      </c>
      <c r="AD324" s="2">
        <f>IF(Games[[#This Row],[Type]]="R",IF(Games[[#This Row],[Result]]&lt;0.5,1,0),0)</f>
        <v>1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42241</v>
      </c>
      <c r="B325" s="2">
        <v>2015</v>
      </c>
      <c r="C325" s="2">
        <f>COUNTIFS(Games[Team],Games[[#This Row],[Team]],Games[Season],Games[[#This Row],[Season]],Games[Date],"&lt;=" &amp; Games[[#This Row],[Date]])</f>
        <v>27</v>
      </c>
      <c r="D325" s="2" t="s">
        <v>83</v>
      </c>
      <c r="E325" s="2" t="s">
        <v>84</v>
      </c>
      <c r="F325" s="1" t="s">
        <v>79</v>
      </c>
      <c r="G325" s="1" t="s">
        <v>76</v>
      </c>
      <c r="H325" s="1" t="s">
        <v>86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5" s="2">
        <f>Games[[#This Row],[DaysOff]]-Games[[#This Row],[OppDaysOff]]</f>
        <v>0</v>
      </c>
      <c r="L325" s="2">
        <f>Games[[#This Row],[OppDaysOff]]-Games[[#This Row],[DaysOff]]</f>
        <v>0</v>
      </c>
      <c r="M325" s="1">
        <f>MAX(-16, MIN(16, Games[[#This Row],[RestDiff]]*8))</f>
        <v>0</v>
      </c>
      <c r="N325" s="1">
        <f>MAX(-16, MIN(16, Games[[#This Row],[OppRestDiff]]*8))</f>
        <v>0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1443.0094087047901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1433.4070612280179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0.63153751047518336</v>
      </c>
      <c r="R325" s="1">
        <v>71</v>
      </c>
      <c r="S325" s="1">
        <v>57</v>
      </c>
      <c r="T325" s="1">
        <v>0</v>
      </c>
      <c r="U325" s="1">
        <f>Games[[#This Row],[PointsFor]]-Games[[#This Row],[PointsAgainst]]</f>
        <v>14</v>
      </c>
      <c r="V325" s="1">
        <f>IF(Games[[#This Row],[MOV]]&gt;0,1,IF(Games[[#This Row],[MOV]]=0,0.5,0))</f>
        <v>1</v>
      </c>
      <c r="W325" s="4">
        <f>((ABS(Games[[#This Row],[MOV]])+5)^0.6)/(12+0.01*(ABS(Games[[#This Row],[PreGmRate]]-Games[[#This Row],[OppPreGmRate]])))*IF(Games[[#This Row],[OT]]=1,0.9,1)</f>
        <v>0.48373725915917809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5" s="9">
        <f>MAX(kmin, kmax - 0.15 * MIN(Games[[#This Row],[GamesPlayed]], 82))</f>
        <v>71.95</v>
      </c>
      <c r="Z325" s="4">
        <f>Games[[#This Row],[K]]*Games[[#This Row],[POMult]]</f>
        <v>71.95</v>
      </c>
      <c r="AA325" s="4">
        <f>(Games[[#This Row],[Keff]]*Games[[#This Row],[MOVMult]])*(Games[[#This Row],[Result]]-Games[[#This Row],[ExpectedWin%]])</f>
        <v>12.824298552831271</v>
      </c>
      <c r="AB325" s="4">
        <f>Games[[#This Row],[PreGmRate]]+Games[[#This Row],[RatingChange]]</f>
        <v>1455.8337072576214</v>
      </c>
      <c r="AC325" s="2">
        <f>IF(Games[[#This Row],[Type]]="R",IF(Games[[#This Row],[Result]]&gt;0.5,1,0),0)</f>
        <v>1</v>
      </c>
      <c r="AD325" s="2">
        <f>IF(Games[[#This Row],[Type]]="R",IF(Games[[#This Row],[Result]]&lt;0.5,1,0),0)</f>
        <v>0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42242</v>
      </c>
      <c r="B326" s="2">
        <v>2015</v>
      </c>
      <c r="C326" s="2">
        <f>COUNTIFS(Games[Team],Games[[#This Row],[Team]],Games[Season],Games[[#This Row],[Season]],Games[Date],"&lt;=" &amp; Games[[#This Row],[Date]])</f>
        <v>28</v>
      </c>
      <c r="D326" s="2" t="s">
        <v>83</v>
      </c>
      <c r="E326" s="2" t="s">
        <v>84</v>
      </c>
      <c r="F326" s="1" t="s">
        <v>63</v>
      </c>
      <c r="G326" s="1" t="s">
        <v>69</v>
      </c>
      <c r="H326" s="1" t="s">
        <v>85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6" s="2">
        <f>Games[[#This Row],[DaysOff]]-Games[[#This Row],[OppDaysOff]]</f>
        <v>0</v>
      </c>
      <c r="L326" s="2">
        <f>Games[[#This Row],[OppDaysOff]]-Games[[#This Row],[DaysOff]]</f>
        <v>0</v>
      </c>
      <c r="M326" s="1">
        <f>MAX(-16, MIN(16, Games[[#This Row],[RestDiff]]*8))</f>
        <v>0</v>
      </c>
      <c r="N326" s="1">
        <f>MAX(-16, MIN(16, Games[[#This Row],[OppRestDiff]]*8))</f>
        <v>0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1491.1780107329187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1590.0829577628283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0.25867138855348909</v>
      </c>
      <c r="R326" s="1">
        <v>81</v>
      </c>
      <c r="S326" s="1">
        <v>79</v>
      </c>
      <c r="T326" s="1">
        <v>0</v>
      </c>
      <c r="U326" s="1">
        <f>Games[[#This Row],[PointsFor]]-Games[[#This Row],[PointsAgainst]]</f>
        <v>2</v>
      </c>
      <c r="V326" s="1">
        <f>IF(Games[[#This Row],[MOV]]&gt;0,1,IF(Games[[#This Row],[MOV]]=0,0.5,0))</f>
        <v>1</v>
      </c>
      <c r="W326" s="4">
        <f>((ABS(Games[[#This Row],[MOV]])+5)^0.6)/(12+0.01*(ABS(Games[[#This Row],[PreGmRate]]-Games[[#This Row],[OppPreGmRate]])))*IF(Games[[#This Row],[OT]]=1,0.9,1)</f>
        <v>0.24744657852488938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6" s="9">
        <f>MAX(kmin, kmax - 0.15 * MIN(Games[[#This Row],[GamesPlayed]], 82))</f>
        <v>71.8</v>
      </c>
      <c r="Z326" s="4">
        <f>Games[[#This Row],[K]]*Games[[#This Row],[POMult]]</f>
        <v>71.8</v>
      </c>
      <c r="AA326" s="4">
        <f>(Games[[#This Row],[Keff]]*Games[[#This Row],[MOVMult]])*(Games[[#This Row],[Result]]-Games[[#This Row],[ExpectedWin%]])</f>
        <v>13.170936603790324</v>
      </c>
      <c r="AB326" s="4">
        <f>Games[[#This Row],[PreGmRate]]+Games[[#This Row],[RatingChange]]</f>
        <v>1504.348947336709</v>
      </c>
      <c r="AC326" s="2">
        <f>IF(Games[[#This Row],[Type]]="R",IF(Games[[#This Row],[Result]]&gt;0.5,1,0),0)</f>
        <v>1</v>
      </c>
      <c r="AD326" s="2">
        <f>IF(Games[[#This Row],[Type]]="R",IF(Games[[#This Row],[Result]]&lt;0.5,1,0),0)</f>
        <v>0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42242</v>
      </c>
      <c r="B327" s="2">
        <v>2015</v>
      </c>
      <c r="C327" s="2">
        <f>COUNTIFS(Games[Team],Games[[#This Row],[Team]],Games[Season],Games[[#This Row],[Season]],Games[Date],"&lt;=" &amp; Games[[#This Row],[Date]])</f>
        <v>27</v>
      </c>
      <c r="D327" s="2" t="s">
        <v>83</v>
      </c>
      <c r="E327" s="2" t="s">
        <v>84</v>
      </c>
      <c r="F327" s="1" t="s">
        <v>69</v>
      </c>
      <c r="G327" s="1" t="s">
        <v>63</v>
      </c>
      <c r="H327" s="1" t="s">
        <v>86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7" s="2">
        <f>Games[[#This Row],[DaysOff]]-Games[[#This Row],[OppDaysOff]]</f>
        <v>0</v>
      </c>
      <c r="L327" s="2">
        <f>Games[[#This Row],[OppDaysOff]]-Games[[#This Row],[DaysOff]]</f>
        <v>0</v>
      </c>
      <c r="M327" s="1">
        <f>MAX(-16, MIN(16, Games[[#This Row],[RestDiff]]*8))</f>
        <v>0</v>
      </c>
      <c r="N327" s="1">
        <f>MAX(-16, MIN(16, Games[[#This Row],[OppRestDiff]]*8))</f>
        <v>0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1590.0829577628283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1491.1780107329187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0.74132861144651097</v>
      </c>
      <c r="R327" s="1">
        <v>79</v>
      </c>
      <c r="S327" s="1">
        <v>81</v>
      </c>
      <c r="T327" s="1">
        <v>0</v>
      </c>
      <c r="U327" s="1">
        <f>Games[[#This Row],[PointsFor]]-Games[[#This Row],[PointsAgainst]]</f>
        <v>-2</v>
      </c>
      <c r="V327" s="1">
        <f>IF(Games[[#This Row],[MOV]]&gt;0,1,IF(Games[[#This Row],[MOV]]=0,0.5,0))</f>
        <v>0</v>
      </c>
      <c r="W327" s="4">
        <f>((ABS(Games[[#This Row],[MOV]])+5)^0.6)/(12+0.01*(ABS(Games[[#This Row],[PreGmRate]]-Games[[#This Row],[OppPreGmRate]])))*IF(Games[[#This Row],[OT]]=1,0.9,1)</f>
        <v>0.24744657852488938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7" s="9">
        <f>MAX(kmin, kmax - 0.15 * MIN(Games[[#This Row],[GamesPlayed]], 82))</f>
        <v>71.95</v>
      </c>
      <c r="Z327" s="4">
        <f>Games[[#This Row],[K]]*Games[[#This Row],[POMult]]</f>
        <v>71.95</v>
      </c>
      <c r="AA327" s="4">
        <f>(Games[[#This Row],[Keff]]*Games[[#This Row],[MOVMult]])*(Games[[#This Row],[Result]]-Games[[#This Row],[ExpectedWin%]])</f>
        <v>-13.198452488060081</v>
      </c>
      <c r="AB327" s="4">
        <f>Games[[#This Row],[PreGmRate]]+Games[[#This Row],[RatingChange]]</f>
        <v>1576.8845052747681</v>
      </c>
      <c r="AC327" s="2">
        <f>IF(Games[[#This Row],[Type]]="R",IF(Games[[#This Row],[Result]]&gt;0.5,1,0),0)</f>
        <v>0</v>
      </c>
      <c r="AD327" s="2">
        <f>IF(Games[[#This Row],[Type]]="R",IF(Games[[#This Row],[Result]]&lt;0.5,1,0),0)</f>
        <v>1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42243</v>
      </c>
      <c r="B328" s="2">
        <v>2015</v>
      </c>
      <c r="C328" s="2">
        <f>COUNTIFS(Games[Team],Games[[#This Row],[Team]],Games[Season],Games[[#This Row],[Season]],Games[Date],"&lt;=" &amp; Games[[#This Row],[Date]])</f>
        <v>28</v>
      </c>
      <c r="D328" s="2" t="s">
        <v>83</v>
      </c>
      <c r="E328" s="2" t="s">
        <v>84</v>
      </c>
      <c r="F328" s="1" t="s">
        <v>40</v>
      </c>
      <c r="G328" s="1" t="s">
        <v>76</v>
      </c>
      <c r="H328" s="1" t="s">
        <v>85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8" s="2">
        <f>Games[[#This Row],[DaysOff]]-Games[[#This Row],[OppDaysOff]]</f>
        <v>2</v>
      </c>
      <c r="L328" s="2">
        <f>Games[[#This Row],[OppDaysOff]]-Games[[#This Row],[DaysOff]]</f>
        <v>-2</v>
      </c>
      <c r="M328" s="1">
        <f>MAX(-16, MIN(16, Games[[#This Row],[RestDiff]]*8))</f>
        <v>16</v>
      </c>
      <c r="N328" s="1">
        <f>MAX(-16, MIN(16, Games[[#This Row],[OppRestDiff]]*8))</f>
        <v>-16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1582.143638622902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1420.5827626751866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0.65264433675360567</v>
      </c>
      <c r="R328" s="1">
        <v>81</v>
      </c>
      <c r="S328" s="1">
        <v>80</v>
      </c>
      <c r="T328" s="1">
        <v>0</v>
      </c>
      <c r="U328" s="1">
        <f>Games[[#This Row],[PointsFor]]-Games[[#This Row],[PointsAgainst]]</f>
        <v>1</v>
      </c>
      <c r="V328" s="1">
        <f>IF(Games[[#This Row],[MOV]]&gt;0,1,IF(Games[[#This Row],[MOV]]=0,0.5,0))</f>
        <v>1</v>
      </c>
      <c r="W328" s="4">
        <f>((ABS(Games[[#This Row],[MOV]])+5)^0.6)/(12+0.01*(ABS(Games[[#This Row],[PreGmRate]]-Games[[#This Row],[OppPreGmRate]])))*IF(Games[[#This Row],[OT]]=1,0.9,1)</f>
        <v>0.21520565869256369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8" s="9">
        <f>MAX(kmin, kmax - 0.15 * MIN(Games[[#This Row],[GamesPlayed]], 82))</f>
        <v>71.8</v>
      </c>
      <c r="Z328" s="4">
        <f>Games[[#This Row],[K]]*Games[[#This Row],[POMult]]</f>
        <v>71.8</v>
      </c>
      <c r="AA328" s="4">
        <f>(Games[[#This Row],[Keff]]*Games[[#This Row],[MOVMult]])*(Games[[#This Row],[Result]]-Games[[#This Row],[ExpectedWin%]])</f>
        <v>5.3672585294244426</v>
      </c>
      <c r="AB328" s="4">
        <f>Games[[#This Row],[PreGmRate]]+Games[[#This Row],[RatingChange]]</f>
        <v>1587.5108971523264</v>
      </c>
      <c r="AC328" s="2">
        <f>IF(Games[[#This Row],[Type]]="R",IF(Games[[#This Row],[Result]]&gt;0.5,1,0),0)</f>
        <v>1</v>
      </c>
      <c r="AD328" s="2">
        <f>IF(Games[[#This Row],[Type]]="R",IF(Games[[#This Row],[Result]]&lt;0.5,1,0),0)</f>
        <v>0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42243</v>
      </c>
      <c r="B329" s="2">
        <v>2015</v>
      </c>
      <c r="C329" s="2">
        <f>COUNTIFS(Games[Team],Games[[#This Row],[Team]],Games[Season],Games[[#This Row],[Season]],Games[Date],"&lt;=" &amp; Games[[#This Row],[Date]])</f>
        <v>28</v>
      </c>
      <c r="D329" s="2" t="s">
        <v>83</v>
      </c>
      <c r="E329" s="2" t="s">
        <v>84</v>
      </c>
      <c r="F329" s="1" t="s">
        <v>76</v>
      </c>
      <c r="G329" s="1" t="s">
        <v>40</v>
      </c>
      <c r="H329" s="1" t="s">
        <v>86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9" s="2">
        <f>Games[[#This Row],[DaysOff]]-Games[[#This Row],[OppDaysOff]]</f>
        <v>-2</v>
      </c>
      <c r="L329" s="2">
        <f>Games[[#This Row],[OppDaysOff]]-Games[[#This Row],[DaysOff]]</f>
        <v>2</v>
      </c>
      <c r="M329" s="1">
        <f>MAX(-16, MIN(16, Games[[#This Row],[RestDiff]]*8))</f>
        <v>-16</v>
      </c>
      <c r="N329" s="1">
        <f>MAX(-16, MIN(16, Games[[#This Row],[OppRestDiff]]*8))</f>
        <v>16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1420.5827626751866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1582.143638622902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0.34735566324639428</v>
      </c>
      <c r="R329" s="1">
        <v>80</v>
      </c>
      <c r="S329" s="1">
        <v>81</v>
      </c>
      <c r="T329" s="1">
        <v>0</v>
      </c>
      <c r="U329" s="1">
        <f>Games[[#This Row],[PointsFor]]-Games[[#This Row],[PointsAgainst]]</f>
        <v>-1</v>
      </c>
      <c r="V329" s="1">
        <f>IF(Games[[#This Row],[MOV]]&gt;0,1,IF(Games[[#This Row],[MOV]]=0,0.5,0))</f>
        <v>0</v>
      </c>
      <c r="W329" s="4">
        <f>((ABS(Games[[#This Row],[MOV]])+5)^0.6)/(12+0.01*(ABS(Games[[#This Row],[PreGmRate]]-Games[[#This Row],[OppPreGmRate]])))*IF(Games[[#This Row],[OT]]=1,0.9,1)</f>
        <v>0.21520565869256369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9" s="9">
        <f>MAX(kmin, kmax - 0.15 * MIN(Games[[#This Row],[GamesPlayed]], 82))</f>
        <v>71.8</v>
      </c>
      <c r="Z329" s="4">
        <f>Games[[#This Row],[K]]*Games[[#This Row],[POMult]]</f>
        <v>71.8</v>
      </c>
      <c r="AA329" s="4">
        <f>(Games[[#This Row],[Keff]]*Games[[#This Row],[MOVMult]])*(Games[[#This Row],[Result]]-Games[[#This Row],[ExpectedWin%]])</f>
        <v>-5.3672585294244417</v>
      </c>
      <c r="AB329" s="4">
        <f>Games[[#This Row],[PreGmRate]]+Games[[#This Row],[RatingChange]]</f>
        <v>1415.2155041457622</v>
      </c>
      <c r="AC329" s="2">
        <f>IF(Games[[#This Row],[Type]]="R",IF(Games[[#This Row],[Result]]&gt;0.5,1,0),0)</f>
        <v>0</v>
      </c>
      <c r="AD329" s="2">
        <f>IF(Games[[#This Row],[Type]]="R",IF(Games[[#This Row],[Result]]&lt;0.5,1,0),0)</f>
        <v>1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42244</v>
      </c>
      <c r="B330" s="2">
        <v>2015</v>
      </c>
      <c r="C330" s="2">
        <f>COUNTIFS(Games[Team],Games[[#This Row],[Team]],Games[Season],Games[[#This Row],[Season]],Games[Date],"&lt;=" &amp; Games[[#This Row],[Date]])</f>
        <v>28</v>
      </c>
      <c r="D330" s="2" t="s">
        <v>83</v>
      </c>
      <c r="E330" s="2" t="s">
        <v>84</v>
      </c>
      <c r="F330" s="1" t="s">
        <v>79</v>
      </c>
      <c r="G330" s="1" t="s">
        <v>69</v>
      </c>
      <c r="H330" s="1" t="s">
        <v>85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0" s="2">
        <f>Games[[#This Row],[DaysOff]]-Games[[#This Row],[OppDaysOff]]</f>
        <v>1</v>
      </c>
      <c r="L330" s="2">
        <f>Games[[#This Row],[OppDaysOff]]-Games[[#This Row],[DaysOff]]</f>
        <v>-1</v>
      </c>
      <c r="M330" s="1">
        <f>MAX(-16, MIN(16, Games[[#This Row],[RestDiff]]*8))</f>
        <v>8</v>
      </c>
      <c r="N330" s="1">
        <f>MAX(-16, MIN(16, Games[[#This Row],[OppRestDiff]]*8))</f>
        <v>-8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1455.8337072576214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1576.8845052747681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0.25194534332014235</v>
      </c>
      <c r="R330" s="1">
        <v>90</v>
      </c>
      <c r="S330" s="1">
        <v>84</v>
      </c>
      <c r="T330" s="1">
        <v>0</v>
      </c>
      <c r="U330" s="1">
        <f>Games[[#This Row],[PointsFor]]-Games[[#This Row],[PointsAgainst]]</f>
        <v>6</v>
      </c>
      <c r="V330" s="1">
        <f>IF(Games[[#This Row],[MOV]]&gt;0,1,IF(Games[[#This Row],[MOV]]=0,0.5,0))</f>
        <v>1</v>
      </c>
      <c r="W330" s="4">
        <f>((ABS(Games[[#This Row],[MOV]])+5)^0.6)/(12+0.01*(ABS(Games[[#This Row],[PreGmRate]]-Games[[#This Row],[OppPreGmRate]])))*IF(Games[[#This Row],[OT]]=1,0.9,1)</f>
        <v>0.31909213025108712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0" s="9">
        <f>MAX(kmin, kmax - 0.15 * MIN(Games[[#This Row],[GamesPlayed]], 82))</f>
        <v>71.8</v>
      </c>
      <c r="Z330" s="4">
        <f>Games[[#This Row],[K]]*Games[[#This Row],[POMult]]</f>
        <v>71.8</v>
      </c>
      <c r="AA330" s="4">
        <f>(Games[[#This Row],[Keff]]*Games[[#This Row],[MOVMult]])*(Games[[#This Row],[Result]]-Games[[#This Row],[ExpectedWin%]])</f>
        <v>17.138541813195094</v>
      </c>
      <c r="AB330" s="4">
        <f>Games[[#This Row],[PreGmRate]]+Games[[#This Row],[RatingChange]]</f>
        <v>1472.9722490708166</v>
      </c>
      <c r="AC330" s="2">
        <f>IF(Games[[#This Row],[Type]]="R",IF(Games[[#This Row],[Result]]&gt;0.5,1,0),0)</f>
        <v>1</v>
      </c>
      <c r="AD330" s="2">
        <f>IF(Games[[#This Row],[Type]]="R",IF(Games[[#This Row],[Result]]&lt;0.5,1,0),0)</f>
        <v>0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42244</v>
      </c>
      <c r="B331" s="2">
        <v>2015</v>
      </c>
      <c r="C331" s="2">
        <f>COUNTIFS(Games[Team],Games[[#This Row],[Team]],Games[Season],Games[[#This Row],[Season]],Games[Date],"&lt;=" &amp; Games[[#This Row],[Date]])</f>
        <v>28</v>
      </c>
      <c r="D331" s="2" t="s">
        <v>83</v>
      </c>
      <c r="E331" s="2" t="s">
        <v>84</v>
      </c>
      <c r="F331" s="1" t="s">
        <v>69</v>
      </c>
      <c r="G331" s="1" t="s">
        <v>79</v>
      </c>
      <c r="H331" s="1" t="s">
        <v>86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1" s="2">
        <f>Games[[#This Row],[DaysOff]]-Games[[#This Row],[OppDaysOff]]</f>
        <v>-1</v>
      </c>
      <c r="L331" s="2">
        <f>Games[[#This Row],[OppDaysOff]]-Games[[#This Row],[DaysOff]]</f>
        <v>1</v>
      </c>
      <c r="M331" s="1">
        <f>MAX(-16, MIN(16, Games[[#This Row],[RestDiff]]*8))</f>
        <v>-8</v>
      </c>
      <c r="N331" s="1">
        <f>MAX(-16, MIN(16, Games[[#This Row],[OppRestDiff]]*8))</f>
        <v>8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1576.8845052747681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1455.8337072576214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0.7480546566798576</v>
      </c>
      <c r="R331" s="1">
        <v>84</v>
      </c>
      <c r="S331" s="1">
        <v>90</v>
      </c>
      <c r="T331" s="1">
        <v>0</v>
      </c>
      <c r="U331" s="1">
        <f>Games[[#This Row],[PointsFor]]-Games[[#This Row],[PointsAgainst]]</f>
        <v>-6</v>
      </c>
      <c r="V331" s="1">
        <f>IF(Games[[#This Row],[MOV]]&gt;0,1,IF(Games[[#This Row],[MOV]]=0,0.5,0))</f>
        <v>0</v>
      </c>
      <c r="W331" s="4">
        <f>((ABS(Games[[#This Row],[MOV]])+5)^0.6)/(12+0.01*(ABS(Games[[#This Row],[PreGmRate]]-Games[[#This Row],[OppPreGmRate]])))*IF(Games[[#This Row],[OT]]=1,0.9,1)</f>
        <v>0.31909213025108712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1" s="9">
        <f>MAX(kmin, kmax - 0.15 * MIN(Games[[#This Row],[GamesPlayed]], 82))</f>
        <v>71.8</v>
      </c>
      <c r="Z331" s="4">
        <f>Games[[#This Row],[K]]*Games[[#This Row],[POMult]]</f>
        <v>71.8</v>
      </c>
      <c r="AA331" s="4">
        <f>(Games[[#This Row],[Keff]]*Games[[#This Row],[MOVMult]])*(Games[[#This Row],[Result]]-Games[[#This Row],[ExpectedWin%]])</f>
        <v>-17.138541813195094</v>
      </c>
      <c r="AB331" s="4">
        <f>Games[[#This Row],[PreGmRate]]+Games[[#This Row],[RatingChange]]</f>
        <v>1559.745963461573</v>
      </c>
      <c r="AC331" s="2">
        <f>IF(Games[[#This Row],[Type]]="R",IF(Games[[#This Row],[Result]]&gt;0.5,1,0),0)</f>
        <v>0</v>
      </c>
      <c r="AD331" s="2">
        <f>IF(Games[[#This Row],[Type]]="R",IF(Games[[#This Row],[Result]]&lt;0.5,1,0),0)</f>
        <v>1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42244</v>
      </c>
      <c r="B332" s="2">
        <v>2015</v>
      </c>
      <c r="C332" s="2">
        <f>COUNTIFS(Games[Team],Games[[#This Row],[Team]],Games[Season],Games[[#This Row],[Season]],Games[Date],"&lt;=" &amp; Games[[#This Row],[Date]])</f>
        <v>29</v>
      </c>
      <c r="D332" s="2" t="s">
        <v>83</v>
      </c>
      <c r="E332" s="2" t="s">
        <v>84</v>
      </c>
      <c r="F332" s="1" t="s">
        <v>67</v>
      </c>
      <c r="G332" s="1" t="s">
        <v>60</v>
      </c>
      <c r="H332" s="1" t="s">
        <v>85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4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32" s="2">
        <f>Games[[#This Row],[DaysOff]]-Games[[#This Row],[OppDaysOff]]</f>
        <v>0</v>
      </c>
      <c r="L332" s="2">
        <f>Games[[#This Row],[OppDaysOff]]-Games[[#This Row],[DaysOff]]</f>
        <v>0</v>
      </c>
      <c r="M332" s="1">
        <f>MAX(-16, MIN(16, Games[[#This Row],[RestDiff]]*8))</f>
        <v>0</v>
      </c>
      <c r="N332" s="1">
        <f>MAX(-16, MIN(16, Games[[#This Row],[OppRestDiff]]*8))</f>
        <v>0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1591.0579412503118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1584.1995790857743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0.39077327339963414</v>
      </c>
      <c r="R332" s="1">
        <v>68</v>
      </c>
      <c r="S332" s="1">
        <v>81</v>
      </c>
      <c r="T332" s="1">
        <v>0</v>
      </c>
      <c r="U332" s="1">
        <f>Games[[#This Row],[PointsFor]]-Games[[#This Row],[PointsAgainst]]</f>
        <v>-13</v>
      </c>
      <c r="V332" s="1">
        <f>IF(Games[[#This Row],[MOV]]&gt;0,1,IF(Games[[#This Row],[MOV]]=0,0.5,0))</f>
        <v>0</v>
      </c>
      <c r="W332" s="4">
        <f>((ABS(Games[[#This Row],[MOV]])+5)^0.6)/(12+0.01*(ABS(Games[[#This Row],[PreGmRate]]-Games[[#This Row],[OppPreGmRate]])))*IF(Games[[#This Row],[OT]]=1,0.9,1)</f>
        <v>0.46936121465073261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2" s="9">
        <f>MAX(kmin, kmax - 0.15 * MIN(Games[[#This Row],[GamesPlayed]], 82))</f>
        <v>71.650000000000006</v>
      </c>
      <c r="Z332" s="4">
        <f>Games[[#This Row],[K]]*Games[[#This Row],[POMult]]</f>
        <v>71.650000000000006</v>
      </c>
      <c r="AA332" s="4">
        <f>(Games[[#This Row],[Keff]]*Games[[#This Row],[MOVMult]])*(Games[[#This Row],[Result]]-Games[[#This Row],[ExpectedWin%]])</f>
        <v>-13.141600078034884</v>
      </c>
      <c r="AB332" s="4">
        <f>Games[[#This Row],[PreGmRate]]+Games[[#This Row],[RatingChange]]</f>
        <v>1577.916341172277</v>
      </c>
      <c r="AC332" s="2">
        <f>IF(Games[[#This Row],[Type]]="R",IF(Games[[#This Row],[Result]]&gt;0.5,1,0),0)</f>
        <v>0</v>
      </c>
      <c r="AD332" s="2">
        <f>IF(Games[[#This Row],[Type]]="R",IF(Games[[#This Row],[Result]]&lt;0.5,1,0),0)</f>
        <v>1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42244</v>
      </c>
      <c r="B333" s="2">
        <v>2015</v>
      </c>
      <c r="C333" s="2">
        <f>COUNTIFS(Games[Team],Games[[#This Row],[Team]],Games[Season],Games[[#This Row],[Season]],Games[Date],"&lt;=" &amp; Games[[#This Row],[Date]])</f>
        <v>27</v>
      </c>
      <c r="D333" s="2" t="s">
        <v>83</v>
      </c>
      <c r="E333" s="2" t="s">
        <v>84</v>
      </c>
      <c r="F333" s="1" t="s">
        <v>60</v>
      </c>
      <c r="G333" s="1" t="s">
        <v>67</v>
      </c>
      <c r="H333" s="1" t="s">
        <v>86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4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33" s="2">
        <f>Games[[#This Row],[DaysOff]]-Games[[#This Row],[OppDaysOff]]</f>
        <v>0</v>
      </c>
      <c r="L333" s="2">
        <f>Games[[#This Row],[OppDaysOff]]-Games[[#This Row],[DaysOff]]</f>
        <v>0</v>
      </c>
      <c r="M333" s="1">
        <f>MAX(-16, MIN(16, Games[[#This Row],[RestDiff]]*8))</f>
        <v>0</v>
      </c>
      <c r="N333" s="1">
        <f>MAX(-16, MIN(16, Games[[#This Row],[OppRestDiff]]*8))</f>
        <v>0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1584.1995790857743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1591.0579412503118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0.60922672660036581</v>
      </c>
      <c r="R333" s="1">
        <v>81</v>
      </c>
      <c r="S333" s="1">
        <v>68</v>
      </c>
      <c r="T333" s="1">
        <v>0</v>
      </c>
      <c r="U333" s="1">
        <f>Games[[#This Row],[PointsFor]]-Games[[#This Row],[PointsAgainst]]</f>
        <v>13</v>
      </c>
      <c r="V333" s="1">
        <f>IF(Games[[#This Row],[MOV]]&gt;0,1,IF(Games[[#This Row],[MOV]]=0,0.5,0))</f>
        <v>1</v>
      </c>
      <c r="W333" s="4">
        <f>((ABS(Games[[#This Row],[MOV]])+5)^0.6)/(12+0.01*(ABS(Games[[#This Row],[PreGmRate]]-Games[[#This Row],[OppPreGmRate]])))*IF(Games[[#This Row],[OT]]=1,0.9,1)</f>
        <v>0.46936121465073261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3" s="9">
        <f>MAX(kmin, kmax - 0.15 * MIN(Games[[#This Row],[GamesPlayed]], 82))</f>
        <v>71.95</v>
      </c>
      <c r="Z333" s="4">
        <f>Games[[#This Row],[K]]*Games[[#This Row],[POMult]]</f>
        <v>71.95</v>
      </c>
      <c r="AA333" s="4">
        <f>(Games[[#This Row],[Keff]]*Games[[#This Row],[MOVMult]])*(Games[[#This Row],[Result]]-Games[[#This Row],[ExpectedWin%]])</f>
        <v>13.196624223511655</v>
      </c>
      <c r="AB333" s="4">
        <f>Games[[#This Row],[PreGmRate]]+Games[[#This Row],[RatingChange]]</f>
        <v>1597.396203309286</v>
      </c>
      <c r="AC333" s="2">
        <f>IF(Games[[#This Row],[Type]]="R",IF(Games[[#This Row],[Result]]&gt;0.5,1,0),0)</f>
        <v>1</v>
      </c>
      <c r="AD333" s="2">
        <f>IF(Games[[#This Row],[Type]]="R",IF(Games[[#This Row],[Result]]&lt;0.5,1,0),0)</f>
        <v>0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42244</v>
      </c>
      <c r="B334" s="2">
        <v>2015</v>
      </c>
      <c r="C334" s="2">
        <f>COUNTIFS(Games[Team],Games[[#This Row],[Team]],Games[Season],Games[[#This Row],[Season]],Games[Date],"&lt;=" &amp; Games[[#This Row],[Date]])</f>
        <v>29</v>
      </c>
      <c r="D334" s="2" t="s">
        <v>83</v>
      </c>
      <c r="E334" s="2" t="s">
        <v>84</v>
      </c>
      <c r="F334" s="1" t="s">
        <v>74</v>
      </c>
      <c r="G334" s="1" t="s">
        <v>71</v>
      </c>
      <c r="H334" s="1" t="s">
        <v>85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4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34" s="2">
        <f>Games[[#This Row],[DaysOff]]-Games[[#This Row],[OppDaysOff]]</f>
        <v>-2</v>
      </c>
      <c r="L334" s="2">
        <f>Games[[#This Row],[OppDaysOff]]-Games[[#This Row],[DaysOff]]</f>
        <v>2</v>
      </c>
      <c r="M334" s="1">
        <f>MAX(-16, MIN(16, Games[[#This Row],[RestDiff]]*8))</f>
        <v>-16</v>
      </c>
      <c r="N334" s="1">
        <f>MAX(-16, MIN(16, Games[[#This Row],[OppRestDiff]]*8))</f>
        <v>16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1337.7312291264111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1379.4978693565697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0.28737286349682917</v>
      </c>
      <c r="R334" s="1">
        <v>69</v>
      </c>
      <c r="S334" s="1">
        <v>83</v>
      </c>
      <c r="T334" s="1">
        <v>0</v>
      </c>
      <c r="U334" s="1">
        <f>Games[[#This Row],[PointsFor]]-Games[[#This Row],[PointsAgainst]]</f>
        <v>-14</v>
      </c>
      <c r="V334" s="1">
        <f>IF(Games[[#This Row],[MOV]]&gt;0,1,IF(Games[[#This Row],[MOV]]=0,0.5,0))</f>
        <v>0</v>
      </c>
      <c r="W334" s="4">
        <f>((ABS(Games[[#This Row],[MOV]])+5)^0.6)/(12+0.01*(ABS(Games[[#This Row],[PreGmRate]]-Games[[#This Row],[OppPreGmRate]])))*IF(Games[[#This Row],[OT]]=1,0.9,1)</f>
        <v>0.47120747593321483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4" s="9">
        <f>MAX(kmin, kmax - 0.15 * MIN(Games[[#This Row],[GamesPlayed]], 82))</f>
        <v>71.650000000000006</v>
      </c>
      <c r="Z334" s="4">
        <f>Games[[#This Row],[K]]*Games[[#This Row],[POMult]]</f>
        <v>71.650000000000006</v>
      </c>
      <c r="AA334" s="4">
        <f>(Games[[#This Row],[Keff]]*Games[[#This Row],[MOVMult]])*(Games[[#This Row],[Result]]-Games[[#This Row],[ExpectedWin%]])</f>
        <v>-9.7022871149419494</v>
      </c>
      <c r="AB334" s="4">
        <f>Games[[#This Row],[PreGmRate]]+Games[[#This Row],[RatingChange]]</f>
        <v>1328.0289420114691</v>
      </c>
      <c r="AC334" s="2">
        <f>IF(Games[[#This Row],[Type]]="R",IF(Games[[#This Row],[Result]]&gt;0.5,1,0),0)</f>
        <v>0</v>
      </c>
      <c r="AD334" s="2">
        <f>IF(Games[[#This Row],[Type]]="R",IF(Games[[#This Row],[Result]]&lt;0.5,1,0),0)</f>
        <v>1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42244</v>
      </c>
      <c r="B335" s="2">
        <v>2015</v>
      </c>
      <c r="C335" s="2">
        <f>COUNTIFS(Games[Team],Games[[#This Row],[Team]],Games[Season],Games[[#This Row],[Season]],Games[Date],"&lt;=" &amp; Games[[#This Row],[Date]])</f>
        <v>28</v>
      </c>
      <c r="D335" s="2" t="s">
        <v>83</v>
      </c>
      <c r="E335" s="2" t="s">
        <v>84</v>
      </c>
      <c r="F335" s="1" t="s">
        <v>71</v>
      </c>
      <c r="G335" s="1" t="s">
        <v>74</v>
      </c>
      <c r="H335" s="1" t="s">
        <v>86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6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35" s="2">
        <f>Games[[#This Row],[DaysOff]]-Games[[#This Row],[OppDaysOff]]</f>
        <v>2</v>
      </c>
      <c r="L335" s="2">
        <f>Games[[#This Row],[OppDaysOff]]-Games[[#This Row],[DaysOff]]</f>
        <v>-2</v>
      </c>
      <c r="M335" s="1">
        <f>MAX(-16, MIN(16, Games[[#This Row],[RestDiff]]*8))</f>
        <v>16</v>
      </c>
      <c r="N335" s="1">
        <f>MAX(-16, MIN(16, Games[[#This Row],[OppRestDiff]]*8))</f>
        <v>-16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1379.4978693565697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1337.7312291264111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0.71262713650317089</v>
      </c>
      <c r="R335" s="1">
        <v>83</v>
      </c>
      <c r="S335" s="1">
        <v>69</v>
      </c>
      <c r="T335" s="1">
        <v>0</v>
      </c>
      <c r="U335" s="1">
        <f>Games[[#This Row],[PointsFor]]-Games[[#This Row],[PointsAgainst]]</f>
        <v>14</v>
      </c>
      <c r="V335" s="1">
        <f>IF(Games[[#This Row],[MOV]]&gt;0,1,IF(Games[[#This Row],[MOV]]=0,0.5,0))</f>
        <v>1</v>
      </c>
      <c r="W335" s="4">
        <f>((ABS(Games[[#This Row],[MOV]])+5)^0.6)/(12+0.01*(ABS(Games[[#This Row],[PreGmRate]]-Games[[#This Row],[OppPreGmRate]])))*IF(Games[[#This Row],[OT]]=1,0.9,1)</f>
        <v>0.47120747593321483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5" s="9">
        <f>MAX(kmin, kmax - 0.15 * MIN(Games[[#This Row],[GamesPlayed]], 82))</f>
        <v>71.8</v>
      </c>
      <c r="Z335" s="4">
        <f>Games[[#This Row],[K]]*Games[[#This Row],[POMult]]</f>
        <v>71.8</v>
      </c>
      <c r="AA335" s="4">
        <f>(Games[[#This Row],[Keff]]*Games[[#This Row],[MOVMult]])*(Games[[#This Row],[Result]]-Games[[#This Row],[ExpectedWin%]])</f>
        <v>9.7225989511909532</v>
      </c>
      <c r="AB335" s="4">
        <f>Games[[#This Row],[PreGmRate]]+Games[[#This Row],[RatingChange]]</f>
        <v>1389.2204683077607</v>
      </c>
      <c r="AC335" s="2">
        <f>IF(Games[[#This Row],[Type]]="R",IF(Games[[#This Row],[Result]]&gt;0.5,1,0),0)</f>
        <v>1</v>
      </c>
      <c r="AD335" s="2">
        <f>IF(Games[[#This Row],[Type]]="R",IF(Games[[#This Row],[Result]]&lt;0.5,1,0),0)</f>
        <v>0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42244</v>
      </c>
      <c r="B336" s="2">
        <v>2015</v>
      </c>
      <c r="C336" s="2">
        <f>COUNTIFS(Games[Team],Games[[#This Row],[Team]],Games[Season],Games[[#This Row],[Season]],Games[Date],"&lt;=" &amp; Games[[#This Row],[Date]])</f>
        <v>29</v>
      </c>
      <c r="D336" s="2" t="s">
        <v>83</v>
      </c>
      <c r="E336" s="2" t="s">
        <v>84</v>
      </c>
      <c r="F336" s="1" t="s">
        <v>63</v>
      </c>
      <c r="G336" s="1" t="s">
        <v>81</v>
      </c>
      <c r="H336" s="1" t="s">
        <v>85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36" s="2">
        <f>Games[[#This Row],[DaysOff]]-Games[[#This Row],[OppDaysOff]]</f>
        <v>-5</v>
      </c>
      <c r="L336" s="2">
        <f>Games[[#This Row],[OppDaysOff]]-Games[[#This Row],[DaysOff]]</f>
        <v>5</v>
      </c>
      <c r="M336" s="1">
        <f>MAX(-16, MIN(16, Games[[#This Row],[RestDiff]]*8))</f>
        <v>-16</v>
      </c>
      <c r="N336" s="1">
        <f>MAX(-16, MIN(16, Games[[#This Row],[OppRestDiff]]*8))</f>
        <v>16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1504.348947336709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1466.6866799749671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0.38913533752327506</v>
      </c>
      <c r="R336" s="1">
        <v>66</v>
      </c>
      <c r="S336" s="1">
        <v>76</v>
      </c>
      <c r="T336" s="1">
        <v>0</v>
      </c>
      <c r="U336" s="1">
        <f>Games[[#This Row],[PointsFor]]-Games[[#This Row],[PointsAgainst]]</f>
        <v>-10</v>
      </c>
      <c r="V336" s="1">
        <f>IF(Games[[#This Row],[MOV]]&gt;0,1,IF(Games[[#This Row],[MOV]]=0,0.5,0))</f>
        <v>0</v>
      </c>
      <c r="W336" s="4">
        <f>((ABS(Games[[#This Row],[MOV]])+5)^0.6)/(12+0.01*(ABS(Games[[#This Row],[PreGmRate]]-Games[[#This Row],[OppPreGmRate]])))*IF(Games[[#This Row],[OT]]=1,0.9,1)</f>
        <v>0.41025379264498069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6" s="9">
        <f>MAX(kmin, kmax - 0.15 * MIN(Games[[#This Row],[GamesPlayed]], 82))</f>
        <v>71.650000000000006</v>
      </c>
      <c r="Z336" s="4">
        <f>Games[[#This Row],[K]]*Games[[#This Row],[POMult]]</f>
        <v>71.650000000000006</v>
      </c>
      <c r="AA336" s="4">
        <f>(Games[[#This Row],[Keff]]*Games[[#This Row],[MOVMult]])*(Games[[#This Row],[Result]]-Games[[#This Row],[ExpectedWin%]])</f>
        <v>-11.438510374294907</v>
      </c>
      <c r="AB336" s="4">
        <f>Games[[#This Row],[PreGmRate]]+Games[[#This Row],[RatingChange]]</f>
        <v>1492.910436962414</v>
      </c>
      <c r="AC336" s="2">
        <f>IF(Games[[#This Row],[Type]]="R",IF(Games[[#This Row],[Result]]&gt;0.5,1,0),0)</f>
        <v>0</v>
      </c>
      <c r="AD336" s="2">
        <f>IF(Games[[#This Row],[Type]]="R",IF(Games[[#This Row],[Result]]&lt;0.5,1,0),0)</f>
        <v>1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42244</v>
      </c>
      <c r="B337" s="2">
        <v>2015</v>
      </c>
      <c r="C337" s="2">
        <f>COUNTIFS(Games[Team],Games[[#This Row],[Team]],Games[Season],Games[[#This Row],[Season]],Games[Date],"&lt;=" &amp; Games[[#This Row],[Date]])</f>
        <v>28</v>
      </c>
      <c r="D337" s="2" t="s">
        <v>83</v>
      </c>
      <c r="E337" s="2" t="s">
        <v>84</v>
      </c>
      <c r="F337" s="1" t="s">
        <v>81</v>
      </c>
      <c r="G337" s="1" t="s">
        <v>63</v>
      </c>
      <c r="H337" s="1" t="s">
        <v>86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6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7" s="2">
        <f>Games[[#This Row],[DaysOff]]-Games[[#This Row],[OppDaysOff]]</f>
        <v>5</v>
      </c>
      <c r="L337" s="2">
        <f>Games[[#This Row],[OppDaysOff]]-Games[[#This Row],[DaysOff]]</f>
        <v>-5</v>
      </c>
      <c r="M337" s="1">
        <f>MAX(-16, MIN(16, Games[[#This Row],[RestDiff]]*8))</f>
        <v>16</v>
      </c>
      <c r="N337" s="1">
        <f>MAX(-16, MIN(16, Games[[#This Row],[OppRestDiff]]*8))</f>
        <v>-16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1466.6866799749671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1504.348947336709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0.61086466247672488</v>
      </c>
      <c r="R337" s="1">
        <v>76</v>
      </c>
      <c r="S337" s="1">
        <v>66</v>
      </c>
      <c r="T337" s="1">
        <v>0</v>
      </c>
      <c r="U337" s="1">
        <f>Games[[#This Row],[PointsFor]]-Games[[#This Row],[PointsAgainst]]</f>
        <v>10</v>
      </c>
      <c r="V337" s="1">
        <f>IF(Games[[#This Row],[MOV]]&gt;0,1,IF(Games[[#This Row],[MOV]]=0,0.5,0))</f>
        <v>1</v>
      </c>
      <c r="W337" s="4">
        <f>((ABS(Games[[#This Row],[MOV]])+5)^0.6)/(12+0.01*(ABS(Games[[#This Row],[PreGmRate]]-Games[[#This Row],[OppPreGmRate]])))*IF(Games[[#This Row],[OT]]=1,0.9,1)</f>
        <v>0.41025379264498069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7" s="9">
        <f>MAX(kmin, kmax - 0.15 * MIN(Games[[#This Row],[GamesPlayed]], 82))</f>
        <v>71.8</v>
      </c>
      <c r="Z337" s="4">
        <f>Games[[#This Row],[K]]*Games[[#This Row],[POMult]]</f>
        <v>71.8</v>
      </c>
      <c r="AA337" s="4">
        <f>(Games[[#This Row],[Keff]]*Games[[#This Row],[MOVMult]])*(Games[[#This Row],[Result]]-Games[[#This Row],[ExpectedWin%]])</f>
        <v>11.462457011505574</v>
      </c>
      <c r="AB337" s="4">
        <f>Games[[#This Row],[PreGmRate]]+Games[[#This Row],[RatingChange]]</f>
        <v>1478.1491369864727</v>
      </c>
      <c r="AC337" s="2">
        <f>IF(Games[[#This Row],[Type]]="R",IF(Games[[#This Row],[Result]]&gt;0.5,1,0),0)</f>
        <v>1</v>
      </c>
      <c r="AD337" s="2">
        <f>IF(Games[[#This Row],[Type]]="R",IF(Games[[#This Row],[Result]]&lt;0.5,1,0),0)</f>
        <v>0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42244</v>
      </c>
      <c r="B338" s="2">
        <v>2015</v>
      </c>
      <c r="C338" s="2">
        <f>COUNTIFS(Games[Team],Games[[#This Row],[Team]],Games[Season],Games[[#This Row],[Season]],Games[Date],"&lt;=" &amp; Games[[#This Row],[Date]])</f>
        <v>29</v>
      </c>
      <c r="D338" s="2" t="s">
        <v>83</v>
      </c>
      <c r="E338" s="2" t="s">
        <v>84</v>
      </c>
      <c r="F338" s="1" t="s">
        <v>40</v>
      </c>
      <c r="G338" s="1" t="s">
        <v>65</v>
      </c>
      <c r="H338" s="1" t="s">
        <v>85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38" s="2">
        <f>Games[[#This Row],[DaysOff]]-Games[[#This Row],[OppDaysOff]]</f>
        <v>-4</v>
      </c>
      <c r="L338" s="2">
        <f>Games[[#This Row],[OppDaysOff]]-Games[[#This Row],[DaysOff]]</f>
        <v>4</v>
      </c>
      <c r="M338" s="1">
        <f>MAX(-16, MIN(16, Games[[#This Row],[RestDiff]]*8))</f>
        <v>-16</v>
      </c>
      <c r="N338" s="1">
        <f>MAX(-16, MIN(16, Games[[#This Row],[OppRestDiff]]*8))</f>
        <v>16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1587.5108971523264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1547.2735224336236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0.39266475517391219</v>
      </c>
      <c r="R338" s="1">
        <v>63</v>
      </c>
      <c r="S338" s="1">
        <v>71</v>
      </c>
      <c r="T338" s="1">
        <v>0</v>
      </c>
      <c r="U338" s="1">
        <f>Games[[#This Row],[PointsFor]]-Games[[#This Row],[PointsAgainst]]</f>
        <v>-8</v>
      </c>
      <c r="V338" s="1">
        <f>IF(Games[[#This Row],[MOV]]&gt;0,1,IF(Games[[#This Row],[MOV]]=0,0.5,0))</f>
        <v>0</v>
      </c>
      <c r="W338" s="4">
        <f>((ABS(Games[[#This Row],[MOV]])+5)^0.6)/(12+0.01*(ABS(Games[[#This Row],[PreGmRate]]-Games[[#This Row],[OppPreGmRate]])))*IF(Games[[#This Row],[OT]]=1,0.9,1)</f>
        <v>0.37571730339871012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8" s="9">
        <f>MAX(kmin, kmax - 0.15 * MIN(Games[[#This Row],[GamesPlayed]], 82))</f>
        <v>71.650000000000006</v>
      </c>
      <c r="Z338" s="4">
        <f>Games[[#This Row],[K]]*Games[[#This Row],[POMult]]</f>
        <v>71.650000000000006</v>
      </c>
      <c r="AA338" s="4">
        <f>(Games[[#This Row],[Keff]]*Games[[#This Row],[MOVMult]])*(Games[[#This Row],[Result]]-Games[[#This Row],[ExpectedWin%]])</f>
        <v>-10.570592062629524</v>
      </c>
      <c r="AB338" s="4">
        <f>Games[[#This Row],[PreGmRate]]+Games[[#This Row],[RatingChange]]</f>
        <v>1576.9403050896969</v>
      </c>
      <c r="AC338" s="2">
        <f>IF(Games[[#This Row],[Type]]="R",IF(Games[[#This Row],[Result]]&gt;0.5,1,0),0)</f>
        <v>0</v>
      </c>
      <c r="AD338" s="2">
        <f>IF(Games[[#This Row],[Type]]="R",IF(Games[[#This Row],[Result]]&lt;0.5,1,0),0)</f>
        <v>1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42244</v>
      </c>
      <c r="B339" s="2">
        <v>2015</v>
      </c>
      <c r="C339" s="2">
        <f>COUNTIFS(Games[Team],Games[[#This Row],[Team]],Games[Season],Games[[#This Row],[Season]],Games[Date],"&lt;=" &amp; Games[[#This Row],[Date]])</f>
        <v>27</v>
      </c>
      <c r="D339" s="2" t="s">
        <v>83</v>
      </c>
      <c r="E339" s="2" t="s">
        <v>84</v>
      </c>
      <c r="F339" s="1" t="s">
        <v>65</v>
      </c>
      <c r="G339" s="1" t="s">
        <v>40</v>
      </c>
      <c r="H339" s="1" t="s">
        <v>86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4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9" s="2">
        <f>Games[[#This Row],[DaysOff]]-Games[[#This Row],[OppDaysOff]]</f>
        <v>4</v>
      </c>
      <c r="L339" s="2">
        <f>Games[[#This Row],[OppDaysOff]]-Games[[#This Row],[DaysOff]]</f>
        <v>-4</v>
      </c>
      <c r="M339" s="1">
        <f>MAX(-16, MIN(16, Games[[#This Row],[RestDiff]]*8))</f>
        <v>16</v>
      </c>
      <c r="N339" s="1">
        <f>MAX(-16, MIN(16, Games[[#This Row],[OppRestDiff]]*8))</f>
        <v>-16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1547.2735224336236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1587.5108971523264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0.60733524482608792</v>
      </c>
      <c r="R339" s="1">
        <v>71</v>
      </c>
      <c r="S339" s="1">
        <v>63</v>
      </c>
      <c r="T339" s="1">
        <v>0</v>
      </c>
      <c r="U339" s="1">
        <f>Games[[#This Row],[PointsFor]]-Games[[#This Row],[PointsAgainst]]</f>
        <v>8</v>
      </c>
      <c r="V339" s="1">
        <f>IF(Games[[#This Row],[MOV]]&gt;0,1,IF(Games[[#This Row],[MOV]]=0,0.5,0))</f>
        <v>1</v>
      </c>
      <c r="W339" s="4">
        <f>((ABS(Games[[#This Row],[MOV]])+5)^0.6)/(12+0.01*(ABS(Games[[#This Row],[PreGmRate]]-Games[[#This Row],[OppPreGmRate]])))*IF(Games[[#This Row],[OT]]=1,0.9,1)</f>
        <v>0.37571730339871012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9" s="9">
        <f>MAX(kmin, kmax - 0.15 * MIN(Games[[#This Row],[GamesPlayed]], 82))</f>
        <v>71.95</v>
      </c>
      <c r="Z339" s="4">
        <f>Games[[#This Row],[K]]*Games[[#This Row],[POMult]]</f>
        <v>71.95</v>
      </c>
      <c r="AA339" s="4">
        <f>(Games[[#This Row],[Keff]]*Games[[#This Row],[MOVMult]])*(Games[[#This Row],[Result]]-Games[[#This Row],[ExpectedWin%]])</f>
        <v>10.614851345515618</v>
      </c>
      <c r="AB339" s="4">
        <f>Games[[#This Row],[PreGmRate]]+Games[[#This Row],[RatingChange]]</f>
        <v>1557.8883737791393</v>
      </c>
      <c r="AC339" s="2">
        <f>IF(Games[[#This Row],[Type]]="R",IF(Games[[#This Row],[Result]]&gt;0.5,1,0),0)</f>
        <v>1</v>
      </c>
      <c r="AD339" s="2">
        <f>IF(Games[[#This Row],[Type]]="R",IF(Games[[#This Row],[Result]]&lt;0.5,1,0),0)</f>
        <v>0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42245</v>
      </c>
      <c r="B340" s="2">
        <v>2015</v>
      </c>
      <c r="C340" s="2">
        <f>COUNTIFS(Games[Team],Games[[#This Row],[Team]],Games[Season],Games[[#This Row],[Season]],Games[Date],"&lt;=" &amp; Games[[#This Row],[Date]])</f>
        <v>29</v>
      </c>
      <c r="D340" s="2" t="s">
        <v>83</v>
      </c>
      <c r="E340" s="2" t="s">
        <v>84</v>
      </c>
      <c r="F340" s="1" t="s">
        <v>77</v>
      </c>
      <c r="G340" s="1" t="s">
        <v>79</v>
      </c>
      <c r="H340" s="1" t="s">
        <v>85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5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0" s="2">
        <f>Games[[#This Row],[DaysOff]]-Games[[#This Row],[OppDaysOff]]</f>
        <v>5</v>
      </c>
      <c r="L340" s="2">
        <f>Games[[#This Row],[OppDaysOff]]-Games[[#This Row],[DaysOff]]</f>
        <v>-5</v>
      </c>
      <c r="M340" s="1">
        <f>MAX(-16, MIN(16, Games[[#This Row],[RestDiff]]*8))</f>
        <v>16</v>
      </c>
      <c r="N340" s="1">
        <f>MAX(-16, MIN(16, Games[[#This Row],[OppRestDiff]]*8))</f>
        <v>-16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1555.2946980673989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1472.9722490708166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0.54352705380873156</v>
      </c>
      <c r="R340" s="1">
        <v>98</v>
      </c>
      <c r="S340" s="1">
        <v>96</v>
      </c>
      <c r="T340" s="1">
        <v>0</v>
      </c>
      <c r="U340" s="1">
        <f>Games[[#This Row],[PointsFor]]-Games[[#This Row],[PointsAgainst]]</f>
        <v>2</v>
      </c>
      <c r="V340" s="1">
        <f>IF(Games[[#This Row],[MOV]]&gt;0,1,IF(Games[[#This Row],[MOV]]=0,0.5,0))</f>
        <v>1</v>
      </c>
      <c r="W340" s="4">
        <f>((ABS(Games[[#This Row],[MOV]])+5)^0.6)/(12+0.01*(ABS(Games[[#This Row],[PreGmRate]]-Games[[#This Row],[OppPreGmRate]])))*IF(Games[[#This Row],[OT]]=1,0.9,1)</f>
        <v>0.25064646199020135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0" s="9">
        <f>MAX(kmin, kmax - 0.15 * MIN(Games[[#This Row],[GamesPlayed]], 82))</f>
        <v>71.650000000000006</v>
      </c>
      <c r="Z340" s="4">
        <f>Games[[#This Row],[K]]*Games[[#This Row],[POMult]]</f>
        <v>71.650000000000006</v>
      </c>
      <c r="AA340" s="4">
        <f>(Games[[#This Row],[Keff]]*Games[[#This Row],[MOVMult]])*(Games[[#This Row],[Result]]-Games[[#This Row],[ExpectedWin%]])</f>
        <v>8.1977150197751403</v>
      </c>
      <c r="AB340" s="4">
        <f>Games[[#This Row],[PreGmRate]]+Games[[#This Row],[RatingChange]]</f>
        <v>1563.4924130871741</v>
      </c>
      <c r="AC340" s="2">
        <f>IF(Games[[#This Row],[Type]]="R",IF(Games[[#This Row],[Result]]&gt;0.5,1,0),0)</f>
        <v>1</v>
      </c>
      <c r="AD340" s="2">
        <f>IF(Games[[#This Row],[Type]]="R",IF(Games[[#This Row],[Result]]&lt;0.5,1,0),0)</f>
        <v>0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42245</v>
      </c>
      <c r="B341" s="2">
        <v>2015</v>
      </c>
      <c r="C341" s="2">
        <f>COUNTIFS(Games[Team],Games[[#This Row],[Team]],Games[Season],Games[[#This Row],[Season]],Games[Date],"&lt;=" &amp; Games[[#This Row],[Date]])</f>
        <v>29</v>
      </c>
      <c r="D341" s="2" t="s">
        <v>83</v>
      </c>
      <c r="E341" s="2" t="s">
        <v>84</v>
      </c>
      <c r="F341" s="1" t="s">
        <v>79</v>
      </c>
      <c r="G341" s="1" t="s">
        <v>77</v>
      </c>
      <c r="H341" s="1" t="s">
        <v>86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41" s="2">
        <f>Games[[#This Row],[DaysOff]]-Games[[#This Row],[OppDaysOff]]</f>
        <v>-5</v>
      </c>
      <c r="L341" s="2">
        <f>Games[[#This Row],[OppDaysOff]]-Games[[#This Row],[DaysOff]]</f>
        <v>5</v>
      </c>
      <c r="M341" s="1">
        <f>MAX(-16, MIN(16, Games[[#This Row],[RestDiff]]*8))</f>
        <v>-16</v>
      </c>
      <c r="N341" s="1">
        <f>MAX(-16, MIN(16, Games[[#This Row],[OppRestDiff]]*8))</f>
        <v>16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1472.9722490708166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1555.2946980673989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0.45647294619126838</v>
      </c>
      <c r="R341" s="1">
        <v>96</v>
      </c>
      <c r="S341" s="1">
        <v>98</v>
      </c>
      <c r="T341" s="1">
        <v>0</v>
      </c>
      <c r="U341" s="1">
        <f>Games[[#This Row],[PointsFor]]-Games[[#This Row],[PointsAgainst]]</f>
        <v>-2</v>
      </c>
      <c r="V341" s="1">
        <f>IF(Games[[#This Row],[MOV]]&gt;0,1,IF(Games[[#This Row],[MOV]]=0,0.5,0))</f>
        <v>0</v>
      </c>
      <c r="W341" s="4">
        <f>((ABS(Games[[#This Row],[MOV]])+5)^0.6)/(12+0.01*(ABS(Games[[#This Row],[PreGmRate]]-Games[[#This Row],[OppPreGmRate]])))*IF(Games[[#This Row],[OT]]=1,0.9,1)</f>
        <v>0.25064646199020135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1" s="9">
        <f>MAX(kmin, kmax - 0.15 * MIN(Games[[#This Row],[GamesPlayed]], 82))</f>
        <v>71.650000000000006</v>
      </c>
      <c r="Z341" s="4">
        <f>Games[[#This Row],[K]]*Games[[#This Row],[POMult]]</f>
        <v>71.650000000000006</v>
      </c>
      <c r="AA341" s="4">
        <f>(Games[[#This Row],[Keff]]*Games[[#This Row],[MOVMult]])*(Games[[#This Row],[Result]]-Games[[#This Row],[ExpectedWin%]])</f>
        <v>-8.1977150197751385</v>
      </c>
      <c r="AB341" s="4">
        <f>Games[[#This Row],[PreGmRate]]+Games[[#This Row],[RatingChange]]</f>
        <v>1464.7745340510414</v>
      </c>
      <c r="AC341" s="2">
        <f>IF(Games[[#This Row],[Type]]="R",IF(Games[[#This Row],[Result]]&gt;0.5,1,0),0)</f>
        <v>0</v>
      </c>
      <c r="AD341" s="2">
        <f>IF(Games[[#This Row],[Type]]="R",IF(Games[[#This Row],[Result]]&lt;0.5,1,0),0)</f>
        <v>1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42245</v>
      </c>
      <c r="B342" s="2">
        <v>2015</v>
      </c>
      <c r="C342" s="2">
        <f>COUNTIFS(Games[Team],Games[[#This Row],[Team]],Games[Season],Games[[#This Row],[Season]],Games[Date],"&lt;=" &amp; Games[[#This Row],[Date]])</f>
        <v>28</v>
      </c>
      <c r="D342" s="2" t="s">
        <v>83</v>
      </c>
      <c r="E342" s="2" t="s">
        <v>84</v>
      </c>
      <c r="F342" s="1" t="s">
        <v>60</v>
      </c>
      <c r="G342" s="1" t="s">
        <v>76</v>
      </c>
      <c r="H342" s="1" t="s">
        <v>85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2" s="2">
        <f>Games[[#This Row],[DaysOff]]-Games[[#This Row],[OppDaysOff]]</f>
        <v>-1</v>
      </c>
      <c r="L342" s="2">
        <f>Games[[#This Row],[OppDaysOff]]-Games[[#This Row],[DaysOff]]</f>
        <v>1</v>
      </c>
      <c r="M342" s="1">
        <f>MAX(-16, MIN(16, Games[[#This Row],[RestDiff]]*8))</f>
        <v>-8</v>
      </c>
      <c r="N342" s="1">
        <f>MAX(-16, MIN(16, Games[[#This Row],[OppRestDiff]]*8))</f>
        <v>8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1597.396203309286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1415.2155041457622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0.61611015758317278</v>
      </c>
      <c r="R342" s="1">
        <v>80</v>
      </c>
      <c r="S342" s="1">
        <v>66</v>
      </c>
      <c r="T342" s="1">
        <v>0</v>
      </c>
      <c r="U342" s="1">
        <f>Games[[#This Row],[PointsFor]]-Games[[#This Row],[PointsAgainst]]</f>
        <v>14</v>
      </c>
      <c r="V342" s="1">
        <f>IF(Games[[#This Row],[MOV]]&gt;0,1,IF(Games[[#This Row],[MOV]]=0,0.5,0))</f>
        <v>1</v>
      </c>
      <c r="W342" s="4">
        <f>((ABS(Games[[#This Row],[MOV]])+5)^0.6)/(12+0.01*(ABS(Games[[#This Row],[PreGmRate]]-Games[[#This Row],[OppPreGmRate]])))*IF(Games[[#This Row],[OT]]=1,0.9,1)</f>
        <v>0.42333808061061318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2" s="9">
        <f>MAX(kmin, kmax - 0.15 * MIN(Games[[#This Row],[GamesPlayed]], 82))</f>
        <v>71.8</v>
      </c>
      <c r="Z342" s="4">
        <f>Games[[#This Row],[K]]*Games[[#This Row],[POMult]]</f>
        <v>71.8</v>
      </c>
      <c r="AA342" s="4">
        <f>(Games[[#This Row],[Keff]]*Games[[#This Row],[MOVMult]])*(Games[[#This Row],[Result]]-Games[[#This Row],[ExpectedWin%]])</f>
        <v>11.668590574123899</v>
      </c>
      <c r="AB342" s="4">
        <f>Games[[#This Row],[PreGmRate]]+Games[[#This Row],[RatingChange]]</f>
        <v>1609.0647938834099</v>
      </c>
      <c r="AC342" s="2">
        <f>IF(Games[[#This Row],[Type]]="R",IF(Games[[#This Row],[Result]]&gt;0.5,1,0),0)</f>
        <v>1</v>
      </c>
      <c r="AD342" s="2">
        <f>IF(Games[[#This Row],[Type]]="R",IF(Games[[#This Row],[Result]]&lt;0.5,1,0),0)</f>
        <v>0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42245</v>
      </c>
      <c r="B343" s="2">
        <v>2015</v>
      </c>
      <c r="C343" s="2">
        <f>COUNTIFS(Games[Team],Games[[#This Row],[Team]],Games[Season],Games[[#This Row],[Season]],Games[Date],"&lt;=" &amp; Games[[#This Row],[Date]])</f>
        <v>29</v>
      </c>
      <c r="D343" s="2" t="s">
        <v>83</v>
      </c>
      <c r="E343" s="2" t="s">
        <v>84</v>
      </c>
      <c r="F343" s="1" t="s">
        <v>76</v>
      </c>
      <c r="G343" s="1" t="s">
        <v>60</v>
      </c>
      <c r="H343" s="1" t="s">
        <v>86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3" s="2">
        <f>Games[[#This Row],[DaysOff]]-Games[[#This Row],[OppDaysOff]]</f>
        <v>1</v>
      </c>
      <c r="L343" s="2">
        <f>Games[[#This Row],[OppDaysOff]]-Games[[#This Row],[DaysOff]]</f>
        <v>-1</v>
      </c>
      <c r="M343" s="1">
        <f>MAX(-16, MIN(16, Games[[#This Row],[RestDiff]]*8))</f>
        <v>8</v>
      </c>
      <c r="N343" s="1">
        <f>MAX(-16, MIN(16, Games[[#This Row],[OppRestDiff]]*8))</f>
        <v>-8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1415.2155041457622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1597.396203309286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0.38388984241682711</v>
      </c>
      <c r="R343" s="1">
        <v>66</v>
      </c>
      <c r="S343" s="1">
        <v>80</v>
      </c>
      <c r="T343" s="1">
        <v>0</v>
      </c>
      <c r="U343" s="1">
        <f>Games[[#This Row],[PointsFor]]-Games[[#This Row],[PointsAgainst]]</f>
        <v>-14</v>
      </c>
      <c r="V343" s="1">
        <f>IF(Games[[#This Row],[MOV]]&gt;0,1,IF(Games[[#This Row],[MOV]]=0,0.5,0))</f>
        <v>0</v>
      </c>
      <c r="W343" s="4">
        <f>((ABS(Games[[#This Row],[MOV]])+5)^0.6)/(12+0.01*(ABS(Games[[#This Row],[PreGmRate]]-Games[[#This Row],[OppPreGmRate]])))*IF(Games[[#This Row],[OT]]=1,0.9,1)</f>
        <v>0.42333808061061318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3" s="9">
        <f>MAX(kmin, kmax - 0.15 * MIN(Games[[#This Row],[GamesPlayed]], 82))</f>
        <v>71.650000000000006</v>
      </c>
      <c r="Z343" s="4">
        <f>Games[[#This Row],[K]]*Games[[#This Row],[POMult]]</f>
        <v>71.650000000000006</v>
      </c>
      <c r="AA343" s="4">
        <f>(Games[[#This Row],[Keff]]*Games[[#This Row],[MOVMult]])*(Games[[#This Row],[Result]]-Games[[#This Row],[ExpectedWin%]])</f>
        <v>-11.644213295765699</v>
      </c>
      <c r="AB343" s="4">
        <f>Games[[#This Row],[PreGmRate]]+Games[[#This Row],[RatingChange]]</f>
        <v>1403.5712908499966</v>
      </c>
      <c r="AC343" s="2">
        <f>IF(Games[[#This Row],[Type]]="R",IF(Games[[#This Row],[Result]]&gt;0.5,1,0),0)</f>
        <v>0</v>
      </c>
      <c r="AD343" s="2">
        <f>IF(Games[[#This Row],[Type]]="R",IF(Games[[#This Row],[Result]]&lt;0.5,1,0),0)</f>
        <v>1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42246</v>
      </c>
      <c r="B344" s="2">
        <v>2015</v>
      </c>
      <c r="C344" s="2">
        <f>COUNTIFS(Games[Team],Games[[#This Row],[Team]],Games[Season],Games[[#This Row],[Season]],Games[Date],"&lt;=" &amp; Games[[#This Row],[Date]])</f>
        <v>30</v>
      </c>
      <c r="D344" s="2" t="s">
        <v>83</v>
      </c>
      <c r="E344" s="2" t="s">
        <v>84</v>
      </c>
      <c r="F344" s="1" t="s">
        <v>76</v>
      </c>
      <c r="G344" s="1" t="s">
        <v>77</v>
      </c>
      <c r="H344" s="1" t="s">
        <v>85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4" s="2">
        <f>Games[[#This Row],[DaysOff]]-Games[[#This Row],[OppDaysOff]]</f>
        <v>0</v>
      </c>
      <c r="L344" s="2">
        <f>Games[[#This Row],[OppDaysOff]]-Games[[#This Row],[DaysOff]]</f>
        <v>0</v>
      </c>
      <c r="M344" s="1">
        <f>MAX(-16, MIN(16, Games[[#This Row],[RestDiff]]*8))</f>
        <v>0</v>
      </c>
      <c r="N344" s="1">
        <f>MAX(-16, MIN(16, Games[[#This Row],[OppRestDiff]]*8))</f>
        <v>0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1403.5712908499966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1563.4924130871741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0.19716269243304407</v>
      </c>
      <c r="R344" s="1">
        <v>72</v>
      </c>
      <c r="S344" s="1">
        <v>68</v>
      </c>
      <c r="T344" s="1">
        <v>0</v>
      </c>
      <c r="U344" s="1">
        <f>Games[[#This Row],[PointsFor]]-Games[[#This Row],[PointsAgainst]]</f>
        <v>4</v>
      </c>
      <c r="V344" s="1">
        <f>IF(Games[[#This Row],[MOV]]&gt;0,1,IF(Games[[#This Row],[MOV]]=0,0.5,0))</f>
        <v>1</v>
      </c>
      <c r="W344" s="4">
        <f>((ABS(Games[[#This Row],[MOV]])+5)^0.6)/(12+0.01*(ABS(Games[[#This Row],[PreGmRate]]-Games[[#This Row],[OppPreGmRate]])))*IF(Games[[#This Row],[OT]]=1,0.9,1)</f>
        <v>0.27480952812164394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4" s="9">
        <f>MAX(kmin, kmax - 0.15 * MIN(Games[[#This Row],[GamesPlayed]], 82))</f>
        <v>71.5</v>
      </c>
      <c r="Z344" s="4">
        <f>Games[[#This Row],[K]]*Games[[#This Row],[POMult]]</f>
        <v>71.5</v>
      </c>
      <c r="AA344" s="4">
        <f>(Games[[#This Row],[Keff]]*Games[[#This Row],[MOVMult]])*(Games[[#This Row],[Result]]-Games[[#This Row],[ExpectedWin%]])</f>
        <v>15.774854928041229</v>
      </c>
      <c r="AB344" s="4">
        <f>Games[[#This Row],[PreGmRate]]+Games[[#This Row],[RatingChange]]</f>
        <v>1419.3461457780377</v>
      </c>
      <c r="AC344" s="2">
        <f>IF(Games[[#This Row],[Type]]="R",IF(Games[[#This Row],[Result]]&gt;0.5,1,0),0)</f>
        <v>1</v>
      </c>
      <c r="AD344" s="2">
        <f>IF(Games[[#This Row],[Type]]="R",IF(Games[[#This Row],[Result]]&lt;0.5,1,0),0)</f>
        <v>0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42246</v>
      </c>
      <c r="B345" s="2">
        <v>2015</v>
      </c>
      <c r="C345" s="2">
        <f>COUNTIFS(Games[Team],Games[[#This Row],[Team]],Games[Season],Games[[#This Row],[Season]],Games[Date],"&lt;=" &amp; Games[[#This Row],[Date]])</f>
        <v>30</v>
      </c>
      <c r="D345" s="2" t="s">
        <v>83</v>
      </c>
      <c r="E345" s="2" t="s">
        <v>84</v>
      </c>
      <c r="F345" s="1" t="s">
        <v>77</v>
      </c>
      <c r="G345" s="1" t="s">
        <v>76</v>
      </c>
      <c r="H345" s="1" t="s">
        <v>86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5" s="2">
        <f>Games[[#This Row],[DaysOff]]-Games[[#This Row],[OppDaysOff]]</f>
        <v>0</v>
      </c>
      <c r="L345" s="2">
        <f>Games[[#This Row],[OppDaysOff]]-Games[[#This Row],[DaysOff]]</f>
        <v>0</v>
      </c>
      <c r="M345" s="1">
        <f>MAX(-16, MIN(16, Games[[#This Row],[RestDiff]]*8))</f>
        <v>0</v>
      </c>
      <c r="N345" s="1">
        <f>MAX(-16, MIN(16, Games[[#This Row],[OppRestDiff]]*8))</f>
        <v>0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1563.4924130871741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1403.5712908499966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0.80283730756695593</v>
      </c>
      <c r="R345" s="1">
        <v>68</v>
      </c>
      <c r="S345" s="1">
        <v>72</v>
      </c>
      <c r="T345" s="1">
        <v>0</v>
      </c>
      <c r="U345" s="1">
        <f>Games[[#This Row],[PointsFor]]-Games[[#This Row],[PointsAgainst]]</f>
        <v>-4</v>
      </c>
      <c r="V345" s="1">
        <f>IF(Games[[#This Row],[MOV]]&gt;0,1,IF(Games[[#This Row],[MOV]]=0,0.5,0))</f>
        <v>0</v>
      </c>
      <c r="W345" s="4">
        <f>((ABS(Games[[#This Row],[MOV]])+5)^0.6)/(12+0.01*(ABS(Games[[#This Row],[PreGmRate]]-Games[[#This Row],[OppPreGmRate]])))*IF(Games[[#This Row],[OT]]=1,0.9,1)</f>
        <v>0.27480952812164394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5" s="9">
        <f>MAX(kmin, kmax - 0.15 * MIN(Games[[#This Row],[GamesPlayed]], 82))</f>
        <v>71.5</v>
      </c>
      <c r="Z345" s="4">
        <f>Games[[#This Row],[K]]*Games[[#This Row],[POMult]]</f>
        <v>71.5</v>
      </c>
      <c r="AA345" s="4">
        <f>(Games[[#This Row],[Keff]]*Games[[#This Row],[MOVMult]])*(Games[[#This Row],[Result]]-Games[[#This Row],[ExpectedWin%]])</f>
        <v>-15.774854928041229</v>
      </c>
      <c r="AB345" s="4">
        <f>Games[[#This Row],[PreGmRate]]+Games[[#This Row],[RatingChange]]</f>
        <v>1547.717558159133</v>
      </c>
      <c r="AC345" s="2">
        <f>IF(Games[[#This Row],[Type]]="R",IF(Games[[#This Row],[Result]]&gt;0.5,1,0),0)</f>
        <v>0</v>
      </c>
      <c r="AD345" s="2">
        <f>IF(Games[[#This Row],[Type]]="R",IF(Games[[#This Row],[Result]]&lt;0.5,1,0),0)</f>
        <v>1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42246</v>
      </c>
      <c r="B346" s="2">
        <v>2015</v>
      </c>
      <c r="C346" s="2">
        <f>COUNTIFS(Games[Team],Games[[#This Row],[Team]],Games[Season],Games[[#This Row],[Season]],Games[Date],"&lt;=" &amp; Games[[#This Row],[Date]])</f>
        <v>30</v>
      </c>
      <c r="D346" s="2" t="s">
        <v>83</v>
      </c>
      <c r="E346" s="2" t="s">
        <v>84</v>
      </c>
      <c r="F346" s="1" t="s">
        <v>74</v>
      </c>
      <c r="G346" s="1" t="s">
        <v>63</v>
      </c>
      <c r="H346" s="1" t="s">
        <v>85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6" s="2">
        <f>Games[[#This Row],[DaysOff]]-Games[[#This Row],[OppDaysOff]]</f>
        <v>0</v>
      </c>
      <c r="L346" s="2">
        <f>Games[[#This Row],[OppDaysOff]]-Games[[#This Row],[DaysOff]]</f>
        <v>0</v>
      </c>
      <c r="M346" s="1">
        <f>MAX(-16, MIN(16, Games[[#This Row],[RestDiff]]*8))</f>
        <v>0</v>
      </c>
      <c r="N346" s="1">
        <f>MAX(-16, MIN(16, Games[[#This Row],[OppRestDiff]]*8))</f>
        <v>0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1328.0289420114691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1492.910436962414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0.19268191142561761</v>
      </c>
      <c r="R346" s="1">
        <v>52</v>
      </c>
      <c r="S346" s="1">
        <v>60</v>
      </c>
      <c r="T346" s="1">
        <v>0</v>
      </c>
      <c r="U346" s="1">
        <f>Games[[#This Row],[PointsFor]]-Games[[#This Row],[PointsAgainst]]</f>
        <v>-8</v>
      </c>
      <c r="V346" s="1">
        <f>IF(Games[[#This Row],[MOV]]&gt;0,1,IF(Games[[#This Row],[MOV]]=0,0.5,0))</f>
        <v>0</v>
      </c>
      <c r="W346" s="4">
        <f>((ABS(Games[[#This Row],[MOV]])+5)^0.6)/(12+0.01*(ABS(Games[[#This Row],[PreGmRate]]-Games[[#This Row],[OppPreGmRate]])))*IF(Games[[#This Row],[OT]]=1,0.9,1)</f>
        <v>0.34140593430813149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6" s="9">
        <f>MAX(kmin, kmax - 0.15 * MIN(Games[[#This Row],[GamesPlayed]], 82))</f>
        <v>71.5</v>
      </c>
      <c r="Z346" s="4">
        <f>Games[[#This Row],[K]]*Games[[#This Row],[POMult]]</f>
        <v>71.5</v>
      </c>
      <c r="AA346" s="4">
        <f>(Games[[#This Row],[Keff]]*Games[[#This Row],[MOVMult]])*(Games[[#This Row],[Result]]-Games[[#This Row],[ExpectedWin%]])</f>
        <v>-4.7034664816095821</v>
      </c>
      <c r="AB346" s="4">
        <f>Games[[#This Row],[PreGmRate]]+Games[[#This Row],[RatingChange]]</f>
        <v>1323.3254755298594</v>
      </c>
      <c r="AC346" s="2">
        <f>IF(Games[[#This Row],[Type]]="R",IF(Games[[#This Row],[Result]]&gt;0.5,1,0),0)</f>
        <v>0</v>
      </c>
      <c r="AD346" s="2">
        <f>IF(Games[[#This Row],[Type]]="R",IF(Games[[#This Row],[Result]]&lt;0.5,1,0),0)</f>
        <v>1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42246</v>
      </c>
      <c r="B347" s="2">
        <v>2015</v>
      </c>
      <c r="C347" s="2">
        <f>COUNTIFS(Games[Team],Games[[#This Row],[Team]],Games[Season],Games[[#This Row],[Season]],Games[Date],"&lt;=" &amp; Games[[#This Row],[Date]])</f>
        <v>30</v>
      </c>
      <c r="D347" s="2" t="s">
        <v>83</v>
      </c>
      <c r="E347" s="2" t="s">
        <v>84</v>
      </c>
      <c r="F347" s="1" t="s">
        <v>63</v>
      </c>
      <c r="G347" s="1" t="s">
        <v>74</v>
      </c>
      <c r="H347" s="1" t="s">
        <v>86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7" s="2">
        <f>Games[[#This Row],[DaysOff]]-Games[[#This Row],[OppDaysOff]]</f>
        <v>0</v>
      </c>
      <c r="L347" s="2">
        <f>Games[[#This Row],[OppDaysOff]]-Games[[#This Row],[DaysOff]]</f>
        <v>0</v>
      </c>
      <c r="M347" s="1">
        <f>MAX(-16, MIN(16, Games[[#This Row],[RestDiff]]*8))</f>
        <v>0</v>
      </c>
      <c r="N347" s="1">
        <f>MAX(-16, MIN(16, Games[[#This Row],[OppRestDiff]]*8))</f>
        <v>0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1492.910436962414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1328.0289420114691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0.80731808857438236</v>
      </c>
      <c r="R347" s="1">
        <v>60</v>
      </c>
      <c r="S347" s="1">
        <v>52</v>
      </c>
      <c r="T347" s="1">
        <v>0</v>
      </c>
      <c r="U347" s="1">
        <f>Games[[#This Row],[PointsFor]]-Games[[#This Row],[PointsAgainst]]</f>
        <v>8</v>
      </c>
      <c r="V347" s="1">
        <f>IF(Games[[#This Row],[MOV]]&gt;0,1,IF(Games[[#This Row],[MOV]]=0,0.5,0))</f>
        <v>1</v>
      </c>
      <c r="W347" s="4">
        <f>((ABS(Games[[#This Row],[MOV]])+5)^0.6)/(12+0.01*(ABS(Games[[#This Row],[PreGmRate]]-Games[[#This Row],[OppPreGmRate]])))*IF(Games[[#This Row],[OT]]=1,0.9,1)</f>
        <v>0.34140593430813149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7" s="9">
        <f>MAX(kmin, kmax - 0.15 * MIN(Games[[#This Row],[GamesPlayed]], 82))</f>
        <v>71.5</v>
      </c>
      <c r="Z347" s="4">
        <f>Games[[#This Row],[K]]*Games[[#This Row],[POMult]]</f>
        <v>71.5</v>
      </c>
      <c r="AA347" s="4">
        <f>(Games[[#This Row],[Keff]]*Games[[#This Row],[MOVMult]])*(Games[[#This Row],[Result]]-Games[[#This Row],[ExpectedWin%]])</f>
        <v>4.703466481609583</v>
      </c>
      <c r="AB347" s="4">
        <f>Games[[#This Row],[PreGmRate]]+Games[[#This Row],[RatingChange]]</f>
        <v>1497.6139034440237</v>
      </c>
      <c r="AC347" s="2">
        <f>IF(Games[[#This Row],[Type]]="R",IF(Games[[#This Row],[Result]]&gt;0.5,1,0),0)</f>
        <v>1</v>
      </c>
      <c r="AD347" s="2">
        <f>IF(Games[[#This Row],[Type]]="R",IF(Games[[#This Row],[Result]]&lt;0.5,1,0),0)</f>
        <v>0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42246</v>
      </c>
      <c r="B348" s="2">
        <v>2015</v>
      </c>
      <c r="C348" s="2">
        <f>COUNTIFS(Games[Team],Games[[#This Row],[Team]],Games[Season],Games[[#This Row],[Season]],Games[Date],"&lt;=" &amp; Games[[#This Row],[Date]])</f>
        <v>30</v>
      </c>
      <c r="D348" s="2" t="s">
        <v>83</v>
      </c>
      <c r="E348" s="2" t="s">
        <v>84</v>
      </c>
      <c r="F348" s="1" t="s">
        <v>40</v>
      </c>
      <c r="G348" s="1" t="s">
        <v>67</v>
      </c>
      <c r="H348" s="1" t="s">
        <v>85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8" s="2">
        <f>Games[[#This Row],[DaysOff]]-Games[[#This Row],[OppDaysOff]]</f>
        <v>0</v>
      </c>
      <c r="L348" s="2">
        <f>Games[[#This Row],[OppDaysOff]]-Games[[#This Row],[DaysOff]]</f>
        <v>0</v>
      </c>
      <c r="M348" s="1">
        <f>MAX(-16, MIN(16, Games[[#This Row],[RestDiff]]*8))</f>
        <v>0</v>
      </c>
      <c r="N348" s="1">
        <f>MAX(-16, MIN(16, Games[[#This Row],[OppRestDiff]]*8))</f>
        <v>0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1576.9403050896969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1577.916341172277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0.38009114384104187</v>
      </c>
      <c r="R348" s="1">
        <v>61</v>
      </c>
      <c r="S348" s="1">
        <v>71</v>
      </c>
      <c r="T348" s="1">
        <v>0</v>
      </c>
      <c r="U348" s="1">
        <f>Games[[#This Row],[PointsFor]]-Games[[#This Row],[PointsAgainst]]</f>
        <v>-10</v>
      </c>
      <c r="V348" s="1">
        <f>IF(Games[[#This Row],[MOV]]&gt;0,1,IF(Games[[#This Row],[MOV]]=0,0.5,0))</f>
        <v>0</v>
      </c>
      <c r="W348" s="4">
        <f>((ABS(Games[[#This Row],[MOV]])+5)^0.6)/(12+0.01*(ABS(Games[[#This Row],[PreGmRate]]-Games[[#This Row],[OppPreGmRate]])))*IF(Games[[#This Row],[OT]]=1,0.9,1)</f>
        <v>0.42278582081868205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8" s="9">
        <f>MAX(kmin, kmax - 0.15 * MIN(Games[[#This Row],[GamesPlayed]], 82))</f>
        <v>71.5</v>
      </c>
      <c r="Z348" s="4">
        <f>Games[[#This Row],[K]]*Games[[#This Row],[POMult]]</f>
        <v>71.5</v>
      </c>
      <c r="AA348" s="4">
        <f>(Games[[#This Row],[Keff]]*Games[[#This Row],[MOVMult]])*(Games[[#This Row],[Result]]-Games[[#This Row],[ExpectedWin%]])</f>
        <v>-11.489845955784384</v>
      </c>
      <c r="AB348" s="4">
        <f>Games[[#This Row],[PreGmRate]]+Games[[#This Row],[RatingChange]]</f>
        <v>1565.4504591339125</v>
      </c>
      <c r="AC348" s="2">
        <f>IF(Games[[#This Row],[Type]]="R",IF(Games[[#This Row],[Result]]&gt;0.5,1,0),0)</f>
        <v>0</v>
      </c>
      <c r="AD348" s="2">
        <f>IF(Games[[#This Row],[Type]]="R",IF(Games[[#This Row],[Result]]&lt;0.5,1,0),0)</f>
        <v>1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42246</v>
      </c>
      <c r="B349" s="2">
        <v>2015</v>
      </c>
      <c r="C349" s="2">
        <f>COUNTIFS(Games[Team],Games[[#This Row],[Team]],Games[Season],Games[[#This Row],[Season]],Games[Date],"&lt;=" &amp; Games[[#This Row],[Date]])</f>
        <v>30</v>
      </c>
      <c r="D349" s="2" t="s">
        <v>83</v>
      </c>
      <c r="E349" s="2" t="s">
        <v>84</v>
      </c>
      <c r="F349" s="1" t="s">
        <v>67</v>
      </c>
      <c r="G349" s="1" t="s">
        <v>40</v>
      </c>
      <c r="H349" s="1" t="s">
        <v>86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9" s="2">
        <f>Games[[#This Row],[DaysOff]]-Games[[#This Row],[OppDaysOff]]</f>
        <v>0</v>
      </c>
      <c r="L349" s="2">
        <f>Games[[#This Row],[OppDaysOff]]-Games[[#This Row],[DaysOff]]</f>
        <v>0</v>
      </c>
      <c r="M349" s="1">
        <f>MAX(-16, MIN(16, Games[[#This Row],[RestDiff]]*8))</f>
        <v>0</v>
      </c>
      <c r="N349" s="1">
        <f>MAX(-16, MIN(16, Games[[#This Row],[OppRestDiff]]*8))</f>
        <v>0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1577.916341172277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1576.9403050896969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0.61990885615895808</v>
      </c>
      <c r="R349" s="1">
        <v>71</v>
      </c>
      <c r="S349" s="1">
        <v>61</v>
      </c>
      <c r="T349" s="1">
        <v>0</v>
      </c>
      <c r="U349" s="1">
        <f>Games[[#This Row],[PointsFor]]-Games[[#This Row],[PointsAgainst]]</f>
        <v>10</v>
      </c>
      <c r="V349" s="1">
        <f>IF(Games[[#This Row],[MOV]]&gt;0,1,IF(Games[[#This Row],[MOV]]=0,0.5,0))</f>
        <v>1</v>
      </c>
      <c r="W349" s="4">
        <f>((ABS(Games[[#This Row],[MOV]])+5)^0.6)/(12+0.01*(ABS(Games[[#This Row],[PreGmRate]]-Games[[#This Row],[OppPreGmRate]])))*IF(Games[[#This Row],[OT]]=1,0.9,1)</f>
        <v>0.42278582081868205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9" s="9">
        <f>MAX(kmin, kmax - 0.15 * MIN(Games[[#This Row],[GamesPlayed]], 82))</f>
        <v>71.5</v>
      </c>
      <c r="Z349" s="4">
        <f>Games[[#This Row],[K]]*Games[[#This Row],[POMult]]</f>
        <v>71.5</v>
      </c>
      <c r="AA349" s="4">
        <f>(Games[[#This Row],[Keff]]*Games[[#This Row],[MOVMult]])*(Games[[#This Row],[Result]]-Games[[#This Row],[ExpectedWin%]])</f>
        <v>11.489845955784386</v>
      </c>
      <c r="AB349" s="4">
        <f>Games[[#This Row],[PreGmRate]]+Games[[#This Row],[RatingChange]]</f>
        <v>1589.4061871280614</v>
      </c>
      <c r="AC349" s="2">
        <f>IF(Games[[#This Row],[Type]]="R",IF(Games[[#This Row],[Result]]&gt;0.5,1,0),0)</f>
        <v>1</v>
      </c>
      <c r="AD349" s="2">
        <f>IF(Games[[#This Row],[Type]]="R",IF(Games[[#This Row],[Result]]&lt;0.5,1,0),0)</f>
        <v>0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42246</v>
      </c>
      <c r="B350" s="2">
        <v>2015</v>
      </c>
      <c r="C350" s="2">
        <f>COUNTIFS(Games[Team],Games[[#This Row],[Team]],Games[Season],Games[[#This Row],[Season]],Games[Date],"&lt;=" &amp; Games[[#This Row],[Date]])</f>
        <v>28</v>
      </c>
      <c r="D350" s="2" t="s">
        <v>83</v>
      </c>
      <c r="E350" s="2" t="s">
        <v>84</v>
      </c>
      <c r="F350" s="1" t="s">
        <v>65</v>
      </c>
      <c r="G350" s="1" t="s">
        <v>71</v>
      </c>
      <c r="H350" s="1" t="s">
        <v>85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0" s="2">
        <f>Games[[#This Row],[DaysOff]]-Games[[#This Row],[OppDaysOff]]</f>
        <v>0</v>
      </c>
      <c r="L350" s="2">
        <f>Games[[#This Row],[OppDaysOff]]-Games[[#This Row],[DaysOff]]</f>
        <v>0</v>
      </c>
      <c r="M350" s="1">
        <f>MAX(-16, MIN(16, Games[[#This Row],[RestDiff]]*8))</f>
        <v>0</v>
      </c>
      <c r="N350" s="1">
        <f>MAX(-16, MIN(16, Games[[#This Row],[OppRestDiff]]*8))</f>
        <v>0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1557.8883737791393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1389.2204683077607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0.61949083487089807</v>
      </c>
      <c r="R350" s="1">
        <v>59</v>
      </c>
      <c r="S350" s="1">
        <v>69</v>
      </c>
      <c r="T350" s="1">
        <v>0</v>
      </c>
      <c r="U350" s="1">
        <f>Games[[#This Row],[PointsFor]]-Games[[#This Row],[PointsAgainst]]</f>
        <v>-10</v>
      </c>
      <c r="V350" s="1">
        <f>IF(Games[[#This Row],[MOV]]&gt;0,1,IF(Games[[#This Row],[MOV]]=0,0.5,0))</f>
        <v>0</v>
      </c>
      <c r="W350" s="4">
        <f>((ABS(Games[[#This Row],[MOV]])+5)^0.6)/(12+0.01*(ABS(Games[[#This Row],[PreGmRate]]-Games[[#This Row],[OppPreGmRate]])))*IF(Games[[#This Row],[OT]]=1,0.9,1)</f>
        <v>0.37098527492968886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0" s="9">
        <f>MAX(kmin, kmax - 0.15 * MIN(Games[[#This Row],[GamesPlayed]], 82))</f>
        <v>71.8</v>
      </c>
      <c r="Z350" s="4">
        <f>Games[[#This Row],[K]]*Games[[#This Row],[POMult]]</f>
        <v>71.8</v>
      </c>
      <c r="AA350" s="4">
        <f>(Games[[#This Row],[Keff]]*Games[[#This Row],[MOVMult]])*(Games[[#This Row],[Result]]-Games[[#This Row],[ExpectedWin%]])</f>
        <v>-16.501217998213985</v>
      </c>
      <c r="AB350" s="4">
        <f>Games[[#This Row],[PreGmRate]]+Games[[#This Row],[RatingChange]]</f>
        <v>1541.3871557809252</v>
      </c>
      <c r="AC350" s="2">
        <f>IF(Games[[#This Row],[Type]]="R",IF(Games[[#This Row],[Result]]&gt;0.5,1,0),0)</f>
        <v>0</v>
      </c>
      <c r="AD350" s="2">
        <f>IF(Games[[#This Row],[Type]]="R",IF(Games[[#This Row],[Result]]&lt;0.5,1,0),0)</f>
        <v>1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42246</v>
      </c>
      <c r="B351" s="2">
        <v>2015</v>
      </c>
      <c r="C351" s="2">
        <f>COUNTIFS(Games[Team],Games[[#This Row],[Team]],Games[Season],Games[[#This Row],[Season]],Games[Date],"&lt;=" &amp; Games[[#This Row],[Date]])</f>
        <v>29</v>
      </c>
      <c r="D351" s="2" t="s">
        <v>83</v>
      </c>
      <c r="E351" s="2" t="s">
        <v>84</v>
      </c>
      <c r="F351" s="1" t="s">
        <v>71</v>
      </c>
      <c r="G351" s="1" t="s">
        <v>65</v>
      </c>
      <c r="H351" s="1" t="s">
        <v>86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1" s="2">
        <f>Games[[#This Row],[DaysOff]]-Games[[#This Row],[OppDaysOff]]</f>
        <v>0</v>
      </c>
      <c r="L351" s="2">
        <f>Games[[#This Row],[OppDaysOff]]-Games[[#This Row],[DaysOff]]</f>
        <v>0</v>
      </c>
      <c r="M351" s="1">
        <f>MAX(-16, MIN(16, Games[[#This Row],[RestDiff]]*8))</f>
        <v>0</v>
      </c>
      <c r="N351" s="1">
        <f>MAX(-16, MIN(16, Games[[#This Row],[OppRestDiff]]*8))</f>
        <v>0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1389.2204683077607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1557.8883737791393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0.38050916512910188</v>
      </c>
      <c r="R351" s="1">
        <v>69</v>
      </c>
      <c r="S351" s="1">
        <v>59</v>
      </c>
      <c r="T351" s="1">
        <v>0</v>
      </c>
      <c r="U351" s="1">
        <f>Games[[#This Row],[PointsFor]]-Games[[#This Row],[PointsAgainst]]</f>
        <v>10</v>
      </c>
      <c r="V351" s="1">
        <f>IF(Games[[#This Row],[MOV]]&gt;0,1,IF(Games[[#This Row],[MOV]]=0,0.5,0))</f>
        <v>1</v>
      </c>
      <c r="W351" s="4">
        <f>((ABS(Games[[#This Row],[MOV]])+5)^0.6)/(12+0.01*(ABS(Games[[#This Row],[PreGmRate]]-Games[[#This Row],[OppPreGmRate]])))*IF(Games[[#This Row],[OT]]=1,0.9,1)</f>
        <v>0.37098527492968886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1" s="9">
        <f>MAX(kmin, kmax - 0.15 * MIN(Games[[#This Row],[GamesPlayed]], 82))</f>
        <v>71.650000000000006</v>
      </c>
      <c r="Z351" s="4">
        <f>Games[[#This Row],[K]]*Games[[#This Row],[POMult]]</f>
        <v>71.650000000000006</v>
      </c>
      <c r="AA351" s="4">
        <f>(Games[[#This Row],[Keff]]*Games[[#This Row],[MOVMult]])*(Games[[#This Row],[Result]]-Games[[#This Row],[ExpectedWin%]])</f>
        <v>16.466744701560337</v>
      </c>
      <c r="AB351" s="4">
        <f>Games[[#This Row],[PreGmRate]]+Games[[#This Row],[RatingChange]]</f>
        <v>1405.6872130093211</v>
      </c>
      <c r="AC351" s="2">
        <f>IF(Games[[#This Row],[Type]]="R",IF(Games[[#This Row],[Result]]&gt;0.5,1,0),0)</f>
        <v>1</v>
      </c>
      <c r="AD351" s="2">
        <f>IF(Games[[#This Row],[Type]]="R",IF(Games[[#This Row],[Result]]&lt;0.5,1,0),0)</f>
        <v>0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42246</v>
      </c>
      <c r="B352" s="2">
        <v>2015</v>
      </c>
      <c r="C352" s="2">
        <f>COUNTIFS(Games[Team],Games[[#This Row],[Team]],Games[Season],Games[[#This Row],[Season]],Games[Date],"&lt;=" &amp; Games[[#This Row],[Date]])</f>
        <v>29</v>
      </c>
      <c r="D352" s="2" t="s">
        <v>83</v>
      </c>
      <c r="E352" s="2" t="s">
        <v>84</v>
      </c>
      <c r="F352" s="1" t="s">
        <v>69</v>
      </c>
      <c r="G352" s="1" t="s">
        <v>81</v>
      </c>
      <c r="H352" s="1" t="s">
        <v>85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2" s="2">
        <f>Games[[#This Row],[DaysOff]]-Games[[#This Row],[OppDaysOff]]</f>
        <v>0</v>
      </c>
      <c r="L352" s="2">
        <f>Games[[#This Row],[OppDaysOff]]-Games[[#This Row],[DaysOff]]</f>
        <v>0</v>
      </c>
      <c r="M352" s="1">
        <f>MAX(-16, MIN(16, Games[[#This Row],[RestDiff]]*8))</f>
        <v>0</v>
      </c>
      <c r="N352" s="1">
        <f>MAX(-16, MIN(16, Games[[#This Row],[OppRestDiff]]*8))</f>
        <v>0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1559.745963461573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1478.1491369864727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0.49654161044453693</v>
      </c>
      <c r="R352" s="1">
        <v>70</v>
      </c>
      <c r="S352" s="1">
        <v>76</v>
      </c>
      <c r="T352" s="1">
        <v>0</v>
      </c>
      <c r="U352" s="1">
        <f>Games[[#This Row],[PointsFor]]-Games[[#This Row],[PointsAgainst]]</f>
        <v>-6</v>
      </c>
      <c r="V352" s="1">
        <f>IF(Games[[#This Row],[MOV]]&gt;0,1,IF(Games[[#This Row],[MOV]]=0,0.5,0))</f>
        <v>0</v>
      </c>
      <c r="W352" s="4">
        <f>((ABS(Games[[#This Row],[MOV]])+5)^0.6)/(12+0.01*(ABS(Games[[#This Row],[PreGmRate]]-Games[[#This Row],[OppPreGmRate]])))*IF(Games[[#This Row],[OT]]=1,0.9,1)</f>
        <v>0.32891538477711729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2" s="9">
        <f>MAX(kmin, kmax - 0.15 * MIN(Games[[#This Row],[GamesPlayed]], 82))</f>
        <v>71.650000000000006</v>
      </c>
      <c r="Z352" s="4">
        <f>Games[[#This Row],[K]]*Games[[#This Row],[POMult]]</f>
        <v>71.650000000000006</v>
      </c>
      <c r="AA352" s="4">
        <f>(Games[[#This Row],[Keff]]*Games[[#This Row],[MOVMult]])*(Games[[#This Row],[Result]]-Games[[#This Row],[ExpectedWin%]])</f>
        <v>-11.701890528519408</v>
      </c>
      <c r="AB352" s="4">
        <f>Games[[#This Row],[PreGmRate]]+Games[[#This Row],[RatingChange]]</f>
        <v>1548.0440729330535</v>
      </c>
      <c r="AC352" s="2">
        <f>IF(Games[[#This Row],[Type]]="R",IF(Games[[#This Row],[Result]]&gt;0.5,1,0),0)</f>
        <v>0</v>
      </c>
      <c r="AD352" s="2">
        <f>IF(Games[[#This Row],[Type]]="R",IF(Games[[#This Row],[Result]]&lt;0.5,1,0),0)</f>
        <v>1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42246</v>
      </c>
      <c r="B353" s="2">
        <v>2015</v>
      </c>
      <c r="C353" s="2">
        <f>COUNTIFS(Games[Team],Games[[#This Row],[Team]],Games[Season],Games[[#This Row],[Season]],Games[Date],"&lt;=" &amp; Games[[#This Row],[Date]])</f>
        <v>29</v>
      </c>
      <c r="D353" s="2" t="s">
        <v>83</v>
      </c>
      <c r="E353" s="2" t="s">
        <v>84</v>
      </c>
      <c r="F353" s="1" t="s">
        <v>81</v>
      </c>
      <c r="G353" s="1" t="s">
        <v>69</v>
      </c>
      <c r="H353" s="1" t="s">
        <v>86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3" s="2">
        <f>Games[[#This Row],[DaysOff]]-Games[[#This Row],[OppDaysOff]]</f>
        <v>0</v>
      </c>
      <c r="L353" s="2">
        <f>Games[[#This Row],[OppDaysOff]]-Games[[#This Row],[DaysOff]]</f>
        <v>0</v>
      </c>
      <c r="M353" s="1">
        <f>MAX(-16, MIN(16, Games[[#This Row],[RestDiff]]*8))</f>
        <v>0</v>
      </c>
      <c r="N353" s="1">
        <f>MAX(-16, MIN(16, Games[[#This Row],[OppRestDiff]]*8))</f>
        <v>0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1478.1491369864727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1559.745963461573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0.50345838955546307</v>
      </c>
      <c r="R353" s="1">
        <v>76</v>
      </c>
      <c r="S353" s="1">
        <v>70</v>
      </c>
      <c r="T353" s="1">
        <v>0</v>
      </c>
      <c r="U353" s="1">
        <f>Games[[#This Row],[PointsFor]]-Games[[#This Row],[PointsAgainst]]</f>
        <v>6</v>
      </c>
      <c r="V353" s="1">
        <f>IF(Games[[#This Row],[MOV]]&gt;0,1,IF(Games[[#This Row],[MOV]]=0,0.5,0))</f>
        <v>1</v>
      </c>
      <c r="W353" s="4">
        <f>((ABS(Games[[#This Row],[MOV]])+5)^0.6)/(12+0.01*(ABS(Games[[#This Row],[PreGmRate]]-Games[[#This Row],[OppPreGmRate]])))*IF(Games[[#This Row],[OT]]=1,0.9,1)</f>
        <v>0.32891538477711729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3" s="9">
        <f>MAX(kmin, kmax - 0.15 * MIN(Games[[#This Row],[GamesPlayed]], 82))</f>
        <v>71.650000000000006</v>
      </c>
      <c r="Z353" s="4">
        <f>Games[[#This Row],[K]]*Games[[#This Row],[POMult]]</f>
        <v>71.650000000000006</v>
      </c>
      <c r="AA353" s="4">
        <f>(Games[[#This Row],[Keff]]*Games[[#This Row],[MOVMult]])*(Games[[#This Row],[Result]]-Games[[#This Row],[ExpectedWin%]])</f>
        <v>11.701890528519408</v>
      </c>
      <c r="AB353" s="4">
        <f>Games[[#This Row],[PreGmRate]]+Games[[#This Row],[RatingChange]]</f>
        <v>1489.8510275149922</v>
      </c>
      <c r="AC353" s="2">
        <f>IF(Games[[#This Row],[Type]]="R",IF(Games[[#This Row],[Result]]&gt;0.5,1,0),0)</f>
        <v>1</v>
      </c>
      <c r="AD353" s="2">
        <f>IF(Games[[#This Row],[Type]]="R",IF(Games[[#This Row],[Result]]&lt;0.5,1,0),0)</f>
        <v>0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42248</v>
      </c>
      <c r="B354" s="2">
        <v>2015</v>
      </c>
      <c r="C354" s="2">
        <f>COUNTIFS(Games[Team],Games[[#This Row],[Team]],Games[Season],Games[[#This Row],[Season]],Games[Date],"&lt;=" &amp; Games[[#This Row],[Date]])</f>
        <v>31</v>
      </c>
      <c r="D354" s="2" t="s">
        <v>83</v>
      </c>
      <c r="E354" s="2" t="s">
        <v>84</v>
      </c>
      <c r="F354" s="1" t="s">
        <v>76</v>
      </c>
      <c r="G354" s="1" t="s">
        <v>69</v>
      </c>
      <c r="H354" s="1" t="s">
        <v>85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4" s="2">
        <f>Games[[#This Row],[DaysOff]]-Games[[#This Row],[OppDaysOff]]</f>
        <v>0</v>
      </c>
      <c r="L354" s="2">
        <f>Games[[#This Row],[OppDaysOff]]-Games[[#This Row],[DaysOff]]</f>
        <v>0</v>
      </c>
      <c r="M354" s="1">
        <f>MAX(-16, MIN(16, Games[[#This Row],[RestDiff]]*8))</f>
        <v>0</v>
      </c>
      <c r="N354" s="1">
        <f>MAX(-16, MIN(16, Games[[#This Row],[OppRestDiff]]*8))</f>
        <v>0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1419.3461457780377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1548.0440729330535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0.22716522034654307</v>
      </c>
      <c r="R354" s="1">
        <v>51</v>
      </c>
      <c r="S354" s="1">
        <v>81</v>
      </c>
      <c r="T354" s="1">
        <v>0</v>
      </c>
      <c r="U354" s="1">
        <f>Games[[#This Row],[PointsFor]]-Games[[#This Row],[PointsAgainst]]</f>
        <v>-30</v>
      </c>
      <c r="V354" s="1">
        <f>IF(Games[[#This Row],[MOV]]&gt;0,1,IF(Games[[#This Row],[MOV]]=0,0.5,0))</f>
        <v>0</v>
      </c>
      <c r="W354" s="4">
        <f>((ABS(Games[[#This Row],[MOV]])+5)^0.6)/(12+0.01*(ABS(Games[[#This Row],[PreGmRate]]-Games[[#This Row],[OppPreGmRate]])))*IF(Games[[#This Row],[OT]]=1,0.9,1)</f>
        <v>0.63535224544028568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4" s="9">
        <f>MAX(kmin, kmax - 0.15 * MIN(Games[[#This Row],[GamesPlayed]], 82))</f>
        <v>71.349999999999994</v>
      </c>
      <c r="Z354" s="4">
        <f>Games[[#This Row],[K]]*Games[[#This Row],[POMult]]</f>
        <v>71.349999999999994</v>
      </c>
      <c r="AA354" s="4">
        <f>(Games[[#This Row],[Keff]]*Games[[#This Row],[MOVMult]])*(Games[[#This Row],[Result]]-Games[[#This Row],[ExpectedWin%]])</f>
        <v>-10.297940707642642</v>
      </c>
      <c r="AB354" s="4">
        <f>Games[[#This Row],[PreGmRate]]+Games[[#This Row],[RatingChange]]</f>
        <v>1409.0482050703949</v>
      </c>
      <c r="AC354" s="2">
        <f>IF(Games[[#This Row],[Type]]="R",IF(Games[[#This Row],[Result]]&gt;0.5,1,0),0)</f>
        <v>0</v>
      </c>
      <c r="AD354" s="2">
        <f>IF(Games[[#This Row],[Type]]="R",IF(Games[[#This Row],[Result]]&lt;0.5,1,0),0)</f>
        <v>1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42248</v>
      </c>
      <c r="B355" s="2">
        <v>2015</v>
      </c>
      <c r="C355" s="2">
        <f>COUNTIFS(Games[Team],Games[[#This Row],[Team]],Games[Season],Games[[#This Row],[Season]],Games[Date],"&lt;=" &amp; Games[[#This Row],[Date]])</f>
        <v>30</v>
      </c>
      <c r="D355" s="2" t="s">
        <v>83</v>
      </c>
      <c r="E355" s="2" t="s">
        <v>84</v>
      </c>
      <c r="F355" s="1" t="s">
        <v>69</v>
      </c>
      <c r="G355" s="1" t="s">
        <v>76</v>
      </c>
      <c r="H355" s="1" t="s">
        <v>86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5" s="2">
        <f>Games[[#This Row],[DaysOff]]-Games[[#This Row],[OppDaysOff]]</f>
        <v>0</v>
      </c>
      <c r="L355" s="2">
        <f>Games[[#This Row],[OppDaysOff]]-Games[[#This Row],[DaysOff]]</f>
        <v>0</v>
      </c>
      <c r="M355" s="1">
        <f>MAX(-16, MIN(16, Games[[#This Row],[RestDiff]]*8))</f>
        <v>0</v>
      </c>
      <c r="N355" s="1">
        <f>MAX(-16, MIN(16, Games[[#This Row],[OppRestDiff]]*8))</f>
        <v>0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1548.0440729330535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1419.3461457780377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0.77283477965345693</v>
      </c>
      <c r="R355" s="1">
        <v>81</v>
      </c>
      <c r="S355" s="1">
        <v>51</v>
      </c>
      <c r="T355" s="1">
        <v>0</v>
      </c>
      <c r="U355" s="1">
        <f>Games[[#This Row],[PointsFor]]-Games[[#This Row],[PointsAgainst]]</f>
        <v>30</v>
      </c>
      <c r="V355" s="1">
        <f>IF(Games[[#This Row],[MOV]]&gt;0,1,IF(Games[[#This Row],[MOV]]=0,0.5,0))</f>
        <v>1</v>
      </c>
      <c r="W355" s="4">
        <f>((ABS(Games[[#This Row],[MOV]])+5)^0.6)/(12+0.01*(ABS(Games[[#This Row],[PreGmRate]]-Games[[#This Row],[OppPreGmRate]])))*IF(Games[[#This Row],[OT]]=1,0.9,1)</f>
        <v>0.63535224544028568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5" s="9">
        <f>MAX(kmin, kmax - 0.15 * MIN(Games[[#This Row],[GamesPlayed]], 82))</f>
        <v>71.5</v>
      </c>
      <c r="Z355" s="4">
        <f>Games[[#This Row],[K]]*Games[[#This Row],[POMult]]</f>
        <v>71.5</v>
      </c>
      <c r="AA355" s="4">
        <f>(Games[[#This Row],[Keff]]*Games[[#This Row],[MOVMult]])*(Games[[#This Row],[Result]]-Games[[#This Row],[ExpectedWin%]])</f>
        <v>10.31959019756761</v>
      </c>
      <c r="AB355" s="4">
        <f>Games[[#This Row],[PreGmRate]]+Games[[#This Row],[RatingChange]]</f>
        <v>1558.363663130621</v>
      </c>
      <c r="AC355" s="2">
        <f>IF(Games[[#This Row],[Type]]="R",IF(Games[[#This Row],[Result]]&gt;0.5,1,0),0)</f>
        <v>1</v>
      </c>
      <c r="AD355" s="2">
        <f>IF(Games[[#This Row],[Type]]="R",IF(Games[[#This Row],[Result]]&lt;0.5,1,0),0)</f>
        <v>0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42248</v>
      </c>
      <c r="B356" s="2">
        <v>2015</v>
      </c>
      <c r="C356" s="2">
        <f>COUNTIFS(Games[Team],Games[[#This Row],[Team]],Games[Season],Games[[#This Row],[Season]],Games[Date],"&lt;=" &amp; Games[[#This Row],[Date]])</f>
        <v>30</v>
      </c>
      <c r="D356" s="2" t="s">
        <v>83</v>
      </c>
      <c r="E356" s="2" t="s">
        <v>84</v>
      </c>
      <c r="F356" s="1" t="s">
        <v>79</v>
      </c>
      <c r="G356" s="1" t="s">
        <v>60</v>
      </c>
      <c r="H356" s="1" t="s">
        <v>85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6" s="2">
        <f>Games[[#This Row],[DaysOff]]-Games[[#This Row],[OppDaysOff]]</f>
        <v>0</v>
      </c>
      <c r="L356" s="2">
        <f>Games[[#This Row],[OppDaysOff]]-Games[[#This Row],[DaysOff]]</f>
        <v>0</v>
      </c>
      <c r="M356" s="1">
        <f>MAX(-16, MIN(16, Games[[#This Row],[RestDiff]]*8))</f>
        <v>0</v>
      </c>
      <c r="N356" s="1">
        <f>MAX(-16, MIN(16, Games[[#This Row],[OppRestDiff]]*8))</f>
        <v>0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1464.7745340510414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1609.0647938834099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0.21179416692809444</v>
      </c>
      <c r="R356" s="1">
        <v>75</v>
      </c>
      <c r="S356" s="1">
        <v>80</v>
      </c>
      <c r="T356" s="1">
        <v>1</v>
      </c>
      <c r="U356" s="1">
        <f>Games[[#This Row],[PointsFor]]-Games[[#This Row],[PointsAgainst]]</f>
        <v>-5</v>
      </c>
      <c r="V356" s="1">
        <f>IF(Games[[#This Row],[MOV]]&gt;0,1,IF(Games[[#This Row],[MOV]]=0,0.5,0))</f>
        <v>0</v>
      </c>
      <c r="W356" s="4">
        <f>((ABS(Games[[#This Row],[MOV]])+5)^0.6)/(12+0.01*(ABS(Games[[#This Row],[PreGmRate]]-Games[[#This Row],[OppPreGmRate]])))*IF(Games[[#This Row],[OT]]=1,0.9,1)</f>
        <v>0.26653206097232807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6" s="9">
        <f>MAX(kmin, kmax - 0.15 * MIN(Games[[#This Row],[GamesPlayed]], 82))</f>
        <v>71.5</v>
      </c>
      <c r="Z356" s="4">
        <f>Games[[#This Row],[K]]*Games[[#This Row],[POMult]]</f>
        <v>71.5</v>
      </c>
      <c r="AA356" s="4">
        <f>(Games[[#This Row],[Keff]]*Games[[#This Row],[MOVMult]])*(Games[[#This Row],[Result]]-Games[[#This Row],[ExpectedWin%]])</f>
        <v>-4.0361704106482543</v>
      </c>
      <c r="AB356" s="4">
        <f>Games[[#This Row],[PreGmRate]]+Games[[#This Row],[RatingChange]]</f>
        <v>1460.7383636403931</v>
      </c>
      <c r="AC356" s="2">
        <f>IF(Games[[#This Row],[Type]]="R",IF(Games[[#This Row],[Result]]&gt;0.5,1,0),0)</f>
        <v>0</v>
      </c>
      <c r="AD356" s="2">
        <f>IF(Games[[#This Row],[Type]]="R",IF(Games[[#This Row],[Result]]&lt;0.5,1,0),0)</f>
        <v>1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42248</v>
      </c>
      <c r="B357" s="2">
        <v>2015</v>
      </c>
      <c r="C357" s="2">
        <f>COUNTIFS(Games[Team],Games[[#This Row],[Team]],Games[Season],Games[[#This Row],[Season]],Games[Date],"&lt;=" &amp; Games[[#This Row],[Date]])</f>
        <v>29</v>
      </c>
      <c r="D357" s="2" t="s">
        <v>83</v>
      </c>
      <c r="E357" s="2" t="s">
        <v>84</v>
      </c>
      <c r="F357" s="1" t="s">
        <v>60</v>
      </c>
      <c r="G357" s="1" t="s">
        <v>79</v>
      </c>
      <c r="H357" s="1" t="s">
        <v>86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7" s="2">
        <f>Games[[#This Row],[DaysOff]]-Games[[#This Row],[OppDaysOff]]</f>
        <v>0</v>
      </c>
      <c r="L357" s="2">
        <f>Games[[#This Row],[OppDaysOff]]-Games[[#This Row],[DaysOff]]</f>
        <v>0</v>
      </c>
      <c r="M357" s="1">
        <f>MAX(-16, MIN(16, Games[[#This Row],[RestDiff]]*8))</f>
        <v>0</v>
      </c>
      <c r="N357" s="1">
        <f>MAX(-16, MIN(16, Games[[#This Row],[OppRestDiff]]*8))</f>
        <v>0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1609.0647938834099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1464.7745340510414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0.78820583307190561</v>
      </c>
      <c r="R357" s="1">
        <v>80</v>
      </c>
      <c r="S357" s="1">
        <v>75</v>
      </c>
      <c r="T357" s="1">
        <v>1</v>
      </c>
      <c r="U357" s="1">
        <f>Games[[#This Row],[PointsFor]]-Games[[#This Row],[PointsAgainst]]</f>
        <v>5</v>
      </c>
      <c r="V357" s="1">
        <f>IF(Games[[#This Row],[MOV]]&gt;0,1,IF(Games[[#This Row],[MOV]]=0,0.5,0))</f>
        <v>1</v>
      </c>
      <c r="W357" s="4">
        <f>((ABS(Games[[#This Row],[MOV]])+5)^0.6)/(12+0.01*(ABS(Games[[#This Row],[PreGmRate]]-Games[[#This Row],[OppPreGmRate]])))*IF(Games[[#This Row],[OT]]=1,0.9,1)</f>
        <v>0.26653206097232807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7" s="9">
        <f>MAX(kmin, kmax - 0.15 * MIN(Games[[#This Row],[GamesPlayed]], 82))</f>
        <v>71.650000000000006</v>
      </c>
      <c r="Z357" s="4">
        <f>Games[[#This Row],[K]]*Games[[#This Row],[POMult]]</f>
        <v>71.650000000000006</v>
      </c>
      <c r="AA357" s="4">
        <f>(Games[[#This Row],[Keff]]*Games[[#This Row],[MOVMult]])*(Games[[#This Row],[Result]]-Games[[#This Row],[ExpectedWin%]])</f>
        <v>4.0446379010202431</v>
      </c>
      <c r="AB357" s="4">
        <f>Games[[#This Row],[PreGmRate]]+Games[[#This Row],[RatingChange]]</f>
        <v>1613.1094317844302</v>
      </c>
      <c r="AC357" s="2">
        <f>IF(Games[[#This Row],[Type]]="R",IF(Games[[#This Row],[Result]]&gt;0.5,1,0),0)</f>
        <v>1</v>
      </c>
      <c r="AD357" s="2">
        <f>IF(Games[[#This Row],[Type]]="R",IF(Games[[#This Row],[Result]]&lt;0.5,1,0),0)</f>
        <v>0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42249</v>
      </c>
      <c r="B358" s="2">
        <v>2015</v>
      </c>
      <c r="C358" s="2">
        <f>COUNTIFS(Games[Team],Games[[#This Row],[Team]],Games[Season],Games[[#This Row],[Season]],Games[Date],"&lt;=" &amp; Games[[#This Row],[Date]])</f>
        <v>29</v>
      </c>
      <c r="D358" s="2" t="s">
        <v>83</v>
      </c>
      <c r="E358" s="2" t="s">
        <v>84</v>
      </c>
      <c r="F358" s="1" t="s">
        <v>65</v>
      </c>
      <c r="G358" s="1" t="s">
        <v>40</v>
      </c>
      <c r="H358" s="1" t="s">
        <v>85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8" s="2">
        <f>Games[[#This Row],[DaysOff]]-Games[[#This Row],[OppDaysOff]]</f>
        <v>0</v>
      </c>
      <c r="L358" s="2">
        <f>Games[[#This Row],[OppDaysOff]]-Games[[#This Row],[DaysOff]]</f>
        <v>0</v>
      </c>
      <c r="M358" s="1">
        <f>MAX(-16, MIN(16, Games[[#This Row],[RestDiff]]*8))</f>
        <v>0</v>
      </c>
      <c r="N358" s="1">
        <f>MAX(-16, MIN(16, Games[[#This Row],[OppRestDiff]]*8))</f>
        <v>0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1541.3871557809252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1565.4504591339125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0.34931254107288501</v>
      </c>
      <c r="R358" s="1">
        <v>53</v>
      </c>
      <c r="S358" s="1">
        <v>73</v>
      </c>
      <c r="T358" s="1">
        <v>0</v>
      </c>
      <c r="U358" s="1">
        <f>Games[[#This Row],[PointsFor]]-Games[[#This Row],[PointsAgainst]]</f>
        <v>-20</v>
      </c>
      <c r="V358" s="1">
        <f>IF(Games[[#This Row],[MOV]]&gt;0,1,IF(Games[[#This Row],[MOV]]=0,0.5,0))</f>
        <v>0</v>
      </c>
      <c r="W358" s="4">
        <f>((ABS(Games[[#This Row],[MOV]])+5)^0.6)/(12+0.01*(ABS(Games[[#This Row],[PreGmRate]]-Games[[#This Row],[OppPreGmRate]])))*IF(Games[[#This Row],[OT]]=1,0.9,1)</f>
        <v>0.56358591001046343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8" s="9">
        <f>MAX(kmin, kmax - 0.15 * MIN(Games[[#This Row],[GamesPlayed]], 82))</f>
        <v>71.650000000000006</v>
      </c>
      <c r="Z358" s="4">
        <f>Games[[#This Row],[K]]*Games[[#This Row],[POMult]]</f>
        <v>71.650000000000006</v>
      </c>
      <c r="AA358" s="4">
        <f>(Games[[#This Row],[Keff]]*Games[[#This Row],[MOVMult]])*(Games[[#This Row],[Result]]-Games[[#This Row],[ExpectedWin%]])</f>
        <v>-14.105565427162789</v>
      </c>
      <c r="AB358" s="4">
        <f>Games[[#This Row],[PreGmRate]]+Games[[#This Row],[RatingChange]]</f>
        <v>1527.2815903537623</v>
      </c>
      <c r="AC358" s="2">
        <f>IF(Games[[#This Row],[Type]]="R",IF(Games[[#This Row],[Result]]&gt;0.5,1,0),0)</f>
        <v>0</v>
      </c>
      <c r="AD358" s="2">
        <f>IF(Games[[#This Row],[Type]]="R",IF(Games[[#This Row],[Result]]&lt;0.5,1,0),0)</f>
        <v>1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42249</v>
      </c>
      <c r="B359" s="2">
        <v>2015</v>
      </c>
      <c r="C359" s="2">
        <f>COUNTIFS(Games[Team],Games[[#This Row],[Team]],Games[Season],Games[[#This Row],[Season]],Games[Date],"&lt;=" &amp; Games[[#This Row],[Date]])</f>
        <v>31</v>
      </c>
      <c r="D359" s="2" t="s">
        <v>83</v>
      </c>
      <c r="E359" s="2" t="s">
        <v>84</v>
      </c>
      <c r="F359" s="1" t="s">
        <v>40</v>
      </c>
      <c r="G359" s="1" t="s">
        <v>65</v>
      </c>
      <c r="H359" s="1" t="s">
        <v>86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9" s="2">
        <f>Games[[#This Row],[DaysOff]]-Games[[#This Row],[OppDaysOff]]</f>
        <v>0</v>
      </c>
      <c r="L359" s="2">
        <f>Games[[#This Row],[OppDaysOff]]-Games[[#This Row],[DaysOff]]</f>
        <v>0</v>
      </c>
      <c r="M359" s="1">
        <f>MAX(-16, MIN(16, Games[[#This Row],[RestDiff]]*8))</f>
        <v>0</v>
      </c>
      <c r="N359" s="1">
        <f>MAX(-16, MIN(16, Games[[#This Row],[OppRestDiff]]*8))</f>
        <v>0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1565.4504591339125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1541.3871557809252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0.65068745892711499</v>
      </c>
      <c r="R359" s="1">
        <v>73</v>
      </c>
      <c r="S359" s="1">
        <v>53</v>
      </c>
      <c r="T359" s="1">
        <v>0</v>
      </c>
      <c r="U359" s="1">
        <f>Games[[#This Row],[PointsFor]]-Games[[#This Row],[PointsAgainst]]</f>
        <v>20</v>
      </c>
      <c r="V359" s="1">
        <f>IF(Games[[#This Row],[MOV]]&gt;0,1,IF(Games[[#This Row],[MOV]]=0,0.5,0))</f>
        <v>1</v>
      </c>
      <c r="W359" s="4">
        <f>((ABS(Games[[#This Row],[MOV]])+5)^0.6)/(12+0.01*(ABS(Games[[#This Row],[PreGmRate]]-Games[[#This Row],[OppPreGmRate]])))*IF(Games[[#This Row],[OT]]=1,0.9,1)</f>
        <v>0.56358591001046343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9" s="9">
        <f>MAX(kmin, kmax - 0.15 * MIN(Games[[#This Row],[GamesPlayed]], 82))</f>
        <v>71.349999999999994</v>
      </c>
      <c r="Z359" s="4">
        <f>Games[[#This Row],[K]]*Games[[#This Row],[POMult]]</f>
        <v>71.349999999999994</v>
      </c>
      <c r="AA359" s="4">
        <f>(Games[[#This Row],[Keff]]*Games[[#This Row],[MOVMult]])*(Games[[#This Row],[Result]]-Games[[#This Row],[ExpectedWin%]])</f>
        <v>14.046505139261198</v>
      </c>
      <c r="AB359" s="4">
        <f>Games[[#This Row],[PreGmRate]]+Games[[#This Row],[RatingChange]]</f>
        <v>1579.4969642731737</v>
      </c>
      <c r="AC359" s="2">
        <f>IF(Games[[#This Row],[Type]]="R",IF(Games[[#This Row],[Result]]&gt;0.5,1,0),0)</f>
        <v>1</v>
      </c>
      <c r="AD359" s="2">
        <f>IF(Games[[#This Row],[Type]]="R",IF(Games[[#This Row],[Result]]&lt;0.5,1,0),0)</f>
        <v>0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42250</v>
      </c>
      <c r="B360" s="2">
        <v>2015</v>
      </c>
      <c r="C360" s="2">
        <f>COUNTIFS(Games[Team],Games[[#This Row],[Team]],Games[Season],Games[[#This Row],[Season]],Games[Date],"&lt;=" &amp; Games[[#This Row],[Date]])</f>
        <v>30</v>
      </c>
      <c r="D360" s="2" t="s">
        <v>83</v>
      </c>
      <c r="E360" s="2" t="s">
        <v>84</v>
      </c>
      <c r="F360" s="1" t="s">
        <v>65</v>
      </c>
      <c r="G360" s="1" t="s">
        <v>63</v>
      </c>
      <c r="H360" s="1" t="s">
        <v>85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60" s="2">
        <f>Games[[#This Row],[DaysOff]]-Games[[#This Row],[OppDaysOff]]</f>
        <v>-3</v>
      </c>
      <c r="L360" s="2">
        <f>Games[[#This Row],[OppDaysOff]]-Games[[#This Row],[DaysOff]]</f>
        <v>3</v>
      </c>
      <c r="M360" s="1">
        <f>MAX(-16, MIN(16, Games[[#This Row],[RestDiff]]*8))</f>
        <v>-16</v>
      </c>
      <c r="N360" s="1">
        <f>MAX(-16, MIN(16, Games[[#This Row],[OppRestDiff]]*8))</f>
        <v>16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1527.2815903537623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1497.6139034440237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0.37825328944934927</v>
      </c>
      <c r="R360" s="1">
        <v>91</v>
      </c>
      <c r="S360" s="1">
        <v>93</v>
      </c>
      <c r="T360" s="1">
        <v>0</v>
      </c>
      <c r="U360" s="1">
        <f>Games[[#This Row],[PointsFor]]-Games[[#This Row],[PointsAgainst]]</f>
        <v>-2</v>
      </c>
      <c r="V360" s="1">
        <f>IF(Games[[#This Row],[MOV]]&gt;0,1,IF(Games[[#This Row],[MOV]]=0,0.5,0))</f>
        <v>0</v>
      </c>
      <c r="W360" s="4">
        <f>((ABS(Games[[#This Row],[MOV]])+5)^0.6)/(12+0.01*(ABS(Games[[#This Row],[PreGmRate]]-Games[[#This Row],[OppPreGmRate]])))*IF(Games[[#This Row],[OT]]=1,0.9,1)</f>
        <v>0.26137922334068475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0" s="9">
        <f>MAX(kmin, kmax - 0.15 * MIN(Games[[#This Row],[GamesPlayed]], 82))</f>
        <v>71.5</v>
      </c>
      <c r="Z360" s="4">
        <f>Games[[#This Row],[K]]*Games[[#This Row],[POMult]]</f>
        <v>71.5</v>
      </c>
      <c r="AA360" s="4">
        <f>(Games[[#This Row],[Keff]]*Games[[#This Row],[MOVMult]])*(Games[[#This Row],[Result]]-Games[[#This Row],[ExpectedWin%]])</f>
        <v>-7.0690298980966046</v>
      </c>
      <c r="AB360" s="4">
        <f>Games[[#This Row],[PreGmRate]]+Games[[#This Row],[RatingChange]]</f>
        <v>1520.2125604556657</v>
      </c>
      <c r="AC360" s="2">
        <f>IF(Games[[#This Row],[Type]]="R",IF(Games[[#This Row],[Result]]&gt;0.5,1,0),0)</f>
        <v>0</v>
      </c>
      <c r="AD360" s="2">
        <f>IF(Games[[#This Row],[Type]]="R",IF(Games[[#This Row],[Result]]&lt;0.5,1,0),0)</f>
        <v>1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42250</v>
      </c>
      <c r="B361" s="2">
        <v>2015</v>
      </c>
      <c r="C361" s="2">
        <f>COUNTIFS(Games[Team],Games[[#This Row],[Team]],Games[Season],Games[[#This Row],[Season]],Games[Date],"&lt;=" &amp; Games[[#This Row],[Date]])</f>
        <v>31</v>
      </c>
      <c r="D361" s="2" t="s">
        <v>83</v>
      </c>
      <c r="E361" s="2" t="s">
        <v>84</v>
      </c>
      <c r="F361" s="1" t="s">
        <v>63</v>
      </c>
      <c r="G361" s="1" t="s">
        <v>65</v>
      </c>
      <c r="H361" s="1" t="s">
        <v>86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1" s="2">
        <f>Games[[#This Row],[DaysOff]]-Games[[#This Row],[OppDaysOff]]</f>
        <v>3</v>
      </c>
      <c r="L361" s="2">
        <f>Games[[#This Row],[OppDaysOff]]-Games[[#This Row],[DaysOff]]</f>
        <v>-3</v>
      </c>
      <c r="M361" s="1">
        <f>MAX(-16, MIN(16, Games[[#This Row],[RestDiff]]*8))</f>
        <v>16</v>
      </c>
      <c r="N361" s="1">
        <f>MAX(-16, MIN(16, Games[[#This Row],[OppRestDiff]]*8))</f>
        <v>-16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1497.6139034440237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1527.2815903537623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0.62174671055065078</v>
      </c>
      <c r="R361" s="1">
        <v>93</v>
      </c>
      <c r="S361" s="1">
        <v>91</v>
      </c>
      <c r="T361" s="1">
        <v>0</v>
      </c>
      <c r="U361" s="1">
        <f>Games[[#This Row],[PointsFor]]-Games[[#This Row],[PointsAgainst]]</f>
        <v>2</v>
      </c>
      <c r="V361" s="1">
        <f>IF(Games[[#This Row],[MOV]]&gt;0,1,IF(Games[[#This Row],[MOV]]=0,0.5,0))</f>
        <v>1</v>
      </c>
      <c r="W361" s="4">
        <f>((ABS(Games[[#This Row],[MOV]])+5)^0.6)/(12+0.01*(ABS(Games[[#This Row],[PreGmRate]]-Games[[#This Row],[OppPreGmRate]])))*IF(Games[[#This Row],[OT]]=1,0.9,1)</f>
        <v>0.26137922334068475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1" s="9">
        <f>MAX(kmin, kmax - 0.15 * MIN(Games[[#This Row],[GamesPlayed]], 82))</f>
        <v>71.349999999999994</v>
      </c>
      <c r="Z361" s="4">
        <f>Games[[#This Row],[K]]*Games[[#This Row],[POMult]]</f>
        <v>71.349999999999994</v>
      </c>
      <c r="AA361" s="4">
        <f>(Games[[#This Row],[Keff]]*Games[[#This Row],[MOVMult]])*(Games[[#This Row],[Result]]-Games[[#This Row],[ExpectedWin%]])</f>
        <v>7.0541997654432542</v>
      </c>
      <c r="AB361" s="4">
        <f>Games[[#This Row],[PreGmRate]]+Games[[#This Row],[RatingChange]]</f>
        <v>1504.6681032094668</v>
      </c>
      <c r="AC361" s="2">
        <f>IF(Games[[#This Row],[Type]]="R",IF(Games[[#This Row],[Result]]&gt;0.5,1,0),0)</f>
        <v>1</v>
      </c>
      <c r="AD361" s="2">
        <f>IF(Games[[#This Row],[Type]]="R",IF(Games[[#This Row],[Result]]&lt;0.5,1,0),0)</f>
        <v>0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42250</v>
      </c>
      <c r="B362" s="2">
        <v>2015</v>
      </c>
      <c r="C362" s="2">
        <f>COUNTIFS(Games[Team],Games[[#This Row],[Team]],Games[Season],Games[[#This Row],[Season]],Games[Date],"&lt;=" &amp; Games[[#This Row],[Date]])</f>
        <v>31</v>
      </c>
      <c r="D362" s="2" t="s">
        <v>83</v>
      </c>
      <c r="E362" s="2" t="s">
        <v>84</v>
      </c>
      <c r="F362" s="1" t="s">
        <v>77</v>
      </c>
      <c r="G362" s="1" t="s">
        <v>60</v>
      </c>
      <c r="H362" s="1" t="s">
        <v>85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3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2" s="2">
        <f>Games[[#This Row],[DaysOff]]-Games[[#This Row],[OppDaysOff]]</f>
        <v>2</v>
      </c>
      <c r="L362" s="2">
        <f>Games[[#This Row],[OppDaysOff]]-Games[[#This Row],[DaysOff]]</f>
        <v>-2</v>
      </c>
      <c r="M362" s="1">
        <f>MAX(-16, MIN(16, Games[[#This Row],[RestDiff]]*8))</f>
        <v>16</v>
      </c>
      <c r="N362" s="1">
        <f>MAX(-16, MIN(16, Games[[#This Row],[OppRestDiff]]*8))</f>
        <v>-16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1547.717558159133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1613.1094317844302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0.33720784784523694</v>
      </c>
      <c r="R362" s="1">
        <v>82</v>
      </c>
      <c r="S362" s="1">
        <v>60</v>
      </c>
      <c r="T362" s="1">
        <v>0</v>
      </c>
      <c r="U362" s="1">
        <f>Games[[#This Row],[PointsFor]]-Games[[#This Row],[PointsAgainst]]</f>
        <v>22</v>
      </c>
      <c r="V362" s="1">
        <f>IF(Games[[#This Row],[MOV]]&gt;0,1,IF(Games[[#This Row],[MOV]]=0,0.5,0))</f>
        <v>1</v>
      </c>
      <c r="W362" s="4">
        <f>((ABS(Games[[#This Row],[MOV]])+5)^0.6)/(12+0.01*(ABS(Games[[#This Row],[PreGmRate]]-Games[[#This Row],[OppPreGmRate]])))*IF(Games[[#This Row],[OT]]=1,0.9,1)</f>
        <v>0.5709436109419348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2" s="9">
        <f>MAX(kmin, kmax - 0.15 * MIN(Games[[#This Row],[GamesPlayed]], 82))</f>
        <v>71.349999999999994</v>
      </c>
      <c r="Z362" s="4">
        <f>Games[[#This Row],[K]]*Games[[#This Row],[POMult]]</f>
        <v>71.349999999999994</v>
      </c>
      <c r="AA362" s="4">
        <f>(Games[[#This Row],[Keff]]*Games[[#This Row],[MOVMult]])*(Games[[#This Row],[Result]]-Games[[#This Row],[ExpectedWin%]])</f>
        <v>27.000049001149709</v>
      </c>
      <c r="AB362" s="4">
        <f>Games[[#This Row],[PreGmRate]]+Games[[#This Row],[RatingChange]]</f>
        <v>1574.7176071602828</v>
      </c>
      <c r="AC362" s="2">
        <f>IF(Games[[#This Row],[Type]]="R",IF(Games[[#This Row],[Result]]&gt;0.5,1,0),0)</f>
        <v>1</v>
      </c>
      <c r="AD362" s="2">
        <f>IF(Games[[#This Row],[Type]]="R",IF(Games[[#This Row],[Result]]&lt;0.5,1,0),0)</f>
        <v>0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42250</v>
      </c>
      <c r="B363" s="2">
        <v>2015</v>
      </c>
      <c r="C363" s="2">
        <f>COUNTIFS(Games[Team],Games[[#This Row],[Team]],Games[Season],Games[[#This Row],[Season]],Games[Date],"&lt;=" &amp; Games[[#This Row],[Date]])</f>
        <v>30</v>
      </c>
      <c r="D363" s="2" t="s">
        <v>83</v>
      </c>
      <c r="E363" s="2" t="s">
        <v>84</v>
      </c>
      <c r="F363" s="1" t="s">
        <v>60</v>
      </c>
      <c r="G363" s="1" t="s">
        <v>77</v>
      </c>
      <c r="H363" s="1" t="s">
        <v>86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63" s="2">
        <f>Games[[#This Row],[DaysOff]]-Games[[#This Row],[OppDaysOff]]</f>
        <v>-2</v>
      </c>
      <c r="L363" s="2">
        <f>Games[[#This Row],[OppDaysOff]]-Games[[#This Row],[DaysOff]]</f>
        <v>2</v>
      </c>
      <c r="M363" s="1">
        <f>MAX(-16, MIN(16, Games[[#This Row],[RestDiff]]*8))</f>
        <v>-16</v>
      </c>
      <c r="N363" s="1">
        <f>MAX(-16, MIN(16, Games[[#This Row],[OppRestDiff]]*8))</f>
        <v>16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1613.1094317844302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1547.717558159133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0.66279215215476306</v>
      </c>
      <c r="R363" s="1">
        <v>60</v>
      </c>
      <c r="S363" s="1">
        <v>82</v>
      </c>
      <c r="T363" s="1">
        <v>0</v>
      </c>
      <c r="U363" s="1">
        <f>Games[[#This Row],[PointsFor]]-Games[[#This Row],[PointsAgainst]]</f>
        <v>-22</v>
      </c>
      <c r="V363" s="1">
        <f>IF(Games[[#This Row],[MOV]]&gt;0,1,IF(Games[[#This Row],[MOV]]=0,0.5,0))</f>
        <v>0</v>
      </c>
      <c r="W363" s="4">
        <f>((ABS(Games[[#This Row],[MOV]])+5)^0.6)/(12+0.01*(ABS(Games[[#This Row],[PreGmRate]]-Games[[#This Row],[OppPreGmRate]])))*IF(Games[[#This Row],[OT]]=1,0.9,1)</f>
        <v>0.5709436109419348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3" s="9">
        <f>MAX(kmin, kmax - 0.15 * MIN(Games[[#This Row],[GamesPlayed]], 82))</f>
        <v>71.5</v>
      </c>
      <c r="Z363" s="4">
        <f>Games[[#This Row],[K]]*Games[[#This Row],[POMult]]</f>
        <v>71.5</v>
      </c>
      <c r="AA363" s="4">
        <f>(Games[[#This Row],[Keff]]*Games[[#This Row],[MOVMult]])*(Games[[#This Row],[Result]]-Games[[#This Row],[ExpectedWin%]])</f>
        <v>-27.056811542847992</v>
      </c>
      <c r="AB363" s="4">
        <f>Games[[#This Row],[PreGmRate]]+Games[[#This Row],[RatingChange]]</f>
        <v>1586.0526202415822</v>
      </c>
      <c r="AC363" s="2">
        <f>IF(Games[[#This Row],[Type]]="R",IF(Games[[#This Row],[Result]]&gt;0.5,1,0),0)</f>
        <v>0</v>
      </c>
      <c r="AD363" s="2">
        <f>IF(Games[[#This Row],[Type]]="R",IF(Games[[#This Row],[Result]]&lt;0.5,1,0),0)</f>
        <v>1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42250</v>
      </c>
      <c r="B364" s="2">
        <v>2015</v>
      </c>
      <c r="C364" s="2">
        <f>COUNTIFS(Games[Team],Games[[#This Row],[Team]],Games[Season],Games[[#This Row],[Season]],Games[Date],"&lt;=" &amp; Games[[#This Row],[Date]])</f>
        <v>30</v>
      </c>
      <c r="D364" s="2" t="s">
        <v>83</v>
      </c>
      <c r="E364" s="2" t="s">
        <v>84</v>
      </c>
      <c r="F364" s="1" t="s">
        <v>81</v>
      </c>
      <c r="G364" s="1" t="s">
        <v>71</v>
      </c>
      <c r="H364" s="1" t="s">
        <v>85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64" s="2">
        <f>Games[[#This Row],[DaysOff]]-Games[[#This Row],[OppDaysOff]]</f>
        <v>0</v>
      </c>
      <c r="L364" s="2">
        <f>Games[[#This Row],[OppDaysOff]]-Games[[#This Row],[DaysOff]]</f>
        <v>0</v>
      </c>
      <c r="M364" s="1">
        <f>MAX(-16, MIN(16, Games[[#This Row],[RestDiff]]*8))</f>
        <v>0</v>
      </c>
      <c r="N364" s="1">
        <f>MAX(-16, MIN(16, Games[[#This Row],[OppRestDiff]]*8))</f>
        <v>0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1489.8510275149922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1405.6872130093211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0.5002357480067644</v>
      </c>
      <c r="R364" s="1">
        <v>85</v>
      </c>
      <c r="S364" s="1">
        <v>67</v>
      </c>
      <c r="T364" s="1">
        <v>0</v>
      </c>
      <c r="U364" s="1">
        <f>Games[[#This Row],[PointsFor]]-Games[[#This Row],[PointsAgainst]]</f>
        <v>18</v>
      </c>
      <c r="V364" s="1">
        <f>IF(Games[[#This Row],[MOV]]&gt;0,1,IF(Games[[#This Row],[MOV]]=0,0.5,0))</f>
        <v>1</v>
      </c>
      <c r="W364" s="4">
        <f>((ABS(Games[[#This Row],[MOV]])+5)^0.6)/(12+0.01*(ABS(Games[[#This Row],[PreGmRate]]-Games[[#This Row],[OppPreGmRate]])))*IF(Games[[#This Row],[OT]]=1,0.9,1)</f>
        <v>0.51099455625463552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4" s="9">
        <f>MAX(kmin, kmax - 0.15 * MIN(Games[[#This Row],[GamesPlayed]], 82))</f>
        <v>71.5</v>
      </c>
      <c r="Z364" s="4">
        <f>Games[[#This Row],[K]]*Games[[#This Row],[POMult]]</f>
        <v>71.5</v>
      </c>
      <c r="AA364" s="4">
        <f>(Games[[#This Row],[Keff]]*Games[[#This Row],[MOVMult]])*(Games[[#This Row],[Result]]-Games[[#This Row],[ExpectedWin%]])</f>
        <v>18.259442070813751</v>
      </c>
      <c r="AB364" s="4">
        <f>Games[[#This Row],[PreGmRate]]+Games[[#This Row],[RatingChange]]</f>
        <v>1508.110469585806</v>
      </c>
      <c r="AC364" s="2">
        <f>IF(Games[[#This Row],[Type]]="R",IF(Games[[#This Row],[Result]]&gt;0.5,1,0),0)</f>
        <v>1</v>
      </c>
      <c r="AD364" s="2">
        <f>IF(Games[[#This Row],[Type]]="R",IF(Games[[#This Row],[Result]]&lt;0.5,1,0),0)</f>
        <v>0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42250</v>
      </c>
      <c r="B365" s="2">
        <v>2015</v>
      </c>
      <c r="C365" s="2">
        <f>COUNTIFS(Games[Team],Games[[#This Row],[Team]],Games[Season],Games[[#This Row],[Season]],Games[Date],"&lt;=" &amp; Games[[#This Row],[Date]])</f>
        <v>30</v>
      </c>
      <c r="D365" s="2" t="s">
        <v>83</v>
      </c>
      <c r="E365" s="2" t="s">
        <v>84</v>
      </c>
      <c r="F365" s="1" t="s">
        <v>71</v>
      </c>
      <c r="G365" s="1" t="s">
        <v>81</v>
      </c>
      <c r="H365" s="1" t="s">
        <v>86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65" s="2">
        <f>Games[[#This Row],[DaysOff]]-Games[[#This Row],[OppDaysOff]]</f>
        <v>0</v>
      </c>
      <c r="L365" s="2">
        <f>Games[[#This Row],[OppDaysOff]]-Games[[#This Row],[DaysOff]]</f>
        <v>0</v>
      </c>
      <c r="M365" s="1">
        <f>MAX(-16, MIN(16, Games[[#This Row],[RestDiff]]*8))</f>
        <v>0</v>
      </c>
      <c r="N365" s="1">
        <f>MAX(-16, MIN(16, Games[[#This Row],[OppRestDiff]]*8))</f>
        <v>0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1405.6872130093211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1489.8510275149922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0.4997642519932356</v>
      </c>
      <c r="R365" s="1">
        <v>67</v>
      </c>
      <c r="S365" s="1">
        <v>85</v>
      </c>
      <c r="T365" s="1">
        <v>0</v>
      </c>
      <c r="U365" s="1">
        <f>Games[[#This Row],[PointsFor]]-Games[[#This Row],[PointsAgainst]]</f>
        <v>-18</v>
      </c>
      <c r="V365" s="1">
        <f>IF(Games[[#This Row],[MOV]]&gt;0,1,IF(Games[[#This Row],[MOV]]=0,0.5,0))</f>
        <v>0</v>
      </c>
      <c r="W365" s="4">
        <f>((ABS(Games[[#This Row],[MOV]])+5)^0.6)/(12+0.01*(ABS(Games[[#This Row],[PreGmRate]]-Games[[#This Row],[OppPreGmRate]])))*IF(Games[[#This Row],[OT]]=1,0.9,1)</f>
        <v>0.51099455625463552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5" s="9">
        <f>MAX(kmin, kmax - 0.15 * MIN(Games[[#This Row],[GamesPlayed]], 82))</f>
        <v>71.5</v>
      </c>
      <c r="Z365" s="4">
        <f>Games[[#This Row],[K]]*Games[[#This Row],[POMult]]</f>
        <v>71.5</v>
      </c>
      <c r="AA365" s="4">
        <f>(Games[[#This Row],[Keff]]*Games[[#This Row],[MOVMult]])*(Games[[#This Row],[Result]]-Games[[#This Row],[ExpectedWin%]])</f>
        <v>-18.259442070813751</v>
      </c>
      <c r="AB365" s="4">
        <f>Games[[#This Row],[PreGmRate]]+Games[[#This Row],[RatingChange]]</f>
        <v>1387.4277709385074</v>
      </c>
      <c r="AC365" s="2">
        <f>IF(Games[[#This Row],[Type]]="R",IF(Games[[#This Row],[Result]]&gt;0.5,1,0),0)</f>
        <v>0</v>
      </c>
      <c r="AD365" s="2">
        <f>IF(Games[[#This Row],[Type]]="R",IF(Games[[#This Row],[Result]]&lt;0.5,1,0),0)</f>
        <v>1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42251</v>
      </c>
      <c r="B366" s="2">
        <v>2015</v>
      </c>
      <c r="C366" s="2">
        <f>COUNTIFS(Games[Team],Games[[#This Row],[Team]],Games[Season],Games[[#This Row],[Season]],Games[Date],"&lt;=" &amp; Games[[#This Row],[Date]])</f>
        <v>31</v>
      </c>
      <c r="D366" s="2" t="s">
        <v>83</v>
      </c>
      <c r="E366" s="2" t="s">
        <v>84</v>
      </c>
      <c r="F366" s="1" t="s">
        <v>69</v>
      </c>
      <c r="G366" s="1" t="s">
        <v>67</v>
      </c>
      <c r="H366" s="1" t="s">
        <v>85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66" s="2">
        <f>Games[[#This Row],[DaysOff]]-Games[[#This Row],[OppDaysOff]]</f>
        <v>-2</v>
      </c>
      <c r="L366" s="2">
        <f>Games[[#This Row],[OppDaysOff]]-Games[[#This Row],[DaysOff]]</f>
        <v>2</v>
      </c>
      <c r="M366" s="1">
        <f>MAX(-16, MIN(16, Games[[#This Row],[RestDiff]]*8))</f>
        <v>-16</v>
      </c>
      <c r="N366" s="1">
        <f>MAX(-16, MIN(16, Games[[#This Row],[OppRestDiff]]*8))</f>
        <v>16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1558.363663130621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1589.4061871280614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0.30017917124770566</v>
      </c>
      <c r="R366" s="1">
        <v>65</v>
      </c>
      <c r="S366" s="1">
        <v>81</v>
      </c>
      <c r="T366" s="1">
        <v>0</v>
      </c>
      <c r="U366" s="1">
        <f>Games[[#This Row],[PointsFor]]-Games[[#This Row],[PointsAgainst]]</f>
        <v>-16</v>
      </c>
      <c r="V366" s="1">
        <f>IF(Games[[#This Row],[MOV]]&gt;0,1,IF(Games[[#This Row],[MOV]]=0,0.5,0))</f>
        <v>0</v>
      </c>
      <c r="W366" s="4">
        <f>((ABS(Games[[#This Row],[MOV]])+5)^0.6)/(12+0.01*(ABS(Games[[#This Row],[PreGmRate]]-Games[[#This Row],[OppPreGmRate]])))*IF(Games[[#This Row],[OT]]=1,0.9,1)</f>
        <v>0.50472930595317611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6" s="9">
        <f>MAX(kmin, kmax - 0.15 * MIN(Games[[#This Row],[GamesPlayed]], 82))</f>
        <v>71.349999999999994</v>
      </c>
      <c r="Z366" s="4">
        <f>Games[[#This Row],[K]]*Games[[#This Row],[POMult]]</f>
        <v>71.349999999999994</v>
      </c>
      <c r="AA366" s="4">
        <f>(Games[[#This Row],[Keff]]*Games[[#This Row],[MOVMult]])*(Games[[#This Row],[Result]]-Games[[#This Row],[ExpectedWin%]])</f>
        <v>-10.810183187015147</v>
      </c>
      <c r="AB366" s="4">
        <f>Games[[#This Row],[PreGmRate]]+Games[[#This Row],[RatingChange]]</f>
        <v>1547.5534799436059</v>
      </c>
      <c r="AC366" s="2">
        <f>IF(Games[[#This Row],[Type]]="R",IF(Games[[#This Row],[Result]]&gt;0.5,1,0),0)</f>
        <v>0</v>
      </c>
      <c r="AD366" s="2">
        <f>IF(Games[[#This Row],[Type]]="R",IF(Games[[#This Row],[Result]]&lt;0.5,1,0),0)</f>
        <v>1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42251</v>
      </c>
      <c r="B367" s="2">
        <v>2015</v>
      </c>
      <c r="C367" s="2">
        <f>COUNTIFS(Games[Team],Games[[#This Row],[Team]],Games[Season],Games[[#This Row],[Season]],Games[Date],"&lt;=" &amp; Games[[#This Row],[Date]])</f>
        <v>31</v>
      </c>
      <c r="D367" s="2" t="s">
        <v>83</v>
      </c>
      <c r="E367" s="2" t="s">
        <v>84</v>
      </c>
      <c r="F367" s="1" t="s">
        <v>67</v>
      </c>
      <c r="G367" s="1" t="s">
        <v>69</v>
      </c>
      <c r="H367" s="1" t="s">
        <v>86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4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7" s="2">
        <f>Games[[#This Row],[DaysOff]]-Games[[#This Row],[OppDaysOff]]</f>
        <v>2</v>
      </c>
      <c r="L367" s="2">
        <f>Games[[#This Row],[OppDaysOff]]-Games[[#This Row],[DaysOff]]</f>
        <v>-2</v>
      </c>
      <c r="M367" s="1">
        <f>MAX(-16, MIN(16, Games[[#This Row],[RestDiff]]*8))</f>
        <v>16</v>
      </c>
      <c r="N367" s="1">
        <f>MAX(-16, MIN(16, Games[[#This Row],[OppRestDiff]]*8))</f>
        <v>-16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1589.4061871280614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1558.363663130621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0.69982082875229434</v>
      </c>
      <c r="R367" s="1">
        <v>81</v>
      </c>
      <c r="S367" s="1">
        <v>65</v>
      </c>
      <c r="T367" s="1">
        <v>0</v>
      </c>
      <c r="U367" s="1">
        <f>Games[[#This Row],[PointsFor]]-Games[[#This Row],[PointsAgainst]]</f>
        <v>16</v>
      </c>
      <c r="V367" s="1">
        <f>IF(Games[[#This Row],[MOV]]&gt;0,1,IF(Games[[#This Row],[MOV]]=0,0.5,0))</f>
        <v>1</v>
      </c>
      <c r="W367" s="4">
        <f>((ABS(Games[[#This Row],[MOV]])+5)^0.6)/(12+0.01*(ABS(Games[[#This Row],[PreGmRate]]-Games[[#This Row],[OppPreGmRate]])))*IF(Games[[#This Row],[OT]]=1,0.9,1)</f>
        <v>0.50472930595317611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7" s="9">
        <f>MAX(kmin, kmax - 0.15 * MIN(Games[[#This Row],[GamesPlayed]], 82))</f>
        <v>71.349999999999994</v>
      </c>
      <c r="Z367" s="4">
        <f>Games[[#This Row],[K]]*Games[[#This Row],[POMult]]</f>
        <v>71.349999999999994</v>
      </c>
      <c r="AA367" s="4">
        <f>(Games[[#This Row],[Keff]]*Games[[#This Row],[MOVMult]])*(Games[[#This Row],[Result]]-Games[[#This Row],[ExpectedWin%]])</f>
        <v>10.810183187015147</v>
      </c>
      <c r="AB367" s="4">
        <f>Games[[#This Row],[PreGmRate]]+Games[[#This Row],[RatingChange]]</f>
        <v>1600.2163703150766</v>
      </c>
      <c r="AC367" s="2">
        <f>IF(Games[[#This Row],[Type]]="R",IF(Games[[#This Row],[Result]]&gt;0.5,1,0),0)</f>
        <v>1</v>
      </c>
      <c r="AD367" s="2">
        <f>IF(Games[[#This Row],[Type]]="R",IF(Games[[#This Row],[Result]]&lt;0.5,1,0),0)</f>
        <v>0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42251</v>
      </c>
      <c r="B368" s="2">
        <v>2015</v>
      </c>
      <c r="C368" s="2">
        <f>COUNTIFS(Games[Team],Games[[#This Row],[Team]],Games[Season],Games[[#This Row],[Season]],Games[Date],"&lt;=" &amp; Games[[#This Row],[Date]])</f>
        <v>32</v>
      </c>
      <c r="D368" s="2" t="s">
        <v>83</v>
      </c>
      <c r="E368" s="2" t="s">
        <v>84</v>
      </c>
      <c r="F368" s="1" t="s">
        <v>76</v>
      </c>
      <c r="G368" s="1" t="s">
        <v>74</v>
      </c>
      <c r="H368" s="1" t="s">
        <v>85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68" s="2">
        <f>Games[[#This Row],[DaysOff]]-Games[[#This Row],[OppDaysOff]]</f>
        <v>-2</v>
      </c>
      <c r="L368" s="2">
        <f>Games[[#This Row],[OppDaysOff]]-Games[[#This Row],[DaysOff]]</f>
        <v>2</v>
      </c>
      <c r="M368" s="1">
        <f>MAX(-16, MIN(16, Games[[#This Row],[RestDiff]]*8))</f>
        <v>-16</v>
      </c>
      <c r="N368" s="1">
        <f>MAX(-16, MIN(16, Games[[#This Row],[OppRestDiff]]*8))</f>
        <v>16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1409.0482050703949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1323.3254755298594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0.45653747133558586</v>
      </c>
      <c r="R368" s="1">
        <v>73</v>
      </c>
      <c r="S368" s="1">
        <v>72</v>
      </c>
      <c r="T368" s="1">
        <v>0</v>
      </c>
      <c r="U368" s="1">
        <f>Games[[#This Row],[PointsFor]]-Games[[#This Row],[PointsAgainst]]</f>
        <v>1</v>
      </c>
      <c r="V368" s="1">
        <f>IF(Games[[#This Row],[MOV]]&gt;0,1,IF(Games[[#This Row],[MOV]]=0,0.5,0))</f>
        <v>1</v>
      </c>
      <c r="W368" s="4">
        <f>((ABS(Games[[#This Row],[MOV]])+5)^0.6)/(12+0.01*(ABS(Games[[#This Row],[PreGmRate]]-Games[[#This Row],[OppPreGmRate]])))*IF(Games[[#This Row],[OT]]=1,0.9,1)</f>
        <v>0.22789952952225076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8" s="9">
        <f>MAX(kmin, kmax - 0.15 * MIN(Games[[#This Row],[GamesPlayed]], 82))</f>
        <v>71.2</v>
      </c>
      <c r="Z368" s="4">
        <f>Games[[#This Row],[K]]*Games[[#This Row],[POMult]]</f>
        <v>71.2</v>
      </c>
      <c r="AA368" s="4">
        <f>(Games[[#This Row],[Keff]]*Games[[#This Row],[MOVMult]])*(Games[[#This Row],[Result]]-Games[[#This Row],[ExpectedWin%]])</f>
        <v>8.8184656472062013</v>
      </c>
      <c r="AB368" s="4">
        <f>Games[[#This Row],[PreGmRate]]+Games[[#This Row],[RatingChange]]</f>
        <v>1417.8666707176012</v>
      </c>
      <c r="AC368" s="2">
        <f>IF(Games[[#This Row],[Type]]="R",IF(Games[[#This Row],[Result]]&gt;0.5,1,0),0)</f>
        <v>1</v>
      </c>
      <c r="AD368" s="2">
        <f>IF(Games[[#This Row],[Type]]="R",IF(Games[[#This Row],[Result]]&lt;0.5,1,0),0)</f>
        <v>0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42251</v>
      </c>
      <c r="B369" s="2">
        <v>2015</v>
      </c>
      <c r="C369" s="2">
        <f>COUNTIFS(Games[Team],Games[[#This Row],[Team]],Games[Season],Games[[#This Row],[Season]],Games[Date],"&lt;=" &amp; Games[[#This Row],[Date]])</f>
        <v>31</v>
      </c>
      <c r="D369" s="2" t="s">
        <v>83</v>
      </c>
      <c r="E369" s="2" t="s">
        <v>84</v>
      </c>
      <c r="F369" s="1" t="s">
        <v>74</v>
      </c>
      <c r="G369" s="1" t="s">
        <v>76</v>
      </c>
      <c r="H369" s="1" t="s">
        <v>86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4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9" s="2">
        <f>Games[[#This Row],[DaysOff]]-Games[[#This Row],[OppDaysOff]]</f>
        <v>2</v>
      </c>
      <c r="L369" s="2">
        <f>Games[[#This Row],[OppDaysOff]]-Games[[#This Row],[DaysOff]]</f>
        <v>-2</v>
      </c>
      <c r="M369" s="1">
        <f>MAX(-16, MIN(16, Games[[#This Row],[RestDiff]]*8))</f>
        <v>16</v>
      </c>
      <c r="N369" s="1">
        <f>MAX(-16, MIN(16, Games[[#This Row],[OppRestDiff]]*8))</f>
        <v>-16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1323.3254755298594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1409.0482050703949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0.54346252866441414</v>
      </c>
      <c r="R369" s="1">
        <v>72</v>
      </c>
      <c r="S369" s="1">
        <v>73</v>
      </c>
      <c r="T369" s="1">
        <v>0</v>
      </c>
      <c r="U369" s="1">
        <f>Games[[#This Row],[PointsFor]]-Games[[#This Row],[PointsAgainst]]</f>
        <v>-1</v>
      </c>
      <c r="V369" s="1">
        <f>IF(Games[[#This Row],[MOV]]&gt;0,1,IF(Games[[#This Row],[MOV]]=0,0.5,0))</f>
        <v>0</v>
      </c>
      <c r="W369" s="4">
        <f>((ABS(Games[[#This Row],[MOV]])+5)^0.6)/(12+0.01*(ABS(Games[[#This Row],[PreGmRate]]-Games[[#This Row],[OppPreGmRate]])))*IF(Games[[#This Row],[OT]]=1,0.9,1)</f>
        <v>0.22789952952225076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9" s="9">
        <f>MAX(kmin, kmax - 0.15 * MIN(Games[[#This Row],[GamesPlayed]], 82))</f>
        <v>71.349999999999994</v>
      </c>
      <c r="Z369" s="4">
        <f>Games[[#This Row],[K]]*Games[[#This Row],[POMult]]</f>
        <v>71.349999999999994</v>
      </c>
      <c r="AA369" s="4">
        <f>(Games[[#This Row],[Keff]]*Games[[#This Row],[MOVMult]])*(Games[[#This Row],[Result]]-Games[[#This Row],[ExpectedWin%]])</f>
        <v>-8.8370438753955387</v>
      </c>
      <c r="AB369" s="4">
        <f>Games[[#This Row],[PreGmRate]]+Games[[#This Row],[RatingChange]]</f>
        <v>1314.488431654464</v>
      </c>
      <c r="AC369" s="2">
        <f>IF(Games[[#This Row],[Type]]="R",IF(Games[[#This Row],[Result]]&gt;0.5,1,0),0)</f>
        <v>0</v>
      </c>
      <c r="AD369" s="2">
        <f>IF(Games[[#This Row],[Type]]="R",IF(Games[[#This Row],[Result]]&lt;0.5,1,0),0)</f>
        <v>1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42252</v>
      </c>
      <c r="B370" s="2">
        <v>2015</v>
      </c>
      <c r="C370" s="2">
        <f>COUNTIFS(Games[Team],Games[[#This Row],[Team]],Games[Season],Games[[#This Row],[Season]],Games[Date],"&lt;=" &amp; Games[[#This Row],[Date]])</f>
        <v>32</v>
      </c>
      <c r="D370" s="2" t="s">
        <v>83</v>
      </c>
      <c r="E370" s="2" t="s">
        <v>84</v>
      </c>
      <c r="F370" s="1" t="s">
        <v>40</v>
      </c>
      <c r="G370" s="1" t="s">
        <v>74</v>
      </c>
      <c r="H370" s="1" t="s">
        <v>85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70" s="2">
        <f>Games[[#This Row],[DaysOff]]-Games[[#This Row],[OppDaysOff]]</f>
        <v>2</v>
      </c>
      <c r="L370" s="2">
        <f>Games[[#This Row],[OppDaysOff]]-Games[[#This Row],[DaysOff]]</f>
        <v>-2</v>
      </c>
      <c r="M370" s="1">
        <f>MAX(-16, MIN(16, Games[[#This Row],[RestDiff]]*8))</f>
        <v>16</v>
      </c>
      <c r="N370" s="1">
        <f>MAX(-16, MIN(16, Games[[#This Row],[OppRestDiff]]*8))</f>
        <v>-16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1579.4969642731737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1314.488431654464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0.77314852794022093</v>
      </c>
      <c r="R370" s="1">
        <v>82</v>
      </c>
      <c r="S370" s="1">
        <v>52</v>
      </c>
      <c r="T370" s="1">
        <v>0</v>
      </c>
      <c r="U370" s="1">
        <f>Games[[#This Row],[PointsFor]]-Games[[#This Row],[PointsAgainst]]</f>
        <v>30</v>
      </c>
      <c r="V370" s="1">
        <f>IF(Games[[#This Row],[MOV]]&gt;0,1,IF(Games[[#This Row],[MOV]]=0,0.5,0))</f>
        <v>1</v>
      </c>
      <c r="W370" s="4">
        <f>((ABS(Games[[#This Row],[MOV]])+5)^0.6)/(12+0.01*(ABS(Games[[#This Row],[PreGmRate]]-Games[[#This Row],[OppPreGmRate]])))*IF(Games[[#This Row],[OT]]=1,0.9,1)</f>
        <v>0.57623637865152677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0" s="9">
        <f>MAX(kmin, kmax - 0.15 * MIN(Games[[#This Row],[GamesPlayed]], 82))</f>
        <v>71.2</v>
      </c>
      <c r="Z370" s="4">
        <f>Games[[#This Row],[K]]*Games[[#This Row],[POMult]]</f>
        <v>71.2</v>
      </c>
      <c r="AA370" s="4">
        <f>(Games[[#This Row],[Keff]]*Games[[#This Row],[MOVMult]])*(Games[[#This Row],[Result]]-Games[[#This Row],[ExpectedWin%]])</f>
        <v>9.3072690375064511</v>
      </c>
      <c r="AB370" s="4">
        <f>Games[[#This Row],[PreGmRate]]+Games[[#This Row],[RatingChange]]</f>
        <v>1588.8042333106803</v>
      </c>
      <c r="AC370" s="2">
        <f>IF(Games[[#This Row],[Type]]="R",IF(Games[[#This Row],[Result]]&gt;0.5,1,0),0)</f>
        <v>1</v>
      </c>
      <c r="AD370" s="2">
        <f>IF(Games[[#This Row],[Type]]="R",IF(Games[[#This Row],[Result]]&lt;0.5,1,0),0)</f>
        <v>0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42252</v>
      </c>
      <c r="B371" s="2">
        <v>2015</v>
      </c>
      <c r="C371" s="2">
        <f>COUNTIFS(Games[Team],Games[[#This Row],[Team]],Games[Season],Games[[#This Row],[Season]],Games[Date],"&lt;=" &amp; Games[[#This Row],[Date]])</f>
        <v>32</v>
      </c>
      <c r="D371" s="2" t="s">
        <v>83</v>
      </c>
      <c r="E371" s="2" t="s">
        <v>84</v>
      </c>
      <c r="F371" s="1" t="s">
        <v>74</v>
      </c>
      <c r="G371" s="1" t="s">
        <v>40</v>
      </c>
      <c r="H371" s="1" t="s">
        <v>86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1" s="2">
        <f>Games[[#This Row],[DaysOff]]-Games[[#This Row],[OppDaysOff]]</f>
        <v>-2</v>
      </c>
      <c r="L371" s="2">
        <f>Games[[#This Row],[OppDaysOff]]-Games[[#This Row],[DaysOff]]</f>
        <v>2</v>
      </c>
      <c r="M371" s="1">
        <f>MAX(-16, MIN(16, Games[[#This Row],[RestDiff]]*8))</f>
        <v>-16</v>
      </c>
      <c r="N371" s="1">
        <f>MAX(-16, MIN(16, Games[[#This Row],[OppRestDiff]]*8))</f>
        <v>16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1314.488431654464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1579.4969642731737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0.22685147205977918</v>
      </c>
      <c r="R371" s="1">
        <v>52</v>
      </c>
      <c r="S371" s="1">
        <v>82</v>
      </c>
      <c r="T371" s="1">
        <v>0</v>
      </c>
      <c r="U371" s="1">
        <f>Games[[#This Row],[PointsFor]]-Games[[#This Row],[PointsAgainst]]</f>
        <v>-30</v>
      </c>
      <c r="V371" s="1">
        <f>IF(Games[[#This Row],[MOV]]&gt;0,1,IF(Games[[#This Row],[MOV]]=0,0.5,0))</f>
        <v>0</v>
      </c>
      <c r="W371" s="4">
        <f>((ABS(Games[[#This Row],[MOV]])+5)^0.6)/(12+0.01*(ABS(Games[[#This Row],[PreGmRate]]-Games[[#This Row],[OppPreGmRate]])))*IF(Games[[#This Row],[OT]]=1,0.9,1)</f>
        <v>0.57623637865152677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1" s="9">
        <f>MAX(kmin, kmax - 0.15 * MIN(Games[[#This Row],[GamesPlayed]], 82))</f>
        <v>71.2</v>
      </c>
      <c r="Z371" s="4">
        <f>Games[[#This Row],[K]]*Games[[#This Row],[POMult]]</f>
        <v>71.2</v>
      </c>
      <c r="AA371" s="4">
        <f>(Games[[#This Row],[Keff]]*Games[[#This Row],[MOVMult]])*(Games[[#This Row],[Result]]-Games[[#This Row],[ExpectedWin%]])</f>
        <v>-9.3072690375064564</v>
      </c>
      <c r="AB371" s="4">
        <f>Games[[#This Row],[PreGmRate]]+Games[[#This Row],[RatingChange]]</f>
        <v>1305.1811626169574</v>
      </c>
      <c r="AC371" s="2">
        <f>IF(Games[[#This Row],[Type]]="R",IF(Games[[#This Row],[Result]]&gt;0.5,1,0),0)</f>
        <v>0</v>
      </c>
      <c r="AD371" s="2">
        <f>IF(Games[[#This Row],[Type]]="R",IF(Games[[#This Row],[Result]]&lt;0.5,1,0),0)</f>
        <v>1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42253</v>
      </c>
      <c r="B372" s="2">
        <v>2015</v>
      </c>
      <c r="C372" s="2">
        <f>COUNTIFS(Games[Team],Games[[#This Row],[Team]],Games[Season],Games[[#This Row],[Season]],Games[Date],"&lt;=" &amp; Games[[#This Row],[Date]])</f>
        <v>31</v>
      </c>
      <c r="D372" s="2" t="s">
        <v>83</v>
      </c>
      <c r="E372" s="2" t="s">
        <v>84</v>
      </c>
      <c r="F372" s="1" t="s">
        <v>65</v>
      </c>
      <c r="G372" s="1" t="s">
        <v>79</v>
      </c>
      <c r="H372" s="1" t="s">
        <v>85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72" s="2">
        <f>Games[[#This Row],[DaysOff]]-Games[[#This Row],[OppDaysOff]]</f>
        <v>-2</v>
      </c>
      <c r="L372" s="2">
        <f>Games[[#This Row],[OppDaysOff]]-Games[[#This Row],[DaysOff]]</f>
        <v>2</v>
      </c>
      <c r="M372" s="1">
        <f>MAX(-16, MIN(16, Games[[#This Row],[RestDiff]]*8))</f>
        <v>-16</v>
      </c>
      <c r="N372" s="1">
        <f>MAX(-16, MIN(16, Games[[#This Row],[OppRestDiff]]*8))</f>
        <v>16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1520.2125604556657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1460.7383636403931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0.41936304966732491</v>
      </c>
      <c r="R372" s="1">
        <v>67</v>
      </c>
      <c r="S372" s="1">
        <v>73</v>
      </c>
      <c r="T372" s="1">
        <v>0</v>
      </c>
      <c r="U372" s="1">
        <f>Games[[#This Row],[PointsFor]]-Games[[#This Row],[PointsAgainst]]</f>
        <v>-6</v>
      </c>
      <c r="V372" s="1">
        <f>IF(Games[[#This Row],[MOV]]&gt;0,1,IF(Games[[#This Row],[MOV]]=0,0.5,0))</f>
        <v>0</v>
      </c>
      <c r="W372" s="4">
        <f>((ABS(Games[[#This Row],[MOV]])+5)^0.6)/(12+0.01*(ABS(Games[[#This Row],[PreGmRate]]-Games[[#This Row],[OppPreGmRate]])))*IF(Games[[#This Row],[OT]]=1,0.9,1)</f>
        <v>0.33469277447294693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2" s="9">
        <f>MAX(kmin, kmax - 0.15 * MIN(Games[[#This Row],[GamesPlayed]], 82))</f>
        <v>71.349999999999994</v>
      </c>
      <c r="Z372" s="4">
        <f>Games[[#This Row],[K]]*Games[[#This Row],[POMult]]</f>
        <v>71.349999999999994</v>
      </c>
      <c r="AA372" s="4">
        <f>(Games[[#This Row],[Keff]]*Games[[#This Row],[MOVMult]])*(Games[[#This Row],[Result]]-Games[[#This Row],[ExpectedWin%]])</f>
        <v>-10.014527788837725</v>
      </c>
      <c r="AB372" s="4">
        <f>Games[[#This Row],[PreGmRate]]+Games[[#This Row],[RatingChange]]</f>
        <v>1510.1980326668279</v>
      </c>
      <c r="AC372" s="2">
        <f>IF(Games[[#This Row],[Type]]="R",IF(Games[[#This Row],[Result]]&gt;0.5,1,0),0)</f>
        <v>0</v>
      </c>
      <c r="AD372" s="2">
        <f>IF(Games[[#This Row],[Type]]="R",IF(Games[[#This Row],[Result]]&lt;0.5,1,0),0)</f>
        <v>1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42253</v>
      </c>
      <c r="B373" s="2">
        <v>2015</v>
      </c>
      <c r="C373" s="2">
        <f>COUNTIFS(Games[Team],Games[[#This Row],[Team]],Games[Season],Games[[#This Row],[Season]],Games[Date],"&lt;=" &amp; Games[[#This Row],[Date]])</f>
        <v>31</v>
      </c>
      <c r="D373" s="2" t="s">
        <v>83</v>
      </c>
      <c r="E373" s="2" t="s">
        <v>84</v>
      </c>
      <c r="F373" s="1" t="s">
        <v>79</v>
      </c>
      <c r="G373" s="1" t="s">
        <v>65</v>
      </c>
      <c r="H373" s="1" t="s">
        <v>86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4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3" s="2">
        <f>Games[[#This Row],[DaysOff]]-Games[[#This Row],[OppDaysOff]]</f>
        <v>2</v>
      </c>
      <c r="L373" s="2">
        <f>Games[[#This Row],[OppDaysOff]]-Games[[#This Row],[DaysOff]]</f>
        <v>-2</v>
      </c>
      <c r="M373" s="1">
        <f>MAX(-16, MIN(16, Games[[#This Row],[RestDiff]]*8))</f>
        <v>16</v>
      </c>
      <c r="N373" s="1">
        <f>MAX(-16, MIN(16, Games[[#This Row],[OppRestDiff]]*8))</f>
        <v>-16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1460.7383636403931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1520.2125604556657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0.58063695033267504</v>
      </c>
      <c r="R373" s="1">
        <v>73</v>
      </c>
      <c r="S373" s="1">
        <v>67</v>
      </c>
      <c r="T373" s="1">
        <v>0</v>
      </c>
      <c r="U373" s="1">
        <f>Games[[#This Row],[PointsFor]]-Games[[#This Row],[PointsAgainst]]</f>
        <v>6</v>
      </c>
      <c r="V373" s="1">
        <f>IF(Games[[#This Row],[MOV]]&gt;0,1,IF(Games[[#This Row],[MOV]]=0,0.5,0))</f>
        <v>1</v>
      </c>
      <c r="W373" s="4">
        <f>((ABS(Games[[#This Row],[MOV]])+5)^0.6)/(12+0.01*(ABS(Games[[#This Row],[PreGmRate]]-Games[[#This Row],[OppPreGmRate]])))*IF(Games[[#This Row],[OT]]=1,0.9,1)</f>
        <v>0.33469277447294693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3" s="9">
        <f>MAX(kmin, kmax - 0.15 * MIN(Games[[#This Row],[GamesPlayed]], 82))</f>
        <v>71.349999999999994</v>
      </c>
      <c r="Z373" s="4">
        <f>Games[[#This Row],[K]]*Games[[#This Row],[POMult]]</f>
        <v>71.349999999999994</v>
      </c>
      <c r="AA373" s="4">
        <f>(Games[[#This Row],[Keff]]*Games[[#This Row],[MOVMult]])*(Games[[#This Row],[Result]]-Games[[#This Row],[ExpectedWin%]])</f>
        <v>10.014527788837727</v>
      </c>
      <c r="AB373" s="4">
        <f>Games[[#This Row],[PreGmRate]]+Games[[#This Row],[RatingChange]]</f>
        <v>1470.7528914292309</v>
      </c>
      <c r="AC373" s="2">
        <f>IF(Games[[#This Row],[Type]]="R",IF(Games[[#This Row],[Result]]&gt;0.5,1,0),0)</f>
        <v>1</v>
      </c>
      <c r="AD373" s="2">
        <f>IF(Games[[#This Row],[Type]]="R",IF(Games[[#This Row],[Result]]&lt;0.5,1,0),0)</f>
        <v>0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42253</v>
      </c>
      <c r="B374" s="2">
        <v>2015</v>
      </c>
      <c r="C374" s="2">
        <f>COUNTIFS(Games[Team],Games[[#This Row],[Team]],Games[Season],Games[[#This Row],[Season]],Games[Date],"&lt;=" &amp; Games[[#This Row],[Date]])</f>
        <v>31</v>
      </c>
      <c r="D374" s="2" t="s">
        <v>83</v>
      </c>
      <c r="E374" s="2" t="s">
        <v>84</v>
      </c>
      <c r="F374" s="1" t="s">
        <v>71</v>
      </c>
      <c r="G374" s="1" t="s">
        <v>77</v>
      </c>
      <c r="H374" s="1" t="s">
        <v>85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4" s="2">
        <f>Games[[#This Row],[DaysOff]]-Games[[#This Row],[OppDaysOff]]</f>
        <v>0</v>
      </c>
      <c r="L374" s="2">
        <f>Games[[#This Row],[OppDaysOff]]-Games[[#This Row],[DaysOff]]</f>
        <v>0</v>
      </c>
      <c r="M374" s="1">
        <f>MAX(-16, MIN(16, Games[[#This Row],[RestDiff]]*8))</f>
        <v>0</v>
      </c>
      <c r="N374" s="1">
        <f>MAX(-16, MIN(16, Games[[#This Row],[OppRestDiff]]*8))</f>
        <v>0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1387.4277709385074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1574.7176071602828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0.17340716757304553</v>
      </c>
      <c r="R374" s="1">
        <v>65</v>
      </c>
      <c r="S374" s="1">
        <v>93</v>
      </c>
      <c r="T374" s="1">
        <v>0</v>
      </c>
      <c r="U374" s="1">
        <f>Games[[#This Row],[PointsFor]]-Games[[#This Row],[PointsAgainst]]</f>
        <v>-28</v>
      </c>
      <c r="V374" s="1">
        <f>IF(Games[[#This Row],[MOV]]&gt;0,1,IF(Games[[#This Row],[MOV]]=0,0.5,0))</f>
        <v>0</v>
      </c>
      <c r="W374" s="4">
        <f>((ABS(Games[[#This Row],[MOV]])+5)^0.6)/(12+0.01*(ABS(Games[[#This Row],[PreGmRate]]-Games[[#This Row],[OppPreGmRate]])))*IF(Games[[#This Row],[OT]]=1,0.9,1)</f>
        <v>0.5874097616866053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4" s="9">
        <f>MAX(kmin, kmax - 0.15 * MIN(Games[[#This Row],[GamesPlayed]], 82))</f>
        <v>71.349999999999994</v>
      </c>
      <c r="Z374" s="4">
        <f>Games[[#This Row],[K]]*Games[[#This Row],[POMult]]</f>
        <v>71.349999999999994</v>
      </c>
      <c r="AA374" s="4">
        <f>(Games[[#This Row],[Keff]]*Games[[#This Row],[MOVMult]])*(Games[[#This Row],[Result]]-Games[[#This Row],[ExpectedWin%]])</f>
        <v>-7.267786843539656</v>
      </c>
      <c r="AB374" s="4">
        <f>Games[[#This Row],[PreGmRate]]+Games[[#This Row],[RatingChange]]</f>
        <v>1380.1599840949677</v>
      </c>
      <c r="AC374" s="2">
        <f>IF(Games[[#This Row],[Type]]="R",IF(Games[[#This Row],[Result]]&gt;0.5,1,0),0)</f>
        <v>0</v>
      </c>
      <c r="AD374" s="2">
        <f>IF(Games[[#This Row],[Type]]="R",IF(Games[[#This Row],[Result]]&lt;0.5,1,0),0)</f>
        <v>1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42253</v>
      </c>
      <c r="B375" s="2">
        <v>2015</v>
      </c>
      <c r="C375" s="2">
        <f>COUNTIFS(Games[Team],Games[[#This Row],[Team]],Games[Season],Games[[#This Row],[Season]],Games[Date],"&lt;=" &amp; Games[[#This Row],[Date]])</f>
        <v>32</v>
      </c>
      <c r="D375" s="2" t="s">
        <v>83</v>
      </c>
      <c r="E375" s="2" t="s">
        <v>84</v>
      </c>
      <c r="F375" s="1" t="s">
        <v>77</v>
      </c>
      <c r="G375" s="1" t="s">
        <v>71</v>
      </c>
      <c r="H375" s="1" t="s">
        <v>86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5" s="2">
        <f>Games[[#This Row],[DaysOff]]-Games[[#This Row],[OppDaysOff]]</f>
        <v>0</v>
      </c>
      <c r="L375" s="2">
        <f>Games[[#This Row],[OppDaysOff]]-Games[[#This Row],[DaysOff]]</f>
        <v>0</v>
      </c>
      <c r="M375" s="1">
        <f>MAX(-16, MIN(16, Games[[#This Row],[RestDiff]]*8))</f>
        <v>0</v>
      </c>
      <c r="N375" s="1">
        <f>MAX(-16, MIN(16, Games[[#This Row],[OppRestDiff]]*8))</f>
        <v>0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1574.7176071602828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1387.4277709385074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0.82659283242695447</v>
      </c>
      <c r="R375" s="1">
        <v>93</v>
      </c>
      <c r="S375" s="1">
        <v>65</v>
      </c>
      <c r="T375" s="1">
        <v>0</v>
      </c>
      <c r="U375" s="1">
        <f>Games[[#This Row],[PointsFor]]-Games[[#This Row],[PointsAgainst]]</f>
        <v>28</v>
      </c>
      <c r="V375" s="1">
        <f>IF(Games[[#This Row],[MOV]]&gt;0,1,IF(Games[[#This Row],[MOV]]=0,0.5,0))</f>
        <v>1</v>
      </c>
      <c r="W375" s="4">
        <f>((ABS(Games[[#This Row],[MOV]])+5)^0.6)/(12+0.01*(ABS(Games[[#This Row],[PreGmRate]]-Games[[#This Row],[OppPreGmRate]])))*IF(Games[[#This Row],[OT]]=1,0.9,1)</f>
        <v>0.5874097616866053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5" s="9">
        <f>MAX(kmin, kmax - 0.15 * MIN(Games[[#This Row],[GamesPlayed]], 82))</f>
        <v>71.2</v>
      </c>
      <c r="Z375" s="4">
        <f>Games[[#This Row],[K]]*Games[[#This Row],[POMult]]</f>
        <v>71.2</v>
      </c>
      <c r="AA375" s="4">
        <f>(Games[[#This Row],[Keff]]*Games[[#This Row],[MOVMult]])*(Games[[#This Row],[Result]]-Games[[#This Row],[ExpectedWin%]])</f>
        <v>7.2525076840928318</v>
      </c>
      <c r="AB375" s="4">
        <f>Games[[#This Row],[PreGmRate]]+Games[[#This Row],[RatingChange]]</f>
        <v>1581.9701148443755</v>
      </c>
      <c r="AC375" s="2">
        <f>IF(Games[[#This Row],[Type]]="R",IF(Games[[#This Row],[Result]]&gt;0.5,1,0),0)</f>
        <v>1</v>
      </c>
      <c r="AD375" s="2">
        <f>IF(Games[[#This Row],[Type]]="R",IF(Games[[#This Row],[Result]]&lt;0.5,1,0),0)</f>
        <v>0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42253</v>
      </c>
      <c r="B376" s="2">
        <v>2015</v>
      </c>
      <c r="C376" s="2">
        <f>COUNTIFS(Games[Team],Games[[#This Row],[Team]],Games[Season],Games[[#This Row],[Season]],Games[Date],"&lt;=" &amp; Games[[#This Row],[Date]])</f>
        <v>31</v>
      </c>
      <c r="D376" s="2" t="s">
        <v>83</v>
      </c>
      <c r="E376" s="2" t="s">
        <v>84</v>
      </c>
      <c r="F376" s="1" t="s">
        <v>81</v>
      </c>
      <c r="G376" s="1" t="s">
        <v>63</v>
      </c>
      <c r="H376" s="1" t="s">
        <v>85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6" s="2">
        <f>Games[[#This Row],[DaysOff]]-Games[[#This Row],[OppDaysOff]]</f>
        <v>0</v>
      </c>
      <c r="L376" s="2">
        <f>Games[[#This Row],[OppDaysOff]]-Games[[#This Row],[DaysOff]]</f>
        <v>0</v>
      </c>
      <c r="M376" s="1">
        <f>MAX(-16, MIN(16, Games[[#This Row],[RestDiff]]*8))</f>
        <v>0</v>
      </c>
      <c r="N376" s="1">
        <f>MAX(-16, MIN(16, Games[[#This Row],[OppRestDiff]]*8))</f>
        <v>0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1508.110469585806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1504.6681032094668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0.38610204539896931</v>
      </c>
      <c r="R376" s="1">
        <v>73</v>
      </c>
      <c r="S376" s="1">
        <v>92</v>
      </c>
      <c r="T376" s="1">
        <v>0</v>
      </c>
      <c r="U376" s="1">
        <f>Games[[#This Row],[PointsFor]]-Games[[#This Row],[PointsAgainst]]</f>
        <v>-19</v>
      </c>
      <c r="V376" s="1">
        <f>IF(Games[[#This Row],[MOV]]&gt;0,1,IF(Games[[#This Row],[MOV]]=0,0.5,0))</f>
        <v>0</v>
      </c>
      <c r="W376" s="4">
        <f>((ABS(Games[[#This Row],[MOV]])+5)^0.6)/(12+0.01*(ABS(Games[[#This Row],[PreGmRate]]-Games[[#This Row],[OppPreGmRate]])))*IF(Games[[#This Row],[OT]]=1,0.9,1)</f>
        <v>0.55937293390683718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6" s="9">
        <f>MAX(kmin, kmax - 0.15 * MIN(Games[[#This Row],[GamesPlayed]], 82))</f>
        <v>71.349999999999994</v>
      </c>
      <c r="Z376" s="4">
        <f>Games[[#This Row],[K]]*Games[[#This Row],[POMult]]</f>
        <v>71.349999999999994</v>
      </c>
      <c r="AA376" s="4">
        <f>(Games[[#This Row],[Keff]]*Games[[#This Row],[MOVMult]])*(Games[[#This Row],[Result]]-Games[[#This Row],[ExpectedWin%]])</f>
        <v>-15.409818670352699</v>
      </c>
      <c r="AB376" s="4">
        <f>Games[[#This Row],[PreGmRate]]+Games[[#This Row],[RatingChange]]</f>
        <v>1492.7006509154533</v>
      </c>
      <c r="AC376" s="2">
        <f>IF(Games[[#This Row],[Type]]="R",IF(Games[[#This Row],[Result]]&gt;0.5,1,0),0)</f>
        <v>0</v>
      </c>
      <c r="AD376" s="2">
        <f>IF(Games[[#This Row],[Type]]="R",IF(Games[[#This Row],[Result]]&lt;0.5,1,0),0)</f>
        <v>1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42253</v>
      </c>
      <c r="B377" s="2">
        <v>2015</v>
      </c>
      <c r="C377" s="2">
        <f>COUNTIFS(Games[Team],Games[[#This Row],[Team]],Games[Season],Games[[#This Row],[Season]],Games[Date],"&lt;=" &amp; Games[[#This Row],[Date]])</f>
        <v>32</v>
      </c>
      <c r="D377" s="2" t="s">
        <v>83</v>
      </c>
      <c r="E377" s="2" t="s">
        <v>84</v>
      </c>
      <c r="F377" s="1" t="s">
        <v>63</v>
      </c>
      <c r="G377" s="1" t="s">
        <v>81</v>
      </c>
      <c r="H377" s="1" t="s">
        <v>86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7" s="2">
        <f>Games[[#This Row],[DaysOff]]-Games[[#This Row],[OppDaysOff]]</f>
        <v>0</v>
      </c>
      <c r="L377" s="2">
        <f>Games[[#This Row],[OppDaysOff]]-Games[[#This Row],[DaysOff]]</f>
        <v>0</v>
      </c>
      <c r="M377" s="1">
        <f>MAX(-16, MIN(16, Games[[#This Row],[RestDiff]]*8))</f>
        <v>0</v>
      </c>
      <c r="N377" s="1">
        <f>MAX(-16, MIN(16, Games[[#This Row],[OppRestDiff]]*8))</f>
        <v>0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1504.6681032094668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1508.110469585806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0.61389795460103069</v>
      </c>
      <c r="R377" s="1">
        <v>92</v>
      </c>
      <c r="S377" s="1">
        <v>73</v>
      </c>
      <c r="T377" s="1">
        <v>0</v>
      </c>
      <c r="U377" s="1">
        <f>Games[[#This Row],[PointsFor]]-Games[[#This Row],[PointsAgainst]]</f>
        <v>19</v>
      </c>
      <c r="V377" s="1">
        <f>IF(Games[[#This Row],[MOV]]&gt;0,1,IF(Games[[#This Row],[MOV]]=0,0.5,0))</f>
        <v>1</v>
      </c>
      <c r="W377" s="4">
        <f>((ABS(Games[[#This Row],[MOV]])+5)^0.6)/(12+0.01*(ABS(Games[[#This Row],[PreGmRate]]-Games[[#This Row],[OppPreGmRate]])))*IF(Games[[#This Row],[OT]]=1,0.9,1)</f>
        <v>0.55937293390683718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7" s="9">
        <f>MAX(kmin, kmax - 0.15 * MIN(Games[[#This Row],[GamesPlayed]], 82))</f>
        <v>71.2</v>
      </c>
      <c r="Z377" s="4">
        <f>Games[[#This Row],[K]]*Games[[#This Row],[POMult]]</f>
        <v>71.2</v>
      </c>
      <c r="AA377" s="4">
        <f>(Games[[#This Row],[Keff]]*Games[[#This Row],[MOVMult]])*(Games[[#This Row],[Result]]-Games[[#This Row],[ExpectedWin%]])</f>
        <v>15.377422415264364</v>
      </c>
      <c r="AB377" s="4">
        <f>Games[[#This Row],[PreGmRate]]+Games[[#This Row],[RatingChange]]</f>
        <v>1520.0455256247312</v>
      </c>
      <c r="AC377" s="2">
        <f>IF(Games[[#This Row],[Type]]="R",IF(Games[[#This Row],[Result]]&gt;0.5,1,0),0)</f>
        <v>1</v>
      </c>
      <c r="AD377" s="2">
        <f>IF(Games[[#This Row],[Type]]="R",IF(Games[[#This Row],[Result]]&lt;0.5,1,0),0)</f>
        <v>0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42253</v>
      </c>
      <c r="B378" s="2">
        <v>2015</v>
      </c>
      <c r="C378" s="2">
        <f>COUNTIFS(Games[Team],Games[[#This Row],[Team]],Games[Season],Games[[#This Row],[Season]],Games[Date],"&lt;=" &amp; Games[[#This Row],[Date]])</f>
        <v>31</v>
      </c>
      <c r="D378" s="2" t="s">
        <v>83</v>
      </c>
      <c r="E378" s="2" t="s">
        <v>84</v>
      </c>
      <c r="F378" s="1" t="s">
        <v>60</v>
      </c>
      <c r="G378" s="1" t="s">
        <v>67</v>
      </c>
      <c r="H378" s="1" t="s">
        <v>85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8" s="2">
        <f>Games[[#This Row],[DaysOff]]-Games[[#This Row],[OppDaysOff]]</f>
        <v>1</v>
      </c>
      <c r="L378" s="2">
        <f>Games[[#This Row],[OppDaysOff]]-Games[[#This Row],[DaysOff]]</f>
        <v>-1</v>
      </c>
      <c r="M378" s="1">
        <f>MAX(-16, MIN(16, Games[[#This Row],[RestDiff]]*8))</f>
        <v>8</v>
      </c>
      <c r="N378" s="1">
        <f>MAX(-16, MIN(16, Games[[#This Row],[OppRestDiff]]*8))</f>
        <v>-8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1586.0526202415822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1600.2163703150766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0.38391291902592273</v>
      </c>
      <c r="R378" s="1">
        <v>75</v>
      </c>
      <c r="S378" s="1">
        <v>71</v>
      </c>
      <c r="T378" s="1">
        <v>0</v>
      </c>
      <c r="U378" s="1">
        <f>Games[[#This Row],[PointsFor]]-Games[[#This Row],[PointsAgainst]]</f>
        <v>4</v>
      </c>
      <c r="V378" s="1">
        <f>IF(Games[[#This Row],[MOV]]&gt;0,1,IF(Games[[#This Row],[MOV]]=0,0.5,0))</f>
        <v>1</v>
      </c>
      <c r="W378" s="4">
        <f>((ABS(Games[[#This Row],[MOV]])+5)^0.6)/(12+0.01*(ABS(Games[[#This Row],[PreGmRate]]-Games[[#This Row],[OppPreGmRate]])))*IF(Games[[#This Row],[OT]]=1,0.9,1)</f>
        <v>0.30779973612458256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8" s="9">
        <f>MAX(kmin, kmax - 0.15 * MIN(Games[[#This Row],[GamesPlayed]], 82))</f>
        <v>71.349999999999994</v>
      </c>
      <c r="Z378" s="4">
        <f>Games[[#This Row],[K]]*Games[[#This Row],[POMult]]</f>
        <v>71.349999999999994</v>
      </c>
      <c r="AA378" s="4">
        <f>(Games[[#This Row],[Keff]]*Games[[#This Row],[MOVMult]])*(Games[[#This Row],[Result]]-Games[[#This Row],[ExpectedWin%]])</f>
        <v>13.530203312038312</v>
      </c>
      <c r="AB378" s="4">
        <f>Games[[#This Row],[PreGmRate]]+Games[[#This Row],[RatingChange]]</f>
        <v>1599.5828235536205</v>
      </c>
      <c r="AC378" s="2">
        <f>IF(Games[[#This Row],[Type]]="R",IF(Games[[#This Row],[Result]]&gt;0.5,1,0),0)</f>
        <v>1</v>
      </c>
      <c r="AD378" s="2">
        <f>IF(Games[[#This Row],[Type]]="R",IF(Games[[#This Row],[Result]]&lt;0.5,1,0),0)</f>
        <v>0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42253</v>
      </c>
      <c r="B379" s="2">
        <v>2015</v>
      </c>
      <c r="C379" s="2">
        <f>COUNTIFS(Games[Team],Games[[#This Row],[Team]],Games[Season],Games[[#This Row],[Season]],Games[Date],"&lt;=" &amp; Games[[#This Row],[Date]])</f>
        <v>32</v>
      </c>
      <c r="D379" s="2" t="s">
        <v>83</v>
      </c>
      <c r="E379" s="2" t="s">
        <v>84</v>
      </c>
      <c r="F379" s="1" t="s">
        <v>67</v>
      </c>
      <c r="G379" s="1" t="s">
        <v>60</v>
      </c>
      <c r="H379" s="1" t="s">
        <v>86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9" s="2">
        <f>Games[[#This Row],[DaysOff]]-Games[[#This Row],[OppDaysOff]]</f>
        <v>-1</v>
      </c>
      <c r="L379" s="2">
        <f>Games[[#This Row],[OppDaysOff]]-Games[[#This Row],[DaysOff]]</f>
        <v>1</v>
      </c>
      <c r="M379" s="1">
        <f>MAX(-16, MIN(16, Games[[#This Row],[RestDiff]]*8))</f>
        <v>-8</v>
      </c>
      <c r="N379" s="1">
        <f>MAX(-16, MIN(16, Games[[#This Row],[OppRestDiff]]*8))</f>
        <v>8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1600.2163703150766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1586.0526202415822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0.61608708097407727</v>
      </c>
      <c r="R379" s="1">
        <v>71</v>
      </c>
      <c r="S379" s="1">
        <v>75</v>
      </c>
      <c r="T379" s="1">
        <v>0</v>
      </c>
      <c r="U379" s="1">
        <f>Games[[#This Row],[PointsFor]]-Games[[#This Row],[PointsAgainst]]</f>
        <v>-4</v>
      </c>
      <c r="V379" s="1">
        <f>IF(Games[[#This Row],[MOV]]&gt;0,1,IF(Games[[#This Row],[MOV]]=0,0.5,0))</f>
        <v>0</v>
      </c>
      <c r="W379" s="4">
        <f>((ABS(Games[[#This Row],[MOV]])+5)^0.6)/(12+0.01*(ABS(Games[[#This Row],[PreGmRate]]-Games[[#This Row],[OppPreGmRate]])))*IF(Games[[#This Row],[OT]]=1,0.9,1)</f>
        <v>0.30779973612458256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9" s="9">
        <f>MAX(kmin, kmax - 0.15 * MIN(Games[[#This Row],[GamesPlayed]], 82))</f>
        <v>71.2</v>
      </c>
      <c r="Z379" s="4">
        <f>Games[[#This Row],[K]]*Games[[#This Row],[POMult]]</f>
        <v>71.2</v>
      </c>
      <c r="AA379" s="4">
        <f>(Games[[#This Row],[Keff]]*Games[[#This Row],[MOVMult]])*(Games[[#This Row],[Result]]-Games[[#This Row],[ExpectedWin%]])</f>
        <v>-13.501758595895273</v>
      </c>
      <c r="AB379" s="4">
        <f>Games[[#This Row],[PreGmRate]]+Games[[#This Row],[RatingChange]]</f>
        <v>1586.7146117191812</v>
      </c>
      <c r="AC379" s="2">
        <f>IF(Games[[#This Row],[Type]]="R",IF(Games[[#This Row],[Result]]&gt;0.5,1,0),0)</f>
        <v>0</v>
      </c>
      <c r="AD379" s="2">
        <f>IF(Games[[#This Row],[Type]]="R",IF(Games[[#This Row],[Result]]&lt;0.5,1,0),0)</f>
        <v>1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42255</v>
      </c>
      <c r="B380" s="2">
        <v>2015</v>
      </c>
      <c r="C380" s="2">
        <f>COUNTIFS(Games[Team],Games[[#This Row],[Team]],Games[Season],Games[[#This Row],[Season]],Games[Date],"&lt;=" &amp; Games[[#This Row],[Date]])</f>
        <v>32</v>
      </c>
      <c r="D380" s="2" t="s">
        <v>83</v>
      </c>
      <c r="E380" s="2" t="s">
        <v>84</v>
      </c>
      <c r="F380" s="1" t="s">
        <v>71</v>
      </c>
      <c r="G380" s="1" t="s">
        <v>67</v>
      </c>
      <c r="H380" s="1" t="s">
        <v>85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0" s="2">
        <f>Games[[#This Row],[DaysOff]]-Games[[#This Row],[OppDaysOff]]</f>
        <v>0</v>
      </c>
      <c r="L380" s="2">
        <f>Games[[#This Row],[OppDaysOff]]-Games[[#This Row],[DaysOff]]</f>
        <v>0</v>
      </c>
      <c r="M380" s="1">
        <f>MAX(-16, MIN(16, Games[[#This Row],[RestDiff]]*8))</f>
        <v>0</v>
      </c>
      <c r="N380" s="1">
        <f>MAX(-16, MIN(16, Games[[#This Row],[OppRestDiff]]*8))</f>
        <v>0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1380.1599840949677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1586.7146117191812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0.15808224634231616</v>
      </c>
      <c r="R380" s="1">
        <v>67</v>
      </c>
      <c r="S380" s="1">
        <v>73</v>
      </c>
      <c r="T380" s="1">
        <v>0</v>
      </c>
      <c r="U380" s="1">
        <f>Games[[#This Row],[PointsFor]]-Games[[#This Row],[PointsAgainst]]</f>
        <v>-6</v>
      </c>
      <c r="V380" s="1">
        <f>IF(Games[[#This Row],[MOV]]&gt;0,1,IF(Games[[#This Row],[MOV]]=0,0.5,0))</f>
        <v>0</v>
      </c>
      <c r="W380" s="4">
        <f>((ABS(Games[[#This Row],[MOV]])+5)^0.6)/(12+0.01*(ABS(Games[[#This Row],[PreGmRate]]-Games[[#This Row],[OppPreGmRate]])))*IF(Games[[#This Row],[OT]]=1,0.9,1)</f>
        <v>0.29969466171477505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0" s="9">
        <f>MAX(kmin, kmax - 0.15 * MIN(Games[[#This Row],[GamesPlayed]], 82))</f>
        <v>71.2</v>
      </c>
      <c r="Z380" s="4">
        <f>Games[[#This Row],[K]]*Games[[#This Row],[POMult]]</f>
        <v>71.2</v>
      </c>
      <c r="AA380" s="4">
        <f>(Games[[#This Row],[Keff]]*Games[[#This Row],[MOVMult]])*(Games[[#This Row],[Result]]-Games[[#This Row],[ExpectedWin%]])</f>
        <v>-3.3732000602558592</v>
      </c>
      <c r="AB380" s="4">
        <f>Games[[#This Row],[PreGmRate]]+Games[[#This Row],[RatingChange]]</f>
        <v>1376.7867840347119</v>
      </c>
      <c r="AC380" s="2">
        <f>IF(Games[[#This Row],[Type]]="R",IF(Games[[#This Row],[Result]]&gt;0.5,1,0),0)</f>
        <v>0</v>
      </c>
      <c r="AD380" s="2">
        <f>IF(Games[[#This Row],[Type]]="R",IF(Games[[#This Row],[Result]]&lt;0.5,1,0),0)</f>
        <v>1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42255</v>
      </c>
      <c r="B381" s="2">
        <v>2015</v>
      </c>
      <c r="C381" s="2">
        <f>COUNTIFS(Games[Team],Games[[#This Row],[Team]],Games[Season],Games[[#This Row],[Season]],Games[Date],"&lt;=" &amp; Games[[#This Row],[Date]])</f>
        <v>33</v>
      </c>
      <c r="D381" s="2" t="s">
        <v>83</v>
      </c>
      <c r="E381" s="2" t="s">
        <v>84</v>
      </c>
      <c r="F381" s="1" t="s">
        <v>67</v>
      </c>
      <c r="G381" s="1" t="s">
        <v>71</v>
      </c>
      <c r="H381" s="1" t="s">
        <v>86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1" s="2">
        <f>Games[[#This Row],[DaysOff]]-Games[[#This Row],[OppDaysOff]]</f>
        <v>0</v>
      </c>
      <c r="L381" s="2">
        <f>Games[[#This Row],[OppDaysOff]]-Games[[#This Row],[DaysOff]]</f>
        <v>0</v>
      </c>
      <c r="M381" s="1">
        <f>MAX(-16, MIN(16, Games[[#This Row],[RestDiff]]*8))</f>
        <v>0</v>
      </c>
      <c r="N381" s="1">
        <f>MAX(-16, MIN(16, Games[[#This Row],[OppRestDiff]]*8))</f>
        <v>0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1586.7146117191812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1380.1599840949677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0.84191775365768395</v>
      </c>
      <c r="R381" s="1">
        <v>73</v>
      </c>
      <c r="S381" s="1">
        <v>67</v>
      </c>
      <c r="T381" s="1">
        <v>0</v>
      </c>
      <c r="U381" s="1">
        <f>Games[[#This Row],[PointsFor]]-Games[[#This Row],[PointsAgainst]]</f>
        <v>6</v>
      </c>
      <c r="V381" s="1">
        <f>IF(Games[[#This Row],[MOV]]&gt;0,1,IF(Games[[#This Row],[MOV]]=0,0.5,0))</f>
        <v>1</v>
      </c>
      <c r="W381" s="4">
        <f>((ABS(Games[[#This Row],[MOV]])+5)^0.6)/(12+0.01*(ABS(Games[[#This Row],[PreGmRate]]-Games[[#This Row],[OppPreGmRate]])))*IF(Games[[#This Row],[OT]]=1,0.9,1)</f>
        <v>0.29969466171477505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1" s="9">
        <f>MAX(kmin, kmax - 0.15 * MIN(Games[[#This Row],[GamesPlayed]], 82))</f>
        <v>71.05</v>
      </c>
      <c r="Z381" s="4">
        <f>Games[[#This Row],[K]]*Games[[#This Row],[POMult]]</f>
        <v>71.05</v>
      </c>
      <c r="AA381" s="4">
        <f>(Games[[#This Row],[Keff]]*Games[[#This Row],[MOVMult]])*(Games[[#This Row],[Result]]-Games[[#This Row],[ExpectedWin%]])</f>
        <v>3.3660935994547554</v>
      </c>
      <c r="AB381" s="4">
        <f>Games[[#This Row],[PreGmRate]]+Games[[#This Row],[RatingChange]]</f>
        <v>1590.0807053186359</v>
      </c>
      <c r="AC381" s="2">
        <f>IF(Games[[#This Row],[Type]]="R",IF(Games[[#This Row],[Result]]&gt;0.5,1,0),0)</f>
        <v>1</v>
      </c>
      <c r="AD381" s="2">
        <f>IF(Games[[#This Row],[Type]]="R",IF(Games[[#This Row],[Result]]&lt;0.5,1,0),0)</f>
        <v>0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42255</v>
      </c>
      <c r="B382" s="2">
        <v>2015</v>
      </c>
      <c r="C382" s="2">
        <f>COUNTIFS(Games[Team],Games[[#This Row],[Team]],Games[Season],Games[[#This Row],[Season]],Games[Date],"&lt;=" &amp; Games[[#This Row],[Date]])</f>
        <v>33</v>
      </c>
      <c r="D382" s="2" t="s">
        <v>83</v>
      </c>
      <c r="E382" s="2" t="s">
        <v>84</v>
      </c>
      <c r="F382" s="1" t="s">
        <v>74</v>
      </c>
      <c r="G382" s="1" t="s">
        <v>81</v>
      </c>
      <c r="H382" s="1" t="s">
        <v>85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2" s="2">
        <f>Games[[#This Row],[DaysOff]]-Games[[#This Row],[OppDaysOff]]</f>
        <v>1</v>
      </c>
      <c r="L382" s="2">
        <f>Games[[#This Row],[OppDaysOff]]-Games[[#This Row],[DaysOff]]</f>
        <v>-1</v>
      </c>
      <c r="M382" s="1">
        <f>MAX(-16, MIN(16, Games[[#This Row],[RestDiff]]*8))</f>
        <v>8</v>
      </c>
      <c r="N382" s="1">
        <f>MAX(-16, MIN(16, Games[[#This Row],[OppRestDiff]]*8))</f>
        <v>-8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1305.1811626169574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1492.7006509154533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0.18680761730415976</v>
      </c>
      <c r="R382" s="1">
        <v>64</v>
      </c>
      <c r="S382" s="1">
        <v>74</v>
      </c>
      <c r="T382" s="1">
        <v>0</v>
      </c>
      <c r="U382" s="1">
        <f>Games[[#This Row],[PointsFor]]-Games[[#This Row],[PointsAgainst]]</f>
        <v>-10</v>
      </c>
      <c r="V382" s="1">
        <f>IF(Games[[#This Row],[MOV]]&gt;0,1,IF(Games[[#This Row],[MOV]]=0,0.5,0))</f>
        <v>0</v>
      </c>
      <c r="W382" s="4">
        <f>((ABS(Games[[#This Row],[MOV]])+5)^0.6)/(12+0.01*(ABS(Games[[#This Row],[PreGmRate]]-Games[[#This Row],[OppPreGmRate]])))*IF(Games[[#This Row],[OT]]=1,0.9,1)</f>
        <v>0.36594487031054063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2" s="9">
        <f>MAX(kmin, kmax - 0.15 * MIN(Games[[#This Row],[GamesPlayed]], 82))</f>
        <v>71.05</v>
      </c>
      <c r="Z382" s="4">
        <f>Games[[#This Row],[K]]*Games[[#This Row],[POMult]]</f>
        <v>71.05</v>
      </c>
      <c r="AA382" s="4">
        <f>(Games[[#This Row],[Keff]]*Games[[#This Row],[MOVMult]])*(Games[[#This Row],[Result]]-Games[[#This Row],[ExpectedWin%]])</f>
        <v>-4.8570696038691903</v>
      </c>
      <c r="AB382" s="4">
        <f>Games[[#This Row],[PreGmRate]]+Games[[#This Row],[RatingChange]]</f>
        <v>1300.3240930130883</v>
      </c>
      <c r="AC382" s="2">
        <f>IF(Games[[#This Row],[Type]]="R",IF(Games[[#This Row],[Result]]&gt;0.5,1,0),0)</f>
        <v>0</v>
      </c>
      <c r="AD382" s="2">
        <f>IF(Games[[#This Row],[Type]]="R",IF(Games[[#This Row],[Result]]&lt;0.5,1,0),0)</f>
        <v>1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42255</v>
      </c>
      <c r="B383" s="2">
        <v>2015</v>
      </c>
      <c r="C383" s="2">
        <f>COUNTIFS(Games[Team],Games[[#This Row],[Team]],Games[Season],Games[[#This Row],[Season]],Games[Date],"&lt;=" &amp; Games[[#This Row],[Date]])</f>
        <v>32</v>
      </c>
      <c r="D383" s="2" t="s">
        <v>83</v>
      </c>
      <c r="E383" s="2" t="s">
        <v>84</v>
      </c>
      <c r="F383" s="1" t="s">
        <v>81</v>
      </c>
      <c r="G383" s="1" t="s">
        <v>74</v>
      </c>
      <c r="H383" s="1" t="s">
        <v>86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3" s="2">
        <f>Games[[#This Row],[DaysOff]]-Games[[#This Row],[OppDaysOff]]</f>
        <v>-1</v>
      </c>
      <c r="L383" s="2">
        <f>Games[[#This Row],[OppDaysOff]]-Games[[#This Row],[DaysOff]]</f>
        <v>1</v>
      </c>
      <c r="M383" s="1">
        <f>MAX(-16, MIN(16, Games[[#This Row],[RestDiff]]*8))</f>
        <v>-8</v>
      </c>
      <c r="N383" s="1">
        <f>MAX(-16, MIN(16, Games[[#This Row],[OppRestDiff]]*8))</f>
        <v>8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1492.7006509154533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1305.1811626169574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0.81319238269584027</v>
      </c>
      <c r="R383" s="1">
        <v>74</v>
      </c>
      <c r="S383" s="1">
        <v>64</v>
      </c>
      <c r="T383" s="1">
        <v>0</v>
      </c>
      <c r="U383" s="1">
        <f>Games[[#This Row],[PointsFor]]-Games[[#This Row],[PointsAgainst]]</f>
        <v>10</v>
      </c>
      <c r="V383" s="1">
        <f>IF(Games[[#This Row],[MOV]]&gt;0,1,IF(Games[[#This Row],[MOV]]=0,0.5,0))</f>
        <v>1</v>
      </c>
      <c r="W383" s="4">
        <f>((ABS(Games[[#This Row],[MOV]])+5)^0.6)/(12+0.01*(ABS(Games[[#This Row],[PreGmRate]]-Games[[#This Row],[OppPreGmRate]])))*IF(Games[[#This Row],[OT]]=1,0.9,1)</f>
        <v>0.36594487031054063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3" s="9">
        <f>MAX(kmin, kmax - 0.15 * MIN(Games[[#This Row],[GamesPlayed]], 82))</f>
        <v>71.2</v>
      </c>
      <c r="Z383" s="4">
        <f>Games[[#This Row],[K]]*Games[[#This Row],[POMult]]</f>
        <v>71.2</v>
      </c>
      <c r="AA383" s="4">
        <f>(Games[[#This Row],[Keff]]*Games[[#This Row],[MOVMult]])*(Games[[#This Row],[Result]]-Games[[#This Row],[ExpectedWin%]])</f>
        <v>4.8673237972622987</v>
      </c>
      <c r="AB383" s="4">
        <f>Games[[#This Row],[PreGmRate]]+Games[[#This Row],[RatingChange]]</f>
        <v>1497.5679747127156</v>
      </c>
      <c r="AC383" s="2">
        <f>IF(Games[[#This Row],[Type]]="R",IF(Games[[#This Row],[Result]]&gt;0.5,1,0),0)</f>
        <v>1</v>
      </c>
      <c r="AD383" s="2">
        <f>IF(Games[[#This Row],[Type]]="R",IF(Games[[#This Row],[Result]]&lt;0.5,1,0),0)</f>
        <v>0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42255</v>
      </c>
      <c r="B384" s="2">
        <v>2015</v>
      </c>
      <c r="C384" s="2">
        <f>COUNTIFS(Games[Team],Games[[#This Row],[Team]],Games[Season],Games[[#This Row],[Season]],Games[Date],"&lt;=" &amp; Games[[#This Row],[Date]])</f>
        <v>32</v>
      </c>
      <c r="D384" s="2" t="s">
        <v>83</v>
      </c>
      <c r="E384" s="2" t="s">
        <v>84</v>
      </c>
      <c r="F384" s="1" t="s">
        <v>69</v>
      </c>
      <c r="G384" s="1" t="s">
        <v>65</v>
      </c>
      <c r="H384" s="1" t="s">
        <v>85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4" s="2">
        <f>Games[[#This Row],[DaysOff]]-Games[[#This Row],[OppDaysOff]]</f>
        <v>2</v>
      </c>
      <c r="L384" s="2">
        <f>Games[[#This Row],[OppDaysOff]]-Games[[#This Row],[DaysOff]]</f>
        <v>-2</v>
      </c>
      <c r="M384" s="1">
        <f>MAX(-16, MIN(16, Games[[#This Row],[RestDiff]]*8))</f>
        <v>16</v>
      </c>
      <c r="N384" s="1">
        <f>MAX(-16, MIN(16, Games[[#This Row],[OppRestDiff]]*8))</f>
        <v>-16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1547.5534799436059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1510.1980326668279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0.47893726677836279</v>
      </c>
      <c r="R384" s="1">
        <v>72</v>
      </c>
      <c r="S384" s="1">
        <v>76</v>
      </c>
      <c r="T384" s="1">
        <v>1</v>
      </c>
      <c r="U384" s="1">
        <f>Games[[#This Row],[PointsFor]]-Games[[#This Row],[PointsAgainst]]</f>
        <v>-4</v>
      </c>
      <c r="V384" s="1">
        <f>IF(Games[[#This Row],[MOV]]&gt;0,1,IF(Games[[#This Row],[MOV]]=0,0.5,0))</f>
        <v>0</v>
      </c>
      <c r="W384" s="4">
        <f>((ABS(Games[[#This Row],[MOV]])+5)^0.6)/(12+0.01*(ABS(Games[[#This Row],[PreGmRate]]-Games[[#This Row],[OppPreGmRate]])))*IF(Games[[#This Row],[OT]]=1,0.9,1)</f>
        <v>0.27182759362836006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4" s="9">
        <f>MAX(kmin, kmax - 0.15 * MIN(Games[[#This Row],[GamesPlayed]], 82))</f>
        <v>71.2</v>
      </c>
      <c r="Z384" s="4">
        <f>Games[[#This Row],[K]]*Games[[#This Row],[POMult]]</f>
        <v>71.2</v>
      </c>
      <c r="AA384" s="4">
        <f>(Games[[#This Row],[Keff]]*Games[[#This Row],[MOVMult]])*(Games[[#This Row],[Result]]-Games[[#This Row],[ExpectedWin%]])</f>
        <v>-9.2694115685842071</v>
      </c>
      <c r="AB384" s="4">
        <f>Games[[#This Row],[PreGmRate]]+Games[[#This Row],[RatingChange]]</f>
        <v>1538.2840683750217</v>
      </c>
      <c r="AC384" s="2">
        <f>IF(Games[[#This Row],[Type]]="R",IF(Games[[#This Row],[Result]]&gt;0.5,1,0),0)</f>
        <v>0</v>
      </c>
      <c r="AD384" s="2">
        <f>IF(Games[[#This Row],[Type]]="R",IF(Games[[#This Row],[Result]]&lt;0.5,1,0),0)</f>
        <v>1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42255</v>
      </c>
      <c r="B385" s="2">
        <v>2015</v>
      </c>
      <c r="C385" s="2">
        <f>COUNTIFS(Games[Team],Games[[#This Row],[Team]],Games[Season],Games[[#This Row],[Season]],Games[Date],"&lt;=" &amp; Games[[#This Row],[Date]])</f>
        <v>32</v>
      </c>
      <c r="D385" s="2" t="s">
        <v>83</v>
      </c>
      <c r="E385" s="2" t="s">
        <v>84</v>
      </c>
      <c r="F385" s="1" t="s">
        <v>65</v>
      </c>
      <c r="G385" s="1" t="s">
        <v>69</v>
      </c>
      <c r="H385" s="1" t="s">
        <v>86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5" s="2">
        <f>Games[[#This Row],[DaysOff]]-Games[[#This Row],[OppDaysOff]]</f>
        <v>-2</v>
      </c>
      <c r="L385" s="2">
        <f>Games[[#This Row],[OppDaysOff]]-Games[[#This Row],[DaysOff]]</f>
        <v>2</v>
      </c>
      <c r="M385" s="1">
        <f>MAX(-16, MIN(16, Games[[#This Row],[RestDiff]]*8))</f>
        <v>-16</v>
      </c>
      <c r="N385" s="1">
        <f>MAX(-16, MIN(16, Games[[#This Row],[OppRestDiff]]*8))</f>
        <v>16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1510.1980326668279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1547.5534799436059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0.52106273322163721</v>
      </c>
      <c r="R385" s="1">
        <v>76</v>
      </c>
      <c r="S385" s="1">
        <v>72</v>
      </c>
      <c r="T385" s="1">
        <v>1</v>
      </c>
      <c r="U385" s="1">
        <f>Games[[#This Row],[PointsFor]]-Games[[#This Row],[PointsAgainst]]</f>
        <v>4</v>
      </c>
      <c r="V385" s="1">
        <f>IF(Games[[#This Row],[MOV]]&gt;0,1,IF(Games[[#This Row],[MOV]]=0,0.5,0))</f>
        <v>1</v>
      </c>
      <c r="W385" s="4">
        <f>((ABS(Games[[#This Row],[MOV]])+5)^0.6)/(12+0.01*(ABS(Games[[#This Row],[PreGmRate]]-Games[[#This Row],[OppPreGmRate]])))*IF(Games[[#This Row],[OT]]=1,0.9,1)</f>
        <v>0.27182759362836006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5" s="9">
        <f>MAX(kmin, kmax - 0.15 * MIN(Games[[#This Row],[GamesPlayed]], 82))</f>
        <v>71.2</v>
      </c>
      <c r="Z385" s="4">
        <f>Games[[#This Row],[K]]*Games[[#This Row],[POMult]]</f>
        <v>71.2</v>
      </c>
      <c r="AA385" s="4">
        <f>(Games[[#This Row],[Keff]]*Games[[#This Row],[MOVMult]])*(Games[[#This Row],[Result]]-Games[[#This Row],[ExpectedWin%]])</f>
        <v>9.2694115685842071</v>
      </c>
      <c r="AB385" s="4">
        <f>Games[[#This Row],[PreGmRate]]+Games[[#This Row],[RatingChange]]</f>
        <v>1519.4674442354121</v>
      </c>
      <c r="AC385" s="2">
        <f>IF(Games[[#This Row],[Type]]="R",IF(Games[[#This Row],[Result]]&gt;0.5,1,0),0)</f>
        <v>1</v>
      </c>
      <c r="AD385" s="2">
        <f>IF(Games[[#This Row],[Type]]="R",IF(Games[[#This Row],[Result]]&lt;0.5,1,0),0)</f>
        <v>0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42256</v>
      </c>
      <c r="B386" s="2">
        <v>2015</v>
      </c>
      <c r="C386" s="2">
        <f>COUNTIFS(Games[Team],Games[[#This Row],[Team]],Games[Season],Games[[#This Row],[Season]],Games[Date],"&lt;=" &amp; Games[[#This Row],[Date]])</f>
        <v>33</v>
      </c>
      <c r="D386" s="2" t="s">
        <v>83</v>
      </c>
      <c r="E386" s="2" t="s">
        <v>84</v>
      </c>
      <c r="F386" s="1" t="s">
        <v>63</v>
      </c>
      <c r="G386" s="1" t="s">
        <v>79</v>
      </c>
      <c r="H386" s="1" t="s">
        <v>85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6" s="2">
        <f>Games[[#This Row],[DaysOff]]-Games[[#This Row],[OppDaysOff]]</f>
        <v>0</v>
      </c>
      <c r="L386" s="2">
        <f>Games[[#This Row],[OppDaysOff]]-Games[[#This Row],[DaysOff]]</f>
        <v>0</v>
      </c>
      <c r="M386" s="1">
        <f>MAX(-16, MIN(16, Games[[#This Row],[RestDiff]]*8))</f>
        <v>0</v>
      </c>
      <c r="N386" s="1">
        <f>MAX(-16, MIN(16, Games[[#This Row],[OppRestDiff]]*8))</f>
        <v>0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1520.0455256247312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1470.7528914292309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0.45021757137095214</v>
      </c>
      <c r="R386" s="1">
        <v>60</v>
      </c>
      <c r="S386" s="1">
        <v>90</v>
      </c>
      <c r="T386" s="1">
        <v>0</v>
      </c>
      <c r="U386" s="1">
        <f>Games[[#This Row],[PointsFor]]-Games[[#This Row],[PointsAgainst]]</f>
        <v>-30</v>
      </c>
      <c r="V386" s="1">
        <f>IF(Games[[#This Row],[MOV]]&gt;0,1,IF(Games[[#This Row],[MOV]]=0,0.5,0))</f>
        <v>0</v>
      </c>
      <c r="W386" s="4">
        <f>((ABS(Games[[#This Row],[MOV]])+5)^0.6)/(12+0.01*(ABS(Games[[#This Row],[PreGmRate]]-Games[[#This Row],[OppPreGmRate]])))*IF(Games[[#This Row],[OT]]=1,0.9,1)</f>
        <v>0.67573536289471625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6" s="9">
        <f>MAX(kmin, kmax - 0.15 * MIN(Games[[#This Row],[GamesPlayed]], 82))</f>
        <v>71.05</v>
      </c>
      <c r="Z386" s="4">
        <f>Games[[#This Row],[K]]*Games[[#This Row],[POMult]]</f>
        <v>71.05</v>
      </c>
      <c r="AA386" s="4">
        <f>(Games[[#This Row],[Keff]]*Games[[#This Row],[MOVMult]])*(Games[[#This Row],[Result]]-Games[[#This Row],[ExpectedWin%]])</f>
        <v>-21.615394708705495</v>
      </c>
      <c r="AB386" s="4">
        <f>Games[[#This Row],[PreGmRate]]+Games[[#This Row],[RatingChange]]</f>
        <v>1498.4301309160257</v>
      </c>
      <c r="AC386" s="2">
        <f>IF(Games[[#This Row],[Type]]="R",IF(Games[[#This Row],[Result]]&gt;0.5,1,0),0)</f>
        <v>0</v>
      </c>
      <c r="AD386" s="2">
        <f>IF(Games[[#This Row],[Type]]="R",IF(Games[[#This Row],[Result]]&lt;0.5,1,0),0)</f>
        <v>1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42256</v>
      </c>
      <c r="B387" s="2">
        <v>2015</v>
      </c>
      <c r="C387" s="2">
        <f>COUNTIFS(Games[Team],Games[[#This Row],[Team]],Games[Season],Games[[#This Row],[Season]],Games[Date],"&lt;=" &amp; Games[[#This Row],[Date]])</f>
        <v>32</v>
      </c>
      <c r="D387" s="2" t="s">
        <v>83</v>
      </c>
      <c r="E387" s="2" t="s">
        <v>84</v>
      </c>
      <c r="F387" s="1" t="s">
        <v>79</v>
      </c>
      <c r="G387" s="1" t="s">
        <v>63</v>
      </c>
      <c r="H387" s="1" t="s">
        <v>86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7" s="2">
        <f>Games[[#This Row],[DaysOff]]-Games[[#This Row],[OppDaysOff]]</f>
        <v>0</v>
      </c>
      <c r="L387" s="2">
        <f>Games[[#This Row],[OppDaysOff]]-Games[[#This Row],[DaysOff]]</f>
        <v>0</v>
      </c>
      <c r="M387" s="1">
        <f>MAX(-16, MIN(16, Games[[#This Row],[RestDiff]]*8))</f>
        <v>0</v>
      </c>
      <c r="N387" s="1">
        <f>MAX(-16, MIN(16, Games[[#This Row],[OppRestDiff]]*8))</f>
        <v>0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1470.7528914292309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1520.0455256247312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0.5497824286290478</v>
      </c>
      <c r="R387" s="1">
        <v>90</v>
      </c>
      <c r="S387" s="1">
        <v>60</v>
      </c>
      <c r="T387" s="1">
        <v>0</v>
      </c>
      <c r="U387" s="1">
        <f>Games[[#This Row],[PointsFor]]-Games[[#This Row],[PointsAgainst]]</f>
        <v>30</v>
      </c>
      <c r="V387" s="1">
        <f>IF(Games[[#This Row],[MOV]]&gt;0,1,IF(Games[[#This Row],[MOV]]=0,0.5,0))</f>
        <v>1</v>
      </c>
      <c r="W387" s="4">
        <f>((ABS(Games[[#This Row],[MOV]])+5)^0.6)/(12+0.01*(ABS(Games[[#This Row],[PreGmRate]]-Games[[#This Row],[OppPreGmRate]])))*IF(Games[[#This Row],[OT]]=1,0.9,1)</f>
        <v>0.67573536289471625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7" s="9">
        <f>MAX(kmin, kmax - 0.15 * MIN(Games[[#This Row],[GamesPlayed]], 82))</f>
        <v>71.2</v>
      </c>
      <c r="Z387" s="4">
        <f>Games[[#This Row],[K]]*Games[[#This Row],[POMult]]</f>
        <v>71.2</v>
      </c>
      <c r="AA387" s="4">
        <f>(Games[[#This Row],[Keff]]*Games[[#This Row],[MOVMult]])*(Games[[#This Row],[Result]]-Games[[#This Row],[ExpectedWin%]])</f>
        <v>21.661028898801288</v>
      </c>
      <c r="AB387" s="4">
        <f>Games[[#This Row],[PreGmRate]]+Games[[#This Row],[RatingChange]]</f>
        <v>1492.4139203280322</v>
      </c>
      <c r="AC387" s="2">
        <f>IF(Games[[#This Row],[Type]]="R",IF(Games[[#This Row],[Result]]&gt;0.5,1,0),0)</f>
        <v>1</v>
      </c>
      <c r="AD387" s="2">
        <f>IF(Games[[#This Row],[Type]]="R",IF(Games[[#This Row],[Result]]&lt;0.5,1,0),0)</f>
        <v>0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42256</v>
      </c>
      <c r="B388" s="2">
        <v>2015</v>
      </c>
      <c r="C388" s="2">
        <f>COUNTIFS(Games[Team],Games[[#This Row],[Team]],Games[Season],Games[[#This Row],[Season]],Games[Date],"&lt;=" &amp; Games[[#This Row],[Date]])</f>
        <v>33</v>
      </c>
      <c r="D388" s="2" t="s">
        <v>83</v>
      </c>
      <c r="E388" s="2" t="s">
        <v>84</v>
      </c>
      <c r="F388" s="1" t="s">
        <v>76</v>
      </c>
      <c r="G388" s="1" t="s">
        <v>60</v>
      </c>
      <c r="H388" s="1" t="s">
        <v>85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4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8" s="2">
        <f>Games[[#This Row],[DaysOff]]-Games[[#This Row],[OppDaysOff]]</f>
        <v>2</v>
      </c>
      <c r="L388" s="2">
        <f>Games[[#This Row],[OppDaysOff]]-Games[[#This Row],[DaysOff]]</f>
        <v>-2</v>
      </c>
      <c r="M388" s="1">
        <f>MAX(-16, MIN(16, Games[[#This Row],[RestDiff]]*8))</f>
        <v>16</v>
      </c>
      <c r="N388" s="1">
        <f>MAX(-16, MIN(16, Games[[#This Row],[OppRestDiff]]*8))</f>
        <v>-16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1417.8666707176012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1599.5828235536205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0.20662698647590302</v>
      </c>
      <c r="R388" s="1">
        <v>64</v>
      </c>
      <c r="S388" s="1">
        <v>74</v>
      </c>
      <c r="T388" s="1">
        <v>0</v>
      </c>
      <c r="U388" s="1">
        <f>Games[[#This Row],[PointsFor]]-Games[[#This Row],[PointsAgainst]]</f>
        <v>-10</v>
      </c>
      <c r="V388" s="1">
        <f>IF(Games[[#This Row],[MOV]]&gt;0,1,IF(Games[[#This Row],[MOV]]=0,0.5,0))</f>
        <v>0</v>
      </c>
      <c r="W388" s="4">
        <f>((ABS(Games[[#This Row],[MOV]])+5)^0.6)/(12+0.01*(ABS(Games[[#This Row],[PreGmRate]]-Games[[#This Row],[OppPreGmRate]])))*IF(Games[[#This Row],[OT]]=1,0.9,1)</f>
        <v>0.36748187256590659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8" s="9">
        <f>MAX(kmin, kmax - 0.15 * MIN(Games[[#This Row],[GamesPlayed]], 82))</f>
        <v>71.05</v>
      </c>
      <c r="Z388" s="4">
        <f>Games[[#This Row],[K]]*Games[[#This Row],[POMult]]</f>
        <v>71.05</v>
      </c>
      <c r="AA388" s="4">
        <f>(Games[[#This Row],[Keff]]*Games[[#This Row],[MOVMult]])*(Games[[#This Row],[Result]]-Games[[#This Row],[ExpectedWin%]])</f>
        <v>-5.3949452894055128</v>
      </c>
      <c r="AB388" s="4">
        <f>Games[[#This Row],[PreGmRate]]+Games[[#This Row],[RatingChange]]</f>
        <v>1412.4717254281957</v>
      </c>
      <c r="AC388" s="2">
        <f>IF(Games[[#This Row],[Type]]="R",IF(Games[[#This Row],[Result]]&gt;0.5,1,0),0)</f>
        <v>0</v>
      </c>
      <c r="AD388" s="2">
        <f>IF(Games[[#This Row],[Type]]="R",IF(Games[[#This Row],[Result]]&lt;0.5,1,0),0)</f>
        <v>1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42256</v>
      </c>
      <c r="B389" s="2">
        <v>2015</v>
      </c>
      <c r="C389" s="2">
        <f>COUNTIFS(Games[Team],Games[[#This Row],[Team]],Games[Season],Games[[#This Row],[Season]],Games[Date],"&lt;=" &amp; Games[[#This Row],[Date]])</f>
        <v>32</v>
      </c>
      <c r="D389" s="2" t="s">
        <v>83</v>
      </c>
      <c r="E389" s="2" t="s">
        <v>84</v>
      </c>
      <c r="F389" s="1" t="s">
        <v>60</v>
      </c>
      <c r="G389" s="1" t="s">
        <v>76</v>
      </c>
      <c r="H389" s="1" t="s">
        <v>86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89" s="2">
        <f>Games[[#This Row],[DaysOff]]-Games[[#This Row],[OppDaysOff]]</f>
        <v>-2</v>
      </c>
      <c r="L389" s="2">
        <f>Games[[#This Row],[OppDaysOff]]-Games[[#This Row],[DaysOff]]</f>
        <v>2</v>
      </c>
      <c r="M389" s="1">
        <f>MAX(-16, MIN(16, Games[[#This Row],[RestDiff]]*8))</f>
        <v>-16</v>
      </c>
      <c r="N389" s="1">
        <f>MAX(-16, MIN(16, Games[[#This Row],[OppRestDiff]]*8))</f>
        <v>16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1599.5828235536205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1417.8666707176012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0.79337301352409695</v>
      </c>
      <c r="R389" s="1">
        <v>74</v>
      </c>
      <c r="S389" s="1">
        <v>64</v>
      </c>
      <c r="T389" s="1">
        <v>0</v>
      </c>
      <c r="U389" s="1">
        <f>Games[[#This Row],[PointsFor]]-Games[[#This Row],[PointsAgainst]]</f>
        <v>10</v>
      </c>
      <c r="V389" s="1">
        <f>IF(Games[[#This Row],[MOV]]&gt;0,1,IF(Games[[#This Row],[MOV]]=0,0.5,0))</f>
        <v>1</v>
      </c>
      <c r="W389" s="4">
        <f>((ABS(Games[[#This Row],[MOV]])+5)^0.6)/(12+0.01*(ABS(Games[[#This Row],[PreGmRate]]-Games[[#This Row],[OppPreGmRate]])))*IF(Games[[#This Row],[OT]]=1,0.9,1)</f>
        <v>0.36748187256590659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9" s="9">
        <f>MAX(kmin, kmax - 0.15 * MIN(Games[[#This Row],[GamesPlayed]], 82))</f>
        <v>71.2</v>
      </c>
      <c r="Z389" s="4">
        <f>Games[[#This Row],[K]]*Games[[#This Row],[POMult]]</f>
        <v>71.2</v>
      </c>
      <c r="AA389" s="4">
        <f>(Games[[#This Row],[Keff]]*Games[[#This Row],[MOVMult]])*(Games[[#This Row],[Result]]-Games[[#This Row],[ExpectedWin%]])</f>
        <v>5.4063350401924355</v>
      </c>
      <c r="AB389" s="4">
        <f>Games[[#This Row],[PreGmRate]]+Games[[#This Row],[RatingChange]]</f>
        <v>1604.989158593813</v>
      </c>
      <c r="AC389" s="2">
        <f>IF(Games[[#This Row],[Type]]="R",IF(Games[[#This Row],[Result]]&gt;0.5,1,0),0)</f>
        <v>1</v>
      </c>
      <c r="AD389" s="2">
        <f>IF(Games[[#This Row],[Type]]="R",IF(Games[[#This Row],[Result]]&lt;0.5,1,0),0)</f>
        <v>0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42258</v>
      </c>
      <c r="B390" s="2">
        <v>2015</v>
      </c>
      <c r="C390" s="2">
        <f>COUNTIFS(Games[Team],Games[[#This Row],[Team]],Games[Season],Games[[#This Row],[Season]],Games[Date],"&lt;=" &amp; Games[[#This Row],[Date]])</f>
        <v>33</v>
      </c>
      <c r="D390" s="2" t="s">
        <v>83</v>
      </c>
      <c r="E390" s="2" t="s">
        <v>84</v>
      </c>
      <c r="F390" s="1" t="s">
        <v>69</v>
      </c>
      <c r="G390" s="1" t="s">
        <v>79</v>
      </c>
      <c r="H390" s="1" t="s">
        <v>85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0" s="2">
        <f>Games[[#This Row],[DaysOff]]-Games[[#This Row],[OppDaysOff]]</f>
        <v>1</v>
      </c>
      <c r="L390" s="2">
        <f>Games[[#This Row],[OppDaysOff]]-Games[[#This Row],[DaysOff]]</f>
        <v>-1</v>
      </c>
      <c r="M390" s="1">
        <f>MAX(-16, MIN(16, Games[[#This Row],[RestDiff]]*8))</f>
        <v>8</v>
      </c>
      <c r="N390" s="1">
        <f>MAX(-16, MIN(16, Games[[#This Row],[OppRestDiff]]*8))</f>
        <v>-8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1538.2840683750217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1492.4139203280322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0.4681955818735275</v>
      </c>
      <c r="R390" s="1">
        <v>75</v>
      </c>
      <c r="S390" s="1">
        <v>67</v>
      </c>
      <c r="T390" s="1">
        <v>0</v>
      </c>
      <c r="U390" s="1">
        <f>Games[[#This Row],[PointsFor]]-Games[[#This Row],[PointsAgainst]]</f>
        <v>8</v>
      </c>
      <c r="V390" s="1">
        <f>IF(Games[[#This Row],[MOV]]&gt;0,1,IF(Games[[#This Row],[MOV]]=0,0.5,0))</f>
        <v>1</v>
      </c>
      <c r="W390" s="4">
        <f>((ABS(Games[[#This Row],[MOV]])+5)^0.6)/(12+0.01*(ABS(Games[[#This Row],[PreGmRate]]-Games[[#This Row],[OppPreGmRate]])))*IF(Games[[#This Row],[OT]]=1,0.9,1)</f>
        <v>0.37401862684812609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0" s="9">
        <f>MAX(kmin, kmax - 0.15 * MIN(Games[[#This Row],[GamesPlayed]], 82))</f>
        <v>71.05</v>
      </c>
      <c r="Z390" s="4">
        <f>Games[[#This Row],[K]]*Games[[#This Row],[POMult]]</f>
        <v>71.05</v>
      </c>
      <c r="AA390" s="4">
        <f>(Games[[#This Row],[Keff]]*Games[[#This Row],[MOVMult]])*(Games[[#This Row],[Result]]-Games[[#This Row],[ExpectedWin%]])</f>
        <v>14.132183071490497</v>
      </c>
      <c r="AB390" s="4">
        <f>Games[[#This Row],[PreGmRate]]+Games[[#This Row],[RatingChange]]</f>
        <v>1552.4162514465122</v>
      </c>
      <c r="AC390" s="2">
        <f>IF(Games[[#This Row],[Type]]="R",IF(Games[[#This Row],[Result]]&gt;0.5,1,0),0)</f>
        <v>1</v>
      </c>
      <c r="AD390" s="2">
        <f>IF(Games[[#This Row],[Type]]="R",IF(Games[[#This Row],[Result]]&lt;0.5,1,0),0)</f>
        <v>0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42258</v>
      </c>
      <c r="B391" s="2">
        <v>2015</v>
      </c>
      <c r="C391" s="2">
        <f>COUNTIFS(Games[Team],Games[[#This Row],[Team]],Games[Season],Games[[#This Row],[Season]],Games[Date],"&lt;=" &amp; Games[[#This Row],[Date]])</f>
        <v>33</v>
      </c>
      <c r="D391" s="2" t="s">
        <v>83</v>
      </c>
      <c r="E391" s="2" t="s">
        <v>84</v>
      </c>
      <c r="F391" s="1" t="s">
        <v>79</v>
      </c>
      <c r="G391" s="1" t="s">
        <v>69</v>
      </c>
      <c r="H391" s="1" t="s">
        <v>86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1" s="2">
        <f>Games[[#This Row],[DaysOff]]-Games[[#This Row],[OppDaysOff]]</f>
        <v>-1</v>
      </c>
      <c r="L391" s="2">
        <f>Games[[#This Row],[OppDaysOff]]-Games[[#This Row],[DaysOff]]</f>
        <v>1</v>
      </c>
      <c r="M391" s="1">
        <f>MAX(-16, MIN(16, Games[[#This Row],[RestDiff]]*8))</f>
        <v>-8</v>
      </c>
      <c r="N391" s="1">
        <f>MAX(-16, MIN(16, Games[[#This Row],[OppRestDiff]]*8))</f>
        <v>8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1492.4139203280322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1538.2840683750217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0.5318044181264725</v>
      </c>
      <c r="R391" s="1">
        <v>67</v>
      </c>
      <c r="S391" s="1">
        <v>75</v>
      </c>
      <c r="T391" s="1">
        <v>0</v>
      </c>
      <c r="U391" s="1">
        <f>Games[[#This Row],[PointsFor]]-Games[[#This Row],[PointsAgainst]]</f>
        <v>-8</v>
      </c>
      <c r="V391" s="1">
        <f>IF(Games[[#This Row],[MOV]]&gt;0,1,IF(Games[[#This Row],[MOV]]=0,0.5,0))</f>
        <v>0</v>
      </c>
      <c r="W391" s="4">
        <f>((ABS(Games[[#This Row],[MOV]])+5)^0.6)/(12+0.01*(ABS(Games[[#This Row],[PreGmRate]]-Games[[#This Row],[OppPreGmRate]])))*IF(Games[[#This Row],[OT]]=1,0.9,1)</f>
        <v>0.37401862684812609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1" s="9">
        <f>MAX(kmin, kmax - 0.15 * MIN(Games[[#This Row],[GamesPlayed]], 82))</f>
        <v>71.05</v>
      </c>
      <c r="Z391" s="4">
        <f>Games[[#This Row],[K]]*Games[[#This Row],[POMult]]</f>
        <v>71.05</v>
      </c>
      <c r="AA391" s="4">
        <f>(Games[[#This Row],[Keff]]*Games[[#This Row],[MOVMult]])*(Games[[#This Row],[Result]]-Games[[#This Row],[ExpectedWin%]])</f>
        <v>-14.132183071490497</v>
      </c>
      <c r="AB391" s="4">
        <f>Games[[#This Row],[PreGmRate]]+Games[[#This Row],[RatingChange]]</f>
        <v>1478.2817372565416</v>
      </c>
      <c r="AC391" s="2">
        <f>IF(Games[[#This Row],[Type]]="R",IF(Games[[#This Row],[Result]]&gt;0.5,1,0),0)</f>
        <v>0</v>
      </c>
      <c r="AD391" s="2">
        <f>IF(Games[[#This Row],[Type]]="R",IF(Games[[#This Row],[Result]]&lt;0.5,1,0),0)</f>
        <v>1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42258</v>
      </c>
      <c r="B392" s="2">
        <v>2015</v>
      </c>
      <c r="C392" s="2">
        <f>COUNTIFS(Games[Team],Games[[#This Row],[Team]],Games[Season],Games[[#This Row],[Season]],Games[Date],"&lt;=" &amp; Games[[#This Row],[Date]])</f>
        <v>33</v>
      </c>
      <c r="D392" s="2" t="s">
        <v>83</v>
      </c>
      <c r="E392" s="2" t="s">
        <v>84</v>
      </c>
      <c r="F392" s="1" t="s">
        <v>81</v>
      </c>
      <c r="G392" s="1" t="s">
        <v>77</v>
      </c>
      <c r="H392" s="1" t="s">
        <v>85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92" s="2">
        <f>Games[[#This Row],[DaysOff]]-Games[[#This Row],[OppDaysOff]]</f>
        <v>-2</v>
      </c>
      <c r="L392" s="2">
        <f>Games[[#This Row],[OppDaysOff]]-Games[[#This Row],[DaysOff]]</f>
        <v>2</v>
      </c>
      <c r="M392" s="1">
        <f>MAX(-16, MIN(16, Games[[#This Row],[RestDiff]]*8))</f>
        <v>-16</v>
      </c>
      <c r="N392" s="1">
        <f>MAX(-16, MIN(16, Games[[#This Row],[OppRestDiff]]*8))</f>
        <v>16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1497.5679747127156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1581.9701148443755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0.23983078435577279</v>
      </c>
      <c r="R392" s="1">
        <v>71</v>
      </c>
      <c r="S392" s="1">
        <v>92</v>
      </c>
      <c r="T392" s="1">
        <v>0</v>
      </c>
      <c r="U392" s="1">
        <f>Games[[#This Row],[PointsFor]]-Games[[#This Row],[PointsAgainst]]</f>
        <v>-21</v>
      </c>
      <c r="V392" s="1">
        <f>IF(Games[[#This Row],[MOV]]&gt;0,1,IF(Games[[#This Row],[MOV]]=0,0.5,0))</f>
        <v>0</v>
      </c>
      <c r="W392" s="4">
        <f>((ABS(Games[[#This Row],[MOV]])+5)^0.6)/(12+0.01*(ABS(Games[[#This Row],[PreGmRate]]-Games[[#This Row],[OppPreGmRate]])))*IF(Games[[#This Row],[OT]]=1,0.9,1)</f>
        <v>0.54989907386208881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2" s="9">
        <f>MAX(kmin, kmax - 0.15 * MIN(Games[[#This Row],[GamesPlayed]], 82))</f>
        <v>71.05</v>
      </c>
      <c r="Z392" s="4">
        <f>Games[[#This Row],[K]]*Games[[#This Row],[POMult]]</f>
        <v>71.05</v>
      </c>
      <c r="AA392" s="4">
        <f>(Games[[#This Row],[Keff]]*Games[[#This Row],[MOVMult]])*(Games[[#This Row],[Result]]-Games[[#This Row],[ExpectedWin%]])</f>
        <v>-9.3702676965709468</v>
      </c>
      <c r="AB392" s="4">
        <f>Games[[#This Row],[PreGmRate]]+Games[[#This Row],[RatingChange]]</f>
        <v>1488.1977070161447</v>
      </c>
      <c r="AC392" s="2">
        <f>IF(Games[[#This Row],[Type]]="R",IF(Games[[#This Row],[Result]]&gt;0.5,1,0),0)</f>
        <v>0</v>
      </c>
      <c r="AD392" s="2">
        <f>IF(Games[[#This Row],[Type]]="R",IF(Games[[#This Row],[Result]]&lt;0.5,1,0),0)</f>
        <v>1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42258</v>
      </c>
      <c r="B393" s="2">
        <v>2015</v>
      </c>
      <c r="C393" s="2">
        <f>COUNTIFS(Games[Team],Games[[#This Row],[Team]],Games[Season],Games[[#This Row],[Season]],Games[Date],"&lt;=" &amp; Games[[#This Row],[Date]])</f>
        <v>33</v>
      </c>
      <c r="D393" s="2" t="s">
        <v>83</v>
      </c>
      <c r="E393" s="2" t="s">
        <v>84</v>
      </c>
      <c r="F393" s="1" t="s">
        <v>77</v>
      </c>
      <c r="G393" s="1" t="s">
        <v>81</v>
      </c>
      <c r="H393" s="1" t="s">
        <v>86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4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3" s="2">
        <f>Games[[#This Row],[DaysOff]]-Games[[#This Row],[OppDaysOff]]</f>
        <v>2</v>
      </c>
      <c r="L393" s="2">
        <f>Games[[#This Row],[OppDaysOff]]-Games[[#This Row],[DaysOff]]</f>
        <v>-2</v>
      </c>
      <c r="M393" s="1">
        <f>MAX(-16, MIN(16, Games[[#This Row],[RestDiff]]*8))</f>
        <v>16</v>
      </c>
      <c r="N393" s="1">
        <f>MAX(-16, MIN(16, Games[[#This Row],[OppRestDiff]]*8))</f>
        <v>-16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1581.9701148443755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1497.5679747127156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0.76016921564422724</v>
      </c>
      <c r="R393" s="1">
        <v>92</v>
      </c>
      <c r="S393" s="1">
        <v>71</v>
      </c>
      <c r="T393" s="1">
        <v>0</v>
      </c>
      <c r="U393" s="1">
        <f>Games[[#This Row],[PointsFor]]-Games[[#This Row],[PointsAgainst]]</f>
        <v>21</v>
      </c>
      <c r="V393" s="1">
        <f>IF(Games[[#This Row],[MOV]]&gt;0,1,IF(Games[[#This Row],[MOV]]=0,0.5,0))</f>
        <v>1</v>
      </c>
      <c r="W393" s="4">
        <f>((ABS(Games[[#This Row],[MOV]])+5)^0.6)/(12+0.01*(ABS(Games[[#This Row],[PreGmRate]]-Games[[#This Row],[OppPreGmRate]])))*IF(Games[[#This Row],[OT]]=1,0.9,1)</f>
        <v>0.54989907386208881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3" s="9">
        <f>MAX(kmin, kmax - 0.15 * MIN(Games[[#This Row],[GamesPlayed]], 82))</f>
        <v>71.05</v>
      </c>
      <c r="Z393" s="4">
        <f>Games[[#This Row],[K]]*Games[[#This Row],[POMult]]</f>
        <v>71.05</v>
      </c>
      <c r="AA393" s="4">
        <f>(Games[[#This Row],[Keff]]*Games[[#This Row],[MOVMult]])*(Games[[#This Row],[Result]]-Games[[#This Row],[ExpectedWin%]])</f>
        <v>9.370267696570945</v>
      </c>
      <c r="AB393" s="4">
        <f>Games[[#This Row],[PreGmRate]]+Games[[#This Row],[RatingChange]]</f>
        <v>1591.3403825409464</v>
      </c>
      <c r="AC393" s="2">
        <f>IF(Games[[#This Row],[Type]]="R",IF(Games[[#This Row],[Result]]&gt;0.5,1,0),0)</f>
        <v>1</v>
      </c>
      <c r="AD393" s="2">
        <f>IF(Games[[#This Row],[Type]]="R",IF(Games[[#This Row],[Result]]&lt;0.5,1,0),0)</f>
        <v>0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42258</v>
      </c>
      <c r="B394" s="2">
        <v>2015</v>
      </c>
      <c r="C394" s="2">
        <f>COUNTIFS(Games[Team],Games[[#This Row],[Team]],Games[Season],Games[[#This Row],[Season]],Games[Date],"&lt;=" &amp; Games[[#This Row],[Date]])</f>
        <v>33</v>
      </c>
      <c r="D394" s="2" t="s">
        <v>83</v>
      </c>
      <c r="E394" s="2" t="s">
        <v>84</v>
      </c>
      <c r="F394" s="1" t="s">
        <v>65</v>
      </c>
      <c r="G394" s="1" t="s">
        <v>60</v>
      </c>
      <c r="H394" s="1" t="s">
        <v>85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4" s="2">
        <f>Games[[#This Row],[DaysOff]]-Games[[#This Row],[OppDaysOff]]</f>
        <v>1</v>
      </c>
      <c r="L394" s="2">
        <f>Games[[#This Row],[OppDaysOff]]-Games[[#This Row],[DaysOff]]</f>
        <v>-1</v>
      </c>
      <c r="M394" s="1">
        <f>MAX(-16, MIN(16, Games[[#This Row],[RestDiff]]*8))</f>
        <v>8</v>
      </c>
      <c r="N394" s="1">
        <f>MAX(-16, MIN(16, Games[[#This Row],[OppRestDiff]]*8))</f>
        <v>-8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1519.4674442354121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1604.989158593813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0.29240293948506552</v>
      </c>
      <c r="R394" s="1">
        <v>82</v>
      </c>
      <c r="S394" s="1">
        <v>55</v>
      </c>
      <c r="T394" s="1">
        <v>0</v>
      </c>
      <c r="U394" s="1">
        <f>Games[[#This Row],[PointsFor]]-Games[[#This Row],[PointsAgainst]]</f>
        <v>27</v>
      </c>
      <c r="V394" s="1">
        <f>IF(Games[[#This Row],[MOV]]&gt;0,1,IF(Games[[#This Row],[MOV]]=0,0.5,0))</f>
        <v>1</v>
      </c>
      <c r="W394" s="4">
        <f>((ABS(Games[[#This Row],[MOV]])+5)^0.6)/(12+0.01*(ABS(Games[[#This Row],[PreGmRate]]-Games[[#This Row],[OppPreGmRate]])))*IF(Games[[#This Row],[OT]]=1,0.9,1)</f>
        <v>0.62231543120940347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4" s="9">
        <f>MAX(kmin, kmax - 0.15 * MIN(Games[[#This Row],[GamesPlayed]], 82))</f>
        <v>71.05</v>
      </c>
      <c r="Z394" s="4">
        <f>Games[[#This Row],[K]]*Games[[#This Row],[POMult]]</f>
        <v>71.05</v>
      </c>
      <c r="AA394" s="4">
        <f>(Games[[#This Row],[Keff]]*Games[[#This Row],[MOVMult]])*(Games[[#This Row],[Result]]-Games[[#This Row],[ExpectedWin%]])</f>
        <v>31.286765886908746</v>
      </c>
      <c r="AB394" s="4">
        <f>Games[[#This Row],[PreGmRate]]+Games[[#This Row],[RatingChange]]</f>
        <v>1550.754210122321</v>
      </c>
      <c r="AC394" s="2">
        <f>IF(Games[[#This Row],[Type]]="R",IF(Games[[#This Row],[Result]]&gt;0.5,1,0),0)</f>
        <v>1</v>
      </c>
      <c r="AD394" s="2">
        <f>IF(Games[[#This Row],[Type]]="R",IF(Games[[#This Row],[Result]]&lt;0.5,1,0),0)</f>
        <v>0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42258</v>
      </c>
      <c r="B395" s="2">
        <v>2015</v>
      </c>
      <c r="C395" s="2">
        <f>COUNTIFS(Games[Team],Games[[#This Row],[Team]],Games[Season],Games[[#This Row],[Season]],Games[Date],"&lt;=" &amp; Games[[#This Row],[Date]])</f>
        <v>33</v>
      </c>
      <c r="D395" s="2" t="s">
        <v>83</v>
      </c>
      <c r="E395" s="2" t="s">
        <v>84</v>
      </c>
      <c r="F395" s="1" t="s">
        <v>60</v>
      </c>
      <c r="G395" s="1" t="s">
        <v>65</v>
      </c>
      <c r="H395" s="1" t="s">
        <v>86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5" s="2">
        <f>Games[[#This Row],[DaysOff]]-Games[[#This Row],[OppDaysOff]]</f>
        <v>-1</v>
      </c>
      <c r="L395" s="2">
        <f>Games[[#This Row],[OppDaysOff]]-Games[[#This Row],[DaysOff]]</f>
        <v>1</v>
      </c>
      <c r="M395" s="1">
        <f>MAX(-16, MIN(16, Games[[#This Row],[RestDiff]]*8))</f>
        <v>-8</v>
      </c>
      <c r="N395" s="1">
        <f>MAX(-16, MIN(16, Games[[#This Row],[OppRestDiff]]*8))</f>
        <v>8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1604.989158593813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1519.4674442354121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0.70759706051493443</v>
      </c>
      <c r="R395" s="1">
        <v>55</v>
      </c>
      <c r="S395" s="1">
        <v>82</v>
      </c>
      <c r="T395" s="1">
        <v>0</v>
      </c>
      <c r="U395" s="1">
        <f>Games[[#This Row],[PointsFor]]-Games[[#This Row],[PointsAgainst]]</f>
        <v>-27</v>
      </c>
      <c r="V395" s="1">
        <f>IF(Games[[#This Row],[MOV]]&gt;0,1,IF(Games[[#This Row],[MOV]]=0,0.5,0))</f>
        <v>0</v>
      </c>
      <c r="W395" s="4">
        <f>((ABS(Games[[#This Row],[MOV]])+5)^0.6)/(12+0.01*(ABS(Games[[#This Row],[PreGmRate]]-Games[[#This Row],[OppPreGmRate]])))*IF(Games[[#This Row],[OT]]=1,0.9,1)</f>
        <v>0.62231543120940347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5" s="9">
        <f>MAX(kmin, kmax - 0.15 * MIN(Games[[#This Row],[GamesPlayed]], 82))</f>
        <v>71.05</v>
      </c>
      <c r="Z395" s="4">
        <f>Games[[#This Row],[K]]*Games[[#This Row],[POMult]]</f>
        <v>71.05</v>
      </c>
      <c r="AA395" s="4">
        <f>(Games[[#This Row],[Keff]]*Games[[#This Row],[MOVMult]])*(Games[[#This Row],[Result]]-Games[[#This Row],[ExpectedWin%]])</f>
        <v>-31.286765886908746</v>
      </c>
      <c r="AB395" s="4">
        <f>Games[[#This Row],[PreGmRate]]+Games[[#This Row],[RatingChange]]</f>
        <v>1573.7023927069042</v>
      </c>
      <c r="AC395" s="2">
        <f>IF(Games[[#This Row],[Type]]="R",IF(Games[[#This Row],[Result]]&gt;0.5,1,0),0)</f>
        <v>0</v>
      </c>
      <c r="AD395" s="2">
        <f>IF(Games[[#This Row],[Type]]="R",IF(Games[[#This Row],[Result]]&lt;0.5,1,0),0)</f>
        <v>1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42258</v>
      </c>
      <c r="B396" s="2">
        <v>2015</v>
      </c>
      <c r="C396" s="2">
        <f>COUNTIFS(Games[Team],Games[[#This Row],[Team]],Games[Season],Games[[#This Row],[Season]],Games[Date],"&lt;=" &amp; Games[[#This Row],[Date]])</f>
        <v>34</v>
      </c>
      <c r="D396" s="2" t="s">
        <v>83</v>
      </c>
      <c r="E396" s="2" t="s">
        <v>84</v>
      </c>
      <c r="F396" s="1" t="s">
        <v>63</v>
      </c>
      <c r="G396" s="1" t="s">
        <v>40</v>
      </c>
      <c r="H396" s="1" t="s">
        <v>85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96" s="2">
        <f>Games[[#This Row],[DaysOff]]-Games[[#This Row],[OppDaysOff]]</f>
        <v>-4</v>
      </c>
      <c r="L396" s="2">
        <f>Games[[#This Row],[OppDaysOff]]-Games[[#This Row],[DaysOff]]</f>
        <v>4</v>
      </c>
      <c r="M396" s="1">
        <f>MAX(-16, MIN(16, Games[[#This Row],[RestDiff]]*8))</f>
        <v>-16</v>
      </c>
      <c r="N396" s="1">
        <f>MAX(-16, MIN(16, Games[[#This Row],[OppRestDiff]]*8))</f>
        <v>16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1498.4301309160257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1588.8042333106803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0.2336195411469372</v>
      </c>
      <c r="R396" s="1">
        <v>65</v>
      </c>
      <c r="S396" s="1">
        <v>70</v>
      </c>
      <c r="T396" s="1">
        <v>0</v>
      </c>
      <c r="U396" s="1">
        <f>Games[[#This Row],[PointsFor]]-Games[[#This Row],[PointsAgainst]]</f>
        <v>-5</v>
      </c>
      <c r="V396" s="1">
        <f>IF(Games[[#This Row],[MOV]]&gt;0,1,IF(Games[[#This Row],[MOV]]=0,0.5,0))</f>
        <v>0</v>
      </c>
      <c r="W396" s="4">
        <f>((ABS(Games[[#This Row],[MOV]])+5)^0.6)/(12+0.01*(ABS(Games[[#This Row],[PreGmRate]]-Games[[#This Row],[OppPreGmRate]])))*IF(Games[[#This Row],[OT]]=1,0.9,1)</f>
        <v>0.30852073814461767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6" s="9">
        <f>MAX(kmin, kmax - 0.15 * MIN(Games[[#This Row],[GamesPlayed]], 82))</f>
        <v>70.900000000000006</v>
      </c>
      <c r="Z396" s="4">
        <f>Games[[#This Row],[K]]*Games[[#This Row],[POMult]]</f>
        <v>70.900000000000006</v>
      </c>
      <c r="AA396" s="4">
        <f>(Games[[#This Row],[Keff]]*Games[[#This Row],[MOVMult]])*(Games[[#This Row],[Result]]-Games[[#This Row],[ExpectedWin%]])</f>
        <v>-5.1102219555278907</v>
      </c>
      <c r="AB396" s="4">
        <f>Games[[#This Row],[PreGmRate]]+Games[[#This Row],[RatingChange]]</f>
        <v>1493.3199089604977</v>
      </c>
      <c r="AC396" s="2">
        <f>IF(Games[[#This Row],[Type]]="R",IF(Games[[#This Row],[Result]]&gt;0.5,1,0),0)</f>
        <v>0</v>
      </c>
      <c r="AD396" s="2">
        <f>IF(Games[[#This Row],[Type]]="R",IF(Games[[#This Row],[Result]]&lt;0.5,1,0),0)</f>
        <v>1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42258</v>
      </c>
      <c r="B397" s="2">
        <v>2015</v>
      </c>
      <c r="C397" s="2">
        <f>COUNTIFS(Games[Team],Games[[#This Row],[Team]],Games[Season],Games[[#This Row],[Season]],Games[Date],"&lt;=" &amp; Games[[#This Row],[Date]])</f>
        <v>33</v>
      </c>
      <c r="D397" s="2" t="s">
        <v>83</v>
      </c>
      <c r="E397" s="2" t="s">
        <v>84</v>
      </c>
      <c r="F397" s="1" t="s">
        <v>40</v>
      </c>
      <c r="G397" s="1" t="s">
        <v>63</v>
      </c>
      <c r="H397" s="1" t="s">
        <v>86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5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7" s="2">
        <f>Games[[#This Row],[DaysOff]]-Games[[#This Row],[OppDaysOff]]</f>
        <v>4</v>
      </c>
      <c r="L397" s="2">
        <f>Games[[#This Row],[OppDaysOff]]-Games[[#This Row],[DaysOff]]</f>
        <v>-4</v>
      </c>
      <c r="M397" s="1">
        <f>MAX(-16, MIN(16, Games[[#This Row],[RestDiff]]*8))</f>
        <v>16</v>
      </c>
      <c r="N397" s="1">
        <f>MAX(-16, MIN(16, Games[[#This Row],[OppRestDiff]]*8))</f>
        <v>-16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1588.8042333106803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1498.4301309160257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0.76638045885306283</v>
      </c>
      <c r="R397" s="1">
        <v>70</v>
      </c>
      <c r="S397" s="1">
        <v>65</v>
      </c>
      <c r="T397" s="1">
        <v>0</v>
      </c>
      <c r="U397" s="1">
        <f>Games[[#This Row],[PointsFor]]-Games[[#This Row],[PointsAgainst]]</f>
        <v>5</v>
      </c>
      <c r="V397" s="1">
        <f>IF(Games[[#This Row],[MOV]]&gt;0,1,IF(Games[[#This Row],[MOV]]=0,0.5,0))</f>
        <v>1</v>
      </c>
      <c r="W397" s="4">
        <f>((ABS(Games[[#This Row],[MOV]])+5)^0.6)/(12+0.01*(ABS(Games[[#This Row],[PreGmRate]]-Games[[#This Row],[OppPreGmRate]])))*IF(Games[[#This Row],[OT]]=1,0.9,1)</f>
        <v>0.30852073814461767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7" s="9">
        <f>MAX(kmin, kmax - 0.15 * MIN(Games[[#This Row],[GamesPlayed]], 82))</f>
        <v>71.05</v>
      </c>
      <c r="Z397" s="4">
        <f>Games[[#This Row],[K]]*Games[[#This Row],[POMult]]</f>
        <v>71.05</v>
      </c>
      <c r="AA397" s="4">
        <f>(Games[[#This Row],[Keff]]*Games[[#This Row],[MOVMult]])*(Games[[#This Row],[Result]]-Games[[#This Row],[ExpectedWin%]])</f>
        <v>5.1210334265198387</v>
      </c>
      <c r="AB397" s="4">
        <f>Games[[#This Row],[PreGmRate]]+Games[[#This Row],[RatingChange]]</f>
        <v>1593.9252667372002</v>
      </c>
      <c r="AC397" s="2">
        <f>IF(Games[[#This Row],[Type]]="R",IF(Games[[#This Row],[Result]]&gt;0.5,1,0),0)</f>
        <v>1</v>
      </c>
      <c r="AD397" s="2">
        <f>IF(Games[[#This Row],[Type]]="R",IF(Games[[#This Row],[Result]]&lt;0.5,1,0),0)</f>
        <v>0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42258</v>
      </c>
      <c r="B398" s="2">
        <v>2015</v>
      </c>
      <c r="C398" s="2">
        <f>COUNTIFS(Games[Team],Games[[#This Row],[Team]],Games[Season],Games[[#This Row],[Season]],Games[Date],"&lt;=" &amp; Games[[#This Row],[Date]])</f>
        <v>34</v>
      </c>
      <c r="D398" s="2" t="s">
        <v>83</v>
      </c>
      <c r="E398" s="2" t="s">
        <v>84</v>
      </c>
      <c r="F398" s="1" t="s">
        <v>67</v>
      </c>
      <c r="G398" s="1" t="s">
        <v>71</v>
      </c>
      <c r="H398" s="1" t="s">
        <v>85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8" s="2">
        <f>Games[[#This Row],[DaysOff]]-Games[[#This Row],[OppDaysOff]]</f>
        <v>0</v>
      </c>
      <c r="L398" s="2">
        <f>Games[[#This Row],[OppDaysOff]]-Games[[#This Row],[DaysOff]]</f>
        <v>0</v>
      </c>
      <c r="M398" s="1">
        <f>MAX(-16, MIN(16, Games[[#This Row],[RestDiff]]*8))</f>
        <v>0</v>
      </c>
      <c r="N398" s="1">
        <f>MAX(-16, MIN(16, Games[[#This Row],[OppRestDiff]]*8))</f>
        <v>0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1590.0807053186359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1376.7867840347119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0.6779301124145436</v>
      </c>
      <c r="R398" s="1">
        <v>64</v>
      </c>
      <c r="S398" s="1">
        <v>78</v>
      </c>
      <c r="T398" s="1">
        <v>0</v>
      </c>
      <c r="U398" s="1">
        <f>Games[[#This Row],[PointsFor]]-Games[[#This Row],[PointsAgainst]]</f>
        <v>-14</v>
      </c>
      <c r="V398" s="1">
        <f>IF(Games[[#This Row],[MOV]]&gt;0,1,IF(Games[[#This Row],[MOV]]=0,0.5,0))</f>
        <v>0</v>
      </c>
      <c r="W398" s="4">
        <f>((ABS(Games[[#This Row],[MOV]])+5)^0.6)/(12+0.01*(ABS(Games[[#This Row],[PreGmRate]]-Games[[#This Row],[OppPreGmRate]])))*IF(Games[[#This Row],[OT]]=1,0.9,1)</f>
        <v>0.41401842562894015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8" s="9">
        <f>MAX(kmin, kmax - 0.15 * MIN(Games[[#This Row],[GamesPlayed]], 82))</f>
        <v>70.900000000000006</v>
      </c>
      <c r="Z398" s="4">
        <f>Games[[#This Row],[K]]*Games[[#This Row],[POMult]]</f>
        <v>70.900000000000006</v>
      </c>
      <c r="AA398" s="4">
        <f>(Games[[#This Row],[Keff]]*Games[[#This Row],[MOVMult]])*(Games[[#This Row],[Result]]-Games[[#This Row],[ExpectedWin%]])</f>
        <v>-19.899897050027874</v>
      </c>
      <c r="AB398" s="4">
        <f>Games[[#This Row],[PreGmRate]]+Games[[#This Row],[RatingChange]]</f>
        <v>1570.180808268608</v>
      </c>
      <c r="AC398" s="2">
        <f>IF(Games[[#This Row],[Type]]="R",IF(Games[[#This Row],[Result]]&gt;0.5,1,0),0)</f>
        <v>0</v>
      </c>
      <c r="AD398" s="2">
        <f>IF(Games[[#This Row],[Type]]="R",IF(Games[[#This Row],[Result]]&lt;0.5,1,0),0)</f>
        <v>1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0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42258</v>
      </c>
      <c r="B399" s="2">
        <v>2015</v>
      </c>
      <c r="C399" s="2">
        <f>COUNTIFS(Games[Team],Games[[#This Row],[Team]],Games[Season],Games[[#This Row],[Season]],Games[Date],"&lt;=" &amp; Games[[#This Row],[Date]])</f>
        <v>33</v>
      </c>
      <c r="D399" s="2" t="s">
        <v>83</v>
      </c>
      <c r="E399" s="2" t="s">
        <v>84</v>
      </c>
      <c r="F399" s="1" t="s">
        <v>71</v>
      </c>
      <c r="G399" s="1" t="s">
        <v>67</v>
      </c>
      <c r="H399" s="1" t="s">
        <v>86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9" s="2">
        <f>Games[[#This Row],[DaysOff]]-Games[[#This Row],[OppDaysOff]]</f>
        <v>0</v>
      </c>
      <c r="L399" s="2">
        <f>Games[[#This Row],[OppDaysOff]]-Games[[#This Row],[DaysOff]]</f>
        <v>0</v>
      </c>
      <c r="M399" s="1">
        <f>MAX(-16, MIN(16, Games[[#This Row],[RestDiff]]*8))</f>
        <v>0</v>
      </c>
      <c r="N399" s="1">
        <f>MAX(-16, MIN(16, Games[[#This Row],[OppRestDiff]]*8))</f>
        <v>0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1376.7867840347119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1590.0807053186359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0.3220698875854564</v>
      </c>
      <c r="R399" s="1">
        <v>78</v>
      </c>
      <c r="S399" s="1">
        <v>64</v>
      </c>
      <c r="T399" s="1">
        <v>0</v>
      </c>
      <c r="U399" s="1">
        <f>Games[[#This Row],[PointsFor]]-Games[[#This Row],[PointsAgainst]]</f>
        <v>14</v>
      </c>
      <c r="V399" s="1">
        <f>IF(Games[[#This Row],[MOV]]&gt;0,1,IF(Games[[#This Row],[MOV]]=0,0.5,0))</f>
        <v>1</v>
      </c>
      <c r="W399" s="4">
        <f>((ABS(Games[[#This Row],[MOV]])+5)^0.6)/(12+0.01*(ABS(Games[[#This Row],[PreGmRate]]-Games[[#This Row],[OppPreGmRate]])))*IF(Games[[#This Row],[OT]]=1,0.9,1)</f>
        <v>0.41401842562894015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9" s="9">
        <f>MAX(kmin, kmax - 0.15 * MIN(Games[[#This Row],[GamesPlayed]], 82))</f>
        <v>71.05</v>
      </c>
      <c r="Z399" s="4">
        <f>Games[[#This Row],[K]]*Games[[#This Row],[POMult]]</f>
        <v>71.05</v>
      </c>
      <c r="AA399" s="4">
        <f>(Games[[#This Row],[Keff]]*Games[[#This Row],[MOVMult]])*(Games[[#This Row],[Result]]-Games[[#This Row],[ExpectedWin%]])</f>
        <v>19.941998383702117</v>
      </c>
      <c r="AB399" s="4">
        <f>Games[[#This Row],[PreGmRate]]+Games[[#This Row],[RatingChange]]</f>
        <v>1396.7287824184141</v>
      </c>
      <c r="AC399" s="2">
        <f>IF(Games[[#This Row],[Type]]="R",IF(Games[[#This Row],[Result]]&gt;0.5,1,0),0)</f>
        <v>1</v>
      </c>
      <c r="AD399" s="2">
        <f>IF(Games[[#This Row],[Type]]="R",IF(Games[[#This Row],[Result]]&lt;0.5,1,0),0)</f>
        <v>0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0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42260</v>
      </c>
      <c r="B400" s="2">
        <v>2015</v>
      </c>
      <c r="C400" s="2">
        <f>COUNTIFS(Games[Team],Games[[#This Row],[Team]],Games[Season],Games[[#This Row],[Season]],Games[Date],"&lt;=" &amp; Games[[#This Row],[Date]])</f>
        <v>34</v>
      </c>
      <c r="D400" s="2" t="s">
        <v>83</v>
      </c>
      <c r="E400" s="2" t="s">
        <v>84</v>
      </c>
      <c r="F400" s="1" t="s">
        <v>77</v>
      </c>
      <c r="G400" s="1" t="s">
        <v>76</v>
      </c>
      <c r="H400" s="1" t="s">
        <v>85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00" s="2">
        <f>Games[[#This Row],[DaysOff]]-Games[[#This Row],[OppDaysOff]]</f>
        <v>-2</v>
      </c>
      <c r="L400" s="2">
        <f>Games[[#This Row],[OppDaysOff]]-Games[[#This Row],[DaysOff]]</f>
        <v>2</v>
      </c>
      <c r="M400" s="1">
        <f>MAX(-16, MIN(16, Games[[#This Row],[RestDiff]]*8))</f>
        <v>-16</v>
      </c>
      <c r="N400" s="1">
        <f>MAX(-16, MIN(16, Games[[#This Row],[OppRestDiff]]*8))</f>
        <v>16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1591.3403825409464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1412.4717254281957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0.5895005543078975</v>
      </c>
      <c r="R400" s="1">
        <v>75</v>
      </c>
      <c r="S400" s="1">
        <v>86</v>
      </c>
      <c r="T400" s="1">
        <v>0</v>
      </c>
      <c r="U400" s="1">
        <f>Games[[#This Row],[PointsFor]]-Games[[#This Row],[PointsAgainst]]</f>
        <v>-11</v>
      </c>
      <c r="V400" s="1">
        <f>IF(Games[[#This Row],[MOV]]&gt;0,1,IF(Games[[#This Row],[MOV]]=0,0.5,0))</f>
        <v>0</v>
      </c>
      <c r="W400" s="4">
        <f>((ABS(Games[[#This Row],[MOV]])+5)^0.6)/(12+0.01*(ABS(Games[[#This Row],[PreGmRate]]-Games[[#This Row],[OppPreGmRate]])))*IF(Games[[#This Row],[OT]]=1,0.9,1)</f>
        <v>0.38277986926930274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0" s="9">
        <f>MAX(kmin, kmax - 0.15 * MIN(Games[[#This Row],[GamesPlayed]], 82))</f>
        <v>70.900000000000006</v>
      </c>
      <c r="Z400" s="4">
        <f>Games[[#This Row],[K]]*Games[[#This Row],[POMult]]</f>
        <v>70.900000000000006</v>
      </c>
      <c r="AA400" s="4">
        <f>(Games[[#This Row],[Keff]]*Games[[#This Row],[MOVMult]])*(Games[[#This Row],[Result]]-Games[[#This Row],[ExpectedWin%]])</f>
        <v>-15.998510208452039</v>
      </c>
      <c r="AB400" s="4">
        <f>Games[[#This Row],[PreGmRate]]+Games[[#This Row],[RatingChange]]</f>
        <v>1575.3418723324944</v>
      </c>
      <c r="AC400" s="2">
        <f>IF(Games[[#This Row],[Type]]="R",IF(Games[[#This Row],[Result]]&gt;0.5,1,0),0)</f>
        <v>0</v>
      </c>
      <c r="AD400" s="2">
        <f>IF(Games[[#This Row],[Type]]="R",IF(Games[[#This Row],[Result]]&lt;0.5,1,0),0)</f>
        <v>1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0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42260</v>
      </c>
      <c r="B401" s="2">
        <v>2015</v>
      </c>
      <c r="C401" s="2">
        <f>COUNTIFS(Games[Team],Games[[#This Row],[Team]],Games[Season],Games[[#This Row],[Season]],Games[Date],"&lt;=" &amp; Games[[#This Row],[Date]])</f>
        <v>34</v>
      </c>
      <c r="D401" s="2" t="s">
        <v>83</v>
      </c>
      <c r="E401" s="2" t="s">
        <v>84</v>
      </c>
      <c r="F401" s="1" t="s">
        <v>76</v>
      </c>
      <c r="G401" s="1" t="s">
        <v>77</v>
      </c>
      <c r="H401" s="1" t="s">
        <v>86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1" s="2">
        <f>Games[[#This Row],[DaysOff]]-Games[[#This Row],[OppDaysOff]]</f>
        <v>2</v>
      </c>
      <c r="L401" s="2">
        <f>Games[[#This Row],[OppDaysOff]]-Games[[#This Row],[DaysOff]]</f>
        <v>-2</v>
      </c>
      <c r="M401" s="1">
        <f>MAX(-16, MIN(16, Games[[#This Row],[RestDiff]]*8))</f>
        <v>16</v>
      </c>
      <c r="N401" s="1">
        <f>MAX(-16, MIN(16, Games[[#This Row],[OppRestDiff]]*8))</f>
        <v>-16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1412.4717254281957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1591.3403825409464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0.4104994456921025</v>
      </c>
      <c r="R401" s="1">
        <v>86</v>
      </c>
      <c r="S401" s="1">
        <v>75</v>
      </c>
      <c r="T401" s="1">
        <v>0</v>
      </c>
      <c r="U401" s="1">
        <f>Games[[#This Row],[PointsFor]]-Games[[#This Row],[PointsAgainst]]</f>
        <v>11</v>
      </c>
      <c r="V401" s="1">
        <f>IF(Games[[#This Row],[MOV]]&gt;0,1,IF(Games[[#This Row],[MOV]]=0,0.5,0))</f>
        <v>1</v>
      </c>
      <c r="W401" s="4">
        <f>((ABS(Games[[#This Row],[MOV]])+5)^0.6)/(12+0.01*(ABS(Games[[#This Row],[PreGmRate]]-Games[[#This Row],[OppPreGmRate]])))*IF(Games[[#This Row],[OT]]=1,0.9,1)</f>
        <v>0.38277986926930274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1" s="9">
        <f>MAX(kmin, kmax - 0.15 * MIN(Games[[#This Row],[GamesPlayed]], 82))</f>
        <v>70.900000000000006</v>
      </c>
      <c r="Z401" s="4">
        <f>Games[[#This Row],[K]]*Games[[#This Row],[POMult]]</f>
        <v>70.900000000000006</v>
      </c>
      <c r="AA401" s="4">
        <f>(Games[[#This Row],[Keff]]*Games[[#This Row],[MOVMult]])*(Games[[#This Row],[Result]]-Games[[#This Row],[ExpectedWin%]])</f>
        <v>15.998510208452039</v>
      </c>
      <c r="AB401" s="4">
        <f>Games[[#This Row],[PreGmRate]]+Games[[#This Row],[RatingChange]]</f>
        <v>1428.4702356366477</v>
      </c>
      <c r="AC401" s="2">
        <f>IF(Games[[#This Row],[Type]]="R",IF(Games[[#This Row],[Result]]&gt;0.5,1,0),0)</f>
        <v>1</v>
      </c>
      <c r="AD401" s="2">
        <f>IF(Games[[#This Row],[Type]]="R",IF(Games[[#This Row],[Result]]&lt;0.5,1,0),0)</f>
        <v>0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0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42260</v>
      </c>
      <c r="B402" s="2">
        <v>2015</v>
      </c>
      <c r="C402" s="2">
        <f>COUNTIFS(Games[Team],Games[[#This Row],[Team]],Games[Season],Games[[#This Row],[Season]],Games[Date],"&lt;=" &amp; Games[[#This Row],[Date]])</f>
        <v>34</v>
      </c>
      <c r="D402" s="2" t="s">
        <v>83</v>
      </c>
      <c r="E402" s="2" t="s">
        <v>84</v>
      </c>
      <c r="F402" s="1" t="s">
        <v>60</v>
      </c>
      <c r="G402" s="1" t="s">
        <v>69</v>
      </c>
      <c r="H402" s="1" t="s">
        <v>85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2" s="2">
        <f>Games[[#This Row],[DaysOff]]-Games[[#This Row],[OppDaysOff]]</f>
        <v>0</v>
      </c>
      <c r="L402" s="2">
        <f>Games[[#This Row],[OppDaysOff]]-Games[[#This Row],[DaysOff]]</f>
        <v>0</v>
      </c>
      <c r="M402" s="1">
        <f>MAX(-16, MIN(16, Games[[#This Row],[RestDiff]]*8))</f>
        <v>0</v>
      </c>
      <c r="N402" s="1">
        <f>MAX(-16, MIN(16, Games[[#This Row],[OppRestDiff]]*8))</f>
        <v>0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1573.7023927069042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1552.4162514465122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0.41071509769264214</v>
      </c>
      <c r="R402" s="1">
        <v>76</v>
      </c>
      <c r="S402" s="1">
        <v>81</v>
      </c>
      <c r="T402" s="1">
        <v>0</v>
      </c>
      <c r="U402" s="1">
        <f>Games[[#This Row],[PointsFor]]-Games[[#This Row],[PointsAgainst]]</f>
        <v>-5</v>
      </c>
      <c r="V402" s="1">
        <f>IF(Games[[#This Row],[MOV]]&gt;0,1,IF(Games[[#This Row],[MOV]]=0,0.5,0))</f>
        <v>0</v>
      </c>
      <c r="W402" s="4">
        <f>((ABS(Games[[#This Row],[MOV]])+5)^0.6)/(12+0.01*(ABS(Games[[#This Row],[PreGmRate]]-Games[[#This Row],[OppPreGmRate]])))*IF(Games[[#This Row],[OT]]=1,0.9,1)</f>
        <v>0.32597370681914278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2" s="9">
        <f>MAX(kmin, kmax - 0.15 * MIN(Games[[#This Row],[GamesPlayed]], 82))</f>
        <v>70.900000000000006</v>
      </c>
      <c r="Z402" s="4">
        <f>Games[[#This Row],[K]]*Games[[#This Row],[POMult]]</f>
        <v>70.900000000000006</v>
      </c>
      <c r="AA402" s="4">
        <f>(Games[[#This Row],[Keff]]*Games[[#This Row],[MOVMult]])*(Games[[#This Row],[Result]]-Games[[#This Row],[ExpectedWin%]])</f>
        <v>-9.4922566894592961</v>
      </c>
      <c r="AB402" s="4">
        <f>Games[[#This Row],[PreGmRate]]+Games[[#This Row],[RatingChange]]</f>
        <v>1564.2101360174449</v>
      </c>
      <c r="AC402" s="2">
        <f>IF(Games[[#This Row],[Type]]="R",IF(Games[[#This Row],[Result]]&gt;0.5,1,0),0)</f>
        <v>0</v>
      </c>
      <c r="AD402" s="2">
        <f>IF(Games[[#This Row],[Type]]="R",IF(Games[[#This Row],[Result]]&lt;0.5,1,0),0)</f>
        <v>1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42260</v>
      </c>
      <c r="B403" s="2">
        <v>2015</v>
      </c>
      <c r="C403" s="2">
        <f>COUNTIFS(Games[Team],Games[[#This Row],[Team]],Games[Season],Games[[#This Row],[Season]],Games[Date],"&lt;=" &amp; Games[[#This Row],[Date]])</f>
        <v>34</v>
      </c>
      <c r="D403" s="2" t="s">
        <v>83</v>
      </c>
      <c r="E403" s="2" t="s">
        <v>84</v>
      </c>
      <c r="F403" s="1" t="s">
        <v>69</v>
      </c>
      <c r="G403" s="1" t="s">
        <v>60</v>
      </c>
      <c r="H403" s="1" t="s">
        <v>86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3" s="2">
        <f>Games[[#This Row],[DaysOff]]-Games[[#This Row],[OppDaysOff]]</f>
        <v>0</v>
      </c>
      <c r="L403" s="2">
        <f>Games[[#This Row],[OppDaysOff]]-Games[[#This Row],[DaysOff]]</f>
        <v>0</v>
      </c>
      <c r="M403" s="1">
        <f>MAX(-16, MIN(16, Games[[#This Row],[RestDiff]]*8))</f>
        <v>0</v>
      </c>
      <c r="N403" s="1">
        <f>MAX(-16, MIN(16, Games[[#This Row],[OppRestDiff]]*8))</f>
        <v>0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1552.4162514465122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1573.7023927069042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0.58928490230735797</v>
      </c>
      <c r="R403" s="1">
        <v>81</v>
      </c>
      <c r="S403" s="1">
        <v>76</v>
      </c>
      <c r="T403" s="1">
        <v>0</v>
      </c>
      <c r="U403" s="1">
        <f>Games[[#This Row],[PointsFor]]-Games[[#This Row],[PointsAgainst]]</f>
        <v>5</v>
      </c>
      <c r="V403" s="1">
        <f>IF(Games[[#This Row],[MOV]]&gt;0,1,IF(Games[[#This Row],[MOV]]=0,0.5,0))</f>
        <v>1</v>
      </c>
      <c r="W403" s="4">
        <f>((ABS(Games[[#This Row],[MOV]])+5)^0.6)/(12+0.01*(ABS(Games[[#This Row],[PreGmRate]]-Games[[#This Row],[OppPreGmRate]])))*IF(Games[[#This Row],[OT]]=1,0.9,1)</f>
        <v>0.32597370681914278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3" s="9">
        <f>MAX(kmin, kmax - 0.15 * MIN(Games[[#This Row],[GamesPlayed]], 82))</f>
        <v>70.900000000000006</v>
      </c>
      <c r="Z403" s="4">
        <f>Games[[#This Row],[K]]*Games[[#This Row],[POMult]]</f>
        <v>70.900000000000006</v>
      </c>
      <c r="AA403" s="4">
        <f>(Games[[#This Row],[Keff]]*Games[[#This Row],[MOVMult]])*(Games[[#This Row],[Result]]-Games[[#This Row],[ExpectedWin%]])</f>
        <v>9.4922566894592926</v>
      </c>
      <c r="AB403" s="4">
        <f>Games[[#This Row],[PreGmRate]]+Games[[#This Row],[RatingChange]]</f>
        <v>1561.9085081359715</v>
      </c>
      <c r="AC403" s="2">
        <f>IF(Games[[#This Row],[Type]]="R",IF(Games[[#This Row],[Result]]&gt;0.5,1,0),0)</f>
        <v>1</v>
      </c>
      <c r="AD403" s="2">
        <f>IF(Games[[#This Row],[Type]]="R",IF(Games[[#This Row],[Result]]&lt;0.5,1,0),0)</f>
        <v>0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42260</v>
      </c>
      <c r="B404" s="2">
        <v>2015</v>
      </c>
      <c r="C404" s="2">
        <f>COUNTIFS(Games[Team],Games[[#This Row],[Team]],Games[Season],Games[[#This Row],[Season]],Games[Date],"&lt;=" &amp; Games[[#This Row],[Date]])</f>
        <v>34</v>
      </c>
      <c r="D404" s="2" t="s">
        <v>83</v>
      </c>
      <c r="E404" s="2" t="s">
        <v>84</v>
      </c>
      <c r="F404" s="1" t="s">
        <v>74</v>
      </c>
      <c r="G404" s="1" t="s">
        <v>71</v>
      </c>
      <c r="H404" s="1" t="s">
        <v>85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4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4" s="2">
        <f>Games[[#This Row],[DaysOff]]-Games[[#This Row],[OppDaysOff]]</f>
        <v>3</v>
      </c>
      <c r="L404" s="2">
        <f>Games[[#This Row],[OppDaysOff]]-Games[[#This Row],[DaysOff]]</f>
        <v>-3</v>
      </c>
      <c r="M404" s="1">
        <f>MAX(-16, MIN(16, Games[[#This Row],[RestDiff]]*8))</f>
        <v>16</v>
      </c>
      <c r="N404" s="1">
        <f>MAX(-16, MIN(16, Games[[#This Row],[OppRestDiff]]*8))</f>
        <v>-16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1300.3240930130883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1396.7287824184141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0.29853453142723974</v>
      </c>
      <c r="R404" s="1">
        <v>59</v>
      </c>
      <c r="S404" s="1">
        <v>58</v>
      </c>
      <c r="T404" s="1">
        <v>0</v>
      </c>
      <c r="U404" s="1">
        <f>Games[[#This Row],[PointsFor]]-Games[[#This Row],[PointsAgainst]]</f>
        <v>1</v>
      </c>
      <c r="V404" s="1">
        <f>IF(Games[[#This Row],[MOV]]&gt;0,1,IF(Games[[#This Row],[MOV]]=0,0.5,0))</f>
        <v>1</v>
      </c>
      <c r="W404" s="4">
        <f>((ABS(Games[[#This Row],[MOV]])+5)^0.6)/(12+0.01*(ABS(Games[[#This Row],[PreGmRate]]-Games[[#This Row],[OppPreGmRate]])))*IF(Games[[#This Row],[OT]]=1,0.9,1)</f>
        <v>0.22602171031390006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4" s="9">
        <f>MAX(kmin, kmax - 0.15 * MIN(Games[[#This Row],[GamesPlayed]], 82))</f>
        <v>70.900000000000006</v>
      </c>
      <c r="Z404" s="4">
        <f>Games[[#This Row],[K]]*Games[[#This Row],[POMult]]</f>
        <v>70.900000000000006</v>
      </c>
      <c r="AA404" s="4">
        <f>(Games[[#This Row],[Keff]]*Games[[#This Row],[MOVMult]])*(Games[[#This Row],[Result]]-Games[[#This Row],[ExpectedWin%]])</f>
        <v>11.240941527746623</v>
      </c>
      <c r="AB404" s="4">
        <f>Games[[#This Row],[PreGmRate]]+Games[[#This Row],[RatingChange]]</f>
        <v>1311.5650345408349</v>
      </c>
      <c r="AC404" s="2">
        <f>IF(Games[[#This Row],[Type]]="R",IF(Games[[#This Row],[Result]]&gt;0.5,1,0),0)</f>
        <v>1</v>
      </c>
      <c r="AD404" s="2">
        <f>IF(Games[[#This Row],[Type]]="R",IF(Games[[#This Row],[Result]]&lt;0.5,1,0),0)</f>
        <v>0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42260</v>
      </c>
      <c r="B405" s="2">
        <v>2015</v>
      </c>
      <c r="C405" s="2">
        <f>COUNTIFS(Games[Team],Games[[#This Row],[Team]],Games[Season],Games[[#This Row],[Season]],Games[Date],"&lt;=" &amp; Games[[#This Row],[Date]])</f>
        <v>34</v>
      </c>
      <c r="D405" s="2" t="s">
        <v>83</v>
      </c>
      <c r="E405" s="2" t="s">
        <v>84</v>
      </c>
      <c r="F405" s="1" t="s">
        <v>71</v>
      </c>
      <c r="G405" s="1" t="s">
        <v>74</v>
      </c>
      <c r="H405" s="1" t="s">
        <v>86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05" s="2">
        <f>Games[[#This Row],[DaysOff]]-Games[[#This Row],[OppDaysOff]]</f>
        <v>-3</v>
      </c>
      <c r="L405" s="2">
        <f>Games[[#This Row],[OppDaysOff]]-Games[[#This Row],[DaysOff]]</f>
        <v>3</v>
      </c>
      <c r="M405" s="1">
        <f>MAX(-16, MIN(16, Games[[#This Row],[RestDiff]]*8))</f>
        <v>-16</v>
      </c>
      <c r="N405" s="1">
        <f>MAX(-16, MIN(16, Games[[#This Row],[OppRestDiff]]*8))</f>
        <v>16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1396.7287824184141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1300.3240930130883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0.70146546857276026</v>
      </c>
      <c r="R405" s="1">
        <v>58</v>
      </c>
      <c r="S405" s="1">
        <v>59</v>
      </c>
      <c r="T405" s="1">
        <v>0</v>
      </c>
      <c r="U405" s="1">
        <f>Games[[#This Row],[PointsFor]]-Games[[#This Row],[PointsAgainst]]</f>
        <v>-1</v>
      </c>
      <c r="V405" s="1">
        <f>IF(Games[[#This Row],[MOV]]&gt;0,1,IF(Games[[#This Row],[MOV]]=0,0.5,0))</f>
        <v>0</v>
      </c>
      <c r="W405" s="4">
        <f>((ABS(Games[[#This Row],[MOV]])+5)^0.6)/(12+0.01*(ABS(Games[[#This Row],[PreGmRate]]-Games[[#This Row],[OppPreGmRate]])))*IF(Games[[#This Row],[OT]]=1,0.9,1)</f>
        <v>0.22602171031390006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5" s="9">
        <f>MAX(kmin, kmax - 0.15 * MIN(Games[[#This Row],[GamesPlayed]], 82))</f>
        <v>70.900000000000006</v>
      </c>
      <c r="Z405" s="4">
        <f>Games[[#This Row],[K]]*Games[[#This Row],[POMult]]</f>
        <v>70.900000000000006</v>
      </c>
      <c r="AA405" s="4">
        <f>(Games[[#This Row],[Keff]]*Games[[#This Row],[MOVMult]])*(Games[[#This Row],[Result]]-Games[[#This Row],[ExpectedWin%]])</f>
        <v>-11.240941527746623</v>
      </c>
      <c r="AB405" s="4">
        <f>Games[[#This Row],[PreGmRate]]+Games[[#This Row],[RatingChange]]</f>
        <v>1385.4878408906675</v>
      </c>
      <c r="AC405" s="2">
        <f>IF(Games[[#This Row],[Type]]="R",IF(Games[[#This Row],[Result]]&gt;0.5,1,0),0)</f>
        <v>0</v>
      </c>
      <c r="AD405" s="2">
        <f>IF(Games[[#This Row],[Type]]="R",IF(Games[[#This Row],[Result]]&lt;0.5,1,0),0)</f>
        <v>1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42260</v>
      </c>
      <c r="B406" s="2">
        <v>2015</v>
      </c>
      <c r="C406" s="2">
        <f>COUNTIFS(Games[Team],Games[[#This Row],[Team]],Games[Season],Games[[#This Row],[Season]],Games[Date],"&lt;=" &amp; Games[[#This Row],[Date]])</f>
        <v>34</v>
      </c>
      <c r="D406" s="2" t="s">
        <v>83</v>
      </c>
      <c r="E406" s="2" t="s">
        <v>84</v>
      </c>
      <c r="F406" s="1" t="s">
        <v>40</v>
      </c>
      <c r="G406" s="1" t="s">
        <v>81</v>
      </c>
      <c r="H406" s="1" t="s">
        <v>85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6" s="2">
        <f>Games[[#This Row],[DaysOff]]-Games[[#This Row],[OppDaysOff]]</f>
        <v>0</v>
      </c>
      <c r="L406" s="2">
        <f>Games[[#This Row],[OppDaysOff]]-Games[[#This Row],[DaysOff]]</f>
        <v>0</v>
      </c>
      <c r="M406" s="1">
        <f>MAX(-16, MIN(16, Games[[#This Row],[RestDiff]]*8))</f>
        <v>0</v>
      </c>
      <c r="N406" s="1">
        <f>MAX(-16, MIN(16, Games[[#This Row],[OppRestDiff]]*8))</f>
        <v>0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1593.9252667372002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1488.1977070161447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0.53122777331327753</v>
      </c>
      <c r="R406" s="1">
        <v>87</v>
      </c>
      <c r="S406" s="1">
        <v>91</v>
      </c>
      <c r="T406" s="1">
        <v>0</v>
      </c>
      <c r="U406" s="1">
        <f>Games[[#This Row],[PointsFor]]-Games[[#This Row],[PointsAgainst]]</f>
        <v>-4</v>
      </c>
      <c r="V406" s="1">
        <f>IF(Games[[#This Row],[MOV]]&gt;0,1,IF(Games[[#This Row],[MOV]]=0,0.5,0))</f>
        <v>0</v>
      </c>
      <c r="W406" s="4">
        <f>((ABS(Games[[#This Row],[MOV]])+5)^0.6)/(12+0.01*(ABS(Games[[#This Row],[PreGmRate]]-Games[[#This Row],[OppPreGmRate]])))*IF(Games[[#This Row],[OT]]=1,0.9,1)</f>
        <v>0.28621535871119502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6" s="9">
        <f>MAX(kmin, kmax - 0.15 * MIN(Games[[#This Row],[GamesPlayed]], 82))</f>
        <v>70.900000000000006</v>
      </c>
      <c r="Z406" s="4">
        <f>Games[[#This Row],[K]]*Games[[#This Row],[POMult]]</f>
        <v>70.900000000000006</v>
      </c>
      <c r="AA406" s="4">
        <f>(Games[[#This Row],[Keff]]*Games[[#This Row],[MOVMult]])*(Games[[#This Row],[Result]]-Games[[#This Row],[ExpectedWin%]])</f>
        <v>-10.780029331661229</v>
      </c>
      <c r="AB406" s="4">
        <f>Games[[#This Row],[PreGmRate]]+Games[[#This Row],[RatingChange]]</f>
        <v>1583.1452374055391</v>
      </c>
      <c r="AC406" s="2">
        <f>IF(Games[[#This Row],[Type]]="R",IF(Games[[#This Row],[Result]]&gt;0.5,1,0),0)</f>
        <v>0</v>
      </c>
      <c r="AD406" s="2">
        <f>IF(Games[[#This Row],[Type]]="R",IF(Games[[#This Row],[Result]]&lt;0.5,1,0),0)</f>
        <v>1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42260</v>
      </c>
      <c r="B407" s="2">
        <v>2015</v>
      </c>
      <c r="C407" s="2">
        <f>COUNTIFS(Games[Team],Games[[#This Row],[Team]],Games[Season],Games[[#This Row],[Season]],Games[Date],"&lt;=" &amp; Games[[#This Row],[Date]])</f>
        <v>34</v>
      </c>
      <c r="D407" s="2" t="s">
        <v>83</v>
      </c>
      <c r="E407" s="2" t="s">
        <v>84</v>
      </c>
      <c r="F407" s="1" t="s">
        <v>81</v>
      </c>
      <c r="G407" s="1" t="s">
        <v>40</v>
      </c>
      <c r="H407" s="1" t="s">
        <v>86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7" s="2">
        <f>Games[[#This Row],[DaysOff]]-Games[[#This Row],[OppDaysOff]]</f>
        <v>0</v>
      </c>
      <c r="L407" s="2">
        <f>Games[[#This Row],[OppDaysOff]]-Games[[#This Row],[DaysOff]]</f>
        <v>0</v>
      </c>
      <c r="M407" s="1">
        <f>MAX(-16, MIN(16, Games[[#This Row],[RestDiff]]*8))</f>
        <v>0</v>
      </c>
      <c r="N407" s="1">
        <f>MAX(-16, MIN(16, Games[[#This Row],[OppRestDiff]]*8))</f>
        <v>0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1488.1977070161447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1593.9252667372002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0.46877222668672247</v>
      </c>
      <c r="R407" s="1">
        <v>91</v>
      </c>
      <c r="S407" s="1">
        <v>87</v>
      </c>
      <c r="T407" s="1">
        <v>0</v>
      </c>
      <c r="U407" s="1">
        <f>Games[[#This Row],[PointsFor]]-Games[[#This Row],[PointsAgainst]]</f>
        <v>4</v>
      </c>
      <c r="V407" s="1">
        <f>IF(Games[[#This Row],[MOV]]&gt;0,1,IF(Games[[#This Row],[MOV]]=0,0.5,0))</f>
        <v>1</v>
      </c>
      <c r="W407" s="4">
        <f>((ABS(Games[[#This Row],[MOV]])+5)^0.6)/(12+0.01*(ABS(Games[[#This Row],[PreGmRate]]-Games[[#This Row],[OppPreGmRate]])))*IF(Games[[#This Row],[OT]]=1,0.9,1)</f>
        <v>0.28621535871119502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7" s="9">
        <f>MAX(kmin, kmax - 0.15 * MIN(Games[[#This Row],[GamesPlayed]], 82))</f>
        <v>70.900000000000006</v>
      </c>
      <c r="Z407" s="4">
        <f>Games[[#This Row],[K]]*Games[[#This Row],[POMult]]</f>
        <v>70.900000000000006</v>
      </c>
      <c r="AA407" s="4">
        <f>(Games[[#This Row],[Keff]]*Games[[#This Row],[MOVMult]])*(Games[[#This Row],[Result]]-Games[[#This Row],[ExpectedWin%]])</f>
        <v>10.780029331661229</v>
      </c>
      <c r="AB407" s="4">
        <f>Games[[#This Row],[PreGmRate]]+Games[[#This Row],[RatingChange]]</f>
        <v>1498.9777363478058</v>
      </c>
      <c r="AC407" s="2">
        <f>IF(Games[[#This Row],[Type]]="R",IF(Games[[#This Row],[Result]]&gt;0.5,1,0),0)</f>
        <v>1</v>
      </c>
      <c r="AD407" s="2">
        <f>IF(Games[[#This Row],[Type]]="R",IF(Games[[#This Row],[Result]]&lt;0.5,1,0),0)</f>
        <v>0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42260</v>
      </c>
      <c r="B408" s="2">
        <v>2015</v>
      </c>
      <c r="C408" s="2">
        <f>COUNTIFS(Games[Team],Games[[#This Row],[Team]],Games[Season],Games[[#This Row],[Season]],Games[Date],"&lt;=" &amp; Games[[#This Row],[Date]])</f>
        <v>34</v>
      </c>
      <c r="D408" s="2" t="s">
        <v>83</v>
      </c>
      <c r="E408" s="2" t="s">
        <v>84</v>
      </c>
      <c r="F408" s="1" t="s">
        <v>79</v>
      </c>
      <c r="G408" s="1" t="s">
        <v>65</v>
      </c>
      <c r="H408" s="1" t="s">
        <v>85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8" s="2">
        <f>Games[[#This Row],[DaysOff]]-Games[[#This Row],[OppDaysOff]]</f>
        <v>0</v>
      </c>
      <c r="L408" s="2">
        <f>Games[[#This Row],[OppDaysOff]]-Games[[#This Row],[DaysOff]]</f>
        <v>0</v>
      </c>
      <c r="M408" s="1">
        <f>MAX(-16, MIN(16, Games[[#This Row],[RestDiff]]*8))</f>
        <v>0</v>
      </c>
      <c r="N408" s="1">
        <f>MAX(-16, MIN(16, Games[[#This Row],[OppRestDiff]]*8))</f>
        <v>0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1478.2817372565416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1550.754210122321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0.28890092461139699</v>
      </c>
      <c r="R408" s="1">
        <v>73</v>
      </c>
      <c r="S408" s="1">
        <v>71</v>
      </c>
      <c r="T408" s="1">
        <v>0</v>
      </c>
      <c r="U408" s="1">
        <f>Games[[#This Row],[PointsFor]]-Games[[#This Row],[PointsAgainst]]</f>
        <v>2</v>
      </c>
      <c r="V408" s="1">
        <f>IF(Games[[#This Row],[MOV]]&gt;0,1,IF(Games[[#This Row],[MOV]]=0,0.5,0))</f>
        <v>1</v>
      </c>
      <c r="W408" s="4">
        <f>((ABS(Games[[#This Row],[MOV]])+5)^0.6)/(12+0.01*(ABS(Games[[#This Row],[PreGmRate]]-Games[[#This Row],[OppPreGmRate]])))*IF(Games[[#This Row],[OT]]=1,0.9,1)</f>
        <v>0.25258667030159493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8" s="9">
        <f>MAX(kmin, kmax - 0.15 * MIN(Games[[#This Row],[GamesPlayed]], 82))</f>
        <v>70.900000000000006</v>
      </c>
      <c r="Z408" s="4">
        <f>Games[[#This Row],[K]]*Games[[#This Row],[POMult]]</f>
        <v>70.900000000000006</v>
      </c>
      <c r="AA408" s="4">
        <f>(Games[[#This Row],[Keff]]*Games[[#This Row],[MOVMult]])*(Games[[#This Row],[Result]]-Games[[#This Row],[ExpectedWin%]])</f>
        <v>12.734643072422761</v>
      </c>
      <c r="AB408" s="4">
        <f>Games[[#This Row],[PreGmRate]]+Games[[#This Row],[RatingChange]]</f>
        <v>1491.0163803289645</v>
      </c>
      <c r="AC408" s="2">
        <f>IF(Games[[#This Row],[Type]]="R",IF(Games[[#This Row],[Result]]&gt;0.5,1,0),0)</f>
        <v>1</v>
      </c>
      <c r="AD408" s="2">
        <f>IF(Games[[#This Row],[Type]]="R",IF(Games[[#This Row],[Result]]&lt;0.5,1,0),0)</f>
        <v>0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0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42260</v>
      </c>
      <c r="B409" s="2">
        <v>2015</v>
      </c>
      <c r="C409" s="2">
        <f>COUNTIFS(Games[Team],Games[[#This Row],[Team]],Games[Season],Games[[#This Row],[Season]],Games[Date],"&lt;=" &amp; Games[[#This Row],[Date]])</f>
        <v>34</v>
      </c>
      <c r="D409" s="2" t="s">
        <v>83</v>
      </c>
      <c r="E409" s="2" t="s">
        <v>84</v>
      </c>
      <c r="F409" s="1" t="s">
        <v>65</v>
      </c>
      <c r="G409" s="1" t="s">
        <v>79</v>
      </c>
      <c r="H409" s="1" t="s">
        <v>86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9" s="2">
        <f>Games[[#This Row],[DaysOff]]-Games[[#This Row],[OppDaysOff]]</f>
        <v>0</v>
      </c>
      <c r="L409" s="2">
        <f>Games[[#This Row],[OppDaysOff]]-Games[[#This Row],[DaysOff]]</f>
        <v>0</v>
      </c>
      <c r="M409" s="1">
        <f>MAX(-16, MIN(16, Games[[#This Row],[RestDiff]]*8))</f>
        <v>0</v>
      </c>
      <c r="N409" s="1">
        <f>MAX(-16, MIN(16, Games[[#This Row],[OppRestDiff]]*8))</f>
        <v>0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1550.754210122321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1478.2817372565416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0.71109907538860295</v>
      </c>
      <c r="R409" s="1">
        <v>71</v>
      </c>
      <c r="S409" s="1">
        <v>73</v>
      </c>
      <c r="T409" s="1">
        <v>0</v>
      </c>
      <c r="U409" s="1">
        <f>Games[[#This Row],[PointsFor]]-Games[[#This Row],[PointsAgainst]]</f>
        <v>-2</v>
      </c>
      <c r="V409" s="1">
        <f>IF(Games[[#This Row],[MOV]]&gt;0,1,IF(Games[[#This Row],[MOV]]=0,0.5,0))</f>
        <v>0</v>
      </c>
      <c r="W409" s="4">
        <f>((ABS(Games[[#This Row],[MOV]])+5)^0.6)/(12+0.01*(ABS(Games[[#This Row],[PreGmRate]]-Games[[#This Row],[OppPreGmRate]])))*IF(Games[[#This Row],[OT]]=1,0.9,1)</f>
        <v>0.25258667030159493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9" s="9">
        <f>MAX(kmin, kmax - 0.15 * MIN(Games[[#This Row],[GamesPlayed]], 82))</f>
        <v>70.900000000000006</v>
      </c>
      <c r="Z409" s="4">
        <f>Games[[#This Row],[K]]*Games[[#This Row],[POMult]]</f>
        <v>70.900000000000006</v>
      </c>
      <c r="AA409" s="4">
        <f>(Games[[#This Row],[Keff]]*Games[[#This Row],[MOVMult]])*(Games[[#This Row],[Result]]-Games[[#This Row],[ExpectedWin%]])</f>
        <v>-12.73464307242276</v>
      </c>
      <c r="AB409" s="4">
        <f>Games[[#This Row],[PreGmRate]]+Games[[#This Row],[RatingChange]]</f>
        <v>1538.0195670498981</v>
      </c>
      <c r="AC409" s="2">
        <f>IF(Games[[#This Row],[Type]]="R",IF(Games[[#This Row],[Result]]&gt;0.5,1,0),0)</f>
        <v>0</v>
      </c>
      <c r="AD409" s="2">
        <f>IF(Games[[#This Row],[Type]]="R",IF(Games[[#This Row],[Result]]&lt;0.5,1,0),0)</f>
        <v>1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0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42264</v>
      </c>
      <c r="B410" s="2">
        <v>2015</v>
      </c>
      <c r="C410" s="2">
        <f>COUNTIFS(Games[Team],Games[[#This Row],[Team]],Games[Season],Games[[#This Row],[Season]],Games[Date],"&lt;=" &amp; Games[[#This Row],[Date]])</f>
        <v>35</v>
      </c>
      <c r="D410" s="2" t="s">
        <v>87</v>
      </c>
      <c r="E410" s="2">
        <v>1</v>
      </c>
      <c r="F410" s="1" t="s">
        <v>69</v>
      </c>
      <c r="G410" s="1" t="s">
        <v>77</v>
      </c>
      <c r="H410" s="1" t="s">
        <v>85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0" s="2">
        <f>Games[[#This Row],[DaysOff]]-Games[[#This Row],[OppDaysOff]]</f>
        <v>0</v>
      </c>
      <c r="L410" s="2">
        <f>Games[[#This Row],[OppDaysOff]]-Games[[#This Row],[DaysOff]]</f>
        <v>0</v>
      </c>
      <c r="M410" s="1">
        <f>MAX(-16, MIN(16, Games[[#This Row],[RestDiff]]*8))</f>
        <v>0</v>
      </c>
      <c r="N410" s="1">
        <f>MAX(-16, MIN(16, Games[[#This Row],[OppRestDiff]]*8))</f>
        <v>0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1561.9085081359715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1575.3418723324944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0.36334582850811814</v>
      </c>
      <c r="R410" s="1">
        <v>72</v>
      </c>
      <c r="S410" s="1">
        <v>77</v>
      </c>
      <c r="T410" s="1">
        <v>0</v>
      </c>
      <c r="U410" s="1">
        <f>Games[[#This Row],[PointsFor]]-Games[[#This Row],[PointsAgainst]]</f>
        <v>-5</v>
      </c>
      <c r="V410" s="1">
        <f>IF(Games[[#This Row],[MOV]]&gt;0,1,IF(Games[[#This Row],[MOV]]=0,0.5,0))</f>
        <v>0</v>
      </c>
      <c r="W410" s="4">
        <f>((ABS(Games[[#This Row],[MOV]])+5)^0.6)/(12+0.01*(ABS(Games[[#This Row],[PreGmRate]]-Games[[#This Row],[OppPreGmRate]])))*IF(Games[[#This Row],[OT]]=1,0.9,1)</f>
        <v>0.328083257226988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0" s="9">
        <f>MAX(kmin, kmax - 0.15 * MIN(Games[[#This Row],[GamesPlayed]], 82))</f>
        <v>70.75</v>
      </c>
      <c r="Z410" s="4">
        <f>Games[[#This Row],[K]]*Games[[#This Row],[POMult]]</f>
        <v>77.825000000000003</v>
      </c>
      <c r="AA410" s="4">
        <f>(Games[[#This Row],[Keff]]*Games[[#This Row],[MOVMult]])*(Games[[#This Row],[Result]]-Games[[#This Row],[ExpectedWin%]])</f>
        <v>-9.2773379229985586</v>
      </c>
      <c r="AB410" s="4">
        <f>Games[[#This Row],[PreGmRate]]+Games[[#This Row],[RatingChange]]</f>
        <v>1552.6311702129728</v>
      </c>
      <c r="AC410" s="2">
        <f>IF(Games[[#This Row],[Type]]="R",IF(Games[[#This Row],[Result]]&gt;0.5,1,0),0)</f>
        <v>0</v>
      </c>
      <c r="AD410" s="2">
        <f>IF(Games[[#This Row],[Type]]="R",IF(Games[[#This Row],[Result]]&lt;0.5,1,0),0)</f>
        <v>0</v>
      </c>
      <c r="AE410" s="2">
        <f>IF(AND(Games[[#This Row],[Type]]="P",Games[[#This Row],[Round]]=1),IF(Games[[#This Row],[Result]]&gt;0.5,1,0),0)</f>
        <v>0</v>
      </c>
      <c r="AF410" s="2">
        <f>IF(AND(Games[[#This Row],[Type]]="P",Games[[#This Row],[Round]]=1),IF(Games[[#This Row],[Result]]&lt;0.5,1,0),0)</f>
        <v>1</v>
      </c>
      <c r="AG410" s="2">
        <f>IF(AND(Games[[#This Row],[Type]]="P",Games[[#This Row],[Round]]=2),IF(Games[[#This Row],[Result]]&gt;0.5,1,0),0)</f>
        <v>0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42264</v>
      </c>
      <c r="B411" s="2">
        <v>2015</v>
      </c>
      <c r="C411" s="2">
        <f>COUNTIFS(Games[Team],Games[[#This Row],[Team]],Games[Season],Games[[#This Row],[Season]],Games[Date],"&lt;=" &amp; Games[[#This Row],[Date]])</f>
        <v>35</v>
      </c>
      <c r="D411" s="2" t="s">
        <v>87</v>
      </c>
      <c r="E411" s="2">
        <v>1</v>
      </c>
      <c r="F411" s="1" t="s">
        <v>77</v>
      </c>
      <c r="G411" s="1" t="s">
        <v>69</v>
      </c>
      <c r="H411" s="1" t="s">
        <v>86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1" s="2">
        <f>Games[[#This Row],[DaysOff]]-Games[[#This Row],[OppDaysOff]]</f>
        <v>0</v>
      </c>
      <c r="L411" s="2">
        <f>Games[[#This Row],[OppDaysOff]]-Games[[#This Row],[DaysOff]]</f>
        <v>0</v>
      </c>
      <c r="M411" s="1">
        <f>MAX(-16, MIN(16, Games[[#This Row],[RestDiff]]*8))</f>
        <v>0</v>
      </c>
      <c r="N411" s="1">
        <f>MAX(-16, MIN(16, Games[[#This Row],[OppRestDiff]]*8))</f>
        <v>0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1575.3418723324944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1561.9085081359715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0.63665417149188186</v>
      </c>
      <c r="R411" s="1">
        <v>77</v>
      </c>
      <c r="S411" s="1">
        <v>72</v>
      </c>
      <c r="T411" s="1">
        <v>0</v>
      </c>
      <c r="U411" s="1">
        <f>Games[[#This Row],[PointsFor]]-Games[[#This Row],[PointsAgainst]]</f>
        <v>5</v>
      </c>
      <c r="V411" s="1">
        <f>IF(Games[[#This Row],[MOV]]&gt;0,1,IF(Games[[#This Row],[MOV]]=0,0.5,0))</f>
        <v>1</v>
      </c>
      <c r="W411" s="4">
        <f>((ABS(Games[[#This Row],[MOV]])+5)^0.6)/(12+0.01*(ABS(Games[[#This Row],[PreGmRate]]-Games[[#This Row],[OppPreGmRate]])))*IF(Games[[#This Row],[OT]]=1,0.9,1)</f>
        <v>0.328083257226988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1" s="9">
        <f>MAX(kmin, kmax - 0.15 * MIN(Games[[#This Row],[GamesPlayed]], 82))</f>
        <v>70.75</v>
      </c>
      <c r="Z411" s="4">
        <f>Games[[#This Row],[K]]*Games[[#This Row],[POMult]]</f>
        <v>77.825000000000003</v>
      </c>
      <c r="AA411" s="4">
        <f>(Games[[#This Row],[Keff]]*Games[[#This Row],[MOVMult]])*(Games[[#This Row],[Result]]-Games[[#This Row],[ExpectedWin%]])</f>
        <v>9.2773379229985586</v>
      </c>
      <c r="AB411" s="4">
        <f>Games[[#This Row],[PreGmRate]]+Games[[#This Row],[RatingChange]]</f>
        <v>1584.619210255493</v>
      </c>
      <c r="AC411" s="2">
        <f>IF(Games[[#This Row],[Type]]="R",IF(Games[[#This Row],[Result]]&gt;0.5,1,0),0)</f>
        <v>0</v>
      </c>
      <c r="AD411" s="2">
        <f>IF(Games[[#This Row],[Type]]="R",IF(Games[[#This Row],[Result]]&lt;0.5,1,0),0)</f>
        <v>0</v>
      </c>
      <c r="AE411" s="2">
        <f>IF(AND(Games[[#This Row],[Type]]="P",Games[[#This Row],[Round]]=1),IF(Games[[#This Row],[Result]]&gt;0.5,1,0),0)</f>
        <v>1</v>
      </c>
      <c r="AF411" s="2">
        <f>IF(AND(Games[[#This Row],[Type]]="P",Games[[#This Row],[Round]]=1),IF(Games[[#This Row],[Result]]&lt;0.5,1,0),0)</f>
        <v>0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0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42264</v>
      </c>
      <c r="B412" s="2">
        <v>2015</v>
      </c>
      <c r="C412" s="2">
        <f>COUNTIFS(Games[Team],Games[[#This Row],[Team]],Games[Season],Games[[#This Row],[Season]],Games[Date],"&lt;=" &amp; Games[[#This Row],[Date]])</f>
        <v>35</v>
      </c>
      <c r="D412" s="2" t="s">
        <v>87</v>
      </c>
      <c r="E412" s="2">
        <v>1</v>
      </c>
      <c r="F412" s="1" t="s">
        <v>81</v>
      </c>
      <c r="G412" s="1" t="s">
        <v>40</v>
      </c>
      <c r="H412" s="1" t="s">
        <v>85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2" s="2">
        <f>Games[[#This Row],[DaysOff]]-Games[[#This Row],[OppDaysOff]]</f>
        <v>0</v>
      </c>
      <c r="L412" s="2">
        <f>Games[[#This Row],[OppDaysOff]]-Games[[#This Row],[DaysOff]]</f>
        <v>0</v>
      </c>
      <c r="M412" s="1">
        <f>MAX(-16, MIN(16, Games[[#This Row],[RestDiff]]*8))</f>
        <v>0</v>
      </c>
      <c r="N412" s="1">
        <f>MAX(-16, MIN(16, Games[[#This Row],[OppRestDiff]]*8))</f>
        <v>0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1498.9777363478058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1583.1452374055391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0.27526935859235352</v>
      </c>
      <c r="R412" s="1">
        <v>55</v>
      </c>
      <c r="S412" s="1">
        <v>88</v>
      </c>
      <c r="T412" s="1">
        <v>0</v>
      </c>
      <c r="U412" s="1">
        <f>Games[[#This Row],[PointsFor]]-Games[[#This Row],[PointsAgainst]]</f>
        <v>-33</v>
      </c>
      <c r="V412" s="1">
        <f>IF(Games[[#This Row],[MOV]]&gt;0,1,IF(Games[[#This Row],[MOV]]=0,0.5,0))</f>
        <v>0</v>
      </c>
      <c r="W412" s="4">
        <f>((ABS(Games[[#This Row],[MOV]])+5)^0.6)/(12+0.01*(ABS(Games[[#This Row],[PreGmRate]]-Games[[#This Row],[OppPreGmRate]])))*IF(Games[[#This Row],[OT]]=1,0.9,1)</f>
        <v>0.69063483997151331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2" s="9">
        <f>MAX(kmin, kmax - 0.15 * MIN(Games[[#This Row],[GamesPlayed]], 82))</f>
        <v>70.75</v>
      </c>
      <c r="Z412" s="4">
        <f>Games[[#This Row],[K]]*Games[[#This Row],[POMult]]</f>
        <v>77.825000000000003</v>
      </c>
      <c r="AA412" s="4">
        <f>(Games[[#This Row],[Keff]]*Games[[#This Row],[MOVMult]])*(Games[[#This Row],[Result]]-Games[[#This Row],[ExpectedWin%]])</f>
        <v>-14.795358178149728</v>
      </c>
      <c r="AB412" s="4">
        <f>Games[[#This Row],[PreGmRate]]+Games[[#This Row],[RatingChange]]</f>
        <v>1484.1823781696562</v>
      </c>
      <c r="AC412" s="2">
        <f>IF(Games[[#This Row],[Type]]="R",IF(Games[[#This Row],[Result]]&gt;0.5,1,0),0)</f>
        <v>0</v>
      </c>
      <c r="AD412" s="2">
        <f>IF(Games[[#This Row],[Type]]="R",IF(Games[[#This Row],[Result]]&lt;0.5,1,0),0)</f>
        <v>0</v>
      </c>
      <c r="AE412" s="2">
        <f>IF(AND(Games[[#This Row],[Type]]="P",Games[[#This Row],[Round]]=1),IF(Games[[#This Row],[Result]]&gt;0.5,1,0),0)</f>
        <v>0</v>
      </c>
      <c r="AF412" s="2">
        <f>IF(AND(Games[[#This Row],[Type]]="P",Games[[#This Row],[Round]]=1),IF(Games[[#This Row],[Result]]&lt;0.5,1,0),0)</f>
        <v>1</v>
      </c>
      <c r="AG412" s="2">
        <f>IF(AND(Games[[#This Row],[Type]]="P",Games[[#This Row],[Round]]=2),IF(Games[[#This Row],[Result]]&gt;0.5,1,0),0)</f>
        <v>0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42264</v>
      </c>
      <c r="B413" s="2">
        <v>2015</v>
      </c>
      <c r="C413" s="2">
        <f>COUNTIFS(Games[Team],Games[[#This Row],[Team]],Games[Season],Games[[#This Row],[Season]],Games[Date],"&lt;=" &amp; Games[[#This Row],[Date]])</f>
        <v>35</v>
      </c>
      <c r="D413" s="2" t="s">
        <v>87</v>
      </c>
      <c r="E413" s="2">
        <v>1</v>
      </c>
      <c r="F413" s="1" t="s">
        <v>40</v>
      </c>
      <c r="G413" s="1" t="s">
        <v>81</v>
      </c>
      <c r="H413" s="1" t="s">
        <v>86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3" s="2">
        <f>Games[[#This Row],[DaysOff]]-Games[[#This Row],[OppDaysOff]]</f>
        <v>0</v>
      </c>
      <c r="L413" s="2">
        <f>Games[[#This Row],[OppDaysOff]]-Games[[#This Row],[DaysOff]]</f>
        <v>0</v>
      </c>
      <c r="M413" s="1">
        <f>MAX(-16, MIN(16, Games[[#This Row],[RestDiff]]*8))</f>
        <v>0</v>
      </c>
      <c r="N413" s="1">
        <f>MAX(-16, MIN(16, Games[[#This Row],[OppRestDiff]]*8))</f>
        <v>0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1583.1452374055391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1498.9777363478058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0.72473064140764654</v>
      </c>
      <c r="R413" s="1">
        <v>88</v>
      </c>
      <c r="S413" s="1">
        <v>55</v>
      </c>
      <c r="T413" s="1">
        <v>0</v>
      </c>
      <c r="U413" s="1">
        <f>Games[[#This Row],[PointsFor]]-Games[[#This Row],[PointsAgainst]]</f>
        <v>33</v>
      </c>
      <c r="V413" s="1">
        <f>IF(Games[[#This Row],[MOV]]&gt;0,1,IF(Games[[#This Row],[MOV]]=0,0.5,0))</f>
        <v>1</v>
      </c>
      <c r="W413" s="4">
        <f>((ABS(Games[[#This Row],[MOV]])+5)^0.6)/(12+0.01*(ABS(Games[[#This Row],[PreGmRate]]-Games[[#This Row],[OppPreGmRate]])))*IF(Games[[#This Row],[OT]]=1,0.9,1)</f>
        <v>0.69063483997151331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3" s="9">
        <f>MAX(kmin, kmax - 0.15 * MIN(Games[[#This Row],[GamesPlayed]], 82))</f>
        <v>70.75</v>
      </c>
      <c r="Z413" s="4">
        <f>Games[[#This Row],[K]]*Games[[#This Row],[POMult]]</f>
        <v>77.825000000000003</v>
      </c>
      <c r="AA413" s="4">
        <f>(Games[[#This Row],[Keff]]*Games[[#This Row],[MOVMult]])*(Games[[#This Row],[Result]]-Games[[#This Row],[ExpectedWin%]])</f>
        <v>14.795358178149725</v>
      </c>
      <c r="AB413" s="4">
        <f>Games[[#This Row],[PreGmRate]]+Games[[#This Row],[RatingChange]]</f>
        <v>1597.9405955836887</v>
      </c>
      <c r="AC413" s="2">
        <f>IF(Games[[#This Row],[Type]]="R",IF(Games[[#This Row],[Result]]&gt;0.5,1,0),0)</f>
        <v>0</v>
      </c>
      <c r="AD413" s="2">
        <f>IF(Games[[#This Row],[Type]]="R",IF(Games[[#This Row],[Result]]&lt;0.5,1,0),0)</f>
        <v>0</v>
      </c>
      <c r="AE413" s="2">
        <f>IF(AND(Games[[#This Row],[Type]]="P",Games[[#This Row],[Round]]=1),IF(Games[[#This Row],[Result]]&gt;0.5,1,0),0)</f>
        <v>1</v>
      </c>
      <c r="AF413" s="2">
        <f>IF(AND(Games[[#This Row],[Type]]="P",Games[[#This Row],[Round]]=1),IF(Games[[#This Row],[Result]]&lt;0.5,1,0),0)</f>
        <v>0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0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42265</v>
      </c>
      <c r="B414" s="2">
        <v>2015</v>
      </c>
      <c r="C414" s="2">
        <f>COUNTIFS(Games[Team],Games[[#This Row],[Team]],Games[Season],Games[[#This Row],[Season]],Games[Date],"&lt;=" &amp; Games[[#This Row],[Date]])</f>
        <v>35</v>
      </c>
      <c r="D414" s="2" t="s">
        <v>87</v>
      </c>
      <c r="E414" s="2">
        <v>1</v>
      </c>
      <c r="F414" s="1" t="s">
        <v>63</v>
      </c>
      <c r="G414" s="1" t="s">
        <v>67</v>
      </c>
      <c r="H414" s="1" t="s">
        <v>85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6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14" s="2">
        <f>Games[[#This Row],[DaysOff]]-Games[[#This Row],[OppDaysOff]]</f>
        <v>0</v>
      </c>
      <c r="L414" s="2">
        <f>Games[[#This Row],[OppDaysOff]]-Games[[#This Row],[DaysOff]]</f>
        <v>0</v>
      </c>
      <c r="M414" s="1">
        <f>MAX(-16, MIN(16, Games[[#This Row],[RestDiff]]*8))</f>
        <v>0</v>
      </c>
      <c r="N414" s="1">
        <f>MAX(-16, MIN(16, Games[[#This Row],[OppRestDiff]]*8))</f>
        <v>0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1493.3199089604977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1570.180808268608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0.28373901060290374</v>
      </c>
      <c r="R414" s="1">
        <v>65</v>
      </c>
      <c r="S414" s="1">
        <v>67</v>
      </c>
      <c r="T414" s="1">
        <v>0</v>
      </c>
      <c r="U414" s="1">
        <f>Games[[#This Row],[PointsFor]]-Games[[#This Row],[PointsAgainst]]</f>
        <v>-2</v>
      </c>
      <c r="V414" s="1">
        <f>IF(Games[[#This Row],[MOV]]&gt;0,1,IF(Games[[#This Row],[MOV]]=0,0.5,0))</f>
        <v>0</v>
      </c>
      <c r="W414" s="4">
        <f>((ABS(Games[[#This Row],[MOV]])+5)^0.6)/(12+0.01*(ABS(Games[[#This Row],[PreGmRate]]-Games[[#This Row],[OppPreGmRate]])))*IF(Games[[#This Row],[OT]]=1,0.9,1)</f>
        <v>0.25171855849432412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4" s="9">
        <f>MAX(kmin, kmax - 0.15 * MIN(Games[[#This Row],[GamesPlayed]], 82))</f>
        <v>70.75</v>
      </c>
      <c r="Z414" s="4">
        <f>Games[[#This Row],[K]]*Games[[#This Row],[POMult]]</f>
        <v>77.825000000000003</v>
      </c>
      <c r="AA414" s="4">
        <f>(Games[[#This Row],[Keff]]*Games[[#This Row],[MOVMult]])*(Games[[#This Row],[Result]]-Games[[#This Row],[ExpectedWin%]])</f>
        <v>-5.5584463139512827</v>
      </c>
      <c r="AB414" s="4">
        <f>Games[[#This Row],[PreGmRate]]+Games[[#This Row],[RatingChange]]</f>
        <v>1487.7614626465465</v>
      </c>
      <c r="AC414" s="2">
        <f>IF(Games[[#This Row],[Type]]="R",IF(Games[[#This Row],[Result]]&gt;0.5,1,0),0)</f>
        <v>0</v>
      </c>
      <c r="AD414" s="2">
        <f>IF(Games[[#This Row],[Type]]="R",IF(Games[[#This Row],[Result]]&lt;0.5,1,0),0)</f>
        <v>0</v>
      </c>
      <c r="AE414" s="2">
        <f>IF(AND(Games[[#This Row],[Type]]="P",Games[[#This Row],[Round]]=1),IF(Games[[#This Row],[Result]]&gt;0.5,1,0),0)</f>
        <v>0</v>
      </c>
      <c r="AF414" s="2">
        <f>IF(AND(Games[[#This Row],[Type]]="P",Games[[#This Row],[Round]]=1),IF(Games[[#This Row],[Result]]&lt;0.5,1,0),0)</f>
        <v>1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0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42265</v>
      </c>
      <c r="B415" s="2">
        <v>2015</v>
      </c>
      <c r="C415" s="2">
        <f>COUNTIFS(Games[Team],Games[[#This Row],[Team]],Games[Season],Games[[#This Row],[Season]],Games[Date],"&lt;=" &amp; Games[[#This Row],[Date]])</f>
        <v>35</v>
      </c>
      <c r="D415" s="2" t="s">
        <v>87</v>
      </c>
      <c r="E415" s="2">
        <v>1</v>
      </c>
      <c r="F415" s="1" t="s">
        <v>67</v>
      </c>
      <c r="G415" s="1" t="s">
        <v>63</v>
      </c>
      <c r="H415" s="1" t="s">
        <v>86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6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15" s="2">
        <f>Games[[#This Row],[DaysOff]]-Games[[#This Row],[OppDaysOff]]</f>
        <v>0</v>
      </c>
      <c r="L415" s="2">
        <f>Games[[#This Row],[OppDaysOff]]-Games[[#This Row],[DaysOff]]</f>
        <v>0</v>
      </c>
      <c r="M415" s="1">
        <f>MAX(-16, MIN(16, Games[[#This Row],[RestDiff]]*8))</f>
        <v>0</v>
      </c>
      <c r="N415" s="1">
        <f>MAX(-16, MIN(16, Games[[#This Row],[OppRestDiff]]*8))</f>
        <v>0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1570.180808268608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1493.3199089604977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0.71626098939709626</v>
      </c>
      <c r="R415" s="1">
        <v>67</v>
      </c>
      <c r="S415" s="1">
        <v>65</v>
      </c>
      <c r="T415" s="1">
        <v>0</v>
      </c>
      <c r="U415" s="1">
        <f>Games[[#This Row],[PointsFor]]-Games[[#This Row],[PointsAgainst]]</f>
        <v>2</v>
      </c>
      <c r="V415" s="1">
        <f>IF(Games[[#This Row],[MOV]]&gt;0,1,IF(Games[[#This Row],[MOV]]=0,0.5,0))</f>
        <v>1</v>
      </c>
      <c r="W415" s="4">
        <f>((ABS(Games[[#This Row],[MOV]])+5)^0.6)/(12+0.01*(ABS(Games[[#This Row],[PreGmRate]]-Games[[#This Row],[OppPreGmRate]])))*IF(Games[[#This Row],[OT]]=1,0.9,1)</f>
        <v>0.25171855849432412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5" s="9">
        <f>MAX(kmin, kmax - 0.15 * MIN(Games[[#This Row],[GamesPlayed]], 82))</f>
        <v>70.75</v>
      </c>
      <c r="Z415" s="4">
        <f>Games[[#This Row],[K]]*Games[[#This Row],[POMult]]</f>
        <v>77.825000000000003</v>
      </c>
      <c r="AA415" s="4">
        <f>(Games[[#This Row],[Keff]]*Games[[#This Row],[MOVMult]])*(Games[[#This Row],[Result]]-Games[[#This Row],[ExpectedWin%]])</f>
        <v>5.5584463139512827</v>
      </c>
      <c r="AB415" s="4">
        <f>Games[[#This Row],[PreGmRate]]+Games[[#This Row],[RatingChange]]</f>
        <v>1575.7392545825592</v>
      </c>
      <c r="AC415" s="2">
        <f>IF(Games[[#This Row],[Type]]="R",IF(Games[[#This Row],[Result]]&gt;0.5,1,0),0)</f>
        <v>0</v>
      </c>
      <c r="AD415" s="2">
        <f>IF(Games[[#This Row],[Type]]="R",IF(Games[[#This Row],[Result]]&lt;0.5,1,0),0)</f>
        <v>0</v>
      </c>
      <c r="AE415" s="2">
        <f>IF(AND(Games[[#This Row],[Type]]="P",Games[[#This Row],[Round]]=1),IF(Games[[#This Row],[Result]]&gt;0.5,1,0),0)</f>
        <v>1</v>
      </c>
      <c r="AF415" s="2">
        <f>IF(AND(Games[[#This Row],[Type]]="P",Games[[#This Row],[Round]]=1),IF(Games[[#This Row],[Result]]&lt;0.5,1,0),0)</f>
        <v>0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0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42265</v>
      </c>
      <c r="B416" s="2">
        <v>2015</v>
      </c>
      <c r="C416" s="2">
        <f>COUNTIFS(Games[Team],Games[[#This Row],[Team]],Games[Season],Games[[#This Row],[Season]],Games[Date],"&lt;=" &amp; Games[[#This Row],[Date]])</f>
        <v>35</v>
      </c>
      <c r="D416" s="2" t="s">
        <v>87</v>
      </c>
      <c r="E416" s="2">
        <v>1</v>
      </c>
      <c r="F416" s="1" t="s">
        <v>65</v>
      </c>
      <c r="G416" s="1" t="s">
        <v>60</v>
      </c>
      <c r="H416" s="1" t="s">
        <v>85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6" s="2">
        <f>Games[[#This Row],[DaysOff]]-Games[[#This Row],[OppDaysOff]]</f>
        <v>0</v>
      </c>
      <c r="L416" s="2">
        <f>Games[[#This Row],[OppDaysOff]]-Games[[#This Row],[DaysOff]]</f>
        <v>0</v>
      </c>
      <c r="M416" s="1">
        <f>MAX(-16, MIN(16, Games[[#This Row],[RestDiff]]*8))</f>
        <v>0</v>
      </c>
      <c r="N416" s="1">
        <f>MAX(-16, MIN(16, Games[[#This Row],[OppRestDiff]]*8))</f>
        <v>0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1538.0195670498981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1564.2101360174449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0.34653437647463631</v>
      </c>
      <c r="R416" s="1">
        <v>86</v>
      </c>
      <c r="S416" s="1">
        <v>83</v>
      </c>
      <c r="T416" s="1">
        <v>1</v>
      </c>
      <c r="U416" s="1">
        <f>Games[[#This Row],[PointsFor]]-Games[[#This Row],[PointsAgainst]]</f>
        <v>3</v>
      </c>
      <c r="V416" s="1">
        <f>IF(Games[[#This Row],[MOV]]&gt;0,1,IF(Games[[#This Row],[MOV]]=0,0.5,0))</f>
        <v>1</v>
      </c>
      <c r="W416" s="4">
        <f>((ABS(Games[[#This Row],[MOV]])+5)^0.6)/(12+0.01*(ABS(Games[[#This Row],[PreGmRate]]-Games[[#This Row],[OppPreGmRate]])))*IF(Games[[#This Row],[OT]]=1,0.9,1)</f>
        <v>0.25558686448753737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6" s="9">
        <f>MAX(kmin, kmax - 0.15 * MIN(Games[[#This Row],[GamesPlayed]], 82))</f>
        <v>70.75</v>
      </c>
      <c r="Z416" s="4">
        <f>Games[[#This Row],[K]]*Games[[#This Row],[POMult]]</f>
        <v>77.825000000000003</v>
      </c>
      <c r="AA416" s="4">
        <f>(Games[[#This Row],[Keff]]*Games[[#This Row],[MOVMult]])*(Games[[#This Row],[Result]]-Games[[#This Row],[ExpectedWin%]])</f>
        <v>12.998115906635551</v>
      </c>
      <c r="AB416" s="4">
        <f>Games[[#This Row],[PreGmRate]]+Games[[#This Row],[RatingChange]]</f>
        <v>1551.0176829565337</v>
      </c>
      <c r="AC416" s="2">
        <f>IF(Games[[#This Row],[Type]]="R",IF(Games[[#This Row],[Result]]&gt;0.5,1,0),0)</f>
        <v>0</v>
      </c>
      <c r="AD416" s="2">
        <f>IF(Games[[#This Row],[Type]]="R",IF(Games[[#This Row],[Result]]&lt;0.5,1,0),0)</f>
        <v>0</v>
      </c>
      <c r="AE416" s="2">
        <f>IF(AND(Games[[#This Row],[Type]]="P",Games[[#This Row],[Round]]=1),IF(Games[[#This Row],[Result]]&gt;0.5,1,0),0)</f>
        <v>1</v>
      </c>
      <c r="AF416" s="2">
        <f>IF(AND(Games[[#This Row],[Type]]="P",Games[[#This Row],[Round]]=1),IF(Games[[#This Row],[Result]]&lt;0.5,1,0),0)</f>
        <v>0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0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42265</v>
      </c>
      <c r="B417" s="2">
        <v>2015</v>
      </c>
      <c r="C417" s="2">
        <f>COUNTIFS(Games[Team],Games[[#This Row],[Team]],Games[Season],Games[[#This Row],[Season]],Games[Date],"&lt;=" &amp; Games[[#This Row],[Date]])</f>
        <v>35</v>
      </c>
      <c r="D417" s="2" t="s">
        <v>87</v>
      </c>
      <c r="E417" s="2">
        <v>1</v>
      </c>
      <c r="F417" s="1" t="s">
        <v>60</v>
      </c>
      <c r="G417" s="1" t="s">
        <v>65</v>
      </c>
      <c r="H417" s="1" t="s">
        <v>86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7" s="2">
        <f>Games[[#This Row],[DaysOff]]-Games[[#This Row],[OppDaysOff]]</f>
        <v>0</v>
      </c>
      <c r="L417" s="2">
        <f>Games[[#This Row],[OppDaysOff]]-Games[[#This Row],[DaysOff]]</f>
        <v>0</v>
      </c>
      <c r="M417" s="1">
        <f>MAX(-16, MIN(16, Games[[#This Row],[RestDiff]]*8))</f>
        <v>0</v>
      </c>
      <c r="N417" s="1">
        <f>MAX(-16, MIN(16, Games[[#This Row],[OppRestDiff]]*8))</f>
        <v>0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1564.2101360174449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1538.0195670498981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0.65346562352536364</v>
      </c>
      <c r="R417" s="1">
        <v>83</v>
      </c>
      <c r="S417" s="1">
        <v>86</v>
      </c>
      <c r="T417" s="1">
        <v>1</v>
      </c>
      <c r="U417" s="1">
        <f>Games[[#This Row],[PointsFor]]-Games[[#This Row],[PointsAgainst]]</f>
        <v>-3</v>
      </c>
      <c r="V417" s="1">
        <f>IF(Games[[#This Row],[MOV]]&gt;0,1,IF(Games[[#This Row],[MOV]]=0,0.5,0))</f>
        <v>0</v>
      </c>
      <c r="W417" s="4">
        <f>((ABS(Games[[#This Row],[MOV]])+5)^0.6)/(12+0.01*(ABS(Games[[#This Row],[PreGmRate]]-Games[[#This Row],[OppPreGmRate]])))*IF(Games[[#This Row],[OT]]=1,0.9,1)</f>
        <v>0.25558686448753737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7" s="9">
        <f>MAX(kmin, kmax - 0.15 * MIN(Games[[#This Row],[GamesPlayed]], 82))</f>
        <v>70.75</v>
      </c>
      <c r="Z417" s="4">
        <f>Games[[#This Row],[K]]*Games[[#This Row],[POMult]]</f>
        <v>77.825000000000003</v>
      </c>
      <c r="AA417" s="4">
        <f>(Games[[#This Row],[Keff]]*Games[[#This Row],[MOVMult]])*(Games[[#This Row],[Result]]-Games[[#This Row],[ExpectedWin%]])</f>
        <v>-12.998115906635549</v>
      </c>
      <c r="AB417" s="4">
        <f>Games[[#This Row],[PreGmRate]]+Games[[#This Row],[RatingChange]]</f>
        <v>1551.2120201108094</v>
      </c>
      <c r="AC417" s="2">
        <f>IF(Games[[#This Row],[Type]]="R",IF(Games[[#This Row],[Result]]&gt;0.5,1,0),0)</f>
        <v>0</v>
      </c>
      <c r="AD417" s="2">
        <f>IF(Games[[#This Row],[Type]]="R",IF(Games[[#This Row],[Result]]&lt;0.5,1,0),0)</f>
        <v>0</v>
      </c>
      <c r="AE417" s="2">
        <f>IF(AND(Games[[#This Row],[Type]]="P",Games[[#This Row],[Round]]=1),IF(Games[[#This Row],[Result]]&gt;0.5,1,0),0)</f>
        <v>0</v>
      </c>
      <c r="AF417" s="2">
        <f>IF(AND(Games[[#This Row],[Type]]="P",Games[[#This Row],[Round]]=1),IF(Games[[#This Row],[Result]]&lt;0.5,1,0),0)</f>
        <v>1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0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42266</v>
      </c>
      <c r="B418" s="2">
        <v>2015</v>
      </c>
      <c r="C418" s="2">
        <f>COUNTIFS(Games[Team],Games[[#This Row],[Team]],Games[Season],Games[[#This Row],[Season]],Games[Date],"&lt;=" &amp; Games[[#This Row],[Date]])</f>
        <v>36</v>
      </c>
      <c r="D418" s="2" t="s">
        <v>87</v>
      </c>
      <c r="E418" s="2">
        <v>1</v>
      </c>
      <c r="F418" s="1" t="s">
        <v>77</v>
      </c>
      <c r="G418" s="1" t="s">
        <v>69</v>
      </c>
      <c r="H418" s="1" t="s">
        <v>85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8" s="2">
        <f>Games[[#This Row],[DaysOff]]-Games[[#This Row],[OppDaysOff]]</f>
        <v>0</v>
      </c>
      <c r="L418" s="2">
        <f>Games[[#This Row],[OppDaysOff]]-Games[[#This Row],[DaysOff]]</f>
        <v>0</v>
      </c>
      <c r="M418" s="1">
        <f>MAX(-16, MIN(16, Games[[#This Row],[RestDiff]]*8))</f>
        <v>0</v>
      </c>
      <c r="N418" s="1">
        <f>MAX(-16, MIN(16, Games[[#This Row],[OppRestDiff]]*8))</f>
        <v>0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1584.619210255493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1552.6311702129728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0.42570296453612638</v>
      </c>
      <c r="R418" s="1">
        <v>82</v>
      </c>
      <c r="S418" s="1">
        <v>89</v>
      </c>
      <c r="T418" s="1">
        <v>0</v>
      </c>
      <c r="U418" s="1">
        <f>Games[[#This Row],[PointsFor]]-Games[[#This Row],[PointsAgainst]]</f>
        <v>-7</v>
      </c>
      <c r="V418" s="1">
        <f>IF(Games[[#This Row],[MOV]]&gt;0,1,IF(Games[[#This Row],[MOV]]=0,0.5,0))</f>
        <v>0</v>
      </c>
      <c r="W418" s="4">
        <f>((ABS(Games[[#This Row],[MOV]])+5)^0.6)/(12+0.01*(ABS(Games[[#This Row],[PreGmRate]]-Games[[#This Row],[OppPreGmRate]])))*IF(Games[[#This Row],[OT]]=1,0.9,1)</f>
        <v>0.36049749879816656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8" s="9">
        <f>MAX(kmin, kmax - 0.15 * MIN(Games[[#This Row],[GamesPlayed]], 82))</f>
        <v>70.599999999999994</v>
      </c>
      <c r="Z418" s="4">
        <f>Games[[#This Row],[K]]*Games[[#This Row],[POMult]]</f>
        <v>77.66</v>
      </c>
      <c r="AA418" s="4">
        <f>(Games[[#This Row],[Keff]]*Games[[#This Row],[MOVMult]])*(Games[[#This Row],[Result]]-Games[[#This Row],[ExpectedWin%]])</f>
        <v>-11.918080557464855</v>
      </c>
      <c r="AB418" s="4">
        <f>Games[[#This Row],[PreGmRate]]+Games[[#This Row],[RatingChange]]</f>
        <v>1572.7011296980281</v>
      </c>
      <c r="AC418" s="2">
        <f>IF(Games[[#This Row],[Type]]="R",IF(Games[[#This Row],[Result]]&gt;0.5,1,0),0)</f>
        <v>0</v>
      </c>
      <c r="AD418" s="2">
        <f>IF(Games[[#This Row],[Type]]="R",IF(Games[[#This Row],[Result]]&lt;0.5,1,0),0)</f>
        <v>0</v>
      </c>
      <c r="AE418" s="2">
        <f>IF(AND(Games[[#This Row],[Type]]="P",Games[[#This Row],[Round]]=1),IF(Games[[#This Row],[Result]]&gt;0.5,1,0),0)</f>
        <v>0</v>
      </c>
      <c r="AF418" s="2">
        <f>IF(AND(Games[[#This Row],[Type]]="P",Games[[#This Row],[Round]]=1),IF(Games[[#This Row],[Result]]&lt;0.5,1,0),0)</f>
        <v>1</v>
      </c>
      <c r="AG418" s="2">
        <f>IF(AND(Games[[#This Row],[Type]]="P",Games[[#This Row],[Round]]=2),IF(Games[[#This Row],[Result]]&gt;0.5,1,0),0)</f>
        <v>0</v>
      </c>
      <c r="AH418" s="2">
        <f>IF(AND(Games[[#This Row],[Type]]="P",Games[[#This Row],[Round]]=2),IF(Games[[#This Row],[Result]]&lt;0.5,1,0),0)</f>
        <v>0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0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42266</v>
      </c>
      <c r="B419" s="2">
        <v>2015</v>
      </c>
      <c r="C419" s="2">
        <f>COUNTIFS(Games[Team],Games[[#This Row],[Team]],Games[Season],Games[[#This Row],[Season]],Games[Date],"&lt;=" &amp; Games[[#This Row],[Date]])</f>
        <v>36</v>
      </c>
      <c r="D419" s="2" t="s">
        <v>87</v>
      </c>
      <c r="E419" s="2">
        <v>1</v>
      </c>
      <c r="F419" s="1" t="s">
        <v>69</v>
      </c>
      <c r="G419" s="1" t="s">
        <v>77</v>
      </c>
      <c r="H419" s="1" t="s">
        <v>86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9" s="2">
        <f>Games[[#This Row],[DaysOff]]-Games[[#This Row],[OppDaysOff]]</f>
        <v>0</v>
      </c>
      <c r="L419" s="2">
        <f>Games[[#This Row],[OppDaysOff]]-Games[[#This Row],[DaysOff]]</f>
        <v>0</v>
      </c>
      <c r="M419" s="1">
        <f>MAX(-16, MIN(16, Games[[#This Row],[RestDiff]]*8))</f>
        <v>0</v>
      </c>
      <c r="N419" s="1">
        <f>MAX(-16, MIN(16, Games[[#This Row],[OppRestDiff]]*8))</f>
        <v>0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1552.6311702129728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1584.619210255493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0.57429703546387356</v>
      </c>
      <c r="R419" s="1">
        <v>89</v>
      </c>
      <c r="S419" s="1">
        <v>82</v>
      </c>
      <c r="T419" s="1">
        <v>0</v>
      </c>
      <c r="U419" s="1">
        <f>Games[[#This Row],[PointsFor]]-Games[[#This Row],[PointsAgainst]]</f>
        <v>7</v>
      </c>
      <c r="V419" s="1">
        <f>IF(Games[[#This Row],[MOV]]&gt;0,1,IF(Games[[#This Row],[MOV]]=0,0.5,0))</f>
        <v>1</v>
      </c>
      <c r="W419" s="4">
        <f>((ABS(Games[[#This Row],[MOV]])+5)^0.6)/(12+0.01*(ABS(Games[[#This Row],[PreGmRate]]-Games[[#This Row],[OppPreGmRate]])))*IF(Games[[#This Row],[OT]]=1,0.9,1)</f>
        <v>0.36049749879816656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9" s="9">
        <f>MAX(kmin, kmax - 0.15 * MIN(Games[[#This Row],[GamesPlayed]], 82))</f>
        <v>70.599999999999994</v>
      </c>
      <c r="Z419" s="4">
        <f>Games[[#This Row],[K]]*Games[[#This Row],[POMult]]</f>
        <v>77.66</v>
      </c>
      <c r="AA419" s="4">
        <f>(Games[[#This Row],[Keff]]*Games[[#This Row],[MOVMult]])*(Games[[#This Row],[Result]]-Games[[#This Row],[ExpectedWin%]])</f>
        <v>11.918080557464856</v>
      </c>
      <c r="AB419" s="4">
        <f>Games[[#This Row],[PreGmRate]]+Games[[#This Row],[RatingChange]]</f>
        <v>1564.5492507704378</v>
      </c>
      <c r="AC419" s="2">
        <f>IF(Games[[#This Row],[Type]]="R",IF(Games[[#This Row],[Result]]&gt;0.5,1,0),0)</f>
        <v>0</v>
      </c>
      <c r="AD419" s="2">
        <f>IF(Games[[#This Row],[Type]]="R",IF(Games[[#This Row],[Result]]&lt;0.5,1,0),0)</f>
        <v>0</v>
      </c>
      <c r="AE419" s="2">
        <f>IF(AND(Games[[#This Row],[Type]]="P",Games[[#This Row],[Round]]=1),IF(Games[[#This Row],[Result]]&gt;0.5,1,0),0)</f>
        <v>1</v>
      </c>
      <c r="AF419" s="2">
        <f>IF(AND(Games[[#This Row],[Type]]="P",Games[[#This Row],[Round]]=1),IF(Games[[#This Row],[Result]]&lt;0.5,1,0),0)</f>
        <v>0</v>
      </c>
      <c r="AG419" s="2">
        <f>IF(AND(Games[[#This Row],[Type]]="P",Games[[#This Row],[Round]]=2),IF(Games[[#This Row],[Result]]&gt;0.5,1,0),0)</f>
        <v>0</v>
      </c>
      <c r="AH419" s="2">
        <f>IF(AND(Games[[#This Row],[Type]]="P",Games[[#This Row],[Round]]=2),IF(Games[[#This Row],[Result]]&lt;0.5,1,0),0)</f>
        <v>0</v>
      </c>
      <c r="AI419" s="2">
        <f>IF(AND(Games[[#This Row],[Type]]="P",Games[[#This Row],[Round]]=3),IF(Games[[#This Row],[Result]]&gt;0.5,1,0),0)</f>
        <v>0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  <row r="420" spans="1:38" x14ac:dyDescent="0.35">
      <c r="A420" s="10">
        <v>42266</v>
      </c>
      <c r="B420" s="2">
        <v>2015</v>
      </c>
      <c r="C420" s="2">
        <f>COUNTIFS(Games[Team],Games[[#This Row],[Team]],Games[Season],Games[[#This Row],[Season]],Games[Date],"&lt;=" &amp; Games[[#This Row],[Date]])</f>
        <v>36</v>
      </c>
      <c r="D420" s="2" t="s">
        <v>87</v>
      </c>
      <c r="E420" s="2">
        <v>1</v>
      </c>
      <c r="F420" s="1" t="s">
        <v>40</v>
      </c>
      <c r="G420" s="1" t="s">
        <v>81</v>
      </c>
      <c r="H420" s="1" t="s">
        <v>85</v>
      </c>
      <c r="I420" s="2" cm="1">
        <f t="array" ref="I4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0" s="2" cm="1">
        <f t="array" ref="J4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0" s="2">
        <f>Games[[#This Row],[DaysOff]]-Games[[#This Row],[OppDaysOff]]</f>
        <v>0</v>
      </c>
      <c r="L420" s="2">
        <f>Games[[#This Row],[OppDaysOff]]-Games[[#This Row],[DaysOff]]</f>
        <v>0</v>
      </c>
      <c r="M420" s="1">
        <f>MAX(-16, MIN(16, Games[[#This Row],[RestDiff]]*8))</f>
        <v>0</v>
      </c>
      <c r="N420" s="1">
        <f>MAX(-16, MIN(16, Games[[#This Row],[OppRestDiff]]*8))</f>
        <v>0</v>
      </c>
      <c r="O420" s="4" cm="1">
        <f t="array" ref="O4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1597.9405955836887</v>
      </c>
      <c r="P420" s="4" cm="1">
        <f t="array" ref="P4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1484.1823781696562</v>
      </c>
      <c r="Q420" s="4">
        <f>1/(1+10^(((Games[[#This Row],[OppPreGmRate]]+IF(Games[[#This Row],[HomeAway]]="A",HCA,0)+Games[[#This Row],[OppRestAdj]])-(Games[[#This Row],[PreGmRate]]+IF(Games[[#This Row],[HomeAway]]="H",HCA,0)+Games[[#This Row],[RestAdj]]))/400))</f>
        <v>0.5427210996898002</v>
      </c>
      <c r="R420" s="1">
        <v>91</v>
      </c>
      <c r="S420" s="1">
        <v>67</v>
      </c>
      <c r="T420" s="1">
        <v>0</v>
      </c>
      <c r="U420" s="1">
        <f>Games[[#This Row],[PointsFor]]-Games[[#This Row],[PointsAgainst]]</f>
        <v>24</v>
      </c>
      <c r="V420" s="1">
        <f>IF(Games[[#This Row],[MOV]]&gt;0,1,IF(Games[[#This Row],[MOV]]=0,0.5,0))</f>
        <v>1</v>
      </c>
      <c r="W420" s="4">
        <f>((ABS(Games[[#This Row],[MOV]])+5)^0.6)/(12+0.01*(ABS(Games[[#This Row],[PreGmRate]]-Games[[#This Row],[OppPreGmRate]])))*IF(Games[[#This Row],[OT]]=1,0.9,1)</f>
        <v>0.5740151477964861</v>
      </c>
      <c r="X420" s="7" cm="1">
        <f t="array" ref="X4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0" s="9">
        <f>MAX(kmin, kmax - 0.15 * MIN(Games[[#This Row],[GamesPlayed]], 82))</f>
        <v>70.599999999999994</v>
      </c>
      <c r="Z420" s="4">
        <f>Games[[#This Row],[K]]*Games[[#This Row],[POMult]]</f>
        <v>77.66</v>
      </c>
      <c r="AA420" s="4">
        <f>(Games[[#This Row],[Keff]]*Games[[#This Row],[MOVMult]])*(Games[[#This Row],[Result]]-Games[[#This Row],[ExpectedWin%]])</f>
        <v>20.384586307284806</v>
      </c>
      <c r="AB420" s="4">
        <f>Games[[#This Row],[PreGmRate]]+Games[[#This Row],[RatingChange]]</f>
        <v>1618.3251818909735</v>
      </c>
      <c r="AC420" s="2">
        <f>IF(Games[[#This Row],[Type]]="R",IF(Games[[#This Row],[Result]]&gt;0.5,1,0),0)</f>
        <v>0</v>
      </c>
      <c r="AD420" s="2">
        <f>IF(Games[[#This Row],[Type]]="R",IF(Games[[#This Row],[Result]]&lt;0.5,1,0),0)</f>
        <v>0</v>
      </c>
      <c r="AE420" s="2">
        <f>IF(AND(Games[[#This Row],[Type]]="P",Games[[#This Row],[Round]]=1),IF(Games[[#This Row],[Result]]&gt;0.5,1,0),0)</f>
        <v>1</v>
      </c>
      <c r="AF420" s="2">
        <f>IF(AND(Games[[#This Row],[Type]]="P",Games[[#This Row],[Round]]=1),IF(Games[[#This Row],[Result]]&lt;0.5,1,0),0)</f>
        <v>0</v>
      </c>
      <c r="AG420" s="2">
        <f>IF(AND(Games[[#This Row],[Type]]="P",Games[[#This Row],[Round]]=2),IF(Games[[#This Row],[Result]]&gt;0.5,1,0),0)</f>
        <v>0</v>
      </c>
      <c r="AH420" s="2">
        <f>IF(AND(Games[[#This Row],[Type]]="P",Games[[#This Row],[Round]]=2),IF(Games[[#This Row],[Result]]&lt;0.5,1,0),0)</f>
        <v>0</v>
      </c>
      <c r="AI420" s="2">
        <f>IF(AND(Games[[#This Row],[Type]]="P",Games[[#This Row],[Round]]=3),IF(Games[[#This Row],[Result]]&gt;0.5,1,0),0)</f>
        <v>0</v>
      </c>
      <c r="AJ420" s="2">
        <f>IF(AND(Games[[#This Row],[Type]]="P",Games[[#This Row],[Round]]=3),IF(Games[[#This Row],[Result]]&lt;0.5,1,0),0)</f>
        <v>0</v>
      </c>
      <c r="AK420" s="2">
        <f>IF(AND(Games[[#This Row],[Type]]="P",Games[[#This Row],[Round]]=4),IF(Games[[#This Row],[Result]]&gt;0.5,1,0),0)</f>
        <v>0</v>
      </c>
      <c r="AL420" s="2">
        <f>IF(AND(Games[[#This Row],[Type]]="P",Games[[#This Row],[Round]]=4),IF(Games[[#This Row],[Result]]&lt;0.5,1,0),0)</f>
        <v>0</v>
      </c>
    </row>
    <row r="421" spans="1:38" x14ac:dyDescent="0.35">
      <c r="A421" s="10">
        <v>42266</v>
      </c>
      <c r="B421" s="2">
        <v>2015</v>
      </c>
      <c r="C421" s="2">
        <f>COUNTIFS(Games[Team],Games[[#This Row],[Team]],Games[Season],Games[[#This Row],[Season]],Games[Date],"&lt;=" &amp; Games[[#This Row],[Date]])</f>
        <v>36</v>
      </c>
      <c r="D421" s="2" t="s">
        <v>87</v>
      </c>
      <c r="E421" s="2">
        <v>1</v>
      </c>
      <c r="F421" s="1" t="s">
        <v>81</v>
      </c>
      <c r="G421" s="1" t="s">
        <v>40</v>
      </c>
      <c r="H421" s="1" t="s">
        <v>86</v>
      </c>
      <c r="I421" s="2" cm="1">
        <f t="array" ref="I4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1" s="2" cm="1">
        <f t="array" ref="J4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1" s="2">
        <f>Games[[#This Row],[DaysOff]]-Games[[#This Row],[OppDaysOff]]</f>
        <v>0</v>
      </c>
      <c r="L421" s="2">
        <f>Games[[#This Row],[OppDaysOff]]-Games[[#This Row],[DaysOff]]</f>
        <v>0</v>
      </c>
      <c r="M421" s="1">
        <f>MAX(-16, MIN(16, Games[[#This Row],[RestDiff]]*8))</f>
        <v>0</v>
      </c>
      <c r="N421" s="1">
        <f>MAX(-16, MIN(16, Games[[#This Row],[OppRestDiff]]*8))</f>
        <v>0</v>
      </c>
      <c r="O421" s="4" cm="1">
        <f t="array" ref="O4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1484.1823781696562</v>
      </c>
      <c r="P421" s="4" cm="1">
        <f t="array" ref="P4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1597.9405955836887</v>
      </c>
      <c r="Q421" s="4">
        <f>1/(1+10^(((Games[[#This Row],[OppPreGmRate]]+IF(Games[[#This Row],[HomeAway]]="A",HCA,0)+Games[[#This Row],[OppRestAdj]])-(Games[[#This Row],[PreGmRate]]+IF(Games[[#This Row],[HomeAway]]="H",HCA,0)+Games[[#This Row],[RestAdj]]))/400))</f>
        <v>0.4572789003101998</v>
      </c>
      <c r="R421" s="1">
        <v>67</v>
      </c>
      <c r="S421" s="1">
        <v>91</v>
      </c>
      <c r="T421" s="1">
        <v>0</v>
      </c>
      <c r="U421" s="1">
        <f>Games[[#This Row],[PointsFor]]-Games[[#This Row],[PointsAgainst]]</f>
        <v>-24</v>
      </c>
      <c r="V421" s="1">
        <f>IF(Games[[#This Row],[MOV]]&gt;0,1,IF(Games[[#This Row],[MOV]]=0,0.5,0))</f>
        <v>0</v>
      </c>
      <c r="W421" s="4">
        <f>((ABS(Games[[#This Row],[MOV]])+5)^0.6)/(12+0.01*(ABS(Games[[#This Row],[PreGmRate]]-Games[[#This Row],[OppPreGmRate]])))*IF(Games[[#This Row],[OT]]=1,0.9,1)</f>
        <v>0.5740151477964861</v>
      </c>
      <c r="X421" s="7" cm="1">
        <f t="array" ref="X4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1" s="9">
        <f>MAX(kmin, kmax - 0.15 * MIN(Games[[#This Row],[GamesPlayed]], 82))</f>
        <v>70.599999999999994</v>
      </c>
      <c r="Z421" s="4">
        <f>Games[[#This Row],[K]]*Games[[#This Row],[POMult]]</f>
        <v>77.66</v>
      </c>
      <c r="AA421" s="4">
        <f>(Games[[#This Row],[Keff]]*Games[[#This Row],[MOVMult]])*(Games[[#This Row],[Result]]-Games[[#This Row],[ExpectedWin%]])</f>
        <v>-20.384586307284806</v>
      </c>
      <c r="AB421" s="4">
        <f>Games[[#This Row],[PreGmRate]]+Games[[#This Row],[RatingChange]]</f>
        <v>1463.7977918623715</v>
      </c>
      <c r="AC421" s="2">
        <f>IF(Games[[#This Row],[Type]]="R",IF(Games[[#This Row],[Result]]&gt;0.5,1,0),0)</f>
        <v>0</v>
      </c>
      <c r="AD421" s="2">
        <f>IF(Games[[#This Row],[Type]]="R",IF(Games[[#This Row],[Result]]&lt;0.5,1,0),0)</f>
        <v>0</v>
      </c>
      <c r="AE421" s="2">
        <f>IF(AND(Games[[#This Row],[Type]]="P",Games[[#This Row],[Round]]=1),IF(Games[[#This Row],[Result]]&gt;0.5,1,0),0)</f>
        <v>0</v>
      </c>
      <c r="AF421" s="2">
        <f>IF(AND(Games[[#This Row],[Type]]="P",Games[[#This Row],[Round]]=1),IF(Games[[#This Row],[Result]]&lt;0.5,1,0),0)</f>
        <v>1</v>
      </c>
      <c r="AG421" s="2">
        <f>IF(AND(Games[[#This Row],[Type]]="P",Games[[#This Row],[Round]]=2),IF(Games[[#This Row],[Result]]&gt;0.5,1,0),0)</f>
        <v>0</v>
      </c>
      <c r="AH421" s="2">
        <f>IF(AND(Games[[#This Row],[Type]]="P",Games[[#This Row],[Round]]=2),IF(Games[[#This Row],[Result]]&lt;0.5,1,0),0)</f>
        <v>0</v>
      </c>
      <c r="AI421" s="2">
        <f>IF(AND(Games[[#This Row],[Type]]="P",Games[[#This Row],[Round]]=3),IF(Games[[#This Row],[Result]]&gt;0.5,1,0),0)</f>
        <v>0</v>
      </c>
      <c r="AJ421" s="2">
        <f>IF(AND(Games[[#This Row],[Type]]="P",Games[[#This Row],[Round]]=3),IF(Games[[#This Row],[Result]]&lt;0.5,1,0),0)</f>
        <v>0</v>
      </c>
      <c r="AK421" s="2">
        <f>IF(AND(Games[[#This Row],[Type]]="P",Games[[#This Row],[Round]]=4),IF(Games[[#This Row],[Result]]&gt;0.5,1,0),0)</f>
        <v>0</v>
      </c>
      <c r="AL421" s="2">
        <f>IF(AND(Games[[#This Row],[Type]]="P",Games[[#This Row],[Round]]=4),IF(Games[[#This Row],[Result]]&lt;0.5,1,0),0)</f>
        <v>0</v>
      </c>
    </row>
    <row r="422" spans="1:38" x14ac:dyDescent="0.35">
      <c r="A422" s="10">
        <v>42267</v>
      </c>
      <c r="B422" s="2">
        <v>2015</v>
      </c>
      <c r="C422" s="2">
        <f>COUNTIFS(Games[Team],Games[[#This Row],[Team]],Games[Season],Games[[#This Row],[Season]],Games[Date],"&lt;=" &amp; Games[[#This Row],[Date]])</f>
        <v>36</v>
      </c>
      <c r="D422" s="2" t="s">
        <v>87</v>
      </c>
      <c r="E422" s="2">
        <v>1</v>
      </c>
      <c r="F422" s="1" t="s">
        <v>67</v>
      </c>
      <c r="G422" s="1" t="s">
        <v>63</v>
      </c>
      <c r="H422" s="1" t="s">
        <v>85</v>
      </c>
      <c r="I422" s="2" cm="1">
        <f t="array" ref="I4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2" s="2" cm="1">
        <f t="array" ref="J4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2" s="2">
        <f>Games[[#This Row],[DaysOff]]-Games[[#This Row],[OppDaysOff]]</f>
        <v>0</v>
      </c>
      <c r="L422" s="2">
        <f>Games[[#This Row],[OppDaysOff]]-Games[[#This Row],[DaysOff]]</f>
        <v>0</v>
      </c>
      <c r="M422" s="1">
        <f>MAX(-16, MIN(16, Games[[#This Row],[RestDiff]]*8))</f>
        <v>0</v>
      </c>
      <c r="N422" s="1">
        <f>MAX(-16, MIN(16, Games[[#This Row],[OppRestDiff]]*8))</f>
        <v>0</v>
      </c>
      <c r="O422" s="4" cm="1">
        <f t="array" ref="O4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1575.7392545825592</v>
      </c>
      <c r="P422" s="4" cm="1">
        <f t="array" ref="P4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1487.7614626465465</v>
      </c>
      <c r="Q422" s="4">
        <f>1/(1+10^(((Games[[#This Row],[OppPreGmRate]]+IF(Games[[#This Row],[HomeAway]]="A",HCA,0)+Games[[#This Row],[OppRestAdj]])-(Games[[#This Row],[PreGmRate]]+IF(Games[[#This Row],[HomeAway]]="H",HCA,0)+Games[[#This Row],[RestAdj]]))/400))</f>
        <v>0.50572425265033583</v>
      </c>
      <c r="R422" s="1">
        <v>71</v>
      </c>
      <c r="S422" s="1">
        <v>81</v>
      </c>
      <c r="T422" s="1">
        <v>0</v>
      </c>
      <c r="U422" s="1">
        <f>Games[[#This Row],[PointsFor]]-Games[[#This Row],[PointsAgainst]]</f>
        <v>-10</v>
      </c>
      <c r="V422" s="1">
        <f>IF(Games[[#This Row],[MOV]]&gt;0,1,IF(Games[[#This Row],[MOV]]=0,0.5,0))</f>
        <v>0</v>
      </c>
      <c r="W422" s="4">
        <f>((ABS(Games[[#This Row],[MOV]])+5)^0.6)/(12+0.01*(ABS(Games[[#This Row],[PreGmRate]]-Games[[#This Row],[OppPreGmRate]])))*IF(Games[[#This Row],[OT]]=1,0.9,1)</f>
        <v>0.39422701414401895</v>
      </c>
      <c r="X422" s="7" cm="1">
        <f t="array" ref="X4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2" s="9">
        <f>MAX(kmin, kmax - 0.15 * MIN(Games[[#This Row],[GamesPlayed]], 82))</f>
        <v>70.599999999999994</v>
      </c>
      <c r="Z422" s="4">
        <f>Games[[#This Row],[K]]*Games[[#This Row],[POMult]]</f>
        <v>77.66</v>
      </c>
      <c r="AA422" s="4">
        <f>(Games[[#This Row],[Keff]]*Games[[#This Row],[MOVMult]])*(Games[[#This Row],[Result]]-Games[[#This Row],[ExpectedWin%]])</f>
        <v>-15.483086788884604</v>
      </c>
      <c r="AB422" s="4">
        <f>Games[[#This Row],[PreGmRate]]+Games[[#This Row],[RatingChange]]</f>
        <v>1560.2561677936746</v>
      </c>
      <c r="AC422" s="2">
        <f>IF(Games[[#This Row],[Type]]="R",IF(Games[[#This Row],[Result]]&gt;0.5,1,0),0)</f>
        <v>0</v>
      </c>
      <c r="AD422" s="2">
        <f>IF(Games[[#This Row],[Type]]="R",IF(Games[[#This Row],[Result]]&lt;0.5,1,0),0)</f>
        <v>0</v>
      </c>
      <c r="AE422" s="2">
        <f>IF(AND(Games[[#This Row],[Type]]="P",Games[[#This Row],[Round]]=1),IF(Games[[#This Row],[Result]]&gt;0.5,1,0),0)</f>
        <v>0</v>
      </c>
      <c r="AF422" s="2">
        <f>IF(AND(Games[[#This Row],[Type]]="P",Games[[#This Row],[Round]]=1),IF(Games[[#This Row],[Result]]&lt;0.5,1,0),0)</f>
        <v>1</v>
      </c>
      <c r="AG422" s="2">
        <f>IF(AND(Games[[#This Row],[Type]]="P",Games[[#This Row],[Round]]=2),IF(Games[[#This Row],[Result]]&gt;0.5,1,0),0)</f>
        <v>0</v>
      </c>
      <c r="AH422" s="2">
        <f>IF(AND(Games[[#This Row],[Type]]="P",Games[[#This Row],[Round]]=2),IF(Games[[#This Row],[Result]]&lt;0.5,1,0),0)</f>
        <v>0</v>
      </c>
      <c r="AI422" s="2">
        <f>IF(AND(Games[[#This Row],[Type]]="P",Games[[#This Row],[Round]]=3),IF(Games[[#This Row],[Result]]&gt;0.5,1,0),0)</f>
        <v>0</v>
      </c>
      <c r="AJ422" s="2">
        <f>IF(AND(Games[[#This Row],[Type]]="P",Games[[#This Row],[Round]]=3),IF(Games[[#This Row],[Result]]&lt;0.5,1,0),0)</f>
        <v>0</v>
      </c>
      <c r="AK422" s="2">
        <f>IF(AND(Games[[#This Row],[Type]]="P",Games[[#This Row],[Round]]=4),IF(Games[[#This Row],[Result]]&gt;0.5,1,0),0)</f>
        <v>0</v>
      </c>
      <c r="AL422" s="2">
        <f>IF(AND(Games[[#This Row],[Type]]="P",Games[[#This Row],[Round]]=4),IF(Games[[#This Row],[Result]]&lt;0.5,1,0),0)</f>
        <v>0</v>
      </c>
    </row>
    <row r="423" spans="1:38" x14ac:dyDescent="0.35">
      <c r="A423" s="10">
        <v>42267</v>
      </c>
      <c r="B423" s="2">
        <v>2015</v>
      </c>
      <c r="C423" s="2">
        <f>COUNTIFS(Games[Team],Games[[#This Row],[Team]],Games[Season],Games[[#This Row],[Season]],Games[Date],"&lt;=" &amp; Games[[#This Row],[Date]])</f>
        <v>36</v>
      </c>
      <c r="D423" s="2" t="s">
        <v>87</v>
      </c>
      <c r="E423" s="2">
        <v>1</v>
      </c>
      <c r="F423" s="1" t="s">
        <v>63</v>
      </c>
      <c r="G423" s="1" t="s">
        <v>67</v>
      </c>
      <c r="H423" s="1" t="s">
        <v>86</v>
      </c>
      <c r="I423" s="2" cm="1">
        <f t="array" ref="I4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3" s="2" cm="1">
        <f t="array" ref="J4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3" s="2">
        <f>Games[[#This Row],[DaysOff]]-Games[[#This Row],[OppDaysOff]]</f>
        <v>0</v>
      </c>
      <c r="L423" s="2">
        <f>Games[[#This Row],[OppDaysOff]]-Games[[#This Row],[DaysOff]]</f>
        <v>0</v>
      </c>
      <c r="M423" s="1">
        <f>MAX(-16, MIN(16, Games[[#This Row],[RestDiff]]*8))</f>
        <v>0</v>
      </c>
      <c r="N423" s="1">
        <f>MAX(-16, MIN(16, Games[[#This Row],[OppRestDiff]]*8))</f>
        <v>0</v>
      </c>
      <c r="O423" s="4" cm="1">
        <f t="array" ref="O4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1487.7614626465465</v>
      </c>
      <c r="P423" s="4" cm="1">
        <f t="array" ref="P4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1575.7392545825592</v>
      </c>
      <c r="Q423" s="4">
        <f>1/(1+10^(((Games[[#This Row],[OppPreGmRate]]+IF(Games[[#This Row],[HomeAway]]="A",HCA,0)+Games[[#This Row],[OppRestAdj]])-(Games[[#This Row],[PreGmRate]]+IF(Games[[#This Row],[HomeAway]]="H",HCA,0)+Games[[#This Row],[RestAdj]]))/400))</f>
        <v>0.49427574734966423</v>
      </c>
      <c r="R423" s="1">
        <v>81</v>
      </c>
      <c r="S423" s="1">
        <v>71</v>
      </c>
      <c r="T423" s="1">
        <v>0</v>
      </c>
      <c r="U423" s="1">
        <f>Games[[#This Row],[PointsFor]]-Games[[#This Row],[PointsAgainst]]</f>
        <v>10</v>
      </c>
      <c r="V423" s="1">
        <f>IF(Games[[#This Row],[MOV]]&gt;0,1,IF(Games[[#This Row],[MOV]]=0,0.5,0))</f>
        <v>1</v>
      </c>
      <c r="W423" s="4">
        <f>((ABS(Games[[#This Row],[MOV]])+5)^0.6)/(12+0.01*(ABS(Games[[#This Row],[PreGmRate]]-Games[[#This Row],[OppPreGmRate]])))*IF(Games[[#This Row],[OT]]=1,0.9,1)</f>
        <v>0.39422701414401895</v>
      </c>
      <c r="X423" s="7" cm="1">
        <f t="array" ref="X4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3" s="9">
        <f>MAX(kmin, kmax - 0.15 * MIN(Games[[#This Row],[GamesPlayed]], 82))</f>
        <v>70.599999999999994</v>
      </c>
      <c r="Z423" s="4">
        <f>Games[[#This Row],[K]]*Games[[#This Row],[POMult]]</f>
        <v>77.66</v>
      </c>
      <c r="AA423" s="4">
        <f>(Games[[#This Row],[Keff]]*Games[[#This Row],[MOVMult]])*(Games[[#This Row],[Result]]-Games[[#This Row],[ExpectedWin%]])</f>
        <v>15.483086788884604</v>
      </c>
      <c r="AB423" s="4">
        <f>Games[[#This Row],[PreGmRate]]+Games[[#This Row],[RatingChange]]</f>
        <v>1503.2445494354311</v>
      </c>
      <c r="AC423" s="2">
        <f>IF(Games[[#This Row],[Type]]="R",IF(Games[[#This Row],[Result]]&gt;0.5,1,0),0)</f>
        <v>0</v>
      </c>
      <c r="AD423" s="2">
        <f>IF(Games[[#This Row],[Type]]="R",IF(Games[[#This Row],[Result]]&lt;0.5,1,0),0)</f>
        <v>0</v>
      </c>
      <c r="AE423" s="2">
        <f>IF(AND(Games[[#This Row],[Type]]="P",Games[[#This Row],[Round]]=1),IF(Games[[#This Row],[Result]]&gt;0.5,1,0),0)</f>
        <v>1</v>
      </c>
      <c r="AF423" s="2">
        <f>IF(AND(Games[[#This Row],[Type]]="P",Games[[#This Row],[Round]]=1),IF(Games[[#This Row],[Result]]&lt;0.5,1,0),0)</f>
        <v>0</v>
      </c>
      <c r="AG423" s="2">
        <f>IF(AND(Games[[#This Row],[Type]]="P",Games[[#This Row],[Round]]=2),IF(Games[[#This Row],[Result]]&gt;0.5,1,0),0)</f>
        <v>0</v>
      </c>
      <c r="AH423" s="2">
        <f>IF(AND(Games[[#This Row],[Type]]="P",Games[[#This Row],[Round]]=2),IF(Games[[#This Row],[Result]]&lt;0.5,1,0),0)</f>
        <v>0</v>
      </c>
      <c r="AI423" s="2">
        <f>IF(AND(Games[[#This Row],[Type]]="P",Games[[#This Row],[Round]]=3),IF(Games[[#This Row],[Result]]&gt;0.5,1,0),0)</f>
        <v>0</v>
      </c>
      <c r="AJ423" s="2">
        <f>IF(AND(Games[[#This Row],[Type]]="P",Games[[#This Row],[Round]]=3),IF(Games[[#This Row],[Result]]&lt;0.5,1,0),0)</f>
        <v>0</v>
      </c>
      <c r="AK423" s="2">
        <f>IF(AND(Games[[#This Row],[Type]]="P",Games[[#This Row],[Round]]=4),IF(Games[[#This Row],[Result]]&gt;0.5,1,0),0)</f>
        <v>0</v>
      </c>
      <c r="AL423" s="2">
        <f>IF(AND(Games[[#This Row],[Type]]="P",Games[[#This Row],[Round]]=4),IF(Games[[#This Row],[Result]]&lt;0.5,1,0),0)</f>
        <v>0</v>
      </c>
    </row>
    <row r="424" spans="1:38" x14ac:dyDescent="0.35">
      <c r="A424" s="10">
        <v>42267</v>
      </c>
      <c r="B424" s="2">
        <v>2015</v>
      </c>
      <c r="C424" s="2">
        <f>COUNTIFS(Games[Team],Games[[#This Row],[Team]],Games[Season],Games[[#This Row],[Season]],Games[Date],"&lt;=" &amp; Games[[#This Row],[Date]])</f>
        <v>36</v>
      </c>
      <c r="D424" s="2" t="s">
        <v>87</v>
      </c>
      <c r="E424" s="2">
        <v>1</v>
      </c>
      <c r="F424" s="1" t="s">
        <v>60</v>
      </c>
      <c r="G424" s="1" t="s">
        <v>65</v>
      </c>
      <c r="H424" s="1" t="s">
        <v>85</v>
      </c>
      <c r="I424" s="2" cm="1">
        <f t="array" ref="I4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4" s="2" cm="1">
        <f t="array" ref="J4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4" s="2">
        <f>Games[[#This Row],[DaysOff]]-Games[[#This Row],[OppDaysOff]]</f>
        <v>0</v>
      </c>
      <c r="L424" s="2">
        <f>Games[[#This Row],[OppDaysOff]]-Games[[#This Row],[DaysOff]]</f>
        <v>0</v>
      </c>
      <c r="M424" s="1">
        <f>MAX(-16, MIN(16, Games[[#This Row],[RestDiff]]*8))</f>
        <v>0</v>
      </c>
      <c r="N424" s="1">
        <f>MAX(-16, MIN(16, Games[[#This Row],[OppRestDiff]]*8))</f>
        <v>0</v>
      </c>
      <c r="O424" s="4" cm="1">
        <f t="array" ref="O4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1551.2120201108094</v>
      </c>
      <c r="P424" s="4" cm="1">
        <f t="array" ref="P4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1551.0176829565337</v>
      </c>
      <c r="Q424" s="4">
        <f>1/(1+10^(((Games[[#This Row],[OppPreGmRate]]+IF(Games[[#This Row],[HomeAway]]="A",HCA,0)+Games[[#This Row],[OppRestAdj]])-(Games[[#This Row],[PreGmRate]]+IF(Games[[#This Row],[HomeAway]]="H",HCA,0)+Games[[#This Row],[RestAdj]]))/400))</f>
        <v>0.38167985524873982</v>
      </c>
      <c r="R424" s="1">
        <v>86</v>
      </c>
      <c r="S424" s="1">
        <v>68</v>
      </c>
      <c r="T424" s="1">
        <v>0</v>
      </c>
      <c r="U424" s="1">
        <f>Games[[#This Row],[PointsFor]]-Games[[#This Row],[PointsAgainst]]</f>
        <v>18</v>
      </c>
      <c r="V424" s="1">
        <f>IF(Games[[#This Row],[MOV]]&gt;0,1,IF(Games[[#This Row],[MOV]]=0,0.5,0))</f>
        <v>1</v>
      </c>
      <c r="W424" s="4">
        <f>((ABS(Games[[#This Row],[MOV]])+5)^0.6)/(12+0.01*(ABS(Games[[#This Row],[PreGmRate]]-Games[[#This Row],[OppPreGmRate]])))*IF(Games[[#This Row],[OT]]=1,0.9,1)</f>
        <v>0.54674538800730565</v>
      </c>
      <c r="X424" s="7" cm="1">
        <f t="array" ref="X4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4" s="9">
        <f>MAX(kmin, kmax - 0.15 * MIN(Games[[#This Row],[GamesPlayed]], 82))</f>
        <v>70.599999999999994</v>
      </c>
      <c r="Z424" s="4">
        <f>Games[[#This Row],[K]]*Games[[#This Row],[POMult]]</f>
        <v>77.66</v>
      </c>
      <c r="AA424" s="4">
        <f>(Games[[#This Row],[Keff]]*Games[[#This Row],[MOVMult]])*(Games[[#This Row],[Result]]-Games[[#This Row],[ExpectedWin%]])</f>
        <v>26.254025967736752</v>
      </c>
      <c r="AB424" s="4">
        <f>Games[[#This Row],[PreGmRate]]+Games[[#This Row],[RatingChange]]</f>
        <v>1577.466046078546</v>
      </c>
      <c r="AC424" s="2">
        <f>IF(Games[[#This Row],[Type]]="R",IF(Games[[#This Row],[Result]]&gt;0.5,1,0),0)</f>
        <v>0</v>
      </c>
      <c r="AD424" s="2">
        <f>IF(Games[[#This Row],[Type]]="R",IF(Games[[#This Row],[Result]]&lt;0.5,1,0),0)</f>
        <v>0</v>
      </c>
      <c r="AE424" s="2">
        <f>IF(AND(Games[[#This Row],[Type]]="P",Games[[#This Row],[Round]]=1),IF(Games[[#This Row],[Result]]&gt;0.5,1,0),0)</f>
        <v>1</v>
      </c>
      <c r="AF424" s="2">
        <f>IF(AND(Games[[#This Row],[Type]]="P",Games[[#This Row],[Round]]=1),IF(Games[[#This Row],[Result]]&lt;0.5,1,0),0)</f>
        <v>0</v>
      </c>
      <c r="AG424" s="2">
        <f>IF(AND(Games[[#This Row],[Type]]="P",Games[[#This Row],[Round]]=2),IF(Games[[#This Row],[Result]]&gt;0.5,1,0),0)</f>
        <v>0</v>
      </c>
      <c r="AH424" s="2">
        <f>IF(AND(Games[[#This Row],[Type]]="P",Games[[#This Row],[Round]]=2),IF(Games[[#This Row],[Result]]&lt;0.5,1,0),0)</f>
        <v>0</v>
      </c>
      <c r="AI424" s="2">
        <f>IF(AND(Games[[#This Row],[Type]]="P",Games[[#This Row],[Round]]=3),IF(Games[[#This Row],[Result]]&gt;0.5,1,0),0)</f>
        <v>0</v>
      </c>
      <c r="AJ424" s="2">
        <f>IF(AND(Games[[#This Row],[Type]]="P",Games[[#This Row],[Round]]=3),IF(Games[[#This Row],[Result]]&lt;0.5,1,0),0)</f>
        <v>0</v>
      </c>
      <c r="AK424" s="2">
        <f>IF(AND(Games[[#This Row],[Type]]="P",Games[[#This Row],[Round]]=4),IF(Games[[#This Row],[Result]]&gt;0.5,1,0),0)</f>
        <v>0</v>
      </c>
      <c r="AL424" s="2">
        <f>IF(AND(Games[[#This Row],[Type]]="P",Games[[#This Row],[Round]]=4),IF(Games[[#This Row],[Result]]&lt;0.5,1,0),0)</f>
        <v>0</v>
      </c>
    </row>
    <row r="425" spans="1:38" x14ac:dyDescent="0.35">
      <c r="A425" s="10">
        <v>42267</v>
      </c>
      <c r="B425" s="2">
        <v>2015</v>
      </c>
      <c r="C425" s="2">
        <f>COUNTIFS(Games[Team],Games[[#This Row],[Team]],Games[Season],Games[[#This Row],[Season]],Games[Date],"&lt;=" &amp; Games[[#This Row],[Date]])</f>
        <v>36</v>
      </c>
      <c r="D425" s="2" t="s">
        <v>87</v>
      </c>
      <c r="E425" s="2">
        <v>1</v>
      </c>
      <c r="F425" s="1" t="s">
        <v>65</v>
      </c>
      <c r="G425" s="1" t="s">
        <v>60</v>
      </c>
      <c r="H425" s="1" t="s">
        <v>86</v>
      </c>
      <c r="I425" s="2" cm="1">
        <f t="array" ref="I4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5" s="2" cm="1">
        <f t="array" ref="J4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5" s="2">
        <f>Games[[#This Row],[DaysOff]]-Games[[#This Row],[OppDaysOff]]</f>
        <v>0</v>
      </c>
      <c r="L425" s="2">
        <f>Games[[#This Row],[OppDaysOff]]-Games[[#This Row],[DaysOff]]</f>
        <v>0</v>
      </c>
      <c r="M425" s="1">
        <f>MAX(-16, MIN(16, Games[[#This Row],[RestDiff]]*8))</f>
        <v>0</v>
      </c>
      <c r="N425" s="1">
        <f>MAX(-16, MIN(16, Games[[#This Row],[OppRestDiff]]*8))</f>
        <v>0</v>
      </c>
      <c r="O425" s="4" cm="1">
        <f t="array" ref="O4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1551.0176829565337</v>
      </c>
      <c r="P425" s="4" cm="1">
        <f t="array" ref="P4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1551.2120201108094</v>
      </c>
      <c r="Q425" s="4">
        <f>1/(1+10^(((Games[[#This Row],[OppPreGmRate]]+IF(Games[[#This Row],[HomeAway]]="A",HCA,0)+Games[[#This Row],[OppRestAdj]])-(Games[[#This Row],[PreGmRate]]+IF(Games[[#This Row],[HomeAway]]="H",HCA,0)+Games[[#This Row],[RestAdj]]))/400))</f>
        <v>0.61832014475126018</v>
      </c>
      <c r="R425" s="1">
        <v>68</v>
      </c>
      <c r="S425" s="1">
        <v>86</v>
      </c>
      <c r="T425" s="1">
        <v>0</v>
      </c>
      <c r="U425" s="1">
        <f>Games[[#This Row],[PointsFor]]-Games[[#This Row],[PointsAgainst]]</f>
        <v>-18</v>
      </c>
      <c r="V425" s="1">
        <f>IF(Games[[#This Row],[MOV]]&gt;0,1,IF(Games[[#This Row],[MOV]]=0,0.5,0))</f>
        <v>0</v>
      </c>
      <c r="W425" s="4">
        <f>((ABS(Games[[#This Row],[MOV]])+5)^0.6)/(12+0.01*(ABS(Games[[#This Row],[PreGmRate]]-Games[[#This Row],[OppPreGmRate]])))*IF(Games[[#This Row],[OT]]=1,0.9,1)</f>
        <v>0.54674538800730565</v>
      </c>
      <c r="X425" s="7" cm="1">
        <f t="array" ref="X4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5" s="9">
        <f>MAX(kmin, kmax - 0.15 * MIN(Games[[#This Row],[GamesPlayed]], 82))</f>
        <v>70.599999999999994</v>
      </c>
      <c r="Z425" s="4">
        <f>Games[[#This Row],[K]]*Games[[#This Row],[POMult]]</f>
        <v>77.66</v>
      </c>
      <c r="AA425" s="4">
        <f>(Games[[#This Row],[Keff]]*Games[[#This Row],[MOVMult]])*(Games[[#This Row],[Result]]-Games[[#This Row],[ExpectedWin%]])</f>
        <v>-26.254025967736752</v>
      </c>
      <c r="AB425" s="4">
        <f>Games[[#This Row],[PreGmRate]]+Games[[#This Row],[RatingChange]]</f>
        <v>1524.763656988797</v>
      </c>
      <c r="AC425" s="2">
        <f>IF(Games[[#This Row],[Type]]="R",IF(Games[[#This Row],[Result]]&gt;0.5,1,0),0)</f>
        <v>0</v>
      </c>
      <c r="AD425" s="2">
        <f>IF(Games[[#This Row],[Type]]="R",IF(Games[[#This Row],[Result]]&lt;0.5,1,0),0)</f>
        <v>0</v>
      </c>
      <c r="AE425" s="2">
        <f>IF(AND(Games[[#This Row],[Type]]="P",Games[[#This Row],[Round]]=1),IF(Games[[#This Row],[Result]]&gt;0.5,1,0),0)</f>
        <v>0</v>
      </c>
      <c r="AF425" s="2">
        <f>IF(AND(Games[[#This Row],[Type]]="P",Games[[#This Row],[Round]]=1),IF(Games[[#This Row],[Result]]&lt;0.5,1,0),0)</f>
        <v>1</v>
      </c>
      <c r="AG425" s="2">
        <f>IF(AND(Games[[#This Row],[Type]]="P",Games[[#This Row],[Round]]=2),IF(Games[[#This Row],[Result]]&gt;0.5,1,0),0)</f>
        <v>0</v>
      </c>
      <c r="AH425" s="2">
        <f>IF(AND(Games[[#This Row],[Type]]="P",Games[[#This Row],[Round]]=2),IF(Games[[#This Row],[Result]]&lt;0.5,1,0),0)</f>
        <v>0</v>
      </c>
      <c r="AI425" s="2">
        <f>IF(AND(Games[[#This Row],[Type]]="P",Games[[#This Row],[Round]]=3),IF(Games[[#This Row],[Result]]&gt;0.5,1,0),0)</f>
        <v>0</v>
      </c>
      <c r="AJ425" s="2">
        <f>IF(AND(Games[[#This Row],[Type]]="P",Games[[#This Row],[Round]]=3),IF(Games[[#This Row],[Result]]&lt;0.5,1,0),0)</f>
        <v>0</v>
      </c>
      <c r="AK425" s="2">
        <f>IF(AND(Games[[#This Row],[Type]]="P",Games[[#This Row],[Round]]=4),IF(Games[[#This Row],[Result]]&gt;0.5,1,0),0)</f>
        <v>0</v>
      </c>
      <c r="AL425" s="2">
        <f>IF(AND(Games[[#This Row],[Type]]="P",Games[[#This Row],[Round]]=4),IF(Games[[#This Row],[Result]]&lt;0.5,1,0),0)</f>
        <v>0</v>
      </c>
    </row>
    <row r="426" spans="1:38" x14ac:dyDescent="0.35">
      <c r="A426" s="10">
        <v>42268</v>
      </c>
      <c r="B426" s="2">
        <v>2015</v>
      </c>
      <c r="C426" s="2">
        <f>COUNTIFS(Games[Team],Games[[#This Row],[Team]],Games[Season],Games[[#This Row],[Season]],Games[Date],"&lt;=" &amp; Games[[#This Row],[Date]])</f>
        <v>37</v>
      </c>
      <c r="D426" s="2" t="s">
        <v>87</v>
      </c>
      <c r="E426" s="2">
        <v>1</v>
      </c>
      <c r="F426" s="1" t="s">
        <v>69</v>
      </c>
      <c r="G426" s="1" t="s">
        <v>77</v>
      </c>
      <c r="H426" s="1" t="s">
        <v>85</v>
      </c>
      <c r="I426" s="2" cm="1">
        <f t="array" ref="I4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6" s="2" cm="1">
        <f t="array" ref="J4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6" s="2">
        <f>Games[[#This Row],[DaysOff]]-Games[[#This Row],[OppDaysOff]]</f>
        <v>0</v>
      </c>
      <c r="L426" s="2">
        <f>Games[[#This Row],[OppDaysOff]]-Games[[#This Row],[DaysOff]]</f>
        <v>0</v>
      </c>
      <c r="M426" s="1">
        <f>MAX(-16, MIN(16, Games[[#This Row],[RestDiff]]*8))</f>
        <v>0</v>
      </c>
      <c r="N426" s="1">
        <f>MAX(-16, MIN(16, Games[[#This Row],[OppRestDiff]]*8))</f>
        <v>0</v>
      </c>
      <c r="O426" s="4" cm="1">
        <f t="array" ref="O4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1564.5492507704378</v>
      </c>
      <c r="P426" s="4" cm="1">
        <f t="array" ref="P4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1572.7011296980281</v>
      </c>
      <c r="Q426" s="4">
        <f>1/(1+10^(((Games[[#This Row],[OppPreGmRate]]+IF(Games[[#This Row],[HomeAway]]="A",HCA,0)+Games[[#This Row],[OppRestAdj]])-(Games[[#This Row],[PreGmRate]]+IF(Games[[#This Row],[HomeAway]]="H",HCA,0)+Games[[#This Row],[RestAdj]]))/400))</f>
        <v>0.37040754127384329</v>
      </c>
      <c r="R426" s="1">
        <v>100</v>
      </c>
      <c r="S426" s="1">
        <v>89</v>
      </c>
      <c r="T426" s="1">
        <v>0</v>
      </c>
      <c r="U426" s="1">
        <f>Games[[#This Row],[PointsFor]]-Games[[#This Row],[PointsAgainst]]</f>
        <v>11</v>
      </c>
      <c r="V426" s="1">
        <f>IF(Games[[#This Row],[MOV]]&gt;0,1,IF(Games[[#This Row],[MOV]]=0,0.5,0))</f>
        <v>1</v>
      </c>
      <c r="W426" s="4">
        <f>((ABS(Games[[#This Row],[MOV]])+5)^0.6)/(12+0.01*(ABS(Games[[#This Row],[PreGmRate]]-Games[[#This Row],[OppPreGmRate]])))*IF(Games[[#This Row],[OT]]=1,0.9,1)</f>
        <v>0.43686822287414673</v>
      </c>
      <c r="X426" s="7" cm="1">
        <f t="array" ref="X4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6" s="9">
        <f>MAX(kmin, kmax - 0.15 * MIN(Games[[#This Row],[GamesPlayed]], 82))</f>
        <v>70.45</v>
      </c>
      <c r="Z426" s="4">
        <f>Games[[#This Row],[K]]*Games[[#This Row],[POMult]]</f>
        <v>77.495000000000005</v>
      </c>
      <c r="AA426" s="4">
        <f>(Games[[#This Row],[Keff]]*Games[[#This Row],[MOVMult]])*(Games[[#This Row],[Result]]-Games[[#This Row],[ExpectedWin%]])</f>
        <v>21.31491749515331</v>
      </c>
      <c r="AB426" s="4">
        <f>Games[[#This Row],[PreGmRate]]+Games[[#This Row],[RatingChange]]</f>
        <v>1585.8641682655912</v>
      </c>
      <c r="AC426" s="2">
        <f>IF(Games[[#This Row],[Type]]="R",IF(Games[[#This Row],[Result]]&gt;0.5,1,0),0)</f>
        <v>0</v>
      </c>
      <c r="AD426" s="2">
        <f>IF(Games[[#This Row],[Type]]="R",IF(Games[[#This Row],[Result]]&lt;0.5,1,0),0)</f>
        <v>0</v>
      </c>
      <c r="AE426" s="2">
        <f>IF(AND(Games[[#This Row],[Type]]="P",Games[[#This Row],[Round]]=1),IF(Games[[#This Row],[Result]]&gt;0.5,1,0),0)</f>
        <v>1</v>
      </c>
      <c r="AF426" s="2">
        <f>IF(AND(Games[[#This Row],[Type]]="P",Games[[#This Row],[Round]]=1),IF(Games[[#This Row],[Result]]&lt;0.5,1,0),0)</f>
        <v>0</v>
      </c>
      <c r="AG426" s="2">
        <f>IF(AND(Games[[#This Row],[Type]]="P",Games[[#This Row],[Round]]=2),IF(Games[[#This Row],[Result]]&gt;0.5,1,0),0)</f>
        <v>0</v>
      </c>
      <c r="AH426" s="2">
        <f>IF(AND(Games[[#This Row],[Type]]="P",Games[[#This Row],[Round]]=2),IF(Games[[#This Row],[Result]]&lt;0.5,1,0),0)</f>
        <v>0</v>
      </c>
      <c r="AI426" s="2">
        <f>IF(AND(Games[[#This Row],[Type]]="P",Games[[#This Row],[Round]]=3),IF(Games[[#This Row],[Result]]&gt;0.5,1,0),0)</f>
        <v>0</v>
      </c>
      <c r="AJ426" s="2">
        <f>IF(AND(Games[[#This Row],[Type]]="P",Games[[#This Row],[Round]]=3),IF(Games[[#This Row],[Result]]&lt;0.5,1,0),0)</f>
        <v>0</v>
      </c>
      <c r="AK426" s="2">
        <f>IF(AND(Games[[#This Row],[Type]]="P",Games[[#This Row],[Round]]=4),IF(Games[[#This Row],[Result]]&gt;0.5,1,0),0)</f>
        <v>0</v>
      </c>
      <c r="AL426" s="2">
        <f>IF(AND(Games[[#This Row],[Type]]="P",Games[[#This Row],[Round]]=4),IF(Games[[#This Row],[Result]]&lt;0.5,1,0),0)</f>
        <v>0</v>
      </c>
    </row>
    <row r="427" spans="1:38" x14ac:dyDescent="0.35">
      <c r="A427" s="10">
        <v>42268</v>
      </c>
      <c r="B427" s="2">
        <v>2015</v>
      </c>
      <c r="C427" s="2">
        <f>COUNTIFS(Games[Team],Games[[#This Row],[Team]],Games[Season],Games[[#This Row],[Season]],Games[Date],"&lt;=" &amp; Games[[#This Row],[Date]])</f>
        <v>37</v>
      </c>
      <c r="D427" s="2" t="s">
        <v>87</v>
      </c>
      <c r="E427" s="2">
        <v>1</v>
      </c>
      <c r="F427" s="1" t="s">
        <v>77</v>
      </c>
      <c r="G427" s="1" t="s">
        <v>69</v>
      </c>
      <c r="H427" s="1" t="s">
        <v>86</v>
      </c>
      <c r="I427" s="2" cm="1">
        <f t="array" ref="I4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7" s="2" cm="1">
        <f t="array" ref="J4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7" s="2">
        <f>Games[[#This Row],[DaysOff]]-Games[[#This Row],[OppDaysOff]]</f>
        <v>0</v>
      </c>
      <c r="L427" s="2">
        <f>Games[[#This Row],[OppDaysOff]]-Games[[#This Row],[DaysOff]]</f>
        <v>0</v>
      </c>
      <c r="M427" s="1">
        <f>MAX(-16, MIN(16, Games[[#This Row],[RestDiff]]*8))</f>
        <v>0</v>
      </c>
      <c r="N427" s="1">
        <f>MAX(-16, MIN(16, Games[[#This Row],[OppRestDiff]]*8))</f>
        <v>0</v>
      </c>
      <c r="O427" s="4" cm="1">
        <f t="array" ref="O4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1572.7011296980281</v>
      </c>
      <c r="P427" s="4" cm="1">
        <f t="array" ref="P4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1564.5492507704378</v>
      </c>
      <c r="Q427" s="4">
        <f>1/(1+10^(((Games[[#This Row],[OppPreGmRate]]+IF(Games[[#This Row],[HomeAway]]="A",HCA,0)+Games[[#This Row],[OppRestAdj]])-(Games[[#This Row],[PreGmRate]]+IF(Games[[#This Row],[HomeAway]]="H",HCA,0)+Games[[#This Row],[RestAdj]]))/400))</f>
        <v>0.62959245872615666</v>
      </c>
      <c r="R427" s="1">
        <v>89</v>
      </c>
      <c r="S427" s="1">
        <v>100</v>
      </c>
      <c r="T427" s="1">
        <v>0</v>
      </c>
      <c r="U427" s="1">
        <f>Games[[#This Row],[PointsFor]]-Games[[#This Row],[PointsAgainst]]</f>
        <v>-11</v>
      </c>
      <c r="V427" s="1">
        <f>IF(Games[[#This Row],[MOV]]&gt;0,1,IF(Games[[#This Row],[MOV]]=0,0.5,0))</f>
        <v>0</v>
      </c>
      <c r="W427" s="4">
        <f>((ABS(Games[[#This Row],[MOV]])+5)^0.6)/(12+0.01*(ABS(Games[[#This Row],[PreGmRate]]-Games[[#This Row],[OppPreGmRate]])))*IF(Games[[#This Row],[OT]]=1,0.9,1)</f>
        <v>0.43686822287414673</v>
      </c>
      <c r="X427" s="7" cm="1">
        <f t="array" ref="X4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7" s="9">
        <f>MAX(kmin, kmax - 0.15 * MIN(Games[[#This Row],[GamesPlayed]], 82))</f>
        <v>70.45</v>
      </c>
      <c r="Z427" s="4">
        <f>Games[[#This Row],[K]]*Games[[#This Row],[POMult]]</f>
        <v>77.495000000000005</v>
      </c>
      <c r="AA427" s="4">
        <f>(Games[[#This Row],[Keff]]*Games[[#This Row],[MOVMult]])*(Games[[#This Row],[Result]]-Games[[#This Row],[ExpectedWin%]])</f>
        <v>-21.314917495153306</v>
      </c>
      <c r="AB427" s="4">
        <f>Games[[#This Row],[PreGmRate]]+Games[[#This Row],[RatingChange]]</f>
        <v>1551.3862122028747</v>
      </c>
      <c r="AC427" s="2">
        <f>IF(Games[[#This Row],[Type]]="R",IF(Games[[#This Row],[Result]]&gt;0.5,1,0),0)</f>
        <v>0</v>
      </c>
      <c r="AD427" s="2">
        <f>IF(Games[[#This Row],[Type]]="R",IF(Games[[#This Row],[Result]]&lt;0.5,1,0),0)</f>
        <v>0</v>
      </c>
      <c r="AE427" s="2">
        <f>IF(AND(Games[[#This Row],[Type]]="P",Games[[#This Row],[Round]]=1),IF(Games[[#This Row],[Result]]&gt;0.5,1,0),0)</f>
        <v>0</v>
      </c>
      <c r="AF427" s="2">
        <f>IF(AND(Games[[#This Row],[Type]]="P",Games[[#This Row],[Round]]=1),IF(Games[[#This Row],[Result]]&lt;0.5,1,0),0)</f>
        <v>1</v>
      </c>
      <c r="AG427" s="2">
        <f>IF(AND(Games[[#This Row],[Type]]="P",Games[[#This Row],[Round]]=2),IF(Games[[#This Row],[Result]]&gt;0.5,1,0),0)</f>
        <v>0</v>
      </c>
      <c r="AH427" s="2">
        <f>IF(AND(Games[[#This Row],[Type]]="P",Games[[#This Row],[Round]]=2),IF(Games[[#This Row],[Result]]&lt;0.5,1,0),0)</f>
        <v>0</v>
      </c>
      <c r="AI427" s="2">
        <f>IF(AND(Games[[#This Row],[Type]]="P",Games[[#This Row],[Round]]=3),IF(Games[[#This Row],[Result]]&gt;0.5,1,0),0)</f>
        <v>0</v>
      </c>
      <c r="AJ427" s="2">
        <f>IF(AND(Games[[#This Row],[Type]]="P",Games[[#This Row],[Round]]=3),IF(Games[[#This Row],[Result]]&lt;0.5,1,0),0)</f>
        <v>0</v>
      </c>
      <c r="AK427" s="2">
        <f>IF(AND(Games[[#This Row],[Type]]="P",Games[[#This Row],[Round]]=4),IF(Games[[#This Row],[Result]]&gt;0.5,1,0),0)</f>
        <v>0</v>
      </c>
      <c r="AL427" s="2">
        <f>IF(AND(Games[[#This Row],[Type]]="P",Games[[#This Row],[Round]]=4),IF(Games[[#This Row],[Result]]&lt;0.5,1,0),0)</f>
        <v>0</v>
      </c>
    </row>
    <row r="428" spans="1:38" x14ac:dyDescent="0.35">
      <c r="A428" s="10">
        <v>42269</v>
      </c>
      <c r="B428" s="2">
        <v>2015</v>
      </c>
      <c r="C428" s="2">
        <f>COUNTIFS(Games[Team],Games[[#This Row],[Team]],Games[Season],Games[[#This Row],[Season]],Games[Date],"&lt;=" &amp; Games[[#This Row],[Date]])</f>
        <v>37</v>
      </c>
      <c r="D428" s="2" t="s">
        <v>87</v>
      </c>
      <c r="E428" s="2">
        <v>1</v>
      </c>
      <c r="F428" s="1" t="s">
        <v>63</v>
      </c>
      <c r="G428" s="1" t="s">
        <v>67</v>
      </c>
      <c r="H428" s="1" t="s">
        <v>85</v>
      </c>
      <c r="I428" s="2" cm="1">
        <f t="array" ref="I4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8" s="2" cm="1">
        <f t="array" ref="J4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8" s="2">
        <f>Games[[#This Row],[DaysOff]]-Games[[#This Row],[OppDaysOff]]</f>
        <v>0</v>
      </c>
      <c r="L428" s="2">
        <f>Games[[#This Row],[OppDaysOff]]-Games[[#This Row],[DaysOff]]</f>
        <v>0</v>
      </c>
      <c r="M428" s="1">
        <f>MAX(-16, MIN(16, Games[[#This Row],[RestDiff]]*8))</f>
        <v>0</v>
      </c>
      <c r="N428" s="1">
        <f>MAX(-16, MIN(16, Games[[#This Row],[OppRestDiff]]*8))</f>
        <v>0</v>
      </c>
      <c r="O428" s="4" cm="1">
        <f t="array" ref="O4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1503.2445494354311</v>
      </c>
      <c r="P428" s="4" cm="1">
        <f t="array" ref="P4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1560.2561677936746</v>
      </c>
      <c r="Q428" s="4">
        <f>1/(1+10^(((Games[[#This Row],[OppPreGmRate]]+IF(Games[[#This Row],[HomeAway]]="A",HCA,0)+Games[[#This Row],[OppRestAdj]])-(Games[[#This Row],[PreGmRate]]+IF(Games[[#This Row],[HomeAway]]="H",HCA,0)+Games[[#This Row],[RestAdj]]))/400))</f>
        <v>0.30752236484568929</v>
      </c>
      <c r="R428" s="1">
        <v>80</v>
      </c>
      <c r="S428" s="1">
        <v>91</v>
      </c>
      <c r="T428" s="1">
        <v>0</v>
      </c>
      <c r="U428" s="1">
        <f>Games[[#This Row],[PointsFor]]-Games[[#This Row],[PointsAgainst]]</f>
        <v>-11</v>
      </c>
      <c r="V428" s="1">
        <f>IF(Games[[#This Row],[MOV]]&gt;0,1,IF(Games[[#This Row],[MOV]]=0,0.5,0))</f>
        <v>0</v>
      </c>
      <c r="W428" s="4">
        <f>((ABS(Games[[#This Row],[MOV]])+5)^0.6)/(12+0.01*(ABS(Games[[#This Row],[PreGmRate]]-Games[[#This Row],[OppPreGmRate]])))*IF(Games[[#This Row],[OT]]=1,0.9,1)</f>
        <v>0.41988726007044413</v>
      </c>
      <c r="X428" s="7" cm="1">
        <f t="array" ref="X4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8" s="9">
        <f>MAX(kmin, kmax - 0.15 * MIN(Games[[#This Row],[GamesPlayed]], 82))</f>
        <v>70.45</v>
      </c>
      <c r="Z428" s="4">
        <f>Games[[#This Row],[K]]*Games[[#This Row],[POMult]]</f>
        <v>77.495000000000005</v>
      </c>
      <c r="AA428" s="4">
        <f>(Games[[#This Row],[Keff]]*Games[[#This Row],[MOVMult]])*(Games[[#This Row],[Result]]-Games[[#This Row],[ExpectedWin%]])</f>
        <v>-10.006520423255669</v>
      </c>
      <c r="AB428" s="4">
        <f>Games[[#This Row],[PreGmRate]]+Games[[#This Row],[RatingChange]]</f>
        <v>1493.2380290121753</v>
      </c>
      <c r="AC428" s="2">
        <f>IF(Games[[#This Row],[Type]]="R",IF(Games[[#This Row],[Result]]&gt;0.5,1,0),0)</f>
        <v>0</v>
      </c>
      <c r="AD428" s="2">
        <f>IF(Games[[#This Row],[Type]]="R",IF(Games[[#This Row],[Result]]&lt;0.5,1,0),0)</f>
        <v>0</v>
      </c>
      <c r="AE428" s="2">
        <f>IF(AND(Games[[#This Row],[Type]]="P",Games[[#This Row],[Round]]=1),IF(Games[[#This Row],[Result]]&gt;0.5,1,0),0)</f>
        <v>0</v>
      </c>
      <c r="AF428" s="2">
        <f>IF(AND(Games[[#This Row],[Type]]="P",Games[[#This Row],[Round]]=1),IF(Games[[#This Row],[Result]]&lt;0.5,1,0),0)</f>
        <v>1</v>
      </c>
      <c r="AG428" s="2">
        <f>IF(AND(Games[[#This Row],[Type]]="P",Games[[#This Row],[Round]]=2),IF(Games[[#This Row],[Result]]&gt;0.5,1,0),0)</f>
        <v>0</v>
      </c>
      <c r="AH428" s="2">
        <f>IF(AND(Games[[#This Row],[Type]]="P",Games[[#This Row],[Round]]=2),IF(Games[[#This Row],[Result]]&lt;0.5,1,0),0)</f>
        <v>0</v>
      </c>
      <c r="AI428" s="2">
        <f>IF(AND(Games[[#This Row],[Type]]="P",Games[[#This Row],[Round]]=3),IF(Games[[#This Row],[Result]]&gt;0.5,1,0),0)</f>
        <v>0</v>
      </c>
      <c r="AJ428" s="2">
        <f>IF(AND(Games[[#This Row],[Type]]="P",Games[[#This Row],[Round]]=3),IF(Games[[#This Row],[Result]]&lt;0.5,1,0),0)</f>
        <v>0</v>
      </c>
      <c r="AK428" s="2">
        <f>IF(AND(Games[[#This Row],[Type]]="P",Games[[#This Row],[Round]]=4),IF(Games[[#This Row],[Result]]&gt;0.5,1,0),0)</f>
        <v>0</v>
      </c>
      <c r="AL428" s="2">
        <f>IF(AND(Games[[#This Row],[Type]]="P",Games[[#This Row],[Round]]=4),IF(Games[[#This Row],[Result]]&lt;0.5,1,0),0)</f>
        <v>0</v>
      </c>
    </row>
    <row r="429" spans="1:38" x14ac:dyDescent="0.35">
      <c r="A429" s="10">
        <v>42269</v>
      </c>
      <c r="B429" s="2">
        <v>2015</v>
      </c>
      <c r="C429" s="2">
        <f>COUNTIFS(Games[Team],Games[[#This Row],[Team]],Games[Season],Games[[#This Row],[Season]],Games[Date],"&lt;=" &amp; Games[[#This Row],[Date]])</f>
        <v>37</v>
      </c>
      <c r="D429" s="2" t="s">
        <v>87</v>
      </c>
      <c r="E429" s="2">
        <v>1</v>
      </c>
      <c r="F429" s="1" t="s">
        <v>67</v>
      </c>
      <c r="G429" s="1" t="s">
        <v>63</v>
      </c>
      <c r="H429" s="1" t="s">
        <v>86</v>
      </c>
      <c r="I429" s="2" cm="1">
        <f t="array" ref="I4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9" s="2" cm="1">
        <f t="array" ref="J4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9" s="2">
        <f>Games[[#This Row],[DaysOff]]-Games[[#This Row],[OppDaysOff]]</f>
        <v>0</v>
      </c>
      <c r="L429" s="2">
        <f>Games[[#This Row],[OppDaysOff]]-Games[[#This Row],[DaysOff]]</f>
        <v>0</v>
      </c>
      <c r="M429" s="1">
        <f>MAX(-16, MIN(16, Games[[#This Row],[RestDiff]]*8))</f>
        <v>0</v>
      </c>
      <c r="N429" s="1">
        <f>MAX(-16, MIN(16, Games[[#This Row],[OppRestDiff]]*8))</f>
        <v>0</v>
      </c>
      <c r="O429" s="4" cm="1">
        <f t="array" ref="O4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1560.2561677936746</v>
      </c>
      <c r="P429" s="4" cm="1">
        <f t="array" ref="P4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1503.2445494354311</v>
      </c>
      <c r="Q429" s="4">
        <f>1/(1+10^(((Games[[#This Row],[OppPreGmRate]]+IF(Games[[#This Row],[HomeAway]]="A",HCA,0)+Games[[#This Row],[OppRestAdj]])-(Games[[#This Row],[PreGmRate]]+IF(Games[[#This Row],[HomeAway]]="H",HCA,0)+Games[[#This Row],[RestAdj]]))/400))</f>
        <v>0.69247763515431071</v>
      </c>
      <c r="R429" s="1">
        <v>91</v>
      </c>
      <c r="S429" s="1">
        <v>80</v>
      </c>
      <c r="T429" s="1">
        <v>0</v>
      </c>
      <c r="U429" s="1">
        <f>Games[[#This Row],[PointsFor]]-Games[[#This Row],[PointsAgainst]]</f>
        <v>11</v>
      </c>
      <c r="V429" s="1">
        <f>IF(Games[[#This Row],[MOV]]&gt;0,1,IF(Games[[#This Row],[MOV]]=0,0.5,0))</f>
        <v>1</v>
      </c>
      <c r="W429" s="4">
        <f>((ABS(Games[[#This Row],[MOV]])+5)^0.6)/(12+0.01*(ABS(Games[[#This Row],[PreGmRate]]-Games[[#This Row],[OppPreGmRate]])))*IF(Games[[#This Row],[OT]]=1,0.9,1)</f>
        <v>0.41988726007044413</v>
      </c>
      <c r="X429" s="7" cm="1">
        <f t="array" ref="X4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9" s="9">
        <f>MAX(kmin, kmax - 0.15 * MIN(Games[[#This Row],[GamesPlayed]], 82))</f>
        <v>70.45</v>
      </c>
      <c r="Z429" s="4">
        <f>Games[[#This Row],[K]]*Games[[#This Row],[POMult]]</f>
        <v>77.495000000000005</v>
      </c>
      <c r="AA429" s="4">
        <f>(Games[[#This Row],[Keff]]*Games[[#This Row],[MOVMult]])*(Games[[#This Row],[Result]]-Games[[#This Row],[ExpectedWin%]])</f>
        <v>10.006520423255669</v>
      </c>
      <c r="AB429" s="4">
        <f>Games[[#This Row],[PreGmRate]]+Games[[#This Row],[RatingChange]]</f>
        <v>1570.2626882169304</v>
      </c>
      <c r="AC429" s="2">
        <f>IF(Games[[#This Row],[Type]]="R",IF(Games[[#This Row],[Result]]&gt;0.5,1,0),0)</f>
        <v>0</v>
      </c>
      <c r="AD429" s="2">
        <f>IF(Games[[#This Row],[Type]]="R",IF(Games[[#This Row],[Result]]&lt;0.5,1,0),0)</f>
        <v>0</v>
      </c>
      <c r="AE429" s="2">
        <f>IF(AND(Games[[#This Row],[Type]]="P",Games[[#This Row],[Round]]=1),IF(Games[[#This Row],[Result]]&gt;0.5,1,0),0)</f>
        <v>1</v>
      </c>
      <c r="AF429" s="2">
        <f>IF(AND(Games[[#This Row],[Type]]="P",Games[[#This Row],[Round]]=1),IF(Games[[#This Row],[Result]]&lt;0.5,1,0),0)</f>
        <v>0</v>
      </c>
      <c r="AG429" s="2">
        <f>IF(AND(Games[[#This Row],[Type]]="P",Games[[#This Row],[Round]]=2),IF(Games[[#This Row],[Result]]&gt;0.5,1,0),0)</f>
        <v>0</v>
      </c>
      <c r="AH429" s="2">
        <f>IF(AND(Games[[#This Row],[Type]]="P",Games[[#This Row],[Round]]=2),IF(Games[[#This Row],[Result]]&lt;0.5,1,0),0)</f>
        <v>0</v>
      </c>
      <c r="AI429" s="2">
        <f>IF(AND(Games[[#This Row],[Type]]="P",Games[[#This Row],[Round]]=3),IF(Games[[#This Row],[Result]]&gt;0.5,1,0),0)</f>
        <v>0</v>
      </c>
      <c r="AJ429" s="2">
        <f>IF(AND(Games[[#This Row],[Type]]="P",Games[[#This Row],[Round]]=3),IF(Games[[#This Row],[Result]]&lt;0.5,1,0),0)</f>
        <v>0</v>
      </c>
      <c r="AK429" s="2">
        <f>IF(AND(Games[[#This Row],[Type]]="P",Games[[#This Row],[Round]]=4),IF(Games[[#This Row],[Result]]&gt;0.5,1,0),0)</f>
        <v>0</v>
      </c>
      <c r="AL429" s="2">
        <f>IF(AND(Games[[#This Row],[Type]]="P",Games[[#This Row],[Round]]=4),IF(Games[[#This Row],[Result]]&lt;0.5,1,0),0)</f>
        <v>0</v>
      </c>
    </row>
    <row r="430" spans="1:38" x14ac:dyDescent="0.35">
      <c r="A430" s="10">
        <v>42269</v>
      </c>
      <c r="B430" s="2">
        <v>2015</v>
      </c>
      <c r="C430" s="2">
        <f>COUNTIFS(Games[Team],Games[[#This Row],[Team]],Games[Season],Games[[#This Row],[Season]],Games[Date],"&lt;=" &amp; Games[[#This Row],[Date]])</f>
        <v>37</v>
      </c>
      <c r="D430" s="2" t="s">
        <v>87</v>
      </c>
      <c r="E430" s="2">
        <v>1</v>
      </c>
      <c r="F430" s="1" t="s">
        <v>65</v>
      </c>
      <c r="G430" s="1" t="s">
        <v>60</v>
      </c>
      <c r="H430" s="1" t="s">
        <v>85</v>
      </c>
      <c r="I430" s="2" cm="1">
        <f t="array" ref="I4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0" s="2" cm="1">
        <f t="array" ref="J4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0" s="2">
        <f>Games[[#This Row],[DaysOff]]-Games[[#This Row],[OppDaysOff]]</f>
        <v>0</v>
      </c>
      <c r="L430" s="2">
        <f>Games[[#This Row],[OppDaysOff]]-Games[[#This Row],[DaysOff]]</f>
        <v>0</v>
      </c>
      <c r="M430" s="1">
        <f>MAX(-16, MIN(16, Games[[#This Row],[RestDiff]]*8))</f>
        <v>0</v>
      </c>
      <c r="N430" s="1">
        <f>MAX(-16, MIN(16, Games[[#This Row],[OppRestDiff]]*8))</f>
        <v>0</v>
      </c>
      <c r="O430" s="4" cm="1">
        <f t="array" ref="O4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1524.763656988797</v>
      </c>
      <c r="P430" s="4" cm="1">
        <f t="array" ref="P4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1577.466046078546</v>
      </c>
      <c r="Q430" s="4">
        <f>1/(1+10^(((Games[[#This Row],[OppPreGmRate]]+IF(Games[[#This Row],[HomeAway]]="A",HCA,0)+Games[[#This Row],[OppRestAdj]])-(Games[[#This Row],[PreGmRate]]+IF(Games[[#This Row],[HomeAway]]="H",HCA,0)+Games[[#This Row],[RestAdj]]))/400))</f>
        <v>0.31282991273751021</v>
      </c>
      <c r="R430" s="1">
        <v>74</v>
      </c>
      <c r="S430" s="1">
        <v>79</v>
      </c>
      <c r="T430" s="1">
        <v>0</v>
      </c>
      <c r="U430" s="1">
        <f>Games[[#This Row],[PointsFor]]-Games[[#This Row],[PointsAgainst]]</f>
        <v>-5</v>
      </c>
      <c r="V430" s="1">
        <f>IF(Games[[#This Row],[MOV]]&gt;0,1,IF(Games[[#This Row],[MOV]]=0,0.5,0))</f>
        <v>0</v>
      </c>
      <c r="W430" s="4">
        <f>((ABS(Games[[#This Row],[MOV]])+5)^0.6)/(12+0.01*(ABS(Games[[#This Row],[PreGmRate]]-Games[[#This Row],[OppPreGmRate]])))*IF(Games[[#This Row],[OT]]=1,0.9,1)</f>
        <v>0.3177986838859419</v>
      </c>
      <c r="X430" s="7" cm="1">
        <f t="array" ref="X4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30" s="9">
        <f>MAX(kmin, kmax - 0.15 * MIN(Games[[#This Row],[GamesPlayed]], 82))</f>
        <v>70.45</v>
      </c>
      <c r="Z430" s="4">
        <f>Games[[#This Row],[K]]*Games[[#This Row],[POMult]]</f>
        <v>77.495000000000005</v>
      </c>
      <c r="AA430" s="4">
        <f>(Games[[#This Row],[Keff]]*Games[[#This Row],[MOVMult]])*(Games[[#This Row],[Result]]-Games[[#This Row],[ExpectedWin%]])</f>
        <v>-7.704315342807706</v>
      </c>
      <c r="AB430" s="4">
        <f>Games[[#This Row],[PreGmRate]]+Games[[#This Row],[RatingChange]]</f>
        <v>1517.0593416459894</v>
      </c>
      <c r="AC430" s="2">
        <f>IF(Games[[#This Row],[Type]]="R",IF(Games[[#This Row],[Result]]&gt;0.5,1,0),0)</f>
        <v>0</v>
      </c>
      <c r="AD430" s="2">
        <f>IF(Games[[#This Row],[Type]]="R",IF(Games[[#This Row],[Result]]&lt;0.5,1,0),0)</f>
        <v>0</v>
      </c>
      <c r="AE430" s="2">
        <f>IF(AND(Games[[#This Row],[Type]]="P",Games[[#This Row],[Round]]=1),IF(Games[[#This Row],[Result]]&gt;0.5,1,0),0)</f>
        <v>0</v>
      </c>
      <c r="AF430" s="2">
        <f>IF(AND(Games[[#This Row],[Type]]="P",Games[[#This Row],[Round]]=1),IF(Games[[#This Row],[Result]]&lt;0.5,1,0),0)</f>
        <v>1</v>
      </c>
      <c r="AG430" s="2">
        <f>IF(AND(Games[[#This Row],[Type]]="P",Games[[#This Row],[Round]]=2),IF(Games[[#This Row],[Result]]&gt;0.5,1,0),0)</f>
        <v>0</v>
      </c>
      <c r="AH430" s="2">
        <f>IF(AND(Games[[#This Row],[Type]]="P",Games[[#This Row],[Round]]=2),IF(Games[[#This Row],[Result]]&lt;0.5,1,0),0)</f>
        <v>0</v>
      </c>
      <c r="AI430" s="2">
        <f>IF(AND(Games[[#This Row],[Type]]="P",Games[[#This Row],[Round]]=3),IF(Games[[#This Row],[Result]]&gt;0.5,1,0),0)</f>
        <v>0</v>
      </c>
      <c r="AJ430" s="2">
        <f>IF(AND(Games[[#This Row],[Type]]="P",Games[[#This Row],[Round]]=3),IF(Games[[#This Row],[Result]]&lt;0.5,1,0),0)</f>
        <v>0</v>
      </c>
      <c r="AK430" s="2">
        <f>IF(AND(Games[[#This Row],[Type]]="P",Games[[#This Row],[Round]]=4),IF(Games[[#This Row],[Result]]&gt;0.5,1,0),0)</f>
        <v>0</v>
      </c>
      <c r="AL430" s="2">
        <f>IF(AND(Games[[#This Row],[Type]]="P",Games[[#This Row],[Round]]=4),IF(Games[[#This Row],[Result]]&lt;0.5,1,0),0)</f>
        <v>0</v>
      </c>
    </row>
    <row r="431" spans="1:38" x14ac:dyDescent="0.35">
      <c r="A431" s="10">
        <v>42269</v>
      </c>
      <c r="B431" s="2">
        <v>2015</v>
      </c>
      <c r="C431" s="2">
        <f>COUNTIFS(Games[Team],Games[[#This Row],[Team]],Games[Season],Games[[#This Row],[Season]],Games[Date],"&lt;=" &amp; Games[[#This Row],[Date]])</f>
        <v>37</v>
      </c>
      <c r="D431" s="2" t="s">
        <v>87</v>
      </c>
      <c r="E431" s="2">
        <v>1</v>
      </c>
      <c r="F431" s="1" t="s">
        <v>60</v>
      </c>
      <c r="G431" s="1" t="s">
        <v>65</v>
      </c>
      <c r="H431" s="1" t="s">
        <v>86</v>
      </c>
      <c r="I431" s="2" cm="1">
        <f t="array" ref="I4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1" s="2" cm="1">
        <f t="array" ref="J4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1" s="2">
        <f>Games[[#This Row],[DaysOff]]-Games[[#This Row],[OppDaysOff]]</f>
        <v>0</v>
      </c>
      <c r="L431" s="2">
        <f>Games[[#This Row],[OppDaysOff]]-Games[[#This Row],[DaysOff]]</f>
        <v>0</v>
      </c>
      <c r="M431" s="1">
        <f>MAX(-16, MIN(16, Games[[#This Row],[RestDiff]]*8))</f>
        <v>0</v>
      </c>
      <c r="N431" s="1">
        <f>MAX(-16, MIN(16, Games[[#This Row],[OppRestDiff]]*8))</f>
        <v>0</v>
      </c>
      <c r="O431" s="4" cm="1">
        <f t="array" ref="O4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1577.466046078546</v>
      </c>
      <c r="P431" s="4" cm="1">
        <f t="array" ref="P4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1524.763656988797</v>
      </c>
      <c r="Q431" s="4">
        <f>1/(1+10^(((Games[[#This Row],[OppPreGmRate]]+IF(Games[[#This Row],[HomeAway]]="A",HCA,0)+Games[[#This Row],[OppRestAdj]])-(Games[[#This Row],[PreGmRate]]+IF(Games[[#This Row],[HomeAway]]="H",HCA,0)+Games[[#This Row],[RestAdj]]))/400))</f>
        <v>0.68717008726248985</v>
      </c>
      <c r="R431" s="1">
        <v>79</v>
      </c>
      <c r="S431" s="1">
        <v>74</v>
      </c>
      <c r="T431" s="1">
        <v>0</v>
      </c>
      <c r="U431" s="1">
        <f>Games[[#This Row],[PointsFor]]-Games[[#This Row],[PointsAgainst]]</f>
        <v>5</v>
      </c>
      <c r="V431" s="1">
        <f>IF(Games[[#This Row],[MOV]]&gt;0,1,IF(Games[[#This Row],[MOV]]=0,0.5,0))</f>
        <v>1</v>
      </c>
      <c r="W431" s="4">
        <f>((ABS(Games[[#This Row],[MOV]])+5)^0.6)/(12+0.01*(ABS(Games[[#This Row],[PreGmRate]]-Games[[#This Row],[OppPreGmRate]])))*IF(Games[[#This Row],[OT]]=1,0.9,1)</f>
        <v>0.3177986838859419</v>
      </c>
      <c r="X431" s="7" cm="1">
        <f t="array" ref="X4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31" s="9">
        <f>MAX(kmin, kmax - 0.15 * MIN(Games[[#This Row],[GamesPlayed]], 82))</f>
        <v>70.45</v>
      </c>
      <c r="Z431" s="4">
        <f>Games[[#This Row],[K]]*Games[[#This Row],[POMult]]</f>
        <v>77.495000000000005</v>
      </c>
      <c r="AA431" s="4">
        <f>(Games[[#This Row],[Keff]]*Games[[#This Row],[MOVMult]])*(Games[[#This Row],[Result]]-Games[[#This Row],[ExpectedWin%]])</f>
        <v>7.7043153428077042</v>
      </c>
      <c r="AB431" s="4">
        <f>Games[[#This Row],[PreGmRate]]+Games[[#This Row],[RatingChange]]</f>
        <v>1585.1703614213536</v>
      </c>
      <c r="AC431" s="2">
        <f>IF(Games[[#This Row],[Type]]="R",IF(Games[[#This Row],[Result]]&gt;0.5,1,0),0)</f>
        <v>0</v>
      </c>
      <c r="AD431" s="2">
        <f>IF(Games[[#This Row],[Type]]="R",IF(Games[[#This Row],[Result]]&lt;0.5,1,0),0)</f>
        <v>0</v>
      </c>
      <c r="AE431" s="2">
        <f>IF(AND(Games[[#This Row],[Type]]="P",Games[[#This Row],[Round]]=1),IF(Games[[#This Row],[Result]]&gt;0.5,1,0),0)</f>
        <v>1</v>
      </c>
      <c r="AF431" s="2">
        <f>IF(AND(Games[[#This Row],[Type]]="P",Games[[#This Row],[Round]]=1),IF(Games[[#This Row],[Result]]&lt;0.5,1,0),0)</f>
        <v>0</v>
      </c>
      <c r="AG431" s="2">
        <f>IF(AND(Games[[#This Row],[Type]]="P",Games[[#This Row],[Round]]=2),IF(Games[[#This Row],[Result]]&gt;0.5,1,0),0)</f>
        <v>0</v>
      </c>
      <c r="AH431" s="2">
        <f>IF(AND(Games[[#This Row],[Type]]="P",Games[[#This Row],[Round]]=2),IF(Games[[#This Row],[Result]]&lt;0.5,1,0),0)</f>
        <v>0</v>
      </c>
      <c r="AI431" s="2">
        <f>IF(AND(Games[[#This Row],[Type]]="P",Games[[#This Row],[Round]]=3),IF(Games[[#This Row],[Result]]&gt;0.5,1,0),0)</f>
        <v>0</v>
      </c>
      <c r="AJ431" s="2">
        <f>IF(AND(Games[[#This Row],[Type]]="P",Games[[#This Row],[Round]]=3),IF(Games[[#This Row],[Result]]&lt;0.5,1,0),0)</f>
        <v>0</v>
      </c>
      <c r="AK431" s="2">
        <f>IF(AND(Games[[#This Row],[Type]]="P",Games[[#This Row],[Round]]=4),IF(Games[[#This Row],[Result]]&gt;0.5,1,0),0)</f>
        <v>0</v>
      </c>
      <c r="AL431" s="2">
        <f>IF(AND(Games[[#This Row],[Type]]="P",Games[[#This Row],[Round]]=4),IF(Games[[#This Row],[Result]]&lt;0.5,1,0),0)</f>
        <v>0</v>
      </c>
    </row>
    <row r="432" spans="1:38" x14ac:dyDescent="0.35">
      <c r="A432" s="10">
        <v>42270</v>
      </c>
      <c r="B432" s="2">
        <v>2015</v>
      </c>
      <c r="C432" s="2">
        <f>COUNTIFS(Games[Team],Games[[#This Row],[Team]],Games[Season],Games[[#This Row],[Season]],Games[Date],"&lt;=" &amp; Games[[#This Row],[Date]])</f>
        <v>38</v>
      </c>
      <c r="D432" s="2" t="s">
        <v>87</v>
      </c>
      <c r="E432" s="2">
        <v>2</v>
      </c>
      <c r="F432" s="1" t="s">
        <v>69</v>
      </c>
      <c r="G432" s="1" t="s">
        <v>60</v>
      </c>
      <c r="H432" s="1" t="s">
        <v>85</v>
      </c>
      <c r="I432" s="2" cm="1">
        <f t="array" ref="I4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2" s="2" cm="1">
        <f t="array" ref="J43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32" s="2">
        <f>Games[[#This Row],[DaysOff]]-Games[[#This Row],[OppDaysOff]]</f>
        <v>1</v>
      </c>
      <c r="L432" s="2">
        <f>Games[[#This Row],[OppDaysOff]]-Games[[#This Row],[DaysOff]]</f>
        <v>-1</v>
      </c>
      <c r="M432" s="1">
        <f>MAX(-16, MIN(16, Games[[#This Row],[RestDiff]]*8))</f>
        <v>8</v>
      </c>
      <c r="N432" s="1">
        <f>MAX(-16, MIN(16, Games[[#This Row],[OppRestDiff]]*8))</f>
        <v>-8</v>
      </c>
      <c r="O432" s="4" cm="1">
        <f t="array" ref="O4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1585.8641682655912</v>
      </c>
      <c r="P432" s="4" cm="1">
        <f t="array" ref="P4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1585.1703614213536</v>
      </c>
      <c r="Q432" s="4">
        <f>1/(1+10^(((Games[[#This Row],[OppPreGmRate]]+IF(Games[[#This Row],[HomeAway]]="A",HCA,0)+Games[[#This Row],[OppRestAdj]])-(Games[[#This Row],[PreGmRate]]+IF(Games[[#This Row],[HomeAway]]="H",HCA,0)+Games[[#This Row],[RestAdj]]))/400))</f>
        <v>0.40433237322942539</v>
      </c>
      <c r="R432" s="1">
        <v>67</v>
      </c>
      <c r="S432" s="1">
        <v>84</v>
      </c>
      <c r="T432" s="1">
        <v>0</v>
      </c>
      <c r="U432" s="1">
        <f>Games[[#This Row],[PointsFor]]-Games[[#This Row],[PointsAgainst]]</f>
        <v>-17</v>
      </c>
      <c r="V432" s="1">
        <f>IF(Games[[#This Row],[MOV]]&gt;0,1,IF(Games[[#This Row],[MOV]]=0,0.5,0))</f>
        <v>0</v>
      </c>
      <c r="W432" s="4">
        <f>((ABS(Games[[#This Row],[MOV]])+5)^0.6)/(12+0.01*(ABS(Games[[#This Row],[PreGmRate]]-Games[[#This Row],[OppPreGmRate]])))*IF(Games[[#This Row],[OT]]=1,0.9,1)</f>
        <v>0.53213440367256204</v>
      </c>
      <c r="X432" s="7" cm="1">
        <f t="array" ref="X4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2" s="9">
        <f>MAX(kmin, kmax - 0.15 * MIN(Games[[#This Row],[GamesPlayed]], 82))</f>
        <v>70.3</v>
      </c>
      <c r="Z432" s="4">
        <f>Games[[#This Row],[K]]*Games[[#This Row],[POMult]]</f>
        <v>84.36</v>
      </c>
      <c r="AA432" s="4">
        <f>(Games[[#This Row],[Keff]]*Games[[#This Row],[MOVMult]])*(Games[[#This Row],[Result]]-Games[[#This Row],[ExpectedWin%]])</f>
        <v>-18.150827270244996</v>
      </c>
      <c r="AB432" s="4">
        <f>Games[[#This Row],[PreGmRate]]+Games[[#This Row],[RatingChange]]</f>
        <v>1567.7133409953462</v>
      </c>
      <c r="AC432" s="2">
        <f>IF(Games[[#This Row],[Type]]="R",IF(Games[[#This Row],[Result]]&gt;0.5,1,0),0)</f>
        <v>0</v>
      </c>
      <c r="AD432" s="2">
        <f>IF(Games[[#This Row],[Type]]="R",IF(Games[[#This Row],[Result]]&lt;0.5,1,0),0)</f>
        <v>0</v>
      </c>
      <c r="AE432" s="2">
        <f>IF(AND(Games[[#This Row],[Type]]="P",Games[[#This Row],[Round]]=1),IF(Games[[#This Row],[Result]]&gt;0.5,1,0),0)</f>
        <v>0</v>
      </c>
      <c r="AF432" s="2">
        <f>IF(AND(Games[[#This Row],[Type]]="P",Games[[#This Row],[Round]]=1),IF(Games[[#This Row],[Result]]&lt;0.5,1,0),0)</f>
        <v>0</v>
      </c>
      <c r="AG432" s="2">
        <f>IF(AND(Games[[#This Row],[Type]]="P",Games[[#This Row],[Round]]=2),IF(Games[[#This Row],[Result]]&gt;0.5,1,0),0)</f>
        <v>0</v>
      </c>
      <c r="AH432" s="2">
        <f>IF(AND(Games[[#This Row],[Type]]="P",Games[[#This Row],[Round]]=2),IF(Games[[#This Row],[Result]]&lt;0.5,1,0),0)</f>
        <v>1</v>
      </c>
      <c r="AI432" s="2">
        <f>IF(AND(Games[[#This Row],[Type]]="P",Games[[#This Row],[Round]]=3),IF(Games[[#This Row],[Result]]&gt;0.5,1,0),0)</f>
        <v>0</v>
      </c>
      <c r="AJ432" s="2">
        <f>IF(AND(Games[[#This Row],[Type]]="P",Games[[#This Row],[Round]]=3),IF(Games[[#This Row],[Result]]&lt;0.5,1,0),0)</f>
        <v>0</v>
      </c>
      <c r="AK432" s="2">
        <f>IF(AND(Games[[#This Row],[Type]]="P",Games[[#This Row],[Round]]=4),IF(Games[[#This Row],[Result]]&gt;0.5,1,0),0)</f>
        <v>0</v>
      </c>
      <c r="AL432" s="2">
        <f>IF(AND(Games[[#This Row],[Type]]="P",Games[[#This Row],[Round]]=4),IF(Games[[#This Row],[Result]]&lt;0.5,1,0),0)</f>
        <v>0</v>
      </c>
    </row>
    <row r="433" spans="1:38" x14ac:dyDescent="0.35">
      <c r="A433" s="10">
        <v>42270</v>
      </c>
      <c r="B433" s="2">
        <v>2015</v>
      </c>
      <c r="C433" s="2">
        <f>COUNTIFS(Games[Team],Games[[#This Row],[Team]],Games[Season],Games[[#This Row],[Season]],Games[Date],"&lt;=" &amp; Games[[#This Row],[Date]])</f>
        <v>38</v>
      </c>
      <c r="D433" s="2" t="s">
        <v>87</v>
      </c>
      <c r="E433" s="2">
        <v>2</v>
      </c>
      <c r="F433" s="1" t="s">
        <v>60</v>
      </c>
      <c r="G433" s="1" t="s">
        <v>69</v>
      </c>
      <c r="H433" s="1" t="s">
        <v>86</v>
      </c>
      <c r="I433" s="2" cm="1">
        <f t="array" ref="I433">IFERROR(
    Games[[#This Row],[Date]]
    - LOOKUP(
        2,
        1/((Games[Team]=Games[[#This Row],[Team]]) * (Games[Date] &lt; Games[[#This Row],[Date]])),
        Games[Date]
    )
    - 1,
Games[[#This Row],[Date]]-$A$2)</f>
        <v>0</v>
      </c>
      <c r="J433" s="2" cm="1">
        <f t="array" ref="J4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3" s="2">
        <f>Games[[#This Row],[DaysOff]]-Games[[#This Row],[OppDaysOff]]</f>
        <v>-1</v>
      </c>
      <c r="L433" s="2">
        <f>Games[[#This Row],[OppDaysOff]]-Games[[#This Row],[DaysOff]]</f>
        <v>1</v>
      </c>
      <c r="M433" s="1">
        <f>MAX(-16, MIN(16, Games[[#This Row],[RestDiff]]*8))</f>
        <v>-8</v>
      </c>
      <c r="N433" s="1">
        <f>MAX(-16, MIN(16, Games[[#This Row],[OppRestDiff]]*8))</f>
        <v>8</v>
      </c>
      <c r="O433" s="4" cm="1">
        <f t="array" ref="O4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1585.1703614213536</v>
      </c>
      <c r="P433" s="4" cm="1">
        <f t="array" ref="P4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1585.8641682655912</v>
      </c>
      <c r="Q433" s="4">
        <f>1/(1+10^(((Games[[#This Row],[OppPreGmRate]]+IF(Games[[#This Row],[HomeAway]]="A",HCA,0)+Games[[#This Row],[OppRestAdj]])-(Games[[#This Row],[PreGmRate]]+IF(Games[[#This Row],[HomeAway]]="H",HCA,0)+Games[[#This Row],[RestAdj]]))/400))</f>
        <v>0.59566762677057461</v>
      </c>
      <c r="R433" s="1">
        <v>84</v>
      </c>
      <c r="S433" s="1">
        <v>67</v>
      </c>
      <c r="T433" s="1">
        <v>0</v>
      </c>
      <c r="U433" s="1">
        <f>Games[[#This Row],[PointsFor]]-Games[[#This Row],[PointsAgainst]]</f>
        <v>17</v>
      </c>
      <c r="V433" s="1">
        <f>IF(Games[[#This Row],[MOV]]&gt;0,1,IF(Games[[#This Row],[MOV]]=0,0.5,0))</f>
        <v>1</v>
      </c>
      <c r="W433" s="4">
        <f>((ABS(Games[[#This Row],[MOV]])+5)^0.6)/(12+0.01*(ABS(Games[[#This Row],[PreGmRate]]-Games[[#This Row],[OppPreGmRate]])))*IF(Games[[#This Row],[OT]]=1,0.9,1)</f>
        <v>0.53213440367256204</v>
      </c>
      <c r="X433" s="7" cm="1">
        <f t="array" ref="X4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3" s="9">
        <f>MAX(kmin, kmax - 0.15 * MIN(Games[[#This Row],[GamesPlayed]], 82))</f>
        <v>70.3</v>
      </c>
      <c r="Z433" s="4">
        <f>Games[[#This Row],[K]]*Games[[#This Row],[POMult]]</f>
        <v>84.36</v>
      </c>
      <c r="AA433" s="4">
        <f>(Games[[#This Row],[Keff]]*Games[[#This Row],[MOVMult]])*(Games[[#This Row],[Result]]-Games[[#This Row],[ExpectedWin%]])</f>
        <v>18.150827270244996</v>
      </c>
      <c r="AB433" s="4">
        <f>Games[[#This Row],[PreGmRate]]+Games[[#This Row],[RatingChange]]</f>
        <v>1603.3211886915985</v>
      </c>
      <c r="AC433" s="2">
        <f>IF(Games[[#This Row],[Type]]="R",IF(Games[[#This Row],[Result]]&gt;0.5,1,0),0)</f>
        <v>0</v>
      </c>
      <c r="AD433" s="2">
        <f>IF(Games[[#This Row],[Type]]="R",IF(Games[[#This Row],[Result]]&lt;0.5,1,0),0)</f>
        <v>0</v>
      </c>
      <c r="AE433" s="2">
        <f>IF(AND(Games[[#This Row],[Type]]="P",Games[[#This Row],[Round]]=1),IF(Games[[#This Row],[Result]]&gt;0.5,1,0),0)</f>
        <v>0</v>
      </c>
      <c r="AF433" s="2">
        <f>IF(AND(Games[[#This Row],[Type]]="P",Games[[#This Row],[Round]]=1),IF(Games[[#This Row],[Result]]&lt;0.5,1,0),0)</f>
        <v>0</v>
      </c>
      <c r="AG433" s="2">
        <f>IF(AND(Games[[#This Row],[Type]]="P",Games[[#This Row],[Round]]=2),IF(Games[[#This Row],[Result]]&gt;0.5,1,0),0)</f>
        <v>1</v>
      </c>
      <c r="AH433" s="2">
        <f>IF(AND(Games[[#This Row],[Type]]="P",Games[[#This Row],[Round]]=2),IF(Games[[#This Row],[Result]]&lt;0.5,1,0),0)</f>
        <v>0</v>
      </c>
      <c r="AI433" s="2">
        <f>IF(AND(Games[[#This Row],[Type]]="P",Games[[#This Row],[Round]]=3),IF(Games[[#This Row],[Result]]&gt;0.5,1,0),0)</f>
        <v>0</v>
      </c>
      <c r="AJ433" s="2">
        <f>IF(AND(Games[[#This Row],[Type]]="P",Games[[#This Row],[Round]]=3),IF(Games[[#This Row],[Result]]&lt;0.5,1,0),0)</f>
        <v>0</v>
      </c>
      <c r="AK433" s="2">
        <f>IF(AND(Games[[#This Row],[Type]]="P",Games[[#This Row],[Round]]=4),IF(Games[[#This Row],[Result]]&gt;0.5,1,0),0)</f>
        <v>0</v>
      </c>
      <c r="AL433" s="2">
        <f>IF(AND(Games[[#This Row],[Type]]="P",Games[[#This Row],[Round]]=4),IF(Games[[#This Row],[Result]]&lt;0.5,1,0),0)</f>
        <v>0</v>
      </c>
    </row>
    <row r="434" spans="1:38" x14ac:dyDescent="0.35">
      <c r="A434" s="10">
        <v>42271</v>
      </c>
      <c r="B434" s="2">
        <v>2015</v>
      </c>
      <c r="C434" s="2">
        <f>COUNTIFS(Games[Team],Games[[#This Row],[Team]],Games[Season],Games[[#This Row],[Season]],Games[Date],"&lt;=" &amp; Games[[#This Row],[Date]])</f>
        <v>37</v>
      </c>
      <c r="D434" s="2" t="s">
        <v>87</v>
      </c>
      <c r="E434" s="2">
        <v>2</v>
      </c>
      <c r="F434" s="1" t="s">
        <v>40</v>
      </c>
      <c r="G434" s="1" t="s">
        <v>67</v>
      </c>
      <c r="H434" s="1" t="s">
        <v>85</v>
      </c>
      <c r="I434" s="2" cm="1">
        <f t="array" ref="I434">IFERROR(
    Games[[#This Row],[Date]]
    - LOOKUP(
        2,
        1/((Games[Team]=Games[[#This Row],[Team]]) * (Games[Date] &lt; Games[[#This Row],[Date]])),
        Games[Date]
    )
    - 1,
Games[[#This Row],[Date]]-$A$2)</f>
        <v>4</v>
      </c>
      <c r="J434" s="2" cm="1">
        <f t="array" ref="J4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4" s="2">
        <f>Games[[#This Row],[DaysOff]]-Games[[#This Row],[OppDaysOff]]</f>
        <v>3</v>
      </c>
      <c r="L434" s="2">
        <f>Games[[#This Row],[OppDaysOff]]-Games[[#This Row],[DaysOff]]</f>
        <v>-3</v>
      </c>
      <c r="M434" s="1">
        <f>MAX(-16, MIN(16, Games[[#This Row],[RestDiff]]*8))</f>
        <v>16</v>
      </c>
      <c r="N434" s="1">
        <f>MAX(-16, MIN(16, Games[[#This Row],[OppRestDiff]]*8))</f>
        <v>-16</v>
      </c>
      <c r="O434" s="4" cm="1">
        <f t="array" ref="O4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1618.3251818909735</v>
      </c>
      <c r="P434" s="4" cm="1">
        <f t="array" ref="P4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1570.2626882169304</v>
      </c>
      <c r="Q434" s="4">
        <f>1/(1+10^(((Games[[#This Row],[OppPreGmRate]]+IF(Games[[#This Row],[HomeAway]]="A",HCA,0)+Games[[#This Row],[OppRestAdj]])-(Games[[#This Row],[PreGmRate]]+IF(Games[[#This Row],[HomeAway]]="H",HCA,0)+Games[[#This Row],[RestAdj]]))/400))</f>
        <v>0.49433371548082172</v>
      </c>
      <c r="R434" s="1">
        <v>60</v>
      </c>
      <c r="S434" s="1">
        <v>67</v>
      </c>
      <c r="T434" s="1">
        <v>0</v>
      </c>
      <c r="U434" s="1">
        <f>Games[[#This Row],[PointsFor]]-Games[[#This Row],[PointsAgainst]]</f>
        <v>-7</v>
      </c>
      <c r="V434" s="1">
        <f>IF(Games[[#This Row],[MOV]]&gt;0,1,IF(Games[[#This Row],[MOV]]=0,0.5,0))</f>
        <v>0</v>
      </c>
      <c r="W434" s="4">
        <f>((ABS(Games[[#This Row],[MOV]])+5)^0.6)/(12+0.01*(ABS(Games[[#This Row],[PreGmRate]]-Games[[#This Row],[OppPreGmRate]])))*IF(Games[[#This Row],[OT]]=1,0.9,1)</f>
        <v>0.35585446180435998</v>
      </c>
      <c r="X434" s="7" cm="1">
        <f t="array" ref="X4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4" s="9">
        <f>MAX(kmin, kmax - 0.15 * MIN(Games[[#This Row],[GamesPlayed]], 82))</f>
        <v>70.45</v>
      </c>
      <c r="Z434" s="4">
        <f>Games[[#This Row],[K]]*Games[[#This Row],[POMult]]</f>
        <v>84.54</v>
      </c>
      <c r="AA434" s="4">
        <f>(Games[[#This Row],[Keff]]*Games[[#This Row],[MOVMult]])*(Games[[#This Row],[Result]]-Games[[#This Row],[ExpectedWin%]])</f>
        <v>-14.871503958498961</v>
      </c>
      <c r="AB434" s="4">
        <f>Games[[#This Row],[PreGmRate]]+Games[[#This Row],[RatingChange]]</f>
        <v>1603.4536779324744</v>
      </c>
      <c r="AC434" s="2">
        <f>IF(Games[[#This Row],[Type]]="R",IF(Games[[#This Row],[Result]]&gt;0.5,1,0),0)</f>
        <v>0</v>
      </c>
      <c r="AD434" s="2">
        <f>IF(Games[[#This Row],[Type]]="R",IF(Games[[#This Row],[Result]]&lt;0.5,1,0),0)</f>
        <v>0</v>
      </c>
      <c r="AE434" s="2">
        <f>IF(AND(Games[[#This Row],[Type]]="P",Games[[#This Row],[Round]]=1),IF(Games[[#This Row],[Result]]&gt;0.5,1,0),0)</f>
        <v>0</v>
      </c>
      <c r="AF434" s="2">
        <f>IF(AND(Games[[#This Row],[Type]]="P",Games[[#This Row],[Round]]=1),IF(Games[[#This Row],[Result]]&lt;0.5,1,0),0)</f>
        <v>0</v>
      </c>
      <c r="AG434" s="2">
        <f>IF(AND(Games[[#This Row],[Type]]="P",Games[[#This Row],[Round]]=2),IF(Games[[#This Row],[Result]]&gt;0.5,1,0),0)</f>
        <v>0</v>
      </c>
      <c r="AH434" s="2">
        <f>IF(AND(Games[[#This Row],[Type]]="P",Games[[#This Row],[Round]]=2),IF(Games[[#This Row],[Result]]&lt;0.5,1,0),0)</f>
        <v>1</v>
      </c>
      <c r="AI434" s="2">
        <f>IF(AND(Games[[#This Row],[Type]]="P",Games[[#This Row],[Round]]=3),IF(Games[[#This Row],[Result]]&gt;0.5,1,0),0)</f>
        <v>0</v>
      </c>
      <c r="AJ434" s="2">
        <f>IF(AND(Games[[#This Row],[Type]]="P",Games[[#This Row],[Round]]=3),IF(Games[[#This Row],[Result]]&lt;0.5,1,0),0)</f>
        <v>0</v>
      </c>
      <c r="AK434" s="2">
        <f>IF(AND(Games[[#This Row],[Type]]="P",Games[[#This Row],[Round]]=4),IF(Games[[#This Row],[Result]]&gt;0.5,1,0),0)</f>
        <v>0</v>
      </c>
      <c r="AL434" s="2">
        <f>IF(AND(Games[[#This Row],[Type]]="P",Games[[#This Row],[Round]]=4),IF(Games[[#This Row],[Result]]&lt;0.5,1,0),0)</f>
        <v>0</v>
      </c>
    </row>
    <row r="435" spans="1:38" x14ac:dyDescent="0.35">
      <c r="A435" s="10">
        <v>42271</v>
      </c>
      <c r="B435" s="2">
        <v>2015</v>
      </c>
      <c r="C435" s="2">
        <f>COUNTIFS(Games[Team],Games[[#This Row],[Team]],Games[Season],Games[[#This Row],[Season]],Games[Date],"&lt;=" &amp; Games[[#This Row],[Date]])</f>
        <v>38</v>
      </c>
      <c r="D435" s="2" t="s">
        <v>87</v>
      </c>
      <c r="E435" s="2">
        <v>2</v>
      </c>
      <c r="F435" s="1" t="s">
        <v>67</v>
      </c>
      <c r="G435" s="1" t="s">
        <v>40</v>
      </c>
      <c r="H435" s="1" t="s">
        <v>86</v>
      </c>
      <c r="I435" s="2" cm="1">
        <f t="array" ref="I4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5" s="2" cm="1">
        <f t="array" ref="J43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35" s="2">
        <f>Games[[#This Row],[DaysOff]]-Games[[#This Row],[OppDaysOff]]</f>
        <v>-3</v>
      </c>
      <c r="L435" s="2">
        <f>Games[[#This Row],[OppDaysOff]]-Games[[#This Row],[DaysOff]]</f>
        <v>3</v>
      </c>
      <c r="M435" s="1">
        <f>MAX(-16, MIN(16, Games[[#This Row],[RestDiff]]*8))</f>
        <v>-16</v>
      </c>
      <c r="N435" s="1">
        <f>MAX(-16, MIN(16, Games[[#This Row],[OppRestDiff]]*8))</f>
        <v>16</v>
      </c>
      <c r="O435" s="4" cm="1">
        <f t="array" ref="O4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1570.2626882169304</v>
      </c>
      <c r="P435" s="4" cm="1">
        <f t="array" ref="P4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1618.3251818909735</v>
      </c>
      <c r="Q435" s="4">
        <f>1/(1+10^(((Games[[#This Row],[OppPreGmRate]]+IF(Games[[#This Row],[HomeAway]]="A",HCA,0)+Games[[#This Row],[OppRestAdj]])-(Games[[#This Row],[PreGmRate]]+IF(Games[[#This Row],[HomeAway]]="H",HCA,0)+Games[[#This Row],[RestAdj]]))/400))</f>
        <v>0.50566628451917828</v>
      </c>
      <c r="R435" s="1">
        <v>67</v>
      </c>
      <c r="S435" s="1">
        <v>60</v>
      </c>
      <c r="T435" s="1">
        <v>0</v>
      </c>
      <c r="U435" s="1">
        <f>Games[[#This Row],[PointsFor]]-Games[[#This Row],[PointsAgainst]]</f>
        <v>7</v>
      </c>
      <c r="V435" s="1">
        <f>IF(Games[[#This Row],[MOV]]&gt;0,1,IF(Games[[#This Row],[MOV]]=0,0.5,0))</f>
        <v>1</v>
      </c>
      <c r="W435" s="4">
        <f>((ABS(Games[[#This Row],[MOV]])+5)^0.6)/(12+0.01*(ABS(Games[[#This Row],[PreGmRate]]-Games[[#This Row],[OppPreGmRate]])))*IF(Games[[#This Row],[OT]]=1,0.9,1)</f>
        <v>0.35585446180435998</v>
      </c>
      <c r="X435" s="7" cm="1">
        <f t="array" ref="X4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5" s="9">
        <f>MAX(kmin, kmax - 0.15 * MIN(Games[[#This Row],[GamesPlayed]], 82))</f>
        <v>70.3</v>
      </c>
      <c r="Z435" s="4">
        <f>Games[[#This Row],[K]]*Games[[#This Row],[POMult]]</f>
        <v>84.36</v>
      </c>
      <c r="AA435" s="4">
        <f>(Games[[#This Row],[Keff]]*Games[[#This Row],[MOVMult]])*(Games[[#This Row],[Result]]-Games[[#This Row],[ExpectedWin%]])</f>
        <v>14.839840004009607</v>
      </c>
      <c r="AB435" s="4">
        <f>Games[[#This Row],[PreGmRate]]+Games[[#This Row],[RatingChange]]</f>
        <v>1585.10252822094</v>
      </c>
      <c r="AC435" s="2">
        <f>IF(Games[[#This Row],[Type]]="R",IF(Games[[#This Row],[Result]]&gt;0.5,1,0),0)</f>
        <v>0</v>
      </c>
      <c r="AD435" s="2">
        <f>IF(Games[[#This Row],[Type]]="R",IF(Games[[#This Row],[Result]]&lt;0.5,1,0),0)</f>
        <v>0</v>
      </c>
      <c r="AE435" s="2">
        <f>IF(AND(Games[[#This Row],[Type]]="P",Games[[#This Row],[Round]]=1),IF(Games[[#This Row],[Result]]&gt;0.5,1,0),0)</f>
        <v>0</v>
      </c>
      <c r="AF435" s="2">
        <f>IF(AND(Games[[#This Row],[Type]]="P",Games[[#This Row],[Round]]=1),IF(Games[[#This Row],[Result]]&lt;0.5,1,0),0)</f>
        <v>0</v>
      </c>
      <c r="AG435" s="2">
        <f>IF(AND(Games[[#This Row],[Type]]="P",Games[[#This Row],[Round]]=2),IF(Games[[#This Row],[Result]]&gt;0.5,1,0),0)</f>
        <v>1</v>
      </c>
      <c r="AH435" s="2">
        <f>IF(AND(Games[[#This Row],[Type]]="P",Games[[#This Row],[Round]]=2),IF(Games[[#This Row],[Result]]&lt;0.5,1,0),0)</f>
        <v>0</v>
      </c>
      <c r="AI435" s="2">
        <f>IF(AND(Games[[#This Row],[Type]]="P",Games[[#This Row],[Round]]=3),IF(Games[[#This Row],[Result]]&gt;0.5,1,0),0)</f>
        <v>0</v>
      </c>
      <c r="AJ435" s="2">
        <f>IF(AND(Games[[#This Row],[Type]]="P",Games[[#This Row],[Round]]=3),IF(Games[[#This Row],[Result]]&lt;0.5,1,0),0)</f>
        <v>0</v>
      </c>
      <c r="AK435" s="2">
        <f>IF(AND(Games[[#This Row],[Type]]="P",Games[[#This Row],[Round]]=4),IF(Games[[#This Row],[Result]]&gt;0.5,1,0),0)</f>
        <v>0</v>
      </c>
      <c r="AL435" s="2">
        <f>IF(AND(Games[[#This Row],[Type]]="P",Games[[#This Row],[Round]]=4),IF(Games[[#This Row],[Result]]&lt;0.5,1,0),0)</f>
        <v>0</v>
      </c>
    </row>
    <row r="436" spans="1:38" x14ac:dyDescent="0.35">
      <c r="A436" s="10">
        <v>42274</v>
      </c>
      <c r="B436" s="2">
        <v>2015</v>
      </c>
      <c r="C436" s="2">
        <f>COUNTIFS(Games[Team],Games[[#This Row],[Team]],Games[Season],Games[[#This Row],[Season]],Games[Date],"&lt;=" &amp; Games[[#This Row],[Date]])</f>
        <v>39</v>
      </c>
      <c r="D436" s="2" t="s">
        <v>87</v>
      </c>
      <c r="E436" s="2">
        <v>2</v>
      </c>
      <c r="F436" s="1" t="s">
        <v>60</v>
      </c>
      <c r="G436" s="1" t="s">
        <v>69</v>
      </c>
      <c r="H436" s="1" t="s">
        <v>85</v>
      </c>
      <c r="I436" s="2" cm="1">
        <f t="array" ref="I436">IFERROR(
    Games[[#This Row],[Date]]
    - LOOKUP(
        2,
        1/((Games[Team]=Games[[#This Row],[Team]]) * (Games[Date] &lt; Games[[#This Row],[Date]])),
        Games[Date]
    )
    - 1,
Games[[#This Row],[Date]]-$A$2)</f>
        <v>3</v>
      </c>
      <c r="J436" s="2" cm="1">
        <f t="array" ref="J43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36" s="2">
        <f>Games[[#This Row],[DaysOff]]-Games[[#This Row],[OppDaysOff]]</f>
        <v>0</v>
      </c>
      <c r="L436" s="2">
        <f>Games[[#This Row],[OppDaysOff]]-Games[[#This Row],[DaysOff]]</f>
        <v>0</v>
      </c>
      <c r="M436" s="1">
        <f>MAX(-16, MIN(16, Games[[#This Row],[RestDiff]]*8))</f>
        <v>0</v>
      </c>
      <c r="N436" s="1">
        <f>MAX(-16, MIN(16, Games[[#This Row],[OppRestDiff]]*8))</f>
        <v>0</v>
      </c>
      <c r="O436" s="4" cm="1">
        <f t="array" ref="O4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1603.3211886915985</v>
      </c>
      <c r="P436" s="4" cm="1">
        <f t="array" ref="P4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1567.7133409953462</v>
      </c>
      <c r="Q436" s="4">
        <f>1/(1+10^(((Games[[#This Row],[OppPreGmRate]]+IF(Games[[#This Row],[HomeAway]]="A",HCA,0)+Games[[#This Row],[OppRestAdj]])-(Games[[#This Row],[PreGmRate]]+IF(Games[[#This Row],[HomeAway]]="H",HCA,0)+Games[[#This Row],[RestAdj]]))/400))</f>
        <v>0.4308049777123148</v>
      </c>
      <c r="R436" s="1">
        <v>64</v>
      </c>
      <c r="S436" s="1">
        <v>70</v>
      </c>
      <c r="T436" s="1">
        <v>0</v>
      </c>
      <c r="U436" s="1">
        <f>Games[[#This Row],[PointsFor]]-Games[[#This Row],[PointsAgainst]]</f>
        <v>-6</v>
      </c>
      <c r="V436" s="1">
        <f>IF(Games[[#This Row],[MOV]]&gt;0,1,IF(Games[[#This Row],[MOV]]=0,0.5,0))</f>
        <v>0</v>
      </c>
      <c r="W436" s="4">
        <f>((ABS(Games[[#This Row],[MOV]])+5)^0.6)/(12+0.01*(ABS(Games[[#This Row],[PreGmRate]]-Games[[#This Row],[OppPreGmRate]])))*IF(Games[[#This Row],[OT]]=1,0.9,1)</f>
        <v>0.34115752347731593</v>
      </c>
      <c r="X436" s="7" cm="1">
        <f t="array" ref="X4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6" s="9">
        <f>MAX(kmin, kmax - 0.15 * MIN(Games[[#This Row],[GamesPlayed]], 82))</f>
        <v>70.150000000000006</v>
      </c>
      <c r="Z436" s="4">
        <f>Games[[#This Row],[K]]*Games[[#This Row],[POMult]]</f>
        <v>84.18</v>
      </c>
      <c r="AA436" s="4">
        <f>(Games[[#This Row],[Keff]]*Games[[#This Row],[MOVMult]])*(Games[[#This Row],[Result]]-Games[[#This Row],[ExpectedWin%]])</f>
        <v>-12.372133205708469</v>
      </c>
      <c r="AB436" s="4">
        <f>Games[[#This Row],[PreGmRate]]+Games[[#This Row],[RatingChange]]</f>
        <v>1590.9490554858901</v>
      </c>
      <c r="AC436" s="2">
        <f>IF(Games[[#This Row],[Type]]="R",IF(Games[[#This Row],[Result]]&gt;0.5,1,0),0)</f>
        <v>0</v>
      </c>
      <c r="AD436" s="2">
        <f>IF(Games[[#This Row],[Type]]="R",IF(Games[[#This Row],[Result]]&lt;0.5,1,0),0)</f>
        <v>0</v>
      </c>
      <c r="AE436" s="2">
        <f>IF(AND(Games[[#This Row],[Type]]="P",Games[[#This Row],[Round]]=1),IF(Games[[#This Row],[Result]]&gt;0.5,1,0),0)</f>
        <v>0</v>
      </c>
      <c r="AF436" s="2">
        <f>IF(AND(Games[[#This Row],[Type]]="P",Games[[#This Row],[Round]]=1),IF(Games[[#This Row],[Result]]&lt;0.5,1,0),0)</f>
        <v>0</v>
      </c>
      <c r="AG436" s="2">
        <f>IF(AND(Games[[#This Row],[Type]]="P",Games[[#This Row],[Round]]=2),IF(Games[[#This Row],[Result]]&gt;0.5,1,0),0)</f>
        <v>0</v>
      </c>
      <c r="AH436" s="2">
        <f>IF(AND(Games[[#This Row],[Type]]="P",Games[[#This Row],[Round]]=2),IF(Games[[#This Row],[Result]]&lt;0.5,1,0),0)</f>
        <v>1</v>
      </c>
      <c r="AI436" s="2">
        <f>IF(AND(Games[[#This Row],[Type]]="P",Games[[#This Row],[Round]]=3),IF(Games[[#This Row],[Result]]&gt;0.5,1,0),0)</f>
        <v>0</v>
      </c>
      <c r="AJ436" s="2">
        <f>IF(AND(Games[[#This Row],[Type]]="P",Games[[#This Row],[Round]]=3),IF(Games[[#This Row],[Result]]&lt;0.5,1,0),0)</f>
        <v>0</v>
      </c>
      <c r="AK436" s="2">
        <f>IF(AND(Games[[#This Row],[Type]]="P",Games[[#This Row],[Round]]=4),IF(Games[[#This Row],[Result]]&gt;0.5,1,0),0)</f>
        <v>0</v>
      </c>
      <c r="AL436" s="2">
        <f>IF(AND(Games[[#This Row],[Type]]="P",Games[[#This Row],[Round]]=4),IF(Games[[#This Row],[Result]]&lt;0.5,1,0),0)</f>
        <v>0</v>
      </c>
    </row>
    <row r="437" spans="1:38" x14ac:dyDescent="0.35">
      <c r="A437" s="10">
        <v>42274</v>
      </c>
      <c r="B437" s="2">
        <v>2015</v>
      </c>
      <c r="C437" s="2">
        <f>COUNTIFS(Games[Team],Games[[#This Row],[Team]],Games[Season],Games[[#This Row],[Season]],Games[Date],"&lt;=" &amp; Games[[#This Row],[Date]])</f>
        <v>39</v>
      </c>
      <c r="D437" s="2" t="s">
        <v>87</v>
      </c>
      <c r="E437" s="2">
        <v>2</v>
      </c>
      <c r="F437" s="1" t="s">
        <v>69</v>
      </c>
      <c r="G437" s="1" t="s">
        <v>60</v>
      </c>
      <c r="H437" s="1" t="s">
        <v>86</v>
      </c>
      <c r="I437" s="2" cm="1">
        <f t="array" ref="I437">IFERROR(
    Games[[#This Row],[Date]]
    - LOOKUP(
        2,
        1/((Games[Team]=Games[[#This Row],[Team]]) * (Games[Date] &lt; Games[[#This Row],[Date]])),
        Games[Date]
    )
    - 1,
Games[[#This Row],[Date]]-$A$2)</f>
        <v>3</v>
      </c>
      <c r="J437" s="2" cm="1">
        <f t="array" ref="J43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37" s="2">
        <f>Games[[#This Row],[DaysOff]]-Games[[#This Row],[OppDaysOff]]</f>
        <v>0</v>
      </c>
      <c r="L437" s="2">
        <f>Games[[#This Row],[OppDaysOff]]-Games[[#This Row],[DaysOff]]</f>
        <v>0</v>
      </c>
      <c r="M437" s="1">
        <f>MAX(-16, MIN(16, Games[[#This Row],[RestDiff]]*8))</f>
        <v>0</v>
      </c>
      <c r="N437" s="1">
        <f>MAX(-16, MIN(16, Games[[#This Row],[OppRestDiff]]*8))</f>
        <v>0</v>
      </c>
      <c r="O437" s="4" cm="1">
        <f t="array" ref="O4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1567.7133409953462</v>
      </c>
      <c r="P437" s="4" cm="1">
        <f t="array" ref="P4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1603.3211886915985</v>
      </c>
      <c r="Q437" s="4">
        <f>1/(1+10^(((Games[[#This Row],[OppPreGmRate]]+IF(Games[[#This Row],[HomeAway]]="A",HCA,0)+Games[[#This Row],[OppRestAdj]])-(Games[[#This Row],[PreGmRate]]+IF(Games[[#This Row],[HomeAway]]="H",HCA,0)+Games[[#This Row],[RestAdj]]))/400))</f>
        <v>0.56919502228768515</v>
      </c>
      <c r="R437" s="1">
        <v>70</v>
      </c>
      <c r="S437" s="1">
        <v>64</v>
      </c>
      <c r="T437" s="1">
        <v>0</v>
      </c>
      <c r="U437" s="1">
        <f>Games[[#This Row],[PointsFor]]-Games[[#This Row],[PointsAgainst]]</f>
        <v>6</v>
      </c>
      <c r="V437" s="1">
        <f>IF(Games[[#This Row],[MOV]]&gt;0,1,IF(Games[[#This Row],[MOV]]=0,0.5,0))</f>
        <v>1</v>
      </c>
      <c r="W437" s="4">
        <f>((ABS(Games[[#This Row],[MOV]])+5)^0.6)/(12+0.01*(ABS(Games[[#This Row],[PreGmRate]]-Games[[#This Row],[OppPreGmRate]])))*IF(Games[[#This Row],[OT]]=1,0.9,1)</f>
        <v>0.34115752347731593</v>
      </c>
      <c r="X437" s="7" cm="1">
        <f t="array" ref="X4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7" s="9">
        <f>MAX(kmin, kmax - 0.15 * MIN(Games[[#This Row],[GamesPlayed]], 82))</f>
        <v>70.150000000000006</v>
      </c>
      <c r="Z437" s="4">
        <f>Games[[#This Row],[K]]*Games[[#This Row],[POMult]]</f>
        <v>84.18</v>
      </c>
      <c r="AA437" s="4">
        <f>(Games[[#This Row],[Keff]]*Games[[#This Row],[MOVMult]])*(Games[[#This Row],[Result]]-Games[[#This Row],[ExpectedWin%]])</f>
        <v>12.372133205708471</v>
      </c>
      <c r="AB437" s="4">
        <f>Games[[#This Row],[PreGmRate]]+Games[[#This Row],[RatingChange]]</f>
        <v>1580.0854742010547</v>
      </c>
      <c r="AC437" s="2">
        <f>IF(Games[[#This Row],[Type]]="R",IF(Games[[#This Row],[Result]]&gt;0.5,1,0),0)</f>
        <v>0</v>
      </c>
      <c r="AD437" s="2">
        <f>IF(Games[[#This Row],[Type]]="R",IF(Games[[#This Row],[Result]]&lt;0.5,1,0),0)</f>
        <v>0</v>
      </c>
      <c r="AE437" s="2">
        <f>IF(AND(Games[[#This Row],[Type]]="P",Games[[#This Row],[Round]]=1),IF(Games[[#This Row],[Result]]&gt;0.5,1,0),0)</f>
        <v>0</v>
      </c>
      <c r="AF437" s="2">
        <f>IF(AND(Games[[#This Row],[Type]]="P",Games[[#This Row],[Round]]=1),IF(Games[[#This Row],[Result]]&lt;0.5,1,0),0)</f>
        <v>0</v>
      </c>
      <c r="AG437" s="2">
        <f>IF(AND(Games[[#This Row],[Type]]="P",Games[[#This Row],[Round]]=2),IF(Games[[#This Row],[Result]]&gt;0.5,1,0),0)</f>
        <v>1</v>
      </c>
      <c r="AH437" s="2">
        <f>IF(AND(Games[[#This Row],[Type]]="P",Games[[#This Row],[Round]]=2),IF(Games[[#This Row],[Result]]&lt;0.5,1,0),0)</f>
        <v>0</v>
      </c>
      <c r="AI437" s="2">
        <f>IF(AND(Games[[#This Row],[Type]]="P",Games[[#This Row],[Round]]=3),IF(Games[[#This Row],[Result]]&gt;0.5,1,0),0)</f>
        <v>0</v>
      </c>
      <c r="AJ437" s="2">
        <f>IF(AND(Games[[#This Row],[Type]]="P",Games[[#This Row],[Round]]=3),IF(Games[[#This Row],[Result]]&lt;0.5,1,0),0)</f>
        <v>0</v>
      </c>
      <c r="AK437" s="2">
        <f>IF(AND(Games[[#This Row],[Type]]="P",Games[[#This Row],[Round]]=4),IF(Games[[#This Row],[Result]]&gt;0.5,1,0),0)</f>
        <v>0</v>
      </c>
      <c r="AL437" s="2">
        <f>IF(AND(Games[[#This Row],[Type]]="P",Games[[#This Row],[Round]]=4),IF(Games[[#This Row],[Result]]&lt;0.5,1,0),0)</f>
        <v>0</v>
      </c>
    </row>
    <row r="438" spans="1:38" x14ac:dyDescent="0.35">
      <c r="A438" s="10">
        <v>42274</v>
      </c>
      <c r="B438" s="2">
        <v>2015</v>
      </c>
      <c r="C438" s="2">
        <f>COUNTIFS(Games[Team],Games[[#This Row],[Team]],Games[Season],Games[[#This Row],[Season]],Games[Date],"&lt;=" &amp; Games[[#This Row],[Date]])</f>
        <v>39</v>
      </c>
      <c r="D438" s="2" t="s">
        <v>87</v>
      </c>
      <c r="E438" s="2">
        <v>2</v>
      </c>
      <c r="F438" s="1" t="s">
        <v>67</v>
      </c>
      <c r="G438" s="1" t="s">
        <v>40</v>
      </c>
      <c r="H438" s="1" t="s">
        <v>85</v>
      </c>
      <c r="I438" s="2" cm="1">
        <f t="array" ref="I4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8" s="2" cm="1">
        <f t="array" ref="J4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8" s="2">
        <f>Games[[#This Row],[DaysOff]]-Games[[#This Row],[OppDaysOff]]</f>
        <v>0</v>
      </c>
      <c r="L438" s="2">
        <f>Games[[#This Row],[OppDaysOff]]-Games[[#This Row],[DaysOff]]</f>
        <v>0</v>
      </c>
      <c r="M438" s="1">
        <f>MAX(-16, MIN(16, Games[[#This Row],[RestDiff]]*8))</f>
        <v>0</v>
      </c>
      <c r="N438" s="1">
        <f>MAX(-16, MIN(16, Games[[#This Row],[OppRestDiff]]*8))</f>
        <v>0</v>
      </c>
      <c r="O438" s="4" cm="1">
        <f t="array" ref="O4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1585.10252822094</v>
      </c>
      <c r="P438" s="4" cm="1">
        <f t="array" ref="P4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1603.4536779324744</v>
      </c>
      <c r="Q438" s="4">
        <f>1/(1+10^(((Games[[#This Row],[OppPreGmRate]]+IF(Games[[#This Row],[HomeAway]]="A",HCA,0)+Games[[#This Row],[OppRestAdj]])-(Games[[#This Row],[PreGmRate]]+IF(Games[[#This Row],[HomeAway]]="H",HCA,0)+Games[[#This Row],[RestAdj]]))/400))</f>
        <v>0.35682288962544073</v>
      </c>
      <c r="R438" s="1">
        <v>72</v>
      </c>
      <c r="S438" s="1">
        <v>71</v>
      </c>
      <c r="T438" s="1">
        <v>0</v>
      </c>
      <c r="U438" s="1">
        <f>Games[[#This Row],[PointsFor]]-Games[[#This Row],[PointsAgainst]]</f>
        <v>1</v>
      </c>
      <c r="V438" s="1">
        <f>IF(Games[[#This Row],[MOV]]&gt;0,1,IF(Games[[#This Row],[MOV]]=0,0.5,0))</f>
        <v>1</v>
      </c>
      <c r="W438" s="4">
        <f>((ABS(Games[[#This Row],[MOV]])+5)^0.6)/(12+0.01*(ABS(Games[[#This Row],[PreGmRate]]-Games[[#This Row],[OppPreGmRate]])))*IF(Games[[#This Row],[OT]]=1,0.9,1)</f>
        <v>0.24050176767816783</v>
      </c>
      <c r="X438" s="7" cm="1">
        <f t="array" ref="X4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8" s="9">
        <f>MAX(kmin, kmax - 0.15 * MIN(Games[[#This Row],[GamesPlayed]], 82))</f>
        <v>70.150000000000006</v>
      </c>
      <c r="Z438" s="4">
        <f>Games[[#This Row],[K]]*Games[[#This Row],[POMult]]</f>
        <v>84.18</v>
      </c>
      <c r="AA438" s="4">
        <f>(Games[[#This Row],[Keff]]*Games[[#This Row],[MOVMult]])*(Games[[#This Row],[Result]]-Games[[#This Row],[ExpectedWin%]])</f>
        <v>13.021402827673814</v>
      </c>
      <c r="AB438" s="4">
        <f>Games[[#This Row],[PreGmRate]]+Games[[#This Row],[RatingChange]]</f>
        <v>1598.1239310486139</v>
      </c>
      <c r="AC438" s="2">
        <f>IF(Games[[#This Row],[Type]]="R",IF(Games[[#This Row],[Result]]&gt;0.5,1,0),0)</f>
        <v>0</v>
      </c>
      <c r="AD438" s="2">
        <f>IF(Games[[#This Row],[Type]]="R",IF(Games[[#This Row],[Result]]&lt;0.5,1,0),0)</f>
        <v>0</v>
      </c>
      <c r="AE438" s="2">
        <f>IF(AND(Games[[#This Row],[Type]]="P",Games[[#This Row],[Round]]=1),IF(Games[[#This Row],[Result]]&gt;0.5,1,0),0)</f>
        <v>0</v>
      </c>
      <c r="AF438" s="2">
        <f>IF(AND(Games[[#This Row],[Type]]="P",Games[[#This Row],[Round]]=1),IF(Games[[#This Row],[Result]]&lt;0.5,1,0),0)</f>
        <v>0</v>
      </c>
      <c r="AG438" s="2">
        <f>IF(AND(Games[[#This Row],[Type]]="P",Games[[#This Row],[Round]]=2),IF(Games[[#This Row],[Result]]&gt;0.5,1,0),0)</f>
        <v>1</v>
      </c>
      <c r="AH438" s="2">
        <f>IF(AND(Games[[#This Row],[Type]]="P",Games[[#This Row],[Round]]=2),IF(Games[[#This Row],[Result]]&lt;0.5,1,0),0)</f>
        <v>0</v>
      </c>
      <c r="AI438" s="2">
        <f>IF(AND(Games[[#This Row],[Type]]="P",Games[[#This Row],[Round]]=3),IF(Games[[#This Row],[Result]]&gt;0.5,1,0),0)</f>
        <v>0</v>
      </c>
      <c r="AJ438" s="2">
        <f>IF(AND(Games[[#This Row],[Type]]="P",Games[[#This Row],[Round]]=3),IF(Games[[#This Row],[Result]]&lt;0.5,1,0),0)</f>
        <v>0</v>
      </c>
      <c r="AK438" s="2">
        <f>IF(AND(Games[[#This Row],[Type]]="P",Games[[#This Row],[Round]]=4),IF(Games[[#This Row],[Result]]&gt;0.5,1,0),0)</f>
        <v>0</v>
      </c>
      <c r="AL438" s="2">
        <f>IF(AND(Games[[#This Row],[Type]]="P",Games[[#This Row],[Round]]=4),IF(Games[[#This Row],[Result]]&lt;0.5,1,0),0)</f>
        <v>0</v>
      </c>
    </row>
    <row r="439" spans="1:38" x14ac:dyDescent="0.35">
      <c r="A439" s="10">
        <v>42274</v>
      </c>
      <c r="B439" s="2">
        <v>2015</v>
      </c>
      <c r="C439" s="2">
        <f>COUNTIFS(Games[Team],Games[[#This Row],[Team]],Games[Season],Games[[#This Row],[Season]],Games[Date],"&lt;=" &amp; Games[[#This Row],[Date]])</f>
        <v>38</v>
      </c>
      <c r="D439" s="2" t="s">
        <v>87</v>
      </c>
      <c r="E439" s="2">
        <v>2</v>
      </c>
      <c r="F439" s="1" t="s">
        <v>40</v>
      </c>
      <c r="G439" s="1" t="s">
        <v>67</v>
      </c>
      <c r="H439" s="1" t="s">
        <v>86</v>
      </c>
      <c r="I439" s="2" cm="1">
        <f t="array" ref="I4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9" s="2" cm="1">
        <f t="array" ref="J4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9" s="2">
        <f>Games[[#This Row],[DaysOff]]-Games[[#This Row],[OppDaysOff]]</f>
        <v>0</v>
      </c>
      <c r="L439" s="2">
        <f>Games[[#This Row],[OppDaysOff]]-Games[[#This Row],[DaysOff]]</f>
        <v>0</v>
      </c>
      <c r="M439" s="1">
        <f>MAX(-16, MIN(16, Games[[#This Row],[RestDiff]]*8))</f>
        <v>0</v>
      </c>
      <c r="N439" s="1">
        <f>MAX(-16, MIN(16, Games[[#This Row],[OppRestDiff]]*8))</f>
        <v>0</v>
      </c>
      <c r="O439" s="4" cm="1">
        <f t="array" ref="O4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1603.4536779324744</v>
      </c>
      <c r="P439" s="4" cm="1">
        <f t="array" ref="P4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1585.10252822094</v>
      </c>
      <c r="Q439" s="4">
        <f>1/(1+10^(((Games[[#This Row],[OppPreGmRate]]+IF(Games[[#This Row],[HomeAway]]="A",HCA,0)+Games[[#This Row],[OppRestAdj]])-(Games[[#This Row],[PreGmRate]]+IF(Games[[#This Row],[HomeAway]]="H",HCA,0)+Games[[#This Row],[RestAdj]]))/400))</f>
        <v>0.64317711037455927</v>
      </c>
      <c r="R439" s="1">
        <v>71</v>
      </c>
      <c r="S439" s="1">
        <v>72</v>
      </c>
      <c r="T439" s="1">
        <v>0</v>
      </c>
      <c r="U439" s="1">
        <f>Games[[#This Row],[PointsFor]]-Games[[#This Row],[PointsAgainst]]</f>
        <v>-1</v>
      </c>
      <c r="V439" s="1">
        <f>IF(Games[[#This Row],[MOV]]&gt;0,1,IF(Games[[#This Row],[MOV]]=0,0.5,0))</f>
        <v>0</v>
      </c>
      <c r="W439" s="4">
        <f>((ABS(Games[[#This Row],[MOV]])+5)^0.6)/(12+0.01*(ABS(Games[[#This Row],[PreGmRate]]-Games[[#This Row],[OppPreGmRate]])))*IF(Games[[#This Row],[OT]]=1,0.9,1)</f>
        <v>0.24050176767816783</v>
      </c>
      <c r="X439" s="7" cm="1">
        <f t="array" ref="X4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9" s="9">
        <f>MAX(kmin, kmax - 0.15 * MIN(Games[[#This Row],[GamesPlayed]], 82))</f>
        <v>70.3</v>
      </c>
      <c r="Z439" s="4">
        <f>Games[[#This Row],[K]]*Games[[#This Row],[POMult]]</f>
        <v>84.36</v>
      </c>
      <c r="AA439" s="4">
        <f>(Games[[#This Row],[Keff]]*Games[[#This Row],[MOVMult]])*(Games[[#This Row],[Result]]-Games[[#This Row],[ExpectedWin%]])</f>
        <v>-13.049246169429354</v>
      </c>
      <c r="AB439" s="4">
        <f>Games[[#This Row],[PreGmRate]]+Games[[#This Row],[RatingChange]]</f>
        <v>1590.4044317630451</v>
      </c>
      <c r="AC439" s="2">
        <f>IF(Games[[#This Row],[Type]]="R",IF(Games[[#This Row],[Result]]&gt;0.5,1,0),0)</f>
        <v>0</v>
      </c>
      <c r="AD439" s="2">
        <f>IF(Games[[#This Row],[Type]]="R",IF(Games[[#This Row],[Result]]&lt;0.5,1,0),0)</f>
        <v>0</v>
      </c>
      <c r="AE439" s="2">
        <f>IF(AND(Games[[#This Row],[Type]]="P",Games[[#This Row],[Round]]=1),IF(Games[[#This Row],[Result]]&gt;0.5,1,0),0)</f>
        <v>0</v>
      </c>
      <c r="AF439" s="2">
        <f>IF(AND(Games[[#This Row],[Type]]="P",Games[[#This Row],[Round]]=1),IF(Games[[#This Row],[Result]]&lt;0.5,1,0),0)</f>
        <v>0</v>
      </c>
      <c r="AG439" s="2">
        <f>IF(AND(Games[[#This Row],[Type]]="P",Games[[#This Row],[Round]]=2),IF(Games[[#This Row],[Result]]&gt;0.5,1,0),0)</f>
        <v>0</v>
      </c>
      <c r="AH439" s="2">
        <f>IF(AND(Games[[#This Row],[Type]]="P",Games[[#This Row],[Round]]=2),IF(Games[[#This Row],[Result]]&lt;0.5,1,0),0)</f>
        <v>1</v>
      </c>
      <c r="AI439" s="2">
        <f>IF(AND(Games[[#This Row],[Type]]="P",Games[[#This Row],[Round]]=3),IF(Games[[#This Row],[Result]]&gt;0.5,1,0),0)</f>
        <v>0</v>
      </c>
      <c r="AJ439" s="2">
        <f>IF(AND(Games[[#This Row],[Type]]="P",Games[[#This Row],[Round]]=3),IF(Games[[#This Row],[Result]]&lt;0.5,1,0),0)</f>
        <v>0</v>
      </c>
      <c r="AK439" s="2">
        <f>IF(AND(Games[[#This Row],[Type]]="P",Games[[#This Row],[Round]]=4),IF(Games[[#This Row],[Result]]&gt;0.5,1,0),0)</f>
        <v>0</v>
      </c>
      <c r="AL439" s="2">
        <f>IF(AND(Games[[#This Row],[Type]]="P",Games[[#This Row],[Round]]=4),IF(Games[[#This Row],[Result]]&lt;0.5,1,0),0)</f>
        <v>0</v>
      </c>
    </row>
    <row r="440" spans="1:38" x14ac:dyDescent="0.35">
      <c r="A440" s="10">
        <v>42276</v>
      </c>
      <c r="B440" s="2">
        <v>2015</v>
      </c>
      <c r="C440" s="2">
        <f>COUNTIFS(Games[Team],Games[[#This Row],[Team]],Games[Season],Games[[#This Row],[Season]],Games[Date],"&lt;=" &amp; Games[[#This Row],[Date]])</f>
        <v>40</v>
      </c>
      <c r="D440" s="2" t="s">
        <v>87</v>
      </c>
      <c r="E440" s="2">
        <v>2</v>
      </c>
      <c r="F440" s="1" t="s">
        <v>69</v>
      </c>
      <c r="G440" s="1" t="s">
        <v>60</v>
      </c>
      <c r="H440" s="1" t="s">
        <v>85</v>
      </c>
      <c r="I440" s="2" cm="1">
        <f t="array" ref="I4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0" s="2" cm="1">
        <f t="array" ref="J4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0" s="2">
        <f>Games[[#This Row],[DaysOff]]-Games[[#This Row],[OppDaysOff]]</f>
        <v>0</v>
      </c>
      <c r="L440" s="2">
        <f>Games[[#This Row],[OppDaysOff]]-Games[[#This Row],[DaysOff]]</f>
        <v>0</v>
      </c>
      <c r="M440" s="1">
        <f>MAX(-16, MIN(16, Games[[#This Row],[RestDiff]]*8))</f>
        <v>0</v>
      </c>
      <c r="N440" s="1">
        <f>MAX(-16, MIN(16, Games[[#This Row],[OppRestDiff]]*8))</f>
        <v>0</v>
      </c>
      <c r="O440" s="4" cm="1">
        <f t="array" ref="O4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1580.0854742010547</v>
      </c>
      <c r="P440" s="4" cm="1">
        <f t="array" ref="P4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1590.9490554858901</v>
      </c>
      <c r="Q440" s="4">
        <f>1/(1+10^(((Games[[#This Row],[OppPreGmRate]]+IF(Games[[#This Row],[HomeAway]]="A",HCA,0)+Games[[#This Row],[OppRestAdj]])-(Games[[#This Row],[PreGmRate]]+IF(Games[[#This Row],[HomeAway]]="H",HCA,0)+Games[[#This Row],[RestAdj]]))/400))</f>
        <v>0.36677466506186768</v>
      </c>
      <c r="R440" s="1">
        <v>66</v>
      </c>
      <c r="S440" s="1">
        <v>51</v>
      </c>
      <c r="T440" s="1">
        <v>0</v>
      </c>
      <c r="U440" s="1">
        <f>Games[[#This Row],[PointsFor]]-Games[[#This Row],[PointsAgainst]]</f>
        <v>15</v>
      </c>
      <c r="V440" s="1">
        <f>IF(Games[[#This Row],[MOV]]&gt;0,1,IF(Games[[#This Row],[MOV]]=0,0.5,0))</f>
        <v>1</v>
      </c>
      <c r="W440" s="4">
        <f>((ABS(Games[[#This Row],[MOV]])+5)^0.6)/(12+0.01*(ABS(Games[[#This Row],[PreGmRate]]-Games[[#This Row],[OppPreGmRate]])))*IF(Games[[#This Row],[OT]]=1,0.9,1)</f>
        <v>0.49833659462632091</v>
      </c>
      <c r="X440" s="7" cm="1">
        <f t="array" ref="X4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40" s="9">
        <f>MAX(kmin, kmax - 0.15 * MIN(Games[[#This Row],[GamesPlayed]], 82))</f>
        <v>70</v>
      </c>
      <c r="Z440" s="4">
        <f>Games[[#This Row],[K]]*Games[[#This Row],[POMult]]</f>
        <v>84</v>
      </c>
      <c r="AA440" s="4">
        <f>(Games[[#This Row],[Keff]]*Games[[#This Row],[MOVMult]])*(Games[[#This Row],[Result]]-Games[[#This Row],[ExpectedWin%]])</f>
        <v>26.506985991711144</v>
      </c>
      <c r="AB440" s="4">
        <f>Games[[#This Row],[PreGmRate]]+Games[[#This Row],[RatingChange]]</f>
        <v>1606.5924601927659</v>
      </c>
      <c r="AC440" s="2">
        <f>IF(Games[[#This Row],[Type]]="R",IF(Games[[#This Row],[Result]]&gt;0.5,1,0),0)</f>
        <v>0</v>
      </c>
      <c r="AD440" s="2">
        <f>IF(Games[[#This Row],[Type]]="R",IF(Games[[#This Row],[Result]]&lt;0.5,1,0),0)</f>
        <v>0</v>
      </c>
      <c r="AE440" s="2">
        <f>IF(AND(Games[[#This Row],[Type]]="P",Games[[#This Row],[Round]]=1),IF(Games[[#This Row],[Result]]&gt;0.5,1,0),0)</f>
        <v>0</v>
      </c>
      <c r="AF440" s="2">
        <f>IF(AND(Games[[#This Row],[Type]]="P",Games[[#This Row],[Round]]=1),IF(Games[[#This Row],[Result]]&lt;0.5,1,0),0)</f>
        <v>0</v>
      </c>
      <c r="AG440" s="2">
        <f>IF(AND(Games[[#This Row],[Type]]="P",Games[[#This Row],[Round]]=2),IF(Games[[#This Row],[Result]]&gt;0.5,1,0),0)</f>
        <v>1</v>
      </c>
      <c r="AH440" s="2">
        <f>IF(AND(Games[[#This Row],[Type]]="P",Games[[#This Row],[Round]]=2),IF(Games[[#This Row],[Result]]&lt;0.5,1,0),0)</f>
        <v>0</v>
      </c>
      <c r="AI440" s="2">
        <f>IF(AND(Games[[#This Row],[Type]]="P",Games[[#This Row],[Round]]=3),IF(Games[[#This Row],[Result]]&gt;0.5,1,0),0)</f>
        <v>0</v>
      </c>
      <c r="AJ440" s="2">
        <f>IF(AND(Games[[#This Row],[Type]]="P",Games[[#This Row],[Round]]=3),IF(Games[[#This Row],[Result]]&lt;0.5,1,0),0)</f>
        <v>0</v>
      </c>
      <c r="AK440" s="2">
        <f>IF(AND(Games[[#This Row],[Type]]="P",Games[[#This Row],[Round]]=4),IF(Games[[#This Row],[Result]]&gt;0.5,1,0),0)</f>
        <v>0</v>
      </c>
      <c r="AL440" s="2">
        <f>IF(AND(Games[[#This Row],[Type]]="P",Games[[#This Row],[Round]]=4),IF(Games[[#This Row],[Result]]&lt;0.5,1,0),0)</f>
        <v>0</v>
      </c>
    </row>
    <row r="441" spans="1:38" x14ac:dyDescent="0.35">
      <c r="A441" s="10">
        <v>42276</v>
      </c>
      <c r="B441" s="2">
        <v>2015</v>
      </c>
      <c r="C441" s="2">
        <f>COUNTIFS(Games[Team],Games[[#This Row],[Team]],Games[Season],Games[[#This Row],[Season]],Games[Date],"&lt;=" &amp; Games[[#This Row],[Date]])</f>
        <v>40</v>
      </c>
      <c r="D441" s="2" t="s">
        <v>87</v>
      </c>
      <c r="E441" s="2">
        <v>2</v>
      </c>
      <c r="F441" s="1" t="s">
        <v>60</v>
      </c>
      <c r="G441" s="1" t="s">
        <v>69</v>
      </c>
      <c r="H441" s="1" t="s">
        <v>86</v>
      </c>
      <c r="I441" s="2" cm="1">
        <f t="array" ref="I4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1" s="2" cm="1">
        <f t="array" ref="J4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1" s="2">
        <f>Games[[#This Row],[DaysOff]]-Games[[#This Row],[OppDaysOff]]</f>
        <v>0</v>
      </c>
      <c r="L441" s="2">
        <f>Games[[#This Row],[OppDaysOff]]-Games[[#This Row],[DaysOff]]</f>
        <v>0</v>
      </c>
      <c r="M441" s="1">
        <f>MAX(-16, MIN(16, Games[[#This Row],[RestDiff]]*8))</f>
        <v>0</v>
      </c>
      <c r="N441" s="1">
        <f>MAX(-16, MIN(16, Games[[#This Row],[OppRestDiff]]*8))</f>
        <v>0</v>
      </c>
      <c r="O441" s="4" cm="1">
        <f t="array" ref="O4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1590.9490554858901</v>
      </c>
      <c r="P441" s="4" cm="1">
        <f t="array" ref="P4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1580.0854742010547</v>
      </c>
      <c r="Q441" s="4">
        <f>1/(1+10^(((Games[[#This Row],[OppPreGmRate]]+IF(Games[[#This Row],[HomeAway]]="A",HCA,0)+Games[[#This Row],[OppRestAdj]])-(Games[[#This Row],[PreGmRate]]+IF(Games[[#This Row],[HomeAway]]="H",HCA,0)+Games[[#This Row],[RestAdj]]))/400))</f>
        <v>0.63322533493813238</v>
      </c>
      <c r="R441" s="1">
        <v>51</v>
      </c>
      <c r="S441" s="1">
        <v>66</v>
      </c>
      <c r="T441" s="1">
        <v>0</v>
      </c>
      <c r="U441" s="1">
        <f>Games[[#This Row],[PointsFor]]-Games[[#This Row],[PointsAgainst]]</f>
        <v>-15</v>
      </c>
      <c r="V441" s="1">
        <f>IF(Games[[#This Row],[MOV]]&gt;0,1,IF(Games[[#This Row],[MOV]]=0,0.5,0))</f>
        <v>0</v>
      </c>
      <c r="W441" s="4">
        <f>((ABS(Games[[#This Row],[MOV]])+5)^0.6)/(12+0.01*(ABS(Games[[#This Row],[PreGmRate]]-Games[[#This Row],[OppPreGmRate]])))*IF(Games[[#This Row],[OT]]=1,0.9,1)</f>
        <v>0.49833659462632091</v>
      </c>
      <c r="X441" s="7" cm="1">
        <f t="array" ref="X4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41" s="9">
        <f>MAX(kmin, kmax - 0.15 * MIN(Games[[#This Row],[GamesPlayed]], 82))</f>
        <v>70</v>
      </c>
      <c r="Z441" s="4">
        <f>Games[[#This Row],[K]]*Games[[#This Row],[POMult]]</f>
        <v>84</v>
      </c>
      <c r="AA441" s="4">
        <f>(Games[[#This Row],[Keff]]*Games[[#This Row],[MOVMult]])*(Games[[#This Row],[Result]]-Games[[#This Row],[ExpectedWin%]])</f>
        <v>-26.506985991711147</v>
      </c>
      <c r="AB441" s="4">
        <f>Games[[#This Row],[PreGmRate]]+Games[[#This Row],[RatingChange]]</f>
        <v>1564.4420694941789</v>
      </c>
      <c r="AC441" s="2">
        <f>IF(Games[[#This Row],[Type]]="R",IF(Games[[#This Row],[Result]]&gt;0.5,1,0),0)</f>
        <v>0</v>
      </c>
      <c r="AD441" s="2">
        <f>IF(Games[[#This Row],[Type]]="R",IF(Games[[#This Row],[Result]]&lt;0.5,1,0),0)</f>
        <v>0</v>
      </c>
      <c r="AE441" s="2">
        <f>IF(AND(Games[[#This Row],[Type]]="P",Games[[#This Row],[Round]]=1),IF(Games[[#This Row],[Result]]&gt;0.5,1,0),0)</f>
        <v>0</v>
      </c>
      <c r="AF441" s="2">
        <f>IF(AND(Games[[#This Row],[Type]]="P",Games[[#This Row],[Round]]=1),IF(Games[[#This Row],[Result]]&lt;0.5,1,0),0)</f>
        <v>0</v>
      </c>
      <c r="AG441" s="2">
        <f>IF(AND(Games[[#This Row],[Type]]="P",Games[[#This Row],[Round]]=2),IF(Games[[#This Row],[Result]]&gt;0.5,1,0),0)</f>
        <v>0</v>
      </c>
      <c r="AH441" s="2">
        <f>IF(AND(Games[[#This Row],[Type]]="P",Games[[#This Row],[Round]]=2),IF(Games[[#This Row],[Result]]&lt;0.5,1,0),0)</f>
        <v>1</v>
      </c>
      <c r="AI441" s="2">
        <f>IF(AND(Games[[#This Row],[Type]]="P",Games[[#This Row],[Round]]=3),IF(Games[[#This Row],[Result]]&gt;0.5,1,0),0)</f>
        <v>0</v>
      </c>
      <c r="AJ441" s="2">
        <f>IF(AND(Games[[#This Row],[Type]]="P",Games[[#This Row],[Round]]=3),IF(Games[[#This Row],[Result]]&lt;0.5,1,0),0)</f>
        <v>0</v>
      </c>
      <c r="AK441" s="2">
        <f>IF(AND(Games[[#This Row],[Type]]="P",Games[[#This Row],[Round]]=4),IF(Games[[#This Row],[Result]]&gt;0.5,1,0),0)</f>
        <v>0</v>
      </c>
      <c r="AL441" s="2">
        <f>IF(AND(Games[[#This Row],[Type]]="P",Games[[#This Row],[Round]]=4),IF(Games[[#This Row],[Result]]&lt;0.5,1,0),0)</f>
        <v>0</v>
      </c>
    </row>
    <row r="442" spans="1:38" x14ac:dyDescent="0.35">
      <c r="A442" s="10">
        <v>42281</v>
      </c>
      <c r="B442" s="2">
        <v>2015</v>
      </c>
      <c r="C442" s="2">
        <f>COUNTIFS(Games[Team],Games[[#This Row],[Team]],Games[Season],Games[[#This Row],[Season]],Games[Date],"&lt;=" &amp; Games[[#This Row],[Date]])</f>
        <v>41</v>
      </c>
      <c r="D442" s="2" t="s">
        <v>87</v>
      </c>
      <c r="E442" s="2">
        <v>3</v>
      </c>
      <c r="F442" s="1" t="s">
        <v>69</v>
      </c>
      <c r="G442" s="1" t="s">
        <v>67</v>
      </c>
      <c r="H442" s="1" t="s">
        <v>85</v>
      </c>
      <c r="I442" s="2" cm="1">
        <f t="array" ref="I442">IFERROR(
    Games[[#This Row],[Date]]
    - LOOKUP(
        2,
        1/((Games[Team]=Games[[#This Row],[Team]]) * (Games[Date] &lt; Games[[#This Row],[Date]])),
        Games[Date]
    )
    - 1,
Games[[#This Row],[Date]]-$A$2)</f>
        <v>4</v>
      </c>
      <c r="J442" s="2" cm="1">
        <f t="array" ref="J44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42" s="2">
        <f>Games[[#This Row],[DaysOff]]-Games[[#This Row],[OppDaysOff]]</f>
        <v>-2</v>
      </c>
      <c r="L442" s="2">
        <f>Games[[#This Row],[OppDaysOff]]-Games[[#This Row],[DaysOff]]</f>
        <v>2</v>
      </c>
      <c r="M442" s="1">
        <f>MAX(-16, MIN(16, Games[[#This Row],[RestDiff]]*8))</f>
        <v>-16</v>
      </c>
      <c r="N442" s="1">
        <f>MAX(-16, MIN(16, Games[[#This Row],[OppRestDiff]]*8))</f>
        <v>16</v>
      </c>
      <c r="O442" s="4" cm="1">
        <f t="array" ref="O4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1606.5924601927659</v>
      </c>
      <c r="P442" s="4" cm="1">
        <f t="array" ref="P4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1598.1239310486139</v>
      </c>
      <c r="Q442" s="4">
        <f>1/(1+10^(((Games[[#This Row],[OppPreGmRate]]+IF(Games[[#This Row],[HomeAway]]="A",HCA,0)+Games[[#This Row],[OppRestAdj]])-(Games[[#This Row],[PreGmRate]]+IF(Games[[#This Row],[HomeAway]]="H",HCA,0)+Games[[#This Row],[RestAdj]]))/400))</f>
        <v>0.35000871417713059</v>
      </c>
      <c r="R442" s="1">
        <v>75</v>
      </c>
      <c r="S442" s="1">
        <v>69</v>
      </c>
      <c r="T442" s="1">
        <v>0</v>
      </c>
      <c r="U442" s="1">
        <f>Games[[#This Row],[PointsFor]]-Games[[#This Row],[PointsAgainst]]</f>
        <v>6</v>
      </c>
      <c r="V442" s="1">
        <f>IF(Games[[#This Row],[MOV]]&gt;0,1,IF(Games[[#This Row],[MOV]]=0,0.5,0))</f>
        <v>1</v>
      </c>
      <c r="W442" s="4">
        <f>((ABS(Games[[#This Row],[MOV]])+5)^0.6)/(12+0.01*(ABS(Games[[#This Row],[PreGmRate]]-Games[[#This Row],[OppPreGmRate]])))*IF(Games[[#This Row],[OT]]=1,0.9,1)</f>
        <v>0.34881910711214476</v>
      </c>
      <c r="X442" s="7" cm="1">
        <f t="array" ref="X4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2" s="9">
        <f>MAX(kmin, kmax - 0.15 * MIN(Games[[#This Row],[GamesPlayed]], 82))</f>
        <v>69.849999999999994</v>
      </c>
      <c r="Z442" s="4">
        <f>Games[[#This Row],[K]]*Games[[#This Row],[POMult]]</f>
        <v>94.297499999999999</v>
      </c>
      <c r="AA442" s="4">
        <f>(Games[[#This Row],[Keff]]*Games[[#This Row],[MOVMult]])*(Games[[#This Row],[Result]]-Games[[#This Row],[ExpectedWin%]])</f>
        <v>21.380013705967912</v>
      </c>
      <c r="AB442" s="4">
        <f>Games[[#This Row],[PreGmRate]]+Games[[#This Row],[RatingChange]]</f>
        <v>1627.9724738987338</v>
      </c>
      <c r="AC442" s="2">
        <f>IF(Games[[#This Row],[Type]]="R",IF(Games[[#This Row],[Result]]&gt;0.5,1,0),0)</f>
        <v>0</v>
      </c>
      <c r="AD442" s="2">
        <f>IF(Games[[#This Row],[Type]]="R",IF(Games[[#This Row],[Result]]&lt;0.5,1,0),0)</f>
        <v>0</v>
      </c>
      <c r="AE442" s="2">
        <f>IF(AND(Games[[#This Row],[Type]]="P",Games[[#This Row],[Round]]=1),IF(Games[[#This Row],[Result]]&gt;0.5,1,0),0)</f>
        <v>0</v>
      </c>
      <c r="AF442" s="2">
        <f>IF(AND(Games[[#This Row],[Type]]="P",Games[[#This Row],[Round]]=1),IF(Games[[#This Row],[Result]]&lt;0.5,1,0),0)</f>
        <v>0</v>
      </c>
      <c r="AG442" s="2">
        <f>IF(AND(Games[[#This Row],[Type]]="P",Games[[#This Row],[Round]]=2),IF(Games[[#This Row],[Result]]&gt;0.5,1,0),0)</f>
        <v>0</v>
      </c>
      <c r="AH442" s="2">
        <f>IF(AND(Games[[#This Row],[Type]]="P",Games[[#This Row],[Round]]=2),IF(Games[[#This Row],[Result]]&lt;0.5,1,0),0)</f>
        <v>0</v>
      </c>
      <c r="AI442" s="2">
        <f>IF(AND(Games[[#This Row],[Type]]="P",Games[[#This Row],[Round]]=3),IF(Games[[#This Row],[Result]]&gt;0.5,1,0),0)</f>
        <v>1</v>
      </c>
      <c r="AJ442" s="2">
        <f>IF(AND(Games[[#This Row],[Type]]="P",Games[[#This Row],[Round]]=3),IF(Games[[#This Row],[Result]]&lt;0.5,1,0),0)</f>
        <v>0</v>
      </c>
      <c r="AK442" s="2">
        <f>IF(AND(Games[[#This Row],[Type]]="P",Games[[#This Row],[Round]]=4),IF(Games[[#This Row],[Result]]&gt;0.5,1,0),0)</f>
        <v>0</v>
      </c>
      <c r="AL442" s="2">
        <f>IF(AND(Games[[#This Row],[Type]]="P",Games[[#This Row],[Round]]=4),IF(Games[[#This Row],[Result]]&lt;0.5,1,0),0)</f>
        <v>0</v>
      </c>
    </row>
    <row r="443" spans="1:38" x14ac:dyDescent="0.35">
      <c r="A443" s="10">
        <v>42281</v>
      </c>
      <c r="B443" s="2">
        <v>2015</v>
      </c>
      <c r="C443" s="2">
        <f>COUNTIFS(Games[Team],Games[[#This Row],[Team]],Games[Season],Games[[#This Row],[Season]],Games[Date],"&lt;=" &amp; Games[[#This Row],[Date]])</f>
        <v>40</v>
      </c>
      <c r="D443" s="2" t="s">
        <v>87</v>
      </c>
      <c r="E443" s="2">
        <v>3</v>
      </c>
      <c r="F443" s="1" t="s">
        <v>67</v>
      </c>
      <c r="G443" s="1" t="s">
        <v>69</v>
      </c>
      <c r="H443" s="1" t="s">
        <v>86</v>
      </c>
      <c r="I443" s="2" cm="1">
        <f t="array" ref="I443">IFERROR(
    Games[[#This Row],[Date]]
    - LOOKUP(
        2,
        1/((Games[Team]=Games[[#This Row],[Team]]) * (Games[Date] &lt; Games[[#This Row],[Date]])),
        Games[Date]
    )
    - 1,
Games[[#This Row],[Date]]-$A$2)</f>
        <v>6</v>
      </c>
      <c r="J443" s="2" cm="1">
        <f t="array" ref="J44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43" s="2">
        <f>Games[[#This Row],[DaysOff]]-Games[[#This Row],[OppDaysOff]]</f>
        <v>2</v>
      </c>
      <c r="L443" s="2">
        <f>Games[[#This Row],[OppDaysOff]]-Games[[#This Row],[DaysOff]]</f>
        <v>-2</v>
      </c>
      <c r="M443" s="1">
        <f>MAX(-16, MIN(16, Games[[#This Row],[RestDiff]]*8))</f>
        <v>16</v>
      </c>
      <c r="N443" s="1">
        <f>MAX(-16, MIN(16, Games[[#This Row],[OppRestDiff]]*8))</f>
        <v>-16</v>
      </c>
      <c r="O443" s="4" cm="1">
        <f t="array" ref="O4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1598.1239310486139</v>
      </c>
      <c r="P443" s="4" cm="1">
        <f t="array" ref="P4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1606.5924601927659</v>
      </c>
      <c r="Q443" s="4">
        <f>1/(1+10^(((Games[[#This Row],[OppPreGmRate]]+IF(Games[[#This Row],[HomeAway]]="A",HCA,0)+Games[[#This Row],[OppRestAdj]])-(Games[[#This Row],[PreGmRate]]+IF(Games[[#This Row],[HomeAway]]="H",HCA,0)+Games[[#This Row],[RestAdj]]))/400))</f>
        <v>0.64999128582286947</v>
      </c>
      <c r="R443" s="1">
        <v>69</v>
      </c>
      <c r="S443" s="1">
        <v>75</v>
      </c>
      <c r="T443" s="1">
        <v>0</v>
      </c>
      <c r="U443" s="1">
        <f>Games[[#This Row],[PointsFor]]-Games[[#This Row],[PointsAgainst]]</f>
        <v>-6</v>
      </c>
      <c r="V443" s="1">
        <f>IF(Games[[#This Row],[MOV]]&gt;0,1,IF(Games[[#This Row],[MOV]]=0,0.5,0))</f>
        <v>0</v>
      </c>
      <c r="W443" s="4">
        <f>((ABS(Games[[#This Row],[MOV]])+5)^0.6)/(12+0.01*(ABS(Games[[#This Row],[PreGmRate]]-Games[[#This Row],[OppPreGmRate]])))*IF(Games[[#This Row],[OT]]=1,0.9,1)</f>
        <v>0.34881910711214476</v>
      </c>
      <c r="X443" s="7" cm="1">
        <f t="array" ref="X4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3" s="9">
        <f>MAX(kmin, kmax - 0.15 * MIN(Games[[#This Row],[GamesPlayed]], 82))</f>
        <v>70</v>
      </c>
      <c r="Z443" s="4">
        <f>Games[[#This Row],[K]]*Games[[#This Row],[POMult]]</f>
        <v>94.5</v>
      </c>
      <c r="AA443" s="4">
        <f>(Games[[#This Row],[Keff]]*Games[[#This Row],[MOVMult]])*(Games[[#This Row],[Result]]-Games[[#This Row],[ExpectedWin%]])</f>
        <v>-21.425926405408077</v>
      </c>
      <c r="AB443" s="4">
        <f>Games[[#This Row],[PreGmRate]]+Games[[#This Row],[RatingChange]]</f>
        <v>1576.6980046432059</v>
      </c>
      <c r="AC443" s="2">
        <f>IF(Games[[#This Row],[Type]]="R",IF(Games[[#This Row],[Result]]&gt;0.5,1,0),0)</f>
        <v>0</v>
      </c>
      <c r="AD443" s="2">
        <f>IF(Games[[#This Row],[Type]]="R",IF(Games[[#This Row],[Result]]&lt;0.5,1,0),0)</f>
        <v>0</v>
      </c>
      <c r="AE443" s="2">
        <f>IF(AND(Games[[#This Row],[Type]]="P",Games[[#This Row],[Round]]=1),IF(Games[[#This Row],[Result]]&gt;0.5,1,0),0)</f>
        <v>0</v>
      </c>
      <c r="AF443" s="2">
        <f>IF(AND(Games[[#This Row],[Type]]="P",Games[[#This Row],[Round]]=1),IF(Games[[#This Row],[Result]]&lt;0.5,1,0),0)</f>
        <v>0</v>
      </c>
      <c r="AG443" s="2">
        <f>IF(AND(Games[[#This Row],[Type]]="P",Games[[#This Row],[Round]]=2),IF(Games[[#This Row],[Result]]&gt;0.5,1,0),0)</f>
        <v>0</v>
      </c>
      <c r="AH443" s="2">
        <f>IF(AND(Games[[#This Row],[Type]]="P",Games[[#This Row],[Round]]=2),IF(Games[[#This Row],[Result]]&lt;0.5,1,0),0)</f>
        <v>0</v>
      </c>
      <c r="AI443" s="2">
        <f>IF(AND(Games[[#This Row],[Type]]="P",Games[[#This Row],[Round]]=3),IF(Games[[#This Row],[Result]]&gt;0.5,1,0),0)</f>
        <v>0</v>
      </c>
      <c r="AJ443" s="2">
        <f>IF(AND(Games[[#This Row],[Type]]="P",Games[[#This Row],[Round]]=3),IF(Games[[#This Row],[Result]]&lt;0.5,1,0),0)</f>
        <v>1</v>
      </c>
      <c r="AK443" s="2">
        <f>IF(AND(Games[[#This Row],[Type]]="P",Games[[#This Row],[Round]]=4),IF(Games[[#This Row],[Result]]&gt;0.5,1,0),0)</f>
        <v>0</v>
      </c>
      <c r="AL443" s="2">
        <f>IF(AND(Games[[#This Row],[Type]]="P",Games[[#This Row],[Round]]=4),IF(Games[[#This Row],[Result]]&lt;0.5,1,0),0)</f>
        <v>0</v>
      </c>
    </row>
    <row r="444" spans="1:38" x14ac:dyDescent="0.35">
      <c r="A444" s="10">
        <v>42283</v>
      </c>
      <c r="B444" s="2">
        <v>2015</v>
      </c>
      <c r="C444" s="2">
        <f>COUNTIFS(Games[Team],Games[[#This Row],[Team]],Games[Season],Games[[#This Row],[Season]],Games[Date],"&lt;=" &amp; Games[[#This Row],[Date]])</f>
        <v>42</v>
      </c>
      <c r="D444" s="2" t="s">
        <v>87</v>
      </c>
      <c r="E444" s="2">
        <v>3</v>
      </c>
      <c r="F444" s="1" t="s">
        <v>69</v>
      </c>
      <c r="G444" s="1" t="s">
        <v>67</v>
      </c>
      <c r="H444" s="1" t="s">
        <v>85</v>
      </c>
      <c r="I444" s="2" cm="1">
        <f t="array" ref="I4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4" s="2" cm="1">
        <f t="array" ref="J4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4" s="2">
        <f>Games[[#This Row],[DaysOff]]-Games[[#This Row],[OppDaysOff]]</f>
        <v>0</v>
      </c>
      <c r="L444" s="2">
        <f>Games[[#This Row],[OppDaysOff]]-Games[[#This Row],[DaysOff]]</f>
        <v>0</v>
      </c>
      <c r="M444" s="16">
        <f>MAX(-16, MIN(16, Games[[#This Row],[RestDiff]]*8))</f>
        <v>0</v>
      </c>
      <c r="N444" s="16">
        <f>MAX(-16, MIN(16, Games[[#This Row],[OppRestDiff]]*8))</f>
        <v>0</v>
      </c>
      <c r="O444" s="4" cm="1">
        <f t="array" ref="O4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1627.9724738987338</v>
      </c>
      <c r="P444" s="4" cm="1">
        <f t="array" ref="P4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1576.6980046432059</v>
      </c>
      <c r="Q444" s="4">
        <f>1/(1+10^(((Games[[#This Row],[OppPreGmRate]]+IF(Games[[#This Row],[HomeAway]]="A",HCA,0)+Games[[#This Row],[OppRestAdj]])-(Games[[#This Row],[PreGmRate]]+IF(Games[[#This Row],[HomeAway]]="H",HCA,0)+Games[[#This Row],[RestAdj]]))/400))</f>
        <v>0.4530429620580953</v>
      </c>
      <c r="R444" s="1">
        <v>71</v>
      </c>
      <c r="S444" s="1">
        <v>77</v>
      </c>
      <c r="T444" s="1">
        <v>0</v>
      </c>
      <c r="U444" s="16">
        <f>Games[[#This Row],[PointsFor]]-Games[[#This Row],[PointsAgainst]]</f>
        <v>-6</v>
      </c>
      <c r="V444" s="16">
        <f>IF(Games[[#This Row],[MOV]]&gt;0,1,IF(Games[[#This Row],[MOV]]=0,0.5,0))</f>
        <v>0</v>
      </c>
      <c r="W444" s="4">
        <f>((ABS(Games[[#This Row],[MOV]])+5)^0.6)/(12+0.01*(ABS(Games[[#This Row],[PreGmRate]]-Games[[#This Row],[OppPreGmRate]])))*IF(Games[[#This Row],[OT]]=1,0.9,1)</f>
        <v>0.33688604991676385</v>
      </c>
      <c r="X444" s="7" cm="1">
        <f t="array" ref="X4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4" s="9">
        <f>MAX(kmin, kmax - 0.15 * MIN(Games[[#This Row],[GamesPlayed]], 82))</f>
        <v>69.7</v>
      </c>
      <c r="Z444" s="4">
        <f>Games[[#This Row],[K]]*Games[[#This Row],[POMult]]</f>
        <v>94.095000000000013</v>
      </c>
      <c r="AA444" s="4">
        <f>(Games[[#This Row],[Keff]]*Games[[#This Row],[MOVMult]])*(Games[[#This Row],[Result]]-Games[[#This Row],[ExpectedWin%]])</f>
        <v>-14.361141535575538</v>
      </c>
      <c r="AB444" s="4">
        <f>Games[[#This Row],[PreGmRate]]+Games[[#This Row],[RatingChange]]</f>
        <v>1613.6113323631582</v>
      </c>
      <c r="AC444" s="2">
        <f>IF(Games[[#This Row],[Type]]="R",IF(Games[[#This Row],[Result]]&gt;0.5,1,0),0)</f>
        <v>0</v>
      </c>
      <c r="AD444" s="2">
        <f>IF(Games[[#This Row],[Type]]="R",IF(Games[[#This Row],[Result]]&lt;0.5,1,0),0)</f>
        <v>0</v>
      </c>
      <c r="AE444" s="2">
        <f>IF(AND(Games[[#This Row],[Type]]="P",Games[[#This Row],[Round]]=1),IF(Games[[#This Row],[Result]]&gt;0.5,1,0),0)</f>
        <v>0</v>
      </c>
      <c r="AF444" s="2">
        <f>IF(AND(Games[[#This Row],[Type]]="P",Games[[#This Row],[Round]]=1),IF(Games[[#This Row],[Result]]&lt;0.5,1,0),0)</f>
        <v>0</v>
      </c>
      <c r="AG444" s="2">
        <f>IF(AND(Games[[#This Row],[Type]]="P",Games[[#This Row],[Round]]=2),IF(Games[[#This Row],[Result]]&gt;0.5,1,0),0)</f>
        <v>0</v>
      </c>
      <c r="AH444" s="2">
        <f>IF(AND(Games[[#This Row],[Type]]="P",Games[[#This Row],[Round]]=2),IF(Games[[#This Row],[Result]]&lt;0.5,1,0),0)</f>
        <v>0</v>
      </c>
      <c r="AI444" s="2">
        <f>IF(AND(Games[[#This Row],[Type]]="P",Games[[#This Row],[Round]]=3),IF(Games[[#This Row],[Result]]&gt;0.5,1,0),0)</f>
        <v>0</v>
      </c>
      <c r="AJ444" s="2">
        <f>IF(AND(Games[[#This Row],[Type]]="P",Games[[#This Row],[Round]]=3),IF(Games[[#This Row],[Result]]&lt;0.5,1,0),0)</f>
        <v>1</v>
      </c>
      <c r="AK444" s="2">
        <f>IF(AND(Games[[#This Row],[Type]]="P",Games[[#This Row],[Round]]=4),IF(Games[[#This Row],[Result]]&gt;0.5,1,0),0)</f>
        <v>0</v>
      </c>
      <c r="AL444" s="2">
        <f>IF(AND(Games[[#This Row],[Type]]="P",Games[[#This Row],[Round]]=4),IF(Games[[#This Row],[Result]]&lt;0.5,1,0),0)</f>
        <v>0</v>
      </c>
    </row>
    <row r="445" spans="1:38" x14ac:dyDescent="0.35">
      <c r="A445" s="10">
        <v>42283</v>
      </c>
      <c r="B445" s="2">
        <v>2015</v>
      </c>
      <c r="C445" s="2">
        <f>COUNTIFS(Games[Team],Games[[#This Row],[Team]],Games[Season],Games[[#This Row],[Season]],Games[Date],"&lt;=" &amp; Games[[#This Row],[Date]])</f>
        <v>41</v>
      </c>
      <c r="D445" s="2" t="s">
        <v>87</v>
      </c>
      <c r="E445" s="2">
        <v>3</v>
      </c>
      <c r="F445" s="1" t="s">
        <v>67</v>
      </c>
      <c r="G445" s="1" t="s">
        <v>69</v>
      </c>
      <c r="H445" s="1" t="s">
        <v>86</v>
      </c>
      <c r="I445" s="2" cm="1">
        <f t="array" ref="I4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5" s="2" cm="1">
        <f t="array" ref="J4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5" s="2">
        <f>Games[[#This Row],[DaysOff]]-Games[[#This Row],[OppDaysOff]]</f>
        <v>0</v>
      </c>
      <c r="L445" s="2">
        <f>Games[[#This Row],[OppDaysOff]]-Games[[#This Row],[DaysOff]]</f>
        <v>0</v>
      </c>
      <c r="M445" s="16">
        <f>MAX(-16, MIN(16, Games[[#This Row],[RestDiff]]*8))</f>
        <v>0</v>
      </c>
      <c r="N445" s="16">
        <f>MAX(-16, MIN(16, Games[[#This Row],[OppRestDiff]]*8))</f>
        <v>0</v>
      </c>
      <c r="O445" s="4" cm="1">
        <f t="array" ref="O4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1576.6980046432059</v>
      </c>
      <c r="P445" s="4" cm="1">
        <f t="array" ref="P4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1627.9724738987338</v>
      </c>
      <c r="Q445" s="4">
        <f>1/(1+10^(((Games[[#This Row],[OppPreGmRate]]+IF(Games[[#This Row],[HomeAway]]="A",HCA,0)+Games[[#This Row],[OppRestAdj]])-(Games[[#This Row],[PreGmRate]]+IF(Games[[#This Row],[HomeAway]]="H",HCA,0)+Games[[#This Row],[RestAdj]]))/400))</f>
        <v>0.54695703794190476</v>
      </c>
      <c r="R445" s="1">
        <v>77</v>
      </c>
      <c r="S445" s="1">
        <v>71</v>
      </c>
      <c r="T445" s="1">
        <v>0</v>
      </c>
      <c r="U445" s="16">
        <f>Games[[#This Row],[PointsFor]]-Games[[#This Row],[PointsAgainst]]</f>
        <v>6</v>
      </c>
      <c r="V445" s="16">
        <f>IF(Games[[#This Row],[MOV]]&gt;0,1,IF(Games[[#This Row],[MOV]]=0,0.5,0))</f>
        <v>1</v>
      </c>
      <c r="W445" s="4">
        <f>((ABS(Games[[#This Row],[MOV]])+5)^0.6)/(12+0.01*(ABS(Games[[#This Row],[PreGmRate]]-Games[[#This Row],[OppPreGmRate]])))*IF(Games[[#This Row],[OT]]=1,0.9,1)</f>
        <v>0.33688604991676385</v>
      </c>
      <c r="X445" s="7" cm="1">
        <f t="array" ref="X4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5" s="9">
        <f>MAX(kmin, kmax - 0.15 * MIN(Games[[#This Row],[GamesPlayed]], 82))</f>
        <v>69.849999999999994</v>
      </c>
      <c r="Z445" s="4">
        <f>Games[[#This Row],[K]]*Games[[#This Row],[POMult]]</f>
        <v>94.297499999999999</v>
      </c>
      <c r="AA445" s="4">
        <f>(Games[[#This Row],[Keff]]*Games[[#This Row],[MOVMult]])*(Games[[#This Row],[Result]]-Games[[#This Row],[ExpectedWin%]])</f>
        <v>14.392047865996428</v>
      </c>
      <c r="AB445" s="4">
        <f>Games[[#This Row],[PreGmRate]]+Games[[#This Row],[RatingChange]]</f>
        <v>1591.0900525092022</v>
      </c>
      <c r="AC445" s="2">
        <f>IF(Games[[#This Row],[Type]]="R",IF(Games[[#This Row],[Result]]&gt;0.5,1,0),0)</f>
        <v>0</v>
      </c>
      <c r="AD445" s="2">
        <f>IF(Games[[#This Row],[Type]]="R",IF(Games[[#This Row],[Result]]&lt;0.5,1,0),0)</f>
        <v>0</v>
      </c>
      <c r="AE445" s="2">
        <f>IF(AND(Games[[#This Row],[Type]]="P",Games[[#This Row],[Round]]=1),IF(Games[[#This Row],[Result]]&gt;0.5,1,0),0)</f>
        <v>0</v>
      </c>
      <c r="AF445" s="2">
        <f>IF(AND(Games[[#This Row],[Type]]="P",Games[[#This Row],[Round]]=1),IF(Games[[#This Row],[Result]]&lt;0.5,1,0),0)</f>
        <v>0</v>
      </c>
      <c r="AG445" s="2">
        <f>IF(AND(Games[[#This Row],[Type]]="P",Games[[#This Row],[Round]]=2),IF(Games[[#This Row],[Result]]&gt;0.5,1,0),0)</f>
        <v>0</v>
      </c>
      <c r="AH445" s="2">
        <f>IF(AND(Games[[#This Row],[Type]]="P",Games[[#This Row],[Round]]=2),IF(Games[[#This Row],[Result]]&lt;0.5,1,0),0)</f>
        <v>0</v>
      </c>
      <c r="AI445" s="2">
        <f>IF(AND(Games[[#This Row],[Type]]="P",Games[[#This Row],[Round]]=3),IF(Games[[#This Row],[Result]]&gt;0.5,1,0),0)</f>
        <v>1</v>
      </c>
      <c r="AJ445" s="2">
        <f>IF(AND(Games[[#This Row],[Type]]="P",Games[[#This Row],[Round]]=3),IF(Games[[#This Row],[Result]]&lt;0.5,1,0),0)</f>
        <v>0</v>
      </c>
      <c r="AK445" s="2">
        <f>IF(AND(Games[[#This Row],[Type]]="P",Games[[#This Row],[Round]]=4),IF(Games[[#This Row],[Result]]&gt;0.5,1,0),0)</f>
        <v>0</v>
      </c>
      <c r="AL445" s="2">
        <f>IF(AND(Games[[#This Row],[Type]]="P",Games[[#This Row],[Round]]=4),IF(Games[[#This Row],[Result]]&lt;0.5,1,0),0)</f>
        <v>0</v>
      </c>
    </row>
    <row r="446" spans="1:38" x14ac:dyDescent="0.35">
      <c r="A446" s="10">
        <v>42286</v>
      </c>
      <c r="B446" s="2">
        <v>2015</v>
      </c>
      <c r="C446" s="2">
        <f>COUNTIFS(Games[Team],Games[[#This Row],[Team]],Games[Season],Games[[#This Row],[Season]],Games[Date],"&lt;=" &amp; Games[[#This Row],[Date]])</f>
        <v>42</v>
      </c>
      <c r="D446" s="2" t="s">
        <v>87</v>
      </c>
      <c r="E446" s="2">
        <v>3</v>
      </c>
      <c r="F446" s="1" t="s">
        <v>67</v>
      </c>
      <c r="G446" s="1" t="s">
        <v>69</v>
      </c>
      <c r="H446" s="1" t="s">
        <v>85</v>
      </c>
      <c r="I446" s="2" cm="1">
        <f t="array" ref="I4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6" s="2" cm="1">
        <f t="array" ref="J4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6" s="2">
        <f>Games[[#This Row],[DaysOff]]-Games[[#This Row],[OppDaysOff]]</f>
        <v>0</v>
      </c>
      <c r="L446" s="2">
        <f>Games[[#This Row],[OppDaysOff]]-Games[[#This Row],[DaysOff]]</f>
        <v>0</v>
      </c>
      <c r="M446" s="16">
        <f>MAX(-16, MIN(16, Games[[#This Row],[RestDiff]]*8))</f>
        <v>0</v>
      </c>
      <c r="N446" s="16">
        <f>MAX(-16, MIN(16, Games[[#This Row],[OppRestDiff]]*8))</f>
        <v>0</v>
      </c>
      <c r="O446" s="4" cm="1">
        <f t="array" ref="O4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1591.0900525092022</v>
      </c>
      <c r="P446" s="4" cm="1">
        <f t="array" ref="P4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1613.6113323631582</v>
      </c>
      <c r="Q446" s="4">
        <f>1/(1+10^(((Games[[#This Row],[OppPreGmRate]]+IF(Games[[#This Row],[HomeAway]]="A",HCA,0)+Games[[#This Row],[OppRestAdj]])-(Games[[#This Row],[PreGmRate]]+IF(Games[[#This Row],[HomeAway]]="H",HCA,0)+Games[[#This Row],[RestAdj]]))/400))</f>
        <v>0.35133282191820842</v>
      </c>
      <c r="R446" s="1">
        <v>80</v>
      </c>
      <c r="S446" s="1">
        <v>77</v>
      </c>
      <c r="T446" s="1">
        <v>0</v>
      </c>
      <c r="U446" s="16">
        <f>Games[[#This Row],[PointsFor]]-Games[[#This Row],[PointsAgainst]]</f>
        <v>3</v>
      </c>
      <c r="V446" s="16">
        <f>IF(Games[[#This Row],[MOV]]&gt;0,1,IF(Games[[#This Row],[MOV]]=0,0.5,0))</f>
        <v>1</v>
      </c>
      <c r="W446" s="4">
        <f>((ABS(Games[[#This Row],[MOV]])+5)^0.6)/(12+0.01*(ABS(Games[[#This Row],[PreGmRate]]-Games[[#This Row],[OppPreGmRate]])))*IF(Games[[#This Row],[OT]]=1,0.9,1)</f>
        <v>0.28483776197339361</v>
      </c>
      <c r="X446" s="7" cm="1">
        <f t="array" ref="X4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6" s="9">
        <f>MAX(kmin, kmax - 0.15 * MIN(Games[[#This Row],[GamesPlayed]], 82))</f>
        <v>69.7</v>
      </c>
      <c r="Z446" s="4">
        <f>Games[[#This Row],[K]]*Games[[#This Row],[POMult]]</f>
        <v>94.095000000000013</v>
      </c>
      <c r="AA446" s="4">
        <f>(Games[[#This Row],[Keff]]*Games[[#This Row],[MOVMult]])*(Games[[#This Row],[Result]]-Games[[#This Row],[ExpectedWin%]])</f>
        <v>17.385453949609634</v>
      </c>
      <c r="AB446" s="4">
        <f>Games[[#This Row],[PreGmRate]]+Games[[#This Row],[RatingChange]]</f>
        <v>1608.4755064588119</v>
      </c>
      <c r="AC446" s="2">
        <f>IF(Games[[#This Row],[Type]]="R",IF(Games[[#This Row],[Result]]&gt;0.5,1,0),0)</f>
        <v>0</v>
      </c>
      <c r="AD446" s="2">
        <f>IF(Games[[#This Row],[Type]]="R",IF(Games[[#This Row],[Result]]&lt;0.5,1,0),0)</f>
        <v>0</v>
      </c>
      <c r="AE446" s="2">
        <f>IF(AND(Games[[#This Row],[Type]]="P",Games[[#This Row],[Round]]=1),IF(Games[[#This Row],[Result]]&gt;0.5,1,0),0)</f>
        <v>0</v>
      </c>
      <c r="AF446" s="2">
        <f>IF(AND(Games[[#This Row],[Type]]="P",Games[[#This Row],[Round]]=1),IF(Games[[#This Row],[Result]]&lt;0.5,1,0),0)</f>
        <v>0</v>
      </c>
      <c r="AG446" s="2">
        <f>IF(AND(Games[[#This Row],[Type]]="P",Games[[#This Row],[Round]]=2),IF(Games[[#This Row],[Result]]&gt;0.5,1,0),0)</f>
        <v>0</v>
      </c>
      <c r="AH446" s="2">
        <f>IF(AND(Games[[#This Row],[Type]]="P",Games[[#This Row],[Round]]=2),IF(Games[[#This Row],[Result]]&lt;0.5,1,0),0)</f>
        <v>0</v>
      </c>
      <c r="AI446" s="2">
        <f>IF(AND(Games[[#This Row],[Type]]="P",Games[[#This Row],[Round]]=3),IF(Games[[#This Row],[Result]]&gt;0.5,1,0),0)</f>
        <v>1</v>
      </c>
      <c r="AJ446" s="2">
        <f>IF(AND(Games[[#This Row],[Type]]="P",Games[[#This Row],[Round]]=3),IF(Games[[#This Row],[Result]]&lt;0.5,1,0),0)</f>
        <v>0</v>
      </c>
      <c r="AK446" s="2">
        <f>IF(AND(Games[[#This Row],[Type]]="P",Games[[#This Row],[Round]]=4),IF(Games[[#This Row],[Result]]&gt;0.5,1,0),0)</f>
        <v>0</v>
      </c>
      <c r="AL446" s="2">
        <f>IF(AND(Games[[#This Row],[Type]]="P",Games[[#This Row],[Round]]=4),IF(Games[[#This Row],[Result]]&lt;0.5,1,0),0)</f>
        <v>0</v>
      </c>
    </row>
    <row r="447" spans="1:38" x14ac:dyDescent="0.35">
      <c r="A447" s="10">
        <v>42286</v>
      </c>
      <c r="B447" s="2">
        <v>2015</v>
      </c>
      <c r="C447" s="2">
        <f>COUNTIFS(Games[Team],Games[[#This Row],[Team]],Games[Season],Games[[#This Row],[Season]],Games[Date],"&lt;=" &amp; Games[[#This Row],[Date]])</f>
        <v>43</v>
      </c>
      <c r="D447" s="2" t="s">
        <v>87</v>
      </c>
      <c r="E447" s="2">
        <v>3</v>
      </c>
      <c r="F447" s="1" t="s">
        <v>69</v>
      </c>
      <c r="G447" s="1" t="s">
        <v>67</v>
      </c>
      <c r="H447" s="1" t="s">
        <v>86</v>
      </c>
      <c r="I447" s="2" cm="1">
        <f t="array" ref="I4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7" s="2" cm="1">
        <f t="array" ref="J4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7" s="2">
        <f>Games[[#This Row],[DaysOff]]-Games[[#This Row],[OppDaysOff]]</f>
        <v>0</v>
      </c>
      <c r="L447" s="2">
        <f>Games[[#This Row],[OppDaysOff]]-Games[[#This Row],[DaysOff]]</f>
        <v>0</v>
      </c>
      <c r="M447" s="16">
        <f>MAX(-16, MIN(16, Games[[#This Row],[RestDiff]]*8))</f>
        <v>0</v>
      </c>
      <c r="N447" s="16">
        <f>MAX(-16, MIN(16, Games[[#This Row],[OppRestDiff]]*8))</f>
        <v>0</v>
      </c>
      <c r="O447" s="4" cm="1">
        <f t="array" ref="O4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1613.6113323631582</v>
      </c>
      <c r="P447" s="4" cm="1">
        <f t="array" ref="P4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1591.0900525092022</v>
      </c>
      <c r="Q447" s="4">
        <f>1/(1+10^(((Games[[#This Row],[OppPreGmRate]]+IF(Games[[#This Row],[HomeAway]]="A",HCA,0)+Games[[#This Row],[OppRestAdj]])-(Games[[#This Row],[PreGmRate]]+IF(Games[[#This Row],[HomeAway]]="H",HCA,0)+Games[[#This Row],[RestAdj]]))/400))</f>
        <v>0.64866717808179164</v>
      </c>
      <c r="R447" s="1">
        <v>77</v>
      </c>
      <c r="S447" s="1">
        <v>80</v>
      </c>
      <c r="T447" s="1">
        <v>0</v>
      </c>
      <c r="U447" s="16">
        <f>Games[[#This Row],[PointsFor]]-Games[[#This Row],[PointsAgainst]]</f>
        <v>-3</v>
      </c>
      <c r="V447" s="16">
        <f>IF(Games[[#This Row],[MOV]]&gt;0,1,IF(Games[[#This Row],[MOV]]=0,0.5,0))</f>
        <v>0</v>
      </c>
      <c r="W447" s="4">
        <f>((ABS(Games[[#This Row],[MOV]])+5)^0.6)/(12+0.01*(ABS(Games[[#This Row],[PreGmRate]]-Games[[#This Row],[OppPreGmRate]])))*IF(Games[[#This Row],[OT]]=1,0.9,1)</f>
        <v>0.28483776197339361</v>
      </c>
      <c r="X447" s="7" cm="1">
        <f t="array" ref="X4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7" s="9">
        <f>MAX(kmin, kmax - 0.15 * MIN(Games[[#This Row],[GamesPlayed]], 82))</f>
        <v>69.55</v>
      </c>
      <c r="Z447" s="4">
        <f>Games[[#This Row],[K]]*Games[[#This Row],[POMult]]</f>
        <v>93.892499999999998</v>
      </c>
      <c r="AA447" s="4">
        <f>(Games[[#This Row],[Keff]]*Games[[#This Row],[MOVMult]])*(Games[[#This Row],[Result]]-Games[[#This Row],[ExpectedWin%]])</f>
        <v>-17.348039055887373</v>
      </c>
      <c r="AB447" s="4">
        <f>Games[[#This Row],[PreGmRate]]+Games[[#This Row],[RatingChange]]</f>
        <v>1596.2632933072709</v>
      </c>
      <c r="AC447" s="2">
        <f>IF(Games[[#This Row],[Type]]="R",IF(Games[[#This Row],[Result]]&gt;0.5,1,0),0)</f>
        <v>0</v>
      </c>
      <c r="AD447" s="2">
        <f>IF(Games[[#This Row],[Type]]="R",IF(Games[[#This Row],[Result]]&lt;0.5,1,0),0)</f>
        <v>0</v>
      </c>
      <c r="AE447" s="2">
        <f>IF(AND(Games[[#This Row],[Type]]="P",Games[[#This Row],[Round]]=1),IF(Games[[#This Row],[Result]]&gt;0.5,1,0),0)</f>
        <v>0</v>
      </c>
      <c r="AF447" s="2">
        <f>IF(AND(Games[[#This Row],[Type]]="P",Games[[#This Row],[Round]]=1),IF(Games[[#This Row],[Result]]&lt;0.5,1,0),0)</f>
        <v>0</v>
      </c>
      <c r="AG447" s="2">
        <f>IF(AND(Games[[#This Row],[Type]]="P",Games[[#This Row],[Round]]=2),IF(Games[[#This Row],[Result]]&gt;0.5,1,0),0)</f>
        <v>0</v>
      </c>
      <c r="AH447" s="2">
        <f>IF(AND(Games[[#This Row],[Type]]="P",Games[[#This Row],[Round]]=2),IF(Games[[#This Row],[Result]]&lt;0.5,1,0),0)</f>
        <v>0</v>
      </c>
      <c r="AI447" s="2">
        <f>IF(AND(Games[[#This Row],[Type]]="P",Games[[#This Row],[Round]]=3),IF(Games[[#This Row],[Result]]&gt;0.5,1,0),0)</f>
        <v>0</v>
      </c>
      <c r="AJ447" s="2">
        <f>IF(AND(Games[[#This Row],[Type]]="P",Games[[#This Row],[Round]]=3),IF(Games[[#This Row],[Result]]&lt;0.5,1,0),0)</f>
        <v>1</v>
      </c>
      <c r="AK447" s="2">
        <f>IF(AND(Games[[#This Row],[Type]]="P",Games[[#This Row],[Round]]=4),IF(Games[[#This Row],[Result]]&gt;0.5,1,0),0)</f>
        <v>0</v>
      </c>
      <c r="AL447" s="2">
        <f>IF(AND(Games[[#This Row],[Type]]="P",Games[[#This Row],[Round]]=4),IF(Games[[#This Row],[Result]]&lt;0.5,1,0),0)</f>
        <v>0</v>
      </c>
    </row>
    <row r="448" spans="1:38" x14ac:dyDescent="0.35">
      <c r="A448" s="10">
        <v>42288</v>
      </c>
      <c r="B448" s="2">
        <v>2015</v>
      </c>
      <c r="C448" s="2">
        <f>COUNTIFS(Games[Team],Games[[#This Row],[Team]],Games[Season],Games[[#This Row],[Season]],Games[Date],"&lt;=" &amp; Games[[#This Row],[Date]])</f>
        <v>43</v>
      </c>
      <c r="D448" s="2" t="s">
        <v>87</v>
      </c>
      <c r="E448" s="2">
        <v>3</v>
      </c>
      <c r="F448" s="1" t="s">
        <v>67</v>
      </c>
      <c r="G448" s="1" t="s">
        <v>69</v>
      </c>
      <c r="H448" s="1" t="s">
        <v>85</v>
      </c>
      <c r="I448" s="2" cm="1">
        <f t="array" ref="I4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8" s="2" cm="1">
        <f t="array" ref="J4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8" s="2">
        <f>Games[[#This Row],[DaysOff]]-Games[[#This Row],[OppDaysOff]]</f>
        <v>0</v>
      </c>
      <c r="L448" s="2">
        <f>Games[[#This Row],[OppDaysOff]]-Games[[#This Row],[DaysOff]]</f>
        <v>0</v>
      </c>
      <c r="M448" s="16">
        <f>MAX(-16, MIN(16, Games[[#This Row],[RestDiff]]*8))</f>
        <v>0</v>
      </c>
      <c r="N448" s="16">
        <f>MAX(-16, MIN(16, Games[[#This Row],[OppRestDiff]]*8))</f>
        <v>0</v>
      </c>
      <c r="O448" s="4" cm="1">
        <f t="array" ref="O4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1608.4755064588119</v>
      </c>
      <c r="P448" s="4" cm="1">
        <f t="array" ref="P4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1596.2632933072709</v>
      </c>
      <c r="Q448" s="4">
        <f>1/(1+10^(((Games[[#This Row],[OppPreGmRate]]+IF(Games[[#This Row],[HomeAway]]="A",HCA,0)+Games[[#This Row],[OppRestAdj]])-(Games[[#This Row],[PreGmRate]]+IF(Games[[#This Row],[HomeAway]]="H",HCA,0)+Games[[#This Row],[RestAdj]]))/400))</f>
        <v>0.398134593665109</v>
      </c>
      <c r="R448" s="1">
        <v>69</v>
      </c>
      <c r="S448" s="1">
        <v>75</v>
      </c>
      <c r="T448" s="1">
        <v>0</v>
      </c>
      <c r="U448" s="16">
        <f>Games[[#This Row],[PointsFor]]-Games[[#This Row],[PointsAgainst]]</f>
        <v>-6</v>
      </c>
      <c r="V448" s="16">
        <f>IF(Games[[#This Row],[MOV]]&gt;0,1,IF(Games[[#This Row],[MOV]]=0,0.5,0))</f>
        <v>0</v>
      </c>
      <c r="W448" s="4">
        <f>((ABS(Games[[#This Row],[MOV]])+5)^0.6)/(12+0.01*(ABS(Games[[#This Row],[PreGmRate]]-Games[[#This Row],[OppPreGmRate]])))*IF(Games[[#This Row],[OT]]=1,0.9,1)</f>
        <v>0.34774184646537043</v>
      </c>
      <c r="X448" s="7" cm="1">
        <f t="array" ref="X4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8" s="9">
        <f>MAX(kmin, kmax - 0.15 * MIN(Games[[#This Row],[GamesPlayed]], 82))</f>
        <v>69.55</v>
      </c>
      <c r="Z448" s="4">
        <f>Games[[#This Row],[K]]*Games[[#This Row],[POMult]]</f>
        <v>93.892499999999998</v>
      </c>
      <c r="AA448" s="4">
        <f>(Games[[#This Row],[Keff]]*Games[[#This Row],[MOVMult]])*(Games[[#This Row],[Result]]-Games[[#This Row],[ExpectedWin%]])</f>
        <v>-12.999234355512572</v>
      </c>
      <c r="AB448" s="4">
        <f>Games[[#This Row],[PreGmRate]]+Games[[#This Row],[RatingChange]]</f>
        <v>1595.4762721032994</v>
      </c>
      <c r="AC448" s="2">
        <f>IF(Games[[#This Row],[Type]]="R",IF(Games[[#This Row],[Result]]&gt;0.5,1,0),0)</f>
        <v>0</v>
      </c>
      <c r="AD448" s="2">
        <f>IF(Games[[#This Row],[Type]]="R",IF(Games[[#This Row],[Result]]&lt;0.5,1,0),0)</f>
        <v>0</v>
      </c>
      <c r="AE448" s="2">
        <f>IF(AND(Games[[#This Row],[Type]]="P",Games[[#This Row],[Round]]=1),IF(Games[[#This Row],[Result]]&gt;0.5,1,0),0)</f>
        <v>0</v>
      </c>
      <c r="AF448" s="2">
        <f>IF(AND(Games[[#This Row],[Type]]="P",Games[[#This Row],[Round]]=1),IF(Games[[#This Row],[Result]]&lt;0.5,1,0),0)</f>
        <v>0</v>
      </c>
      <c r="AG448" s="2">
        <f>IF(AND(Games[[#This Row],[Type]]="P",Games[[#This Row],[Round]]=2),IF(Games[[#This Row],[Result]]&gt;0.5,1,0),0)</f>
        <v>0</v>
      </c>
      <c r="AH448" s="2">
        <f>IF(AND(Games[[#This Row],[Type]]="P",Games[[#This Row],[Round]]=2),IF(Games[[#This Row],[Result]]&lt;0.5,1,0),0)</f>
        <v>0</v>
      </c>
      <c r="AI448" s="2">
        <f>IF(AND(Games[[#This Row],[Type]]="P",Games[[#This Row],[Round]]=3),IF(Games[[#This Row],[Result]]&gt;0.5,1,0),0)</f>
        <v>0</v>
      </c>
      <c r="AJ448" s="2">
        <f>IF(AND(Games[[#This Row],[Type]]="P",Games[[#This Row],[Round]]=3),IF(Games[[#This Row],[Result]]&lt;0.5,1,0),0)</f>
        <v>1</v>
      </c>
      <c r="AK448" s="2">
        <f>IF(AND(Games[[#This Row],[Type]]="P",Games[[#This Row],[Round]]=4),IF(Games[[#This Row],[Result]]&gt;0.5,1,0),0)</f>
        <v>0</v>
      </c>
      <c r="AL448" s="2">
        <f>IF(AND(Games[[#This Row],[Type]]="P",Games[[#This Row],[Round]]=4),IF(Games[[#This Row],[Result]]&lt;0.5,1,0),0)</f>
        <v>0</v>
      </c>
    </row>
    <row r="449" spans="1:38" x14ac:dyDescent="0.35">
      <c r="A449" s="10">
        <v>42288</v>
      </c>
      <c r="B449" s="2">
        <v>2015</v>
      </c>
      <c r="C449" s="2">
        <f>COUNTIFS(Games[Team],Games[[#This Row],[Team]],Games[Season],Games[[#This Row],[Season]],Games[Date],"&lt;=" &amp; Games[[#This Row],[Date]])</f>
        <v>44</v>
      </c>
      <c r="D449" s="2" t="s">
        <v>87</v>
      </c>
      <c r="E449" s="2">
        <v>3</v>
      </c>
      <c r="F449" s="1" t="s">
        <v>69</v>
      </c>
      <c r="G449" s="1" t="s">
        <v>67</v>
      </c>
      <c r="H449" s="1" t="s">
        <v>86</v>
      </c>
      <c r="I449" s="2" cm="1">
        <f t="array" ref="I4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9" s="2" cm="1">
        <f t="array" ref="J4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9" s="2">
        <f>Games[[#This Row],[DaysOff]]-Games[[#This Row],[OppDaysOff]]</f>
        <v>0</v>
      </c>
      <c r="L449" s="2">
        <f>Games[[#This Row],[OppDaysOff]]-Games[[#This Row],[DaysOff]]</f>
        <v>0</v>
      </c>
      <c r="M449" s="16">
        <f>MAX(-16, MIN(16, Games[[#This Row],[RestDiff]]*8))</f>
        <v>0</v>
      </c>
      <c r="N449" s="16">
        <f>MAX(-16, MIN(16, Games[[#This Row],[OppRestDiff]]*8))</f>
        <v>0</v>
      </c>
      <c r="O449" s="4" cm="1">
        <f t="array" ref="O4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1596.2632933072709</v>
      </c>
      <c r="P449" s="4" cm="1">
        <f t="array" ref="P4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1608.4755064588119</v>
      </c>
      <c r="Q449" s="4">
        <f>1/(1+10^(((Games[[#This Row],[OppPreGmRate]]+IF(Games[[#This Row],[HomeAway]]="A",HCA,0)+Games[[#This Row],[OppRestAdj]])-(Games[[#This Row],[PreGmRate]]+IF(Games[[#This Row],[HomeAway]]="H",HCA,0)+Games[[#This Row],[RestAdj]]))/400))</f>
        <v>0.60186540633489105</v>
      </c>
      <c r="R449" s="1">
        <v>75</v>
      </c>
      <c r="S449" s="1">
        <v>69</v>
      </c>
      <c r="T449" s="1">
        <v>0</v>
      </c>
      <c r="U449" s="16">
        <f>Games[[#This Row],[PointsFor]]-Games[[#This Row],[PointsAgainst]]</f>
        <v>6</v>
      </c>
      <c r="V449" s="16">
        <f>IF(Games[[#This Row],[MOV]]&gt;0,1,IF(Games[[#This Row],[MOV]]=0,0.5,0))</f>
        <v>1</v>
      </c>
      <c r="W449" s="4">
        <f>((ABS(Games[[#This Row],[MOV]])+5)^0.6)/(12+0.01*(ABS(Games[[#This Row],[PreGmRate]]-Games[[#This Row],[OppPreGmRate]])))*IF(Games[[#This Row],[OT]]=1,0.9,1)</f>
        <v>0.34774184646537043</v>
      </c>
      <c r="X449" s="7" cm="1">
        <f t="array" ref="X4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9" s="9">
        <f>MAX(kmin, kmax - 0.15 * MIN(Games[[#This Row],[GamesPlayed]], 82))</f>
        <v>69.400000000000006</v>
      </c>
      <c r="Z449" s="4">
        <f>Games[[#This Row],[K]]*Games[[#This Row],[POMult]]</f>
        <v>93.690000000000012</v>
      </c>
      <c r="AA449" s="4">
        <f>(Games[[#This Row],[Keff]]*Games[[#This Row],[MOVMult]])*(Games[[#This Row],[Result]]-Games[[#This Row],[ExpectedWin%]])</f>
        <v>12.971198623617147</v>
      </c>
      <c r="AB449" s="4">
        <f>Games[[#This Row],[PreGmRate]]+Games[[#This Row],[RatingChange]]</f>
        <v>1609.234491930888</v>
      </c>
      <c r="AC449" s="2">
        <f>IF(Games[[#This Row],[Type]]="R",IF(Games[[#This Row],[Result]]&gt;0.5,1,0),0)</f>
        <v>0</v>
      </c>
      <c r="AD449" s="2">
        <f>IF(Games[[#This Row],[Type]]="R",IF(Games[[#This Row],[Result]]&lt;0.5,1,0),0)</f>
        <v>0</v>
      </c>
      <c r="AE449" s="2">
        <f>IF(AND(Games[[#This Row],[Type]]="P",Games[[#This Row],[Round]]=1),IF(Games[[#This Row],[Result]]&gt;0.5,1,0),0)</f>
        <v>0</v>
      </c>
      <c r="AF449" s="2">
        <f>IF(AND(Games[[#This Row],[Type]]="P",Games[[#This Row],[Round]]=1),IF(Games[[#This Row],[Result]]&lt;0.5,1,0),0)</f>
        <v>0</v>
      </c>
      <c r="AG449" s="2">
        <f>IF(AND(Games[[#This Row],[Type]]="P",Games[[#This Row],[Round]]=2),IF(Games[[#This Row],[Result]]&gt;0.5,1,0),0)</f>
        <v>0</v>
      </c>
      <c r="AH449" s="2">
        <f>IF(AND(Games[[#This Row],[Type]]="P",Games[[#This Row],[Round]]=2),IF(Games[[#This Row],[Result]]&lt;0.5,1,0),0)</f>
        <v>0</v>
      </c>
      <c r="AI449" s="2">
        <f>IF(AND(Games[[#This Row],[Type]]="P",Games[[#This Row],[Round]]=3),IF(Games[[#This Row],[Result]]&gt;0.5,1,0),0)</f>
        <v>1</v>
      </c>
      <c r="AJ449" s="2">
        <f>IF(AND(Games[[#This Row],[Type]]="P",Games[[#This Row],[Round]]=3),IF(Games[[#This Row],[Result]]&lt;0.5,1,0),0)</f>
        <v>0</v>
      </c>
      <c r="AK449" s="2">
        <f>IF(AND(Games[[#This Row],[Type]]="P",Games[[#This Row],[Round]]=4),IF(Games[[#This Row],[Result]]&gt;0.5,1,0),0)</f>
        <v>0</v>
      </c>
      <c r="AL449" s="2">
        <f>IF(AND(Games[[#This Row],[Type]]="P",Games[[#This Row],[Round]]=4),IF(Games[[#This Row],[Result]]&lt;0.5,1,0),0)</f>
        <v>0</v>
      </c>
    </row>
    <row r="450" spans="1:38" x14ac:dyDescent="0.35">
      <c r="A450" s="10">
        <v>42291</v>
      </c>
      <c r="B450" s="2">
        <v>2015</v>
      </c>
      <c r="C450" s="2">
        <f>COUNTIFS(Games[Team],Games[[#This Row],[Team]],Games[Season],Games[[#This Row],[Season]],Games[Date],"&lt;=" &amp; Games[[#This Row],[Date]])</f>
        <v>45</v>
      </c>
      <c r="D450" s="2" t="s">
        <v>87</v>
      </c>
      <c r="E450" s="2">
        <v>3</v>
      </c>
      <c r="F450" s="1" t="s">
        <v>69</v>
      </c>
      <c r="G450" s="1" t="s">
        <v>67</v>
      </c>
      <c r="H450" s="1" t="s">
        <v>85</v>
      </c>
      <c r="I450" s="2" cm="1">
        <f t="array" ref="I4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0" s="2" cm="1">
        <f t="array" ref="J4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0" s="2">
        <f>Games[[#This Row],[DaysOff]]-Games[[#This Row],[OppDaysOff]]</f>
        <v>0</v>
      </c>
      <c r="L450" s="2">
        <f>Games[[#This Row],[OppDaysOff]]-Games[[#This Row],[DaysOff]]</f>
        <v>0</v>
      </c>
      <c r="M450" s="16">
        <f>MAX(-16, MIN(16, Games[[#This Row],[RestDiff]]*8))</f>
        <v>0</v>
      </c>
      <c r="N450" s="16">
        <f>MAX(-16, MIN(16, Games[[#This Row],[OppRestDiff]]*8))</f>
        <v>0</v>
      </c>
      <c r="O450" s="4" cm="1">
        <f t="array" ref="O4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1609.234491930888</v>
      </c>
      <c r="P450" s="4" cm="1">
        <f t="array" ref="P4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1595.4762721032994</v>
      </c>
      <c r="Q450" s="4">
        <f>1/(1+10^(((Games[[#This Row],[OppPreGmRate]]+IF(Games[[#This Row],[HomeAway]]="A",HCA,0)+Games[[#This Row],[OppRestAdj]])-(Games[[#This Row],[PreGmRate]]+IF(Games[[#This Row],[HomeAway]]="H",HCA,0)+Games[[#This Row],[RestAdj]]))/400))</f>
        <v>0.40026905051793749</v>
      </c>
      <c r="R450" s="1">
        <v>52</v>
      </c>
      <c r="S450" s="1">
        <v>69</v>
      </c>
      <c r="T450" s="1">
        <v>0</v>
      </c>
      <c r="U450" s="16">
        <f>Games[[#This Row],[PointsFor]]-Games[[#This Row],[PointsAgainst]]</f>
        <v>-17</v>
      </c>
      <c r="V450" s="16">
        <f>IF(Games[[#This Row],[MOV]]&gt;0,1,IF(Games[[#This Row],[MOV]]=0,0.5,0))</f>
        <v>0</v>
      </c>
      <c r="W450" s="4">
        <f>((ABS(Games[[#This Row],[MOV]])+5)^0.6)/(12+0.01*(ABS(Games[[#This Row],[PreGmRate]]-Games[[#This Row],[OppPreGmRate]])))*IF(Games[[#This Row],[OT]]=1,0.9,1)</f>
        <v>0.52640671960940888</v>
      </c>
      <c r="X450" s="7" cm="1">
        <f t="array" ref="X4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50" s="9">
        <f>MAX(kmin, kmax - 0.15 * MIN(Games[[#This Row],[GamesPlayed]], 82))</f>
        <v>69.25</v>
      </c>
      <c r="Z450" s="4">
        <f>Games[[#This Row],[K]]*Games[[#This Row],[POMult]]</f>
        <v>93.487500000000011</v>
      </c>
      <c r="AA450" s="4">
        <f>(Games[[#This Row],[Keff]]*Games[[#This Row],[MOVMult]])*(Games[[#This Row],[Result]]-Games[[#This Row],[ExpectedWin%]])</f>
        <v>-19.69821991447089</v>
      </c>
      <c r="AB450" s="4">
        <f>Games[[#This Row],[PreGmRate]]+Games[[#This Row],[RatingChange]]</f>
        <v>1589.5362720164171</v>
      </c>
      <c r="AC450" s="2">
        <f>IF(Games[[#This Row],[Type]]="R",IF(Games[[#This Row],[Result]]&gt;0.5,1,0),0)</f>
        <v>0</v>
      </c>
      <c r="AD450" s="2">
        <f>IF(Games[[#This Row],[Type]]="R",IF(Games[[#This Row],[Result]]&lt;0.5,1,0),0)</f>
        <v>0</v>
      </c>
      <c r="AE450" s="2">
        <f>IF(AND(Games[[#This Row],[Type]]="P",Games[[#This Row],[Round]]=1),IF(Games[[#This Row],[Result]]&gt;0.5,1,0),0)</f>
        <v>0</v>
      </c>
      <c r="AF450" s="2">
        <f>IF(AND(Games[[#This Row],[Type]]="P",Games[[#This Row],[Round]]=1),IF(Games[[#This Row],[Result]]&lt;0.5,1,0),0)</f>
        <v>0</v>
      </c>
      <c r="AG450" s="2">
        <f>IF(AND(Games[[#This Row],[Type]]="P",Games[[#This Row],[Round]]=2),IF(Games[[#This Row],[Result]]&gt;0.5,1,0),0)</f>
        <v>0</v>
      </c>
      <c r="AH450" s="2">
        <f>IF(AND(Games[[#This Row],[Type]]="P",Games[[#This Row],[Round]]=2),IF(Games[[#This Row],[Result]]&lt;0.5,1,0),0)</f>
        <v>0</v>
      </c>
      <c r="AI450" s="2">
        <f>IF(AND(Games[[#This Row],[Type]]="P",Games[[#This Row],[Round]]=3),IF(Games[[#This Row],[Result]]&gt;0.5,1,0),0)</f>
        <v>0</v>
      </c>
      <c r="AJ450" s="2">
        <f>IF(AND(Games[[#This Row],[Type]]="P",Games[[#This Row],[Round]]=3),IF(Games[[#This Row],[Result]]&lt;0.5,1,0),0)</f>
        <v>1</v>
      </c>
      <c r="AK450" s="2">
        <f>IF(AND(Games[[#This Row],[Type]]="P",Games[[#This Row],[Round]]=4),IF(Games[[#This Row],[Result]]&gt;0.5,1,0),0)</f>
        <v>0</v>
      </c>
      <c r="AL450" s="2">
        <f>IF(AND(Games[[#This Row],[Type]]="P",Games[[#This Row],[Round]]=4),IF(Games[[#This Row],[Result]]&lt;0.5,1,0),0)</f>
        <v>0</v>
      </c>
    </row>
    <row r="451" spans="1:38" x14ac:dyDescent="0.35">
      <c r="A451" s="10">
        <v>42291</v>
      </c>
      <c r="B451" s="2">
        <v>2015</v>
      </c>
      <c r="C451" s="2">
        <f>COUNTIFS(Games[Team],Games[[#This Row],[Team]],Games[Season],Games[[#This Row],[Season]],Games[Date],"&lt;=" &amp; Games[[#This Row],[Date]])</f>
        <v>44</v>
      </c>
      <c r="D451" s="2" t="s">
        <v>87</v>
      </c>
      <c r="E451" s="2">
        <v>3</v>
      </c>
      <c r="F451" s="1" t="s">
        <v>67</v>
      </c>
      <c r="G451" s="1" t="s">
        <v>69</v>
      </c>
      <c r="H451" s="1" t="s">
        <v>86</v>
      </c>
      <c r="I451" s="2" cm="1">
        <f t="array" ref="I4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1" s="2" cm="1">
        <f t="array" ref="J4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1" s="2">
        <f>Games[[#This Row],[DaysOff]]-Games[[#This Row],[OppDaysOff]]</f>
        <v>0</v>
      </c>
      <c r="L451" s="2">
        <f>Games[[#This Row],[OppDaysOff]]-Games[[#This Row],[DaysOff]]</f>
        <v>0</v>
      </c>
      <c r="M451" s="16">
        <f>MAX(-16, MIN(16, Games[[#This Row],[RestDiff]]*8))</f>
        <v>0</v>
      </c>
      <c r="N451" s="16">
        <f>MAX(-16, MIN(16, Games[[#This Row],[OppRestDiff]]*8))</f>
        <v>0</v>
      </c>
      <c r="O451" s="4" cm="1">
        <f t="array" ref="O4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1595.4762721032994</v>
      </c>
      <c r="P451" s="4" cm="1">
        <f t="array" ref="P4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1609.234491930888</v>
      </c>
      <c r="Q451" s="4">
        <f>1/(1+10^(((Games[[#This Row],[OppPreGmRate]]+IF(Games[[#This Row],[HomeAway]]="A",HCA,0)+Games[[#This Row],[OppRestAdj]])-(Games[[#This Row],[PreGmRate]]+IF(Games[[#This Row],[HomeAway]]="H",HCA,0)+Games[[#This Row],[RestAdj]]))/400))</f>
        <v>0.59973094948206251</v>
      </c>
      <c r="R451" s="1">
        <v>69</v>
      </c>
      <c r="S451" s="1">
        <v>52</v>
      </c>
      <c r="T451" s="1">
        <v>0</v>
      </c>
      <c r="U451" s="16">
        <f>Games[[#This Row],[PointsFor]]-Games[[#This Row],[PointsAgainst]]</f>
        <v>17</v>
      </c>
      <c r="V451" s="16">
        <f>IF(Games[[#This Row],[MOV]]&gt;0,1,IF(Games[[#This Row],[MOV]]=0,0.5,0))</f>
        <v>1</v>
      </c>
      <c r="W451" s="4">
        <f>((ABS(Games[[#This Row],[MOV]])+5)^0.6)/(12+0.01*(ABS(Games[[#This Row],[PreGmRate]]-Games[[#This Row],[OppPreGmRate]])))*IF(Games[[#This Row],[OT]]=1,0.9,1)</f>
        <v>0.52640671960940888</v>
      </c>
      <c r="X451" s="7" cm="1">
        <f t="array" ref="X4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51" s="9">
        <f>MAX(kmin, kmax - 0.15 * MIN(Games[[#This Row],[GamesPlayed]], 82))</f>
        <v>69.400000000000006</v>
      </c>
      <c r="Z451" s="4">
        <f>Games[[#This Row],[K]]*Games[[#This Row],[POMult]]</f>
        <v>93.690000000000012</v>
      </c>
      <c r="AA451" s="4">
        <f>(Games[[#This Row],[Keff]]*Games[[#This Row],[MOVMult]])*(Games[[#This Row],[Result]]-Games[[#This Row],[ExpectedWin%]])</f>
        <v>19.740887538834365</v>
      </c>
      <c r="AB451" s="4">
        <f>Games[[#This Row],[PreGmRate]]+Games[[#This Row],[RatingChange]]</f>
        <v>1615.2171596421338</v>
      </c>
      <c r="AC451" s="2">
        <f>IF(Games[[#This Row],[Type]]="R",IF(Games[[#This Row],[Result]]&gt;0.5,1,0),0)</f>
        <v>0</v>
      </c>
      <c r="AD451" s="2">
        <f>IF(Games[[#This Row],[Type]]="R",IF(Games[[#This Row],[Result]]&lt;0.5,1,0),0)</f>
        <v>0</v>
      </c>
      <c r="AE451" s="2">
        <f>IF(AND(Games[[#This Row],[Type]]="P",Games[[#This Row],[Round]]=1),IF(Games[[#This Row],[Result]]&gt;0.5,1,0),0)</f>
        <v>0</v>
      </c>
      <c r="AF451" s="2">
        <f>IF(AND(Games[[#This Row],[Type]]="P",Games[[#This Row],[Round]]=1),IF(Games[[#This Row],[Result]]&lt;0.5,1,0),0)</f>
        <v>0</v>
      </c>
      <c r="AG451" s="2">
        <f>IF(AND(Games[[#This Row],[Type]]="P",Games[[#This Row],[Round]]=2),IF(Games[[#This Row],[Result]]&gt;0.5,1,0),0)</f>
        <v>0</v>
      </c>
      <c r="AH451" s="2">
        <f>IF(AND(Games[[#This Row],[Type]]="P",Games[[#This Row],[Round]]=2),IF(Games[[#This Row],[Result]]&lt;0.5,1,0),0)</f>
        <v>0</v>
      </c>
      <c r="AI451" s="2">
        <f>IF(AND(Games[[#This Row],[Type]]="P",Games[[#This Row],[Round]]=3),IF(Games[[#This Row],[Result]]&gt;0.5,1,0),0)</f>
        <v>1</v>
      </c>
      <c r="AJ451" s="2">
        <f>IF(AND(Games[[#This Row],[Type]]="P",Games[[#This Row],[Round]]=3),IF(Games[[#This Row],[Result]]&lt;0.5,1,0),0)</f>
        <v>0</v>
      </c>
      <c r="AK451" s="2">
        <f>IF(AND(Games[[#This Row],[Type]]="P",Games[[#This Row],[Round]]=4),IF(Games[[#This Row],[Result]]&gt;0.5,1,0),0)</f>
        <v>0</v>
      </c>
      <c r="AL451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2026-07-28T21:44:10Z</dcterms:modified>
</cp:coreProperties>
</file>
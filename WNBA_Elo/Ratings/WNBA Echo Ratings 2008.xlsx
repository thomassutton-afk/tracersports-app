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23AA77DC-DF1B-4C77-B657-3C8A270EF7B0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6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3" l="1"/>
  <c r="E25" i="3"/>
  <c r="D25" i="3"/>
  <c r="C25" i="3"/>
  <c r="B25" i="3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I516" i="2" a="1"/>
  <c r="I517" i="2" a="1"/>
  <c r="I518" i="2" a="1"/>
  <c r="I519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K519" i="2" s="1"/>
  <c r="M519" i="2" s="1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X516" i="2" a="1"/>
  <c r="X517" i="2" a="1"/>
  <c r="X518" i="2" a="1"/>
  <c r="X519" i="2" a="1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H37" i="3"/>
  <c r="E26" i="3"/>
  <c r="D26" i="3"/>
  <c r="F26" i="3" s="1"/>
  <c r="C26" i="3"/>
  <c r="B26" i="3"/>
  <c r="C478" i="2"/>
  <c r="C479" i="2"/>
  <c r="C480" i="2"/>
  <c r="C481" i="2"/>
  <c r="C482" i="2"/>
  <c r="C483" i="2"/>
  <c r="C484" i="2"/>
  <c r="C485" i="2"/>
  <c r="I478" i="2" a="1"/>
  <c r="I479" i="2" a="1"/>
  <c r="I480" i="2" a="1"/>
  <c r="I481" i="2" a="1"/>
  <c r="I482" i="2" a="1"/>
  <c r="I483" i="2" a="1"/>
  <c r="I484" i="2" a="1"/>
  <c r="I485" i="2" a="1"/>
  <c r="J478" i="2" a="1"/>
  <c r="J479" i="2" a="1"/>
  <c r="J480" i="2" a="1"/>
  <c r="J481" i="2" a="1"/>
  <c r="J482" i="2" a="1"/>
  <c r="J483" i="2" a="1"/>
  <c r="J484" i="2" a="1"/>
  <c r="J485" i="2" a="1"/>
  <c r="K478" i="2"/>
  <c r="K479" i="2"/>
  <c r="K480" i="2"/>
  <c r="K481" i="2"/>
  <c r="K482" i="2"/>
  <c r="K483" i="2"/>
  <c r="K484" i="2"/>
  <c r="L478" i="2"/>
  <c r="L479" i="2"/>
  <c r="L480" i="2"/>
  <c r="L481" i="2"/>
  <c r="L482" i="2"/>
  <c r="L483" i="2"/>
  <c r="L484" i="2"/>
  <c r="M478" i="2"/>
  <c r="M479" i="2"/>
  <c r="M480" i="2"/>
  <c r="M481" i="2"/>
  <c r="M482" i="2"/>
  <c r="M483" i="2"/>
  <c r="M484" i="2"/>
  <c r="N478" i="2"/>
  <c r="N479" i="2"/>
  <c r="N480" i="2"/>
  <c r="N481" i="2"/>
  <c r="N482" i="2"/>
  <c r="N483" i="2"/>
  <c r="N484" i="2"/>
  <c r="U478" i="2"/>
  <c r="U479" i="2"/>
  <c r="U480" i="2"/>
  <c r="U481" i="2"/>
  <c r="U482" i="2"/>
  <c r="U483" i="2"/>
  <c r="U484" i="2"/>
  <c r="U485" i="2"/>
  <c r="V478" i="2"/>
  <c r="V479" i="2"/>
  <c r="V480" i="2"/>
  <c r="V481" i="2"/>
  <c r="V482" i="2"/>
  <c r="V483" i="2"/>
  <c r="V484" i="2"/>
  <c r="V485" i="2"/>
  <c r="X478" i="2" a="1"/>
  <c r="X479" i="2" a="1"/>
  <c r="X480" i="2" a="1"/>
  <c r="X481" i="2" a="1"/>
  <c r="X482" i="2" a="1"/>
  <c r="X483" i="2" a="1"/>
  <c r="X484" i="2" a="1"/>
  <c r="X485" i="2" a="1"/>
  <c r="Y478" i="2"/>
  <c r="Y479" i="2"/>
  <c r="Y480" i="2"/>
  <c r="Y481" i="2"/>
  <c r="Y482" i="2"/>
  <c r="Y483" i="2"/>
  <c r="Y484" i="2"/>
  <c r="Y485" i="2"/>
  <c r="Z478" i="2"/>
  <c r="Z479" i="2"/>
  <c r="Z480" i="2"/>
  <c r="Z481" i="2"/>
  <c r="Z482" i="2"/>
  <c r="Z483" i="2"/>
  <c r="Z484" i="2"/>
  <c r="Z485" i="2"/>
  <c r="AC478" i="2"/>
  <c r="AC479" i="2"/>
  <c r="AC480" i="2"/>
  <c r="AC481" i="2"/>
  <c r="AC482" i="2"/>
  <c r="AC483" i="2"/>
  <c r="AC484" i="2"/>
  <c r="AC485" i="2"/>
  <c r="AD478" i="2"/>
  <c r="AD479" i="2"/>
  <c r="AD480" i="2"/>
  <c r="AD481" i="2"/>
  <c r="AD482" i="2"/>
  <c r="AD483" i="2"/>
  <c r="AD484" i="2"/>
  <c r="AD485" i="2"/>
  <c r="AE478" i="2"/>
  <c r="AE479" i="2"/>
  <c r="AE480" i="2"/>
  <c r="AE481" i="2"/>
  <c r="AE482" i="2"/>
  <c r="AE483" i="2"/>
  <c r="AE484" i="2"/>
  <c r="AE485" i="2"/>
  <c r="AF478" i="2"/>
  <c r="AF479" i="2"/>
  <c r="AF480" i="2"/>
  <c r="AF481" i="2"/>
  <c r="AF482" i="2"/>
  <c r="AF483" i="2"/>
  <c r="AF484" i="2"/>
  <c r="AF485" i="2"/>
  <c r="AG478" i="2"/>
  <c r="AG479" i="2"/>
  <c r="AG480" i="2"/>
  <c r="AG481" i="2"/>
  <c r="AG482" i="2"/>
  <c r="AG483" i="2"/>
  <c r="AG484" i="2"/>
  <c r="AG485" i="2"/>
  <c r="AH478" i="2"/>
  <c r="AH479" i="2"/>
  <c r="AH480" i="2"/>
  <c r="AH481" i="2"/>
  <c r="AH482" i="2"/>
  <c r="AH483" i="2"/>
  <c r="AH484" i="2"/>
  <c r="AH485" i="2"/>
  <c r="AI478" i="2"/>
  <c r="AI479" i="2"/>
  <c r="AI480" i="2"/>
  <c r="AI481" i="2"/>
  <c r="AI482" i="2"/>
  <c r="AI483" i="2"/>
  <c r="AI484" i="2"/>
  <c r="AI485" i="2"/>
  <c r="AJ478" i="2"/>
  <c r="AJ479" i="2"/>
  <c r="AJ480" i="2"/>
  <c r="AJ481" i="2"/>
  <c r="AJ482" i="2"/>
  <c r="AJ483" i="2"/>
  <c r="AJ484" i="2"/>
  <c r="AJ485" i="2"/>
  <c r="AK478" i="2"/>
  <c r="AK479" i="2"/>
  <c r="AK480" i="2"/>
  <c r="AK481" i="2"/>
  <c r="AK482" i="2"/>
  <c r="AK483" i="2"/>
  <c r="AK484" i="2"/>
  <c r="AK485" i="2"/>
  <c r="AL478" i="2"/>
  <c r="AL479" i="2"/>
  <c r="AL480" i="2"/>
  <c r="AL481" i="2"/>
  <c r="AL482" i="2"/>
  <c r="AL483" i="2"/>
  <c r="AL484" i="2"/>
  <c r="AL485" i="2"/>
  <c r="H36" i="3"/>
  <c r="H35" i="3"/>
  <c r="H34" i="3"/>
  <c r="H33" i="3"/>
  <c r="H32" i="3"/>
  <c r="H31" i="3"/>
  <c r="H30" i="3"/>
  <c r="H29" i="3"/>
  <c r="H28" i="3"/>
  <c r="H27" i="3"/>
  <c r="H26" i="3"/>
  <c r="H25" i="3"/>
  <c r="G25" i="3" s="1" a="1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L416" i="2" s="1"/>
  <c r="N416" i="2" s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L439" i="2" s="1"/>
  <c r="N439" i="2" s="1"/>
  <c r="J440" i="2" a="1"/>
  <c r="L440" i="2" s="1"/>
  <c r="N440" i="2" s="1"/>
  <c r="J441" i="2" a="1"/>
  <c r="L441" i="2" s="1"/>
  <c r="N441" i="2" s="1"/>
  <c r="J442" i="2" a="1"/>
  <c r="L442" i="2" s="1"/>
  <c r="N442" i="2" s="1"/>
  <c r="J443" i="2" a="1"/>
  <c r="L443" i="2" s="1"/>
  <c r="N443" i="2" s="1"/>
  <c r="J444" i="2" a="1"/>
  <c r="L444" i="2" s="1"/>
  <c r="N444" i="2" s="1"/>
  <c r="J445" i="2" a="1"/>
  <c r="L445" i="2" s="1"/>
  <c r="N445" i="2" s="1"/>
  <c r="J446" i="2" a="1"/>
  <c r="L446" i="2" s="1"/>
  <c r="N446" i="2" s="1"/>
  <c r="J447" i="2" a="1"/>
  <c r="L447" i="2" s="1"/>
  <c r="N447" i="2" s="1"/>
  <c r="J448" i="2" a="1"/>
  <c r="L448" i="2" s="1"/>
  <c r="N448" i="2" s="1"/>
  <c r="J449" i="2" a="1"/>
  <c r="L449" i="2" s="1"/>
  <c r="N449" i="2" s="1"/>
  <c r="J450" i="2" a="1"/>
  <c r="L450" i="2" s="1"/>
  <c r="N450" i="2" s="1"/>
  <c r="J451" i="2" a="1"/>
  <c r="L451" i="2" s="1"/>
  <c r="N451" i="2" s="1"/>
  <c r="J452" i="2" a="1"/>
  <c r="L452" i="2" s="1"/>
  <c r="N452" i="2" s="1"/>
  <c r="J453" i="2" a="1"/>
  <c r="L453" i="2" s="1"/>
  <c r="N453" i="2" s="1"/>
  <c r="J454" i="2" a="1"/>
  <c r="L454" i="2" s="1"/>
  <c r="N454" i="2" s="1"/>
  <c r="J455" i="2" a="1"/>
  <c r="L455" i="2" s="1"/>
  <c r="N455" i="2" s="1"/>
  <c r="J456" i="2" a="1"/>
  <c r="L456" i="2" s="1"/>
  <c r="N456" i="2" s="1"/>
  <c r="J457" i="2" a="1"/>
  <c r="L457" i="2" s="1"/>
  <c r="N457" i="2" s="1"/>
  <c r="J458" i="2" a="1"/>
  <c r="L458" i="2" s="1"/>
  <c r="N458" i="2" s="1"/>
  <c r="J459" i="2" a="1"/>
  <c r="L459" i="2" s="1"/>
  <c r="N459" i="2" s="1"/>
  <c r="J460" i="2" a="1"/>
  <c r="L460" i="2" s="1"/>
  <c r="N460" i="2" s="1"/>
  <c r="J461" i="2" a="1"/>
  <c r="L461" i="2" s="1"/>
  <c r="N461" i="2" s="1"/>
  <c r="J462" i="2" a="1"/>
  <c r="L462" i="2" s="1"/>
  <c r="N462" i="2" s="1"/>
  <c r="J463" i="2" a="1"/>
  <c r="L463" i="2" s="1"/>
  <c r="N463" i="2" s="1"/>
  <c r="J464" i="2" a="1"/>
  <c r="L464" i="2" s="1"/>
  <c r="N464" i="2" s="1"/>
  <c r="J465" i="2" a="1"/>
  <c r="L465" i="2" s="1"/>
  <c r="N465" i="2" s="1"/>
  <c r="J466" i="2" a="1"/>
  <c r="L466" i="2" s="1"/>
  <c r="N466" i="2" s="1"/>
  <c r="J467" i="2" a="1"/>
  <c r="L467" i="2" s="1"/>
  <c r="N467" i="2" s="1"/>
  <c r="J468" i="2" a="1"/>
  <c r="L468" i="2" s="1"/>
  <c r="N468" i="2" s="1"/>
  <c r="J469" i="2" a="1"/>
  <c r="L469" i="2" s="1"/>
  <c r="N469" i="2" s="1"/>
  <c r="J470" i="2" a="1"/>
  <c r="L470" i="2" s="1"/>
  <c r="N470" i="2" s="1"/>
  <c r="J471" i="2" a="1"/>
  <c r="L471" i="2" s="1"/>
  <c r="N471" i="2" s="1"/>
  <c r="J472" i="2" a="1"/>
  <c r="L472" i="2" s="1"/>
  <c r="N472" i="2" s="1"/>
  <c r="J473" i="2" a="1"/>
  <c r="L473" i="2" s="1"/>
  <c r="N473" i="2" s="1"/>
  <c r="J474" i="2" a="1"/>
  <c r="L474" i="2" s="1"/>
  <c r="N474" i="2" s="1"/>
  <c r="J475" i="2" a="1"/>
  <c r="L475" i="2" s="1"/>
  <c r="N475" i="2" s="1"/>
  <c r="J476" i="2" a="1"/>
  <c r="L476" i="2" s="1"/>
  <c r="N476" i="2" s="1"/>
  <c r="J477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M468" i="2" s="1"/>
  <c r="K469" i="2"/>
  <c r="M469" i="2" s="1"/>
  <c r="K470" i="2"/>
  <c r="M470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V445" i="2" s="1"/>
  <c r="U446" i="2"/>
  <c r="V446" i="2" s="1"/>
  <c r="U447" i="2"/>
  <c r="V447" i="2" s="1"/>
  <c r="U448" i="2"/>
  <c r="V448" i="2" s="1"/>
  <c r="U449" i="2"/>
  <c r="V449" i="2" s="1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 s="1"/>
  <c r="U456" i="2"/>
  <c r="V456" i="2" s="1"/>
  <c r="U457" i="2"/>
  <c r="V457" i="2" s="1"/>
  <c r="U458" i="2"/>
  <c r="V458" i="2" s="1"/>
  <c r="U459" i="2"/>
  <c r="V459" i="2" s="1"/>
  <c r="U460" i="2"/>
  <c r="V460" i="2" s="1"/>
  <c r="U461" i="2"/>
  <c r="V461" i="2" s="1"/>
  <c r="U462" i="2"/>
  <c r="V462" i="2" s="1"/>
  <c r="U463" i="2"/>
  <c r="V463" i="2" s="1"/>
  <c r="U464" i="2"/>
  <c r="V464" i="2" s="1"/>
  <c r="U465" i="2"/>
  <c r="V465" i="2" s="1"/>
  <c r="U466" i="2"/>
  <c r="V466" i="2" s="1"/>
  <c r="U467" i="2"/>
  <c r="V467" i="2" s="1"/>
  <c r="U468" i="2"/>
  <c r="V468" i="2" s="1"/>
  <c r="U469" i="2"/>
  <c r="V469" i="2" s="1"/>
  <c r="U470" i="2"/>
  <c r="V470" i="2" s="1"/>
  <c r="U471" i="2"/>
  <c r="V471" i="2" s="1"/>
  <c r="U472" i="2"/>
  <c r="V472" i="2" s="1"/>
  <c r="U473" i="2"/>
  <c r="V473" i="2" s="1"/>
  <c r="U474" i="2"/>
  <c r="V474" i="2" s="1"/>
  <c r="U475" i="2"/>
  <c r="V475" i="2" s="1"/>
  <c r="U476" i="2"/>
  <c r="V476" i="2" s="1"/>
  <c r="U477" i="2"/>
  <c r="V477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E30" i="3"/>
  <c r="D30" i="3"/>
  <c r="F30" i="3" s="1"/>
  <c r="C30" i="3"/>
  <c r="B30" i="3"/>
  <c r="E37" i="3"/>
  <c r="D37" i="3"/>
  <c r="C37" i="3"/>
  <c r="B37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V318" i="2"/>
  <c r="AD318" i="2" s="1"/>
  <c r="V319" i="2"/>
  <c r="AD319" i="2" s="1"/>
  <c r="V320" i="2"/>
  <c r="AD320" i="2" s="1"/>
  <c r="V321" i="2"/>
  <c r="AD321" i="2" s="1"/>
  <c r="V322" i="2"/>
  <c r="AD322" i="2" s="1"/>
  <c r="V323" i="2"/>
  <c r="AD323" i="2" s="1"/>
  <c r="V324" i="2"/>
  <c r="AD324" i="2" s="1"/>
  <c r="V325" i="2"/>
  <c r="AD325" i="2" s="1"/>
  <c r="V326" i="2"/>
  <c r="AD326" i="2" s="1"/>
  <c r="V327" i="2"/>
  <c r="AD327" i="2" s="1"/>
  <c r="V328" i="2"/>
  <c r="AD328" i="2" s="1"/>
  <c r="V329" i="2"/>
  <c r="AD329" i="2" s="1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27" i="3"/>
  <c r="D27" i="3"/>
  <c r="C27" i="3"/>
  <c r="B27" i="3"/>
  <c r="E28" i="3"/>
  <c r="D28" i="3"/>
  <c r="C28" i="3"/>
  <c r="B28" i="3"/>
  <c r="E38" i="3"/>
  <c r="D38" i="3"/>
  <c r="C38" i="3"/>
  <c r="B38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9" i="3"/>
  <c r="F25" i="3" l="1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K471" i="2"/>
  <c r="M471" i="2" s="1"/>
  <c r="K473" i="2"/>
  <c r="M473" i="2" s="1"/>
  <c r="K475" i="2"/>
  <c r="M475" i="2" s="1"/>
  <c r="K472" i="2"/>
  <c r="M472" i="2" s="1"/>
  <c r="K474" i="2"/>
  <c r="M474" i="2" s="1"/>
  <c r="K476" i="2"/>
  <c r="M476" i="2" s="1"/>
  <c r="K485" i="2"/>
  <c r="M485" i="2" s="1"/>
  <c r="L485" i="2"/>
  <c r="N485" i="2" s="1"/>
  <c r="F28" i="3"/>
  <c r="AE386" i="2"/>
  <c r="AD386" i="2"/>
  <c r="AE387" i="2"/>
  <c r="AD387" i="2"/>
  <c r="AE388" i="2"/>
  <c r="AD388" i="2"/>
  <c r="AE389" i="2"/>
  <c r="AD389" i="2"/>
  <c r="F37" i="3"/>
  <c r="K477" i="2"/>
  <c r="M477" i="2" s="1"/>
  <c r="L477" i="2"/>
  <c r="N477" i="2" s="1"/>
  <c r="F38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5" i="3"/>
  <c r="B35" i="3"/>
  <c r="C34" i="3"/>
  <c r="B34" i="3"/>
  <c r="C36" i="3"/>
  <c r="B36" i="3"/>
  <c r="C31" i="3"/>
  <c r="B31" i="3"/>
  <c r="C33" i="3"/>
  <c r="B33" i="3"/>
  <c r="C29" i="3"/>
  <c r="B29" i="3"/>
  <c r="Q16" i="2" l="1"/>
  <c r="Q17" i="2"/>
  <c r="W16" i="2"/>
  <c r="W17" i="2"/>
  <c r="AA16" i="2" l="1"/>
  <c r="AB16" i="2" s="1"/>
  <c r="AA17" i="2"/>
  <c r="AB17" i="2" s="1"/>
  <c r="E35" i="3"/>
  <c r="D35" i="3"/>
  <c r="E34" i="3"/>
  <c r="D34" i="3"/>
  <c r="E36" i="3"/>
  <c r="D36" i="3"/>
  <c r="E31" i="3"/>
  <c r="D31" i="3"/>
  <c r="E33" i="3"/>
  <c r="D33" i="3"/>
  <c r="E29" i="3"/>
  <c r="O19" i="2" l="1" a="1"/>
  <c r="O18" i="2" a="1"/>
  <c r="P19" i="2" a="1"/>
  <c r="P18" i="2" a="1"/>
  <c r="O20" i="2" a="1"/>
  <c r="P20" i="2" a="1"/>
  <c r="O21" i="2" a="1"/>
  <c r="P21" i="2" a="1"/>
  <c r="F31" i="3"/>
  <c r="F35" i="3"/>
  <c r="F34" i="3"/>
  <c r="F36" i="3"/>
  <c r="A2" i="3" s="1" a="1"/>
  <c r="F29" i="3"/>
  <c r="F33" i="3"/>
  <c r="Q18" i="2" l="1"/>
  <c r="W21" i="2"/>
  <c r="W19" i="2"/>
  <c r="Q19" i="2"/>
  <c r="AA19" i="2" s="1"/>
  <c r="AB19" i="2" s="1"/>
  <c r="Q20" i="2"/>
  <c r="W18" i="2"/>
  <c r="W20" i="2"/>
  <c r="Q21" i="2"/>
  <c r="P23" i="2" a="1"/>
  <c r="O22" i="2" a="1"/>
  <c r="O23" i="2" a="1"/>
  <c r="P22" i="2" a="1"/>
  <c r="Q23" i="2" l="1"/>
  <c r="AA18" i="2"/>
  <c r="AB18" i="2" s="1"/>
  <c r="Q22" i="2"/>
  <c r="W23" i="2"/>
  <c r="AA21" i="2"/>
  <c r="AB21" i="2" s="1"/>
  <c r="AA20" i="2"/>
  <c r="AB20" i="2" s="1"/>
  <c r="W22" i="2"/>
  <c r="P27" i="2" a="1"/>
  <c r="P26" i="2" a="1"/>
  <c r="O27" i="2" a="1"/>
  <c r="O26" i="2" a="1"/>
  <c r="AA23" i="2" l="1"/>
  <c r="AB23" i="2" s="1"/>
  <c r="AA22" i="2"/>
  <c r="AB22" i="2" s="1"/>
  <c r="P25" i="2" a="1"/>
  <c r="O25" i="2" a="1"/>
  <c r="P24" i="2" a="1"/>
  <c r="O24" i="2" a="1"/>
  <c r="Q26" i="2"/>
  <c r="W27" i="2"/>
  <c r="W26" i="2"/>
  <c r="Q27" i="2"/>
  <c r="Q25" i="2" l="1"/>
  <c r="W24" i="2"/>
  <c r="Q24" i="2"/>
  <c r="AA24" i="2" s="1"/>
  <c r="AB24" i="2" s="1"/>
  <c r="W25" i="2"/>
  <c r="AA27" i="2"/>
  <c r="AB27" i="2" s="1"/>
  <c r="AA26" i="2"/>
  <c r="AB26" i="2" s="1"/>
  <c r="AA25" i="2" l="1"/>
  <c r="AB25" i="2" s="1"/>
  <c r="P29" i="2" a="1"/>
  <c r="O28" i="2" a="1"/>
  <c r="P28" i="2" a="1"/>
  <c r="O29" i="2" a="1"/>
  <c r="AW3" i="3"/>
  <c r="AV3" i="3"/>
  <c r="Q28" i="2" l="1"/>
  <c r="W29" i="2"/>
  <c r="Q29" i="2"/>
  <c r="W28" i="2"/>
  <c r="AZ3" i="3"/>
  <c r="AV2" i="3"/>
  <c r="AW2" i="3"/>
  <c r="AV4" i="3"/>
  <c r="AW4" i="3"/>
  <c r="AA29" i="2" l="1"/>
  <c r="AB29" i="2" s="1"/>
  <c r="AA28" i="2"/>
  <c r="AB28" i="2" s="1"/>
  <c r="AZ4" i="3"/>
  <c r="AZ2" i="3"/>
  <c r="AW6" i="3"/>
  <c r="AV6" i="3"/>
  <c r="P31" i="2" l="1" a="1"/>
  <c r="P30" i="2" a="1"/>
  <c r="O30" i="2" a="1"/>
  <c r="O31" i="2" a="1"/>
  <c r="AZ6" i="3"/>
  <c r="Q30" i="2" l="1"/>
  <c r="Q31" i="2"/>
  <c r="W30" i="2"/>
  <c r="W31" i="2"/>
  <c r="AA30" i="2" l="1"/>
  <c r="AB30" i="2" s="1"/>
  <c r="AA31" i="2"/>
  <c r="AB31" i="2" s="1"/>
  <c r="P33" i="2" l="1" a="1"/>
  <c r="P32" i="2" a="1"/>
  <c r="O32" i="2" a="1"/>
  <c r="O33" i="2" a="1"/>
  <c r="P34" i="2" a="1"/>
  <c r="P35" i="2" a="1"/>
  <c r="O35" i="2" a="1"/>
  <c r="O34" i="2" a="1"/>
  <c r="Q34" i="2" l="1"/>
  <c r="Q32" i="2"/>
  <c r="W33" i="2"/>
  <c r="W35" i="2"/>
  <c r="Q33" i="2"/>
  <c r="Q35" i="2"/>
  <c r="W34" i="2"/>
  <c r="W32" i="2"/>
  <c r="AA33" i="2" l="1"/>
  <c r="AB33" i="2" s="1"/>
  <c r="AA34" i="2"/>
  <c r="AB34" i="2" s="1"/>
  <c r="AA32" i="2"/>
  <c r="AB32" i="2" s="1"/>
  <c r="AA35" i="2"/>
  <c r="AB35" i="2" s="1"/>
  <c r="O41" i="2" a="1"/>
  <c r="P41" i="2" a="1"/>
  <c r="Q41" i="2" s="1"/>
  <c r="O40" i="2" a="1"/>
  <c r="P40" i="2" a="1"/>
  <c r="Q40" i="2" s="1"/>
  <c r="O37" i="2" a="1"/>
  <c r="P37" i="2" a="1"/>
  <c r="P36" i="2" a="1"/>
  <c r="O36" i="2" a="1"/>
  <c r="P39" i="2" a="1"/>
  <c r="O38" i="2" a="1"/>
  <c r="O39" i="2" a="1"/>
  <c r="P38" i="2" a="1"/>
  <c r="W39" i="2" l="1"/>
  <c r="W40" i="2"/>
  <c r="AA40" i="2" s="1"/>
  <c r="AB40" i="2" s="1"/>
  <c r="W37" i="2"/>
  <c r="Q36" i="2"/>
  <c r="Q38" i="2"/>
  <c r="W41" i="2"/>
  <c r="AA41" i="2" s="1"/>
  <c r="AB41" i="2" s="1"/>
  <c r="Q39" i="2"/>
  <c r="Q37" i="2"/>
  <c r="W36" i="2"/>
  <c r="W38" i="2"/>
  <c r="AA39" i="2" l="1"/>
  <c r="AB39" i="2" s="1"/>
  <c r="AA37" i="2"/>
  <c r="AB37" i="2" s="1"/>
  <c r="AA38" i="2"/>
  <c r="AB38" i="2" s="1"/>
  <c r="AA36" i="2"/>
  <c r="AB36" i="2" s="1"/>
  <c r="P42" i="2" a="1"/>
  <c r="P43" i="2" a="1"/>
  <c r="Q43" i="2" s="1"/>
  <c r="O42" i="2" a="1"/>
  <c r="O43" i="2" a="1"/>
  <c r="O45" i="2" a="1"/>
  <c r="P45" i="2" a="1"/>
  <c r="O44" i="2" a="1"/>
  <c r="P44" i="2" a="1"/>
  <c r="W42" i="2" l="1"/>
  <c r="Q42" i="2"/>
  <c r="AA42" i="2" s="1"/>
  <c r="AB42" i="2" s="1"/>
  <c r="W43" i="2"/>
  <c r="AA43" i="2" s="1"/>
  <c r="AB43" i="2" s="1"/>
  <c r="Q44" i="2"/>
  <c r="W45" i="2"/>
  <c r="Q45" i="2"/>
  <c r="W44" i="2"/>
  <c r="AA45" i="2" l="1"/>
  <c r="AB45" i="2" s="1"/>
  <c r="AA44" i="2"/>
  <c r="AB44" i="2" s="1"/>
  <c r="P46" i="2" a="1"/>
  <c r="O47" i="2" a="1"/>
  <c r="P47" i="2" a="1"/>
  <c r="O46" i="2" a="1"/>
  <c r="Q46" i="2" l="1"/>
  <c r="W47" i="2"/>
  <c r="Q47" i="2"/>
  <c r="W46" i="2"/>
  <c r="AA46" i="2" l="1"/>
  <c r="AB46" i="2" s="1"/>
  <c r="AA47" i="2"/>
  <c r="AB47" i="2" s="1"/>
  <c r="P51" i="2" a="1"/>
  <c r="O51" i="2" a="1"/>
  <c r="O50" i="2" a="1"/>
  <c r="P50" i="2" a="1"/>
  <c r="P48" i="2" l="1" a="1"/>
  <c r="O49" i="2" a="1"/>
  <c r="O48" i="2" a="1"/>
  <c r="P49" i="2" a="1"/>
  <c r="W51" i="2"/>
  <c r="W50" i="2"/>
  <c r="Q51" i="2"/>
  <c r="Q50" i="2"/>
  <c r="W49" i="2" l="1"/>
  <c r="Q48" i="2"/>
  <c r="W48" i="2"/>
  <c r="Q49" i="2"/>
  <c r="AA50" i="2"/>
  <c r="AB50" i="2" s="1"/>
  <c r="AA51" i="2"/>
  <c r="AB51" i="2" s="1"/>
  <c r="O55" i="2" a="1"/>
  <c r="O54" i="2" a="1"/>
  <c r="P54" i="2" a="1"/>
  <c r="P55" i="2" a="1"/>
  <c r="AA48" i="2" l="1"/>
  <c r="AB48" i="2" s="1"/>
  <c r="AA49" i="2"/>
  <c r="AB49" i="2" s="1"/>
  <c r="P52" i="2" a="1"/>
  <c r="O53" i="2" a="1"/>
  <c r="O57" i="2" a="1"/>
  <c r="P53" i="2" a="1"/>
  <c r="O52" i="2" a="1"/>
  <c r="P56" i="2" a="1"/>
  <c r="O56" i="2" a="1"/>
  <c r="Q55" i="2"/>
  <c r="W54" i="2"/>
  <c r="W55" i="2"/>
  <c r="Q54" i="2"/>
  <c r="Q53" i="2" l="1"/>
  <c r="W56" i="2"/>
  <c r="Q52" i="2"/>
  <c r="W53" i="2"/>
  <c r="W52" i="2"/>
  <c r="Q56" i="2"/>
  <c r="AA54" i="2"/>
  <c r="AB54" i="2" s="1"/>
  <c r="P57" i="2" s="1" a="1"/>
  <c r="AA55" i="2"/>
  <c r="AB55" i="2" s="1"/>
  <c r="AA53" i="2" l="1"/>
  <c r="AB53" i="2" s="1"/>
  <c r="AA52" i="2"/>
  <c r="AB52" i="2" s="1"/>
  <c r="AA56" i="2"/>
  <c r="AB56" i="2" s="1"/>
  <c r="W57" i="2"/>
  <c r="Q57" i="2"/>
  <c r="AA57" i="2" l="1"/>
  <c r="AB57" i="2" s="1"/>
  <c r="O59" i="2" a="1"/>
  <c r="P59" i="2" a="1"/>
  <c r="P58" i="2" a="1"/>
  <c r="O58" i="2" a="1"/>
  <c r="P60" i="2" a="1"/>
  <c r="O61" i="2" a="1"/>
  <c r="O60" i="2" a="1"/>
  <c r="P61" i="2" a="1"/>
  <c r="Q61" i="2" l="1"/>
  <c r="W59" i="2"/>
  <c r="W60" i="2"/>
  <c r="W58" i="2"/>
  <c r="Q59" i="2"/>
  <c r="Q58" i="2"/>
  <c r="Q60" i="2"/>
  <c r="W61" i="2"/>
  <c r="AA61" i="2" l="1"/>
  <c r="AB61" i="2" s="1"/>
  <c r="AA59" i="2"/>
  <c r="AB59" i="2" s="1"/>
  <c r="AA60" i="2"/>
  <c r="AB60" i="2" s="1"/>
  <c r="AA58" i="2"/>
  <c r="AB58" i="2" s="1"/>
  <c r="O63" i="2" l="1" a="1"/>
  <c r="O62" i="2" a="1"/>
  <c r="P62" i="2" a="1"/>
  <c r="P63" i="2" a="1"/>
  <c r="Q62" i="2" l="1"/>
  <c r="W63" i="2"/>
  <c r="W62" i="2"/>
  <c r="AA62" i="2" s="1"/>
  <c r="AB62" i="2" s="1"/>
  <c r="Q63" i="2"/>
  <c r="AA63" i="2" l="1"/>
  <c r="AB63" i="2" s="1"/>
  <c r="O64" i="2" l="1" a="1"/>
  <c r="P65" i="2" a="1"/>
  <c r="P66" i="2" a="1"/>
  <c r="O65" i="2" a="1"/>
  <c r="P64" i="2" a="1"/>
  <c r="O67" i="2" a="1"/>
  <c r="O66" i="2" a="1"/>
  <c r="P67" i="2" a="1"/>
  <c r="Q66" i="2" l="1"/>
  <c r="W65" i="2"/>
  <c r="Q64" i="2"/>
  <c r="W67" i="2"/>
  <c r="W64" i="2"/>
  <c r="Q65" i="2"/>
  <c r="AA65" i="2" s="1"/>
  <c r="AB65" i="2" s="1"/>
  <c r="W66" i="2"/>
  <c r="Q67" i="2"/>
  <c r="AA66" i="2" l="1"/>
  <c r="AB66" i="2" s="1"/>
  <c r="AA67" i="2"/>
  <c r="AB67" i="2" s="1"/>
  <c r="AA64" i="2"/>
  <c r="AB64" i="2" s="1"/>
  <c r="P73" i="2" a="1"/>
  <c r="O73" i="2" a="1"/>
  <c r="W73" i="2" s="1"/>
  <c r="O72" i="2" a="1"/>
  <c r="O68" i="2" a="1"/>
  <c r="P71" i="2" a="1"/>
  <c r="P69" i="2" a="1"/>
  <c r="O70" i="2" a="1"/>
  <c r="P72" i="2" a="1"/>
  <c r="O69" i="2" a="1"/>
  <c r="P68" i="2" a="1"/>
  <c r="P70" i="2" a="1"/>
  <c r="P75" i="2" a="1"/>
  <c r="O71" i="2" a="1"/>
  <c r="O74" i="2" a="1"/>
  <c r="O75" i="2" a="1"/>
  <c r="P74" i="2" a="1"/>
  <c r="O76" i="2" a="1"/>
  <c r="P76" i="2" a="1"/>
  <c r="P77" i="2" a="1"/>
  <c r="O77" i="2" a="1"/>
  <c r="W70" i="2" l="1"/>
  <c r="W71" i="2"/>
  <c r="Q69" i="2"/>
  <c r="Q72" i="2"/>
  <c r="Q68" i="2"/>
  <c r="Q76" i="2"/>
  <c r="Q73" i="2"/>
  <c r="AA73" i="2" s="1"/>
  <c r="AB73" i="2" s="1"/>
  <c r="W72" i="2"/>
  <c r="W68" i="2"/>
  <c r="Q71" i="2"/>
  <c r="W69" i="2"/>
  <c r="Q70" i="2"/>
  <c r="Q75" i="2"/>
  <c r="W75" i="2"/>
  <c r="Q74" i="2"/>
  <c r="W74" i="2"/>
  <c r="W77" i="2"/>
  <c r="W76" i="2"/>
  <c r="AA76" i="2" s="1"/>
  <c r="AB76" i="2" s="1"/>
  <c r="Q77" i="2"/>
  <c r="AA70" i="2" l="1"/>
  <c r="AB70" i="2" s="1"/>
  <c r="AA71" i="2"/>
  <c r="AB71" i="2" s="1"/>
  <c r="AA69" i="2"/>
  <c r="AB69" i="2" s="1"/>
  <c r="AA72" i="2"/>
  <c r="AB72" i="2" s="1"/>
  <c r="AA68" i="2"/>
  <c r="AB68" i="2" s="1"/>
  <c r="AA74" i="2"/>
  <c r="AB74" i="2" s="1"/>
  <c r="AA75" i="2"/>
  <c r="AB75" i="2" s="1"/>
  <c r="AA77" i="2"/>
  <c r="AB77" i="2" s="1"/>
  <c r="O79" i="2" l="1" a="1"/>
  <c r="P79" i="2" a="1"/>
  <c r="O78" i="2" a="1"/>
  <c r="P78" i="2" a="1"/>
  <c r="Q79" i="2" l="1"/>
  <c r="Q78" i="2"/>
  <c r="W79" i="2"/>
  <c r="W78" i="2"/>
  <c r="P90" i="2" a="1"/>
  <c r="O91" i="2" a="1"/>
  <c r="P88" i="2" a="1"/>
  <c r="O89" i="2" a="1"/>
  <c r="AA79" i="2" l="1"/>
  <c r="AB79" i="2" s="1"/>
  <c r="AA78" i="2"/>
  <c r="AB78" i="2" s="1"/>
  <c r="P81" i="2" a="1"/>
  <c r="O86" i="2" a="1"/>
  <c r="O82" i="2" a="1"/>
  <c r="P85" i="2" a="1"/>
  <c r="O84" i="2" a="1"/>
  <c r="P86" i="2" a="1"/>
  <c r="O85" i="2" a="1"/>
  <c r="W85" i="2" s="1"/>
  <c r="O87" i="2" a="1"/>
  <c r="P84" i="2" a="1"/>
  <c r="P87" i="2" a="1"/>
  <c r="P80" i="2" a="1"/>
  <c r="O80" i="2" a="1"/>
  <c r="P82" i="2" a="1"/>
  <c r="P83" i="2" a="1"/>
  <c r="O83" i="2" a="1"/>
  <c r="O81" i="2" a="1"/>
  <c r="W81" i="2" s="1"/>
  <c r="P91" i="2" a="1"/>
  <c r="O90" i="2" a="1"/>
  <c r="O88" i="2" l="1" a="1"/>
  <c r="P89" i="2" a="1"/>
  <c r="W80" i="2"/>
  <c r="W86" i="2"/>
  <c r="W84" i="2"/>
  <c r="W87" i="2"/>
  <c r="Q83" i="2"/>
  <c r="W82" i="2"/>
  <c r="Q81" i="2"/>
  <c r="AA81" i="2" s="1"/>
  <c r="AB81" i="2" s="1"/>
  <c r="Q85" i="2"/>
  <c r="AA85" i="2" s="1"/>
  <c r="AB85" i="2" s="1"/>
  <c r="Q86" i="2"/>
  <c r="Q84" i="2"/>
  <c r="Q87" i="2"/>
  <c r="Q80" i="2"/>
  <c r="Q82" i="2"/>
  <c r="AA82" i="2" s="1"/>
  <c r="AB82" i="2" s="1"/>
  <c r="W83" i="2"/>
  <c r="W91" i="2"/>
  <c r="Q91" i="2"/>
  <c r="W90" i="2"/>
  <c r="Q90" i="2"/>
  <c r="Q88" i="2" l="1"/>
  <c r="W88" i="2"/>
  <c r="Q89" i="2"/>
  <c r="W89" i="2"/>
  <c r="AA87" i="2"/>
  <c r="AB87" i="2" s="1"/>
  <c r="AA80" i="2"/>
  <c r="AB80" i="2" s="1"/>
  <c r="AA86" i="2"/>
  <c r="AB86" i="2" s="1"/>
  <c r="AA84" i="2"/>
  <c r="AB84" i="2" s="1"/>
  <c r="AA83" i="2"/>
  <c r="AB83" i="2" s="1"/>
  <c r="AA91" i="2"/>
  <c r="AB91" i="2" s="1"/>
  <c r="AA90" i="2"/>
  <c r="AB90" i="2" s="1"/>
  <c r="P93" i="2" a="1"/>
  <c r="O92" i="2" a="1"/>
  <c r="O95" i="2" a="1"/>
  <c r="P94" i="2" a="1"/>
  <c r="O97" i="2" a="1"/>
  <c r="P96" i="2" a="1"/>
  <c r="O94" i="2" a="1"/>
  <c r="P95" i="2" a="1"/>
  <c r="AA89" i="2" l="1"/>
  <c r="AB89" i="2" s="1"/>
  <c r="AA88" i="2"/>
  <c r="AB88" i="2" s="1"/>
  <c r="O93" i="2" a="1"/>
  <c r="P92" i="2" a="1"/>
  <c r="Q95" i="2"/>
  <c r="Q94" i="2"/>
  <c r="W95" i="2"/>
  <c r="W94" i="2"/>
  <c r="O96" i="2" l="1" a="1"/>
  <c r="P97" i="2" a="1"/>
  <c r="W93" i="2"/>
  <c r="Q93" i="2"/>
  <c r="AA93" i="2" s="1"/>
  <c r="AB93" i="2" s="1"/>
  <c r="W92" i="2"/>
  <c r="Q92" i="2"/>
  <c r="AA92" i="2" s="1"/>
  <c r="AB92" i="2" s="1"/>
  <c r="AA95" i="2"/>
  <c r="AB95" i="2" s="1"/>
  <c r="AA94" i="2"/>
  <c r="AB94" i="2" s="1"/>
  <c r="W96" i="2" l="1"/>
  <c r="AA96" i="2" s="1"/>
  <c r="AB96" i="2" s="1"/>
  <c r="Q96" i="2"/>
  <c r="W97" i="2"/>
  <c r="AA97" i="2" s="1"/>
  <c r="AB97" i="2" s="1"/>
  <c r="Q97" i="2"/>
  <c r="P98" i="2" a="1"/>
  <c r="O98" i="2" a="1"/>
  <c r="P99" i="2" a="1"/>
  <c r="O99" i="2" a="1"/>
  <c r="Q98" i="2" l="1"/>
  <c r="Q99" i="2"/>
  <c r="W98" i="2"/>
  <c r="W99" i="2"/>
  <c r="AA98" i="2" l="1"/>
  <c r="AB98" i="2" s="1"/>
  <c r="AA99" i="2"/>
  <c r="AB99" i="2" s="1"/>
  <c r="P101" i="2" a="1"/>
  <c r="O101" i="2" a="1"/>
  <c r="P100" i="2" a="1"/>
  <c r="O100" i="2" a="1"/>
  <c r="O103" i="2" a="1"/>
  <c r="O102" i="2" a="1"/>
  <c r="P103" i="2" a="1"/>
  <c r="P102" i="2" a="1"/>
  <c r="W101" i="2" l="1"/>
  <c r="Q101" i="2"/>
  <c r="Q100" i="2"/>
  <c r="W100" i="2"/>
  <c r="Q102" i="2"/>
  <c r="W103" i="2"/>
  <c r="Q103" i="2"/>
  <c r="W102" i="2"/>
  <c r="AA103" i="2" l="1"/>
  <c r="AB103" i="2" s="1"/>
  <c r="AA101" i="2"/>
  <c r="AB101" i="2" s="1"/>
  <c r="AA102" i="2"/>
  <c r="AB102" i="2" s="1"/>
  <c r="AA100" i="2"/>
  <c r="AB100" i="2" s="1"/>
  <c r="P104" i="2" a="1"/>
  <c r="O105" i="2" a="1"/>
  <c r="P105" i="2" a="1"/>
  <c r="O104" i="2" a="1"/>
  <c r="Q104" i="2" l="1"/>
  <c r="W105" i="2"/>
  <c r="Q105" i="2"/>
  <c r="W104" i="2"/>
  <c r="AA105" i="2" l="1"/>
  <c r="AB105" i="2" s="1"/>
  <c r="AA104" i="2"/>
  <c r="AB104" i="2" s="1"/>
  <c r="P109" i="2" s="1" a="1"/>
  <c r="O112" i="2" a="1"/>
  <c r="O113" i="2" a="1"/>
  <c r="P112" i="2" a="1"/>
  <c r="P113" i="2" a="1"/>
  <c r="O108" i="2" l="1" a="1"/>
  <c r="O109" i="2" a="1"/>
  <c r="P106" i="2" a="1"/>
  <c r="O107" i="2" a="1"/>
  <c r="W107" i="2" s="1"/>
  <c r="P107" i="2" a="1"/>
  <c r="O111" i="2" a="1"/>
  <c r="O106" i="2" a="1"/>
  <c r="P108" i="2" a="1"/>
  <c r="O110" i="2" a="1"/>
  <c r="P110" i="2" a="1"/>
  <c r="P111" i="2" a="1"/>
  <c r="Q112" i="2"/>
  <c r="Q113" i="2"/>
  <c r="W112" i="2"/>
  <c r="W113" i="2"/>
  <c r="W108" i="2" l="1"/>
  <c r="Q111" i="2"/>
  <c r="W106" i="2"/>
  <c r="W110" i="2"/>
  <c r="Q109" i="2"/>
  <c r="W109" i="2"/>
  <c r="Q106" i="2"/>
  <c r="Q107" i="2"/>
  <c r="AA107" i="2" s="1"/>
  <c r="AB107" i="2" s="1"/>
  <c r="W111" i="2"/>
  <c r="Q108" i="2"/>
  <c r="Q110" i="2"/>
  <c r="AA112" i="2"/>
  <c r="AB112" i="2" s="1"/>
  <c r="AA113" i="2"/>
  <c r="AB113" i="2" s="1"/>
  <c r="AA109" i="2" l="1"/>
  <c r="AB109" i="2" s="1"/>
  <c r="AA108" i="2"/>
  <c r="AB108" i="2" s="1"/>
  <c r="AA110" i="2"/>
  <c r="AB110" i="2" s="1"/>
  <c r="AA106" i="2"/>
  <c r="AB106" i="2" s="1"/>
  <c r="AA111" i="2"/>
  <c r="AB111" i="2" s="1"/>
  <c r="P115" i="2" a="1"/>
  <c r="O114" i="2" a="1"/>
  <c r="P114" i="2" a="1"/>
  <c r="O115" i="2" a="1"/>
  <c r="Q114" i="2" l="1"/>
  <c r="Q115" i="2"/>
  <c r="W114" i="2"/>
  <c r="W115" i="2"/>
  <c r="AA114" i="2" l="1"/>
  <c r="AB114" i="2" s="1"/>
  <c r="AA115" i="2"/>
  <c r="AB115" i="2" s="1"/>
  <c r="P116" i="2" a="1"/>
  <c r="O116" i="2" a="1"/>
  <c r="O117" i="2" a="1"/>
  <c r="P117" i="2" a="1"/>
  <c r="W116" i="2" l="1"/>
  <c r="Q117" i="2"/>
  <c r="Q116" i="2"/>
  <c r="W117" i="2"/>
  <c r="AA116" i="2" l="1"/>
  <c r="AB116" i="2" s="1"/>
  <c r="AA117" i="2"/>
  <c r="AB117" i="2" s="1"/>
  <c r="P120" i="2" a="1"/>
  <c r="O121" i="2" a="1"/>
  <c r="P121" i="2" a="1"/>
  <c r="O120" i="2" a="1"/>
  <c r="O119" i="2" a="1"/>
  <c r="P118" i="2" a="1"/>
  <c r="O118" i="2" a="1"/>
  <c r="P119" i="2" a="1"/>
  <c r="W121" i="2" l="1"/>
  <c r="W119" i="2"/>
  <c r="W118" i="2"/>
  <c r="Q120" i="2"/>
  <c r="Q121" i="2"/>
  <c r="Q118" i="2"/>
  <c r="Q119" i="2"/>
  <c r="W120" i="2"/>
  <c r="AA121" i="2" l="1"/>
  <c r="AB121" i="2" s="1"/>
  <c r="AA118" i="2"/>
  <c r="AB118" i="2" s="1"/>
  <c r="AA119" i="2"/>
  <c r="AB119" i="2" s="1"/>
  <c r="AA120" i="2"/>
  <c r="AB120" i="2" s="1"/>
  <c r="P124" i="2" l="1" a="1"/>
  <c r="O124" i="2" a="1"/>
  <c r="O125" i="2" a="1"/>
  <c r="P125" i="2" a="1"/>
  <c r="O122" i="2" a="1"/>
  <c r="P122" i="2" a="1"/>
  <c r="P123" i="2" a="1"/>
  <c r="O123" i="2" a="1"/>
  <c r="Q123" i="2" l="1"/>
  <c r="W124" i="2"/>
  <c r="W125" i="2"/>
  <c r="W122" i="2"/>
  <c r="W123" i="2"/>
  <c r="Q125" i="2"/>
  <c r="Q122" i="2"/>
  <c r="Q124" i="2"/>
  <c r="AA122" i="2" l="1"/>
  <c r="AB122" i="2" s="1"/>
  <c r="AA123" i="2"/>
  <c r="AB123" i="2" s="1"/>
  <c r="AA125" i="2"/>
  <c r="AB125" i="2" s="1"/>
  <c r="AA124" i="2"/>
  <c r="AB124" i="2" s="1"/>
  <c r="O127" i="2" a="1"/>
  <c r="P126" i="2" a="1"/>
  <c r="O126" i="2" a="1"/>
  <c r="P127" i="2" a="1"/>
  <c r="P128" i="2" a="1"/>
  <c r="P129" i="2" a="1"/>
  <c r="O129" i="2" a="1"/>
  <c r="O128" i="2" a="1"/>
  <c r="Q127" i="2" l="1"/>
  <c r="Q129" i="2"/>
  <c r="W126" i="2"/>
  <c r="Q128" i="2"/>
  <c r="W127" i="2"/>
  <c r="Q126" i="2"/>
  <c r="W129" i="2"/>
  <c r="W128" i="2"/>
  <c r="AA127" i="2" l="1"/>
  <c r="AB127" i="2" s="1"/>
  <c r="AA129" i="2"/>
  <c r="AB129" i="2" s="1"/>
  <c r="AA126" i="2"/>
  <c r="AB126" i="2" s="1"/>
  <c r="AA128" i="2"/>
  <c r="AB128" i="2" s="1"/>
  <c r="P131" i="2" l="1" a="1"/>
  <c r="P130" i="2" a="1"/>
  <c r="O131" i="2" a="1"/>
  <c r="O130" i="2" a="1"/>
  <c r="W131" i="2" l="1"/>
  <c r="W130" i="2"/>
  <c r="Q131" i="2"/>
  <c r="Q130" i="2"/>
  <c r="AA131" i="2" l="1"/>
  <c r="AB131" i="2" s="1"/>
  <c r="AA130" i="2"/>
  <c r="AB130" i="2" s="1"/>
  <c r="P132" i="2" a="1"/>
  <c r="O133" i="2" a="1"/>
  <c r="O132" i="2" a="1"/>
  <c r="P133" i="2" a="1"/>
  <c r="W132" i="2" l="1"/>
  <c r="Q133" i="2"/>
  <c r="Q132" i="2"/>
  <c r="W133" i="2"/>
  <c r="AA132" i="2" l="1"/>
  <c r="AB132" i="2" s="1"/>
  <c r="AA133" i="2"/>
  <c r="AB133" i="2" s="1"/>
  <c r="P134" i="2" a="1"/>
  <c r="P135" i="2" a="1"/>
  <c r="O135" i="2" a="1"/>
  <c r="O134" i="2" a="1"/>
  <c r="Q135" i="2" l="1"/>
  <c r="Q134" i="2"/>
  <c r="W134" i="2"/>
  <c r="W135" i="2"/>
  <c r="AA134" i="2" l="1"/>
  <c r="AB134" i="2" s="1"/>
  <c r="AA135" i="2"/>
  <c r="AB135" i="2" s="1"/>
  <c r="O136" i="2" a="1"/>
  <c r="P136" i="2" a="1"/>
  <c r="O137" i="2" a="1"/>
  <c r="P137" i="2" a="1"/>
  <c r="O138" i="2" a="1"/>
  <c r="P138" i="2" a="1"/>
  <c r="O139" i="2" a="1"/>
  <c r="P139" i="2" a="1"/>
  <c r="Q136" i="2" l="1"/>
  <c r="W139" i="2"/>
  <c r="W137" i="2"/>
  <c r="Q138" i="2"/>
  <c r="W136" i="2"/>
  <c r="Q137" i="2"/>
  <c r="W138" i="2"/>
  <c r="Q139" i="2"/>
  <c r="AA139" i="2" l="1"/>
  <c r="AB139" i="2" s="1"/>
  <c r="AA136" i="2"/>
  <c r="AB136" i="2" s="1"/>
  <c r="O140" i="2" a="1"/>
  <c r="O141" i="2" a="1"/>
  <c r="P141" i="2" a="1"/>
  <c r="P140" i="2" a="1"/>
  <c r="P143" i="2" a="1"/>
  <c r="P142" i="2" a="1"/>
  <c r="O143" i="2" a="1"/>
  <c r="O142" i="2" a="1"/>
  <c r="AA137" i="2"/>
  <c r="AB137" i="2" s="1"/>
  <c r="AA138" i="2"/>
  <c r="AB138" i="2" s="1"/>
  <c r="W143" i="2" l="1"/>
  <c r="Q141" i="2"/>
  <c r="W142" i="2"/>
  <c r="W140" i="2"/>
  <c r="W141" i="2"/>
  <c r="Q140" i="2"/>
  <c r="Q142" i="2"/>
  <c r="Q143" i="2"/>
  <c r="O145" i="2" a="1"/>
  <c r="P144" i="2" a="1"/>
  <c r="O144" i="2" a="1"/>
  <c r="P145" i="2" a="1"/>
  <c r="AA143" i="2" l="1"/>
  <c r="AB143" i="2" s="1"/>
  <c r="AA141" i="2"/>
  <c r="AB141" i="2" s="1"/>
  <c r="AA140" i="2"/>
  <c r="AB140" i="2" s="1"/>
  <c r="AA142" i="2"/>
  <c r="AB142" i="2" s="1"/>
  <c r="W145" i="2"/>
  <c r="W144" i="2"/>
  <c r="Q144" i="2"/>
  <c r="Q145" i="2"/>
  <c r="AA144" i="2" l="1"/>
  <c r="AB144" i="2" s="1"/>
  <c r="AA145" i="2"/>
  <c r="AB145" i="2" s="1"/>
  <c r="P147" i="2" l="1" a="1"/>
  <c r="O146" i="2" a="1"/>
  <c r="P146" i="2" a="1"/>
  <c r="O147" i="2" a="1"/>
  <c r="P149" i="2" a="1"/>
  <c r="O148" i="2" a="1"/>
  <c r="P148" i="2" a="1"/>
  <c r="O149" i="2" a="1"/>
  <c r="W148" i="2" l="1"/>
  <c r="Q146" i="2"/>
  <c r="W147" i="2"/>
  <c r="W149" i="2"/>
  <c r="Q147" i="2"/>
  <c r="W146" i="2"/>
  <c r="Q149" i="2"/>
  <c r="Q148" i="2"/>
  <c r="AA147" i="2" l="1"/>
  <c r="AB147" i="2" s="1"/>
  <c r="AA146" i="2"/>
  <c r="AB146" i="2" s="1"/>
  <c r="AA149" i="2"/>
  <c r="AB149" i="2" s="1"/>
  <c r="AA148" i="2"/>
  <c r="AB148" i="2" s="1"/>
  <c r="O152" i="2" a="1"/>
  <c r="P152" i="2" a="1"/>
  <c r="P153" i="2" a="1"/>
  <c r="O153" i="2" a="1"/>
  <c r="P155" i="2" a="1"/>
  <c r="P154" i="2" a="1"/>
  <c r="O155" i="2" a="1"/>
  <c r="O154" i="2" a="1"/>
  <c r="P150" i="2" l="1" a="1"/>
  <c r="P151" i="2" a="1"/>
  <c r="Q151" i="2" s="1"/>
  <c r="O151" i="2" a="1"/>
  <c r="O150" i="2" a="1"/>
  <c r="W152" i="2"/>
  <c r="Q153" i="2"/>
  <c r="Q152" i="2"/>
  <c r="W153" i="2"/>
  <c r="W155" i="2"/>
  <c r="W154" i="2"/>
  <c r="Q154" i="2"/>
  <c r="Q155" i="2"/>
  <c r="O156" i="2" a="1"/>
  <c r="P156" i="2" a="1"/>
  <c r="O157" i="2" a="1"/>
  <c r="P157" i="2" a="1"/>
  <c r="Q150" i="2" l="1"/>
  <c r="W151" i="2"/>
  <c r="AA151" i="2" s="1"/>
  <c r="AB151" i="2" s="1"/>
  <c r="W150" i="2"/>
  <c r="AA152" i="2"/>
  <c r="AB152" i="2" s="1"/>
  <c r="AA153" i="2"/>
  <c r="AB153" i="2" s="1"/>
  <c r="W157" i="2"/>
  <c r="AA154" i="2"/>
  <c r="AB154" i="2" s="1"/>
  <c r="AA155" i="2"/>
  <c r="AB155" i="2" s="1"/>
  <c r="Q156" i="2"/>
  <c r="W156" i="2"/>
  <c r="Q157" i="2"/>
  <c r="AA150" i="2" l="1"/>
  <c r="AB150" i="2" s="1"/>
  <c r="AA157" i="2"/>
  <c r="AB157" i="2" s="1"/>
  <c r="AA156" i="2"/>
  <c r="AB156" i="2" s="1"/>
  <c r="O158" i="2" l="1" a="1"/>
  <c r="P158" i="2" a="1"/>
  <c r="O159" i="2" a="1"/>
  <c r="P159" i="2" a="1"/>
  <c r="O160" i="2" a="1"/>
  <c r="P160" i="2" a="1"/>
  <c r="P161" i="2" a="1"/>
  <c r="O161" i="2" a="1"/>
  <c r="W158" i="2" l="1"/>
  <c r="Q159" i="2"/>
  <c r="Q158" i="2"/>
  <c r="W159" i="2"/>
  <c r="W161" i="2"/>
  <c r="W160" i="2"/>
  <c r="Q160" i="2"/>
  <c r="Q161" i="2"/>
  <c r="AA158" i="2" l="1"/>
  <c r="AB158" i="2" s="1"/>
  <c r="AA159" i="2"/>
  <c r="AB159" i="2" s="1"/>
  <c r="AA161" i="2"/>
  <c r="AB161" i="2" s="1"/>
  <c r="P163" i="2" a="1"/>
  <c r="P162" i="2" a="1"/>
  <c r="O163" i="2" a="1"/>
  <c r="O162" i="2" a="1"/>
  <c r="AA160" i="2"/>
  <c r="AB160" i="2" s="1"/>
  <c r="Q162" i="2" l="1"/>
  <c r="W163" i="2"/>
  <c r="Q163" i="2"/>
  <c r="W162" i="2"/>
  <c r="AA162" i="2" l="1"/>
  <c r="AB162" i="2" s="1"/>
  <c r="AA163" i="2"/>
  <c r="AB163" i="2" s="1"/>
  <c r="P166" i="2" a="1"/>
  <c r="O167" i="2" a="1"/>
  <c r="P167" i="2" a="1"/>
  <c r="O166" i="2" a="1"/>
  <c r="O169" i="2" a="1"/>
  <c r="O168" i="2" a="1"/>
  <c r="P169" i="2" a="1"/>
  <c r="P168" i="2" a="1"/>
  <c r="O164" i="2" l="1" a="1"/>
  <c r="P165" i="2" a="1"/>
  <c r="O165" i="2" a="1"/>
  <c r="P164" i="2" a="1"/>
  <c r="Q168" i="2"/>
  <c r="Q166" i="2"/>
  <c r="W167" i="2"/>
  <c r="W166" i="2"/>
  <c r="Q169" i="2"/>
  <c r="Q167" i="2"/>
  <c r="W169" i="2"/>
  <c r="W168" i="2"/>
  <c r="W164" i="2" l="1"/>
  <c r="Q164" i="2"/>
  <c r="W165" i="2"/>
  <c r="Q165" i="2"/>
  <c r="AA166" i="2"/>
  <c r="AB166" i="2" s="1"/>
  <c r="AA168" i="2"/>
  <c r="AB168" i="2" s="1"/>
  <c r="AA167" i="2"/>
  <c r="AB167" i="2" s="1"/>
  <c r="AA169" i="2"/>
  <c r="AB169" i="2" s="1"/>
  <c r="AA165" i="2" l="1"/>
  <c r="AB165" i="2" s="1"/>
  <c r="AA164" i="2"/>
  <c r="AB164" i="2" s="1"/>
  <c r="O171" i="2" a="1"/>
  <c r="P171" i="2" a="1"/>
  <c r="P170" i="2" a="1"/>
  <c r="O170" i="2" a="1"/>
  <c r="Q171" i="2" l="1"/>
  <c r="W170" i="2"/>
  <c r="W171" i="2"/>
  <c r="Q170" i="2"/>
  <c r="AA171" i="2" l="1"/>
  <c r="AB171" i="2" s="1"/>
  <c r="AA170" i="2"/>
  <c r="AB170" i="2" s="1"/>
  <c r="O174" i="2" l="1" a="1"/>
  <c r="P174" i="2" a="1"/>
  <c r="P175" i="2" a="1"/>
  <c r="P172" i="2" a="1"/>
  <c r="O175" i="2" a="1"/>
  <c r="P173" i="2" a="1"/>
  <c r="O172" i="2" a="1"/>
  <c r="P177" i="2" a="1"/>
  <c r="O173" i="2" a="1"/>
  <c r="O176" i="2" a="1"/>
  <c r="O177" i="2" a="1"/>
  <c r="P176" i="2" a="1"/>
  <c r="O179" i="2" a="1"/>
  <c r="P178" i="2" a="1"/>
  <c r="P179" i="2" a="1"/>
  <c r="O178" i="2" a="1"/>
  <c r="Q176" i="2" l="1"/>
  <c r="Q174" i="2"/>
  <c r="W177" i="2"/>
  <c r="Q175" i="2"/>
  <c r="Q172" i="2"/>
  <c r="Q173" i="2"/>
  <c r="Q177" i="2"/>
  <c r="W174" i="2"/>
  <c r="W175" i="2"/>
  <c r="W172" i="2"/>
  <c r="W173" i="2"/>
  <c r="W176" i="2"/>
  <c r="Q178" i="2"/>
  <c r="Q179" i="2"/>
  <c r="W178" i="2"/>
  <c r="W179" i="2"/>
  <c r="AA176" i="2" l="1"/>
  <c r="AB176" i="2" s="1"/>
  <c r="AA177" i="2"/>
  <c r="AB177" i="2" s="1"/>
  <c r="AA174" i="2"/>
  <c r="AB174" i="2" s="1"/>
  <c r="AA175" i="2"/>
  <c r="AB175" i="2" s="1"/>
  <c r="AA172" i="2"/>
  <c r="AB172" i="2" s="1"/>
  <c r="AA173" i="2"/>
  <c r="AB173" i="2" s="1"/>
  <c r="AA178" i="2"/>
  <c r="AB178" i="2" s="1"/>
  <c r="AA179" i="2"/>
  <c r="AB179" i="2" s="1"/>
  <c r="P180" i="2" a="1"/>
  <c r="O181" i="2" a="1"/>
  <c r="O180" i="2" a="1"/>
  <c r="P181" i="2" a="1"/>
  <c r="Q180" i="2" l="1"/>
  <c r="W181" i="2"/>
  <c r="W180" i="2"/>
  <c r="Q181" i="2"/>
  <c r="AA180" i="2" l="1"/>
  <c r="AB180" i="2" s="1"/>
  <c r="AA181" i="2"/>
  <c r="AB181" i="2" s="1"/>
  <c r="P183" i="2" l="1" a="1"/>
  <c r="O183" i="2" a="1"/>
  <c r="O182" i="2" a="1"/>
  <c r="P182" i="2" a="1"/>
  <c r="W183" i="2" l="1"/>
  <c r="W182" i="2"/>
  <c r="Q183" i="2"/>
  <c r="Q182" i="2"/>
  <c r="AA183" i="2" l="1"/>
  <c r="AB183" i="2" s="1"/>
  <c r="AA182" i="2"/>
  <c r="AB182" i="2" s="1"/>
  <c r="O184" i="2" a="1"/>
  <c r="P185" i="2" a="1"/>
  <c r="O185" i="2" a="1"/>
  <c r="P184" i="2" a="1"/>
  <c r="P187" i="2" a="1"/>
  <c r="O187" i="2" a="1"/>
  <c r="O186" i="2" a="1"/>
  <c r="P186" i="2" a="1"/>
  <c r="Q186" i="2" l="1"/>
  <c r="W187" i="2"/>
  <c r="W184" i="2"/>
  <c r="Q185" i="2"/>
  <c r="W185" i="2"/>
  <c r="Q184" i="2"/>
  <c r="Q187" i="2"/>
  <c r="W186" i="2"/>
  <c r="O190" i="2" a="1"/>
  <c r="O191" i="2" a="1"/>
  <c r="P190" i="2" a="1"/>
  <c r="P191" i="2" a="1"/>
  <c r="P188" i="2" a="1"/>
  <c r="O189" i="2" a="1"/>
  <c r="O188" i="2" a="1"/>
  <c r="P189" i="2" a="1"/>
  <c r="AA186" i="2" l="1"/>
  <c r="AB186" i="2" s="1"/>
  <c r="AA184" i="2"/>
  <c r="AB184" i="2" s="1"/>
  <c r="AA187" i="2"/>
  <c r="AB187" i="2" s="1"/>
  <c r="AA185" i="2"/>
  <c r="AB185" i="2" s="1"/>
  <c r="W190" i="2"/>
  <c r="W191" i="2"/>
  <c r="Q188" i="2"/>
  <c r="Q189" i="2"/>
  <c r="Q190" i="2"/>
  <c r="Q191" i="2"/>
  <c r="W189" i="2"/>
  <c r="W188" i="2"/>
  <c r="AA190" i="2" l="1"/>
  <c r="AB190" i="2" s="1"/>
  <c r="AA188" i="2"/>
  <c r="AB188" i="2" s="1"/>
  <c r="AA191" i="2"/>
  <c r="AB191" i="2" s="1"/>
  <c r="AA189" i="2"/>
  <c r="AB189" i="2" s="1"/>
  <c r="O193" i="2" l="1" a="1"/>
  <c r="O192" i="2" a="1"/>
  <c r="P193" i="2" a="1"/>
  <c r="P192" i="2" a="1"/>
  <c r="W193" i="2" l="1"/>
  <c r="W192" i="2"/>
  <c r="Q193" i="2"/>
  <c r="Q192" i="2"/>
  <c r="AA193" i="2" l="1"/>
  <c r="AB193" i="2" s="1"/>
  <c r="AA192" i="2"/>
  <c r="AB192" i="2" s="1"/>
  <c r="P195" i="2" l="1" a="1"/>
  <c r="O194" i="2" a="1"/>
  <c r="P194" i="2" a="1"/>
  <c r="O195" i="2" a="1"/>
  <c r="W194" i="2" l="1"/>
  <c r="Q195" i="2"/>
  <c r="Q194" i="2"/>
  <c r="W195" i="2"/>
  <c r="AA195" i="2" l="1"/>
  <c r="AB195" i="2" s="1"/>
  <c r="AA194" i="2"/>
  <c r="AB194" i="2" s="1"/>
  <c r="O197" i="2" a="1"/>
  <c r="O196" i="2" a="1"/>
  <c r="P196" i="2" a="1"/>
  <c r="P197" i="2" a="1"/>
  <c r="W196" i="2" l="1"/>
  <c r="Q197" i="2"/>
  <c r="W197" i="2"/>
  <c r="Q196" i="2"/>
  <c r="AA196" i="2" l="1"/>
  <c r="AB196" i="2" s="1"/>
  <c r="AA197" i="2"/>
  <c r="AB197" i="2" s="1"/>
  <c r="O198" i="2" l="1" a="1"/>
  <c r="O202" i="2" a="1"/>
  <c r="P201" i="2" a="1"/>
  <c r="P199" i="2" a="1"/>
  <c r="O199" i="2" a="1"/>
  <c r="O201" i="2" a="1"/>
  <c r="P198" i="2" a="1"/>
  <c r="P200" i="2" a="1"/>
  <c r="O200" i="2" a="1"/>
  <c r="P203" i="2" a="1"/>
  <c r="P202" i="2" a="1"/>
  <c r="O203" i="2" a="1"/>
  <c r="O204" i="2" a="1"/>
  <c r="O205" i="2" a="1"/>
  <c r="P204" i="2" a="1"/>
  <c r="P205" i="2" a="1"/>
  <c r="Q198" i="2" l="1"/>
  <c r="W200" i="2"/>
  <c r="W199" i="2"/>
  <c r="W201" i="2"/>
  <c r="Q203" i="2"/>
  <c r="Q202" i="2"/>
  <c r="W204" i="2"/>
  <c r="W205" i="2"/>
  <c r="W198" i="2"/>
  <c r="W202" i="2"/>
  <c r="Q201" i="2"/>
  <c r="Q199" i="2"/>
  <c r="Q200" i="2"/>
  <c r="W203" i="2"/>
  <c r="Q204" i="2"/>
  <c r="Q205" i="2"/>
  <c r="P210" i="2" a="1"/>
  <c r="O211" i="2" a="1"/>
  <c r="W211" i="2" s="1"/>
  <c r="O210" i="2" a="1"/>
  <c r="W210" i="2" s="1"/>
  <c r="P211" i="2" a="1"/>
  <c r="P207" i="2" a="1"/>
  <c r="O207" i="2" a="1"/>
  <c r="O206" i="2" a="1"/>
  <c r="P206" i="2" a="1"/>
  <c r="P209" i="2" a="1"/>
  <c r="O208" i="2" a="1"/>
  <c r="AA200" i="2" l="1"/>
  <c r="AB200" i="2" s="1"/>
  <c r="AA198" i="2"/>
  <c r="AB198" i="2" s="1"/>
  <c r="AA199" i="2"/>
  <c r="AB199" i="2" s="1"/>
  <c r="AA202" i="2"/>
  <c r="AB202" i="2" s="1"/>
  <c r="AA201" i="2"/>
  <c r="AB201" i="2" s="1"/>
  <c r="Q211" i="2"/>
  <c r="AA211" i="2" s="1"/>
  <c r="AB211" i="2" s="1"/>
  <c r="AA203" i="2"/>
  <c r="AB203" i="2" s="1"/>
  <c r="AA204" i="2"/>
  <c r="AB204" i="2" s="1"/>
  <c r="AA205" i="2"/>
  <c r="AB205" i="2" s="1"/>
  <c r="Q210" i="2"/>
  <c r="AA210" i="2" s="1"/>
  <c r="AB210" i="2" s="1"/>
  <c r="W207" i="2"/>
  <c r="W206" i="2"/>
  <c r="Q207" i="2"/>
  <c r="Q206" i="2"/>
  <c r="O209" i="2" l="1" a="1"/>
  <c r="P208" i="2" a="1"/>
  <c r="AA207" i="2"/>
  <c r="AB207" i="2" s="1"/>
  <c r="P213" i="2" a="1"/>
  <c r="O212" i="2" a="1"/>
  <c r="AA206" i="2"/>
  <c r="AB206" i="2" s="1"/>
  <c r="Q209" i="2" l="1"/>
  <c r="W209" i="2"/>
  <c r="AA209" i="2" s="1"/>
  <c r="AB209" i="2" s="1"/>
  <c r="W208" i="2"/>
  <c r="Q208" i="2"/>
  <c r="P214" i="2" a="1"/>
  <c r="O215" i="2" a="1"/>
  <c r="O214" i="2" a="1"/>
  <c r="P215" i="2" a="1"/>
  <c r="AA208" i="2" l="1"/>
  <c r="AB208" i="2" s="1"/>
  <c r="Q214" i="2"/>
  <c r="Q215" i="2"/>
  <c r="W214" i="2"/>
  <c r="W215" i="2"/>
  <c r="O217" i="2" a="1"/>
  <c r="P217" i="2" a="1"/>
  <c r="O216" i="2" a="1"/>
  <c r="P216" i="2" a="1"/>
  <c r="P212" i="2" l="1" a="1"/>
  <c r="O213" i="2" a="1"/>
  <c r="AA214" i="2"/>
  <c r="AB214" i="2" s="1"/>
  <c r="AA215" i="2"/>
  <c r="AB215" i="2" s="1"/>
  <c r="W217" i="2"/>
  <c r="W216" i="2"/>
  <c r="Q217" i="2"/>
  <c r="O219" i="2" a="1"/>
  <c r="P218" i="2" a="1"/>
  <c r="O218" i="2" a="1"/>
  <c r="P219" i="2" a="1"/>
  <c r="Q216" i="2"/>
  <c r="W212" i="2" l="1"/>
  <c r="Q212" i="2"/>
  <c r="Q213" i="2"/>
  <c r="W213" i="2"/>
  <c r="AA213" i="2" s="1"/>
  <c r="AB213" i="2" s="1"/>
  <c r="AA217" i="2"/>
  <c r="AB217" i="2" s="1"/>
  <c r="Q219" i="2"/>
  <c r="AA216" i="2"/>
  <c r="AB216" i="2" s="1"/>
  <c r="Q218" i="2"/>
  <c r="W219" i="2"/>
  <c r="W218" i="2"/>
  <c r="AA212" i="2" l="1"/>
  <c r="AB212" i="2" s="1"/>
  <c r="AA218" i="2"/>
  <c r="AB218" i="2" s="1"/>
  <c r="AA219" i="2"/>
  <c r="AB219" i="2" s="1"/>
  <c r="O221" i="2" l="1" a="1"/>
  <c r="O220" i="2" a="1"/>
  <c r="P221" i="2" a="1"/>
  <c r="P220" i="2" a="1"/>
  <c r="W220" i="2" l="1"/>
  <c r="Q221" i="2"/>
  <c r="W221" i="2"/>
  <c r="Q220" i="2"/>
  <c r="AA220" i="2" l="1"/>
  <c r="AB220" i="2" s="1"/>
  <c r="AA221" i="2"/>
  <c r="AB221" i="2" s="1"/>
  <c r="O222" i="2" l="1" a="1"/>
  <c r="P222" i="2" a="1"/>
  <c r="O223" i="2" a="1"/>
  <c r="P223" i="2" a="1"/>
  <c r="Q223" i="2" l="1"/>
  <c r="W222" i="2"/>
  <c r="Q222" i="2"/>
  <c r="W223" i="2"/>
  <c r="AA223" i="2" l="1"/>
  <c r="AB223" i="2" s="1"/>
  <c r="O224" i="2" a="1"/>
  <c r="O225" i="2" a="1"/>
  <c r="P225" i="2" a="1"/>
  <c r="P224" i="2" a="1"/>
  <c r="AA222" i="2"/>
  <c r="AB222" i="2" s="1"/>
  <c r="W225" i="2" l="1"/>
  <c r="Q224" i="2"/>
  <c r="W224" i="2"/>
  <c r="AA224" i="2" s="1"/>
  <c r="AB224" i="2" s="1"/>
  <c r="Q225" i="2"/>
  <c r="P226" i="2" a="1"/>
  <c r="P227" i="2" a="1"/>
  <c r="O227" i="2" a="1"/>
  <c r="W227" i="2" s="1"/>
  <c r="O226" i="2" a="1"/>
  <c r="O231" i="2" a="1"/>
  <c r="P231" i="2" a="1"/>
  <c r="O230" i="2" a="1"/>
  <c r="W230" i="2" s="1"/>
  <c r="O228" i="2" a="1"/>
  <c r="P228" i="2" a="1"/>
  <c r="O229" i="2" a="1"/>
  <c r="P230" i="2" a="1"/>
  <c r="P229" i="2" a="1"/>
  <c r="P232" i="2" a="1"/>
  <c r="O233" i="2" a="1"/>
  <c r="O232" i="2" a="1"/>
  <c r="P233" i="2" a="1"/>
  <c r="W226" i="2" l="1"/>
  <c r="W228" i="2"/>
  <c r="Q229" i="2"/>
  <c r="AA225" i="2"/>
  <c r="AB225" i="2" s="1"/>
  <c r="Q226" i="2"/>
  <c r="Q228" i="2"/>
  <c r="W229" i="2"/>
  <c r="AA229" i="2" s="1"/>
  <c r="AB229" i="2" s="1"/>
  <c r="Q230" i="2"/>
  <c r="Q227" i="2"/>
  <c r="AA227" i="2" s="1"/>
  <c r="AB227" i="2" s="1"/>
  <c r="W231" i="2"/>
  <c r="Q231" i="2"/>
  <c r="AA230" i="2"/>
  <c r="AB230" i="2" s="1"/>
  <c r="Q232" i="2"/>
  <c r="W233" i="2"/>
  <c r="W232" i="2"/>
  <c r="Q233" i="2"/>
  <c r="AA228" i="2" l="1"/>
  <c r="AB228" i="2" s="1"/>
  <c r="AA226" i="2"/>
  <c r="AB226" i="2" s="1"/>
  <c r="AA231" i="2"/>
  <c r="AB231" i="2" s="1"/>
  <c r="AA232" i="2"/>
  <c r="AB232" i="2" s="1"/>
  <c r="AA233" i="2"/>
  <c r="AB233" i="2" s="1"/>
  <c r="O235" i="2" l="1" a="1"/>
  <c r="O234" i="2" a="1"/>
  <c r="P235" i="2" a="1"/>
  <c r="P234" i="2" a="1"/>
  <c r="Q234" i="2" l="1"/>
  <c r="W235" i="2"/>
  <c r="W234" i="2"/>
  <c r="Q235" i="2"/>
  <c r="AA234" i="2" l="1"/>
  <c r="AB234" i="2" s="1"/>
  <c r="AA235" i="2"/>
  <c r="AB235" i="2" s="1"/>
  <c r="O237" i="2" a="1"/>
  <c r="P236" i="2" a="1"/>
  <c r="P237" i="2" a="1"/>
  <c r="O236" i="2" a="1"/>
  <c r="P239" i="2" a="1"/>
  <c r="O239" i="2" a="1"/>
  <c r="P238" i="2" a="1"/>
  <c r="O238" i="2" a="1"/>
  <c r="Q237" i="2" l="1"/>
  <c r="W236" i="2"/>
  <c r="Q238" i="2"/>
  <c r="Q239" i="2"/>
  <c r="Q236" i="2"/>
  <c r="W239" i="2"/>
  <c r="W238" i="2"/>
  <c r="W237" i="2"/>
  <c r="AA236" i="2" l="1"/>
  <c r="AB236" i="2" s="1"/>
  <c r="AA238" i="2"/>
  <c r="AB238" i="2" s="1"/>
  <c r="AA237" i="2"/>
  <c r="AB237" i="2" s="1"/>
  <c r="AA239" i="2"/>
  <c r="AB239" i="2" s="1"/>
  <c r="O243" i="2" a="1"/>
  <c r="O242" i="2" a="1"/>
  <c r="P243" i="2" a="1"/>
  <c r="P241" i="2" a="1"/>
  <c r="P242" i="2" a="1"/>
  <c r="P240" i="2" a="1"/>
  <c r="O240" i="2" a="1"/>
  <c r="O241" i="2" a="1"/>
  <c r="Q242" i="2" l="1"/>
  <c r="Q240" i="2"/>
  <c r="Q241" i="2"/>
  <c r="W243" i="2"/>
  <c r="W240" i="2"/>
  <c r="W242" i="2"/>
  <c r="Q243" i="2"/>
  <c r="W241" i="2"/>
  <c r="AA242" i="2" l="1"/>
  <c r="AB242" i="2" s="1"/>
  <c r="AA243" i="2"/>
  <c r="AB243" i="2" s="1"/>
  <c r="AA240" i="2"/>
  <c r="AB240" i="2" s="1"/>
  <c r="AA241" i="2"/>
  <c r="AB241" i="2" s="1"/>
  <c r="O247" i="2" a="1"/>
  <c r="P246" i="2" a="1"/>
  <c r="P247" i="2" a="1"/>
  <c r="O246" i="2" a="1"/>
  <c r="O245" i="2" l="1" a="1"/>
  <c r="P244" i="2" a="1"/>
  <c r="P245" i="2" a="1"/>
  <c r="O244" i="2" a="1"/>
  <c r="W247" i="2"/>
  <c r="W246" i="2"/>
  <c r="Q246" i="2"/>
  <c r="Q247" i="2"/>
  <c r="Q244" i="2" l="1"/>
  <c r="Q245" i="2"/>
  <c r="W244" i="2"/>
  <c r="W245" i="2"/>
  <c r="AA247" i="2"/>
  <c r="AB247" i="2" s="1"/>
  <c r="AA246" i="2"/>
  <c r="AB246" i="2" s="1"/>
  <c r="O250" i="2" a="1"/>
  <c r="P253" i="2" a="1"/>
  <c r="P251" i="2" a="1"/>
  <c r="O254" i="2" a="1"/>
  <c r="O253" i="2" a="1"/>
  <c r="P252" i="2" a="1"/>
  <c r="O252" i="2" a="1"/>
  <c r="P255" i="2" a="1"/>
  <c r="O255" i="2" a="1"/>
  <c r="P254" i="2" a="1"/>
  <c r="AA244" i="2" l="1"/>
  <c r="AB244" i="2" s="1"/>
  <c r="AA245" i="2"/>
  <c r="AB245" i="2" s="1"/>
  <c r="O248" i="2" a="1"/>
  <c r="P248" i="2" a="1"/>
  <c r="P249" i="2" a="1"/>
  <c r="O249" i="2" a="1"/>
  <c r="W255" i="2"/>
  <c r="Q252" i="2"/>
  <c r="W253" i="2"/>
  <c r="Q254" i="2"/>
  <c r="Q253" i="2"/>
  <c r="W254" i="2"/>
  <c r="W252" i="2"/>
  <c r="Q255" i="2"/>
  <c r="P250" i="2" l="1" a="1"/>
  <c r="O251" i="2" a="1"/>
  <c r="Q248" i="2"/>
  <c r="W249" i="2"/>
  <c r="Q249" i="2"/>
  <c r="W248" i="2"/>
  <c r="AA255" i="2"/>
  <c r="AB255" i="2" s="1"/>
  <c r="AA253" i="2"/>
  <c r="AB253" i="2" s="1"/>
  <c r="AA252" i="2"/>
  <c r="AB252" i="2" s="1"/>
  <c r="AA254" i="2"/>
  <c r="AB254" i="2" s="1"/>
  <c r="O256" i="2" a="1"/>
  <c r="P256" i="2" a="1"/>
  <c r="P257" i="2" a="1"/>
  <c r="O257" i="2" a="1"/>
  <c r="W250" i="2" l="1"/>
  <c r="Q250" i="2"/>
  <c r="Q251" i="2"/>
  <c r="W251" i="2"/>
  <c r="AA249" i="2"/>
  <c r="AB249" i="2" s="1"/>
  <c r="AA248" i="2"/>
  <c r="AB248" i="2" s="1"/>
  <c r="Q256" i="2"/>
  <c r="W257" i="2"/>
  <c r="W256" i="2"/>
  <c r="Q257" i="2"/>
  <c r="AA251" i="2" l="1"/>
  <c r="AB251" i="2" s="1"/>
  <c r="AA250" i="2"/>
  <c r="AB250" i="2" s="1"/>
  <c r="AA256" i="2"/>
  <c r="AB256" i="2" s="1"/>
  <c r="AA257" i="2"/>
  <c r="AB257" i="2" s="1"/>
  <c r="O258" i="2" l="1" a="1"/>
  <c r="P259" i="2" a="1"/>
  <c r="P258" i="2" a="1"/>
  <c r="O259" i="2" a="1"/>
  <c r="W259" i="2" l="1"/>
  <c r="Q258" i="2"/>
  <c r="Q259" i="2"/>
  <c r="W258" i="2"/>
  <c r="P261" i="2" a="1"/>
  <c r="P260" i="2" a="1"/>
  <c r="O261" i="2" a="1"/>
  <c r="O260" i="2" a="1"/>
  <c r="AA259" i="2" l="1"/>
  <c r="AB259" i="2" s="1"/>
  <c r="AA258" i="2"/>
  <c r="AB258" i="2" s="1"/>
  <c r="W261" i="2"/>
  <c r="W260" i="2"/>
  <c r="Q261" i="2"/>
  <c r="Q260" i="2"/>
  <c r="AA261" i="2" l="1"/>
  <c r="AB261" i="2" s="1"/>
  <c r="AA260" i="2"/>
  <c r="AB260" i="2" s="1"/>
  <c r="P263" i="2" l="1" a="1"/>
  <c r="P262" i="2" a="1"/>
  <c r="O263" i="2" a="1"/>
  <c r="O267" i="2" a="1"/>
  <c r="O265" i="2" a="1"/>
  <c r="O262" i="2" a="1"/>
  <c r="O264" i="2" a="1"/>
  <c r="P265" i="2" a="1"/>
  <c r="P266" i="2" a="1"/>
  <c r="P264" i="2" a="1"/>
  <c r="O266" i="2" a="1"/>
  <c r="P267" i="2" a="1"/>
  <c r="Q267" i="2" l="1"/>
  <c r="Q266" i="2"/>
  <c r="W263" i="2"/>
  <c r="Q264" i="2"/>
  <c r="Q262" i="2"/>
  <c r="W265" i="2"/>
  <c r="Q263" i="2"/>
  <c r="W267" i="2"/>
  <c r="W262" i="2"/>
  <c r="W264" i="2"/>
  <c r="Q265" i="2"/>
  <c r="W266" i="2"/>
  <c r="AA267" i="2" l="1"/>
  <c r="AB267" i="2" s="1"/>
  <c r="AA266" i="2"/>
  <c r="AB266" i="2" s="1"/>
  <c r="AA263" i="2"/>
  <c r="AB263" i="2" s="1"/>
  <c r="AA264" i="2"/>
  <c r="AB264" i="2" s="1"/>
  <c r="AA262" i="2"/>
  <c r="AB262" i="2" s="1"/>
  <c r="AA265" i="2"/>
  <c r="AB265" i="2" s="1"/>
  <c r="O268" i="2" a="1"/>
  <c r="P270" i="2" a="1"/>
  <c r="O271" i="2" a="1"/>
  <c r="P269" i="2" a="1"/>
  <c r="P268" i="2" a="1"/>
  <c r="O269" i="2" a="1"/>
  <c r="Q268" i="2" l="1"/>
  <c r="O270" i="2" a="1"/>
  <c r="P271" i="2" a="1"/>
  <c r="Q269" i="2"/>
  <c r="W268" i="2"/>
  <c r="W269" i="2"/>
  <c r="AA268" i="2" l="1"/>
  <c r="AB268" i="2" s="1"/>
  <c r="W270" i="2"/>
  <c r="Q270" i="2"/>
  <c r="W271" i="2"/>
  <c r="Q271" i="2"/>
  <c r="AA269" i="2"/>
  <c r="AB269" i="2" s="1"/>
  <c r="AA270" i="2" l="1"/>
  <c r="AB270" i="2" s="1"/>
  <c r="AA271" i="2"/>
  <c r="AB271" i="2" s="1"/>
  <c r="O280" i="2" a="1"/>
  <c r="O281" i="2" a="1"/>
  <c r="P280" i="2" a="1"/>
  <c r="P281" i="2" a="1"/>
  <c r="P275" i="2" l="1" a="1"/>
  <c r="O276" i="2" a="1"/>
  <c r="O274" i="2" a="1"/>
  <c r="P277" i="2" a="1"/>
  <c r="O279" i="2" a="1"/>
  <c r="P278" i="2" a="1"/>
  <c r="O278" i="2" a="1"/>
  <c r="P276" i="2" a="1"/>
  <c r="P272" i="2" a="1"/>
  <c r="P273" i="2" a="1"/>
  <c r="O272" i="2" a="1"/>
  <c r="O277" i="2" a="1"/>
  <c r="P279" i="2" a="1"/>
  <c r="O273" i="2" a="1"/>
  <c r="P274" i="2" a="1"/>
  <c r="O275" i="2" a="1"/>
  <c r="W281" i="2"/>
  <c r="Q280" i="2"/>
  <c r="W280" i="2"/>
  <c r="Q281" i="2"/>
  <c r="Q272" i="2" l="1"/>
  <c r="W277" i="2"/>
  <c r="W278" i="2"/>
  <c r="W275" i="2"/>
  <c r="W274" i="2"/>
  <c r="W279" i="2"/>
  <c r="Q273" i="2"/>
  <c r="W276" i="2"/>
  <c r="Q275" i="2"/>
  <c r="Q277" i="2"/>
  <c r="Q278" i="2"/>
  <c r="Q276" i="2"/>
  <c r="W272" i="2"/>
  <c r="AA272" i="2" s="1"/>
  <c r="AB272" i="2" s="1"/>
  <c r="Q279" i="2"/>
  <c r="W273" i="2"/>
  <c r="Q274" i="2"/>
  <c r="AA281" i="2"/>
  <c r="AB281" i="2" s="1"/>
  <c r="AA280" i="2"/>
  <c r="AB280" i="2" s="1"/>
  <c r="O284" i="2" a="1"/>
  <c r="P284" i="2" a="1"/>
  <c r="P285" i="2" a="1"/>
  <c r="O285" i="2" a="1"/>
  <c r="AA277" i="2" l="1"/>
  <c r="AB277" i="2" s="1"/>
  <c r="AA278" i="2"/>
  <c r="AB278" i="2" s="1"/>
  <c r="AA275" i="2"/>
  <c r="AB275" i="2" s="1"/>
  <c r="AA276" i="2"/>
  <c r="AB276" i="2" s="1"/>
  <c r="AA279" i="2"/>
  <c r="AB279" i="2" s="1"/>
  <c r="AA274" i="2"/>
  <c r="AB274" i="2" s="1"/>
  <c r="AA273" i="2"/>
  <c r="AB273" i="2" s="1"/>
  <c r="O282" i="2" a="1"/>
  <c r="O283" i="2" a="1"/>
  <c r="P282" i="2" a="1"/>
  <c r="Q282" i="2" s="1"/>
  <c r="P283" i="2" a="1"/>
  <c r="Q284" i="2"/>
  <c r="W285" i="2"/>
  <c r="W284" i="2"/>
  <c r="Q285" i="2"/>
  <c r="Q283" i="2" l="1"/>
  <c r="W283" i="2"/>
  <c r="W282" i="2"/>
  <c r="AA282" i="2" s="1"/>
  <c r="AB282" i="2" s="1"/>
  <c r="AA284" i="2"/>
  <c r="AB284" i="2" s="1"/>
  <c r="AA285" i="2"/>
  <c r="AB285" i="2" s="1"/>
  <c r="AA283" i="2" l="1"/>
  <c r="AB283" i="2" s="1"/>
  <c r="O286" i="2" a="1"/>
  <c r="P286" i="2" a="1"/>
  <c r="O287" i="2" a="1"/>
  <c r="P287" i="2" a="1"/>
  <c r="W287" i="2" l="1"/>
  <c r="Q286" i="2"/>
  <c r="W286" i="2"/>
  <c r="Q287" i="2"/>
  <c r="AA287" i="2" s="1"/>
  <c r="AB287" i="2" s="1"/>
  <c r="AA286" i="2" l="1"/>
  <c r="AB286" i="2" s="1"/>
  <c r="P290" i="2" a="1"/>
  <c r="P289" i="2" a="1"/>
  <c r="Q289" i="2" s="1"/>
  <c r="P288" i="2" a="1"/>
  <c r="O289" i="2" a="1"/>
  <c r="P291" i="2" a="1"/>
  <c r="O288" i="2" a="1"/>
  <c r="O290" i="2" a="1"/>
  <c r="O291" i="2" a="1"/>
  <c r="W290" i="2" l="1"/>
  <c r="Q288" i="2"/>
  <c r="Q291" i="2"/>
  <c r="Q290" i="2"/>
  <c r="W289" i="2"/>
  <c r="AA289" i="2" s="1"/>
  <c r="AB289" i="2" s="1"/>
  <c r="W291" i="2"/>
  <c r="W288" i="2"/>
  <c r="AA290" i="2" l="1"/>
  <c r="AB290" i="2" s="1"/>
  <c r="AA291" i="2"/>
  <c r="AB291" i="2" s="1"/>
  <c r="AA288" i="2"/>
  <c r="AB288" i="2" s="1"/>
  <c r="O293" i="2" a="1"/>
  <c r="P292" i="2" a="1"/>
  <c r="O292" i="2" a="1"/>
  <c r="P293" i="2" a="1"/>
  <c r="P295" i="2" a="1"/>
  <c r="P294" i="2" a="1"/>
  <c r="Q294" i="2" s="1"/>
  <c r="O294" i="2" a="1"/>
  <c r="O295" i="2" a="1"/>
  <c r="W295" i="2" l="1"/>
  <c r="W292" i="2"/>
  <c r="Q293" i="2"/>
  <c r="W293" i="2"/>
  <c r="Q292" i="2"/>
  <c r="AA292" i="2" s="1"/>
  <c r="AB292" i="2" s="1"/>
  <c r="Q295" i="2"/>
  <c r="AA295" i="2" s="1"/>
  <c r="AB295" i="2" s="1"/>
  <c r="W294" i="2"/>
  <c r="AA294" i="2" s="1"/>
  <c r="AB294" i="2" s="1"/>
  <c r="AA293" i="2" l="1"/>
  <c r="AB293" i="2" s="1"/>
  <c r="O300" i="2" a="1"/>
  <c r="P300" i="2" a="1"/>
  <c r="P301" i="2" a="1"/>
  <c r="O301" i="2" a="1"/>
  <c r="W301" i="2" s="1"/>
  <c r="P297" i="2" a="1"/>
  <c r="O298" i="2" a="1"/>
  <c r="W298" i="2" s="1"/>
  <c r="O296" i="2" a="1"/>
  <c r="O297" i="2" a="1"/>
  <c r="P296" i="2" a="1"/>
  <c r="Q296" i="2" s="1"/>
  <c r="O299" i="2" a="1"/>
  <c r="P298" i="2" a="1"/>
  <c r="P299" i="2" a="1"/>
  <c r="Q299" i="2" l="1"/>
  <c r="Q300" i="2"/>
  <c r="W297" i="2"/>
  <c r="Q301" i="2"/>
  <c r="AA301" i="2" s="1"/>
  <c r="AB301" i="2" s="1"/>
  <c r="W296" i="2"/>
  <c r="AA296" i="2" s="1"/>
  <c r="AB296" i="2" s="1"/>
  <c r="Q298" i="2"/>
  <c r="AA298" i="2" s="1"/>
  <c r="AB298" i="2" s="1"/>
  <c r="W300" i="2"/>
  <c r="Q297" i="2"/>
  <c r="W299" i="2"/>
  <c r="P308" i="2" a="1"/>
  <c r="P309" i="2" a="1"/>
  <c r="O308" i="2" a="1"/>
  <c r="O309" i="2" a="1"/>
  <c r="AA299" i="2" l="1"/>
  <c r="AB299" i="2" s="1"/>
  <c r="AA300" i="2"/>
  <c r="AB300" i="2" s="1"/>
  <c r="AA297" i="2"/>
  <c r="AB297" i="2" s="1"/>
  <c r="P304" i="2" a="1"/>
  <c r="P305" i="2" a="1"/>
  <c r="O306" i="2" a="1"/>
  <c r="O303" i="2" a="1"/>
  <c r="P307" i="2" a="1"/>
  <c r="O305" i="2" a="1"/>
  <c r="W305" i="2" s="1"/>
  <c r="O302" i="2" a="1"/>
  <c r="O307" i="2" a="1"/>
  <c r="O304" i="2" a="1"/>
  <c r="W304" i="2" s="1"/>
  <c r="P302" i="2" a="1"/>
  <c r="P306" i="2" a="1"/>
  <c r="P303" i="2" a="1"/>
  <c r="Q303" i="2" s="1"/>
  <c r="W308" i="2"/>
  <c r="W309" i="2"/>
  <c r="Q308" i="2"/>
  <c r="Q309" i="2"/>
  <c r="AA308" i="2" l="1"/>
  <c r="AB308" i="2" s="1"/>
  <c r="Q307" i="2"/>
  <c r="Q302" i="2"/>
  <c r="W306" i="2"/>
  <c r="Q304" i="2"/>
  <c r="AA304" i="2" s="1"/>
  <c r="AB304" i="2" s="1"/>
  <c r="W303" i="2"/>
  <c r="AA303" i="2" s="1"/>
  <c r="AB303" i="2" s="1"/>
  <c r="W302" i="2"/>
  <c r="Q306" i="2"/>
  <c r="W307" i="2"/>
  <c r="AA307" i="2" s="1"/>
  <c r="AB307" i="2" s="1"/>
  <c r="Q305" i="2"/>
  <c r="AA305" i="2" s="1"/>
  <c r="AB305" i="2" s="1"/>
  <c r="AA309" i="2"/>
  <c r="AB309" i="2" s="1"/>
  <c r="O311" i="2" a="1"/>
  <c r="O312" i="2" a="1"/>
  <c r="P311" i="2" a="1"/>
  <c r="O310" i="2" a="1"/>
  <c r="P310" i="2" a="1"/>
  <c r="P313" i="2" a="1"/>
  <c r="O313" i="2" a="1"/>
  <c r="P312" i="2" a="1"/>
  <c r="O315" i="2" a="1"/>
  <c r="P314" i="2" a="1"/>
  <c r="AA302" i="2" l="1"/>
  <c r="AB302" i="2" s="1"/>
  <c r="AA306" i="2"/>
  <c r="AB306" i="2" s="1"/>
  <c r="W313" i="2"/>
  <c r="W311" i="2"/>
  <c r="Q310" i="2"/>
  <c r="W312" i="2"/>
  <c r="Q311" i="2"/>
  <c r="W310" i="2"/>
  <c r="Q313" i="2"/>
  <c r="Q312" i="2"/>
  <c r="O314" i="2" l="1" a="1"/>
  <c r="P315" i="2" a="1"/>
  <c r="AA311" i="2"/>
  <c r="AB311" i="2" s="1"/>
  <c r="AA313" i="2"/>
  <c r="AB313" i="2" s="1"/>
  <c r="AA312" i="2"/>
  <c r="AB312" i="2" s="1"/>
  <c r="AA310" i="2"/>
  <c r="AB310" i="2" s="1"/>
  <c r="W314" i="2" l="1"/>
  <c r="Q314" i="2"/>
  <c r="W315" i="2"/>
  <c r="Q315" i="2"/>
  <c r="P317" i="2" a="1"/>
  <c r="O317" i="2" a="1"/>
  <c r="P316" i="2" a="1"/>
  <c r="O316" i="2" a="1"/>
  <c r="AA314" i="2" l="1"/>
  <c r="AB314" i="2" s="1"/>
  <c r="AA315" i="2"/>
  <c r="AB315" i="2" s="1"/>
  <c r="W317" i="2"/>
  <c r="Q316" i="2"/>
  <c r="Q317" i="2"/>
  <c r="W316" i="2"/>
  <c r="AA316" i="2" l="1"/>
  <c r="AB316" i="2" s="1"/>
  <c r="AA317" i="2"/>
  <c r="AB317" i="2" s="1"/>
  <c r="P321" i="2" a="1"/>
  <c r="O321" i="2" a="1"/>
  <c r="P320" i="2" a="1"/>
  <c r="O318" i="2" a="1"/>
  <c r="P319" i="2" a="1"/>
  <c r="O320" i="2" a="1"/>
  <c r="W320" i="2" s="1"/>
  <c r="O319" i="2" a="1"/>
  <c r="P318" i="2" a="1"/>
  <c r="O323" i="2" a="1"/>
  <c r="P323" i="2" a="1"/>
  <c r="O322" i="2" a="1"/>
  <c r="P322" i="2" a="1"/>
  <c r="W321" i="2" l="1"/>
  <c r="W319" i="2"/>
  <c r="Q318" i="2"/>
  <c r="Q321" i="2"/>
  <c r="Q320" i="2"/>
  <c r="AA320" i="2" s="1"/>
  <c r="AB320" i="2" s="1"/>
  <c r="W318" i="2"/>
  <c r="Q319" i="2"/>
  <c r="W322" i="2"/>
  <c r="W323" i="2"/>
  <c r="Q323" i="2"/>
  <c r="Q322" i="2"/>
  <c r="AA321" i="2" l="1"/>
  <c r="AB321" i="2" s="1"/>
  <c r="AA318" i="2"/>
  <c r="AB318" i="2" s="1"/>
  <c r="AA319" i="2"/>
  <c r="AB319" i="2" s="1"/>
  <c r="AA322" i="2"/>
  <c r="AB322" i="2" s="1"/>
  <c r="AA323" i="2"/>
  <c r="AB323" i="2" s="1"/>
  <c r="P329" i="2" a="1"/>
  <c r="O328" i="2" a="1"/>
  <c r="O329" i="2" a="1"/>
  <c r="P328" i="2" a="1"/>
  <c r="P327" i="2" a="1"/>
  <c r="P326" i="2" a="1"/>
  <c r="O327" i="2" a="1"/>
  <c r="O326" i="2" a="1"/>
  <c r="O325" i="2" l="1" a="1"/>
  <c r="P325" i="2" a="1"/>
  <c r="O324" i="2" a="1"/>
  <c r="P324" i="2" a="1"/>
  <c r="W329" i="2"/>
  <c r="W327" i="2"/>
  <c r="Q328" i="2"/>
  <c r="W326" i="2"/>
  <c r="Q329" i="2"/>
  <c r="W328" i="2"/>
  <c r="Q327" i="2"/>
  <c r="Q326" i="2"/>
  <c r="W324" i="2" l="1"/>
  <c r="Q325" i="2"/>
  <c r="W325" i="2"/>
  <c r="Q324" i="2"/>
  <c r="AA324" i="2" s="1"/>
  <c r="AB324" i="2" s="1"/>
  <c r="AA329" i="2"/>
  <c r="AB329" i="2" s="1"/>
  <c r="AA327" i="2"/>
  <c r="AB327" i="2" s="1"/>
  <c r="AA328" i="2"/>
  <c r="AB328" i="2" s="1"/>
  <c r="AA326" i="2"/>
  <c r="AB326" i="2" s="1"/>
  <c r="AA325" i="2" l="1"/>
  <c r="AB325" i="2" s="1"/>
  <c r="O330" i="2" a="1"/>
  <c r="P331" i="2" a="1"/>
  <c r="O331" i="2" a="1"/>
  <c r="P330" i="2" a="1"/>
  <c r="O333" i="2" a="1"/>
  <c r="P332" i="2" a="1"/>
  <c r="O332" i="2" a="1"/>
  <c r="P333" i="2" a="1"/>
  <c r="Q331" i="2" l="1"/>
  <c r="Q330" i="2"/>
  <c r="W330" i="2"/>
  <c r="W331" i="2"/>
  <c r="AA331" i="2" s="1"/>
  <c r="AB331" i="2" s="1"/>
  <c r="W333" i="2"/>
  <c r="W332" i="2"/>
  <c r="Q332" i="2"/>
  <c r="Q333" i="2"/>
  <c r="AA330" i="2" l="1"/>
  <c r="AB330" i="2" s="1"/>
  <c r="AA333" i="2"/>
  <c r="AB333" i="2" s="1"/>
  <c r="AA332" i="2"/>
  <c r="AB332" i="2" s="1"/>
  <c r="O335" i="2" l="1" a="1"/>
  <c r="P334" i="2" a="1"/>
  <c r="O334" i="2" a="1"/>
  <c r="P335" i="2" a="1"/>
  <c r="W335" i="2" l="1"/>
  <c r="W334" i="2"/>
  <c r="Q334" i="2"/>
  <c r="Q335" i="2"/>
  <c r="AA334" i="2" l="1"/>
  <c r="AB334" i="2" s="1"/>
  <c r="AA335" i="2"/>
  <c r="AB335" i="2" s="1"/>
  <c r="P337" i="2" a="1"/>
  <c r="P336" i="2" a="1"/>
  <c r="O337" i="2" a="1"/>
  <c r="O336" i="2" a="1"/>
  <c r="Q336" i="2" l="1"/>
  <c r="Q337" i="2"/>
  <c r="W337" i="2"/>
  <c r="W336" i="2"/>
  <c r="AA336" i="2" l="1"/>
  <c r="AB336" i="2" s="1"/>
  <c r="AA337" i="2"/>
  <c r="AB337" i="2" s="1"/>
  <c r="P338" i="2" a="1"/>
  <c r="O339" i="2" a="1"/>
  <c r="P339" i="2" a="1"/>
  <c r="O338" i="2" a="1"/>
  <c r="P341" i="2" a="1"/>
  <c r="P340" i="2" a="1"/>
  <c r="O340" i="2" a="1"/>
  <c r="O341" i="2" a="1"/>
  <c r="W338" i="2" l="1"/>
  <c r="Q339" i="2"/>
  <c r="W341" i="2"/>
  <c r="Q340" i="2"/>
  <c r="Q338" i="2"/>
  <c r="Q341" i="2"/>
  <c r="W340" i="2"/>
  <c r="W339" i="2"/>
  <c r="AA338" i="2" l="1"/>
  <c r="AB338" i="2" s="1"/>
  <c r="AA341" i="2"/>
  <c r="AB341" i="2" s="1"/>
  <c r="AA339" i="2"/>
  <c r="AB339" i="2" s="1"/>
  <c r="AA340" i="2"/>
  <c r="AB340" i="2" s="1"/>
  <c r="P342" i="2" l="1" a="1"/>
  <c r="O342" i="2" a="1"/>
  <c r="P345" i="2" a="1"/>
  <c r="O344" i="2" a="1"/>
  <c r="P344" i="2" a="1"/>
  <c r="P343" i="2" a="1"/>
  <c r="O345" i="2" a="1"/>
  <c r="O343" i="2" a="1"/>
  <c r="W345" i="2" l="1"/>
  <c r="W342" i="2"/>
  <c r="W344" i="2"/>
  <c r="Q343" i="2"/>
  <c r="Q342" i="2"/>
  <c r="Q345" i="2"/>
  <c r="Q344" i="2"/>
  <c r="W343" i="2"/>
  <c r="AA342" i="2" l="1"/>
  <c r="AB342" i="2" s="1"/>
  <c r="AA344" i="2"/>
  <c r="AB344" i="2" s="1"/>
  <c r="AA345" i="2"/>
  <c r="AB345" i="2" s="1"/>
  <c r="AA343" i="2"/>
  <c r="AB343" i="2" s="1"/>
  <c r="P350" i="2" a="1"/>
  <c r="P352" i="2" a="1"/>
  <c r="P353" i="2" a="1"/>
  <c r="O350" i="2" a="1"/>
  <c r="O353" i="2" a="1"/>
  <c r="O352" i="2" a="1"/>
  <c r="P351" i="2" a="1"/>
  <c r="O351" i="2" a="1"/>
  <c r="P347" i="2" a="1"/>
  <c r="O349" i="2" a="1"/>
  <c r="P346" i="2" a="1"/>
  <c r="O347" i="2" a="1"/>
  <c r="O346" i="2" a="1"/>
  <c r="O348" i="2" a="1"/>
  <c r="P349" i="2" a="1"/>
  <c r="P348" i="2" a="1"/>
  <c r="Q348" i="2" s="1"/>
  <c r="W350" i="2" l="1"/>
  <c r="W351" i="2"/>
  <c r="Q353" i="2"/>
  <c r="Q347" i="2"/>
  <c r="Q352" i="2"/>
  <c r="W349" i="2"/>
  <c r="W346" i="2"/>
  <c r="Q350" i="2"/>
  <c r="W353" i="2"/>
  <c r="W352" i="2"/>
  <c r="Q351" i="2"/>
  <c r="Q346" i="2"/>
  <c r="W347" i="2"/>
  <c r="W348" i="2"/>
  <c r="AA348" i="2" s="1"/>
  <c r="AB348" i="2" s="1"/>
  <c r="Q349" i="2"/>
  <c r="AA351" i="2" l="1"/>
  <c r="AB351" i="2" s="1"/>
  <c r="AA350" i="2"/>
  <c r="AB350" i="2" s="1"/>
  <c r="AA353" i="2"/>
  <c r="AB353" i="2" s="1"/>
  <c r="AA347" i="2"/>
  <c r="AB347" i="2" s="1"/>
  <c r="AA352" i="2"/>
  <c r="AB352" i="2" s="1"/>
  <c r="AA346" i="2"/>
  <c r="AB346" i="2" s="1"/>
  <c r="AA349" i="2"/>
  <c r="AB349" i="2" s="1"/>
  <c r="O354" i="2" a="1"/>
  <c r="O355" i="2" a="1"/>
  <c r="P354" i="2" a="1"/>
  <c r="P355" i="2" a="1"/>
  <c r="O356" i="2" a="1"/>
  <c r="O357" i="2" a="1"/>
  <c r="P357" i="2" a="1"/>
  <c r="P356" i="2" a="1"/>
  <c r="W357" i="2" l="1"/>
  <c r="W355" i="2"/>
  <c r="W354" i="2"/>
  <c r="Q356" i="2"/>
  <c r="Q354" i="2"/>
  <c r="Q355" i="2"/>
  <c r="W356" i="2"/>
  <c r="Q357" i="2"/>
  <c r="AA354" i="2" l="1"/>
  <c r="AB354" i="2" s="1"/>
  <c r="AA355" i="2"/>
  <c r="AB355" i="2" s="1"/>
  <c r="AA357" i="2"/>
  <c r="AB357" i="2" s="1"/>
  <c r="AA356" i="2"/>
  <c r="AB356" i="2" s="1"/>
  <c r="P358" i="2" l="1" a="1"/>
  <c r="P359" i="2" a="1"/>
  <c r="O359" i="2" a="1"/>
  <c r="O358" i="2" a="1"/>
  <c r="P360" i="2" a="1"/>
  <c r="O360" i="2" a="1"/>
  <c r="O361" i="2" a="1"/>
  <c r="P361" i="2" a="1"/>
  <c r="W358" i="2" l="1"/>
  <c r="Q359" i="2"/>
  <c r="Q361" i="2"/>
  <c r="W359" i="2"/>
  <c r="W360" i="2"/>
  <c r="Q358" i="2"/>
  <c r="AA358" i="2" s="1"/>
  <c r="AB358" i="2" s="1"/>
  <c r="Q360" i="2"/>
  <c r="W361" i="2"/>
  <c r="AA361" i="2" s="1"/>
  <c r="AB361" i="2" s="1"/>
  <c r="P363" i="2" a="1"/>
  <c r="O363" i="2" a="1"/>
  <c r="O362" i="2" a="1"/>
  <c r="P362" i="2" a="1"/>
  <c r="P365" i="2" a="1"/>
  <c r="P364" i="2" a="1"/>
  <c r="O364" i="2" a="1"/>
  <c r="O365" i="2" a="1"/>
  <c r="AA359" i="2" l="1"/>
  <c r="AB359" i="2" s="1"/>
  <c r="AA360" i="2"/>
  <c r="AB360" i="2" s="1"/>
  <c r="Q364" i="2"/>
  <c r="W363" i="2"/>
  <c r="Q362" i="2"/>
  <c r="W365" i="2"/>
  <c r="W362" i="2"/>
  <c r="Q363" i="2"/>
  <c r="Q365" i="2"/>
  <c r="W364" i="2"/>
  <c r="AA364" i="2" l="1"/>
  <c r="AB364" i="2" s="1"/>
  <c r="AA363" i="2"/>
  <c r="AB363" i="2" s="1"/>
  <c r="AA362" i="2"/>
  <c r="AB362" i="2" s="1"/>
  <c r="AA365" i="2"/>
  <c r="AB365" i="2" s="1"/>
  <c r="P367" i="2" a="1"/>
  <c r="O366" i="2" a="1"/>
  <c r="O367" i="2" a="1"/>
  <c r="P366" i="2" a="1"/>
  <c r="P369" i="2" a="1"/>
  <c r="O368" i="2" a="1"/>
  <c r="O369" i="2" a="1"/>
  <c r="P368" i="2" a="1"/>
  <c r="Q367" i="2" l="1"/>
  <c r="W366" i="2"/>
  <c r="W367" i="2"/>
  <c r="Q366" i="2"/>
  <c r="W368" i="2"/>
  <c r="W369" i="2"/>
  <c r="Q369" i="2"/>
  <c r="Q368" i="2"/>
  <c r="AA367" i="2" l="1"/>
  <c r="AB367" i="2" s="1"/>
  <c r="AA366" i="2"/>
  <c r="AB366" i="2" s="1"/>
  <c r="AA369" i="2"/>
  <c r="AB369" i="2" s="1"/>
  <c r="AA368" i="2"/>
  <c r="AB368" i="2" s="1"/>
  <c r="O373" i="2" l="1" a="1"/>
  <c r="P372" i="2" a="1"/>
  <c r="P371" i="2" a="1"/>
  <c r="O375" i="2" a="1"/>
  <c r="P375" i="2" a="1"/>
  <c r="O371" i="2" a="1"/>
  <c r="O377" i="2" a="1"/>
  <c r="O370" i="2" a="1"/>
  <c r="W370" i="2" s="1"/>
  <c r="P374" i="2" a="1"/>
  <c r="P370" i="2" a="1"/>
  <c r="O374" i="2" a="1"/>
  <c r="P376" i="2" a="1"/>
  <c r="P377" i="2" a="1"/>
  <c r="O376" i="2" a="1"/>
  <c r="P373" i="2" a="1"/>
  <c r="Q373" i="2" s="1"/>
  <c r="O372" i="2" a="1"/>
  <c r="O379" i="2" a="1"/>
  <c r="O378" i="2" a="1"/>
  <c r="P378" i="2" a="1"/>
  <c r="P379" i="2" a="1"/>
  <c r="Q371" i="2" l="1"/>
  <c r="Q377" i="2"/>
  <c r="W372" i="2"/>
  <c r="W375" i="2"/>
  <c r="Q370" i="2"/>
  <c r="AA370" i="2" s="1"/>
  <c r="AB370" i="2" s="1"/>
  <c r="W374" i="2"/>
  <c r="W376" i="2"/>
  <c r="W373" i="2"/>
  <c r="AA373" i="2" s="1"/>
  <c r="AB373" i="2" s="1"/>
  <c r="Q372" i="2"/>
  <c r="Q375" i="2"/>
  <c r="W371" i="2"/>
  <c r="AA371" i="2" s="1"/>
  <c r="AB371" i="2" s="1"/>
  <c r="W377" i="2"/>
  <c r="Q374" i="2"/>
  <c r="Q376" i="2"/>
  <c r="Q378" i="2"/>
  <c r="Q379" i="2"/>
  <c r="W379" i="2"/>
  <c r="W378" i="2"/>
  <c r="AA372" i="2" l="1"/>
  <c r="AB372" i="2" s="1"/>
  <c r="AA377" i="2"/>
  <c r="AB377" i="2" s="1"/>
  <c r="AA376" i="2"/>
  <c r="AB376" i="2" s="1"/>
  <c r="AA375" i="2"/>
  <c r="AB375" i="2" s="1"/>
  <c r="AA374" i="2"/>
  <c r="AB374" i="2" s="1"/>
  <c r="AA378" i="2"/>
  <c r="AB378" i="2" s="1"/>
  <c r="AA379" i="2"/>
  <c r="AB379" i="2" s="1"/>
  <c r="O384" i="2" l="1" a="1"/>
  <c r="O383" i="2" a="1"/>
  <c r="P382" i="2" a="1"/>
  <c r="O380" i="2" a="1"/>
  <c r="O385" i="2" a="1"/>
  <c r="P381" i="2" a="1"/>
  <c r="O382" i="2" a="1"/>
  <c r="P383" i="2" a="1"/>
  <c r="P384" i="2" a="1"/>
  <c r="P385" i="2" a="1"/>
  <c r="O381" i="2" a="1"/>
  <c r="P380" i="2" a="1"/>
  <c r="W381" i="2" l="1"/>
  <c r="W384" i="2"/>
  <c r="W383" i="2"/>
  <c r="W382" i="2"/>
  <c r="Q384" i="2"/>
  <c r="Q385" i="2"/>
  <c r="Q380" i="2"/>
  <c r="Q382" i="2"/>
  <c r="W385" i="2"/>
  <c r="W380" i="2"/>
  <c r="Q383" i="2"/>
  <c r="Q381" i="2"/>
  <c r="AA381" i="2" s="1"/>
  <c r="AB381" i="2" s="1"/>
  <c r="AA384" i="2" l="1"/>
  <c r="AB384" i="2" s="1"/>
  <c r="AA382" i="2"/>
  <c r="AB382" i="2" s="1"/>
  <c r="AA385" i="2"/>
  <c r="AB385" i="2" s="1"/>
  <c r="AA380" i="2"/>
  <c r="AB380" i="2" s="1"/>
  <c r="AA383" i="2"/>
  <c r="AB383" i="2" s="1"/>
  <c r="O387" i="2" a="1"/>
  <c r="P386" i="2" a="1"/>
  <c r="P387" i="2" a="1"/>
  <c r="O386" i="2" a="1"/>
  <c r="W387" i="2" l="1"/>
  <c r="W386" i="2"/>
  <c r="Q386" i="2"/>
  <c r="AA386" i="2" s="1"/>
  <c r="AB386" i="2" s="1"/>
  <c r="Q387" i="2"/>
  <c r="O389" i="2" a="1"/>
  <c r="O391" i="2" a="1"/>
  <c r="P391" i="2" a="1"/>
  <c r="P388" i="2" a="1"/>
  <c r="P390" i="2" a="1"/>
  <c r="O388" i="2" a="1"/>
  <c r="P389" i="2" a="1"/>
  <c r="Q389" i="2" s="1"/>
  <c r="P393" i="2" a="1"/>
  <c r="O392" i="2" a="1"/>
  <c r="O393" i="2" a="1"/>
  <c r="P392" i="2" a="1"/>
  <c r="O390" i="2" a="1"/>
  <c r="AA387" i="2" l="1"/>
  <c r="AB387" i="2" s="1"/>
  <c r="Q390" i="2"/>
  <c r="W391" i="2"/>
  <c r="W388" i="2"/>
  <c r="Q393" i="2"/>
  <c r="W392" i="2"/>
  <c r="W389" i="2"/>
  <c r="AA389" i="2" s="1"/>
  <c r="AB389" i="2" s="1"/>
  <c r="Q391" i="2"/>
  <c r="Q388" i="2"/>
  <c r="W393" i="2"/>
  <c r="Q392" i="2"/>
  <c r="W390" i="2"/>
  <c r="AA390" i="2" l="1"/>
  <c r="AB390" i="2" s="1"/>
  <c r="AA391" i="2"/>
  <c r="AB391" i="2" s="1"/>
  <c r="AA388" i="2"/>
  <c r="AB388" i="2" s="1"/>
  <c r="AA393" i="2"/>
  <c r="AB393" i="2" s="1"/>
  <c r="AA392" i="2"/>
  <c r="AB392" i="2" s="1"/>
  <c r="P395" i="2" l="1" a="1"/>
  <c r="P396" i="2" a="1"/>
  <c r="P394" i="2" a="1"/>
  <c r="Q394" i="2" s="1"/>
  <c r="O395" i="2" a="1"/>
  <c r="O394" i="2" a="1"/>
  <c r="O397" i="2" a="1"/>
  <c r="O396" i="2" a="1"/>
  <c r="P397" i="2" a="1"/>
  <c r="Q396" i="2" l="1"/>
  <c r="W395" i="2"/>
  <c r="Q397" i="2"/>
  <c r="Q395" i="2"/>
  <c r="W394" i="2"/>
  <c r="AA394" i="2" s="1"/>
  <c r="AB394" i="2" s="1"/>
  <c r="W397" i="2"/>
  <c r="W396" i="2"/>
  <c r="AA396" i="2" s="1"/>
  <c r="AB396" i="2" s="1"/>
  <c r="AA395" i="2" l="1"/>
  <c r="AB395" i="2" s="1"/>
  <c r="AA397" i="2"/>
  <c r="AB397" i="2" s="1"/>
  <c r="O398" i="2" a="1"/>
  <c r="P398" i="2" a="1"/>
  <c r="O399" i="2" a="1"/>
  <c r="P399" i="2" a="1"/>
  <c r="Q398" i="2" l="1"/>
  <c r="W399" i="2"/>
  <c r="W398" i="2"/>
  <c r="Q399" i="2"/>
  <c r="AA398" i="2" l="1"/>
  <c r="AB398" i="2" s="1"/>
  <c r="AA399" i="2"/>
  <c r="AB399" i="2" s="1"/>
  <c r="P401" i="2" a="1"/>
  <c r="O403" i="2" a="1"/>
  <c r="O402" i="2" a="1"/>
  <c r="W402" i="2" s="1"/>
  <c r="P402" i="2" a="1"/>
  <c r="O400" i="2" a="1"/>
  <c r="P403" i="2" a="1"/>
  <c r="P400" i="2" a="1"/>
  <c r="O401" i="2" a="1"/>
  <c r="O405" i="2" a="1"/>
  <c r="P404" i="2" a="1"/>
  <c r="O404" i="2" a="1"/>
  <c r="P405" i="2" a="1"/>
  <c r="Q405" i="2" s="1"/>
  <c r="Q404" i="2" l="1"/>
  <c r="W401" i="2"/>
  <c r="W400" i="2"/>
  <c r="W403" i="2"/>
  <c r="Q401" i="2"/>
  <c r="Q402" i="2"/>
  <c r="AA402" i="2" s="1"/>
  <c r="AB402" i="2" s="1"/>
  <c r="Q403" i="2"/>
  <c r="Q400" i="2"/>
  <c r="W405" i="2"/>
  <c r="AA405" i="2" s="1"/>
  <c r="AB405" i="2" s="1"/>
  <c r="W404" i="2"/>
  <c r="AA401" i="2" l="1"/>
  <c r="AB401" i="2" s="1"/>
  <c r="AA404" i="2"/>
  <c r="AB404" i="2" s="1"/>
  <c r="AA403" i="2"/>
  <c r="AB403" i="2" s="1"/>
  <c r="AA400" i="2"/>
  <c r="AB400" i="2" s="1"/>
  <c r="O407" i="2" a="1"/>
  <c r="P406" i="2" a="1"/>
  <c r="P407" i="2" a="1"/>
  <c r="O406" i="2" a="1"/>
  <c r="Q407" i="2" l="1"/>
  <c r="W407" i="2"/>
  <c r="W406" i="2"/>
  <c r="Q406" i="2"/>
  <c r="AA407" i="2" l="1"/>
  <c r="AB407" i="2" s="1"/>
  <c r="AA406" i="2"/>
  <c r="AB406" i="2" s="1"/>
  <c r="P409" i="2" a="1"/>
  <c r="P408" i="2" a="1"/>
  <c r="O408" i="2" a="1"/>
  <c r="O409" i="2" a="1"/>
  <c r="Q409" i="2" l="1"/>
  <c r="Q408" i="2"/>
  <c r="W408" i="2"/>
  <c r="W409" i="2"/>
  <c r="AA409" i="2" l="1"/>
  <c r="AB409" i="2" s="1"/>
  <c r="AA408" i="2"/>
  <c r="AB408" i="2" s="1"/>
  <c r="P410" i="2" a="1"/>
  <c r="O411" i="2" a="1"/>
  <c r="O413" i="2" a="1"/>
  <c r="P412" i="2" a="1"/>
  <c r="P413" i="2" a="1"/>
  <c r="O412" i="2" a="1"/>
  <c r="O415" i="2" a="1"/>
  <c r="O414" i="2" a="1"/>
  <c r="P414" i="2" a="1"/>
  <c r="P415" i="2" a="1"/>
  <c r="P417" i="2" a="1"/>
  <c r="P416" i="2" a="1"/>
  <c r="O417" i="2" a="1"/>
  <c r="O416" i="2" a="1"/>
  <c r="P411" i="2" l="1" a="1"/>
  <c r="O410" i="2" a="1"/>
  <c r="Q413" i="2"/>
  <c r="W412" i="2"/>
  <c r="W413" i="2"/>
  <c r="Q412" i="2"/>
  <c r="W417" i="2"/>
  <c r="W416" i="2"/>
  <c r="W415" i="2"/>
  <c r="Q414" i="2"/>
  <c r="W414" i="2"/>
  <c r="Q415" i="2"/>
  <c r="Q417" i="2"/>
  <c r="Q416" i="2"/>
  <c r="P419" i="2" a="1"/>
  <c r="O419" i="2" a="1"/>
  <c r="P418" i="2" a="1"/>
  <c r="O418" i="2" a="1"/>
  <c r="Q411" i="2" l="1"/>
  <c r="W411" i="2"/>
  <c r="AA411" i="2" s="1"/>
  <c r="AB411" i="2" s="1"/>
  <c r="W410" i="2"/>
  <c r="Q410" i="2"/>
  <c r="AA410" i="2" s="1"/>
  <c r="AB410" i="2" s="1"/>
  <c r="AA413" i="2"/>
  <c r="AB413" i="2" s="1"/>
  <c r="AA412" i="2"/>
  <c r="AB412" i="2" s="1"/>
  <c r="W418" i="2"/>
  <c r="AA415" i="2"/>
  <c r="AB415" i="2" s="1"/>
  <c r="Q419" i="2"/>
  <c r="AA414" i="2"/>
  <c r="AB414" i="2" s="1"/>
  <c r="AA417" i="2"/>
  <c r="AB417" i="2" s="1"/>
  <c r="AA416" i="2"/>
  <c r="AB416" i="2" s="1"/>
  <c r="Q418" i="2"/>
  <c r="W419" i="2"/>
  <c r="AA418" i="2" l="1"/>
  <c r="AB418" i="2" s="1"/>
  <c r="AA419" i="2"/>
  <c r="AB419" i="2" s="1"/>
  <c r="P424" i="2" a="1"/>
  <c r="O425" i="2" a="1"/>
  <c r="O420" i="2" l="1" a="1"/>
  <c r="O422" i="2" a="1"/>
  <c r="P422" i="2" a="1"/>
  <c r="P423" i="2" a="1"/>
  <c r="Q423" i="2" s="1"/>
  <c r="P420" i="2" a="1"/>
  <c r="O423" i="2" a="1"/>
  <c r="O421" i="2" a="1"/>
  <c r="P421" i="2" a="1"/>
  <c r="O424" i="2" a="1"/>
  <c r="P425" i="2" a="1"/>
  <c r="W422" i="2" l="1"/>
  <c r="Q421" i="2"/>
  <c r="W420" i="2"/>
  <c r="W424" i="2"/>
  <c r="Q424" i="2"/>
  <c r="Q422" i="2"/>
  <c r="AA422" i="2" s="1"/>
  <c r="AB422" i="2" s="1"/>
  <c r="Q420" i="2"/>
  <c r="W423" i="2"/>
  <c r="AA423" i="2" s="1"/>
  <c r="AB423" i="2" s="1"/>
  <c r="W421" i="2"/>
  <c r="W425" i="2"/>
  <c r="Q425" i="2"/>
  <c r="AA425" i="2" l="1"/>
  <c r="AB425" i="2" s="1"/>
  <c r="AA424" i="2"/>
  <c r="AB424" i="2" s="1"/>
  <c r="AA420" i="2"/>
  <c r="AB420" i="2" s="1"/>
  <c r="AA421" i="2"/>
  <c r="AB421" i="2" s="1"/>
  <c r="P430" i="2" a="1"/>
  <c r="O428" i="2" a="1"/>
  <c r="P428" i="2" a="1"/>
  <c r="O429" i="2" a="1"/>
  <c r="P426" i="2" a="1"/>
  <c r="O431" i="2" a="1"/>
  <c r="P429" i="2" a="1"/>
  <c r="O427" i="2" a="1"/>
  <c r="P431" i="2" a="1"/>
  <c r="O430" i="2" a="1"/>
  <c r="W430" i="2" s="1"/>
  <c r="P427" i="2" a="1"/>
  <c r="O426" i="2" a="1"/>
  <c r="P433" i="2" a="1"/>
  <c r="O432" i="2" a="1"/>
  <c r="P432" i="2" a="1"/>
  <c r="O433" i="2" a="1"/>
  <c r="Q428" i="2" l="1"/>
  <c r="W431" i="2"/>
  <c r="Q429" i="2"/>
  <c r="W427" i="2"/>
  <c r="W426" i="2"/>
  <c r="Q430" i="2"/>
  <c r="AA430" i="2" s="1"/>
  <c r="AB430" i="2" s="1"/>
  <c r="W428" i="2"/>
  <c r="AA428" i="2" s="1"/>
  <c r="AB428" i="2" s="1"/>
  <c r="W429" i="2"/>
  <c r="Q426" i="2"/>
  <c r="Q431" i="2"/>
  <c r="AA431" i="2" s="1"/>
  <c r="AB431" i="2" s="1"/>
  <c r="Q427" i="2"/>
  <c r="W432" i="2"/>
  <c r="Q432" i="2"/>
  <c r="W433" i="2"/>
  <c r="Q433" i="2"/>
  <c r="AA429" i="2" l="1"/>
  <c r="AB429" i="2" s="1"/>
  <c r="AA427" i="2"/>
  <c r="AB427" i="2" s="1"/>
  <c r="AA426" i="2"/>
  <c r="AB426" i="2" s="1"/>
  <c r="AA433" i="2"/>
  <c r="AB433" i="2" s="1"/>
  <c r="AA432" i="2"/>
  <c r="AB432" i="2" s="1"/>
  <c r="O434" i="2" l="1" a="1"/>
  <c r="P434" i="2" a="1"/>
  <c r="P435" i="2" a="1"/>
  <c r="O435" i="2" a="1"/>
  <c r="W434" i="2" l="1"/>
  <c r="W435" i="2"/>
  <c r="Q434" i="2"/>
  <c r="AA434" i="2" s="1"/>
  <c r="AB434" i="2" s="1"/>
  <c r="Q435" i="2"/>
  <c r="AA435" i="2" l="1"/>
  <c r="AB435" i="2" s="1"/>
  <c r="P453" i="2" s="1" a="1"/>
  <c r="P441" i="2" a="1"/>
  <c r="P437" i="2" a="1"/>
  <c r="O436" i="2" a="1"/>
  <c r="O438" i="2" a="1"/>
  <c r="P439" i="2" a="1"/>
  <c r="O440" i="2" a="1"/>
  <c r="P436" i="2" a="1"/>
  <c r="O441" i="2" a="1"/>
  <c r="P440" i="2" a="1"/>
  <c r="O437" i="2" a="1"/>
  <c r="O444" i="2" a="1"/>
  <c r="P442" i="2" a="1"/>
  <c r="O442" i="2" a="1"/>
  <c r="P443" i="2" a="1"/>
  <c r="O443" i="2" a="1"/>
  <c r="O439" i="2" a="1"/>
  <c r="P438" i="2" a="1"/>
  <c r="P445" i="2" a="1"/>
  <c r="O445" i="2" a="1"/>
  <c r="W445" i="2" s="1"/>
  <c r="O447" i="2" a="1"/>
  <c r="P446" i="2" a="1"/>
  <c r="P444" i="2" a="1"/>
  <c r="O446" i="2" a="1"/>
  <c r="P447" i="2" a="1"/>
  <c r="Q447" i="2" s="1"/>
  <c r="O453" i="2" a="1"/>
  <c r="P452" i="2" a="1"/>
  <c r="O452" i="2" a="1"/>
  <c r="W441" i="2" l="1"/>
  <c r="W437" i="2"/>
  <c r="W436" i="2"/>
  <c r="W439" i="2"/>
  <c r="W446" i="2"/>
  <c r="W438" i="2"/>
  <c r="W440" i="2"/>
  <c r="W442" i="2"/>
  <c r="Q443" i="2"/>
  <c r="Q445" i="2"/>
  <c r="AA445" i="2" s="1"/>
  <c r="AB445" i="2" s="1"/>
  <c r="P451" i="2" s="1" a="1"/>
  <c r="Q444" i="2"/>
  <c r="W447" i="2"/>
  <c r="AA447" i="2" s="1"/>
  <c r="AB447" i="2" s="1"/>
  <c r="Q441" i="2"/>
  <c r="AA441" i="2" s="1"/>
  <c r="AB441" i="2" s="1"/>
  <c r="Q437" i="2"/>
  <c r="Q439" i="2"/>
  <c r="Q436" i="2"/>
  <c r="Q440" i="2"/>
  <c r="W444" i="2"/>
  <c r="Q442" i="2"/>
  <c r="W443" i="2"/>
  <c r="Q438" i="2"/>
  <c r="Q446" i="2"/>
  <c r="O450" i="2" a="1"/>
  <c r="W452" i="2"/>
  <c r="Q453" i="2"/>
  <c r="Q452" i="2"/>
  <c r="W453" i="2"/>
  <c r="AA437" i="2" l="1"/>
  <c r="AB437" i="2" s="1"/>
  <c r="AA439" i="2"/>
  <c r="AB439" i="2" s="1"/>
  <c r="AA436" i="2"/>
  <c r="AB436" i="2" s="1"/>
  <c r="AA444" i="2"/>
  <c r="AB444" i="2" s="1"/>
  <c r="AA446" i="2"/>
  <c r="AB446" i="2" s="1"/>
  <c r="AA440" i="2"/>
  <c r="AB440" i="2" s="1"/>
  <c r="AA442" i="2"/>
  <c r="AB442" i="2" s="1"/>
  <c r="AA438" i="2"/>
  <c r="AB438" i="2" s="1"/>
  <c r="AA443" i="2"/>
  <c r="AB443" i="2" s="1"/>
  <c r="P455" i="2" a="1"/>
  <c r="O454" i="2" a="1"/>
  <c r="O455" i="2" a="1"/>
  <c r="P454" i="2" a="1"/>
  <c r="Q454" i="2" s="1"/>
  <c r="AA452" i="2"/>
  <c r="AB452" i="2" s="1"/>
  <c r="AA453" i="2"/>
  <c r="AB453" i="2" s="1"/>
  <c r="P448" i="2" l="1" a="1"/>
  <c r="O449" i="2" a="1"/>
  <c r="W449" i="2" s="1"/>
  <c r="O448" i="2" a="1"/>
  <c r="P449" i="2" a="1"/>
  <c r="W455" i="2"/>
  <c r="P450" i="2" a="1"/>
  <c r="O451" i="2" a="1"/>
  <c r="W454" i="2"/>
  <c r="AA454" i="2" s="1"/>
  <c r="AB454" i="2" s="1"/>
  <c r="Q455" i="2"/>
  <c r="P459" i="2" a="1"/>
  <c r="P458" i="2" a="1"/>
  <c r="P456" i="2" a="1"/>
  <c r="O457" i="2" a="1"/>
  <c r="O458" i="2" a="1"/>
  <c r="O459" i="2" a="1"/>
  <c r="W448" i="2" l="1"/>
  <c r="Q448" i="2"/>
  <c r="AA448" i="2" s="1"/>
  <c r="AB448" i="2" s="1"/>
  <c r="Q449" i="2"/>
  <c r="AA449" i="2" s="1"/>
  <c r="AB449" i="2" s="1"/>
  <c r="AA455" i="2"/>
  <c r="AB455" i="2" s="1"/>
  <c r="W450" i="2"/>
  <c r="Q450" i="2"/>
  <c r="W451" i="2"/>
  <c r="Q451" i="2"/>
  <c r="W459" i="2"/>
  <c r="Q458" i="2"/>
  <c r="Q459" i="2"/>
  <c r="W458" i="2"/>
  <c r="O461" i="2" a="1"/>
  <c r="O460" i="2" a="1"/>
  <c r="P460" i="2" a="1"/>
  <c r="P461" i="2" a="1"/>
  <c r="AA450" i="2" l="1"/>
  <c r="AB450" i="2" s="1"/>
  <c r="AA451" i="2"/>
  <c r="AB451" i="2" s="1"/>
  <c r="O456" i="2" a="1"/>
  <c r="P457" i="2" a="1"/>
  <c r="Q461" i="2"/>
  <c r="AA459" i="2"/>
  <c r="AB459" i="2" s="1"/>
  <c r="AA458" i="2"/>
  <c r="AB458" i="2" s="1"/>
  <c r="Q460" i="2"/>
  <c r="W461" i="2"/>
  <c r="W460" i="2"/>
  <c r="Q456" i="2" l="1"/>
  <c r="W456" i="2"/>
  <c r="Q457" i="2"/>
  <c r="W457" i="2"/>
  <c r="AA461" i="2"/>
  <c r="AB461" i="2" s="1"/>
  <c r="AA460" i="2"/>
  <c r="AB460" i="2" s="1"/>
  <c r="AA456" i="2" l="1"/>
  <c r="AB456" i="2" s="1"/>
  <c r="AA457" i="2"/>
  <c r="AB457" i="2" s="1"/>
  <c r="O463" i="2" a="1"/>
  <c r="O462" i="2" a="1"/>
  <c r="P462" i="2" a="1"/>
  <c r="P463" i="2" a="1"/>
  <c r="Q463" i="2" s="1"/>
  <c r="P465" i="2" a="1"/>
  <c r="O464" i="2" a="1"/>
  <c r="O465" i="2" a="1"/>
  <c r="P464" i="2" a="1"/>
  <c r="Q462" i="2" l="1"/>
  <c r="W463" i="2"/>
  <c r="AA463" i="2" s="1"/>
  <c r="AB463" i="2" s="1"/>
  <c r="W462" i="2"/>
  <c r="Q464" i="2"/>
  <c r="Q465" i="2"/>
  <c r="W464" i="2"/>
  <c r="W465" i="2"/>
  <c r="AA462" i="2" l="1"/>
  <c r="AB462" i="2" s="1"/>
  <c r="AA464" i="2"/>
  <c r="AB464" i="2" s="1"/>
  <c r="AA465" i="2"/>
  <c r="AB465" i="2" s="1"/>
  <c r="P467" i="2" a="1"/>
  <c r="O466" i="2" a="1"/>
  <c r="O467" i="2" a="1"/>
  <c r="P466" i="2" a="1"/>
  <c r="Q467" i="2" l="1"/>
  <c r="W466" i="2"/>
  <c r="Q466" i="2"/>
  <c r="W467" i="2"/>
  <c r="AA466" i="2" l="1"/>
  <c r="AB466" i="2" s="1"/>
  <c r="AA467" i="2"/>
  <c r="AB467" i="2" s="1"/>
  <c r="P469" i="2" a="1"/>
  <c r="P468" i="2" a="1"/>
  <c r="O468" i="2" a="1"/>
  <c r="O469" i="2" a="1"/>
  <c r="W468" i="2" l="1"/>
  <c r="Q469" i="2"/>
  <c r="Q468" i="2"/>
  <c r="W469" i="2"/>
  <c r="AA468" i="2" l="1"/>
  <c r="AB468" i="2" s="1"/>
  <c r="AA469" i="2"/>
  <c r="AB469" i="2" s="1"/>
  <c r="P471" i="2" a="1"/>
  <c r="O470" i="2" a="1"/>
  <c r="O471" i="2" a="1"/>
  <c r="P470" i="2" a="1"/>
  <c r="Q470" i="2" l="1"/>
  <c r="W471" i="2"/>
  <c r="Q471" i="2"/>
  <c r="W470" i="2"/>
  <c r="AA471" i="2" l="1"/>
  <c r="AB471" i="2" s="1"/>
  <c r="AA470" i="2"/>
  <c r="AB470" i="2" s="1"/>
  <c r="G26" i="3" s="1" a="1"/>
  <c r="O473" i="2" a="1"/>
  <c r="P473" i="2" a="1"/>
  <c r="P472" i="2" a="1"/>
  <c r="O472" i="2" a="1"/>
  <c r="W472" i="2" l="1"/>
  <c r="Q472" i="2"/>
  <c r="AA472" i="2" s="1"/>
  <c r="AB472" i="2" s="1"/>
  <c r="W473" i="2"/>
  <c r="Q473" i="2"/>
  <c r="AA473" i="2" s="1"/>
  <c r="AB473" i="2" s="1"/>
  <c r="O475" i="2" l="1" a="1"/>
  <c r="P474" i="2" a="1"/>
  <c r="P475" i="2" a="1"/>
  <c r="O474" i="2" a="1"/>
  <c r="Q475" i="2" l="1"/>
  <c r="W474" i="2"/>
  <c r="W475" i="2"/>
  <c r="Q474" i="2"/>
  <c r="AA474" i="2" l="1"/>
  <c r="AB474" i="2" s="1"/>
  <c r="G32" i="3" s="1" a="1"/>
  <c r="AA475" i="2"/>
  <c r="AB475" i="2" s="1"/>
  <c r="P477" i="2" l="1" a="1"/>
  <c r="O476" i="2" a="1"/>
  <c r="O477" i="2" a="1"/>
  <c r="P476" i="2" a="1"/>
  <c r="AX5" i="3" a="1"/>
  <c r="Q477" i="2" l="1"/>
  <c r="W477" i="2"/>
  <c r="W476" i="2"/>
  <c r="Q476" i="2"/>
  <c r="AA477" i="2" l="1"/>
  <c r="AB477" i="2" s="1"/>
  <c r="P478" i="2" a="1"/>
  <c r="O479" i="2" a="1"/>
  <c r="AA476" i="2"/>
  <c r="AB476" i="2" s="1"/>
  <c r="O478" i="2" l="1" a="1"/>
  <c r="P479" i="2" a="1"/>
  <c r="Q478" i="2" l="1"/>
  <c r="W478" i="2"/>
  <c r="W479" i="2"/>
  <c r="Q479" i="2"/>
  <c r="AA478" i="2" l="1"/>
  <c r="AB478" i="2" s="1"/>
  <c r="P480" i="2" a="1"/>
  <c r="O481" i="2" a="1"/>
  <c r="AA479" i="2"/>
  <c r="AB479" i="2" s="1"/>
  <c r="G29" i="3" a="1"/>
  <c r="AX2" i="3" a="1"/>
  <c r="O480" i="2" l="1" a="1"/>
  <c r="P481" i="2" a="1"/>
  <c r="AX9" i="3" a="1"/>
  <c r="Q480" i="2" l="1"/>
  <c r="W480" i="2"/>
  <c r="W481" i="2"/>
  <c r="Q481" i="2"/>
  <c r="AA481" i="2" s="1"/>
  <c r="AB481" i="2" s="1"/>
  <c r="AX4" i="3" a="1"/>
  <c r="O483" i="2" l="1" a="1"/>
  <c r="P482" i="2" a="1"/>
  <c r="AA480" i="2"/>
  <c r="AB480" i="2" s="1"/>
  <c r="G38" i="3" a="1"/>
  <c r="O482" i="2" l="1" a="1"/>
  <c r="P483" i="2" a="1"/>
  <c r="Q482" i="2" l="1"/>
  <c r="W482" i="2"/>
  <c r="W483" i="2"/>
  <c r="Q483" i="2"/>
  <c r="AA483" i="2" l="1"/>
  <c r="AB483" i="2" s="1"/>
  <c r="P485" i="2" a="1"/>
  <c r="O484" i="2" a="1"/>
  <c r="AA482" i="2"/>
  <c r="AB482" i="2" s="1"/>
  <c r="P484" i="2" l="1" a="1"/>
  <c r="O485" i="2" a="1"/>
  <c r="W484" i="2" l="1"/>
  <c r="Q484" i="2"/>
  <c r="Q485" i="2"/>
  <c r="W485" i="2"/>
  <c r="AA485" i="2" l="1"/>
  <c r="AB485" i="2" s="1"/>
  <c r="AA484" i="2"/>
  <c r="AB484" i="2" s="1"/>
  <c r="O486" i="2" l="1" a="1"/>
  <c r="O488" i="2" a="1"/>
  <c r="P486" i="2" a="1"/>
  <c r="Q486" i="2" s="1"/>
  <c r="P488" i="2" a="1"/>
  <c r="O487" i="2" a="1"/>
  <c r="O489" i="2" a="1"/>
  <c r="P487" i="2" a="1"/>
  <c r="P489" i="2" a="1"/>
  <c r="Q489" i="2" s="1"/>
  <c r="AX6" i="3" a="1"/>
  <c r="G34" i="3" a="1"/>
  <c r="W486" i="2" l="1"/>
  <c r="AA486" i="2" s="1"/>
  <c r="AB486" i="2" s="1"/>
  <c r="W488" i="2"/>
  <c r="W487" i="2"/>
  <c r="W489" i="2"/>
  <c r="AA489" i="2" s="1"/>
  <c r="AB489" i="2" s="1"/>
  <c r="Q488" i="2"/>
  <c r="Q487" i="2"/>
  <c r="AA487" i="2" l="1"/>
  <c r="AB487" i="2" s="1"/>
  <c r="P493" i="2" a="1"/>
  <c r="P491" i="2" a="1"/>
  <c r="P490" i="2" a="1"/>
  <c r="O492" i="2" a="1"/>
  <c r="O491" i="2" a="1"/>
  <c r="P492" i="2" a="1"/>
  <c r="O493" i="2" a="1"/>
  <c r="O490" i="2" a="1"/>
  <c r="AA488" i="2"/>
  <c r="AB488" i="2" s="1"/>
  <c r="Q491" i="2" l="1"/>
  <c r="W492" i="2"/>
  <c r="W491" i="2"/>
  <c r="W493" i="2"/>
  <c r="W490" i="2"/>
  <c r="Q490" i="2"/>
  <c r="Q492" i="2"/>
  <c r="Q493" i="2"/>
  <c r="AA491" i="2" l="1"/>
  <c r="AB491" i="2" s="1"/>
  <c r="AA493" i="2"/>
  <c r="AB493" i="2" s="1"/>
  <c r="AA492" i="2"/>
  <c r="AB492" i="2" s="1"/>
  <c r="AA490" i="2"/>
  <c r="AB490" i="2" s="1"/>
  <c r="P496" i="2" a="1"/>
  <c r="P494" i="2" a="1"/>
  <c r="O497" i="2" a="1"/>
  <c r="O495" i="2" a="1"/>
  <c r="P497" i="2" a="1"/>
  <c r="P495" i="2" a="1"/>
  <c r="O496" i="2" a="1"/>
  <c r="O494" i="2" a="1"/>
  <c r="Q496" i="2" l="1"/>
  <c r="Q494" i="2"/>
  <c r="W497" i="2"/>
  <c r="AA497" i="2" s="1"/>
  <c r="AB497" i="2" s="1"/>
  <c r="W495" i="2"/>
  <c r="W496" i="2"/>
  <c r="W494" i="2"/>
  <c r="Q497" i="2"/>
  <c r="Q495" i="2"/>
  <c r="AA496" i="2" l="1"/>
  <c r="AB496" i="2" s="1"/>
  <c r="AA494" i="2"/>
  <c r="AB494" i="2" s="1"/>
  <c r="P500" i="2" a="1"/>
  <c r="P498" i="2" a="1"/>
  <c r="O501" i="2" a="1"/>
  <c r="O499" i="2" a="1"/>
  <c r="P501" i="2" a="1"/>
  <c r="P499" i="2" a="1"/>
  <c r="O500" i="2" a="1"/>
  <c r="O498" i="2" a="1"/>
  <c r="AA495" i="2"/>
  <c r="AB495" i="2" s="1"/>
  <c r="G27" i="3" s="1" a="1"/>
  <c r="Q500" i="2" l="1"/>
  <c r="W501" i="2"/>
  <c r="W499" i="2"/>
  <c r="W500" i="2"/>
  <c r="W498" i="2"/>
  <c r="Q498" i="2"/>
  <c r="Q501" i="2"/>
  <c r="Q499" i="2"/>
  <c r="AA500" i="2" l="1"/>
  <c r="AB500" i="2" s="1"/>
  <c r="AA498" i="2"/>
  <c r="AB498" i="2" s="1"/>
  <c r="G30" i="3" s="1" a="1"/>
  <c r="AA501" i="2"/>
  <c r="AB501" i="2" s="1"/>
  <c r="G37" i="3" s="1" a="1"/>
  <c r="AA499" i="2"/>
  <c r="AB499" i="2" s="1"/>
  <c r="O502" i="2" l="1" a="1"/>
  <c r="P503" i="2" a="1"/>
  <c r="O503" i="2" a="1"/>
  <c r="P502" i="2" a="1"/>
  <c r="Q503" i="2" l="1"/>
  <c r="Q502" i="2"/>
  <c r="W502" i="2"/>
  <c r="W503" i="2"/>
  <c r="AA503" i="2" l="1"/>
  <c r="AB503" i="2" s="1"/>
  <c r="AA502" i="2"/>
  <c r="AB502" i="2" s="1"/>
  <c r="P505" i="2" a="1"/>
  <c r="P504" i="2" a="1"/>
  <c r="O505" i="2" a="1"/>
  <c r="O504" i="2" a="1"/>
  <c r="AX8" i="3" a="1"/>
  <c r="G35" i="3" a="1"/>
  <c r="Q505" i="2" l="1"/>
  <c r="W505" i="2"/>
  <c r="AA505" i="2" s="1"/>
  <c r="AB505" i="2" s="1"/>
  <c r="W504" i="2"/>
  <c r="Q504" i="2"/>
  <c r="AA504" i="2" l="1"/>
  <c r="AB504" i="2" s="1"/>
  <c r="O507" i="2" a="1"/>
  <c r="P507" i="2" a="1"/>
  <c r="P506" i="2" a="1"/>
  <c r="O506" i="2" a="1"/>
  <c r="Q506" i="2" l="1"/>
  <c r="W507" i="2"/>
  <c r="W506" i="2"/>
  <c r="AA506" i="2" s="1"/>
  <c r="AB506" i="2" s="1"/>
  <c r="Q507" i="2"/>
  <c r="AA507" i="2" l="1"/>
  <c r="AB507" i="2" s="1"/>
  <c r="P510" i="2" a="1"/>
  <c r="P508" i="2" a="1"/>
  <c r="O509" i="2" a="1"/>
  <c r="P511" i="2" a="1"/>
  <c r="P509" i="2" a="1"/>
  <c r="O511" i="2" a="1"/>
  <c r="O510" i="2" a="1"/>
  <c r="O508" i="2" a="1"/>
  <c r="Q511" i="2" l="1"/>
  <c r="Q510" i="2"/>
  <c r="Q509" i="2"/>
  <c r="W509" i="2"/>
  <c r="W511" i="2"/>
  <c r="W510" i="2"/>
  <c r="W508" i="2"/>
  <c r="Q508" i="2"/>
  <c r="AA511" i="2" l="1"/>
  <c r="AB511" i="2" s="1"/>
  <c r="AA510" i="2"/>
  <c r="AB510" i="2" s="1"/>
  <c r="AA509" i="2"/>
  <c r="AB509" i="2" s="1"/>
  <c r="AX7" i="3" a="1"/>
  <c r="G31" i="3" a="1"/>
  <c r="P513" i="2" a="1"/>
  <c r="P512" i="2" a="1"/>
  <c r="O513" i="2" a="1"/>
  <c r="O512" i="2" a="1"/>
  <c r="AA508" i="2"/>
  <c r="AB508" i="2" s="1"/>
  <c r="Q513" i="2" l="1"/>
  <c r="Q512" i="2"/>
  <c r="W513" i="2"/>
  <c r="W512" i="2"/>
  <c r="AA513" i="2" l="1"/>
  <c r="AB513" i="2" s="1"/>
  <c r="AA512" i="2"/>
  <c r="AB512" i="2" s="1"/>
  <c r="O515" i="2" a="1"/>
  <c r="P515" i="2" a="1"/>
  <c r="P514" i="2" a="1"/>
  <c r="O514" i="2" a="1"/>
  <c r="Q514" i="2" l="1"/>
  <c r="AX3" i="3" a="1"/>
  <c r="G33" i="3" a="1"/>
  <c r="W515" i="2"/>
  <c r="W514" i="2"/>
  <c r="Q515" i="2"/>
  <c r="AA514" i="2" l="1"/>
  <c r="AB514" i="2" s="1"/>
  <c r="AA515" i="2"/>
  <c r="AB515" i="2" s="1"/>
  <c r="O516" i="2" l="1" a="1"/>
  <c r="P517" i="2" a="1"/>
  <c r="O517" i="2" a="1"/>
  <c r="P516" i="2" a="1"/>
  <c r="Q516" i="2" l="1"/>
  <c r="W516" i="2"/>
  <c r="W517" i="2"/>
  <c r="Q517" i="2"/>
  <c r="AA516" i="2" l="1"/>
  <c r="AB516" i="2" s="1"/>
  <c r="AA517" i="2"/>
  <c r="AB517" i="2" s="1"/>
  <c r="O518" i="2" l="1" a="1"/>
  <c r="O519" i="2" a="1"/>
  <c r="P518" i="2" a="1"/>
  <c r="P519" i="2" a="1"/>
  <c r="Q519" i="2" l="1"/>
  <c r="Q518" i="2"/>
  <c r="W518" i="2"/>
  <c r="W519" i="2"/>
  <c r="AA519" i="2" l="1"/>
  <c r="AB519" i="2" s="1"/>
  <c r="G28" i="3" s="1" a="1"/>
  <c r="AA518" i="2"/>
  <c r="AB518" i="2" s="1"/>
  <c r="G36" i="3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<sst xmlns="http://schemas.openxmlformats.org/spreadsheetml/2006/main" count="2682" uniqueCount="90">
  <si>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</si>
  <si>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</si>
  <si>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</si>
  <si>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</si>
  <si>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</si>
  <si>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</si>
  <si>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</si>
  <si>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</si>
  <si>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</si>
  <si>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</si>
  <si>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</si>
  <si>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</si>
  <si>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</si>
  <si>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</si>
  <si>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</si>
  <si>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</si>
  <si>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</si>
  <si>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</si>
  <si>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</si>
  <si>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</si>
  <si>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</si>
  <si>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</si>
  <si>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</si>
  <si>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</si>
  <si>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</si>
  <si>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</si>
  <si>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</si>
  <si>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</si>
  <si>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</si>
  <si>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</si>
  <si>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</si>
  <si>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</si>
  <si>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</si>
  <si>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</si>
  <si>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</si>
  <si>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</si>
  <si>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</si>
  <si>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</si>
  <si>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</si>
  <si>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</si>
  <si>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</si>
  <si>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</si>
  <si>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</si>
  <si>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</si>
  <si>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</si>
  <si>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</si>
  <si>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</si>
  <si>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</si>
  <si>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</si>
  <si>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</si>
  <si>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</si>
  <si>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</si>
  <si>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</si>
  <si>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</si>
  <si>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</si>
  <si>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</si>
  <si>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</si>
  <si>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</si>
  <si>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</si>
  <si>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</si>
  <si>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</si>
  <si>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</si>
  <si>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</si>
  <si>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</si>
  <si>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</si>
  <si>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</si>
  <si>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</si>
  <si>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</si>
  <si>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Phoenix Mercury</t>
  </si>
  <si>
    <t>LAS</t>
  </si>
  <si>
    <t>Los Angeles Sparks</t>
  </si>
  <si>
    <t>Sacramento Monarchs</t>
  </si>
  <si>
    <t>WAS</t>
  </si>
  <si>
    <t>Washington Mystics</t>
  </si>
  <si>
    <t>DET</t>
  </si>
  <si>
    <t>Detroit Shock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</si>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</sst>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36488657408" createdVersion="8" refreshedVersion="8" minRefreshableVersion="3" recordCount="518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8-05-17T00:00:00" maxDate="2008-10-06T00:00:00"/>
    </cacheField>
    <cacheField name="Season" numFmtId="1">
      <sharedItems containsSemiMixedTypes="0" containsString="0" containsNumber="1" containsInteger="1" minValue="2008" maxValue="2008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7">
        <s v="ATL"/>
        <s v="CON"/>
        <s v="HOU"/>
        <s v="DET"/>
        <s v="WAS"/>
        <s v="IND"/>
        <s v="LAS"/>
        <s v="PHX"/>
        <s v="SAS"/>
        <s v="SAC"/>
        <s v="CHI"/>
        <s v="SEA"/>
        <s v="MIN"/>
        <s v="NYL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33"/>
    </cacheField>
    <cacheField name="OppDaysOff" numFmtId="1">
      <sharedItems containsSemiMixedTypes="0" containsString="0" containsNumber="1" containsInteger="1" minValue="0" maxValue="33"/>
    </cacheField>
    <cacheField name="RestDiff" numFmtId="1">
      <sharedItems containsSemiMixedTypes="0" containsString="0" containsNumber="1" containsInteger="1" minValue="-33" maxValue="33"/>
    </cacheField>
    <cacheField name="OppRestDiff" numFmtId="1">
      <sharedItems containsSemiMixedTypes="0" containsString="0" containsNumber="1" containsInteger="1" minValue="-33" maxValue="33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67.5217495504746" maxValue="1657.459208248782"/>
    </cacheField>
    <cacheField name="OppPreGmRate" numFmtId="165">
      <sharedItems containsSemiMixedTypes="0" containsString="0" containsNumber="1" minValue="1267.5217495504746" maxValue="1657.459208248782"/>
    </cacheField>
    <cacheField name="ExpectedWin%" numFmtId="165">
      <sharedItems containsSemiMixedTypes="0" containsString="0" containsNumber="1" minValue="8.4465271542279549E-2" maxValue="0.91553472845772044"/>
    </cacheField>
    <cacheField name="PointsFor" numFmtId="0">
      <sharedItems containsSemiMixedTypes="0" containsString="0" containsNumber="1" containsInteger="1" minValue="46" maxValue="112"/>
    </cacheField>
    <cacheField name="PointsAgainst" numFmtId="0">
      <sharedItems containsSemiMixedTypes="0" containsString="0" containsNumber="1" containsInteger="1" minValue="46" maxValue="112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7" maxValue="37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21429953138513" maxValue="0.72219509474591448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0.900000000000006" maxValue="94.297499999999999"/>
    </cacheField>
    <cacheField name="RatingChange" numFmtId="165">
      <sharedItems containsSemiMixedTypes="0" containsString="0" containsNumber="1" minValue="-31.889704310055841" maxValue="31.953145366375576"/>
    </cacheField>
    <cacheField name="PostGmRate" numFmtId="165">
      <sharedItems containsSemiMixedTypes="0" containsString="0" containsNumber="1" minValue="1267.5217495504746" maxValue="1668.817246462655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">
  <r>
    <d v="2008-05-17T00:00:00"/>
    <n v="2008"/>
    <x v="0"/>
    <s v="R"/>
    <s v="RS"/>
    <x v="0"/>
    <s v="CON"/>
    <s v="A"/>
    <n v="0"/>
    <n v="0"/>
    <n v="0"/>
    <n v="0"/>
    <n v="0"/>
    <n v="0"/>
    <n v="1500"/>
    <n v="1528.048796013569"/>
    <n v="0.34411609383130642"/>
    <n v="67"/>
    <n v="100"/>
    <n v="0"/>
    <n v="-33"/>
    <n v="0"/>
    <n v="0.72219509474591448"/>
    <n v="1"/>
    <n v="75.849999999999994"/>
    <n v="75.849999999999994"/>
    <n v="-18.850162735846954"/>
    <n v="1481.1498372641531"/>
    <n v="0"/>
    <n v="1"/>
    <n v="0"/>
    <n v="0"/>
    <n v="0"/>
    <n v="0"/>
    <n v="0"/>
    <n v="0"/>
    <n v="0"/>
    <n v="0"/>
  </r>
  <r>
    <d v="2008-05-17T00:00:00"/>
    <n v="2008"/>
    <x v="0"/>
    <s v="R"/>
    <s v="RS"/>
    <x v="1"/>
    <s v="ATL"/>
    <s v="H"/>
    <n v="0"/>
    <n v="0"/>
    <n v="0"/>
    <n v="0"/>
    <n v="0"/>
    <n v="0"/>
    <n v="1528.048796013569"/>
    <n v="1500"/>
    <n v="0.65588390616869352"/>
    <n v="100"/>
    <n v="67"/>
    <n v="0"/>
    <n v="33"/>
    <n v="1"/>
    <n v="0.72219509474591448"/>
    <n v="1"/>
    <n v="75.849999999999994"/>
    <n v="75.849999999999994"/>
    <n v="18.850162735846958"/>
    <n v="1546.8989587494159"/>
    <n v="1"/>
    <n v="0"/>
    <n v="0"/>
    <n v="0"/>
    <n v="0"/>
    <n v="0"/>
    <n v="0"/>
    <n v="0"/>
    <n v="0"/>
    <n v="0"/>
  </r>
  <r>
    <d v="2008-05-17T00:00:00"/>
    <n v="2008"/>
    <x v="0"/>
    <s v="R"/>
    <s v="RS"/>
    <x v="2"/>
    <s v="DET"/>
    <s v="A"/>
    <n v="0"/>
    <n v="0"/>
    <n v="0"/>
    <n v="0"/>
    <n v="0"/>
    <n v="0"/>
    <n v="1476.1487123484485"/>
    <n v="1548.912098366945"/>
    <n v="0.28855701485464713"/>
    <n v="66"/>
    <n v="85"/>
    <n v="0"/>
    <n v="-19"/>
    <n v="0"/>
    <n v="0.5289067038403451"/>
    <n v="1"/>
    <n v="75.849999999999994"/>
    <n v="75.849999999999994"/>
    <n v="-11.576207248415832"/>
    <n v="1464.5725051000327"/>
    <n v="0"/>
    <n v="1"/>
    <n v="0"/>
    <n v="0"/>
    <n v="0"/>
    <n v="0"/>
    <n v="0"/>
    <n v="0"/>
    <n v="0"/>
    <n v="0"/>
  </r>
  <r>
    <d v="2008-05-17T00:00:00"/>
    <n v="2008"/>
    <x v="0"/>
    <s v="R"/>
    <s v="RS"/>
    <x v="3"/>
    <s v="HOU"/>
    <s v="H"/>
    <n v="0"/>
    <n v="0"/>
    <n v="0"/>
    <n v="0"/>
    <n v="0"/>
    <n v="0"/>
    <n v="1548.912098366945"/>
    <n v="1476.1487123484485"/>
    <n v="0.71144298514535287"/>
    <n v="85"/>
    <n v="66"/>
    <n v="0"/>
    <n v="19"/>
    <n v="1"/>
    <n v="0.5289067038403451"/>
    <n v="1"/>
    <n v="75.849999999999994"/>
    <n v="75.849999999999994"/>
    <n v="11.576207248415832"/>
    <n v="1560.4883056153608"/>
    <n v="1"/>
    <n v="0"/>
    <n v="0"/>
    <n v="0"/>
    <n v="0"/>
    <n v="0"/>
    <n v="0"/>
    <n v="0"/>
    <n v="0"/>
    <n v="0"/>
  </r>
  <r>
    <d v="2008-05-17T00:00:00"/>
    <n v="2008"/>
    <x v="0"/>
    <s v="R"/>
    <s v="RS"/>
    <x v="4"/>
    <s v="IND"/>
    <s v="A"/>
    <n v="0"/>
    <n v="0"/>
    <n v="0"/>
    <n v="0"/>
    <n v="0"/>
    <n v="0"/>
    <n v="1499.2193647531196"/>
    <n v="1533.6503361177279"/>
    <n v="0.3358722886309069"/>
    <n v="53"/>
    <n v="64"/>
    <n v="0"/>
    <n v="-11"/>
    <n v="0"/>
    <n v="0.42756798602168489"/>
    <n v="1"/>
    <n v="75.849999999999994"/>
    <n v="75.849999999999994"/>
    <n v="-10.892684853089667"/>
    <n v="1488.3266799000301"/>
    <n v="0"/>
    <n v="1"/>
    <n v="0"/>
    <n v="0"/>
    <n v="0"/>
    <n v="0"/>
    <n v="0"/>
    <n v="0"/>
    <n v="0"/>
    <n v="0"/>
  </r>
  <r>
    <d v="2008-05-17T00:00:00"/>
    <n v="2008"/>
    <x v="0"/>
    <s v="R"/>
    <s v="RS"/>
    <x v="5"/>
    <s v="WAS"/>
    <s v="H"/>
    <n v="0"/>
    <n v="0"/>
    <n v="0"/>
    <n v="0"/>
    <n v="0"/>
    <n v="0"/>
    <n v="1533.6503361177279"/>
    <n v="1499.2193647531196"/>
    <n v="0.6641277113690931"/>
    <n v="64"/>
    <n v="53"/>
    <n v="0"/>
    <n v="11"/>
    <n v="1"/>
    <n v="0.42756798602168489"/>
    <n v="1"/>
    <n v="75.849999999999994"/>
    <n v="75.849999999999994"/>
    <n v="10.892684853089667"/>
    <n v="1544.5430209708175"/>
    <n v="1"/>
    <n v="0"/>
    <n v="0"/>
    <n v="0"/>
    <n v="0"/>
    <n v="0"/>
    <n v="0"/>
    <n v="0"/>
    <n v="0"/>
    <n v="0"/>
  </r>
  <r>
    <d v="2008-05-17T00:00:00"/>
    <n v="2008"/>
    <x v="0"/>
    <s v="R"/>
    <s v="RS"/>
    <x v="6"/>
    <s v="PHX"/>
    <s v="A"/>
    <n v="0"/>
    <n v="0"/>
    <n v="0"/>
    <n v="0"/>
    <n v="0"/>
    <n v="0"/>
    <n v="1433.7499436382445"/>
    <n v="1595.763467231001"/>
    <n v="0.19526307352441466"/>
    <n v="99"/>
    <n v="94"/>
    <n v="0"/>
    <n v="5"/>
    <n v="1"/>
    <n v="0.29229311138068531"/>
    <n v="1"/>
    <n v="75.849999999999994"/>
    <n v="75.849999999999994"/>
    <n v="17.841365707256003"/>
    <n v="1451.5913093455006"/>
    <n v="1"/>
    <n v="0"/>
    <n v="0"/>
    <n v="0"/>
    <n v="0"/>
    <n v="0"/>
    <n v="0"/>
    <n v="0"/>
    <n v="0"/>
    <n v="0"/>
  </r>
  <r>
    <d v="2008-05-17T00:00:00"/>
    <n v="2008"/>
    <x v="0"/>
    <s v="R"/>
    <s v="RS"/>
    <x v="7"/>
    <s v="LAS"/>
    <s v="H"/>
    <n v="0"/>
    <n v="0"/>
    <n v="0"/>
    <n v="0"/>
    <n v="0"/>
    <n v="0"/>
    <n v="1595.763467231001"/>
    <n v="1433.7499436382445"/>
    <n v="0.80473692647558537"/>
    <n v="94"/>
    <n v="99"/>
    <n v="0"/>
    <n v="-5"/>
    <n v="0"/>
    <n v="0.29229311138068531"/>
    <n v="1"/>
    <n v="75.849999999999994"/>
    <n v="75.849999999999994"/>
    <n v="-17.841365707256003"/>
    <n v="1577.9221015237449"/>
    <n v="0"/>
    <n v="1"/>
    <n v="0"/>
    <n v="0"/>
    <n v="0"/>
    <n v="0"/>
    <n v="0"/>
    <n v="0"/>
    <n v="0"/>
    <n v="0"/>
  </r>
  <r>
    <d v="2008-05-17T00:00:00"/>
    <n v="2008"/>
    <x v="0"/>
    <s v="R"/>
    <s v="RS"/>
    <x v="8"/>
    <s v="SAC"/>
    <s v="A"/>
    <n v="0"/>
    <n v="0"/>
    <n v="0"/>
    <n v="0"/>
    <n v="0"/>
    <n v="0"/>
    <n v="1506.4868557382274"/>
    <n v="1514.0092634723821"/>
    <n v="0.37125296494656723"/>
    <n v="64"/>
    <n v="73"/>
    <n v="0"/>
    <n v="-9"/>
    <n v="0"/>
    <n v="0.40344247813241796"/>
    <n v="1"/>
    <n v="75.849999999999994"/>
    <n v="75.849999999999994"/>
    <n v="-11.36075354816705"/>
    <n v="1495.1261021900605"/>
    <n v="0"/>
    <n v="1"/>
    <n v="0"/>
    <n v="0"/>
    <n v="0"/>
    <n v="0"/>
    <n v="0"/>
    <n v="0"/>
    <n v="0"/>
    <n v="0"/>
  </r>
  <r>
    <d v="2008-05-17T00:00:00"/>
    <n v="2008"/>
    <x v="0"/>
    <s v="R"/>
    <s v="RS"/>
    <x v="9"/>
    <s v="SAS"/>
    <s v="H"/>
    <n v="0"/>
    <n v="0"/>
    <n v="0"/>
    <n v="0"/>
    <n v="0"/>
    <n v="0"/>
    <n v="1514.0092634723821"/>
    <n v="1506.4868557382274"/>
    <n v="0.62874703505343277"/>
    <n v="73"/>
    <n v="64"/>
    <n v="0"/>
    <n v="9"/>
    <n v="1"/>
    <n v="0.40344247813241796"/>
    <n v="1"/>
    <n v="75.849999999999994"/>
    <n v="75.849999999999994"/>
    <n v="11.36075354816705"/>
    <n v="1525.3700170205491"/>
    <n v="1"/>
    <n v="0"/>
    <n v="0"/>
    <n v="0"/>
    <n v="0"/>
    <n v="0"/>
    <n v="0"/>
    <n v="0"/>
    <n v="0"/>
    <n v="0"/>
  </r>
  <r>
    <d v="2008-05-17T00:00:00"/>
    <n v="2008"/>
    <x v="0"/>
    <s v="R"/>
    <s v="RS"/>
    <x v="10"/>
    <s v="SEA"/>
    <s v="A"/>
    <n v="0"/>
    <n v="0"/>
    <n v="0"/>
    <n v="0"/>
    <n v="0"/>
    <n v="0"/>
    <n v="1462.3236216721757"/>
    <n v="1497.7116862496932"/>
    <n v="0.33464444778845404"/>
    <n v="61"/>
    <n v="67"/>
    <n v="0"/>
    <n v="-6"/>
    <n v="0"/>
    <n v="0.341218217494556"/>
    <n v="1"/>
    <n v="75.849999999999994"/>
    <n v="75.849999999999994"/>
    <n v="-8.6610674123354734"/>
    <n v="1453.6625542598401"/>
    <n v="0"/>
    <n v="1"/>
    <n v="0"/>
    <n v="0"/>
    <n v="0"/>
    <n v="0"/>
    <n v="0"/>
    <n v="0"/>
    <n v="0"/>
    <n v="0"/>
  </r>
  <r>
    <d v="2008-05-17T00:00:00"/>
    <n v="2008"/>
    <x v="0"/>
    <s v="R"/>
    <s v="RS"/>
    <x v="11"/>
    <s v="CHI"/>
    <s v="H"/>
    <n v="0"/>
    <n v="0"/>
    <n v="0"/>
    <n v="0"/>
    <n v="0"/>
    <n v="0"/>
    <n v="1497.7116862496932"/>
    <n v="1462.3236216721757"/>
    <n v="0.66535555221154596"/>
    <n v="67"/>
    <n v="61"/>
    <n v="0"/>
    <n v="6"/>
    <n v="1"/>
    <n v="0.341218217494556"/>
    <n v="1"/>
    <n v="75.849999999999994"/>
    <n v="75.849999999999994"/>
    <n v="8.6610674123354734"/>
    <n v="1506.3727536620288"/>
    <n v="1"/>
    <n v="0"/>
    <n v="0"/>
    <n v="0"/>
    <n v="0"/>
    <n v="0"/>
    <n v="0"/>
    <n v="0"/>
    <n v="0"/>
    <n v="0"/>
  </r>
  <r>
    <d v="2008-05-18T00:00:00"/>
    <n v="2008"/>
    <x v="1"/>
    <s v="R"/>
    <s v="RS"/>
    <x v="3"/>
    <s v="MIN"/>
    <s v="A"/>
    <n v="0"/>
    <n v="1"/>
    <n v="-1"/>
    <n v="1"/>
    <n v="-8"/>
    <n v="8"/>
    <n v="1560.4883056153608"/>
    <n v="1445.1737340306684"/>
    <n v="0.52202517740598875"/>
    <n v="70"/>
    <n v="84"/>
    <n v="0"/>
    <n v="-14"/>
    <n v="0"/>
    <n v="0.44485915147732041"/>
    <n v="1"/>
    <n v="75.7"/>
    <n v="75.7"/>
    <n v="-17.579635184526374"/>
    <n v="1542.9086704308345"/>
    <n v="0"/>
    <n v="1"/>
    <n v="0"/>
    <n v="0"/>
    <n v="0"/>
    <n v="0"/>
    <n v="0"/>
    <n v="0"/>
    <n v="0"/>
    <n v="0"/>
  </r>
  <r>
    <d v="2008-05-18T00:00:00"/>
    <n v="2008"/>
    <x v="0"/>
    <s v="R"/>
    <s v="RS"/>
    <x v="12"/>
    <s v="DET"/>
    <s v="H"/>
    <n v="1"/>
    <n v="0"/>
    <n v="1"/>
    <n v="-1"/>
    <n v="8"/>
    <n v="-8"/>
    <n v="1445.1737340306684"/>
    <n v="1560.4883056153608"/>
    <n v="0.47797482259401125"/>
    <n v="84"/>
    <n v="70"/>
    <n v="0"/>
    <n v="14"/>
    <n v="1"/>
    <n v="0.44485915147732041"/>
    <n v="1"/>
    <n v="75.849999999999994"/>
    <n v="75.849999999999994"/>
    <n v="17.614469336146968"/>
    <n v="1462.7882033668154"/>
    <n v="1"/>
    <n v="0"/>
    <n v="0"/>
    <n v="0"/>
    <n v="0"/>
    <n v="0"/>
    <n v="0"/>
    <n v="0"/>
    <n v="0"/>
    <n v="0"/>
  </r>
  <r>
    <d v="2008-05-18T00:00:00"/>
    <n v="2008"/>
    <x v="1"/>
    <s v="R"/>
    <s v="RS"/>
    <x v="1"/>
    <s v="NYL"/>
    <s v="A"/>
    <n v="0"/>
    <n v="1"/>
    <n v="-1"/>
    <n v="1"/>
    <n v="-8"/>
    <n v="8"/>
    <n v="1546.8989587494159"/>
    <n v="1484.4806325525747"/>
    <n v="0.44612557895862981"/>
    <n v="77"/>
    <n v="63"/>
    <n v="0"/>
    <n v="14"/>
    <n v="1"/>
    <n v="0.46349907324593592"/>
    <n v="1"/>
    <n v="75.7"/>
    <n v="75.7"/>
    <n v="19.433725260140942"/>
    <n v="1566.3326840095569"/>
    <n v="1"/>
    <n v="0"/>
    <n v="0"/>
    <n v="0"/>
    <n v="0"/>
    <n v="0"/>
    <n v="0"/>
    <n v="0"/>
    <n v="0"/>
    <n v="0"/>
  </r>
  <r>
    <d v="2008-05-18T00:00:00"/>
    <n v="2008"/>
    <x v="0"/>
    <s v="R"/>
    <s v="RS"/>
    <x v="13"/>
    <s v="CON"/>
    <s v="H"/>
    <n v="1"/>
    <n v="0"/>
    <n v="1"/>
    <n v="-1"/>
    <n v="8"/>
    <n v="-8"/>
    <n v="1484.4806325525747"/>
    <n v="1546.8989587494159"/>
    <n v="0.55387442104137019"/>
    <n v="63"/>
    <n v="77"/>
    <n v="0"/>
    <n v="-14"/>
    <n v="0"/>
    <n v="0.46349907324593592"/>
    <n v="1"/>
    <n v="75.849999999999994"/>
    <n v="75.849999999999994"/>
    <n v="-19.472233302268037"/>
    <n v="1465.0083992503066"/>
    <n v="0"/>
    <n v="1"/>
    <n v="0"/>
    <n v="0"/>
    <n v="0"/>
    <n v="0"/>
    <n v="0"/>
    <n v="0"/>
    <n v="0"/>
    <n v="0"/>
  </r>
  <r>
    <d v="2008-05-20T00:00:00"/>
    <n v="2008"/>
    <x v="1"/>
    <s v="R"/>
    <s v="RS"/>
    <x v="7"/>
    <s v="SAS"/>
    <s v="A"/>
    <n v="2"/>
    <n v="2"/>
    <n v="0"/>
    <n v="0"/>
    <n v="0"/>
    <n v="0"/>
    <n v="1577.9221015237449"/>
    <n v="1495.1261021900605"/>
    <n v="0.49826731069453478"/>
    <n v="76"/>
    <n v="81"/>
    <n v="0"/>
    <n v="-5"/>
    <n v="0"/>
    <n v="0.31034332096473943"/>
    <n v="1"/>
    <n v="75.7"/>
    <n v="75.7"/>
    <n v="-11.705788647033746"/>
    <n v="1566.2163128767111"/>
    <n v="0"/>
    <n v="1"/>
    <n v="0"/>
    <n v="0"/>
    <n v="0"/>
    <n v="0"/>
    <n v="0"/>
    <n v="0"/>
    <n v="0"/>
    <n v="0"/>
  </r>
  <r>
    <d v="2008-05-20T00:00:00"/>
    <n v="2008"/>
    <x v="1"/>
    <s v="R"/>
    <s v="RS"/>
    <x v="8"/>
    <s v="PHX"/>
    <s v="H"/>
    <n v="2"/>
    <n v="2"/>
    <n v="0"/>
    <n v="0"/>
    <n v="0"/>
    <n v="0"/>
    <n v="1495.1261021900605"/>
    <n v="1577.9221015237449"/>
    <n v="0.50173268930546511"/>
    <n v="81"/>
    <n v="76"/>
    <n v="0"/>
    <n v="5"/>
    <n v="1"/>
    <n v="0.31034332096473943"/>
    <n v="1"/>
    <n v="75.7"/>
    <n v="75.7"/>
    <n v="11.705788647033748"/>
    <n v="1506.8318908370943"/>
    <n v="1"/>
    <n v="0"/>
    <n v="0"/>
    <n v="0"/>
    <n v="0"/>
    <n v="0"/>
    <n v="0"/>
    <n v="0"/>
    <n v="0"/>
    <n v="0"/>
  </r>
  <r>
    <d v="2008-05-20T00:00:00"/>
    <n v="2008"/>
    <x v="1"/>
    <s v="R"/>
    <s v="RS"/>
    <x v="9"/>
    <s v="SEA"/>
    <s v="A"/>
    <n v="2"/>
    <n v="2"/>
    <n v="0"/>
    <n v="0"/>
    <n v="0"/>
    <n v="0"/>
    <n v="1525.3700170205491"/>
    <n v="1506.3727536620288"/>
    <n v="0.40752996576894984"/>
    <n v="62"/>
    <n v="74"/>
    <n v="0"/>
    <n v="-12"/>
    <n v="0"/>
    <n v="0.44902096841776562"/>
    <n v="1"/>
    <n v="75.7"/>
    <n v="75.7"/>
    <n v="-13.852305141584639"/>
    <n v="1511.5177118789645"/>
    <n v="0"/>
    <n v="1"/>
    <n v="0"/>
    <n v="0"/>
    <n v="0"/>
    <n v="0"/>
    <n v="0"/>
    <n v="0"/>
    <n v="0"/>
    <n v="0"/>
  </r>
  <r>
    <d v="2008-05-20T00:00:00"/>
    <n v="2008"/>
    <x v="1"/>
    <s v="R"/>
    <s v="RS"/>
    <x v="11"/>
    <s v="SAC"/>
    <s v="H"/>
    <n v="2"/>
    <n v="2"/>
    <n v="0"/>
    <n v="0"/>
    <n v="0"/>
    <n v="0"/>
    <n v="1506.3727536620288"/>
    <n v="1525.3700170205491"/>
    <n v="0.59247003423105016"/>
    <n v="74"/>
    <n v="62"/>
    <n v="0"/>
    <n v="12"/>
    <n v="1"/>
    <n v="0.44902096841776562"/>
    <n v="1"/>
    <n v="75.7"/>
    <n v="75.7"/>
    <n v="13.852305141584639"/>
    <n v="1520.2250588036134"/>
    <n v="1"/>
    <n v="0"/>
    <n v="0"/>
    <n v="0"/>
    <n v="0"/>
    <n v="0"/>
    <n v="0"/>
    <n v="0"/>
    <n v="0"/>
    <n v="0"/>
  </r>
  <r>
    <d v="2008-05-21T00:00:00"/>
    <n v="2008"/>
    <x v="1"/>
    <s v="R"/>
    <s v="RS"/>
    <x v="5"/>
    <s v="DET"/>
    <s v="A"/>
    <n v="3"/>
    <n v="2"/>
    <n v="1"/>
    <n v="-1"/>
    <n v="8"/>
    <n v="-8"/>
    <n v="1544.5430209708175"/>
    <n v="1542.9086704308345"/>
    <n v="0.40563704460065109"/>
    <n v="71"/>
    <n v="76"/>
    <n v="0"/>
    <n v="-5"/>
    <n v="0"/>
    <n v="0.3313047520442457"/>
    <n v="1"/>
    <n v="75.7"/>
    <n v="75.7"/>
    <n v="-10.173283672440418"/>
    <n v="1534.369737298377"/>
    <n v="0"/>
    <n v="1"/>
    <n v="0"/>
    <n v="0"/>
    <n v="0"/>
    <n v="0"/>
    <n v="0"/>
    <n v="0"/>
    <n v="0"/>
    <n v="0"/>
  </r>
  <r>
    <d v="2008-05-21T00:00:00"/>
    <n v="2008"/>
    <x v="2"/>
    <s v="R"/>
    <s v="RS"/>
    <x v="3"/>
    <s v="IND"/>
    <s v="H"/>
    <n v="2"/>
    <n v="3"/>
    <n v="-1"/>
    <n v="1"/>
    <n v="-8"/>
    <n v="8"/>
    <n v="1542.9086704308345"/>
    <n v="1544.5430209708175"/>
    <n v="0.59436295539934891"/>
    <n v="76"/>
    <n v="71"/>
    <n v="0"/>
    <n v="5"/>
    <n v="1"/>
    <n v="0.3313047520442457"/>
    <n v="1"/>
    <n v="75.55"/>
    <n v="75.55"/>
    <n v="10.153125250368209"/>
    <n v="1553.0617956812027"/>
    <n v="1"/>
    <n v="0"/>
    <n v="0"/>
    <n v="0"/>
    <n v="0"/>
    <n v="0"/>
    <n v="0"/>
    <n v="0"/>
    <n v="0"/>
    <n v="0"/>
  </r>
  <r>
    <d v="2008-05-22T00:00:00"/>
    <n v="2008"/>
    <x v="2"/>
    <s v="R"/>
    <s v="RS"/>
    <x v="9"/>
    <s v="CHI"/>
    <s v="A"/>
    <n v="1"/>
    <n v="4"/>
    <n v="-3"/>
    <n v="3"/>
    <n v="-16"/>
    <n v="16"/>
    <n v="1511.5177118789645"/>
    <n v="1453.6625542598401"/>
    <n v="0.41709538680635266"/>
    <n v="77"/>
    <n v="87"/>
    <n v="0"/>
    <n v="-10"/>
    <n v="0"/>
    <n v="0.40366781192822204"/>
    <n v="1"/>
    <n v="75.55"/>
    <n v="75.55"/>
    <n v="-12.720201051997297"/>
    <n v="1498.7975108269673"/>
    <n v="0"/>
    <n v="1"/>
    <n v="0"/>
    <n v="0"/>
    <n v="0"/>
    <n v="0"/>
    <n v="0"/>
    <n v="0"/>
    <n v="0"/>
    <n v="0"/>
  </r>
  <r>
    <d v="2008-05-22T00:00:00"/>
    <n v="2008"/>
    <x v="1"/>
    <s v="R"/>
    <s v="RS"/>
    <x v="10"/>
    <s v="SAC"/>
    <s v="H"/>
    <n v="4"/>
    <n v="1"/>
    <n v="3"/>
    <n v="-3"/>
    <n v="16"/>
    <n v="-16"/>
    <n v="1453.6625542598401"/>
    <n v="1511.5177118789645"/>
    <n v="0.58290461319364739"/>
    <n v="87"/>
    <n v="77"/>
    <n v="0"/>
    <n v="10"/>
    <n v="1"/>
    <n v="0.40366781192822204"/>
    <n v="1"/>
    <n v="75.7"/>
    <n v="75.7"/>
    <n v="12.745456249320917"/>
    <n v="1466.4080105091612"/>
    <n v="1"/>
    <n v="0"/>
    <n v="0"/>
    <n v="0"/>
    <n v="0"/>
    <n v="0"/>
    <n v="0"/>
    <n v="0"/>
    <n v="0"/>
    <n v="0"/>
  </r>
  <r>
    <d v="2008-05-22T00:00:00"/>
    <n v="2008"/>
    <x v="1"/>
    <s v="R"/>
    <s v="RS"/>
    <x v="4"/>
    <s v="NYL"/>
    <s v="A"/>
    <n v="4"/>
    <n v="3"/>
    <n v="1"/>
    <n v="-1"/>
    <n v="8"/>
    <n v="-8"/>
    <n v="1488.3266799000301"/>
    <n v="1465.0083992503066"/>
    <n v="0.43605000667639471"/>
    <n v="60"/>
    <n v="79"/>
    <n v="0"/>
    <n v="-19"/>
    <n v="0"/>
    <n v="0.5502844990677217"/>
    <n v="1"/>
    <n v="75.7"/>
    <n v="75.7"/>
    <n v="-18.164333053574421"/>
    <n v="1470.1623468464556"/>
    <n v="0"/>
    <n v="1"/>
    <n v="0"/>
    <n v="0"/>
    <n v="0"/>
    <n v="0"/>
    <n v="0"/>
    <n v="0"/>
    <n v="0"/>
    <n v="0"/>
  </r>
  <r>
    <d v="2008-05-22T00:00:00"/>
    <n v="2008"/>
    <x v="1"/>
    <s v="R"/>
    <s v="RS"/>
    <x v="13"/>
    <s v="WAS"/>
    <s v="H"/>
    <n v="3"/>
    <n v="4"/>
    <n v="-1"/>
    <n v="1"/>
    <n v="-8"/>
    <n v="8"/>
    <n v="1465.0083992503066"/>
    <n v="1488.3266799000301"/>
    <n v="0.56394999332360518"/>
    <n v="79"/>
    <n v="60"/>
    <n v="0"/>
    <n v="19"/>
    <n v="1"/>
    <n v="0.5502844990677217"/>
    <n v="1"/>
    <n v="75.7"/>
    <n v="75.7"/>
    <n v="18.164333053574428"/>
    <n v="1483.172732303881"/>
    <n v="1"/>
    <n v="0"/>
    <n v="0"/>
    <n v="0"/>
    <n v="0"/>
    <n v="0"/>
    <n v="0"/>
    <n v="0"/>
    <n v="0"/>
    <n v="0"/>
  </r>
  <r>
    <d v="2008-05-22T00:00:00"/>
    <n v="2008"/>
    <x v="2"/>
    <s v="R"/>
    <s v="RS"/>
    <x v="11"/>
    <s v="PHX"/>
    <s v="A"/>
    <n v="1"/>
    <n v="1"/>
    <n v="0"/>
    <n v="0"/>
    <n v="0"/>
    <n v="0"/>
    <n v="1520.2250588036134"/>
    <n v="1566.2163128767111"/>
    <n v="0.32119405687928609"/>
    <n v="87"/>
    <n v="83"/>
    <n v="0"/>
    <n v="4"/>
    <n v="1"/>
    <n v="0.29993732352693581"/>
    <n v="1"/>
    <n v="75.55"/>
    <n v="75.55"/>
    <n v="15.381922413810916"/>
    <n v="1535.6069812174244"/>
    <n v="1"/>
    <n v="0"/>
    <n v="0"/>
    <n v="0"/>
    <n v="0"/>
    <n v="0"/>
    <n v="0"/>
    <n v="0"/>
    <n v="0"/>
    <n v="0"/>
  </r>
  <r>
    <d v="2008-05-22T00:00:00"/>
    <n v="2008"/>
    <x v="2"/>
    <s v="R"/>
    <s v="RS"/>
    <x v="7"/>
    <s v="SEA"/>
    <s v="H"/>
    <n v="1"/>
    <n v="1"/>
    <n v="0"/>
    <n v="0"/>
    <n v="0"/>
    <n v="0"/>
    <n v="1566.2163128767111"/>
    <n v="1520.2250588036134"/>
    <n v="0.67880594312071385"/>
    <n v="83"/>
    <n v="87"/>
    <n v="0"/>
    <n v="-4"/>
    <n v="0"/>
    <n v="0.29993732352693581"/>
    <n v="1"/>
    <n v="75.55"/>
    <n v="75.55"/>
    <n v="-15.381922413810916"/>
    <n v="1550.8343904629"/>
    <n v="0"/>
    <n v="1"/>
    <n v="0"/>
    <n v="0"/>
    <n v="0"/>
    <n v="0"/>
    <n v="0"/>
    <n v="0"/>
    <n v="0"/>
    <n v="0"/>
  </r>
  <r>
    <d v="2008-05-23T00:00:00"/>
    <n v="2008"/>
    <x v="3"/>
    <s v="R"/>
    <s v="RS"/>
    <x v="3"/>
    <s v="ATL"/>
    <s v="A"/>
    <n v="1"/>
    <n v="5"/>
    <n v="-4"/>
    <n v="4"/>
    <n v="-16"/>
    <n v="16"/>
    <n v="1553.0617956812027"/>
    <n v="1481.1498372641531"/>
    <n v="0.43689058440265505"/>
    <n v="88"/>
    <n v="76"/>
    <n v="0"/>
    <n v="12"/>
    <n v="1"/>
    <n v="0.43034058141339959"/>
    <n v="1"/>
    <n v="75.400000000000006"/>
    <n v="75.400000000000006"/>
    <n v="18.271594031387092"/>
    <n v="1571.3333897125899"/>
    <n v="1"/>
    <n v="0"/>
    <n v="0"/>
    <n v="0"/>
    <n v="0"/>
    <n v="0"/>
    <n v="0"/>
    <n v="0"/>
    <n v="0"/>
    <n v="0"/>
  </r>
  <r>
    <d v="2008-05-23T00:00:00"/>
    <n v="2008"/>
    <x v="1"/>
    <s v="R"/>
    <s v="RS"/>
    <x v="0"/>
    <s v="DET"/>
    <s v="H"/>
    <n v="5"/>
    <n v="1"/>
    <n v="4"/>
    <n v="-4"/>
    <n v="16"/>
    <n v="-16"/>
    <n v="1481.1498372641531"/>
    <n v="1553.0617956812027"/>
    <n v="0.56310941559734495"/>
    <n v="76"/>
    <n v="88"/>
    <n v="0"/>
    <n v="-12"/>
    <n v="0"/>
    <n v="0.43034058141339959"/>
    <n v="1"/>
    <n v="75.7"/>
    <n v="75.7"/>
    <n v="-18.344292681379347"/>
    <n v="1462.8055445827738"/>
    <n v="0"/>
    <n v="1"/>
    <n v="0"/>
    <n v="0"/>
    <n v="0"/>
    <n v="0"/>
    <n v="0"/>
    <n v="0"/>
    <n v="0"/>
    <n v="0"/>
  </r>
  <r>
    <d v="2008-05-24T00:00:00"/>
    <n v="2008"/>
    <x v="3"/>
    <s v="R"/>
    <s v="RS"/>
    <x v="9"/>
    <s v="CON"/>
    <s v="A"/>
    <n v="1"/>
    <n v="5"/>
    <n v="-4"/>
    <n v="4"/>
    <n v="-16"/>
    <n v="16"/>
    <n v="1498.7975108269673"/>
    <n v="1566.3326840095569"/>
    <n v="0.2579763150450583"/>
    <n v="64"/>
    <n v="87"/>
    <n v="0"/>
    <n v="-23"/>
    <n v="0"/>
    <n v="0.5825521363800088"/>
    <n v="1"/>
    <n v="75.400000000000006"/>
    <n v="75.400000000000006"/>
    <n v="-11.331462871256546"/>
    <n v="1487.4660479557108"/>
    <n v="0"/>
    <n v="1"/>
    <n v="0"/>
    <n v="0"/>
    <n v="0"/>
    <n v="0"/>
    <n v="0"/>
    <n v="0"/>
    <n v="0"/>
    <n v="0"/>
  </r>
  <r>
    <d v="2008-05-24T00:00:00"/>
    <n v="2008"/>
    <x v="2"/>
    <s v="R"/>
    <s v="RS"/>
    <x v="1"/>
    <s v="SAC"/>
    <s v="H"/>
    <n v="5"/>
    <n v="1"/>
    <n v="4"/>
    <n v="-4"/>
    <n v="16"/>
    <n v="-16"/>
    <n v="1566.3326840095569"/>
    <n v="1498.7975108269673"/>
    <n v="0.74202368495494175"/>
    <n v="87"/>
    <n v="64"/>
    <n v="0"/>
    <n v="23"/>
    <n v="1"/>
    <n v="0.5825521363800088"/>
    <n v="1"/>
    <n v="75.55"/>
    <n v="75.55"/>
    <n v="11.354005569276284"/>
    <n v="1577.6866895788332"/>
    <n v="1"/>
    <n v="0"/>
    <n v="0"/>
    <n v="0"/>
    <n v="0"/>
    <n v="0"/>
    <n v="0"/>
    <n v="0"/>
    <n v="0"/>
    <n v="0"/>
  </r>
  <r>
    <d v="2008-05-24T00:00:00"/>
    <n v="2008"/>
    <x v="3"/>
    <s v="R"/>
    <s v="RS"/>
    <x v="11"/>
    <s v="SAS"/>
    <s v="A"/>
    <n v="1"/>
    <n v="3"/>
    <n v="-2"/>
    <n v="2"/>
    <n v="-16"/>
    <n v="16"/>
    <n v="1535.6069812174244"/>
    <n v="1506.8318908370943"/>
    <n v="0.3770456576110629"/>
    <n v="72"/>
    <n v="87"/>
    <n v="0"/>
    <n v="-15"/>
    <n v="0"/>
    <n v="0.49107248216412536"/>
    <n v="1"/>
    <n v="75.400000000000006"/>
    <n v="75.400000000000006"/>
    <n v="-13.960818721709128"/>
    <n v="1521.6461624957153"/>
    <n v="0"/>
    <n v="1"/>
    <n v="0"/>
    <n v="0"/>
    <n v="0"/>
    <n v="0"/>
    <n v="0"/>
    <n v="0"/>
    <n v="0"/>
    <n v="0"/>
  </r>
  <r>
    <d v="2008-05-24T00:00:00"/>
    <n v="2008"/>
    <x v="2"/>
    <s v="R"/>
    <s v="RS"/>
    <x v="8"/>
    <s v="SEA"/>
    <s v="H"/>
    <n v="3"/>
    <n v="1"/>
    <n v="2"/>
    <n v="-2"/>
    <n v="16"/>
    <n v="-16"/>
    <n v="1506.8318908370943"/>
    <n v="1535.6069812174244"/>
    <n v="0.6229543423889371"/>
    <n v="87"/>
    <n v="72"/>
    <n v="0"/>
    <n v="15"/>
    <n v="1"/>
    <n v="0.49107248216412536"/>
    <n v="1"/>
    <n v="75.55"/>
    <n v="75.55"/>
    <n v="13.988592233754968"/>
    <n v="1520.8204830708494"/>
    <n v="1"/>
    <n v="0"/>
    <n v="0"/>
    <n v="0"/>
    <n v="0"/>
    <n v="0"/>
    <n v="0"/>
    <n v="0"/>
    <n v="0"/>
    <n v="0"/>
  </r>
  <r>
    <d v="2008-05-25T00:00:00"/>
    <n v="2008"/>
    <x v="1"/>
    <s v="R"/>
    <s v="RS"/>
    <x v="6"/>
    <s v="ATL"/>
    <s v="A"/>
    <n v="7"/>
    <n v="1"/>
    <n v="6"/>
    <n v="-6"/>
    <n v="16"/>
    <n v="-16"/>
    <n v="1451.5913093455006"/>
    <n v="1462.8055445827738"/>
    <n v="0.41001813969433643"/>
    <n v="74"/>
    <n v="56"/>
    <n v="0"/>
    <n v="18"/>
    <n v="1"/>
    <n v="0.54177097615025782"/>
    <n v="1"/>
    <n v="75.7"/>
    <n v="75.7"/>
    <n v="24.196373161513954"/>
    <n v="1475.7876825070146"/>
    <n v="1"/>
    <n v="0"/>
    <n v="0"/>
    <n v="0"/>
    <n v="0"/>
    <n v="0"/>
    <n v="0"/>
    <n v="0"/>
    <n v="0"/>
    <n v="0"/>
  </r>
  <r>
    <d v="2008-05-25T00:00:00"/>
    <n v="2008"/>
    <x v="2"/>
    <s v="R"/>
    <s v="RS"/>
    <x v="0"/>
    <s v="LAS"/>
    <s v="H"/>
    <n v="1"/>
    <n v="7"/>
    <n v="-6"/>
    <n v="6"/>
    <n v="-16"/>
    <n v="16"/>
    <n v="1462.8055445827738"/>
    <n v="1451.5913093455006"/>
    <n v="0.58998186030566357"/>
    <n v="56"/>
    <n v="74"/>
    <n v="0"/>
    <n v="-18"/>
    <n v="0"/>
    <n v="0.54177097615025782"/>
    <n v="1"/>
    <n v="75.55"/>
    <n v="75.55"/>
    <n v="-24.148427904258639"/>
    <n v="1438.6571166785152"/>
    <n v="0"/>
    <n v="1"/>
    <n v="0"/>
    <n v="0"/>
    <n v="0"/>
    <n v="0"/>
    <n v="0"/>
    <n v="0"/>
    <n v="0"/>
    <n v="0"/>
  </r>
  <r>
    <d v="2008-05-25T00:00:00"/>
    <n v="2008"/>
    <x v="2"/>
    <s v="R"/>
    <s v="RS"/>
    <x v="13"/>
    <s v="DET"/>
    <s v="A"/>
    <n v="2"/>
    <n v="1"/>
    <n v="1"/>
    <n v="-1"/>
    <n v="8"/>
    <n v="-8"/>
    <n v="1483.172732303881"/>
    <n v="1571.3333897125899"/>
    <n v="0.28926981459019263"/>
    <n v="62"/>
    <n v="72"/>
    <n v="0"/>
    <n v="-10"/>
    <n v="0"/>
    <n v="0.39417105023231552"/>
    <n v="1"/>
    <n v="75.55"/>
    <n v="75.55"/>
    <n v="-8.6143459789538941"/>
    <n v="1474.5583863249271"/>
    <n v="0"/>
    <n v="1"/>
    <n v="0"/>
    <n v="0"/>
    <n v="0"/>
    <n v="0"/>
    <n v="0"/>
    <n v="0"/>
    <n v="0"/>
    <n v="0"/>
  </r>
  <r>
    <d v="2008-05-25T00:00:00"/>
    <n v="2008"/>
    <x v="4"/>
    <s v="R"/>
    <s v="RS"/>
    <x v="3"/>
    <s v="NYL"/>
    <s v="H"/>
    <n v="1"/>
    <n v="2"/>
    <n v="-1"/>
    <n v="1"/>
    <n v="-8"/>
    <n v="8"/>
    <n v="1571.3333897125899"/>
    <n v="1483.172732303881"/>
    <n v="0.71073018540980737"/>
    <n v="72"/>
    <n v="62"/>
    <n v="0"/>
    <n v="10"/>
    <n v="1"/>
    <n v="0.39417105023231552"/>
    <n v="1"/>
    <n v="75.25"/>
    <n v="75.25"/>
    <n v="8.5801394429686368"/>
    <n v="1579.9135291555585"/>
    <n v="1"/>
    <n v="0"/>
    <n v="0"/>
    <n v="0"/>
    <n v="0"/>
    <n v="0"/>
    <n v="0"/>
    <n v="0"/>
    <n v="0"/>
    <n v="0"/>
  </r>
  <r>
    <d v="2008-05-25T00:00:00"/>
    <n v="2008"/>
    <x v="1"/>
    <s v="R"/>
    <s v="RS"/>
    <x v="2"/>
    <s v="WAS"/>
    <s v="A"/>
    <n v="7"/>
    <n v="2"/>
    <n v="5"/>
    <n v="-5"/>
    <n v="16"/>
    <n v="-16"/>
    <n v="1464.5725051000327"/>
    <n v="1470.1623468464556"/>
    <n v="0.41787234335554641"/>
    <n v="66"/>
    <n v="69"/>
    <n v="0"/>
    <n v="-3"/>
    <n v="0"/>
    <n v="0.28883805524938416"/>
    <n v="1"/>
    <n v="75.7"/>
    <n v="75.7"/>
    <n v="-9.1367958292970446"/>
    <n v="1455.4357092707357"/>
    <n v="0"/>
    <n v="1"/>
    <n v="0"/>
    <n v="0"/>
    <n v="0"/>
    <n v="0"/>
    <n v="0"/>
    <n v="0"/>
    <n v="0"/>
    <n v="0"/>
  </r>
  <r>
    <d v="2008-05-25T00:00:00"/>
    <n v="2008"/>
    <x v="2"/>
    <s v="R"/>
    <s v="RS"/>
    <x v="4"/>
    <s v="HOU"/>
    <s v="H"/>
    <n v="2"/>
    <n v="7"/>
    <n v="-5"/>
    <n v="5"/>
    <n v="-16"/>
    <n v="16"/>
    <n v="1470.1623468464556"/>
    <n v="1464.5725051000327"/>
    <n v="0.58212765664445365"/>
    <n v="69"/>
    <n v="66"/>
    <n v="0"/>
    <n v="3"/>
    <n v="1"/>
    <n v="0.28883805524938416"/>
    <n v="1"/>
    <n v="75.55"/>
    <n v="75.55"/>
    <n v="9.118691214047443"/>
    <n v="1479.2810380605031"/>
    <n v="1"/>
    <n v="0"/>
    <n v="0"/>
    <n v="0"/>
    <n v="0"/>
    <n v="0"/>
    <n v="0"/>
    <n v="0"/>
    <n v="0"/>
    <n v="0"/>
  </r>
  <r>
    <d v="2008-05-27T00:00:00"/>
    <n v="2008"/>
    <x v="2"/>
    <s v="R"/>
    <s v="RS"/>
    <x v="5"/>
    <s v="CON"/>
    <s v="A"/>
    <n v="5"/>
    <n v="2"/>
    <n v="3"/>
    <n v="-3"/>
    <n v="16"/>
    <n v="-16"/>
    <n v="1534.369737298377"/>
    <n v="1577.6866895788332"/>
    <n v="0.36616874431902502"/>
    <n v="75"/>
    <n v="46"/>
    <n v="0"/>
    <n v="29"/>
    <n v="1"/>
    <n v="0.66727598501044771"/>
    <n v="1"/>
    <n v="75.55"/>
    <n v="75.55"/>
    <n v="31.953145366375576"/>
    <n v="1566.3228826647526"/>
    <n v="1"/>
    <n v="0"/>
    <n v="0"/>
    <n v="0"/>
    <n v="0"/>
    <n v="0"/>
    <n v="0"/>
    <n v="0"/>
    <n v="0"/>
    <n v="0"/>
  </r>
  <r>
    <d v="2008-05-27T00:00:00"/>
    <n v="2008"/>
    <x v="3"/>
    <s v="R"/>
    <s v="RS"/>
    <x v="1"/>
    <s v="IND"/>
    <s v="H"/>
    <n v="2"/>
    <n v="5"/>
    <n v="-3"/>
    <n v="3"/>
    <n v="-16"/>
    <n v="16"/>
    <n v="1577.6866895788332"/>
    <n v="1534.369737298377"/>
    <n v="0.63383125568097498"/>
    <n v="46"/>
    <n v="75"/>
    <n v="0"/>
    <n v="-29"/>
    <n v="0"/>
    <n v="0.66727598501044771"/>
    <n v="1"/>
    <n v="75.400000000000006"/>
    <n v="75.400000000000006"/>
    <n v="-31.889704310055841"/>
    <n v="1545.7969852687775"/>
    <n v="0"/>
    <n v="1"/>
    <n v="0"/>
    <n v="0"/>
    <n v="0"/>
    <n v="0"/>
    <n v="0"/>
    <n v="0"/>
    <n v="0"/>
    <n v="0"/>
  </r>
  <r>
    <d v="2008-05-27T00:00:00"/>
    <n v="2008"/>
    <x v="1"/>
    <s v="R"/>
    <s v="RS"/>
    <x v="12"/>
    <s v="HOU"/>
    <s v="A"/>
    <n v="8"/>
    <n v="1"/>
    <n v="7"/>
    <n v="-7"/>
    <n v="16"/>
    <n v="-16"/>
    <n v="1462.7882033668154"/>
    <n v="1455.4357092707357"/>
    <n v="0.43609843895284145"/>
    <n v="98"/>
    <n v="92"/>
    <n v="1"/>
    <n v="6"/>
    <n v="1"/>
    <n v="0.3142273891290609"/>
    <n v="1"/>
    <n v="75.7"/>
    <n v="75.7"/>
    <n v="13.413533964701331"/>
    <n v="1476.2017373315168"/>
    <n v="1"/>
    <n v="0"/>
    <n v="0"/>
    <n v="0"/>
    <n v="0"/>
    <n v="0"/>
    <n v="0"/>
    <n v="0"/>
    <n v="0"/>
    <n v="0"/>
  </r>
  <r>
    <d v="2008-05-27T00:00:00"/>
    <n v="2008"/>
    <x v="2"/>
    <s v="R"/>
    <s v="RS"/>
    <x v="2"/>
    <s v="MIN"/>
    <s v="H"/>
    <n v="1"/>
    <n v="8"/>
    <n v="-7"/>
    <n v="7"/>
    <n v="-16"/>
    <n v="16"/>
    <n v="1455.4357092707357"/>
    <n v="1462.7882033668154"/>
    <n v="0.56390156104715861"/>
    <n v="92"/>
    <n v="98"/>
    <n v="1"/>
    <n v="-6"/>
    <n v="0"/>
    <n v="0.3142273891290609"/>
    <n v="1"/>
    <n v="75.55"/>
    <n v="75.55"/>
    <n v="-13.386954967413287"/>
    <n v="1442.0487543033225"/>
    <n v="0"/>
    <n v="1"/>
    <n v="0"/>
    <n v="0"/>
    <n v="0"/>
    <n v="0"/>
    <n v="0"/>
    <n v="0"/>
    <n v="0"/>
    <n v="0"/>
  </r>
  <r>
    <d v="2008-05-27T00:00:00"/>
    <n v="2008"/>
    <x v="3"/>
    <s v="R"/>
    <s v="RS"/>
    <x v="0"/>
    <s v="WAS"/>
    <s v="A"/>
    <n v="1"/>
    <n v="1"/>
    <n v="0"/>
    <n v="0"/>
    <n v="0"/>
    <n v="0"/>
    <n v="1438.6571166785152"/>
    <n v="1479.2810380605031"/>
    <n v="0.3279673292586584"/>
    <n v="74"/>
    <n v="80"/>
    <n v="0"/>
    <n v="-6"/>
    <n v="0"/>
    <n v="0.33977816004032935"/>
    <n v="1"/>
    <n v="75.400000000000006"/>
    <n v="75.400000000000006"/>
    <n v="-8.4022846309391266"/>
    <n v="1430.254832047576"/>
    <n v="0"/>
    <n v="1"/>
    <n v="0"/>
    <n v="0"/>
    <n v="0"/>
    <n v="0"/>
    <n v="0"/>
    <n v="0"/>
    <n v="0"/>
    <n v="0"/>
  </r>
  <r>
    <d v="2008-05-27T00:00:00"/>
    <n v="2008"/>
    <x v="3"/>
    <s v="R"/>
    <s v="RS"/>
    <x v="4"/>
    <s v="ATL"/>
    <s v="H"/>
    <n v="1"/>
    <n v="1"/>
    <n v="0"/>
    <n v="0"/>
    <n v="0"/>
    <n v="0"/>
    <n v="1479.2810380605031"/>
    <n v="1438.6571166785152"/>
    <n v="0.67203267074134154"/>
    <n v="80"/>
    <n v="74"/>
    <n v="0"/>
    <n v="6"/>
    <n v="1"/>
    <n v="0.33977816004032935"/>
    <n v="1"/>
    <n v="75.400000000000006"/>
    <n v="75.400000000000006"/>
    <n v="8.4022846309391284"/>
    <n v="1487.6833226914423"/>
    <n v="1"/>
    <n v="0"/>
    <n v="0"/>
    <n v="0"/>
    <n v="0"/>
    <n v="0"/>
    <n v="0"/>
    <n v="0"/>
    <n v="0"/>
    <n v="0"/>
  </r>
  <r>
    <d v="2008-05-29T00:00:00"/>
    <n v="2008"/>
    <x v="2"/>
    <s v="R"/>
    <s v="RS"/>
    <x v="12"/>
    <s v="CHI"/>
    <s v="A"/>
    <n v="1"/>
    <n v="6"/>
    <n v="-5"/>
    <n v="5"/>
    <n v="-16"/>
    <n v="16"/>
    <n v="1476.2017373315168"/>
    <n v="1466.4080105091612"/>
    <n v="0.35174618632454502"/>
    <n v="75"/>
    <n v="69"/>
    <n v="0"/>
    <n v="6"/>
    <n v="1"/>
    <n v="0.34843701365223551"/>
    <n v="1"/>
    <n v="75.55"/>
    <n v="75.55"/>
    <n v="17.064903312040279"/>
    <n v="1493.2666406435571"/>
    <n v="1"/>
    <n v="0"/>
    <n v="0"/>
    <n v="0"/>
    <n v="0"/>
    <n v="0"/>
    <n v="0"/>
    <n v="0"/>
    <n v="0"/>
    <n v="0"/>
  </r>
  <r>
    <d v="2008-05-29T00:00:00"/>
    <n v="2008"/>
    <x v="2"/>
    <s v="R"/>
    <s v="RS"/>
    <x v="10"/>
    <s v="MIN"/>
    <s v="H"/>
    <n v="6"/>
    <n v="1"/>
    <n v="5"/>
    <n v="-5"/>
    <n v="16"/>
    <n v="-16"/>
    <n v="1466.4080105091612"/>
    <n v="1476.2017373315168"/>
    <n v="0.64825381367545498"/>
    <n v="69"/>
    <n v="75"/>
    <n v="0"/>
    <n v="-6"/>
    <n v="0"/>
    <n v="0.34843701365223551"/>
    <n v="1"/>
    <n v="75.55"/>
    <n v="75.55"/>
    <n v="-17.064903312040279"/>
    <n v="1449.3431071971208"/>
    <n v="0"/>
    <n v="1"/>
    <n v="0"/>
    <n v="0"/>
    <n v="0"/>
    <n v="0"/>
    <n v="0"/>
    <n v="0"/>
    <n v="0"/>
    <n v="0"/>
  </r>
  <r>
    <d v="2008-05-29T00:00:00"/>
    <n v="2008"/>
    <x v="2"/>
    <s v="R"/>
    <s v="RS"/>
    <x v="6"/>
    <s v="IND"/>
    <s v="A"/>
    <n v="3"/>
    <n v="1"/>
    <n v="2"/>
    <n v="-2"/>
    <n v="16"/>
    <n v="-16"/>
    <n v="1475.7876825070146"/>
    <n v="1566.3228826647526"/>
    <n v="0.30565783804140251"/>
    <n v="78"/>
    <n v="82"/>
    <n v="1"/>
    <n v="-4"/>
    <n v="0"/>
    <n v="0.2606262530887023"/>
    <n v="1"/>
    <n v="75.55"/>
    <n v="75.55"/>
    <n v="-6.0184986305750687"/>
    <n v="1469.7691838764395"/>
    <n v="0"/>
    <n v="1"/>
    <n v="0"/>
    <n v="0"/>
    <n v="0"/>
    <n v="0"/>
    <n v="0"/>
    <n v="0"/>
    <n v="0"/>
    <n v="0"/>
  </r>
  <r>
    <d v="2008-05-29T00:00:00"/>
    <n v="2008"/>
    <x v="3"/>
    <s v="R"/>
    <s v="RS"/>
    <x v="5"/>
    <s v="LAS"/>
    <s v="H"/>
    <n v="1"/>
    <n v="3"/>
    <n v="-2"/>
    <n v="2"/>
    <n v="-16"/>
    <n v="16"/>
    <n v="1566.3228826647526"/>
    <n v="1475.7876825070146"/>
    <n v="0.69434216195859755"/>
    <n v="82"/>
    <n v="78"/>
    <n v="1"/>
    <n v="4"/>
    <n v="1"/>
    <n v="0.2606262530887023"/>
    <n v="1"/>
    <n v="75.400000000000006"/>
    <n v="75.400000000000006"/>
    <n v="6.00654926201668"/>
    <n v="1572.3294319267693"/>
    <n v="1"/>
    <n v="0"/>
    <n v="0"/>
    <n v="0"/>
    <n v="0"/>
    <n v="0"/>
    <n v="0"/>
    <n v="0"/>
    <n v="0"/>
    <n v="0"/>
  </r>
  <r>
    <d v="2008-05-30T00:00:00"/>
    <n v="2008"/>
    <x v="3"/>
    <s v="R"/>
    <s v="RS"/>
    <x v="13"/>
    <s v="CON"/>
    <s v="A"/>
    <n v="4"/>
    <n v="2"/>
    <n v="2"/>
    <n v="-2"/>
    <n v="16"/>
    <n v="-16"/>
    <n v="1474.5583863249271"/>
    <n v="1545.7969852687775"/>
    <n v="0.32972736481717629"/>
    <n v="84"/>
    <n v="89"/>
    <n v="0"/>
    <n v="-5"/>
    <n v="0"/>
    <n v="0.3131647913178896"/>
    <n v="1"/>
    <n v="75.400000000000006"/>
    <n v="75.400000000000006"/>
    <n v="-7.7857287051655577"/>
    <n v="1466.7726576197615"/>
    <n v="0"/>
    <n v="1"/>
    <n v="0"/>
    <n v="0"/>
    <n v="0"/>
    <n v="0"/>
    <n v="0"/>
    <n v="0"/>
    <n v="0"/>
    <n v="0"/>
  </r>
  <r>
    <d v="2008-05-30T00:00:00"/>
    <n v="2008"/>
    <x v="4"/>
    <s v="R"/>
    <s v="RS"/>
    <x v="1"/>
    <s v="NYL"/>
    <s v="H"/>
    <n v="2"/>
    <n v="4"/>
    <n v="-2"/>
    <n v="2"/>
    <n v="-16"/>
    <n v="16"/>
    <n v="1545.7969852687775"/>
    <n v="1474.5583863249271"/>
    <n v="0.67027263518282376"/>
    <n v="89"/>
    <n v="84"/>
    <n v="0"/>
    <n v="5"/>
    <n v="1"/>
    <n v="0.3131647913178896"/>
    <n v="1"/>
    <n v="75.25"/>
    <n v="75.25"/>
    <n v="7.7702398549563414"/>
    <n v="1553.5672251237338"/>
    <n v="1"/>
    <n v="0"/>
    <n v="0"/>
    <n v="0"/>
    <n v="0"/>
    <n v="0"/>
    <n v="0"/>
    <n v="0"/>
    <n v="0"/>
    <n v="0"/>
  </r>
  <r>
    <d v="2008-05-30T00:00:00"/>
    <n v="2008"/>
    <x v="3"/>
    <s v="R"/>
    <s v="RS"/>
    <x v="2"/>
    <s v="SAC"/>
    <s v="A"/>
    <n v="2"/>
    <n v="5"/>
    <n v="-3"/>
    <n v="3"/>
    <n v="-16"/>
    <n v="16"/>
    <n v="1442.0487543033225"/>
    <n v="1487.4660479557108"/>
    <n v="0.28308854000663553"/>
    <n v="66"/>
    <n v="73"/>
    <n v="0"/>
    <n v="-7"/>
    <n v="0"/>
    <n v="0.35661027773438475"/>
    <n v="1"/>
    <n v="75.400000000000006"/>
    <n v="75.400000000000006"/>
    <n v="-7.6118021287891597"/>
    <n v="1434.4369521745334"/>
    <n v="0"/>
    <n v="1"/>
    <n v="0"/>
    <n v="0"/>
    <n v="0"/>
    <n v="0"/>
    <n v="0"/>
    <n v="0"/>
    <n v="0"/>
    <n v="0"/>
  </r>
  <r>
    <d v="2008-05-30T00:00:00"/>
    <n v="2008"/>
    <x v="4"/>
    <s v="R"/>
    <s v="RS"/>
    <x v="9"/>
    <s v="HOU"/>
    <s v="H"/>
    <n v="5"/>
    <n v="2"/>
    <n v="3"/>
    <n v="-3"/>
    <n v="16"/>
    <n v="-16"/>
    <n v="1487.4660479557108"/>
    <n v="1442.0487543033225"/>
    <n v="0.71691145999336447"/>
    <n v="73"/>
    <n v="66"/>
    <n v="0"/>
    <n v="7"/>
    <n v="1"/>
    <n v="0.35661027773438475"/>
    <n v="1"/>
    <n v="75.25"/>
    <n v="75.25"/>
    <n v="7.5966592863578803"/>
    <n v="1495.0627072420687"/>
    <n v="1"/>
    <n v="0"/>
    <n v="0"/>
    <n v="0"/>
    <n v="0"/>
    <n v="0"/>
    <n v="0"/>
    <n v="0"/>
    <n v="0"/>
    <n v="0"/>
  </r>
  <r>
    <d v="2008-05-30T00:00:00"/>
    <n v="2008"/>
    <x v="3"/>
    <s v="R"/>
    <s v="RS"/>
    <x v="8"/>
    <s v="SEA"/>
    <s v="A"/>
    <n v="5"/>
    <n v="5"/>
    <n v="0"/>
    <n v="0"/>
    <n v="0"/>
    <n v="0"/>
    <n v="1520.8204830708494"/>
    <n v="1521.6461624957153"/>
    <n v="0.38029510102168929"/>
    <n v="57"/>
    <n v="78"/>
    <n v="0"/>
    <n v="-21"/>
    <n v="0"/>
    <n v="0.5881715884550055"/>
    <n v="1"/>
    <n v="75.400000000000006"/>
    <n v="75.400000000000006"/>
    <n v="-16.865379533178618"/>
    <n v="1503.9551035376708"/>
    <n v="0"/>
    <n v="1"/>
    <n v="0"/>
    <n v="0"/>
    <n v="0"/>
    <n v="0"/>
    <n v="0"/>
    <n v="0"/>
    <n v="0"/>
    <n v="0"/>
  </r>
  <r>
    <d v="2008-05-30T00:00:00"/>
    <n v="2008"/>
    <x v="4"/>
    <s v="R"/>
    <s v="RS"/>
    <x v="11"/>
    <s v="SAS"/>
    <s v="H"/>
    <n v="5"/>
    <n v="5"/>
    <n v="0"/>
    <n v="0"/>
    <n v="0"/>
    <n v="0"/>
    <n v="1521.6461624957153"/>
    <n v="1520.8204830708494"/>
    <n v="0.61970489897831071"/>
    <n v="78"/>
    <n v="57"/>
    <n v="0"/>
    <n v="21"/>
    <n v="1"/>
    <n v="0.5881715884550055"/>
    <n v="1"/>
    <n v="75.25"/>
    <n v="75.25"/>
    <n v="16.831827717131176"/>
    <n v="1538.4779902128464"/>
    <n v="1"/>
    <n v="0"/>
    <n v="0"/>
    <n v="0"/>
    <n v="0"/>
    <n v="0"/>
    <n v="0"/>
    <n v="0"/>
    <n v="0"/>
    <n v="0"/>
  </r>
  <r>
    <d v="2008-05-31T00:00:00"/>
    <n v="2008"/>
    <x v="5"/>
    <s v="R"/>
    <s v="RS"/>
    <x v="3"/>
    <s v="IND"/>
    <s v="A"/>
    <n v="5"/>
    <n v="1"/>
    <n v="4"/>
    <n v="-4"/>
    <n v="16"/>
    <n v="-16"/>
    <n v="1579.9135291555585"/>
    <n v="1572.3294319267693"/>
    <n v="0.43642632647703811"/>
    <n v="74"/>
    <n v="65"/>
    <n v="0"/>
    <n v="9"/>
    <n v="1"/>
    <n v="0.40342186825303383"/>
    <n v="1"/>
    <n v="75.099999999999994"/>
    <n v="75.099999999999994"/>
    <n v="17.074581614741483"/>
    <n v="1596.9881107703"/>
    <n v="1"/>
    <n v="0"/>
    <n v="0"/>
    <n v="0"/>
    <n v="0"/>
    <n v="0"/>
    <n v="0"/>
    <n v="0"/>
    <n v="0"/>
    <n v="0"/>
  </r>
  <r>
    <d v="2008-05-31T00:00:00"/>
    <n v="2008"/>
    <x v="4"/>
    <s v="R"/>
    <s v="RS"/>
    <x v="5"/>
    <s v="DET"/>
    <s v="H"/>
    <n v="1"/>
    <n v="5"/>
    <n v="-4"/>
    <n v="4"/>
    <n v="-16"/>
    <n v="16"/>
    <n v="1572.3294319267693"/>
    <n v="1579.9135291555585"/>
    <n v="0.56357367352296195"/>
    <n v="65"/>
    <n v="74"/>
    <n v="0"/>
    <n v="-9"/>
    <n v="0"/>
    <n v="0.40342186825303383"/>
    <n v="1"/>
    <n v="75.25"/>
    <n v="75.25"/>
    <n v="-17.108685306382114"/>
    <n v="1555.2207466203872"/>
    <n v="0"/>
    <n v="1"/>
    <n v="0"/>
    <n v="0"/>
    <n v="0"/>
    <n v="0"/>
    <n v="0"/>
    <n v="0"/>
    <n v="0"/>
    <n v="0"/>
  </r>
  <r>
    <d v="2008-05-31T00:00:00"/>
    <n v="2008"/>
    <x v="3"/>
    <s v="R"/>
    <s v="RS"/>
    <x v="7"/>
    <s v="MIN"/>
    <s v="A"/>
    <n v="8"/>
    <n v="1"/>
    <n v="7"/>
    <n v="-7"/>
    <n v="16"/>
    <n v="-16"/>
    <n v="1550.8343904629"/>
    <n v="1493.2666406435571"/>
    <n v="0.50801195024854717"/>
    <n v="83"/>
    <n v="94"/>
    <n v="0"/>
    <n v="-11"/>
    <n v="0"/>
    <n v="0.41970157423723675"/>
    <n v="1"/>
    <n v="75.400000000000006"/>
    <n v="75.400000000000006"/>
    <n v="-16.076291509898564"/>
    <n v="1534.7580989530015"/>
    <n v="0"/>
    <n v="1"/>
    <n v="0"/>
    <n v="0"/>
    <n v="0"/>
    <n v="0"/>
    <n v="0"/>
    <n v="0"/>
    <n v="0"/>
    <n v="0"/>
  </r>
  <r>
    <d v="2008-05-31T00:00:00"/>
    <n v="2008"/>
    <x v="3"/>
    <s v="R"/>
    <s v="RS"/>
    <x v="12"/>
    <s v="PHX"/>
    <s v="H"/>
    <n v="1"/>
    <n v="8"/>
    <n v="-7"/>
    <n v="7"/>
    <n v="-16"/>
    <n v="16"/>
    <n v="1493.2666406435571"/>
    <n v="1550.8343904629"/>
    <n v="0.49198804975145288"/>
    <n v="94"/>
    <n v="83"/>
    <n v="0"/>
    <n v="11"/>
    <n v="1"/>
    <n v="0.41970157423723675"/>
    <n v="1"/>
    <n v="75.400000000000006"/>
    <n v="75.400000000000006"/>
    <n v="16.076291509898564"/>
    <n v="1509.3429321534556"/>
    <n v="1"/>
    <n v="0"/>
    <n v="0"/>
    <n v="0"/>
    <n v="0"/>
    <n v="0"/>
    <n v="0"/>
    <n v="0"/>
    <n v="0"/>
    <n v="0"/>
  </r>
  <r>
    <d v="2008-05-31T00:00:00"/>
    <n v="2008"/>
    <x v="3"/>
    <s v="R"/>
    <s v="RS"/>
    <x v="6"/>
    <s v="WAS"/>
    <s v="A"/>
    <n v="1"/>
    <n v="3"/>
    <n v="-2"/>
    <n v="2"/>
    <n v="-16"/>
    <n v="16"/>
    <n v="1469.7691838764395"/>
    <n v="1487.6833226914423"/>
    <n v="0.31629055952986412"/>
    <n v="70"/>
    <n v="59"/>
    <n v="0"/>
    <n v="11"/>
    <n v="1"/>
    <n v="0.43336648084461499"/>
    <n v="1"/>
    <n v="75.400000000000006"/>
    <n v="75.400000000000006"/>
    <n v="22.340775261913478"/>
    <n v="1492.1099591383529"/>
    <n v="1"/>
    <n v="0"/>
    <n v="0"/>
    <n v="0"/>
    <n v="0"/>
    <n v="0"/>
    <n v="0"/>
    <n v="0"/>
    <n v="0"/>
    <n v="0"/>
  </r>
  <r>
    <d v="2008-05-31T00:00:00"/>
    <n v="2008"/>
    <x v="4"/>
    <s v="R"/>
    <s v="RS"/>
    <x v="4"/>
    <s v="LAS"/>
    <s v="H"/>
    <n v="3"/>
    <n v="1"/>
    <n v="2"/>
    <n v="-2"/>
    <n v="16"/>
    <n v="-16"/>
    <n v="1487.6833226914423"/>
    <n v="1469.7691838764395"/>
    <n v="0.68370944047013582"/>
    <n v="59"/>
    <n v="70"/>
    <n v="0"/>
    <n v="-11"/>
    <n v="0"/>
    <n v="0.43336648084461499"/>
    <n v="1"/>
    <n v="75.25"/>
    <n v="75.25"/>
    <n v="-22.296330748792961"/>
    <n v="1465.3869919426493"/>
    <n v="0"/>
    <n v="1"/>
    <n v="0"/>
    <n v="0"/>
    <n v="0"/>
    <n v="0"/>
    <n v="0"/>
    <n v="0"/>
    <n v="0"/>
    <n v="0"/>
  </r>
  <r>
    <d v="2008-06-01T00:00:00"/>
    <n v="2008"/>
    <x v="5"/>
    <s v="R"/>
    <s v="RS"/>
    <x v="1"/>
    <s v="CHI"/>
    <s v="A"/>
    <n v="1"/>
    <n v="2"/>
    <n v="-1"/>
    <n v="1"/>
    <n v="-8"/>
    <n v="8"/>
    <n v="1553.5672251237338"/>
    <n v="1449.3431071971208"/>
    <n v="0.50607869484764434"/>
    <n v="75"/>
    <n v="73"/>
    <n v="0"/>
    <n v="2"/>
    <n v="1"/>
    <n v="0.24643738798709222"/>
    <n v="1"/>
    <n v="75.099999999999994"/>
    <n v="75.099999999999994"/>
    <n v="9.1412227911004447"/>
    <n v="1562.7084479148343"/>
    <n v="1"/>
    <n v="0"/>
    <n v="0"/>
    <n v="0"/>
    <n v="0"/>
    <n v="0"/>
    <n v="0"/>
    <n v="0"/>
    <n v="0"/>
    <n v="0"/>
  </r>
  <r>
    <d v="2008-06-01T00:00:00"/>
    <n v="2008"/>
    <x v="3"/>
    <s v="R"/>
    <s v="RS"/>
    <x v="10"/>
    <s v="CON"/>
    <s v="H"/>
    <n v="2"/>
    <n v="1"/>
    <n v="1"/>
    <n v="-1"/>
    <n v="8"/>
    <n v="-8"/>
    <n v="1449.3431071971208"/>
    <n v="1553.5672251237338"/>
    <n v="0.49392130515235561"/>
    <n v="73"/>
    <n v="75"/>
    <n v="0"/>
    <n v="-2"/>
    <n v="0"/>
    <n v="0.24643738798709222"/>
    <n v="1"/>
    <n v="75.400000000000006"/>
    <n v="75.400000000000006"/>
    <n v="-9.1777389939943212"/>
    <n v="1440.1653682031265"/>
    <n v="0"/>
    <n v="1"/>
    <n v="0"/>
    <n v="0"/>
    <n v="0"/>
    <n v="0"/>
    <n v="0"/>
    <n v="0"/>
    <n v="0"/>
    <n v="0"/>
  </r>
  <r>
    <d v="2008-06-01T00:00:00"/>
    <n v="2008"/>
    <x v="4"/>
    <s v="R"/>
    <s v="RS"/>
    <x v="2"/>
    <s v="SEA"/>
    <s v="A"/>
    <n v="1"/>
    <n v="1"/>
    <n v="0"/>
    <n v="0"/>
    <n v="0"/>
    <n v="0"/>
    <n v="1434.4369521745334"/>
    <n v="1538.4779902128464"/>
    <n v="0.25304242492742873"/>
    <n v="63"/>
    <n v="64"/>
    <n v="0"/>
    <n v="-1"/>
    <n v="0"/>
    <n v="0.22469814722943043"/>
    <n v="1"/>
    <n v="75.25"/>
    <n v="75.25"/>
    <n v="-4.2785768448855697"/>
    <n v="1430.1583753296479"/>
    <n v="0"/>
    <n v="1"/>
    <n v="0"/>
    <n v="0"/>
    <n v="0"/>
    <n v="0"/>
    <n v="0"/>
    <n v="0"/>
    <n v="0"/>
    <n v="0"/>
  </r>
  <r>
    <d v="2008-06-01T00:00:00"/>
    <n v="2008"/>
    <x v="5"/>
    <s v="R"/>
    <s v="RS"/>
    <x v="11"/>
    <s v="HOU"/>
    <s v="H"/>
    <n v="1"/>
    <n v="1"/>
    <n v="0"/>
    <n v="0"/>
    <n v="0"/>
    <n v="0"/>
    <n v="1538.4779902128464"/>
    <n v="1434.4369521745334"/>
    <n v="0.74695757507257132"/>
    <n v="64"/>
    <n v="63"/>
    <n v="0"/>
    <n v="1"/>
    <n v="1"/>
    <n v="0.22469814722943043"/>
    <n v="1"/>
    <n v="75.099999999999994"/>
    <n v="75.099999999999994"/>
    <n v="4.2700481202778233"/>
    <n v="1542.7480383331242"/>
    <n v="1"/>
    <n v="0"/>
    <n v="0"/>
    <n v="0"/>
    <n v="0"/>
    <n v="0"/>
    <n v="0"/>
    <n v="0"/>
    <n v="0"/>
    <n v="0"/>
  </r>
  <r>
    <d v="2008-06-03T00:00:00"/>
    <n v="2008"/>
    <x v="4"/>
    <s v="R"/>
    <s v="RS"/>
    <x v="12"/>
    <s v="ATL"/>
    <s v="A"/>
    <n v="2"/>
    <n v="6"/>
    <n v="-4"/>
    <n v="4"/>
    <n v="-16"/>
    <n v="16"/>
    <n v="1509.3429321534556"/>
    <n v="1430.254832047576"/>
    <n v="0.44707846735215334"/>
    <n v="85"/>
    <n v="81"/>
    <n v="0"/>
    <n v="4"/>
    <n v="1"/>
    <n v="0.29217634176544971"/>
    <n v="1"/>
    <n v="75.25"/>
    <n v="75.25"/>
    <n v="12.156681949602614"/>
    <n v="1521.4996141030583"/>
    <n v="1"/>
    <n v="0"/>
    <n v="0"/>
    <n v="0"/>
    <n v="0"/>
    <n v="0"/>
    <n v="0"/>
    <n v="0"/>
    <n v="0"/>
    <n v="0"/>
  </r>
  <r>
    <d v="2008-06-03T00:00:00"/>
    <n v="2008"/>
    <x v="4"/>
    <s v="R"/>
    <s v="RS"/>
    <x v="0"/>
    <s v="MIN"/>
    <s v="H"/>
    <n v="6"/>
    <n v="2"/>
    <n v="4"/>
    <n v="-4"/>
    <n v="16"/>
    <n v="-16"/>
    <n v="1430.254832047576"/>
    <n v="1509.3429321534556"/>
    <n v="0.55292153264784671"/>
    <n v="81"/>
    <n v="85"/>
    <n v="0"/>
    <n v="-4"/>
    <n v="0"/>
    <n v="0.29217634176544971"/>
    <n v="1"/>
    <n v="75.25"/>
    <n v="75.25"/>
    <n v="-12.156681949602614"/>
    <n v="1418.0981500979733"/>
    <n v="0"/>
    <n v="1"/>
    <n v="0"/>
    <n v="0"/>
    <n v="0"/>
    <n v="0"/>
    <n v="0"/>
    <n v="0"/>
    <n v="0"/>
    <n v="0"/>
  </r>
  <r>
    <d v="2008-06-03T00:00:00"/>
    <n v="2008"/>
    <x v="4"/>
    <s v="R"/>
    <s v="RS"/>
    <x v="6"/>
    <s v="CHI"/>
    <s v="A"/>
    <n v="2"/>
    <n v="1"/>
    <n v="1"/>
    <n v="-1"/>
    <n v="8"/>
    <n v="-8"/>
    <n v="1492.1099591383529"/>
    <n v="1440.1653682031265"/>
    <n v="0.47691084210363976"/>
    <n v="81"/>
    <n v="77"/>
    <n v="1"/>
    <n v="4"/>
    <n v="1"/>
    <n v="0.26865993601596366"/>
    <n v="1"/>
    <n v="75.25"/>
    <n v="75.25"/>
    <n v="10.575115751753804"/>
    <n v="1502.6850748901068"/>
    <n v="1"/>
    <n v="0"/>
    <n v="0"/>
    <n v="0"/>
    <n v="0"/>
    <n v="0"/>
    <n v="0"/>
    <n v="0"/>
    <n v="0"/>
    <n v="0"/>
  </r>
  <r>
    <d v="2008-06-03T00:00:00"/>
    <n v="2008"/>
    <x v="4"/>
    <s v="R"/>
    <s v="RS"/>
    <x v="10"/>
    <s v="LAS"/>
    <s v="H"/>
    <n v="1"/>
    <n v="2"/>
    <n v="-1"/>
    <n v="1"/>
    <n v="-8"/>
    <n v="8"/>
    <n v="1440.1653682031265"/>
    <n v="1492.1099591383529"/>
    <n v="0.52308915789636024"/>
    <n v="77"/>
    <n v="81"/>
    <n v="1"/>
    <n v="-4"/>
    <n v="0"/>
    <n v="0.26865993601596366"/>
    <n v="1"/>
    <n v="75.25"/>
    <n v="75.25"/>
    <n v="-10.575115751753804"/>
    <n v="1429.5902524513726"/>
    <n v="0"/>
    <n v="1"/>
    <n v="0"/>
    <n v="0"/>
    <n v="0"/>
    <n v="0"/>
    <n v="0"/>
    <n v="0"/>
    <n v="0"/>
    <n v="0"/>
  </r>
  <r>
    <d v="2008-06-03T00:00:00"/>
    <n v="2008"/>
    <x v="4"/>
    <s v="R"/>
    <s v="RS"/>
    <x v="8"/>
    <s v="HOU"/>
    <s v="A"/>
    <n v="3"/>
    <n v="1"/>
    <n v="2"/>
    <n v="-2"/>
    <n v="16"/>
    <n v="-16"/>
    <n v="1503.9551035376708"/>
    <n v="1430.1583753296479"/>
    <n v="0.53132692525261782"/>
    <n v="72"/>
    <n v="75"/>
    <n v="0"/>
    <n v="-3"/>
    <n v="0"/>
    <n v="0.2733718949084803"/>
    <n v="1"/>
    <n v="75.25"/>
    <n v="75.25"/>
    <n v="-10.930051090008396"/>
    <n v="1493.0250524476623"/>
    <n v="0"/>
    <n v="1"/>
    <n v="0"/>
    <n v="0"/>
    <n v="0"/>
    <n v="0"/>
    <n v="0"/>
    <n v="0"/>
    <n v="0"/>
    <n v="0"/>
  </r>
  <r>
    <d v="2008-06-03T00:00:00"/>
    <n v="2008"/>
    <x v="5"/>
    <s v="R"/>
    <s v="RS"/>
    <x v="2"/>
    <s v="SAS"/>
    <s v="H"/>
    <n v="1"/>
    <n v="3"/>
    <n v="-2"/>
    <n v="2"/>
    <n v="-16"/>
    <n v="16"/>
    <n v="1430.1583753296479"/>
    <n v="1503.9551035376708"/>
    <n v="0.46867307474738218"/>
    <n v="75"/>
    <n v="72"/>
    <n v="0"/>
    <n v="3"/>
    <n v="1"/>
    <n v="0.2733718949084803"/>
    <n v="1"/>
    <n v="75.099999999999994"/>
    <n v="75.099999999999994"/>
    <n v="10.908263612752565"/>
    <n v="1441.0666389424005"/>
    <n v="1"/>
    <n v="0"/>
    <n v="0"/>
    <n v="0"/>
    <n v="0"/>
    <n v="0"/>
    <n v="0"/>
    <n v="0"/>
    <n v="0"/>
    <n v="0"/>
  </r>
  <r>
    <d v="2008-06-03T00:00:00"/>
    <n v="2008"/>
    <x v="6"/>
    <s v="R"/>
    <s v="RS"/>
    <x v="11"/>
    <s v="NYL"/>
    <s v="A"/>
    <n v="1"/>
    <n v="3"/>
    <n v="-2"/>
    <n v="2"/>
    <n v="-16"/>
    <n v="16"/>
    <n v="1542.7480383331242"/>
    <n v="1466.7726576197615"/>
    <n v="0.44265340201708836"/>
    <n v="63"/>
    <n v="77"/>
    <n v="0"/>
    <n v="-14"/>
    <n v="0"/>
    <n v="0.45857446239581173"/>
    <n v="1"/>
    <n v="74.95"/>
    <n v="74.95"/>
    <n v="-15.214066462031873"/>
    <n v="1527.5339718710923"/>
    <n v="0"/>
    <n v="1"/>
    <n v="0"/>
    <n v="0"/>
    <n v="0"/>
    <n v="0"/>
    <n v="0"/>
    <n v="0"/>
    <n v="0"/>
    <n v="0"/>
  </r>
  <r>
    <d v="2008-06-03T00:00:00"/>
    <n v="2008"/>
    <x v="4"/>
    <s v="R"/>
    <s v="RS"/>
    <x v="13"/>
    <s v="SEA"/>
    <s v="H"/>
    <n v="3"/>
    <n v="1"/>
    <n v="2"/>
    <n v="-2"/>
    <n v="16"/>
    <n v="-16"/>
    <n v="1466.7726576197615"/>
    <n v="1542.7480383331242"/>
    <n v="0.55734659798291164"/>
    <n v="77"/>
    <n v="63"/>
    <n v="0"/>
    <n v="14"/>
    <n v="1"/>
    <n v="0.45857446239581173"/>
    <n v="1"/>
    <n v="75.25"/>
    <n v="75.25"/>
    <n v="15.274963325789173"/>
    <n v="1482.0476209455508"/>
    <n v="1"/>
    <n v="0"/>
    <n v="0"/>
    <n v="0"/>
    <n v="0"/>
    <n v="0"/>
    <n v="0"/>
    <n v="0"/>
    <n v="0"/>
    <n v="0"/>
  </r>
  <r>
    <d v="2008-06-03T00:00:00"/>
    <n v="2008"/>
    <x v="5"/>
    <s v="R"/>
    <s v="RS"/>
    <x v="4"/>
    <s v="PHX"/>
    <s v="A"/>
    <n v="2"/>
    <n v="2"/>
    <n v="0"/>
    <n v="0"/>
    <n v="0"/>
    <n v="0"/>
    <n v="1465.3869919426493"/>
    <n v="1534.7580989530015"/>
    <n v="0.29258234994394"/>
    <n v="93"/>
    <n v="98"/>
    <n v="0"/>
    <n v="-5"/>
    <n v="0"/>
    <n v="0.31362551767160279"/>
    <n v="1"/>
    <n v="75.099999999999994"/>
    <n v="75.099999999999994"/>
    <n v="-6.8912729513019411"/>
    <n v="1458.4957189913473"/>
    <n v="0"/>
    <n v="1"/>
    <n v="0"/>
    <n v="0"/>
    <n v="0"/>
    <n v="0"/>
    <n v="0"/>
    <n v="0"/>
    <n v="0"/>
    <n v="0"/>
  </r>
  <r>
    <d v="2008-06-03T00:00:00"/>
    <n v="2008"/>
    <x v="4"/>
    <s v="R"/>
    <s v="RS"/>
    <x v="7"/>
    <s v="WAS"/>
    <s v="H"/>
    <n v="2"/>
    <n v="2"/>
    <n v="0"/>
    <n v="0"/>
    <n v="0"/>
    <n v="0"/>
    <n v="1534.7580989530015"/>
    <n v="1465.3869919426493"/>
    <n v="0.70741765005605994"/>
    <n v="98"/>
    <n v="93"/>
    <n v="0"/>
    <n v="5"/>
    <n v="1"/>
    <n v="0.31362551767160279"/>
    <n v="1"/>
    <n v="75.25"/>
    <n v="75.25"/>
    <n v="6.9050371449463546"/>
    <n v="1541.6631360979479"/>
    <n v="1"/>
    <n v="0"/>
    <n v="0"/>
    <n v="0"/>
    <n v="0"/>
    <n v="0"/>
    <n v="0"/>
    <n v="0"/>
    <n v="0"/>
    <n v="0"/>
  </r>
  <r>
    <d v="2008-06-04T00:00:00"/>
    <n v="2008"/>
    <x v="7"/>
    <s v="R"/>
    <s v="RS"/>
    <x v="11"/>
    <s v="DET"/>
    <s v="A"/>
    <n v="0"/>
    <n v="3"/>
    <n v="-3"/>
    <n v="3"/>
    <n v="-16"/>
    <n v="16"/>
    <n v="1527.5339718710923"/>
    <n v="1596.9881107703"/>
    <n v="0.25586741219762404"/>
    <n v="67"/>
    <n v="77"/>
    <n v="0"/>
    <n v="-10"/>
    <n v="0"/>
    <n v="0.39997950586780168"/>
    <n v="1"/>
    <n v="74.8"/>
    <n v="74.8"/>
    <n v="-7.6551607381662139"/>
    <n v="1519.8788111329261"/>
    <n v="0"/>
    <n v="1"/>
    <n v="0"/>
    <n v="0"/>
    <n v="0"/>
    <n v="0"/>
    <n v="0"/>
    <n v="0"/>
    <n v="0"/>
    <n v="0"/>
  </r>
  <r>
    <d v="2008-06-04T00:00:00"/>
    <n v="2008"/>
    <x v="6"/>
    <s v="R"/>
    <s v="RS"/>
    <x v="3"/>
    <s v="SEA"/>
    <s v="H"/>
    <n v="3"/>
    <n v="0"/>
    <n v="3"/>
    <n v="-3"/>
    <n v="16"/>
    <n v="-16"/>
    <n v="1596.9881107703"/>
    <n v="1527.5339718710923"/>
    <n v="0.74413258780237601"/>
    <n v="77"/>
    <n v="67"/>
    <n v="0"/>
    <n v="10"/>
    <n v="1"/>
    <n v="0.39997950586780168"/>
    <n v="1"/>
    <n v="74.95"/>
    <n v="74.95"/>
    <n v="7.6705119963309842"/>
    <n v="1604.658622766631"/>
    <n v="1"/>
    <n v="0"/>
    <n v="0"/>
    <n v="0"/>
    <n v="0"/>
    <n v="0"/>
    <n v="0"/>
    <n v="0"/>
    <n v="0"/>
    <n v="0"/>
  </r>
  <r>
    <d v="2008-06-06T00:00:00"/>
    <n v="2008"/>
    <x v="5"/>
    <s v="R"/>
    <s v="RS"/>
    <x v="10"/>
    <s v="ATL"/>
    <s v="A"/>
    <n v="2"/>
    <n v="2"/>
    <n v="0"/>
    <n v="0"/>
    <n v="0"/>
    <n v="0"/>
    <n v="1429.5902524513726"/>
    <n v="1418.0981500979733"/>
    <n v="0.39714170546706856"/>
    <n v="86"/>
    <n v="72"/>
    <n v="0"/>
    <n v="14"/>
    <n v="1"/>
    <n v="0.48298269803349964"/>
    <n v="1"/>
    <n v="75.099999999999994"/>
    <n v="75.099999999999994"/>
    <n v="21.866876434466747"/>
    <n v="1451.4571288858394"/>
    <n v="1"/>
    <n v="0"/>
    <n v="0"/>
    <n v="0"/>
    <n v="0"/>
    <n v="0"/>
    <n v="0"/>
    <n v="0"/>
    <n v="0"/>
    <n v="0"/>
  </r>
  <r>
    <d v="2008-06-06T00:00:00"/>
    <n v="2008"/>
    <x v="5"/>
    <s v="R"/>
    <s v="RS"/>
    <x v="0"/>
    <s v="CHI"/>
    <s v="H"/>
    <n v="2"/>
    <n v="2"/>
    <n v="0"/>
    <n v="0"/>
    <n v="0"/>
    <n v="0"/>
    <n v="1418.0981500979733"/>
    <n v="1429.5902524513726"/>
    <n v="0.60285829453293149"/>
    <n v="72"/>
    <n v="86"/>
    <n v="0"/>
    <n v="-14"/>
    <n v="0"/>
    <n v="0.48298269803349964"/>
    <n v="1"/>
    <n v="75.099999999999994"/>
    <n v="75.099999999999994"/>
    <n v="-21.866876434466747"/>
    <n v="1396.2312736635065"/>
    <n v="0"/>
    <n v="1"/>
    <n v="0"/>
    <n v="0"/>
    <n v="0"/>
    <n v="0"/>
    <n v="0"/>
    <n v="0"/>
    <n v="0"/>
    <n v="0"/>
  </r>
  <r>
    <d v="2008-06-06T00:00:00"/>
    <n v="2008"/>
    <x v="5"/>
    <s v="R"/>
    <s v="RS"/>
    <x v="12"/>
    <s v="CON"/>
    <s v="A"/>
    <n v="2"/>
    <n v="4"/>
    <n v="-2"/>
    <n v="2"/>
    <n v="-16"/>
    <n v="16"/>
    <n v="1521.4996141030583"/>
    <n v="1562.7084479148343"/>
    <n v="0.28803089025749629"/>
    <n v="77"/>
    <n v="78"/>
    <n v="0"/>
    <n v="-1"/>
    <n v="0"/>
    <n v="0.23607276807601796"/>
    <n v="1"/>
    <n v="75.099999999999994"/>
    <n v="75.099999999999994"/>
    <n v="-5.1065183415419657"/>
    <n v="1516.3930957615164"/>
    <n v="0"/>
    <n v="1"/>
    <n v="0"/>
    <n v="0"/>
    <n v="0"/>
    <n v="0"/>
    <n v="0"/>
    <n v="0"/>
    <n v="0"/>
    <n v="0"/>
  </r>
  <r>
    <d v="2008-06-06T00:00:00"/>
    <n v="2008"/>
    <x v="6"/>
    <s v="R"/>
    <s v="RS"/>
    <x v="1"/>
    <s v="MIN"/>
    <s v="H"/>
    <n v="4"/>
    <n v="2"/>
    <n v="2"/>
    <n v="-2"/>
    <n v="16"/>
    <n v="-16"/>
    <n v="1562.7084479148343"/>
    <n v="1521.4996141030583"/>
    <n v="0.7119691097425036"/>
    <n v="78"/>
    <n v="77"/>
    <n v="0"/>
    <n v="1"/>
    <n v="1"/>
    <n v="0.23607276807601796"/>
    <n v="1"/>
    <n v="74.95"/>
    <n v="74.95"/>
    <n v="5.0963189041087951"/>
    <n v="1567.8047668189431"/>
    <n v="1"/>
    <n v="0"/>
    <n v="0"/>
    <n v="0"/>
    <n v="0"/>
    <n v="0"/>
    <n v="0"/>
    <n v="0"/>
    <n v="0"/>
    <n v="0"/>
  </r>
  <r>
    <d v="2008-06-06T00:00:00"/>
    <n v="2008"/>
    <x v="5"/>
    <s v="R"/>
    <s v="RS"/>
    <x v="7"/>
    <s v="LAS"/>
    <s v="A"/>
    <n v="2"/>
    <n v="2"/>
    <n v="0"/>
    <n v="0"/>
    <n v="0"/>
    <n v="0"/>
    <n v="1541.6631360979479"/>
    <n v="1502.6850748901068"/>
    <n v="0.4355684613296793"/>
    <n v="85"/>
    <n v="79"/>
    <n v="0"/>
    <n v="6"/>
    <n v="1"/>
    <n v="0.34022952181917315"/>
    <n v="1"/>
    <n v="75.099999999999994"/>
    <n v="75.099999999999994"/>
    <n v="14.421924064859898"/>
    <n v="1556.0850601628078"/>
    <n v="1"/>
    <n v="0"/>
    <n v="0"/>
    <n v="0"/>
    <n v="0"/>
    <n v="0"/>
    <n v="0"/>
    <n v="0"/>
    <n v="0"/>
    <n v="0"/>
  </r>
  <r>
    <d v="2008-06-06T00:00:00"/>
    <n v="2008"/>
    <x v="5"/>
    <s v="R"/>
    <s v="RS"/>
    <x v="6"/>
    <s v="PHX"/>
    <s v="H"/>
    <n v="2"/>
    <n v="2"/>
    <n v="0"/>
    <n v="0"/>
    <n v="0"/>
    <n v="0"/>
    <n v="1502.6850748901068"/>
    <n v="1541.6631360979479"/>
    <n v="0.5644315386703207"/>
    <n v="79"/>
    <n v="85"/>
    <n v="0"/>
    <n v="-6"/>
    <n v="0"/>
    <n v="0.34022952181917315"/>
    <n v="1"/>
    <n v="75.099999999999994"/>
    <n v="75.099999999999994"/>
    <n v="-14.421924064859898"/>
    <n v="1488.2631508252468"/>
    <n v="0"/>
    <n v="1"/>
    <n v="0"/>
    <n v="0"/>
    <n v="0"/>
    <n v="0"/>
    <n v="0"/>
    <n v="0"/>
    <n v="0"/>
    <n v="0"/>
  </r>
  <r>
    <d v="2008-06-06T00:00:00"/>
    <n v="2008"/>
    <x v="6"/>
    <s v="R"/>
    <s v="RS"/>
    <x v="2"/>
    <s v="NYL"/>
    <s v="A"/>
    <n v="2"/>
    <n v="2"/>
    <n v="0"/>
    <n v="0"/>
    <n v="0"/>
    <n v="0"/>
    <n v="1441.0666389424005"/>
    <n v="1482.0476209455508"/>
    <n v="0.32751446824681774"/>
    <n v="73"/>
    <n v="81"/>
    <n v="0"/>
    <n v="-8"/>
    <n v="0"/>
    <n v="0.37549217011483876"/>
    <n v="1"/>
    <n v="74.95"/>
    <n v="74.95"/>
    <n v="-9.2172849260290786"/>
    <n v="1431.8493540163713"/>
    <n v="0"/>
    <n v="1"/>
    <n v="0"/>
    <n v="0"/>
    <n v="0"/>
    <n v="0"/>
    <n v="0"/>
    <n v="0"/>
    <n v="0"/>
    <n v="0"/>
  </r>
  <r>
    <d v="2008-06-06T00:00:00"/>
    <n v="2008"/>
    <x v="5"/>
    <s v="R"/>
    <s v="RS"/>
    <x v="13"/>
    <s v="HOU"/>
    <s v="H"/>
    <n v="2"/>
    <n v="2"/>
    <n v="0"/>
    <n v="0"/>
    <n v="0"/>
    <n v="0"/>
    <n v="1482.0476209455508"/>
    <n v="1441.0666389424005"/>
    <n v="0.67248553175318226"/>
    <n v="81"/>
    <n v="73"/>
    <n v="0"/>
    <n v="8"/>
    <n v="1"/>
    <n v="0.37549217011483876"/>
    <n v="1"/>
    <n v="75.099999999999994"/>
    <n v="75.099999999999994"/>
    <n v="9.2357317937929775"/>
    <n v="1491.2833527393436"/>
    <n v="1"/>
    <n v="0"/>
    <n v="0"/>
    <n v="0"/>
    <n v="0"/>
    <n v="0"/>
    <n v="0"/>
    <n v="0"/>
    <n v="0"/>
    <n v="0"/>
  </r>
  <r>
    <d v="2008-06-06T00:00:00"/>
    <n v="2008"/>
    <x v="7"/>
    <s v="R"/>
    <s v="RS"/>
    <x v="3"/>
    <s v="SAC"/>
    <s v="A"/>
    <n v="1"/>
    <n v="6"/>
    <n v="-5"/>
    <n v="5"/>
    <n v="-16"/>
    <n v="16"/>
    <n v="1604.658622766631"/>
    <n v="1495.0627072420687"/>
    <n v="0.49078482520479111"/>
    <n v="84"/>
    <n v="70"/>
    <n v="0"/>
    <n v="14"/>
    <n v="1"/>
    <n v="0.4468017327364267"/>
    <n v="1"/>
    <n v="74.8"/>
    <n v="74.8"/>
    <n v="17.018363038076796"/>
    <n v="1621.6769858047078"/>
    <n v="1"/>
    <n v="0"/>
    <n v="0"/>
    <n v="0"/>
    <n v="0"/>
    <n v="0"/>
    <n v="0"/>
    <n v="0"/>
    <n v="0"/>
    <n v="0"/>
  </r>
  <r>
    <d v="2008-06-06T00:00:00"/>
    <n v="2008"/>
    <x v="5"/>
    <s v="R"/>
    <s v="RS"/>
    <x v="9"/>
    <s v="DET"/>
    <s v="H"/>
    <n v="6"/>
    <n v="1"/>
    <n v="5"/>
    <n v="-5"/>
    <n v="16"/>
    <n v="-16"/>
    <n v="1495.0627072420687"/>
    <n v="1604.658622766631"/>
    <n v="0.50921517479520895"/>
    <n v="70"/>
    <n v="84"/>
    <n v="0"/>
    <n v="-14"/>
    <n v="0"/>
    <n v="0.4468017327364267"/>
    <n v="1"/>
    <n v="75.099999999999994"/>
    <n v="75.099999999999994"/>
    <n v="-17.086618504807049"/>
    <n v="1477.9760887372615"/>
    <n v="0"/>
    <n v="1"/>
    <n v="0"/>
    <n v="0"/>
    <n v="0"/>
    <n v="0"/>
    <n v="0"/>
    <n v="0"/>
    <n v="0"/>
    <n v="0"/>
  </r>
  <r>
    <d v="2008-06-06T00:00:00"/>
    <n v="2008"/>
    <x v="6"/>
    <s v="R"/>
    <s v="RS"/>
    <x v="4"/>
    <s v="SAS"/>
    <s v="A"/>
    <n v="2"/>
    <n v="2"/>
    <n v="0"/>
    <n v="0"/>
    <n v="0"/>
    <n v="0"/>
    <n v="1458.4957189913473"/>
    <n v="1493.0250524476623"/>
    <n v="0.3357459986612461"/>
    <n v="52"/>
    <n v="63"/>
    <n v="0"/>
    <n v="-11"/>
    <n v="0"/>
    <n v="0.42753391920746492"/>
    <n v="1"/>
    <n v="74.95"/>
    <n v="74.95"/>
    <n v="-10.758533059806718"/>
    <n v="1447.7371859315406"/>
    <n v="0"/>
    <n v="1"/>
    <n v="0"/>
    <n v="0"/>
    <n v="0"/>
    <n v="0"/>
    <n v="0"/>
    <n v="0"/>
    <n v="0"/>
    <n v="0"/>
  </r>
  <r>
    <d v="2008-06-06T00:00:00"/>
    <n v="2008"/>
    <x v="5"/>
    <s v="R"/>
    <s v="RS"/>
    <x v="8"/>
    <s v="WAS"/>
    <s v="H"/>
    <n v="2"/>
    <n v="2"/>
    <n v="0"/>
    <n v="0"/>
    <n v="0"/>
    <n v="0"/>
    <n v="1493.0250524476623"/>
    <n v="1458.4957189913473"/>
    <n v="0.66425400133875379"/>
    <n v="63"/>
    <n v="52"/>
    <n v="0"/>
    <n v="11"/>
    <n v="1"/>
    <n v="0.42753391920746492"/>
    <n v="1"/>
    <n v="75.099999999999994"/>
    <n v="75.099999999999994"/>
    <n v="10.780064480206601"/>
    <n v="1503.805116927869"/>
    <n v="1"/>
    <n v="0"/>
    <n v="0"/>
    <n v="0"/>
    <n v="0"/>
    <n v="0"/>
    <n v="0"/>
    <n v="0"/>
    <n v="0"/>
    <n v="0"/>
  </r>
  <r>
    <d v="2008-06-07T00:00:00"/>
    <n v="2008"/>
    <x v="6"/>
    <s v="R"/>
    <s v="RS"/>
    <x v="0"/>
    <s v="CHI"/>
    <s v="A"/>
    <n v="0"/>
    <n v="0"/>
    <n v="0"/>
    <n v="0"/>
    <n v="0"/>
    <n v="0"/>
    <n v="1396.2312736635065"/>
    <n v="1451.4571288858394"/>
    <n v="0.30971576730510797"/>
    <n v="70"/>
    <n v="91"/>
    <n v="0"/>
    <n v="-21"/>
    <n v="0"/>
    <n v="0.5626808469458926"/>
    <n v="1"/>
    <n v="74.95"/>
    <n v="74.95"/>
    <n v="-13.06162121296715"/>
    <n v="1383.1696524505394"/>
    <n v="0"/>
    <n v="1"/>
    <n v="0"/>
    <n v="0"/>
    <n v="0"/>
    <n v="0"/>
    <n v="0"/>
    <n v="0"/>
    <n v="0"/>
    <n v="0"/>
  </r>
  <r>
    <d v="2008-06-07T00:00:00"/>
    <n v="2008"/>
    <x v="6"/>
    <s v="R"/>
    <s v="RS"/>
    <x v="10"/>
    <s v="ATL"/>
    <s v="H"/>
    <n v="0"/>
    <n v="0"/>
    <n v="0"/>
    <n v="0"/>
    <n v="0"/>
    <n v="0"/>
    <n v="1451.4571288858394"/>
    <n v="1396.2312736635065"/>
    <n v="0.69028423269489203"/>
    <n v="91"/>
    <n v="70"/>
    <n v="0"/>
    <n v="21"/>
    <n v="1"/>
    <n v="0.5626808469458926"/>
    <n v="1"/>
    <n v="74.95"/>
    <n v="74.95"/>
    <n v="13.06162121296715"/>
    <n v="1464.5187500988065"/>
    <n v="1"/>
    <n v="0"/>
    <n v="0"/>
    <n v="0"/>
    <n v="0"/>
    <n v="0"/>
    <n v="0"/>
    <n v="0"/>
    <n v="0"/>
    <n v="0"/>
  </r>
  <r>
    <d v="2008-06-07T00:00:00"/>
    <n v="2008"/>
    <x v="7"/>
    <s v="R"/>
    <s v="RS"/>
    <x v="2"/>
    <s v="IND"/>
    <s v="A"/>
    <n v="0"/>
    <n v="6"/>
    <n v="-6"/>
    <n v="6"/>
    <n v="-16"/>
    <n v="16"/>
    <n v="1431.8493540163713"/>
    <n v="1555.2207466203872"/>
    <n v="0.2013412544591299"/>
    <n v="75"/>
    <n v="84"/>
    <n v="0"/>
    <n v="-9"/>
    <n v="0"/>
    <n v="0.36812480253036794"/>
    <n v="1"/>
    <n v="74.8"/>
    <n v="74.8"/>
    <n v="-5.5440794735159846"/>
    <n v="1426.3052745428554"/>
    <n v="0"/>
    <n v="1"/>
    <n v="0"/>
    <n v="0"/>
    <n v="0"/>
    <n v="0"/>
    <n v="0"/>
    <n v="0"/>
    <n v="0"/>
    <n v="0"/>
  </r>
  <r>
    <d v="2008-06-07T00:00:00"/>
    <n v="2008"/>
    <x v="5"/>
    <s v="R"/>
    <s v="RS"/>
    <x v="5"/>
    <s v="HOU"/>
    <s v="H"/>
    <n v="6"/>
    <n v="0"/>
    <n v="6"/>
    <n v="-6"/>
    <n v="16"/>
    <n v="-16"/>
    <n v="1555.2207466203872"/>
    <n v="1431.8493540163713"/>
    <n v="0.79865874554087013"/>
    <n v="84"/>
    <n v="75"/>
    <n v="0"/>
    <n v="9"/>
    <n v="1"/>
    <n v="0.36812480253036794"/>
    <n v="1"/>
    <n v="75.099999999999994"/>
    <n v="75.099999999999994"/>
    <n v="5.5663150863776787"/>
    <n v="1560.7870617067649"/>
    <n v="1"/>
    <n v="0"/>
    <n v="0"/>
    <n v="0"/>
    <n v="0"/>
    <n v="0"/>
    <n v="0"/>
    <n v="0"/>
    <n v="0"/>
    <n v="0"/>
  </r>
  <r>
    <d v="2008-06-07T00:00:00"/>
    <n v="2008"/>
    <x v="8"/>
    <s v="R"/>
    <s v="RS"/>
    <x v="3"/>
    <s v="SEA"/>
    <s v="A"/>
    <n v="0"/>
    <n v="2"/>
    <n v="-2"/>
    <n v="2"/>
    <n v="-16"/>
    <n v="16"/>
    <n v="1621.6769858047078"/>
    <n v="1519.8788111329261"/>
    <n v="0.47957330588101732"/>
    <n v="67"/>
    <n v="75"/>
    <n v="0"/>
    <n v="-8"/>
    <n v="0"/>
    <n v="0.35794998876925938"/>
    <n v="1"/>
    <n v="74.650000000000006"/>
    <n v="74.650000000000006"/>
    <n v="-12.814662318252056"/>
    <n v="1608.8623234864558"/>
    <n v="0"/>
    <n v="1"/>
    <n v="0"/>
    <n v="0"/>
    <n v="0"/>
    <n v="0"/>
    <n v="0"/>
    <n v="0"/>
    <n v="0"/>
    <n v="0"/>
  </r>
  <r>
    <d v="2008-06-07T00:00:00"/>
    <n v="2008"/>
    <x v="8"/>
    <s v="R"/>
    <s v="RS"/>
    <x v="11"/>
    <s v="DET"/>
    <s v="H"/>
    <n v="2"/>
    <n v="0"/>
    <n v="2"/>
    <n v="-2"/>
    <n v="16"/>
    <n v="-16"/>
    <n v="1519.8788111329261"/>
    <n v="1621.6769858047078"/>
    <n v="0.52042669411898268"/>
    <n v="75"/>
    <n v="67"/>
    <n v="0"/>
    <n v="8"/>
    <n v="1"/>
    <n v="0.35794998876925938"/>
    <n v="1"/>
    <n v="74.650000000000006"/>
    <n v="74.650000000000006"/>
    <n v="12.814662318252056"/>
    <n v="1532.6934734511781"/>
    <n v="1"/>
    <n v="0"/>
    <n v="0"/>
    <n v="0"/>
    <n v="0"/>
    <n v="0"/>
    <n v="0"/>
    <n v="0"/>
    <n v="0"/>
    <n v="0"/>
  </r>
  <r>
    <d v="2008-06-08T00:00:00"/>
    <n v="2008"/>
    <x v="7"/>
    <s v="R"/>
    <s v="RS"/>
    <x v="4"/>
    <s v="CON"/>
    <s v="A"/>
    <n v="1"/>
    <n v="1"/>
    <n v="0"/>
    <n v="0"/>
    <n v="0"/>
    <n v="0"/>
    <n v="1447.7371859315406"/>
    <n v="1567.8047668189431"/>
    <n v="0.236005149494775"/>
    <n v="79"/>
    <n v="87"/>
    <n v="0"/>
    <n v="-8"/>
    <n v="0"/>
    <n v="0.35299605016461127"/>
    <n v="1"/>
    <n v="74.8"/>
    <n v="74.8"/>
    <n v="-6.2315046421442801"/>
    <n v="1441.5056812893963"/>
    <n v="0"/>
    <n v="1"/>
    <n v="0"/>
    <n v="0"/>
    <n v="0"/>
    <n v="0"/>
    <n v="0"/>
    <n v="0"/>
    <n v="0"/>
    <n v="0"/>
  </r>
  <r>
    <d v="2008-06-08T00:00:00"/>
    <n v="2008"/>
    <x v="7"/>
    <s v="R"/>
    <s v="RS"/>
    <x v="1"/>
    <s v="WAS"/>
    <s v="H"/>
    <n v="1"/>
    <n v="1"/>
    <n v="0"/>
    <n v="0"/>
    <n v="0"/>
    <n v="0"/>
    <n v="1567.8047668189431"/>
    <n v="1447.7371859315406"/>
    <n v="0.76399485050522498"/>
    <n v="87"/>
    <n v="79"/>
    <n v="0"/>
    <n v="8"/>
    <n v="1"/>
    <n v="0.35299605016461127"/>
    <n v="1"/>
    <n v="74.8"/>
    <n v="74.8"/>
    <n v="6.231504642144281"/>
    <n v="1574.0362714610874"/>
    <n v="1"/>
    <n v="0"/>
    <n v="0"/>
    <n v="0"/>
    <n v="0"/>
    <n v="0"/>
    <n v="0"/>
    <n v="0"/>
    <n v="0"/>
    <n v="0"/>
  </r>
  <r>
    <d v="2008-06-08T00:00:00"/>
    <n v="2008"/>
    <x v="6"/>
    <s v="R"/>
    <s v="RS"/>
    <x v="8"/>
    <s v="MIN"/>
    <s v="A"/>
    <n v="1"/>
    <n v="1"/>
    <n v="0"/>
    <n v="0"/>
    <n v="0"/>
    <n v="0"/>
    <n v="1503.805116927869"/>
    <n v="1516.3930957615164"/>
    <n v="0.36447230528026242"/>
    <n v="78"/>
    <n v="90"/>
    <n v="0"/>
    <n v="-12"/>
    <n v="0"/>
    <n v="0.4513943245737384"/>
    <n v="1"/>
    <n v="74.95"/>
    <n v="74.95"/>
    <n v="-12.33082871858292"/>
    <n v="1491.474288209286"/>
    <n v="0"/>
    <n v="1"/>
    <n v="0"/>
    <n v="0"/>
    <n v="0"/>
    <n v="0"/>
    <n v="0"/>
    <n v="0"/>
    <n v="0"/>
    <n v="0"/>
  </r>
  <r>
    <d v="2008-06-08T00:00:00"/>
    <n v="2008"/>
    <x v="6"/>
    <s v="R"/>
    <s v="RS"/>
    <x v="12"/>
    <s v="SAS"/>
    <s v="H"/>
    <n v="1"/>
    <n v="1"/>
    <n v="0"/>
    <n v="0"/>
    <n v="0"/>
    <n v="0"/>
    <n v="1516.3930957615164"/>
    <n v="1503.805116927869"/>
    <n v="0.63552769471973758"/>
    <n v="90"/>
    <n v="78"/>
    <n v="0"/>
    <n v="12"/>
    <n v="1"/>
    <n v="0.4513943245737384"/>
    <n v="1"/>
    <n v="74.95"/>
    <n v="74.95"/>
    <n v="12.33082871858292"/>
    <n v="1528.7239244800994"/>
    <n v="1"/>
    <n v="0"/>
    <n v="0"/>
    <n v="0"/>
    <n v="0"/>
    <n v="0"/>
    <n v="0"/>
    <n v="0"/>
    <n v="0"/>
    <n v="0"/>
  </r>
  <r>
    <d v="2008-06-08T00:00:00"/>
    <n v="2008"/>
    <x v="6"/>
    <s v="R"/>
    <s v="RS"/>
    <x v="9"/>
    <s v="NYL"/>
    <s v="A"/>
    <n v="1"/>
    <n v="1"/>
    <n v="0"/>
    <n v="0"/>
    <n v="0"/>
    <n v="0"/>
    <n v="1477.9760887372615"/>
    <n v="1491.2833527393436"/>
    <n v="0.36351376237354693"/>
    <n v="70"/>
    <n v="63"/>
    <n v="0"/>
    <n v="7"/>
    <n v="1"/>
    <n v="0.36604792550209431"/>
    <n v="1"/>
    <n v="74.95"/>
    <n v="74.95"/>
    <n v="17.462185793690026"/>
    <n v="1495.4382745309515"/>
    <n v="1"/>
    <n v="0"/>
    <n v="0"/>
    <n v="0"/>
    <n v="0"/>
    <n v="0"/>
    <n v="0"/>
    <n v="0"/>
    <n v="0"/>
    <n v="0"/>
  </r>
  <r>
    <d v="2008-06-08T00:00:00"/>
    <n v="2008"/>
    <x v="6"/>
    <s v="R"/>
    <s v="RS"/>
    <x v="13"/>
    <s v="SAC"/>
    <s v="H"/>
    <n v="1"/>
    <n v="1"/>
    <n v="0"/>
    <n v="0"/>
    <n v="0"/>
    <n v="0"/>
    <n v="1491.2833527393436"/>
    <n v="1477.9760887372615"/>
    <n v="0.63648623762645307"/>
    <n v="63"/>
    <n v="70"/>
    <n v="0"/>
    <n v="-7"/>
    <n v="0"/>
    <n v="0.36604792550209431"/>
    <n v="1"/>
    <n v="74.95"/>
    <n v="74.95"/>
    <n v="-17.462185793690026"/>
    <n v="1473.8211669456537"/>
    <n v="0"/>
    <n v="1"/>
    <n v="0"/>
    <n v="0"/>
    <n v="0"/>
    <n v="0"/>
    <n v="0"/>
    <n v="0"/>
    <n v="0"/>
    <n v="0"/>
  </r>
  <r>
    <d v="2008-06-10T00:00:00"/>
    <n v="2008"/>
    <x v="8"/>
    <s v="R"/>
    <s v="RS"/>
    <x v="1"/>
    <s v="MIN"/>
    <s v="A"/>
    <n v="1"/>
    <n v="1"/>
    <n v="0"/>
    <n v="0"/>
    <n v="0"/>
    <n v="0"/>
    <n v="1574.0362714610874"/>
    <n v="1528.7239244800994"/>
    <n v="0.44455297017979417"/>
    <n v="75"/>
    <n v="66"/>
    <n v="0"/>
    <n v="9"/>
    <n v="1"/>
    <n v="0.39119971287342331"/>
    <n v="1"/>
    <n v="74.650000000000006"/>
    <n v="74.650000000000006"/>
    <n v="16.220752142150804"/>
    <n v="1590.2570236032382"/>
    <n v="1"/>
    <n v="0"/>
    <n v="0"/>
    <n v="0"/>
    <n v="0"/>
    <n v="0"/>
    <n v="0"/>
    <n v="0"/>
    <n v="0"/>
    <n v="0"/>
  </r>
  <r>
    <d v="2008-06-10T00:00:00"/>
    <n v="2008"/>
    <x v="7"/>
    <s v="R"/>
    <s v="RS"/>
    <x v="12"/>
    <s v="CON"/>
    <s v="H"/>
    <n v="1"/>
    <n v="1"/>
    <n v="0"/>
    <n v="0"/>
    <n v="0"/>
    <n v="0"/>
    <n v="1528.7239244800994"/>
    <n v="1574.0362714610874"/>
    <n v="0.55544702982020577"/>
    <n v="66"/>
    <n v="75"/>
    <n v="0"/>
    <n v="-9"/>
    <n v="0"/>
    <n v="0.39119971287342331"/>
    <n v="1"/>
    <n v="74.8"/>
    <n v="74.8"/>
    <n v="-16.253345749938109"/>
    <n v="1512.4705787301614"/>
    <n v="0"/>
    <n v="1"/>
    <n v="0"/>
    <n v="0"/>
    <n v="0"/>
    <n v="0"/>
    <n v="0"/>
    <n v="0"/>
    <n v="0"/>
    <n v="0"/>
  </r>
  <r>
    <d v="2008-06-11T00:00:00"/>
    <n v="2008"/>
    <x v="7"/>
    <s v="R"/>
    <s v="RS"/>
    <x v="13"/>
    <s v="ATL"/>
    <s v="A"/>
    <n v="2"/>
    <n v="3"/>
    <n v="-1"/>
    <n v="1"/>
    <n v="-8"/>
    <n v="8"/>
    <n v="1473.8211669456537"/>
    <n v="1383.1696524505394"/>
    <n v="0.4865496937123619"/>
    <n v="81"/>
    <n v="77"/>
    <n v="0"/>
    <n v="4"/>
    <n v="1"/>
    <n v="0.28955862809400507"/>
    <n v="1"/>
    <n v="74.8"/>
    <n v="74.8"/>
    <n v="11.12081267797552"/>
    <n v="1484.9419796236291"/>
    <n v="1"/>
    <n v="0"/>
    <n v="0"/>
    <n v="0"/>
    <n v="0"/>
    <n v="0"/>
    <n v="0"/>
    <n v="0"/>
    <n v="0"/>
    <n v="0"/>
  </r>
  <r>
    <d v="2008-06-11T00:00:00"/>
    <n v="2008"/>
    <x v="7"/>
    <s v="R"/>
    <s v="RS"/>
    <x v="0"/>
    <s v="NYL"/>
    <s v="H"/>
    <n v="3"/>
    <n v="2"/>
    <n v="1"/>
    <n v="-1"/>
    <n v="8"/>
    <n v="-8"/>
    <n v="1383.1696524505394"/>
    <n v="1473.8211669456537"/>
    <n v="0.51345030628763821"/>
    <n v="77"/>
    <n v="81"/>
    <n v="0"/>
    <n v="-4"/>
    <n v="0"/>
    <n v="0.28955862809400507"/>
    <n v="1"/>
    <n v="74.8"/>
    <n v="74.8"/>
    <n v="-11.120812677975522"/>
    <n v="1372.048839772564"/>
    <n v="0"/>
    <n v="1"/>
    <n v="0"/>
    <n v="0"/>
    <n v="0"/>
    <n v="0"/>
    <n v="0"/>
    <n v="0"/>
    <n v="0"/>
    <n v="0"/>
  </r>
  <r>
    <d v="2008-06-11T00:00:00"/>
    <n v="2008"/>
    <x v="9"/>
    <s v="R"/>
    <s v="RS"/>
    <x v="3"/>
    <s v="LAS"/>
    <s v="A"/>
    <n v="3"/>
    <n v="4"/>
    <n v="-1"/>
    <n v="1"/>
    <n v="-8"/>
    <n v="8"/>
    <n v="1608.8623234864558"/>
    <n v="1488.2631508252468"/>
    <n v="0.52960990557719778"/>
    <n v="73"/>
    <n v="80"/>
    <n v="0"/>
    <n v="-7"/>
    <n v="0"/>
    <n v="0.33630840922730326"/>
    <n v="1"/>
    <n v="74.5"/>
    <n v="74.5"/>
    <n v="-13.26936373174888"/>
    <n v="1595.592959754707"/>
    <n v="0"/>
    <n v="1"/>
    <n v="0"/>
    <n v="0"/>
    <n v="0"/>
    <n v="0"/>
    <n v="0"/>
    <n v="0"/>
    <n v="0"/>
    <n v="0"/>
  </r>
  <r>
    <d v="2008-06-11T00:00:00"/>
    <n v="2008"/>
    <x v="6"/>
    <s v="R"/>
    <s v="RS"/>
    <x v="6"/>
    <s v="DET"/>
    <s v="H"/>
    <n v="4"/>
    <n v="3"/>
    <n v="1"/>
    <n v="-1"/>
    <n v="8"/>
    <n v="-8"/>
    <n v="1488.2631508252468"/>
    <n v="1608.8623234864558"/>
    <n v="0.47039009442280227"/>
    <n v="80"/>
    <n v="73"/>
    <n v="0"/>
    <n v="7"/>
    <n v="1"/>
    <n v="0.33630840922730326"/>
    <n v="1"/>
    <n v="74.95"/>
    <n v="74.95"/>
    <n v="13.349514250933938"/>
    <n v="1501.6126650761807"/>
    <n v="1"/>
    <n v="0"/>
    <n v="0"/>
    <n v="0"/>
    <n v="0"/>
    <n v="0"/>
    <n v="0"/>
    <n v="0"/>
    <n v="0"/>
    <n v="0"/>
  </r>
  <r>
    <d v="2008-06-11T00:00:00"/>
    <n v="2008"/>
    <x v="6"/>
    <s v="R"/>
    <s v="RS"/>
    <x v="5"/>
    <s v="SAS"/>
    <s v="A"/>
    <n v="3"/>
    <n v="2"/>
    <n v="1"/>
    <n v="-1"/>
    <n v="8"/>
    <n v="-8"/>
    <n v="1560.7870617067649"/>
    <n v="1491.474288209286"/>
    <n v="0.50188922393792301"/>
    <n v="53"/>
    <n v="64"/>
    <n v="0"/>
    <n v="-11"/>
    <n v="0"/>
    <n v="0.41581805157041224"/>
    <n v="1"/>
    <n v="74.95"/>
    <n v="74.95"/>
    <n v="-15.641660210193907"/>
    <n v="1545.1454014965709"/>
    <n v="0"/>
    <n v="1"/>
    <n v="0"/>
    <n v="0"/>
    <n v="0"/>
    <n v="0"/>
    <n v="0"/>
    <n v="0"/>
    <n v="0"/>
    <n v="0"/>
  </r>
  <r>
    <d v="2008-06-11T00:00:00"/>
    <n v="2008"/>
    <x v="7"/>
    <s v="R"/>
    <s v="RS"/>
    <x v="8"/>
    <s v="IND"/>
    <s v="H"/>
    <n v="2"/>
    <n v="3"/>
    <n v="-1"/>
    <n v="1"/>
    <n v="-8"/>
    <n v="8"/>
    <n v="1491.474288209286"/>
    <n v="1560.7870617067649"/>
    <n v="0.49811077606207693"/>
    <n v="64"/>
    <n v="53"/>
    <n v="0"/>
    <n v="11"/>
    <n v="1"/>
    <n v="0.41581805157041224"/>
    <n v="1"/>
    <n v="74.8"/>
    <n v="74.8"/>
    <n v="15.610356020313601"/>
    <n v="1507.0846442295997"/>
    <n v="1"/>
    <n v="0"/>
    <n v="0"/>
    <n v="0"/>
    <n v="0"/>
    <n v="0"/>
    <n v="0"/>
    <n v="0"/>
    <n v="0"/>
    <n v="0"/>
  </r>
  <r>
    <d v="2008-06-11T00:00:00"/>
    <n v="2008"/>
    <x v="6"/>
    <s v="R"/>
    <s v="RS"/>
    <x v="7"/>
    <s v="SEA"/>
    <s v="A"/>
    <n v="4"/>
    <n v="3"/>
    <n v="1"/>
    <n v="-1"/>
    <n v="8"/>
    <n v="-8"/>
    <n v="1556.0850601628078"/>
    <n v="1532.6934734511781"/>
    <n v="0.43615377963373342"/>
    <n v="77"/>
    <n v="83"/>
    <n v="0"/>
    <n v="-6"/>
    <n v="0"/>
    <n v="0.34456417543482099"/>
    <n v="1"/>
    <n v="74.95"/>
    <n v="74.95"/>
    <n v="-11.263708409798735"/>
    <n v="1544.8213517530091"/>
    <n v="0"/>
    <n v="1"/>
    <n v="0"/>
    <n v="0"/>
    <n v="0"/>
    <n v="0"/>
    <n v="0"/>
    <n v="0"/>
    <n v="0"/>
    <n v="0"/>
  </r>
  <r>
    <d v="2008-06-11T00:00:00"/>
    <n v="2008"/>
    <x v="9"/>
    <s v="R"/>
    <s v="RS"/>
    <x v="11"/>
    <s v="PHX"/>
    <s v="H"/>
    <n v="3"/>
    <n v="4"/>
    <n v="-1"/>
    <n v="1"/>
    <n v="-8"/>
    <n v="8"/>
    <n v="1532.6934734511781"/>
    <n v="1556.0850601628078"/>
    <n v="0.56384622036626653"/>
    <n v="83"/>
    <n v="77"/>
    <n v="0"/>
    <n v="6"/>
    <n v="1"/>
    <n v="0.34456417543482099"/>
    <n v="1"/>
    <n v="74.5"/>
    <n v="74.5"/>
    <n v="11.196081074449712"/>
    <n v="1543.8895545256278"/>
    <n v="1"/>
    <n v="0"/>
    <n v="0"/>
    <n v="0"/>
    <n v="0"/>
    <n v="0"/>
    <n v="0"/>
    <n v="0"/>
    <n v="0"/>
    <n v="0"/>
  </r>
  <r>
    <d v="2008-06-11T00:00:00"/>
    <n v="2008"/>
    <x v="7"/>
    <s v="R"/>
    <s v="RS"/>
    <x v="9"/>
    <s v="WAS"/>
    <s v="A"/>
    <n v="2"/>
    <n v="2"/>
    <n v="0"/>
    <n v="0"/>
    <n v="0"/>
    <n v="0"/>
    <n v="1495.4382745309515"/>
    <n v="1441.5056812893963"/>
    <n v="0.45683722314262043"/>
    <n v="79"/>
    <n v="76"/>
    <n v="0"/>
    <n v="3"/>
    <n v="1"/>
    <n v="0.27770250745158609"/>
    <n v="1"/>
    <n v="74.8"/>
    <n v="74.8"/>
    <n v="11.282657348557015"/>
    <n v="1506.7209318795085"/>
    <n v="1"/>
    <n v="0"/>
    <n v="0"/>
    <n v="0"/>
    <n v="0"/>
    <n v="0"/>
    <n v="0"/>
    <n v="0"/>
    <n v="0"/>
    <n v="0"/>
  </r>
  <r>
    <d v="2008-06-11T00:00:00"/>
    <n v="2008"/>
    <x v="8"/>
    <s v="R"/>
    <s v="RS"/>
    <x v="4"/>
    <s v="SAC"/>
    <s v="H"/>
    <n v="2"/>
    <n v="2"/>
    <n v="0"/>
    <n v="0"/>
    <n v="0"/>
    <n v="0"/>
    <n v="1441.5056812893963"/>
    <n v="1495.4382745309515"/>
    <n v="0.54316277685737946"/>
    <n v="76"/>
    <n v="79"/>
    <n v="0"/>
    <n v="-3"/>
    <n v="0"/>
    <n v="0.27770250745158609"/>
    <n v="1"/>
    <n v="74.650000000000006"/>
    <n v="74.650000000000006"/>
    <n v="-11.260031698793865"/>
    <n v="1430.2456495906024"/>
    <n v="0"/>
    <n v="1"/>
    <n v="0"/>
    <n v="0"/>
    <n v="0"/>
    <n v="0"/>
    <n v="0"/>
    <n v="0"/>
    <n v="0"/>
    <n v="0"/>
  </r>
  <r>
    <d v="2008-06-12T00:00:00"/>
    <n v="2008"/>
    <x v="8"/>
    <s v="R"/>
    <s v="RS"/>
    <x v="9"/>
    <s v="MIN"/>
    <s v="A"/>
    <n v="0"/>
    <n v="1"/>
    <n v="-1"/>
    <n v="1"/>
    <n v="-8"/>
    <n v="8"/>
    <n v="1506.7209318795085"/>
    <n v="1512.4705787301614"/>
    <n v="0.35234578428492791"/>
    <n v="82"/>
    <n v="78"/>
    <n v="0"/>
    <n v="4"/>
    <n v="1"/>
    <n v="0.30994766024670878"/>
    <n v="1"/>
    <n v="74.650000000000006"/>
    <n v="74.650000000000006"/>
    <n v="14.985159542651854"/>
    <n v="1521.7060914221604"/>
    <n v="1"/>
    <n v="0"/>
    <n v="0"/>
    <n v="0"/>
    <n v="0"/>
    <n v="0"/>
    <n v="0"/>
    <n v="0"/>
    <n v="0"/>
    <n v="0"/>
  </r>
  <r>
    <d v="2008-06-12T00:00:00"/>
    <n v="2008"/>
    <x v="8"/>
    <s v="R"/>
    <s v="RS"/>
    <x v="12"/>
    <s v="SAC"/>
    <s v="H"/>
    <n v="1"/>
    <n v="0"/>
    <n v="1"/>
    <n v="-1"/>
    <n v="8"/>
    <n v="-8"/>
    <n v="1512.4705787301614"/>
    <n v="1506.7209318795085"/>
    <n v="0.6476542157150722"/>
    <n v="78"/>
    <n v="82"/>
    <n v="0"/>
    <n v="-4"/>
    <n v="0"/>
    <n v="0.30994766024670878"/>
    <n v="1"/>
    <n v="74.650000000000006"/>
    <n v="74.650000000000006"/>
    <n v="-14.985159542651857"/>
    <n v="1497.4854191875095"/>
    <n v="0"/>
    <n v="1"/>
    <n v="0"/>
    <n v="0"/>
    <n v="0"/>
    <n v="0"/>
    <n v="0"/>
    <n v="0"/>
    <n v="0"/>
    <n v="0"/>
  </r>
  <r>
    <d v="2008-06-13T00:00:00"/>
    <n v="2008"/>
    <x v="7"/>
    <s v="R"/>
    <s v="RS"/>
    <x v="5"/>
    <s v="ATL"/>
    <s v="A"/>
    <n v="1"/>
    <n v="1"/>
    <n v="0"/>
    <n v="0"/>
    <n v="0"/>
    <n v="0"/>
    <n v="1545.1454014965709"/>
    <n v="1372.048839772564"/>
    <n v="0.6254816136045338"/>
    <n v="76"/>
    <n v="67"/>
    <n v="0"/>
    <n v="9"/>
    <n v="1"/>
    <n v="0.3547935710836132"/>
    <n v="1"/>
    <n v="74.8"/>
    <n v="74.8"/>
    <n v="9.9391783377798522"/>
    <n v="1555.0845798343507"/>
    <n v="1"/>
    <n v="0"/>
    <n v="0"/>
    <n v="0"/>
    <n v="0"/>
    <n v="0"/>
    <n v="0"/>
    <n v="0"/>
    <n v="0"/>
    <n v="0"/>
  </r>
  <r>
    <d v="2008-06-13T00:00:00"/>
    <n v="2008"/>
    <x v="8"/>
    <s v="R"/>
    <s v="RS"/>
    <x v="0"/>
    <s v="IND"/>
    <s v="H"/>
    <n v="1"/>
    <n v="1"/>
    <n v="0"/>
    <n v="0"/>
    <n v="0"/>
    <n v="0"/>
    <n v="1372.048839772564"/>
    <n v="1545.1454014965709"/>
    <n v="0.37451838639546625"/>
    <n v="67"/>
    <n v="76"/>
    <n v="0"/>
    <n v="-9"/>
    <n v="0"/>
    <n v="0.3547935710836132"/>
    <n v="1"/>
    <n v="74.650000000000006"/>
    <n v="74.650000000000006"/>
    <n v="-9.9192468304179968"/>
    <n v="1362.129592942146"/>
    <n v="0"/>
    <n v="1"/>
    <n v="0"/>
    <n v="0"/>
    <n v="0"/>
    <n v="0"/>
    <n v="0"/>
    <n v="0"/>
    <n v="0"/>
    <n v="0"/>
  </r>
  <r>
    <d v="2008-06-13T00:00:00"/>
    <n v="2008"/>
    <x v="9"/>
    <s v="R"/>
    <s v="RS"/>
    <x v="4"/>
    <s v="CHI"/>
    <s v="A"/>
    <n v="1"/>
    <n v="5"/>
    <n v="-4"/>
    <n v="4"/>
    <n v="-16"/>
    <n v="16"/>
    <n v="1430.2456495906024"/>
    <n v="1464.5187500988065"/>
    <n v="0.29628710855552226"/>
    <n v="64"/>
    <n v="57"/>
    <n v="0"/>
    <n v="7"/>
    <n v="1"/>
    <n v="0.35983009497794033"/>
    <n v="1"/>
    <n v="74.5"/>
    <n v="74.5"/>
    <n v="18.86467220414222"/>
    <n v="1449.1103217947446"/>
    <n v="1"/>
    <n v="0"/>
    <n v="0"/>
    <n v="0"/>
    <n v="0"/>
    <n v="0"/>
    <n v="0"/>
    <n v="0"/>
    <n v="0"/>
    <n v="0"/>
  </r>
  <r>
    <d v="2008-06-13T00:00:00"/>
    <n v="2008"/>
    <x v="7"/>
    <s v="R"/>
    <s v="RS"/>
    <x v="10"/>
    <s v="WAS"/>
    <s v="H"/>
    <n v="5"/>
    <n v="1"/>
    <n v="4"/>
    <n v="-4"/>
    <n v="16"/>
    <n v="-16"/>
    <n v="1464.5187500988065"/>
    <n v="1430.2456495906024"/>
    <n v="0.70371289144447779"/>
    <n v="57"/>
    <n v="64"/>
    <n v="0"/>
    <n v="-7"/>
    <n v="0"/>
    <n v="0.35983009497794033"/>
    <n v="1"/>
    <n v="74.8"/>
    <n v="74.8"/>
    <n v="-18.940637327111926"/>
    <n v="1445.5781127716946"/>
    <n v="0"/>
    <n v="1"/>
    <n v="0"/>
    <n v="0"/>
    <n v="0"/>
    <n v="0"/>
    <n v="0"/>
    <n v="0"/>
    <n v="0"/>
    <n v="0"/>
  </r>
  <r>
    <d v="2008-06-13T00:00:00"/>
    <n v="2008"/>
    <x v="9"/>
    <s v="R"/>
    <s v="RS"/>
    <x v="1"/>
    <s v="LAS"/>
    <s v="A"/>
    <n v="2"/>
    <n v="1"/>
    <n v="1"/>
    <n v="-1"/>
    <n v="8"/>
    <n v="-8"/>
    <n v="1590.2570236032382"/>
    <n v="1501.6126650761807"/>
    <n v="0.52967470471476252"/>
    <n v="93"/>
    <n v="98"/>
    <n v="1"/>
    <n v="-5"/>
    <n v="0"/>
    <n v="0.27804137823385694"/>
    <n v="1"/>
    <n v="74.5"/>
    <n v="74.5"/>
    <n v="-10.971725626130532"/>
    <n v="1579.2852979771076"/>
    <n v="0"/>
    <n v="1"/>
    <n v="0"/>
    <n v="0"/>
    <n v="0"/>
    <n v="0"/>
    <n v="0"/>
    <n v="0"/>
    <n v="0"/>
    <n v="0"/>
  </r>
  <r>
    <d v="2008-06-13T00:00:00"/>
    <n v="2008"/>
    <x v="7"/>
    <s v="R"/>
    <s v="RS"/>
    <x v="6"/>
    <s v="CON"/>
    <s v="H"/>
    <n v="1"/>
    <n v="2"/>
    <n v="-1"/>
    <n v="1"/>
    <n v="-8"/>
    <n v="8"/>
    <n v="1501.6126650761807"/>
    <n v="1590.2570236032382"/>
    <n v="0.47032529528523759"/>
    <n v="98"/>
    <n v="93"/>
    <n v="1"/>
    <n v="5"/>
    <n v="1"/>
    <n v="0.27804137823385694"/>
    <n v="1"/>
    <n v="74.8"/>
    <n v="74.8"/>
    <n v="11.015907071604879"/>
    <n v="1512.6285721477857"/>
    <n v="1"/>
    <n v="0"/>
    <n v="0"/>
    <n v="0"/>
    <n v="0"/>
    <n v="0"/>
    <n v="0"/>
    <n v="0"/>
    <n v="0"/>
    <n v="0"/>
  </r>
  <r>
    <d v="2008-06-13T00:00:00"/>
    <n v="2008"/>
    <x v="10"/>
    <s v="R"/>
    <s v="RS"/>
    <x v="11"/>
    <s v="SAS"/>
    <s v="A"/>
    <n v="1"/>
    <n v="1"/>
    <n v="0"/>
    <n v="0"/>
    <n v="0"/>
    <n v="0"/>
    <n v="1543.8895545256278"/>
    <n v="1507.0846442295997"/>
    <n v="0.43249549560872846"/>
    <n v="69"/>
    <n v="74"/>
    <n v="0"/>
    <n v="-5"/>
    <n v="0"/>
    <n v="0.3218835624271662"/>
    <n v="1"/>
    <n v="74.349999999999994"/>
    <n v="74.349999999999994"/>
    <n v="-10.350500740458868"/>
    <n v="1533.539053785169"/>
    <n v="0"/>
    <n v="1"/>
    <n v="0"/>
    <n v="0"/>
    <n v="0"/>
    <n v="0"/>
    <n v="0"/>
    <n v="0"/>
    <n v="0"/>
    <n v="0"/>
  </r>
  <r>
    <d v="2008-06-13T00:00:00"/>
    <n v="2008"/>
    <x v="8"/>
    <s v="R"/>
    <s v="RS"/>
    <x v="8"/>
    <s v="SEA"/>
    <s v="H"/>
    <n v="1"/>
    <n v="1"/>
    <n v="0"/>
    <n v="0"/>
    <n v="0"/>
    <n v="0"/>
    <n v="1507.0846442295997"/>
    <n v="1543.8895545256278"/>
    <n v="0.56750450439127154"/>
    <n v="74"/>
    <n v="69"/>
    <n v="0"/>
    <n v="5"/>
    <n v="1"/>
    <n v="0.3218835624271662"/>
    <n v="1"/>
    <n v="74.650000000000006"/>
    <n v="74.650000000000006"/>
    <n v="10.392264697716943"/>
    <n v="1517.4769089273166"/>
    <n v="1"/>
    <n v="0"/>
    <n v="0"/>
    <n v="0"/>
    <n v="0"/>
    <n v="0"/>
    <n v="0"/>
    <n v="0"/>
    <n v="0"/>
    <n v="0"/>
  </r>
  <r>
    <d v="2008-06-14T00:00:00"/>
    <n v="2008"/>
    <x v="11"/>
    <s v="R"/>
    <s v="RS"/>
    <x v="11"/>
    <s v="HOU"/>
    <s v="A"/>
    <n v="0"/>
    <n v="6"/>
    <n v="-6"/>
    <n v="6"/>
    <n v="-16"/>
    <n v="16"/>
    <n v="1533.539053785169"/>
    <n v="1426.3052745428554"/>
    <n v="0.4873870706349468"/>
    <n v="60"/>
    <n v="68"/>
    <n v="0"/>
    <n v="-8"/>
    <n v="0"/>
    <n v="0.35646159807291139"/>
    <n v="1"/>
    <n v="74.2"/>
    <n v="74.2"/>
    <n v="-12.89112023663272"/>
    <n v="1520.6479335485362"/>
    <n v="0"/>
    <n v="1"/>
    <n v="0"/>
    <n v="0"/>
    <n v="0"/>
    <n v="0"/>
    <n v="0"/>
    <n v="0"/>
    <n v="0"/>
    <n v="0"/>
  </r>
  <r>
    <d v="2008-06-14T00:00:00"/>
    <n v="2008"/>
    <x v="8"/>
    <s v="R"/>
    <s v="RS"/>
    <x v="2"/>
    <s v="SEA"/>
    <s v="H"/>
    <n v="6"/>
    <n v="0"/>
    <n v="6"/>
    <n v="-6"/>
    <n v="16"/>
    <n v="-16"/>
    <n v="1426.3052745428554"/>
    <n v="1533.539053785169"/>
    <n v="0.5126129293650532"/>
    <n v="68"/>
    <n v="60"/>
    <n v="0"/>
    <n v="8"/>
    <n v="1"/>
    <n v="0.35646159807291139"/>
    <n v="1"/>
    <n v="74.650000000000006"/>
    <n v="74.650000000000006"/>
    <n v="12.969300884968094"/>
    <n v="1439.2745754278235"/>
    <n v="1"/>
    <n v="0"/>
    <n v="0"/>
    <n v="0"/>
    <n v="0"/>
    <n v="0"/>
    <n v="0"/>
    <n v="0"/>
    <n v="0"/>
    <n v="0"/>
  </r>
  <r>
    <d v="2008-06-14T00:00:00"/>
    <n v="2008"/>
    <x v="9"/>
    <s v="R"/>
    <s v="RS"/>
    <x v="12"/>
    <s v="NYL"/>
    <s v="A"/>
    <n v="1"/>
    <n v="2"/>
    <n v="-1"/>
    <n v="1"/>
    <n v="-8"/>
    <n v="8"/>
    <n v="1497.4854191875095"/>
    <n v="1484.9419796236291"/>
    <n v="0.37673249606476983"/>
    <n v="76"/>
    <n v="77"/>
    <n v="0"/>
    <n v="-1"/>
    <n v="0"/>
    <n v="0.24165369717701993"/>
    <n v="1"/>
    <n v="74.5"/>
    <n v="74.5"/>
    <n v="-6.7823906387980157"/>
    <n v="1490.7030285487115"/>
    <n v="0"/>
    <n v="1"/>
    <n v="0"/>
    <n v="0"/>
    <n v="0"/>
    <n v="0"/>
    <n v="0"/>
    <n v="0"/>
    <n v="0"/>
    <n v="0"/>
  </r>
  <r>
    <d v="2008-06-14T00:00:00"/>
    <n v="2008"/>
    <x v="8"/>
    <s v="R"/>
    <s v="RS"/>
    <x v="13"/>
    <s v="MIN"/>
    <s v="H"/>
    <n v="2"/>
    <n v="1"/>
    <n v="1"/>
    <n v="-1"/>
    <n v="8"/>
    <n v="-8"/>
    <n v="1484.9419796236291"/>
    <n v="1497.4854191875095"/>
    <n v="0.62326750393523012"/>
    <n v="77"/>
    <n v="76"/>
    <n v="0"/>
    <n v="1"/>
    <n v="1"/>
    <n v="0.24165369717701993"/>
    <n v="1"/>
    <n v="74.650000000000006"/>
    <n v="74.650000000000006"/>
    <n v="6.7960464588761349"/>
    <n v="1491.7380260825053"/>
    <n v="1"/>
    <n v="0"/>
    <n v="0"/>
    <n v="0"/>
    <n v="0"/>
    <n v="0"/>
    <n v="0"/>
    <n v="0"/>
    <n v="0"/>
    <n v="0"/>
  </r>
  <r>
    <d v="2008-06-14T00:00:00"/>
    <n v="2008"/>
    <x v="10"/>
    <s v="R"/>
    <s v="RS"/>
    <x v="3"/>
    <s v="PHX"/>
    <s v="A"/>
    <n v="2"/>
    <n v="2"/>
    <n v="0"/>
    <n v="0"/>
    <n v="0"/>
    <n v="0"/>
    <n v="1595.592959754707"/>
    <n v="1544.8213517530091"/>
    <n v="0.45232576724009932"/>
    <n v="89"/>
    <n v="79"/>
    <n v="0"/>
    <n v="10"/>
    <n v="1"/>
    <n v="0.405953921523658"/>
    <n v="1"/>
    <n v="74.349999999999994"/>
    <n v="74.349999999999994"/>
    <n v="16.53027286134655"/>
    <n v="1612.1232326160534"/>
    <n v="1"/>
    <n v="0"/>
    <n v="0"/>
    <n v="0"/>
    <n v="0"/>
    <n v="0"/>
    <n v="0"/>
    <n v="0"/>
    <n v="0"/>
    <n v="0"/>
  </r>
  <r>
    <d v="2008-06-14T00:00:00"/>
    <n v="2008"/>
    <x v="7"/>
    <s v="R"/>
    <s v="RS"/>
    <x v="7"/>
    <s v="DET"/>
    <s v="H"/>
    <n v="2"/>
    <n v="2"/>
    <n v="0"/>
    <n v="0"/>
    <n v="0"/>
    <n v="0"/>
    <n v="1544.8213517530091"/>
    <n v="1595.592959754707"/>
    <n v="0.54767423275990057"/>
    <n v="79"/>
    <n v="89"/>
    <n v="0"/>
    <n v="-10"/>
    <n v="0"/>
    <n v="0.405953921523658"/>
    <n v="1"/>
    <n v="74.8"/>
    <n v="74.8"/>
    <n v="-16.630321587474402"/>
    <n v="1528.1910301655348"/>
    <n v="0"/>
    <n v="1"/>
    <n v="0"/>
    <n v="0"/>
    <n v="0"/>
    <n v="0"/>
    <n v="0"/>
    <n v="0"/>
    <n v="0"/>
    <n v="0"/>
  </r>
  <r>
    <d v="2008-06-14T00:00:00"/>
    <n v="2008"/>
    <x v="8"/>
    <s v="R"/>
    <s v="RS"/>
    <x v="6"/>
    <s v="SAC"/>
    <s v="A"/>
    <n v="0"/>
    <n v="1"/>
    <n v="-1"/>
    <n v="1"/>
    <n v="-8"/>
    <n v="8"/>
    <n v="1512.6285721477857"/>
    <n v="1521.7060914221604"/>
    <n v="0.34798670571391405"/>
    <n v="74"/>
    <n v="66"/>
    <n v="0"/>
    <n v="8"/>
    <n v="1"/>
    <n v="0.38540013735700146"/>
    <n v="1"/>
    <n v="74.650000000000006"/>
    <n v="74.650000000000006"/>
    <n v="18.758500883621881"/>
    <n v="1531.3870730314077"/>
    <n v="1"/>
    <n v="0"/>
    <n v="0"/>
    <n v="0"/>
    <n v="0"/>
    <n v="0"/>
    <n v="0"/>
    <n v="0"/>
    <n v="0"/>
    <n v="0"/>
  </r>
  <r>
    <d v="2008-06-14T00:00:00"/>
    <n v="2008"/>
    <x v="9"/>
    <s v="R"/>
    <s v="RS"/>
    <x v="9"/>
    <s v="LAS"/>
    <s v="H"/>
    <n v="1"/>
    <n v="0"/>
    <n v="1"/>
    <n v="-1"/>
    <n v="8"/>
    <n v="-8"/>
    <n v="1521.7060914221604"/>
    <n v="1512.6285721477857"/>
    <n v="0.65201329428608601"/>
    <n v="66"/>
    <n v="74"/>
    <n v="0"/>
    <n v="-8"/>
    <n v="0"/>
    <n v="0.38540013735700146"/>
    <n v="1"/>
    <n v="74.5"/>
    <n v="74.5"/>
    <n v="-18.720807981645418"/>
    <n v="1502.9852834405149"/>
    <n v="0"/>
    <n v="1"/>
    <n v="0"/>
    <n v="0"/>
    <n v="0"/>
    <n v="0"/>
    <n v="0"/>
    <n v="0"/>
    <n v="0"/>
    <n v="0"/>
  </r>
  <r>
    <d v="2008-06-15T00:00:00"/>
    <n v="2008"/>
    <x v="9"/>
    <s v="R"/>
    <s v="RS"/>
    <x v="8"/>
    <s v="IND"/>
    <s v="A"/>
    <n v="1"/>
    <n v="1"/>
    <n v="0"/>
    <n v="0"/>
    <n v="0"/>
    <n v="0"/>
    <n v="1517.4769089273166"/>
    <n v="1555.0845798343507"/>
    <n v="0.33180557081212647"/>
    <n v="70"/>
    <n v="60"/>
    <n v="0"/>
    <n v="10"/>
    <n v="1"/>
    <n v="0.41027189078959903"/>
    <n v="1"/>
    <n v="74.5"/>
    <n v="74.5"/>
    <n v="20.423533694909935"/>
    <n v="1537.9004426222266"/>
    <n v="1"/>
    <n v="0"/>
    <n v="0"/>
    <n v="0"/>
    <n v="0"/>
    <n v="0"/>
    <n v="0"/>
    <n v="0"/>
    <n v="0"/>
    <n v="0"/>
  </r>
  <r>
    <d v="2008-06-15T00:00:00"/>
    <n v="2008"/>
    <x v="8"/>
    <s v="R"/>
    <s v="RS"/>
    <x v="5"/>
    <s v="SAS"/>
    <s v="H"/>
    <n v="1"/>
    <n v="1"/>
    <n v="0"/>
    <n v="0"/>
    <n v="0"/>
    <n v="0"/>
    <n v="1555.0845798343507"/>
    <n v="1517.4769089273166"/>
    <n v="0.66819442918787353"/>
    <n v="60"/>
    <n v="70"/>
    <n v="0"/>
    <n v="-10"/>
    <n v="0"/>
    <n v="0.41027189078959903"/>
    <n v="1"/>
    <n v="74.650000000000006"/>
    <n v="74.650000000000006"/>
    <n v="-20.464654903691635"/>
    <n v="1534.6199249306592"/>
    <n v="0"/>
    <n v="1"/>
    <n v="0"/>
    <n v="0"/>
    <n v="0"/>
    <n v="0"/>
    <n v="0"/>
    <n v="0"/>
    <n v="0"/>
    <n v="0"/>
  </r>
  <r>
    <d v="2008-06-16T00:00:00"/>
    <n v="2008"/>
    <x v="9"/>
    <s v="R"/>
    <s v="RS"/>
    <x v="0"/>
    <s v="HOU"/>
    <s v="A"/>
    <n v="2"/>
    <n v="1"/>
    <n v="1"/>
    <n v="-1"/>
    <n v="8"/>
    <n v="-8"/>
    <n v="1362.129592942146"/>
    <n v="1439.2745754278235"/>
    <n v="0.30247880688708711"/>
    <n v="79"/>
    <n v="88"/>
    <n v="0"/>
    <n v="-9"/>
    <n v="0"/>
    <n v="0.38144912226686423"/>
    <n v="1"/>
    <n v="74.5"/>
    <n v="74.5"/>
    <n v="-8.5958305166598752"/>
    <n v="1353.5337624254862"/>
    <n v="0"/>
    <n v="1"/>
    <n v="0"/>
    <n v="0"/>
    <n v="0"/>
    <n v="0"/>
    <n v="0"/>
    <n v="0"/>
    <n v="0"/>
    <n v="0"/>
  </r>
  <r>
    <d v="2008-06-16T00:00:00"/>
    <n v="2008"/>
    <x v="9"/>
    <s v="R"/>
    <s v="RS"/>
    <x v="2"/>
    <s v="ATL"/>
    <s v="H"/>
    <n v="1"/>
    <n v="2"/>
    <n v="-1"/>
    <n v="1"/>
    <n v="-8"/>
    <n v="8"/>
    <n v="1439.2745754278235"/>
    <n v="1362.129592942146"/>
    <n v="0.69752119311291283"/>
    <n v="88"/>
    <n v="79"/>
    <n v="0"/>
    <n v="9"/>
    <n v="1"/>
    <n v="0.38144912226686423"/>
    <n v="1"/>
    <n v="74.5"/>
    <n v="74.5"/>
    <n v="8.5958305166598752"/>
    <n v="1447.8704059444833"/>
    <n v="1"/>
    <n v="0"/>
    <n v="0"/>
    <n v="0"/>
    <n v="0"/>
    <n v="0"/>
    <n v="0"/>
    <n v="0"/>
    <n v="0"/>
    <n v="0"/>
  </r>
  <r>
    <d v="2008-06-16T00:00:00"/>
    <n v="2008"/>
    <x v="10"/>
    <s v="R"/>
    <s v="RS"/>
    <x v="1"/>
    <s v="SEA"/>
    <s v="A"/>
    <n v="2"/>
    <n v="1"/>
    <n v="1"/>
    <n v="-1"/>
    <n v="8"/>
    <n v="-8"/>
    <n v="1579.2852979771076"/>
    <n v="1520.6479335485362"/>
    <n v="0.48652934488795108"/>
    <n v="74"/>
    <n v="67"/>
    <n v="0"/>
    <n v="7"/>
    <n v="1"/>
    <n v="0.35286462927010037"/>
    <n v="1"/>
    <n v="74.349999999999994"/>
    <n v="74.349999999999994"/>
    <n v="13.47115176575698"/>
    <n v="1592.7564497428646"/>
    <n v="1"/>
    <n v="0"/>
    <n v="0"/>
    <n v="0"/>
    <n v="0"/>
    <n v="0"/>
    <n v="0"/>
    <n v="0"/>
    <n v="0"/>
    <n v="0"/>
  </r>
  <r>
    <d v="2008-06-16T00:00:00"/>
    <n v="2008"/>
    <x v="12"/>
    <s v="R"/>
    <s v="RS"/>
    <x v="11"/>
    <s v="CON"/>
    <s v="H"/>
    <n v="1"/>
    <n v="2"/>
    <n v="-1"/>
    <n v="1"/>
    <n v="-8"/>
    <n v="8"/>
    <n v="1520.6479335485362"/>
    <n v="1579.2852979771076"/>
    <n v="0.51347065511204892"/>
    <n v="67"/>
    <n v="74"/>
    <n v="0"/>
    <n v="-7"/>
    <n v="0"/>
    <n v="0.35286462927010037"/>
    <n v="1"/>
    <n v="74.05"/>
    <n v="74.05"/>
    <n v="-13.416796076049824"/>
    <n v="1507.2311374724864"/>
    <n v="0"/>
    <n v="1"/>
    <n v="0"/>
    <n v="0"/>
    <n v="0"/>
    <n v="0"/>
    <n v="0"/>
    <n v="0"/>
    <n v="0"/>
    <n v="0"/>
  </r>
  <r>
    <d v="2008-06-18T00:00:00"/>
    <n v="2008"/>
    <x v="10"/>
    <s v="R"/>
    <s v="RS"/>
    <x v="8"/>
    <s v="ATL"/>
    <s v="A"/>
    <n v="2"/>
    <n v="1"/>
    <n v="1"/>
    <n v="-1"/>
    <n v="8"/>
    <n v="-8"/>
    <n v="1537.9004426222266"/>
    <n v="1353.5337624254862"/>
    <n v="0.66147191267819372"/>
    <n v="81"/>
    <n v="66"/>
    <n v="0"/>
    <n v="15"/>
    <n v="1"/>
    <n v="0.43587991699479578"/>
    <n v="1"/>
    <n v="74.349999999999994"/>
    <n v="74.349999999999994"/>
    <n v="10.970907158676237"/>
    <n v="1548.8713497809028"/>
    <n v="1"/>
    <n v="0"/>
    <n v="0"/>
    <n v="0"/>
    <n v="0"/>
    <n v="0"/>
    <n v="0"/>
    <n v="0"/>
    <n v="0"/>
    <n v="0"/>
  </r>
  <r>
    <d v="2008-06-18T00:00:00"/>
    <n v="2008"/>
    <x v="10"/>
    <s v="R"/>
    <s v="RS"/>
    <x v="0"/>
    <s v="SAS"/>
    <s v="H"/>
    <n v="1"/>
    <n v="2"/>
    <n v="-1"/>
    <n v="1"/>
    <n v="-8"/>
    <n v="8"/>
    <n v="1353.5337624254862"/>
    <n v="1537.9004426222266"/>
    <n v="0.33852808732180623"/>
    <n v="66"/>
    <n v="81"/>
    <n v="0"/>
    <n v="-15"/>
    <n v="0"/>
    <n v="0.43587991699479578"/>
    <n v="1"/>
    <n v="74.349999999999994"/>
    <n v="74.349999999999994"/>
    <n v="-10.970907158676235"/>
    <n v="1342.5628552668099"/>
    <n v="0"/>
    <n v="1"/>
    <n v="0"/>
    <n v="0"/>
    <n v="0"/>
    <n v="0"/>
    <n v="0"/>
    <n v="0"/>
    <n v="0"/>
    <n v="0"/>
  </r>
  <r>
    <d v="2008-06-18T00:00:00"/>
    <n v="2008"/>
    <x v="10"/>
    <s v="R"/>
    <s v="RS"/>
    <x v="4"/>
    <s v="HOU"/>
    <s v="A"/>
    <n v="4"/>
    <n v="1"/>
    <n v="3"/>
    <n v="-3"/>
    <n v="16"/>
    <n v="-16"/>
    <n v="1449.1103217947446"/>
    <n v="1447.8704059444833"/>
    <n v="0.42746571525992905"/>
    <n v="67"/>
    <n v="63"/>
    <n v="0"/>
    <n v="4"/>
    <n v="1"/>
    <n v="0.31111127506958453"/>
    <n v="1"/>
    <n v="74.349999999999994"/>
    <n v="74.349999999999994"/>
    <n v="13.243361134614954"/>
    <n v="1462.3536829293596"/>
    <n v="1"/>
    <n v="0"/>
    <n v="0"/>
    <n v="0"/>
    <n v="0"/>
    <n v="0"/>
    <n v="0"/>
    <n v="0"/>
    <n v="0"/>
    <n v="0"/>
  </r>
  <r>
    <d v="2008-06-18T00:00:00"/>
    <n v="2008"/>
    <x v="10"/>
    <s v="R"/>
    <s v="RS"/>
    <x v="2"/>
    <s v="WAS"/>
    <s v="H"/>
    <n v="1"/>
    <n v="4"/>
    <n v="-3"/>
    <n v="3"/>
    <n v="-16"/>
    <n v="16"/>
    <n v="1447.8704059444833"/>
    <n v="1449.1103217947446"/>
    <n v="0.57253428474007095"/>
    <n v="63"/>
    <n v="67"/>
    <n v="0"/>
    <n v="-4"/>
    <n v="0"/>
    <n v="0.31111127506958453"/>
    <n v="1"/>
    <n v="74.349999999999994"/>
    <n v="74.349999999999994"/>
    <n v="-13.243361134614954"/>
    <n v="1434.6270448098683"/>
    <n v="0"/>
    <n v="1"/>
    <n v="0"/>
    <n v="0"/>
    <n v="0"/>
    <n v="0"/>
    <n v="0"/>
    <n v="0"/>
    <n v="0"/>
    <n v="0"/>
  </r>
  <r>
    <d v="2008-06-18T00:00:00"/>
    <n v="2008"/>
    <x v="9"/>
    <s v="R"/>
    <s v="RS"/>
    <x v="13"/>
    <s v="IND"/>
    <s v="A"/>
    <n v="3"/>
    <n v="2"/>
    <n v="1"/>
    <n v="-1"/>
    <n v="8"/>
    <n v="-8"/>
    <n v="1491.7380260825053"/>
    <n v="1534.6199249306592"/>
    <n v="0.34563375071453162"/>
    <n v="69"/>
    <n v="83"/>
    <n v="0"/>
    <n v="-14"/>
    <n v="0"/>
    <n v="0.47078465362090555"/>
    <n v="1"/>
    <n v="74.5"/>
    <n v="74.5"/>
    <n v="-12.12257038793272"/>
    <n v="1479.6154556945726"/>
    <n v="0"/>
    <n v="1"/>
    <n v="0"/>
    <n v="0"/>
    <n v="0"/>
    <n v="0"/>
    <n v="0"/>
    <n v="0"/>
    <n v="0"/>
    <n v="0"/>
  </r>
  <r>
    <d v="2008-06-18T00:00:00"/>
    <n v="2008"/>
    <x v="9"/>
    <s v="R"/>
    <s v="RS"/>
    <x v="5"/>
    <s v="NYL"/>
    <s v="H"/>
    <n v="2"/>
    <n v="3"/>
    <n v="-1"/>
    <n v="1"/>
    <n v="-8"/>
    <n v="8"/>
    <n v="1534.6199249306592"/>
    <n v="1491.7380260825053"/>
    <n v="0.65436624928546838"/>
    <n v="83"/>
    <n v="69"/>
    <n v="0"/>
    <n v="14"/>
    <n v="1"/>
    <n v="0.47078465362090555"/>
    <n v="1"/>
    <n v="74.5"/>
    <n v="74.5"/>
    <n v="12.12257038793272"/>
    <n v="1546.7424953185919"/>
    <n v="1"/>
    <n v="0"/>
    <n v="0"/>
    <n v="0"/>
    <n v="0"/>
    <n v="0"/>
    <n v="0"/>
    <n v="0"/>
    <n v="0"/>
    <n v="0"/>
  </r>
  <r>
    <d v="2008-06-18T00:00:00"/>
    <n v="2008"/>
    <x v="8"/>
    <s v="R"/>
    <s v="RS"/>
    <x v="10"/>
    <s v="LAS"/>
    <s v="A"/>
    <n v="4"/>
    <n v="3"/>
    <n v="1"/>
    <n v="-1"/>
    <n v="8"/>
    <n v="-8"/>
    <n v="1445.5781127716946"/>
    <n v="1531.3870730314077"/>
    <n v="0.29206093788310472"/>
    <n v="67"/>
    <n v="80"/>
    <n v="0"/>
    <n v="-13"/>
    <n v="0"/>
    <n v="0.44054173231342753"/>
    <n v="1"/>
    <n v="74.650000000000006"/>
    <n v="74.650000000000006"/>
    <n v="-9.6048446026774119"/>
    <n v="1435.9732681690173"/>
    <n v="0"/>
    <n v="1"/>
    <n v="0"/>
    <n v="0"/>
    <n v="0"/>
    <n v="0"/>
    <n v="0"/>
    <n v="0"/>
    <n v="0"/>
    <n v="0"/>
  </r>
  <r>
    <d v="2008-06-18T00:00:00"/>
    <n v="2008"/>
    <x v="9"/>
    <s v="R"/>
    <s v="RS"/>
    <x v="6"/>
    <s v="CHI"/>
    <s v="H"/>
    <n v="3"/>
    <n v="4"/>
    <n v="-1"/>
    <n v="1"/>
    <n v="-8"/>
    <n v="8"/>
    <n v="1531.3870730314077"/>
    <n v="1445.5781127716946"/>
    <n v="0.70793906211689539"/>
    <n v="80"/>
    <n v="67"/>
    <n v="0"/>
    <n v="13"/>
    <n v="1"/>
    <n v="0.44054173231342753"/>
    <n v="1"/>
    <n v="74.5"/>
    <n v="74.5"/>
    <n v="9.5855448479499916"/>
    <n v="1540.9726178793576"/>
    <n v="1"/>
    <n v="0"/>
    <n v="0"/>
    <n v="0"/>
    <n v="0"/>
    <n v="0"/>
    <n v="0"/>
    <n v="0"/>
    <n v="0"/>
    <n v="0"/>
  </r>
  <r>
    <d v="2008-06-18T00:00:00"/>
    <n v="2008"/>
    <x v="11"/>
    <s v="R"/>
    <s v="RS"/>
    <x v="1"/>
    <s v="PHX"/>
    <s v="A"/>
    <n v="1"/>
    <n v="3"/>
    <n v="-2"/>
    <n v="2"/>
    <n v="-16"/>
    <n v="16"/>
    <n v="1592.7564497428646"/>
    <n v="1528.1910301655348"/>
    <n v="0.42651573364696915"/>
    <n v="81"/>
    <n v="102"/>
    <n v="0"/>
    <n v="-21"/>
    <n v="0"/>
    <n v="0.55852511573577313"/>
    <n v="1"/>
    <n v="74.2"/>
    <n v="74.2"/>
    <n v="-17.675905412773979"/>
    <n v="1575.0805443300906"/>
    <n v="0"/>
    <n v="1"/>
    <n v="0"/>
    <n v="0"/>
    <n v="0"/>
    <n v="0"/>
    <n v="0"/>
    <n v="0"/>
    <n v="0"/>
    <n v="0"/>
  </r>
  <r>
    <d v="2008-06-18T00:00:00"/>
    <n v="2008"/>
    <x v="8"/>
    <s v="R"/>
    <s v="RS"/>
    <x v="7"/>
    <s v="CON"/>
    <s v="H"/>
    <n v="3"/>
    <n v="1"/>
    <n v="2"/>
    <n v="-2"/>
    <n v="16"/>
    <n v="-16"/>
    <n v="1528.1910301655348"/>
    <n v="1592.7564497428646"/>
    <n v="0.57348426635303085"/>
    <n v="102"/>
    <n v="81"/>
    <n v="0"/>
    <n v="21"/>
    <n v="1"/>
    <n v="0.55852511573577313"/>
    <n v="1"/>
    <n v="74.650000000000006"/>
    <n v="74.650000000000006"/>
    <n v="17.783104300048215"/>
    <n v="1545.9741344655831"/>
    <n v="1"/>
    <n v="0"/>
    <n v="0"/>
    <n v="0"/>
    <n v="0"/>
    <n v="0"/>
    <n v="0"/>
    <n v="0"/>
    <n v="0"/>
    <n v="0"/>
  </r>
  <r>
    <d v="2008-06-20T00:00:00"/>
    <n v="2008"/>
    <x v="10"/>
    <s v="R"/>
    <s v="RS"/>
    <x v="12"/>
    <s v="DET"/>
    <s v="A"/>
    <n v="5"/>
    <n v="5"/>
    <n v="0"/>
    <n v="0"/>
    <n v="0"/>
    <n v="0"/>
    <n v="1490.7030285487115"/>
    <n v="1612.1232326160534"/>
    <n v="0.23460410978007418"/>
    <n v="93"/>
    <n v="98"/>
    <n v="1"/>
    <n v="-5"/>
    <n v="0"/>
    <n v="0.27114497901220835"/>
    <n v="1"/>
    <n v="74.349999999999994"/>
    <n v="74.349999999999994"/>
    <n v="-4.7295318595125808"/>
    <n v="1485.9734966891988"/>
    <n v="0"/>
    <n v="1"/>
    <n v="0"/>
    <n v="0"/>
    <n v="0"/>
    <n v="0"/>
    <n v="0"/>
    <n v="0"/>
    <n v="0"/>
    <n v="0"/>
  </r>
  <r>
    <d v="2008-06-20T00:00:00"/>
    <n v="2008"/>
    <x v="11"/>
    <s v="R"/>
    <s v="RS"/>
    <x v="3"/>
    <s v="MIN"/>
    <s v="H"/>
    <n v="5"/>
    <n v="5"/>
    <n v="0"/>
    <n v="0"/>
    <n v="0"/>
    <n v="0"/>
    <n v="1612.1232326160534"/>
    <n v="1490.7030285487115"/>
    <n v="0.76539589021992582"/>
    <n v="98"/>
    <n v="93"/>
    <n v="1"/>
    <n v="5"/>
    <n v="1"/>
    <n v="0.27114497901220835"/>
    <n v="1"/>
    <n v="74.2"/>
    <n v="74.2"/>
    <n v="4.7199901005492055"/>
    <n v="1616.8432227166027"/>
    <n v="1"/>
    <n v="0"/>
    <n v="0"/>
    <n v="0"/>
    <n v="0"/>
    <n v="0"/>
    <n v="0"/>
    <n v="0"/>
    <n v="0"/>
    <n v="0"/>
  </r>
  <r>
    <d v="2008-06-20T00:00:00"/>
    <n v="2008"/>
    <x v="9"/>
    <s v="R"/>
    <s v="RS"/>
    <x v="10"/>
    <s v="PHX"/>
    <s v="A"/>
    <n v="1"/>
    <n v="1"/>
    <n v="0"/>
    <n v="0"/>
    <n v="0"/>
    <n v="0"/>
    <n v="1435.9732681690173"/>
    <n v="1545.9741344655831"/>
    <n v="0.24661299568985484"/>
    <n v="105"/>
    <n v="112"/>
    <n v="1"/>
    <n v="-7"/>
    <n v="0"/>
    <n v="0.30512632210400048"/>
    <n v="1"/>
    <n v="74.5"/>
    <n v="74.5"/>
    <n v="-5.6059846686631865"/>
    <n v="1430.367283500354"/>
    <n v="0"/>
    <n v="1"/>
    <n v="0"/>
    <n v="0"/>
    <n v="0"/>
    <n v="0"/>
    <n v="0"/>
    <n v="0"/>
    <n v="0"/>
    <n v="0"/>
  </r>
  <r>
    <d v="2008-06-20T00:00:00"/>
    <n v="2008"/>
    <x v="9"/>
    <s v="R"/>
    <s v="RS"/>
    <x v="7"/>
    <s v="CHI"/>
    <s v="H"/>
    <n v="1"/>
    <n v="1"/>
    <n v="0"/>
    <n v="0"/>
    <n v="0"/>
    <n v="0"/>
    <n v="1545.9741344655831"/>
    <n v="1435.9732681690173"/>
    <n v="0.75338700431014516"/>
    <n v="112"/>
    <n v="105"/>
    <n v="1"/>
    <n v="7"/>
    <n v="1"/>
    <n v="0.30512632210400048"/>
    <n v="1"/>
    <n v="74.5"/>
    <n v="74.5"/>
    <n v="5.6059846686631865"/>
    <n v="1551.5801191342464"/>
    <n v="1"/>
    <n v="0"/>
    <n v="0"/>
    <n v="0"/>
    <n v="0"/>
    <n v="0"/>
    <n v="0"/>
    <n v="0"/>
    <n v="0"/>
    <n v="0"/>
  </r>
  <r>
    <d v="2008-06-20T00:00:00"/>
    <n v="2008"/>
    <x v="12"/>
    <s v="R"/>
    <s v="RS"/>
    <x v="1"/>
    <s v="SAC"/>
    <s v="A"/>
    <n v="1"/>
    <n v="5"/>
    <n v="-4"/>
    <n v="4"/>
    <n v="-16"/>
    <n v="16"/>
    <n v="1575.0805443300906"/>
    <n v="1502.9852834405149"/>
    <n v="0.43715019258454618"/>
    <n v="72"/>
    <n v="56"/>
    <n v="0"/>
    <n v="16"/>
    <n v="1"/>
    <n v="0.48844080930037359"/>
    <n v="1"/>
    <n v="74.05"/>
    <n v="74.05"/>
    <n v="20.357738283966139"/>
    <n v="1595.4382826140568"/>
    <n v="1"/>
    <n v="0"/>
    <n v="0"/>
    <n v="0"/>
    <n v="0"/>
    <n v="0"/>
    <n v="0"/>
    <n v="0"/>
    <n v="0"/>
    <n v="0"/>
  </r>
  <r>
    <d v="2008-06-20T00:00:00"/>
    <n v="2008"/>
    <x v="10"/>
    <s v="R"/>
    <s v="RS"/>
    <x v="9"/>
    <s v="CON"/>
    <s v="H"/>
    <n v="5"/>
    <n v="1"/>
    <n v="4"/>
    <n v="-4"/>
    <n v="16"/>
    <n v="-16"/>
    <n v="1502.9852834405149"/>
    <n v="1575.0805443300906"/>
    <n v="0.56284980741545376"/>
    <n v="56"/>
    <n v="72"/>
    <n v="0"/>
    <n v="-16"/>
    <n v="0"/>
    <n v="0.48844080930037359"/>
    <n v="1"/>
    <n v="74.349999999999994"/>
    <n v="74.349999999999994"/>
    <n v="-20.440213928600706"/>
    <n v="1482.5450695119141"/>
    <n v="0"/>
    <n v="1"/>
    <n v="0"/>
    <n v="0"/>
    <n v="0"/>
    <n v="0"/>
    <n v="0"/>
    <n v="0"/>
    <n v="0"/>
    <n v="0"/>
  </r>
  <r>
    <d v="2008-06-20T00:00:00"/>
    <n v="2008"/>
    <x v="10"/>
    <s v="R"/>
    <s v="RS"/>
    <x v="6"/>
    <s v="SAS"/>
    <s v="A"/>
    <n v="1"/>
    <n v="1"/>
    <n v="0"/>
    <n v="0"/>
    <n v="0"/>
    <n v="0"/>
    <n v="1540.9726178793576"/>
    <n v="1548.8713497809028"/>
    <n v="0.37074744021389194"/>
    <n v="75"/>
    <n v="77"/>
    <n v="0"/>
    <n v="-2"/>
    <n v="0"/>
    <n v="0.26608984386101803"/>
    <n v="1"/>
    <n v="74.349999999999994"/>
    <n v="74.349999999999994"/>
    <n v="-7.3347857523680453"/>
    <n v="1533.6378321269895"/>
    <n v="0"/>
    <n v="1"/>
    <n v="0"/>
    <n v="0"/>
    <n v="0"/>
    <n v="0"/>
    <n v="0"/>
    <n v="0"/>
    <n v="0"/>
    <n v="0"/>
  </r>
  <r>
    <d v="2008-06-20T00:00:00"/>
    <n v="2008"/>
    <x v="11"/>
    <s v="R"/>
    <s v="RS"/>
    <x v="8"/>
    <s v="LAS"/>
    <s v="H"/>
    <n v="1"/>
    <n v="1"/>
    <n v="0"/>
    <n v="0"/>
    <n v="0"/>
    <n v="0"/>
    <n v="1548.8713497809028"/>
    <n v="1540.9726178793576"/>
    <n v="0.62925255978610806"/>
    <n v="77"/>
    <n v="75"/>
    <n v="0"/>
    <n v="2"/>
    <n v="1"/>
    <n v="0.26608984386101803"/>
    <n v="1"/>
    <n v="74.2"/>
    <n v="74.2"/>
    <n v="7.3199879330962876"/>
    <n v="1556.1913377139992"/>
    <n v="1"/>
    <n v="0"/>
    <n v="0"/>
    <n v="0"/>
    <n v="0"/>
    <n v="0"/>
    <n v="0"/>
    <n v="0"/>
    <n v="0"/>
    <n v="0"/>
  </r>
  <r>
    <d v="2008-06-20T00:00:00"/>
    <n v="2008"/>
    <x v="10"/>
    <s v="R"/>
    <s v="RS"/>
    <x v="5"/>
    <s v="SEA"/>
    <s v="A"/>
    <n v="1"/>
    <n v="3"/>
    <n v="-2"/>
    <n v="2"/>
    <n v="-16"/>
    <n v="16"/>
    <n v="1546.7424953185919"/>
    <n v="1507.2311374724864"/>
    <n v="0.39166853023044146"/>
    <n v="70"/>
    <n v="78"/>
    <n v="0"/>
    <n v="-8"/>
    <n v="0"/>
    <n v="0.37593737165372654"/>
    <n v="1"/>
    <n v="74.349999999999994"/>
    <n v="74.349999999999994"/>
    <n v="-10.94750499149397"/>
    <n v="1535.7949903270978"/>
    <n v="0"/>
    <n v="1"/>
    <n v="0"/>
    <n v="0"/>
    <n v="0"/>
    <n v="0"/>
    <n v="0"/>
    <n v="0"/>
    <n v="0"/>
    <n v="0"/>
  </r>
  <r>
    <d v="2008-06-20T00:00:00"/>
    <n v="2008"/>
    <x v="13"/>
    <s v="R"/>
    <s v="RS"/>
    <x v="11"/>
    <s v="IND"/>
    <s v="H"/>
    <n v="3"/>
    <n v="1"/>
    <n v="2"/>
    <n v="-2"/>
    <n v="16"/>
    <n v="-16"/>
    <n v="1507.2311374724864"/>
    <n v="1546.7424953185919"/>
    <n v="0.60833146976955854"/>
    <n v="78"/>
    <n v="70"/>
    <n v="0"/>
    <n v="8"/>
    <n v="1"/>
    <n v="0.37593737165372654"/>
    <n v="1"/>
    <n v="73.900000000000006"/>
    <n v="73.900000000000006"/>
    <n v="10.881245714477531"/>
    <n v="1518.1123831869638"/>
    <n v="1"/>
    <n v="0"/>
    <n v="0"/>
    <n v="0"/>
    <n v="0"/>
    <n v="0"/>
    <n v="0"/>
    <n v="0"/>
    <n v="0"/>
    <n v="0"/>
  </r>
  <r>
    <d v="2008-06-20T00:00:00"/>
    <n v="2008"/>
    <x v="11"/>
    <s v="R"/>
    <s v="RS"/>
    <x v="0"/>
    <s v="WAS"/>
    <s v="A"/>
    <n v="1"/>
    <n v="1"/>
    <n v="0"/>
    <n v="0"/>
    <n v="0"/>
    <n v="0"/>
    <n v="1342.5628552668099"/>
    <n v="1462.3536829293596"/>
    <n v="0.23629252046755311"/>
    <n v="61"/>
    <n v="72"/>
    <n v="0"/>
    <n v="-11"/>
    <n v="0"/>
    <n v="0.39991425402155389"/>
    <n v="1"/>
    <n v="74.2"/>
    <n v="74.2"/>
    <n v="-7.0116586313811462"/>
    <n v="1335.5511966354288"/>
    <n v="0"/>
    <n v="1"/>
    <n v="0"/>
    <n v="0"/>
    <n v="0"/>
    <n v="0"/>
    <n v="0"/>
    <n v="0"/>
    <n v="0"/>
    <n v="0"/>
  </r>
  <r>
    <d v="2008-06-20T00:00:00"/>
    <n v="2008"/>
    <x v="11"/>
    <s v="R"/>
    <s v="RS"/>
    <x v="4"/>
    <s v="ATL"/>
    <s v="H"/>
    <n v="1"/>
    <n v="1"/>
    <n v="0"/>
    <n v="0"/>
    <n v="0"/>
    <n v="0"/>
    <n v="1462.3536829293596"/>
    <n v="1342.5628552668099"/>
    <n v="0.76370747953244689"/>
    <n v="72"/>
    <n v="61"/>
    <n v="0"/>
    <n v="11"/>
    <n v="1"/>
    <n v="0.39991425402155389"/>
    <n v="1"/>
    <n v="74.2"/>
    <n v="74.2"/>
    <n v="7.0116586313811462"/>
    <n v="1469.3653415607407"/>
    <n v="1"/>
    <n v="0"/>
    <n v="0"/>
    <n v="0"/>
    <n v="0"/>
    <n v="0"/>
    <n v="0"/>
    <n v="0"/>
    <n v="0"/>
    <n v="0"/>
  </r>
  <r>
    <d v="2008-06-21T00:00:00"/>
    <n v="2008"/>
    <x v="11"/>
    <s v="R"/>
    <s v="RS"/>
    <x v="2"/>
    <s v="MIN"/>
    <s v="A"/>
    <n v="2"/>
    <n v="0"/>
    <n v="2"/>
    <n v="-2"/>
    <n v="16"/>
    <n v="-16"/>
    <n v="1434.6270448098683"/>
    <n v="1485.9734966891988"/>
    <n v="0.35550906731886489"/>
    <n v="72"/>
    <n v="65"/>
    <n v="0"/>
    <n v="7"/>
    <n v="1"/>
    <n v="0.35492057880339284"/>
    <n v="1"/>
    <n v="74.2"/>
    <n v="74.2"/>
    <n v="16.97273763866594"/>
    <n v="1451.5997824485341"/>
    <n v="1"/>
    <n v="0"/>
    <n v="0"/>
    <n v="0"/>
    <n v="0"/>
    <n v="0"/>
    <n v="0"/>
    <n v="0"/>
    <n v="0"/>
    <n v="0"/>
  </r>
  <r>
    <d v="2008-06-21T00:00:00"/>
    <n v="2008"/>
    <x v="11"/>
    <s v="R"/>
    <s v="RS"/>
    <x v="12"/>
    <s v="HOU"/>
    <s v="H"/>
    <n v="0"/>
    <n v="2"/>
    <n v="-2"/>
    <n v="2"/>
    <n v="-16"/>
    <n v="16"/>
    <n v="1485.9734966891988"/>
    <n v="1434.6270448098683"/>
    <n v="0.64449093268113511"/>
    <n v="65"/>
    <n v="72"/>
    <n v="0"/>
    <n v="-7"/>
    <n v="0"/>
    <n v="0.35492057880339284"/>
    <n v="1"/>
    <n v="74.2"/>
    <n v="74.2"/>
    <n v="-16.97273763866594"/>
    <n v="1469.0007590505329"/>
    <n v="0"/>
    <n v="1"/>
    <n v="0"/>
    <n v="0"/>
    <n v="0"/>
    <n v="0"/>
    <n v="0"/>
    <n v="0"/>
    <n v="0"/>
    <n v="0"/>
  </r>
  <r>
    <d v="2008-06-22T00:00:00"/>
    <n v="2008"/>
    <x v="12"/>
    <s v="R"/>
    <s v="RS"/>
    <x v="3"/>
    <s v="ATL"/>
    <s v="A"/>
    <n v="1"/>
    <n v="1"/>
    <n v="0"/>
    <n v="0"/>
    <n v="0"/>
    <n v="0"/>
    <n v="1616.8432227166027"/>
    <n v="1335.5511966354288"/>
    <n v="0.75689005132358234"/>
    <n v="97"/>
    <n v="76"/>
    <n v="0"/>
    <n v="21"/>
    <n v="1"/>
    <n v="0.47680776976394812"/>
    <n v="1"/>
    <n v="74.05"/>
    <n v="74.05"/>
    <n v="8.5836325558732565"/>
    <n v="1625.4268552724759"/>
    <n v="1"/>
    <n v="0"/>
    <n v="0"/>
    <n v="0"/>
    <n v="0"/>
    <n v="0"/>
    <n v="0"/>
    <n v="0"/>
    <n v="0"/>
    <n v="0"/>
  </r>
  <r>
    <d v="2008-06-22T00:00:00"/>
    <n v="2008"/>
    <x v="12"/>
    <s v="R"/>
    <s v="RS"/>
    <x v="0"/>
    <s v="DET"/>
    <s v="H"/>
    <n v="1"/>
    <n v="1"/>
    <n v="0"/>
    <n v="0"/>
    <n v="0"/>
    <n v="0"/>
    <n v="1335.5511966354288"/>
    <n v="1616.8432227166027"/>
    <n v="0.24310994867641766"/>
    <n v="76"/>
    <n v="97"/>
    <n v="0"/>
    <n v="-21"/>
    <n v="0"/>
    <n v="0.47680776976394812"/>
    <n v="1"/>
    <n v="74.05"/>
    <n v="74.05"/>
    <n v="-8.5836325558732565"/>
    <n v="1326.9675640795556"/>
    <n v="0"/>
    <n v="1"/>
    <n v="0"/>
    <n v="0"/>
    <n v="0"/>
    <n v="0"/>
    <n v="0"/>
    <n v="0"/>
    <n v="0"/>
    <n v="0"/>
  </r>
  <r>
    <d v="2008-06-22T00:00:00"/>
    <n v="2008"/>
    <x v="11"/>
    <s v="R"/>
    <s v="RS"/>
    <x v="5"/>
    <s v="LAS"/>
    <s v="A"/>
    <n v="1"/>
    <n v="1"/>
    <n v="0"/>
    <n v="0"/>
    <n v="0"/>
    <n v="0"/>
    <n v="1535.7949903270978"/>
    <n v="1533.6378321269895"/>
    <n v="0.38434994219296575"/>
    <n v="63"/>
    <n v="77"/>
    <n v="0"/>
    <n v="-14"/>
    <n v="0"/>
    <n v="0.48673313655345063"/>
    <n v="1"/>
    <n v="74.2"/>
    <n v="74.2"/>
    <n v="-13.881028285010798"/>
    <n v="1521.913962042087"/>
    <n v="0"/>
    <n v="1"/>
    <n v="0"/>
    <n v="0"/>
    <n v="0"/>
    <n v="0"/>
    <n v="0"/>
    <n v="0"/>
    <n v="0"/>
    <n v="0"/>
  </r>
  <r>
    <d v="2008-06-22T00:00:00"/>
    <n v="2008"/>
    <x v="11"/>
    <s v="R"/>
    <s v="RS"/>
    <x v="6"/>
    <s v="IND"/>
    <s v="H"/>
    <n v="1"/>
    <n v="1"/>
    <n v="0"/>
    <n v="0"/>
    <n v="0"/>
    <n v="0"/>
    <n v="1533.6378321269895"/>
    <n v="1535.7949903270978"/>
    <n v="0.61565005780703419"/>
    <n v="77"/>
    <n v="63"/>
    <n v="0"/>
    <n v="14"/>
    <n v="1"/>
    <n v="0.48673313655345063"/>
    <n v="1"/>
    <n v="74.2"/>
    <n v="74.2"/>
    <n v="13.881028285010801"/>
    <n v="1547.5188604120003"/>
    <n v="1"/>
    <n v="0"/>
    <n v="0"/>
    <n v="0"/>
    <n v="0"/>
    <n v="0"/>
    <n v="0"/>
    <n v="0"/>
    <n v="0"/>
    <n v="0"/>
  </r>
  <r>
    <d v="2008-06-22T00:00:00"/>
    <n v="2008"/>
    <x v="10"/>
    <s v="R"/>
    <s v="RS"/>
    <x v="7"/>
    <s v="NYL"/>
    <s v="A"/>
    <n v="1"/>
    <n v="3"/>
    <n v="-2"/>
    <n v="2"/>
    <n v="-16"/>
    <n v="16"/>
    <n v="1551.5801191342464"/>
    <n v="1479.6154556945726"/>
    <n v="0.43696522609678423"/>
    <n v="72"/>
    <n v="105"/>
    <n v="0"/>
    <n v="-33"/>
    <n v="0"/>
    <n v="0.69726057812901565"/>
    <n v="1"/>
    <n v="74.349999999999994"/>
    <n v="74.349999999999994"/>
    <n v="-22.652855855778146"/>
    <n v="1528.9272632784682"/>
    <n v="0"/>
    <n v="1"/>
    <n v="0"/>
    <n v="0"/>
    <n v="0"/>
    <n v="0"/>
    <n v="0"/>
    <n v="0"/>
    <n v="0"/>
    <n v="0"/>
  </r>
  <r>
    <d v="2008-06-22T00:00:00"/>
    <n v="2008"/>
    <x v="10"/>
    <s v="R"/>
    <s v="RS"/>
    <x v="13"/>
    <s v="PHX"/>
    <s v="H"/>
    <n v="3"/>
    <n v="1"/>
    <n v="2"/>
    <n v="-2"/>
    <n v="16"/>
    <n v="-16"/>
    <n v="1479.6154556945726"/>
    <n v="1551.5801191342464"/>
    <n v="0.56303477390321577"/>
    <n v="105"/>
    <n v="72"/>
    <n v="0"/>
    <n v="33"/>
    <n v="1"/>
    <n v="0.69726057812901565"/>
    <n v="1"/>
    <n v="74.349999999999994"/>
    <n v="74.349999999999994"/>
    <n v="22.652855855778146"/>
    <n v="1502.2683115503507"/>
    <n v="1"/>
    <n v="0"/>
    <n v="0"/>
    <n v="0"/>
    <n v="0"/>
    <n v="0"/>
    <n v="0"/>
    <n v="0"/>
    <n v="0"/>
    <n v="0"/>
  </r>
  <r>
    <d v="2008-06-22T00:00:00"/>
    <n v="2008"/>
    <x v="10"/>
    <s v="R"/>
    <s v="RS"/>
    <x v="10"/>
    <s v="SAC"/>
    <s v="A"/>
    <n v="1"/>
    <n v="1"/>
    <n v="0"/>
    <n v="0"/>
    <n v="0"/>
    <n v="0"/>
    <n v="1430.367283500354"/>
    <n v="1482.5450695119141"/>
    <n v="0.31347945029204"/>
    <n v="70"/>
    <n v="82"/>
    <n v="0"/>
    <n v="-12"/>
    <n v="0"/>
    <n v="0.43712269759655015"/>
    <n v="1"/>
    <n v="74.349999999999994"/>
    <n v="74.349999999999994"/>
    <n v="-10.188104882536232"/>
    <n v="1420.1791786178178"/>
    <n v="0"/>
    <n v="1"/>
    <n v="0"/>
    <n v="0"/>
    <n v="0"/>
    <n v="0"/>
    <n v="0"/>
    <n v="0"/>
    <n v="0"/>
    <n v="0"/>
  </r>
  <r>
    <d v="2008-06-22T00:00:00"/>
    <n v="2008"/>
    <x v="11"/>
    <s v="R"/>
    <s v="RS"/>
    <x v="9"/>
    <s v="CHI"/>
    <s v="H"/>
    <n v="1"/>
    <n v="1"/>
    <n v="0"/>
    <n v="0"/>
    <n v="0"/>
    <n v="0"/>
    <n v="1482.5450695119141"/>
    <n v="1430.367283500354"/>
    <n v="0.68652054970795995"/>
    <n v="82"/>
    <n v="70"/>
    <n v="0"/>
    <n v="12"/>
    <n v="1"/>
    <n v="0.43712269759655015"/>
    <n v="1"/>
    <n v="74.2"/>
    <n v="74.2"/>
    <n v="10.167550535093323"/>
    <n v="1492.7126200470075"/>
    <n v="1"/>
    <n v="0"/>
    <n v="0"/>
    <n v="0"/>
    <n v="0"/>
    <n v="0"/>
    <n v="0"/>
    <n v="0"/>
    <n v="0"/>
    <n v="0"/>
  </r>
  <r>
    <d v="2008-06-24T00:00:00"/>
    <n v="2008"/>
    <x v="13"/>
    <s v="R"/>
    <s v="RS"/>
    <x v="3"/>
    <s v="CON"/>
    <s v="A"/>
    <n v="1"/>
    <n v="3"/>
    <n v="-2"/>
    <n v="2"/>
    <n v="-16"/>
    <n v="16"/>
    <n v="1625.4268552724759"/>
    <n v="1595.4382826140568"/>
    <n v="0.37868779956447834"/>
    <n v="68"/>
    <n v="85"/>
    <n v="0"/>
    <n v="-17"/>
    <n v="0"/>
    <n v="0.51946050321219894"/>
    <n v="1"/>
    <n v="73.900000000000006"/>
    <n v="73.900000000000006"/>
    <n v="-14.537116928742027"/>
    <n v="1610.8897383437338"/>
    <n v="0"/>
    <n v="1"/>
    <n v="0"/>
    <n v="0"/>
    <n v="0"/>
    <n v="0"/>
    <n v="0"/>
    <n v="0"/>
    <n v="0"/>
    <n v="0"/>
  </r>
  <r>
    <d v="2008-06-24T00:00:00"/>
    <n v="2008"/>
    <x v="13"/>
    <s v="R"/>
    <s v="RS"/>
    <x v="1"/>
    <s v="DET"/>
    <s v="H"/>
    <n v="3"/>
    <n v="1"/>
    <n v="2"/>
    <n v="-2"/>
    <n v="16"/>
    <n v="-16"/>
    <n v="1595.4382826140568"/>
    <n v="1625.4268552724759"/>
    <n v="0.6213122004355216"/>
    <n v="85"/>
    <n v="68"/>
    <n v="0"/>
    <n v="17"/>
    <n v="1"/>
    <n v="0.51946050321219894"/>
    <n v="1"/>
    <n v="73.900000000000006"/>
    <n v="73.900000000000006"/>
    <n v="14.537116928742028"/>
    <n v="1609.9753995427989"/>
    <n v="1"/>
    <n v="0"/>
    <n v="0"/>
    <n v="0"/>
    <n v="0"/>
    <n v="0"/>
    <n v="0"/>
    <n v="0"/>
    <n v="0"/>
    <n v="0"/>
  </r>
  <r>
    <d v="2008-06-24T00:00:00"/>
    <n v="2008"/>
    <x v="12"/>
    <s v="R"/>
    <s v="RS"/>
    <x v="9"/>
    <s v="IND"/>
    <s v="A"/>
    <n v="1"/>
    <n v="1"/>
    <n v="0"/>
    <n v="0"/>
    <n v="0"/>
    <n v="0"/>
    <n v="1492.7126200470075"/>
    <n v="1521.913962042087"/>
    <n v="0.3426202185027859"/>
    <n v="73"/>
    <n v="78"/>
    <n v="0"/>
    <n v="-5"/>
    <n v="0"/>
    <n v="0.32387466312666202"/>
    <n v="1"/>
    <n v="74.05"/>
    <n v="74.05"/>
    <n v="-8.2170328811424103"/>
    <n v="1484.4955871658651"/>
    <n v="0"/>
    <n v="1"/>
    <n v="0"/>
    <n v="0"/>
    <n v="0"/>
    <n v="0"/>
    <n v="0"/>
    <n v="0"/>
    <n v="0"/>
    <n v="0"/>
  </r>
  <r>
    <d v="2008-06-24T00:00:00"/>
    <n v="2008"/>
    <x v="12"/>
    <s v="R"/>
    <s v="RS"/>
    <x v="5"/>
    <s v="SAC"/>
    <s v="H"/>
    <n v="1"/>
    <n v="1"/>
    <n v="0"/>
    <n v="0"/>
    <n v="0"/>
    <n v="0"/>
    <n v="1521.913962042087"/>
    <n v="1492.7126200470075"/>
    <n v="0.65737978149721421"/>
    <n v="78"/>
    <n v="73"/>
    <n v="0"/>
    <n v="5"/>
    <n v="1"/>
    <n v="0.32387466312666202"/>
    <n v="1"/>
    <n v="74.05"/>
    <n v="74.05"/>
    <n v="8.2170328811424067"/>
    <n v="1530.1309949232293"/>
    <n v="1"/>
    <n v="0"/>
    <n v="0"/>
    <n v="0"/>
    <n v="0"/>
    <n v="0"/>
    <n v="0"/>
    <n v="0"/>
    <n v="0"/>
    <n v="0"/>
  </r>
  <r>
    <d v="2008-06-24T00:00:00"/>
    <n v="2008"/>
    <x v="14"/>
    <s v="R"/>
    <s v="RS"/>
    <x v="11"/>
    <s v="LAS"/>
    <s v="A"/>
    <n v="3"/>
    <n v="1"/>
    <n v="2"/>
    <n v="-2"/>
    <n v="16"/>
    <n v="-16"/>
    <n v="1518.1123831869638"/>
    <n v="1547.5188604120003"/>
    <n v="0.38494449698275518"/>
    <n v="62"/>
    <n v="76"/>
    <n v="0"/>
    <n v="-14"/>
    <n v="0"/>
    <n v="0.47594488485342223"/>
    <n v="1"/>
    <n v="73.75"/>
    <n v="73.75"/>
    <n v="-13.511911866491927"/>
    <n v="1504.6004713204718"/>
    <n v="0"/>
    <n v="1"/>
    <n v="0"/>
    <n v="0"/>
    <n v="0"/>
    <n v="0"/>
    <n v="0"/>
    <n v="0"/>
    <n v="0"/>
    <n v="0"/>
  </r>
  <r>
    <d v="2008-06-24T00:00:00"/>
    <n v="2008"/>
    <x v="12"/>
    <s v="R"/>
    <s v="RS"/>
    <x v="6"/>
    <s v="SEA"/>
    <s v="H"/>
    <n v="1"/>
    <n v="3"/>
    <n v="-2"/>
    <n v="2"/>
    <n v="-16"/>
    <n v="16"/>
    <n v="1547.5188604120003"/>
    <n v="1518.1123831869638"/>
    <n v="0.61505550301724488"/>
    <n v="76"/>
    <n v="62"/>
    <n v="0"/>
    <n v="14"/>
    <n v="1"/>
    <n v="0.47594488485342223"/>
    <n v="1"/>
    <n v="74.05"/>
    <n v="74.05"/>
    <n v="13.566875575779349"/>
    <n v="1561.0857359877796"/>
    <n v="1"/>
    <n v="0"/>
    <n v="0"/>
    <n v="0"/>
    <n v="0"/>
    <n v="0"/>
    <n v="0"/>
    <n v="0"/>
    <n v="0"/>
    <n v="0"/>
  </r>
  <r>
    <d v="2008-06-24T00:00:00"/>
    <n v="2008"/>
    <x v="11"/>
    <s v="R"/>
    <s v="RS"/>
    <x v="13"/>
    <s v="MIN"/>
    <s v="A"/>
    <n v="1"/>
    <n v="2"/>
    <n v="-1"/>
    <n v="1"/>
    <n v="-8"/>
    <n v="8"/>
    <n v="1502.2683115503507"/>
    <n v="1469.0007590505329"/>
    <n v="0.40512808259378835"/>
    <n v="69"/>
    <n v="91"/>
    <n v="0"/>
    <n v="-22"/>
    <n v="0"/>
    <n v="0.58581562785769825"/>
    <n v="1"/>
    <n v="74.2"/>
    <n v="74.2"/>
    <n v="-17.609912865405946"/>
    <n v="1484.6583986849448"/>
    <n v="0"/>
    <n v="1"/>
    <n v="0"/>
    <n v="0"/>
    <n v="0"/>
    <n v="0"/>
    <n v="0"/>
    <n v="0"/>
    <n v="0"/>
    <n v="0"/>
  </r>
  <r>
    <d v="2008-06-24T00:00:00"/>
    <n v="2008"/>
    <x v="12"/>
    <s v="R"/>
    <s v="RS"/>
    <x v="12"/>
    <s v="NYL"/>
    <s v="H"/>
    <n v="2"/>
    <n v="1"/>
    <n v="1"/>
    <n v="-1"/>
    <n v="8"/>
    <n v="-8"/>
    <n v="1469.0007590505329"/>
    <n v="1502.2683115503507"/>
    <n v="0.59487191740621159"/>
    <n v="91"/>
    <n v="69"/>
    <n v="0"/>
    <n v="22"/>
    <n v="1"/>
    <n v="0.58581562785769825"/>
    <n v="1"/>
    <n v="74.05"/>
    <n v="74.05"/>
    <n v="17.574313311095825"/>
    <n v="1486.5750723616288"/>
    <n v="1"/>
    <n v="0"/>
    <n v="0"/>
    <n v="0"/>
    <n v="0"/>
    <n v="0"/>
    <n v="0"/>
    <n v="0"/>
    <n v="0"/>
    <n v="0"/>
  </r>
  <r>
    <d v="2008-06-24T00:00:00"/>
    <n v="2008"/>
    <x v="12"/>
    <s v="R"/>
    <s v="RS"/>
    <x v="2"/>
    <s v="SAS"/>
    <s v="A"/>
    <n v="2"/>
    <n v="3"/>
    <n v="-1"/>
    <n v="1"/>
    <n v="-8"/>
    <n v="8"/>
    <n v="1451.5997824485341"/>
    <n v="1556.1913377139992"/>
    <n v="0.23546173445875879"/>
    <n v="82"/>
    <n v="81"/>
    <n v="1"/>
    <n v="1"/>
    <n v="1"/>
    <n v="0.2021429953138513"/>
    <n v="1"/>
    <n v="74.05"/>
    <n v="74.05"/>
    <n v="11.444135374865098"/>
    <n v="1463.0439178233992"/>
    <n v="1"/>
    <n v="0"/>
    <n v="0"/>
    <n v="0"/>
    <n v="0"/>
    <n v="0"/>
    <n v="0"/>
    <n v="0"/>
    <n v="0"/>
    <n v="0"/>
  </r>
  <r>
    <d v="2008-06-24T00:00:00"/>
    <n v="2008"/>
    <x v="12"/>
    <s v="R"/>
    <s v="RS"/>
    <x v="8"/>
    <s v="HOU"/>
    <s v="H"/>
    <n v="3"/>
    <n v="2"/>
    <n v="1"/>
    <n v="-1"/>
    <n v="8"/>
    <n v="-8"/>
    <n v="1556.1913377139992"/>
    <n v="1451.5997824485341"/>
    <n v="0.76453826554124116"/>
    <n v="81"/>
    <n v="82"/>
    <n v="1"/>
    <n v="-1"/>
    <n v="0"/>
    <n v="0.2021429953138513"/>
    <n v="1"/>
    <n v="74.05"/>
    <n v="74.05"/>
    <n v="-11.444135374865098"/>
    <n v="1544.7472023391342"/>
    <n v="0"/>
    <n v="1"/>
    <n v="0"/>
    <n v="0"/>
    <n v="0"/>
    <n v="0"/>
    <n v="0"/>
    <n v="0"/>
    <n v="0"/>
    <n v="0"/>
  </r>
  <r>
    <d v="2008-06-24T00:00:00"/>
    <n v="2008"/>
    <x v="11"/>
    <s v="R"/>
    <s v="RS"/>
    <x v="7"/>
    <s v="WAS"/>
    <s v="A"/>
    <n v="1"/>
    <n v="3"/>
    <n v="-2"/>
    <n v="2"/>
    <n v="-16"/>
    <n v="16"/>
    <n v="1528.9272632784682"/>
    <n v="1469.3653415607407"/>
    <n v="0.41948601738114716"/>
    <n v="98"/>
    <n v="90"/>
    <n v="0"/>
    <n v="8"/>
    <n v="1"/>
    <n v="0.36995294472551876"/>
    <n v="1"/>
    <n v="74.2"/>
    <n v="74.2"/>
    <n v="15.935404013454393"/>
    <n v="1544.8626672919227"/>
    <n v="1"/>
    <n v="0"/>
    <n v="0"/>
    <n v="0"/>
    <n v="0"/>
    <n v="0"/>
    <n v="0"/>
    <n v="0"/>
    <n v="0"/>
    <n v="0"/>
  </r>
  <r>
    <d v="2008-06-24T00:00:00"/>
    <n v="2008"/>
    <x v="12"/>
    <s v="R"/>
    <s v="RS"/>
    <x v="4"/>
    <s v="PHX"/>
    <s v="H"/>
    <n v="3"/>
    <n v="1"/>
    <n v="2"/>
    <n v="-2"/>
    <n v="16"/>
    <n v="-16"/>
    <n v="1469.3653415607407"/>
    <n v="1528.9272632784682"/>
    <n v="0.58051398261885279"/>
    <n v="90"/>
    <n v="98"/>
    <n v="0"/>
    <n v="-8"/>
    <n v="0"/>
    <n v="0.36995294472551876"/>
    <n v="1"/>
    <n v="74.05"/>
    <n v="74.05"/>
    <n v="-15.903189584855765"/>
    <n v="1453.462151975885"/>
    <n v="0"/>
    <n v="1"/>
    <n v="0"/>
    <n v="0"/>
    <n v="0"/>
    <n v="0"/>
    <n v="0"/>
    <n v="0"/>
    <n v="0"/>
    <n v="0"/>
  </r>
  <r>
    <d v="2008-06-26T00:00:00"/>
    <n v="2008"/>
    <x v="12"/>
    <s v="R"/>
    <s v="RS"/>
    <x v="7"/>
    <s v="CHI"/>
    <s v="A"/>
    <n v="1"/>
    <n v="3"/>
    <n v="-2"/>
    <n v="2"/>
    <n v="-16"/>
    <n v="16"/>
    <n v="1544.8626672919227"/>
    <n v="1420.1791786178178"/>
    <n v="0.51249394337736531"/>
    <n v="89"/>
    <n v="79"/>
    <n v="0"/>
    <n v="10"/>
    <n v="1"/>
    <n v="0.38330336532461867"/>
    <n v="1"/>
    <n v="74.05"/>
    <n v="74.05"/>
    <n v="13.837183832455638"/>
    <n v="1558.6998511243783"/>
    <n v="1"/>
    <n v="0"/>
    <n v="0"/>
    <n v="0"/>
    <n v="0"/>
    <n v="0"/>
    <n v="0"/>
    <n v="0"/>
    <n v="0"/>
    <n v="0"/>
  </r>
  <r>
    <d v="2008-06-26T00:00:00"/>
    <n v="2008"/>
    <x v="11"/>
    <s v="R"/>
    <s v="RS"/>
    <x v="10"/>
    <s v="PHX"/>
    <s v="H"/>
    <n v="3"/>
    <n v="1"/>
    <n v="2"/>
    <n v="-2"/>
    <n v="16"/>
    <n v="-16"/>
    <n v="1420.1791786178178"/>
    <n v="1544.8626672919227"/>
    <n v="0.48750605662263469"/>
    <n v="79"/>
    <n v="89"/>
    <n v="0"/>
    <n v="-10"/>
    <n v="0"/>
    <n v="0.38330336532461867"/>
    <n v="1"/>
    <n v="74.2"/>
    <n v="74.2"/>
    <n v="-13.865213239273578"/>
    <n v="1406.3139653785443"/>
    <n v="0"/>
    <n v="1"/>
    <n v="0"/>
    <n v="0"/>
    <n v="0"/>
    <n v="0"/>
    <n v="0"/>
    <n v="0"/>
    <n v="0"/>
    <n v="0"/>
  </r>
  <r>
    <d v="2008-06-26T00:00:00"/>
    <n v="2008"/>
    <x v="14"/>
    <s v="R"/>
    <s v="RS"/>
    <x v="1"/>
    <s v="DET"/>
    <s v="A"/>
    <n v="1"/>
    <n v="1"/>
    <n v="0"/>
    <n v="0"/>
    <n v="0"/>
    <n v="0"/>
    <n v="1609.9753995427989"/>
    <n v="1610.8897383437338"/>
    <n v="0.38017483041899813"/>
    <n v="61"/>
    <n v="70"/>
    <n v="0"/>
    <n v="-9"/>
    <n v="0"/>
    <n v="0.40566243306171784"/>
    <n v="1"/>
    <n v="73.75"/>
    <n v="73.75"/>
    <n v="-11.373920193874012"/>
    <n v="1598.6014793489248"/>
    <n v="0"/>
    <n v="1"/>
    <n v="0"/>
    <n v="0"/>
    <n v="0"/>
    <n v="0"/>
    <n v="0"/>
    <n v="0"/>
    <n v="0"/>
    <n v="0"/>
  </r>
  <r>
    <d v="2008-06-26T00:00:00"/>
    <n v="2008"/>
    <x v="14"/>
    <s v="R"/>
    <s v="RS"/>
    <x v="3"/>
    <s v="CON"/>
    <s v="H"/>
    <n v="1"/>
    <n v="1"/>
    <n v="0"/>
    <n v="0"/>
    <n v="0"/>
    <n v="0"/>
    <n v="1610.8897383437338"/>
    <n v="1609.9753995427989"/>
    <n v="0.61982516958100198"/>
    <n v="70"/>
    <n v="61"/>
    <n v="0"/>
    <n v="9"/>
    <n v="1"/>
    <n v="0.40566243306171784"/>
    <n v="1"/>
    <n v="73.75"/>
    <n v="73.75"/>
    <n v="11.373920193874008"/>
    <n v="1622.2636585376079"/>
    <n v="1"/>
    <n v="0"/>
    <n v="0"/>
    <n v="0"/>
    <n v="0"/>
    <n v="0"/>
    <n v="0"/>
    <n v="0"/>
    <n v="0"/>
    <n v="0"/>
  </r>
  <r>
    <d v="2008-06-26T00:00:00"/>
    <n v="2008"/>
    <x v="13"/>
    <s v="R"/>
    <s v="RS"/>
    <x v="8"/>
    <s v="HOU"/>
    <s v="A"/>
    <n v="1"/>
    <n v="1"/>
    <n v="0"/>
    <n v="0"/>
    <n v="0"/>
    <n v="0"/>
    <n v="1544.7472023391342"/>
    <n v="1463.0439178233992"/>
    <n v="0.49669480887067058"/>
    <n v="71"/>
    <n v="77"/>
    <n v="0"/>
    <n v="-6"/>
    <n v="0"/>
    <n v="0.32888806512535307"/>
    <n v="1"/>
    <n v="73.900000000000006"/>
    <n v="73.900000000000006"/>
    <n v="-12.072081904434134"/>
    <n v="1532.6751204347001"/>
    <n v="0"/>
    <n v="1"/>
    <n v="0"/>
    <n v="0"/>
    <n v="0"/>
    <n v="0"/>
    <n v="0"/>
    <n v="0"/>
    <n v="0"/>
    <n v="0"/>
  </r>
  <r>
    <d v="2008-06-26T00:00:00"/>
    <n v="2008"/>
    <x v="13"/>
    <s v="R"/>
    <s v="RS"/>
    <x v="2"/>
    <s v="SAS"/>
    <s v="H"/>
    <n v="1"/>
    <n v="1"/>
    <n v="0"/>
    <n v="0"/>
    <n v="0"/>
    <n v="0"/>
    <n v="1463.0439178233992"/>
    <n v="1544.7472023391342"/>
    <n v="0.50330519112932937"/>
    <n v="77"/>
    <n v="71"/>
    <n v="0"/>
    <n v="6"/>
    <n v="1"/>
    <n v="0.32888806512535307"/>
    <n v="1"/>
    <n v="73.900000000000006"/>
    <n v="73.900000000000006"/>
    <n v="12.072081904434135"/>
    <n v="1475.1159997278332"/>
    <n v="1"/>
    <n v="0"/>
    <n v="0"/>
    <n v="0"/>
    <n v="0"/>
    <n v="0"/>
    <n v="0"/>
    <n v="0"/>
    <n v="0"/>
    <n v="0"/>
  </r>
  <r>
    <d v="2008-06-26T00:00:00"/>
    <n v="2008"/>
    <x v="13"/>
    <s v="R"/>
    <s v="RS"/>
    <x v="4"/>
    <s v="LAS"/>
    <s v="A"/>
    <n v="1"/>
    <n v="1"/>
    <n v="0"/>
    <n v="0"/>
    <n v="0"/>
    <n v="0"/>
    <n v="1453.462151975885"/>
    <n v="1561.0857359877796"/>
    <n v="0.24916435885753649"/>
    <n v="77"/>
    <n v="74"/>
    <n v="1"/>
    <n v="3"/>
    <n v="1"/>
    <n v="0.23967004466612155"/>
    <n v="1"/>
    <n v="73.900000000000006"/>
    <n v="73.900000000000006"/>
    <n v="13.298512780900284"/>
    <n v="1466.7606647567852"/>
    <n v="1"/>
    <n v="0"/>
    <n v="0"/>
    <n v="0"/>
    <n v="0"/>
    <n v="0"/>
    <n v="0"/>
    <n v="0"/>
    <n v="0"/>
    <n v="0"/>
  </r>
  <r>
    <d v="2008-06-26T00:00:00"/>
    <n v="2008"/>
    <x v="13"/>
    <s v="R"/>
    <s v="RS"/>
    <x v="6"/>
    <s v="WAS"/>
    <s v="H"/>
    <n v="1"/>
    <n v="1"/>
    <n v="0"/>
    <n v="0"/>
    <n v="0"/>
    <n v="0"/>
    <n v="1561.0857359877796"/>
    <n v="1453.462151975885"/>
    <n v="0.75083564114246348"/>
    <n v="74"/>
    <n v="77"/>
    <n v="1"/>
    <n v="-3"/>
    <n v="0"/>
    <n v="0.23967004466612155"/>
    <n v="1"/>
    <n v="73.900000000000006"/>
    <n v="73.900000000000006"/>
    <n v="-13.298512780900284"/>
    <n v="1547.7872232068794"/>
    <n v="0"/>
    <n v="1"/>
    <n v="0"/>
    <n v="0"/>
    <n v="0"/>
    <n v="0"/>
    <n v="0"/>
    <n v="0"/>
    <n v="0"/>
    <n v="0"/>
  </r>
  <r>
    <d v="2008-06-26T00:00:00"/>
    <n v="2008"/>
    <x v="13"/>
    <s v="R"/>
    <s v="RS"/>
    <x v="9"/>
    <s v="MIN"/>
    <s v="A"/>
    <n v="1"/>
    <n v="1"/>
    <n v="0"/>
    <n v="0"/>
    <n v="0"/>
    <n v="0"/>
    <n v="1484.4955871658651"/>
    <n v="1486.5750723616288"/>
    <n v="0.37859562639980787"/>
    <n v="76"/>
    <n v="80"/>
    <n v="0"/>
    <n v="-4"/>
    <n v="0"/>
    <n v="0.31089398537052104"/>
    <n v="1"/>
    <n v="73.900000000000006"/>
    <n v="73.900000000000006"/>
    <n v="-8.6982593216975719"/>
    <n v="1475.7973278441675"/>
    <n v="0"/>
    <n v="1"/>
    <n v="0"/>
    <n v="0"/>
    <n v="0"/>
    <n v="0"/>
    <n v="0"/>
    <n v="0"/>
    <n v="0"/>
    <n v="0"/>
  </r>
  <r>
    <d v="2008-06-26T00:00:00"/>
    <n v="2008"/>
    <x v="13"/>
    <s v="R"/>
    <s v="RS"/>
    <x v="12"/>
    <s v="SAC"/>
    <s v="H"/>
    <n v="1"/>
    <n v="1"/>
    <n v="0"/>
    <n v="0"/>
    <n v="0"/>
    <n v="0"/>
    <n v="1486.5750723616288"/>
    <n v="1484.4955871658651"/>
    <n v="0.62140437360019207"/>
    <n v="80"/>
    <n v="76"/>
    <n v="0"/>
    <n v="4"/>
    <n v="1"/>
    <n v="0.31089398537052104"/>
    <n v="1"/>
    <n v="73.900000000000006"/>
    <n v="73.900000000000006"/>
    <n v="8.6982593216975719"/>
    <n v="1495.2733316833264"/>
    <n v="1"/>
    <n v="0"/>
    <n v="0"/>
    <n v="0"/>
    <n v="0"/>
    <n v="0"/>
    <n v="0"/>
    <n v="0"/>
    <n v="0"/>
    <n v="0"/>
  </r>
  <r>
    <d v="2008-06-26T00:00:00"/>
    <n v="2008"/>
    <x v="13"/>
    <s v="R"/>
    <s v="RS"/>
    <x v="5"/>
    <s v="NYL"/>
    <s v="A"/>
    <n v="1"/>
    <n v="1"/>
    <n v="0"/>
    <n v="0"/>
    <n v="0"/>
    <n v="0"/>
    <n v="1530.1309949232293"/>
    <n v="1484.6583986849448"/>
    <n v="0.44478076302069208"/>
    <n v="96"/>
    <n v="102"/>
    <n v="1"/>
    <n v="-6"/>
    <n v="0"/>
    <n v="0.30460985101087457"/>
    <n v="1"/>
    <n v="73.900000000000006"/>
    <n v="73.900000000000006"/>
    <n v="-10.012312084565849"/>
    <n v="1520.1186828386635"/>
    <n v="0"/>
    <n v="1"/>
    <n v="0"/>
    <n v="0"/>
    <n v="0"/>
    <n v="0"/>
    <n v="0"/>
    <n v="0"/>
    <n v="0"/>
    <n v="0"/>
  </r>
  <r>
    <d v="2008-06-26T00:00:00"/>
    <n v="2008"/>
    <x v="12"/>
    <s v="R"/>
    <s v="RS"/>
    <x v="13"/>
    <s v="IND"/>
    <s v="H"/>
    <n v="1"/>
    <n v="1"/>
    <n v="0"/>
    <n v="0"/>
    <n v="0"/>
    <n v="0"/>
    <n v="1484.6583986849448"/>
    <n v="1530.1309949232293"/>
    <n v="0.55521923697930786"/>
    <n v="102"/>
    <n v="96"/>
    <n v="1"/>
    <n v="6"/>
    <n v="1"/>
    <n v="0.30460985101087457"/>
    <n v="1"/>
    <n v="74.05"/>
    <n v="74.05"/>
    <n v="10.032634774859286"/>
    <n v="1494.6910334598042"/>
    <n v="1"/>
    <n v="0"/>
    <n v="0"/>
    <n v="0"/>
    <n v="0"/>
    <n v="0"/>
    <n v="0"/>
    <n v="0"/>
    <n v="0"/>
    <n v="0"/>
  </r>
  <r>
    <d v="2008-06-27T00:00:00"/>
    <n v="2008"/>
    <x v="13"/>
    <s v="R"/>
    <s v="RS"/>
    <x v="0"/>
    <s v="CON"/>
    <s v="A"/>
    <n v="4"/>
    <n v="0"/>
    <n v="4"/>
    <n v="-4"/>
    <n v="16"/>
    <n v="-16"/>
    <n v="1326.9675640795556"/>
    <n v="1598.6014793489248"/>
    <n v="0.13435532227684488"/>
    <n v="101"/>
    <n v="109"/>
    <n v="1"/>
    <n v="-8"/>
    <n v="0"/>
    <n v="0.28497629298417065"/>
    <n v="1"/>
    <n v="73.900000000000006"/>
    <n v="73.900000000000006"/>
    <n v="-2.8294892365324977"/>
    <n v="1324.1380748430231"/>
    <n v="0"/>
    <n v="1"/>
    <n v="0"/>
    <n v="0"/>
    <n v="0"/>
    <n v="0"/>
    <n v="0"/>
    <n v="0"/>
    <n v="0"/>
    <n v="0"/>
  </r>
  <r>
    <d v="2008-06-27T00:00:00"/>
    <n v="2008"/>
    <x v="15"/>
    <s v="R"/>
    <s v="RS"/>
    <x v="1"/>
    <s v="ATL"/>
    <s v="H"/>
    <n v="0"/>
    <n v="4"/>
    <n v="-4"/>
    <n v="4"/>
    <n v="-16"/>
    <n v="16"/>
    <n v="1598.6014793489248"/>
    <n v="1326.9675640795556"/>
    <n v="0.86564467772315501"/>
    <n v="109"/>
    <n v="101"/>
    <n v="1"/>
    <n v="8"/>
    <n v="1"/>
    <n v="0.28497629298417065"/>
    <n v="1"/>
    <n v="73.599999999999994"/>
    <n v="73.599999999999994"/>
    <n v="2.8180028120269549"/>
    <n v="1601.4194821609517"/>
    <n v="1"/>
    <n v="0"/>
    <n v="0"/>
    <n v="0"/>
    <n v="0"/>
    <n v="0"/>
    <n v="0"/>
    <n v="0"/>
    <n v="0"/>
    <n v="0"/>
  </r>
  <r>
    <d v="2008-06-28T00:00:00"/>
    <n v="2008"/>
    <x v="15"/>
    <s v="R"/>
    <s v="RS"/>
    <x v="3"/>
    <s v="CHI"/>
    <s v="A"/>
    <n v="1"/>
    <n v="1"/>
    <n v="0"/>
    <n v="0"/>
    <n v="0"/>
    <n v="0"/>
    <n v="1622.2636585376079"/>
    <n v="1406.3139653785443"/>
    <n v="0.68125895550988935"/>
    <n v="59"/>
    <n v="76"/>
    <n v="0"/>
    <n v="-17"/>
    <n v="0"/>
    <n v="0.45123812377324424"/>
    <n v="1"/>
    <n v="73.599999999999994"/>
    <n v="73.599999999999994"/>
    <n v="-22.625376948556987"/>
    <n v="1599.6382815890508"/>
    <n v="0"/>
    <n v="1"/>
    <n v="0"/>
    <n v="0"/>
    <n v="0"/>
    <n v="0"/>
    <n v="0"/>
    <n v="0"/>
    <n v="0"/>
    <n v="0"/>
  </r>
  <r>
    <d v="2008-06-28T00:00:00"/>
    <n v="2008"/>
    <x v="12"/>
    <s v="R"/>
    <s v="RS"/>
    <x v="10"/>
    <s v="DET"/>
    <s v="H"/>
    <n v="1"/>
    <n v="1"/>
    <n v="0"/>
    <n v="0"/>
    <n v="0"/>
    <n v="0"/>
    <n v="1406.3139653785443"/>
    <n v="1622.2636585376079"/>
    <n v="0.31874104449011065"/>
    <n v="76"/>
    <n v="59"/>
    <n v="0"/>
    <n v="17"/>
    <n v="1"/>
    <n v="0.45123812377324424"/>
    <n v="1"/>
    <n v="74.05"/>
    <n v="74.05"/>
    <n v="22.763711454356589"/>
    <n v="1429.0776768329008"/>
    <n v="1"/>
    <n v="0"/>
    <n v="0"/>
    <n v="0"/>
    <n v="0"/>
    <n v="0"/>
    <n v="0"/>
    <n v="0"/>
    <n v="0"/>
    <n v="0"/>
  </r>
  <r>
    <d v="2008-06-28T00:00:00"/>
    <n v="2008"/>
    <x v="14"/>
    <s v="R"/>
    <s v="RS"/>
    <x v="5"/>
    <s v="HOU"/>
    <s v="A"/>
    <n v="1"/>
    <n v="1"/>
    <n v="0"/>
    <n v="0"/>
    <n v="0"/>
    <n v="0"/>
    <n v="1520.1186828386635"/>
    <n v="1475.1159997278332"/>
    <n v="0.44411285194551936"/>
    <n v="61"/>
    <n v="75"/>
    <n v="0"/>
    <n v="-14"/>
    <n v="0"/>
    <n v="0.46998270138573922"/>
    <n v="1"/>
    <n v="73.75"/>
    <n v="73.75"/>
    <n v="-15.393495143464152"/>
    <n v="1504.7251876951993"/>
    <n v="0"/>
    <n v="1"/>
    <n v="0"/>
    <n v="0"/>
    <n v="0"/>
    <n v="0"/>
    <n v="0"/>
    <n v="0"/>
    <n v="0"/>
    <n v="0"/>
  </r>
  <r>
    <d v="2008-06-28T00:00:00"/>
    <n v="2008"/>
    <x v="14"/>
    <s v="R"/>
    <s v="RS"/>
    <x v="2"/>
    <s v="IND"/>
    <s v="H"/>
    <n v="1"/>
    <n v="1"/>
    <n v="0"/>
    <n v="0"/>
    <n v="0"/>
    <n v="0"/>
    <n v="1475.1159997278332"/>
    <n v="1520.1186828386635"/>
    <n v="0.55588714805448058"/>
    <n v="75"/>
    <n v="61"/>
    <n v="0"/>
    <n v="14"/>
    <n v="1"/>
    <n v="0.46998270138573922"/>
    <n v="1"/>
    <n v="73.75"/>
    <n v="73.75"/>
    <n v="15.393495143464156"/>
    <n v="1490.5094948712974"/>
    <n v="1"/>
    <n v="0"/>
    <n v="0"/>
    <n v="0"/>
    <n v="0"/>
    <n v="0"/>
    <n v="0"/>
    <n v="0"/>
    <n v="0"/>
    <n v="0"/>
  </r>
  <r>
    <d v="2008-06-28T00:00:00"/>
    <n v="2008"/>
    <x v="13"/>
    <s v="R"/>
    <s v="RS"/>
    <x v="13"/>
    <s v="SAC"/>
    <s v="A"/>
    <n v="1"/>
    <n v="1"/>
    <n v="0"/>
    <n v="0"/>
    <n v="0"/>
    <n v="0"/>
    <n v="1494.6910334598042"/>
    <n v="1475.7973278441675"/>
    <n v="0.40738603943644613"/>
    <n v="78"/>
    <n v="82"/>
    <n v="0"/>
    <n v="-4"/>
    <n v="0"/>
    <n v="0.30660530952196335"/>
    <n v="1"/>
    <n v="73.900000000000006"/>
    <n v="73.900000000000006"/>
    <n v="-9.230606808737404"/>
    <n v="1485.4604266510669"/>
    <n v="0"/>
    <n v="1"/>
    <n v="0"/>
    <n v="0"/>
    <n v="0"/>
    <n v="0"/>
    <n v="0"/>
    <n v="0"/>
    <n v="0"/>
    <n v="0"/>
  </r>
  <r>
    <d v="2008-06-28T00:00:00"/>
    <n v="2008"/>
    <x v="14"/>
    <s v="R"/>
    <s v="RS"/>
    <x v="9"/>
    <s v="NYL"/>
    <s v="H"/>
    <n v="1"/>
    <n v="1"/>
    <n v="0"/>
    <n v="0"/>
    <n v="0"/>
    <n v="0"/>
    <n v="1475.7973278441675"/>
    <n v="1494.6910334598042"/>
    <n v="0.59261396056355387"/>
    <n v="82"/>
    <n v="78"/>
    <n v="0"/>
    <n v="4"/>
    <n v="1"/>
    <n v="0.30660530952196335"/>
    <n v="1"/>
    <n v="73.75"/>
    <n v="73.75"/>
    <n v="9.2118708003299528"/>
    <n v="1485.0091986444975"/>
    <n v="1"/>
    <n v="0"/>
    <n v="0"/>
    <n v="0"/>
    <n v="0"/>
    <n v="0"/>
    <n v="0"/>
    <n v="0"/>
    <n v="0"/>
    <n v="0"/>
  </r>
  <r>
    <d v="2008-06-28T00:00:00"/>
    <n v="2008"/>
    <x v="14"/>
    <s v="R"/>
    <s v="RS"/>
    <x v="12"/>
    <s v="SAS"/>
    <s v="A"/>
    <n v="1"/>
    <n v="1"/>
    <n v="0"/>
    <n v="0"/>
    <n v="0"/>
    <n v="0"/>
    <n v="1495.2733316833264"/>
    <n v="1532.6751204347001"/>
    <n v="0.33206838418288959"/>
    <n v="65"/>
    <n v="73"/>
    <n v="0"/>
    <n v="-8"/>
    <n v="0"/>
    <n v="0.37657828381985137"/>
    <n v="1"/>
    <n v="73.75"/>
    <n v="73.75"/>
    <n v="-9.2224184891987431"/>
    <n v="1486.0509131941276"/>
    <n v="0"/>
    <n v="1"/>
    <n v="0"/>
    <n v="0"/>
    <n v="0"/>
    <n v="0"/>
    <n v="0"/>
    <n v="0"/>
    <n v="0"/>
    <n v="0"/>
  </r>
  <r>
    <d v="2008-06-28T00:00:00"/>
    <n v="2008"/>
    <x v="14"/>
    <s v="R"/>
    <s v="RS"/>
    <x v="8"/>
    <s v="MIN"/>
    <s v="H"/>
    <n v="1"/>
    <n v="1"/>
    <n v="0"/>
    <n v="0"/>
    <n v="0"/>
    <n v="0"/>
    <n v="1532.6751204347001"/>
    <n v="1495.2733316833264"/>
    <n v="0.66793161581711047"/>
    <n v="73"/>
    <n v="65"/>
    <n v="0"/>
    <n v="8"/>
    <n v="1"/>
    <n v="0.37657828381985137"/>
    <n v="1"/>
    <n v="73.75"/>
    <n v="73.75"/>
    <n v="9.2224184891987413"/>
    <n v="1541.897538923899"/>
    <n v="1"/>
    <n v="0"/>
    <n v="0"/>
    <n v="0"/>
    <n v="0"/>
    <n v="0"/>
    <n v="0"/>
    <n v="0"/>
    <n v="0"/>
    <n v="0"/>
  </r>
  <r>
    <d v="2008-06-29T00:00:00"/>
    <n v="2008"/>
    <x v="13"/>
    <s v="R"/>
    <s v="RS"/>
    <x v="7"/>
    <s v="CON"/>
    <s v="A"/>
    <n v="2"/>
    <n v="1"/>
    <n v="1"/>
    <n v="-1"/>
    <n v="8"/>
    <n v="-8"/>
    <n v="1558.6998511243783"/>
    <n v="1601.4194821609517"/>
    <n v="0.34584504497813712"/>
    <n v="87"/>
    <n v="80"/>
    <n v="0"/>
    <n v="7"/>
    <n v="1"/>
    <n v="0.35738439780992981"/>
    <n v="1"/>
    <n v="73.900000000000006"/>
    <n v="73.900000000000006"/>
    <n v="17.276694848472907"/>
    <n v="1575.9765459728512"/>
    <n v="1"/>
    <n v="0"/>
    <n v="0"/>
    <n v="0"/>
    <n v="0"/>
    <n v="0"/>
    <n v="0"/>
    <n v="0"/>
    <n v="0"/>
    <n v="0"/>
  </r>
  <r>
    <d v="2008-06-29T00:00:00"/>
    <n v="2008"/>
    <x v="16"/>
    <s v="R"/>
    <s v="RS"/>
    <x v="1"/>
    <s v="PHX"/>
    <s v="H"/>
    <n v="1"/>
    <n v="2"/>
    <n v="-1"/>
    <n v="1"/>
    <n v="-8"/>
    <n v="8"/>
    <n v="1601.4194821609517"/>
    <n v="1558.6998511243783"/>
    <n v="0.65415495502186283"/>
    <n v="80"/>
    <n v="87"/>
    <n v="0"/>
    <n v="-7"/>
    <n v="0"/>
    <n v="0.35738439780992981"/>
    <n v="1"/>
    <n v="73.45"/>
    <n v="73.45"/>
    <n v="-17.171491699869215"/>
    <n v="1584.2479904610825"/>
    <n v="0"/>
    <n v="1"/>
    <n v="0"/>
    <n v="0"/>
    <n v="0"/>
    <n v="0"/>
    <n v="0"/>
    <n v="0"/>
    <n v="0"/>
    <n v="0"/>
  </r>
  <r>
    <d v="2008-06-29T00:00:00"/>
    <n v="2008"/>
    <x v="14"/>
    <s v="R"/>
    <s v="RS"/>
    <x v="0"/>
    <s v="DET"/>
    <s v="A"/>
    <n v="1"/>
    <n v="0"/>
    <n v="1"/>
    <n v="-1"/>
    <n v="8"/>
    <n v="-8"/>
    <n v="1324.1380748430231"/>
    <n v="1599.6382815890508"/>
    <n v="0.12160202546318877"/>
    <n v="92"/>
    <n v="100"/>
    <n v="0"/>
    <n v="-8"/>
    <n v="0"/>
    <n v="0.31581062467706839"/>
    <n v="1"/>
    <n v="73.75"/>
    <n v="73.75"/>
    <n v="-2.8322368572350736"/>
    <n v="1321.305837985788"/>
    <n v="0"/>
    <n v="1"/>
    <n v="0"/>
    <n v="0"/>
    <n v="0"/>
    <n v="0"/>
    <n v="0"/>
    <n v="0"/>
    <n v="0"/>
    <n v="0"/>
  </r>
  <r>
    <d v="2008-06-29T00:00:00"/>
    <n v="2008"/>
    <x v="16"/>
    <s v="R"/>
    <s v="RS"/>
    <x v="3"/>
    <s v="ATL"/>
    <s v="H"/>
    <n v="0"/>
    <n v="1"/>
    <n v="-1"/>
    <n v="1"/>
    <n v="-8"/>
    <n v="8"/>
    <n v="1599.6382815890508"/>
    <n v="1324.1380748430231"/>
    <n v="0.87839797453681112"/>
    <n v="100"/>
    <n v="92"/>
    <n v="0"/>
    <n v="8"/>
    <n v="1"/>
    <n v="0.31581062467706839"/>
    <n v="1"/>
    <n v="73.45"/>
    <n v="73.45"/>
    <n v="2.8207158937480181"/>
    <n v="1602.4589974827988"/>
    <n v="1"/>
    <n v="0"/>
    <n v="0"/>
    <n v="0"/>
    <n v="0"/>
    <n v="0"/>
    <n v="0"/>
    <n v="0"/>
    <n v="0"/>
    <n v="0"/>
  </r>
  <r>
    <d v="2008-06-29T00:00:00"/>
    <n v="2008"/>
    <x v="14"/>
    <s v="R"/>
    <s v="RS"/>
    <x v="4"/>
    <s v="SEA"/>
    <s v="A"/>
    <n v="2"/>
    <n v="4"/>
    <n v="-2"/>
    <n v="2"/>
    <n v="-16"/>
    <n v="16"/>
    <n v="1466.7606647567852"/>
    <n v="1504.6004713204718"/>
    <n v="0.29202422553633955"/>
    <n v="49"/>
    <n v="64"/>
    <n v="0"/>
    <n v="-15"/>
    <n v="0"/>
    <n v="0.48747635231544034"/>
    <n v="1"/>
    <n v="73.75"/>
    <n v="73.75"/>
    <n v="-10.498674188599475"/>
    <n v="1456.2619905681856"/>
    <n v="0"/>
    <n v="1"/>
    <n v="0"/>
    <n v="0"/>
    <n v="0"/>
    <n v="0"/>
    <n v="0"/>
    <n v="0"/>
    <n v="0"/>
    <n v="0"/>
  </r>
  <r>
    <d v="2008-06-29T00:00:00"/>
    <n v="2008"/>
    <x v="15"/>
    <s v="R"/>
    <s v="RS"/>
    <x v="11"/>
    <s v="WAS"/>
    <s v="H"/>
    <n v="4"/>
    <n v="2"/>
    <n v="2"/>
    <n v="-2"/>
    <n v="16"/>
    <n v="-16"/>
    <n v="1504.6004713204718"/>
    <n v="1466.7606647567852"/>
    <n v="0.70797577446366045"/>
    <n v="64"/>
    <n v="49"/>
    <n v="0"/>
    <n v="15"/>
    <n v="1"/>
    <n v="0.48747635231544034"/>
    <n v="1"/>
    <n v="73.599999999999994"/>
    <n v="73.599999999999994"/>
    <n v="10.477320952961644"/>
    <n v="1515.0777922734335"/>
    <n v="1"/>
    <n v="0"/>
    <n v="0"/>
    <n v="0"/>
    <n v="0"/>
    <n v="0"/>
    <n v="0"/>
    <n v="0"/>
    <n v="0"/>
    <n v="0"/>
  </r>
  <r>
    <d v="2008-07-01T00:00:00"/>
    <n v="2008"/>
    <x v="14"/>
    <s v="R"/>
    <s v="RS"/>
    <x v="7"/>
    <s v="ATL"/>
    <s v="A"/>
    <n v="1"/>
    <n v="1"/>
    <n v="0"/>
    <n v="0"/>
    <n v="0"/>
    <n v="0"/>
    <n v="1575.9765459728512"/>
    <n v="1321.305837985788"/>
    <n v="0.72759597609845805"/>
    <n v="97"/>
    <n v="79"/>
    <n v="0"/>
    <n v="18"/>
    <n v="1"/>
    <n v="0.45109914907107707"/>
    <n v="1"/>
    <n v="73.75"/>
    <n v="73.75"/>
    <n v="9.0624902246823158"/>
    <n v="1585.0390361975335"/>
    <n v="1"/>
    <n v="0"/>
    <n v="0"/>
    <n v="0"/>
    <n v="0"/>
    <n v="0"/>
    <n v="0"/>
    <n v="0"/>
    <n v="0"/>
    <n v="0"/>
  </r>
  <r>
    <d v="2008-07-01T00:00:00"/>
    <n v="2008"/>
    <x v="15"/>
    <s v="R"/>
    <s v="RS"/>
    <x v="0"/>
    <s v="PHX"/>
    <s v="H"/>
    <n v="1"/>
    <n v="1"/>
    <n v="0"/>
    <n v="0"/>
    <n v="0"/>
    <n v="0"/>
    <n v="1321.305837985788"/>
    <n v="1575.9765459728512"/>
    <n v="0.272404023901542"/>
    <n v="79"/>
    <n v="97"/>
    <n v="0"/>
    <n v="-18"/>
    <n v="0"/>
    <n v="0.45109914907107707"/>
    <n v="1"/>
    <n v="73.599999999999994"/>
    <n v="73.599999999999994"/>
    <n v="-9.0440580411744875"/>
    <n v="1312.2617799446134"/>
    <n v="0"/>
    <n v="1"/>
    <n v="0"/>
    <n v="0"/>
    <n v="0"/>
    <n v="0"/>
    <n v="0"/>
    <n v="0"/>
    <n v="0"/>
    <n v="0"/>
  </r>
  <r>
    <d v="2008-07-01T00:00:00"/>
    <n v="2008"/>
    <x v="15"/>
    <s v="R"/>
    <s v="RS"/>
    <x v="2"/>
    <s v="CON"/>
    <s v="A"/>
    <n v="2"/>
    <n v="1"/>
    <n v="1"/>
    <n v="-1"/>
    <n v="8"/>
    <n v="-8"/>
    <n v="1490.5094948712974"/>
    <n v="1584.2479904610825"/>
    <n v="0.28271343972074559"/>
    <n v="68"/>
    <n v="78"/>
    <n v="0"/>
    <n v="-10"/>
    <n v="0"/>
    <n v="0.39247161689137711"/>
    <n v="1"/>
    <n v="73.599999999999994"/>
    <n v="73.599999999999994"/>
    <n v="-8.166435259183519"/>
    <n v="1482.3430596121138"/>
    <n v="0"/>
    <n v="1"/>
    <n v="0"/>
    <n v="0"/>
    <n v="0"/>
    <n v="0"/>
    <n v="0"/>
    <n v="0"/>
    <n v="0"/>
    <n v="0"/>
  </r>
  <r>
    <d v="2008-07-01T00:00:00"/>
    <n v="2008"/>
    <x v="17"/>
    <s v="R"/>
    <s v="RS"/>
    <x v="1"/>
    <s v="HOU"/>
    <s v="H"/>
    <n v="1"/>
    <n v="2"/>
    <n v="-1"/>
    <n v="1"/>
    <n v="-8"/>
    <n v="8"/>
    <n v="1584.2479904610825"/>
    <n v="1490.5094948712974"/>
    <n v="0.71728656027925441"/>
    <n v="78"/>
    <n v="68"/>
    <n v="0"/>
    <n v="10"/>
    <n v="1"/>
    <n v="0.39247161689137711"/>
    <n v="1"/>
    <n v="73.3"/>
    <n v="73.3"/>
    <n v="8.1331481589422818"/>
    <n v="1592.3811386200248"/>
    <n v="1"/>
    <n v="0"/>
    <n v="0"/>
    <n v="0"/>
    <n v="0"/>
    <n v="0"/>
    <n v="0"/>
    <n v="0"/>
    <n v="0"/>
    <n v="0"/>
  </r>
  <r>
    <d v="2008-07-01T00:00:00"/>
    <n v="2008"/>
    <x v="14"/>
    <s v="R"/>
    <s v="RS"/>
    <x v="13"/>
    <s v="LAS"/>
    <s v="A"/>
    <n v="2"/>
    <n v="4"/>
    <n v="-2"/>
    <n v="2"/>
    <n v="-16"/>
    <n v="16"/>
    <n v="1485.4604266510669"/>
    <n v="1547.7872232068794"/>
    <n v="0.26375708621636201"/>
    <n v="89"/>
    <n v="78"/>
    <n v="0"/>
    <n v="11"/>
    <n v="1"/>
    <n v="0.41811927446144603"/>
    <n v="1"/>
    <n v="73.75"/>
    <n v="73.75"/>
    <n v="22.70300477922143"/>
    <n v="1508.1634314302883"/>
    <n v="1"/>
    <n v="0"/>
    <n v="0"/>
    <n v="0"/>
    <n v="0"/>
    <n v="0"/>
    <n v="0"/>
    <n v="0"/>
    <n v="0"/>
    <n v="0"/>
  </r>
  <r>
    <d v="2008-07-01T00:00:00"/>
    <n v="2008"/>
    <x v="14"/>
    <s v="R"/>
    <s v="RS"/>
    <x v="6"/>
    <s v="NYL"/>
    <s v="H"/>
    <n v="4"/>
    <n v="2"/>
    <n v="2"/>
    <n v="-2"/>
    <n v="16"/>
    <n v="-16"/>
    <n v="1547.7872232068794"/>
    <n v="1485.4604266510669"/>
    <n v="0.73624291378363804"/>
    <n v="78"/>
    <n v="89"/>
    <n v="0"/>
    <n v="-11"/>
    <n v="0"/>
    <n v="0.41811927446144603"/>
    <n v="1"/>
    <n v="73.75"/>
    <n v="73.75"/>
    <n v="-22.703004779221434"/>
    <n v="1525.084218427658"/>
    <n v="0"/>
    <n v="1"/>
    <n v="0"/>
    <n v="0"/>
    <n v="0"/>
    <n v="0"/>
    <n v="0"/>
    <n v="0"/>
    <n v="0"/>
    <n v="0"/>
  </r>
  <r>
    <d v="2008-07-01T00:00:00"/>
    <n v="2008"/>
    <x v="13"/>
    <s v="R"/>
    <s v="RS"/>
    <x v="10"/>
    <s v="MIN"/>
    <s v="A"/>
    <n v="2"/>
    <n v="2"/>
    <n v="0"/>
    <n v="0"/>
    <n v="0"/>
    <n v="0"/>
    <n v="1429.0776768329008"/>
    <n v="1486.0509131941276"/>
    <n v="0.30756941750674116"/>
    <n v="73"/>
    <n v="71"/>
    <n v="0"/>
    <n v="2"/>
    <n v="1"/>
    <n v="0.25570121596386775"/>
    <n v="1"/>
    <n v="73.900000000000006"/>
    <n v="73.900000000000006"/>
    <n v="13.084389767451661"/>
    <n v="1442.1620666003525"/>
    <n v="1"/>
    <n v="0"/>
    <n v="0"/>
    <n v="0"/>
    <n v="0"/>
    <n v="0"/>
    <n v="0"/>
    <n v="0"/>
    <n v="0"/>
    <n v="0"/>
  </r>
  <r>
    <d v="2008-07-01T00:00:00"/>
    <n v="2008"/>
    <x v="15"/>
    <s v="R"/>
    <s v="RS"/>
    <x v="12"/>
    <s v="CHI"/>
    <s v="H"/>
    <n v="2"/>
    <n v="2"/>
    <n v="0"/>
    <n v="0"/>
    <n v="0"/>
    <n v="0"/>
    <n v="1486.0509131941276"/>
    <n v="1429.0776768329008"/>
    <n v="0.69243058249325884"/>
    <n v="71"/>
    <n v="73"/>
    <n v="0"/>
    <n v="-2"/>
    <n v="0"/>
    <n v="0.25570121596386775"/>
    <n v="1"/>
    <n v="73.599999999999994"/>
    <n v="73.599999999999994"/>
    <n v="-13.03127316487743"/>
    <n v="1473.0196400292502"/>
    <n v="0"/>
    <n v="1"/>
    <n v="0"/>
    <n v="0"/>
    <n v="0"/>
    <n v="0"/>
    <n v="0"/>
    <n v="0"/>
    <n v="0"/>
    <n v="0"/>
  </r>
  <r>
    <d v="2008-07-01T00:00:00"/>
    <n v="2008"/>
    <x v="15"/>
    <s v="R"/>
    <s v="RS"/>
    <x v="4"/>
    <s v="SAC"/>
    <s v="A"/>
    <n v="1"/>
    <n v="2"/>
    <n v="-1"/>
    <n v="1"/>
    <n v="-8"/>
    <n v="8"/>
    <n v="1456.2619905681856"/>
    <n v="1485.0091986444975"/>
    <n v="0.32275742005186259"/>
    <n v="81"/>
    <n v="87"/>
    <n v="0"/>
    <n v="-6"/>
    <n v="0"/>
    <n v="0.34306235695878812"/>
    <n v="1"/>
    <n v="73.599999999999994"/>
    <n v="73.599999999999994"/>
    <n v="-8.1494278039212187"/>
    <n v="1448.1125627642643"/>
    <n v="0"/>
    <n v="1"/>
    <n v="0"/>
    <n v="0"/>
    <n v="0"/>
    <n v="0"/>
    <n v="0"/>
    <n v="0"/>
    <n v="0"/>
    <n v="0"/>
  </r>
  <r>
    <d v="2008-07-01T00:00:00"/>
    <n v="2008"/>
    <x v="15"/>
    <s v="R"/>
    <s v="RS"/>
    <x v="9"/>
    <s v="WAS"/>
    <s v="H"/>
    <n v="2"/>
    <n v="1"/>
    <n v="1"/>
    <n v="-1"/>
    <n v="8"/>
    <n v="-8"/>
    <n v="1485.0091986444975"/>
    <n v="1456.2619905681856"/>
    <n v="0.67724257994813741"/>
    <n v="87"/>
    <n v="81"/>
    <n v="0"/>
    <n v="6"/>
    <n v="1"/>
    <n v="0.34306235695878812"/>
    <n v="1"/>
    <n v="73.599999999999994"/>
    <n v="73.599999999999994"/>
    <n v="8.1494278039212187"/>
    <n v="1493.1586264484188"/>
    <n v="1"/>
    <n v="0"/>
    <n v="0"/>
    <n v="0"/>
    <n v="0"/>
    <n v="0"/>
    <n v="0"/>
    <n v="0"/>
    <n v="0"/>
    <n v="0"/>
  </r>
  <r>
    <d v="2008-07-01T00:00:00"/>
    <n v="2008"/>
    <x v="17"/>
    <s v="R"/>
    <s v="RS"/>
    <x v="3"/>
    <s v="SAS"/>
    <s v="A"/>
    <n v="1"/>
    <n v="2"/>
    <n v="-1"/>
    <n v="1"/>
    <n v="-8"/>
    <n v="8"/>
    <n v="1602.4589974827988"/>
    <n v="1541.897538923899"/>
    <n v="0.44348590113716774"/>
    <n v="72"/>
    <n v="79"/>
    <n v="1"/>
    <n v="-7"/>
    <n v="0"/>
    <n v="0.31709342180197148"/>
    <n v="1"/>
    <n v="73.3"/>
    <n v="73.3"/>
    <n v="-10.307919658187375"/>
    <n v="1592.1510778246115"/>
    <n v="0"/>
    <n v="1"/>
    <n v="0"/>
    <n v="0"/>
    <n v="0"/>
    <n v="0"/>
    <n v="0"/>
    <n v="0"/>
    <n v="0"/>
    <n v="0"/>
  </r>
  <r>
    <d v="2008-07-01T00:00:00"/>
    <n v="2008"/>
    <x v="15"/>
    <s v="R"/>
    <s v="RS"/>
    <x v="8"/>
    <s v="DET"/>
    <s v="H"/>
    <n v="2"/>
    <n v="1"/>
    <n v="1"/>
    <n v="-1"/>
    <n v="8"/>
    <n v="-8"/>
    <n v="1541.897538923899"/>
    <n v="1602.4589974827988"/>
    <n v="0.55651409886283221"/>
    <n v="79"/>
    <n v="72"/>
    <n v="1"/>
    <n v="7"/>
    <n v="1"/>
    <n v="0.31709342180197148"/>
    <n v="1"/>
    <n v="73.599999999999994"/>
    <n v="73.599999999999994"/>
    <n v="10.350107596761131"/>
    <n v="1552.2476465206601"/>
    <n v="1"/>
    <n v="0"/>
    <n v="0"/>
    <n v="0"/>
    <n v="0"/>
    <n v="0"/>
    <n v="0"/>
    <n v="0"/>
    <n v="0"/>
    <n v="0"/>
  </r>
  <r>
    <d v="2008-07-02T00:00:00"/>
    <n v="2008"/>
    <x v="14"/>
    <s v="R"/>
    <s v="RS"/>
    <x v="10"/>
    <s v="IND"/>
    <s v="A"/>
    <n v="0"/>
    <n v="3"/>
    <n v="-3"/>
    <n v="3"/>
    <n v="-16"/>
    <n v="16"/>
    <n v="1442.1620666003525"/>
    <n v="1504.7251876951993"/>
    <n v="0.26349299730792181"/>
    <n v="67"/>
    <n v="74"/>
    <n v="0"/>
    <n v="-7"/>
    <n v="0"/>
    <n v="0.35176744795100029"/>
    <n v="1"/>
    <n v="73.75"/>
    <n v="73.75"/>
    <n v="-6.8357591171775987"/>
    <n v="1435.326307483175"/>
    <n v="0"/>
    <n v="1"/>
    <n v="0"/>
    <n v="0"/>
    <n v="0"/>
    <n v="0"/>
    <n v="0"/>
    <n v="0"/>
    <n v="0"/>
    <n v="0"/>
  </r>
  <r>
    <d v="2008-07-02T00:00:00"/>
    <n v="2008"/>
    <x v="15"/>
    <s v="R"/>
    <s v="RS"/>
    <x v="5"/>
    <s v="CHI"/>
    <s v="H"/>
    <n v="3"/>
    <n v="0"/>
    <n v="3"/>
    <n v="-3"/>
    <n v="16"/>
    <n v="-16"/>
    <n v="1504.7251876951993"/>
    <n v="1442.1620666003525"/>
    <n v="0.73650700269207825"/>
    <n v="74"/>
    <n v="67"/>
    <n v="0"/>
    <n v="7"/>
    <n v="1"/>
    <n v="0.35176744795100029"/>
    <n v="1"/>
    <n v="73.599999999999994"/>
    <n v="73.599999999999994"/>
    <n v="6.8218558782952021"/>
    <n v="1511.5470435734946"/>
    <n v="1"/>
    <n v="0"/>
    <n v="0"/>
    <n v="0"/>
    <n v="0"/>
    <n v="0"/>
    <n v="0"/>
    <n v="0"/>
    <n v="0"/>
    <n v="0"/>
  </r>
  <r>
    <d v="2008-07-03T00:00:00"/>
    <n v="2008"/>
    <x v="16"/>
    <s v="R"/>
    <s v="RS"/>
    <x v="2"/>
    <s v="ATL"/>
    <s v="A"/>
    <n v="1"/>
    <n v="1"/>
    <n v="0"/>
    <n v="0"/>
    <n v="0"/>
    <n v="0"/>
    <n v="1482.3430596121138"/>
    <n v="1312.2617799446134"/>
    <n v="0.62140680379827229"/>
    <n v="72"/>
    <n v="65"/>
    <n v="0"/>
    <n v="7"/>
    <n v="1"/>
    <n v="0.32416223298253355"/>
    <n v="1"/>
    <n v="73.45"/>
    <n v="73.45"/>
    <n v="9.0141964858532297"/>
    <n v="1491.3572560979671"/>
    <n v="1"/>
    <n v="0"/>
    <n v="0"/>
    <n v="0"/>
    <n v="0"/>
    <n v="0"/>
    <n v="0"/>
    <n v="0"/>
    <n v="0"/>
    <n v="0"/>
  </r>
  <r>
    <d v="2008-07-03T00:00:00"/>
    <n v="2008"/>
    <x v="16"/>
    <s v="R"/>
    <s v="RS"/>
    <x v="0"/>
    <s v="HOU"/>
    <s v="H"/>
    <n v="1"/>
    <n v="1"/>
    <n v="0"/>
    <n v="0"/>
    <n v="0"/>
    <n v="0"/>
    <n v="1312.2617799446134"/>
    <n v="1482.3430596121138"/>
    <n v="0.37859319620172771"/>
    <n v="65"/>
    <n v="72"/>
    <n v="0"/>
    <n v="-7"/>
    <n v="0"/>
    <n v="0.32416223298253355"/>
    <n v="1"/>
    <n v="73.45"/>
    <n v="73.45"/>
    <n v="-9.0141964858532297"/>
    <n v="1303.2475834587601"/>
    <n v="0"/>
    <n v="1"/>
    <n v="0"/>
    <n v="0"/>
    <n v="0"/>
    <n v="0"/>
    <n v="0"/>
    <n v="0"/>
    <n v="0"/>
    <n v="0"/>
  </r>
  <r>
    <d v="2008-07-03T00:00:00"/>
    <n v="2008"/>
    <x v="16"/>
    <s v="R"/>
    <s v="RS"/>
    <x v="12"/>
    <s v="LAS"/>
    <s v="A"/>
    <n v="1"/>
    <n v="1"/>
    <n v="0"/>
    <n v="0"/>
    <n v="0"/>
    <n v="0"/>
    <n v="1473.0196400292502"/>
    <n v="1525.084218427658"/>
    <n v="0.31361971445555192"/>
    <n v="88"/>
    <n v="70"/>
    <n v="0"/>
    <n v="18"/>
    <n v="1"/>
    <n v="0.52409494675663759"/>
    <n v="1"/>
    <n v="73.45"/>
    <n v="73.45"/>
    <n v="26.422053859770546"/>
    <n v="1499.4416938890208"/>
    <n v="1"/>
    <n v="0"/>
    <n v="0"/>
    <n v="0"/>
    <n v="0"/>
    <n v="0"/>
    <n v="0"/>
    <n v="0"/>
    <n v="0"/>
    <n v="0"/>
  </r>
  <r>
    <d v="2008-07-03T00:00:00"/>
    <n v="2008"/>
    <x v="15"/>
    <s v="R"/>
    <s v="RS"/>
    <x v="6"/>
    <s v="MIN"/>
    <s v="H"/>
    <n v="1"/>
    <n v="1"/>
    <n v="0"/>
    <n v="0"/>
    <n v="0"/>
    <n v="0"/>
    <n v="1525.084218427658"/>
    <n v="1473.0196400292502"/>
    <n v="0.68638028554444808"/>
    <n v="70"/>
    <n v="88"/>
    <n v="0"/>
    <n v="-18"/>
    <n v="0"/>
    <n v="0.52409494675663759"/>
    <n v="1"/>
    <n v="73.599999999999994"/>
    <n v="73.599999999999994"/>
    <n v="-26.476013125651626"/>
    <n v="1498.6082053020064"/>
    <n v="0"/>
    <n v="1"/>
    <n v="0"/>
    <n v="0"/>
    <n v="0"/>
    <n v="0"/>
    <n v="0"/>
    <n v="0"/>
    <n v="0"/>
    <n v="0"/>
  </r>
  <r>
    <d v="2008-07-03T00:00:00"/>
    <n v="2008"/>
    <x v="16"/>
    <s v="R"/>
    <s v="RS"/>
    <x v="9"/>
    <s v="SAS"/>
    <s v="A"/>
    <n v="1"/>
    <n v="1"/>
    <n v="0"/>
    <n v="0"/>
    <n v="0"/>
    <n v="0"/>
    <n v="1493.1586264484188"/>
    <n v="1552.2476465206601"/>
    <n v="0.30498165545969924"/>
    <n v="67"/>
    <n v="68"/>
    <n v="0"/>
    <n v="-1"/>
    <n v="0"/>
    <n v="0.23272032436716833"/>
    <n v="1"/>
    <n v="73.45"/>
    <n v="73.45"/>
    <n v="-5.2131453176801328"/>
    <n v="1487.9454811307387"/>
    <n v="0"/>
    <n v="1"/>
    <n v="0"/>
    <n v="0"/>
    <n v="0"/>
    <n v="0"/>
    <n v="0"/>
    <n v="0"/>
    <n v="0"/>
    <n v="0"/>
  </r>
  <r>
    <d v="2008-07-03T00:00:00"/>
    <n v="2008"/>
    <x v="16"/>
    <s v="R"/>
    <s v="RS"/>
    <x v="8"/>
    <s v="SAC"/>
    <s v="H"/>
    <n v="1"/>
    <n v="1"/>
    <n v="0"/>
    <n v="0"/>
    <n v="0"/>
    <n v="0"/>
    <n v="1552.2476465206601"/>
    <n v="1493.1586264484188"/>
    <n v="0.69501834454030076"/>
    <n v="68"/>
    <n v="67"/>
    <n v="0"/>
    <n v="1"/>
    <n v="1"/>
    <n v="0.23272032436716833"/>
    <n v="1"/>
    <n v="73.45"/>
    <n v="73.45"/>
    <n v="5.2131453176801328"/>
    <n v="1557.4607918383401"/>
    <n v="1"/>
    <n v="0"/>
    <n v="0"/>
    <n v="0"/>
    <n v="0"/>
    <n v="0"/>
    <n v="0"/>
    <n v="0"/>
    <n v="0"/>
    <n v="0"/>
  </r>
  <r>
    <d v="2008-07-03T00:00:00"/>
    <n v="2008"/>
    <x v="15"/>
    <s v="R"/>
    <s v="RS"/>
    <x v="13"/>
    <s v="SEA"/>
    <s v="A"/>
    <n v="1"/>
    <n v="3"/>
    <n v="-2"/>
    <n v="2"/>
    <n v="-16"/>
    <n v="16"/>
    <n v="1508.1634314302883"/>
    <n v="1515.0777922734335"/>
    <n v="0.3301399979934746"/>
    <n v="71"/>
    <n v="84"/>
    <n v="0"/>
    <n v="-13"/>
    <n v="0"/>
    <n v="0.46933943712561321"/>
    <n v="1"/>
    <n v="73.599999999999994"/>
    <n v="73.599999999999994"/>
    <n v="-11.404152253154862"/>
    <n v="1496.7592791771333"/>
    <n v="0"/>
    <n v="1"/>
    <n v="0"/>
    <n v="0"/>
    <n v="0"/>
    <n v="0"/>
    <n v="0"/>
    <n v="0"/>
    <n v="0"/>
    <n v="0"/>
  </r>
  <r>
    <d v="2008-07-03T00:00:00"/>
    <n v="2008"/>
    <x v="16"/>
    <s v="R"/>
    <s v="RS"/>
    <x v="11"/>
    <s v="NYL"/>
    <s v="H"/>
    <n v="3"/>
    <n v="1"/>
    <n v="2"/>
    <n v="-2"/>
    <n v="16"/>
    <n v="-16"/>
    <n v="1515.0777922734335"/>
    <n v="1508.1634314302883"/>
    <n v="0.6698600020065254"/>
    <n v="84"/>
    <n v="71"/>
    <n v="0"/>
    <n v="13"/>
    <n v="1"/>
    <n v="0.46933943712561321"/>
    <n v="1"/>
    <n v="73.45"/>
    <n v="73.45"/>
    <n v="11.380910095030226"/>
    <n v="1526.4587023684637"/>
    <n v="1"/>
    <n v="0"/>
    <n v="0"/>
    <n v="0"/>
    <n v="0"/>
    <n v="0"/>
    <n v="0"/>
    <n v="0"/>
    <n v="0"/>
    <n v="0"/>
  </r>
  <r>
    <d v="2008-07-05T00:00:00"/>
    <n v="2008"/>
    <x v="15"/>
    <s v="R"/>
    <s v="RS"/>
    <x v="10"/>
    <s v="ATL"/>
    <s v="A"/>
    <n v="2"/>
    <n v="1"/>
    <n v="1"/>
    <n v="-1"/>
    <n v="8"/>
    <n v="-8"/>
    <n v="1435.326307483175"/>
    <n v="1303.2475834587601"/>
    <n v="0.59118512581646465"/>
    <n v="84"/>
    <n v="91"/>
    <n v="0"/>
    <n v="-7"/>
    <n v="0"/>
    <n v="0.33341017987495747"/>
    <n v="1"/>
    <n v="73.599999999999994"/>
    <n v="73.599999999999994"/>
    <n v="-14.507085440547"/>
    <n v="1420.8192220426281"/>
    <n v="0"/>
    <n v="1"/>
    <n v="0"/>
    <n v="0"/>
    <n v="0"/>
    <n v="0"/>
    <n v="0"/>
    <n v="0"/>
    <n v="0"/>
    <n v="0"/>
  </r>
  <r>
    <d v="2008-07-05T00:00:00"/>
    <n v="2008"/>
    <x v="17"/>
    <s v="R"/>
    <s v="RS"/>
    <x v="0"/>
    <s v="CHI"/>
    <s v="H"/>
    <n v="1"/>
    <n v="2"/>
    <n v="-1"/>
    <n v="1"/>
    <n v="-8"/>
    <n v="8"/>
    <n v="1303.2475834587601"/>
    <n v="1435.326307483175"/>
    <n v="0.4088148741835354"/>
    <n v="91"/>
    <n v="84"/>
    <n v="0"/>
    <n v="7"/>
    <n v="1"/>
    <n v="0.33341017987495747"/>
    <n v="1"/>
    <n v="73.3"/>
    <n v="73.3"/>
    <n v="14.447953298805638"/>
    <n v="1317.6955367575658"/>
    <n v="1"/>
    <n v="0"/>
    <n v="0"/>
    <n v="0"/>
    <n v="0"/>
    <n v="0"/>
    <n v="0"/>
    <n v="0"/>
    <n v="0"/>
    <n v="0"/>
  </r>
  <r>
    <d v="2008-07-05T00:00:00"/>
    <n v="2008"/>
    <x v="17"/>
    <s v="R"/>
    <s v="RS"/>
    <x v="9"/>
    <s v="HOU"/>
    <s v="A"/>
    <n v="1"/>
    <n v="1"/>
    <n v="0"/>
    <n v="0"/>
    <n v="0"/>
    <n v="0"/>
    <n v="1487.9454811307387"/>
    <n v="1491.3572560979671"/>
    <n v="0.3767930321300606"/>
    <n v="65"/>
    <n v="73"/>
    <n v="0"/>
    <n v="-8"/>
    <n v="0"/>
    <n v="0.3872146273591982"/>
    <n v="1"/>
    <n v="73.3"/>
    <n v="73.3"/>
    <n v="-10.694453399586553"/>
    <n v="1477.2510277311521"/>
    <n v="0"/>
    <n v="1"/>
    <n v="0"/>
    <n v="0"/>
    <n v="0"/>
    <n v="0"/>
    <n v="0"/>
    <n v="0"/>
    <n v="0"/>
    <n v="0"/>
  </r>
  <r>
    <d v="2008-07-05T00:00:00"/>
    <n v="2008"/>
    <x v="17"/>
    <s v="R"/>
    <s v="RS"/>
    <x v="2"/>
    <s v="SAC"/>
    <s v="H"/>
    <n v="1"/>
    <n v="1"/>
    <n v="0"/>
    <n v="0"/>
    <n v="0"/>
    <n v="0"/>
    <n v="1491.3572560979671"/>
    <n v="1487.9454811307387"/>
    <n v="0.62320696786993934"/>
    <n v="73"/>
    <n v="65"/>
    <n v="0"/>
    <n v="8"/>
    <n v="1"/>
    <n v="0.3872146273591982"/>
    <n v="1"/>
    <n v="73.3"/>
    <n v="73.3"/>
    <n v="10.694453399586553"/>
    <n v="1502.0517094975537"/>
    <n v="1"/>
    <n v="0"/>
    <n v="0"/>
    <n v="0"/>
    <n v="0"/>
    <n v="0"/>
    <n v="0"/>
    <n v="0"/>
    <n v="0"/>
    <n v="0"/>
  </r>
  <r>
    <d v="2008-07-05T00:00:00"/>
    <n v="2008"/>
    <x v="18"/>
    <s v="R"/>
    <s v="RS"/>
    <x v="1"/>
    <s v="IND"/>
    <s v="A"/>
    <n v="3"/>
    <n v="2"/>
    <n v="1"/>
    <n v="-1"/>
    <n v="8"/>
    <n v="-8"/>
    <n v="1592.3811386200248"/>
    <n v="1511.5470435734946"/>
    <n v="0.51846135122422599"/>
    <n v="74"/>
    <n v="81"/>
    <n v="0"/>
    <n v="-7"/>
    <n v="0"/>
    <n v="0.34674951947500254"/>
    <n v="1"/>
    <n v="73.150000000000006"/>
    <n v="73.150000000000006"/>
    <n v="-13.150630815105851"/>
    <n v="1579.2305078049189"/>
    <n v="0"/>
    <n v="1"/>
    <n v="0"/>
    <n v="0"/>
    <n v="0"/>
    <n v="0"/>
    <n v="0"/>
    <n v="0"/>
    <n v="0"/>
    <n v="0"/>
  </r>
  <r>
    <d v="2008-07-05T00:00:00"/>
    <n v="2008"/>
    <x v="16"/>
    <s v="R"/>
    <s v="RS"/>
    <x v="5"/>
    <s v="CON"/>
    <s v="H"/>
    <n v="2"/>
    <n v="3"/>
    <n v="-1"/>
    <n v="1"/>
    <n v="-8"/>
    <n v="8"/>
    <n v="1511.5470435734946"/>
    <n v="1592.3811386200248"/>
    <n v="0.48153864877577407"/>
    <n v="81"/>
    <n v="74"/>
    <n v="0"/>
    <n v="7"/>
    <n v="1"/>
    <n v="0.34674951947500254"/>
    <n v="1"/>
    <n v="73.45"/>
    <n v="73.45"/>
    <n v="13.204563682426858"/>
    <n v="1524.7516072559215"/>
    <n v="1"/>
    <n v="0"/>
    <n v="0"/>
    <n v="0"/>
    <n v="0"/>
    <n v="0"/>
    <n v="0"/>
    <n v="0"/>
    <n v="0"/>
    <n v="0"/>
  </r>
  <r>
    <d v="2008-07-05T00:00:00"/>
    <n v="2008"/>
    <x v="16"/>
    <s v="R"/>
    <s v="RS"/>
    <x v="13"/>
    <s v="PHX"/>
    <s v="A"/>
    <n v="1"/>
    <n v="3"/>
    <n v="-2"/>
    <n v="2"/>
    <n v="-16"/>
    <n v="16"/>
    <n v="1496.7592791771333"/>
    <n v="1585.0390361975335"/>
    <n v="0.23578499676600395"/>
    <n v="93"/>
    <n v="83"/>
    <n v="0"/>
    <n v="10"/>
    <n v="1"/>
    <n v="0.39413460968532499"/>
    <n v="1"/>
    <n v="73.45"/>
    <n v="73.45"/>
    <n v="22.123403099023818"/>
    <n v="1518.8826822761571"/>
    <n v="1"/>
    <n v="0"/>
    <n v="0"/>
    <n v="0"/>
    <n v="0"/>
    <n v="0"/>
    <n v="0"/>
    <n v="0"/>
    <n v="0"/>
    <n v="0"/>
  </r>
  <r>
    <d v="2008-07-05T00:00:00"/>
    <n v="2008"/>
    <x v="15"/>
    <s v="R"/>
    <s v="RS"/>
    <x v="7"/>
    <s v="NYL"/>
    <s v="H"/>
    <n v="3"/>
    <n v="1"/>
    <n v="2"/>
    <n v="-2"/>
    <n v="16"/>
    <n v="-16"/>
    <n v="1585.0390361975335"/>
    <n v="1496.7592791771333"/>
    <n v="0.76421500323399616"/>
    <n v="83"/>
    <n v="93"/>
    <n v="0"/>
    <n v="-10"/>
    <n v="0"/>
    <n v="0.39413460968532499"/>
    <n v="1"/>
    <n v="73.599999999999994"/>
    <n v="73.599999999999994"/>
    <n v="-22.168583636326112"/>
    <n v="1562.8704525612075"/>
    <n v="0"/>
    <n v="1"/>
    <n v="0"/>
    <n v="0"/>
    <n v="0"/>
    <n v="0"/>
    <n v="0"/>
    <n v="0"/>
    <n v="0"/>
    <n v="0"/>
  </r>
  <r>
    <d v="2008-07-05T00:00:00"/>
    <n v="2008"/>
    <x v="17"/>
    <s v="R"/>
    <s v="RS"/>
    <x v="12"/>
    <s v="SEA"/>
    <s v="A"/>
    <n v="1"/>
    <n v="1"/>
    <n v="0"/>
    <n v="0"/>
    <n v="0"/>
    <n v="0"/>
    <n v="1499.4416938890208"/>
    <n v="1526.4587023684637"/>
    <n v="0.34545786649254601"/>
    <n v="71"/>
    <n v="96"/>
    <n v="0"/>
    <n v="-25"/>
    <n v="0"/>
    <n v="0.62722328113962877"/>
    <n v="1"/>
    <n v="73.3"/>
    <n v="73.3"/>
    <n v="-15.882586570692474"/>
    <n v="1483.5591073183284"/>
    <n v="0"/>
    <n v="1"/>
    <n v="0"/>
    <n v="0"/>
    <n v="0"/>
    <n v="0"/>
    <n v="0"/>
    <n v="0"/>
    <n v="0"/>
    <n v="0"/>
  </r>
  <r>
    <d v="2008-07-05T00:00:00"/>
    <n v="2008"/>
    <x v="17"/>
    <s v="R"/>
    <s v="RS"/>
    <x v="11"/>
    <s v="MIN"/>
    <s v="H"/>
    <n v="1"/>
    <n v="1"/>
    <n v="0"/>
    <n v="0"/>
    <n v="0"/>
    <n v="0"/>
    <n v="1526.4587023684637"/>
    <n v="1499.4416938890208"/>
    <n v="0.65454213350745405"/>
    <n v="96"/>
    <n v="71"/>
    <n v="0"/>
    <n v="25"/>
    <n v="1"/>
    <n v="0.62722328113962877"/>
    <n v="1"/>
    <n v="73.3"/>
    <n v="73.3"/>
    <n v="15.882586570692471"/>
    <n v="1542.3412889391561"/>
    <n v="1"/>
    <n v="0"/>
    <n v="0"/>
    <n v="0"/>
    <n v="0"/>
    <n v="0"/>
    <n v="0"/>
    <n v="0"/>
    <n v="0"/>
    <n v="0"/>
  </r>
  <r>
    <d v="2008-07-06T00:00:00"/>
    <n v="2008"/>
    <x v="16"/>
    <s v="R"/>
    <s v="RS"/>
    <x v="7"/>
    <s v="LAS"/>
    <s v="A"/>
    <n v="0"/>
    <n v="2"/>
    <n v="-2"/>
    <n v="2"/>
    <n v="-16"/>
    <n v="16"/>
    <n v="1562.8704525612075"/>
    <n v="1498.6082053020064"/>
    <n v="0.42608891242674291"/>
    <n v="80"/>
    <n v="91"/>
    <n v="0"/>
    <n v="-11"/>
    <n v="0"/>
    <n v="0.41747917843262672"/>
    <n v="1"/>
    <n v="73.45"/>
    <n v="73.45"/>
    <n v="-13.065524646333895"/>
    <n v="1549.8049279148736"/>
    <n v="0"/>
    <n v="1"/>
    <n v="0"/>
    <n v="0"/>
    <n v="0"/>
    <n v="0"/>
    <n v="0"/>
    <n v="0"/>
    <n v="0"/>
    <n v="0"/>
  </r>
  <r>
    <d v="2008-07-06T00:00:00"/>
    <n v="2008"/>
    <x v="16"/>
    <s v="R"/>
    <s v="RS"/>
    <x v="6"/>
    <s v="PHX"/>
    <s v="H"/>
    <n v="2"/>
    <n v="0"/>
    <n v="2"/>
    <n v="-2"/>
    <n v="16"/>
    <n v="-16"/>
    <n v="1498.6082053020064"/>
    <n v="1562.8704525612075"/>
    <n v="0.57391108757325715"/>
    <n v="91"/>
    <n v="80"/>
    <n v="0"/>
    <n v="11"/>
    <n v="1"/>
    <n v="0.41747917843262672"/>
    <n v="1"/>
    <n v="73.45"/>
    <n v="73.45"/>
    <n v="13.065524646333893"/>
    <n v="1511.6737299483402"/>
    <n v="1"/>
    <n v="0"/>
    <n v="0"/>
    <n v="0"/>
    <n v="0"/>
    <n v="0"/>
    <n v="0"/>
    <n v="0"/>
    <n v="0"/>
    <n v="0"/>
  </r>
  <r>
    <d v="2008-07-06T00:00:00"/>
    <n v="2008"/>
    <x v="17"/>
    <s v="R"/>
    <s v="RS"/>
    <x v="8"/>
    <s v="WAS"/>
    <s v="A"/>
    <n v="2"/>
    <n v="4"/>
    <n v="-2"/>
    <n v="2"/>
    <n v="-16"/>
    <n v="16"/>
    <n v="1557.4607918383401"/>
    <n v="1448.1125627642643"/>
    <n v="0.49042850156945295"/>
    <n v="83"/>
    <n v="75"/>
    <n v="0"/>
    <n v="8"/>
    <n v="1"/>
    <n v="0.35588595276378848"/>
    <n v="1"/>
    <n v="73.3"/>
    <n v="73.3"/>
    <n v="13.29290649154261"/>
    <n v="1570.7536983298828"/>
    <n v="1"/>
    <n v="0"/>
    <n v="0"/>
    <n v="0"/>
    <n v="0"/>
    <n v="0"/>
    <n v="0"/>
    <n v="0"/>
    <n v="0"/>
    <n v="0"/>
  </r>
  <r>
    <d v="2008-07-06T00:00:00"/>
    <n v="2008"/>
    <x v="16"/>
    <s v="R"/>
    <s v="RS"/>
    <x v="4"/>
    <s v="SAS"/>
    <s v="H"/>
    <n v="4"/>
    <n v="2"/>
    <n v="2"/>
    <n v="-2"/>
    <n v="16"/>
    <n v="-16"/>
    <n v="1448.1125627642643"/>
    <n v="1557.4607918383401"/>
    <n v="0.50957149843054705"/>
    <n v="75"/>
    <n v="83"/>
    <n v="0"/>
    <n v="-8"/>
    <n v="0"/>
    <n v="0.35588595276378848"/>
    <n v="1"/>
    <n v="73.45"/>
    <n v="73.45"/>
    <n v="-13.320108892275643"/>
    <n v="1434.7924538719888"/>
    <n v="0"/>
    <n v="1"/>
    <n v="0"/>
    <n v="0"/>
    <n v="0"/>
    <n v="0"/>
    <n v="0"/>
    <n v="0"/>
    <n v="0"/>
    <n v="0"/>
  </r>
  <r>
    <d v="2008-07-08T00:00:00"/>
    <n v="2008"/>
    <x v="19"/>
    <s v="R"/>
    <s v="RS"/>
    <x v="1"/>
    <s v="DET"/>
    <s v="A"/>
    <n v="2"/>
    <n v="6"/>
    <n v="-4"/>
    <n v="4"/>
    <n v="-16"/>
    <n v="16"/>
    <n v="1579.2305078049189"/>
    <n v="1592.1510778246115"/>
    <n v="0.32253932133632252"/>
    <n v="82"/>
    <n v="88"/>
    <n v="0"/>
    <n v="-6"/>
    <n v="0"/>
    <n v="0.34753876200017453"/>
    <n v="1"/>
    <n v="73"/>
    <n v="73"/>
    <n v="-8.1829288996529463"/>
    <n v="1571.0475789052659"/>
    <n v="0"/>
    <n v="1"/>
    <n v="0"/>
    <n v="0"/>
    <n v="0"/>
    <n v="0"/>
    <n v="0"/>
    <n v="0"/>
    <n v="0"/>
    <n v="0"/>
  </r>
  <r>
    <d v="2008-07-08T00:00:00"/>
    <n v="2008"/>
    <x v="18"/>
    <s v="R"/>
    <s v="RS"/>
    <x v="3"/>
    <s v="CON"/>
    <s v="H"/>
    <n v="6"/>
    <n v="2"/>
    <n v="4"/>
    <n v="-4"/>
    <n v="16"/>
    <n v="-16"/>
    <n v="1592.1510778246115"/>
    <n v="1579.2305078049189"/>
    <n v="0.67746067866367743"/>
    <n v="88"/>
    <n v="82"/>
    <n v="0"/>
    <n v="6"/>
    <n v="1"/>
    <n v="0.34753876200017453"/>
    <n v="1"/>
    <n v="73.150000000000006"/>
    <n v="73.150000000000006"/>
    <n v="8.1997431371179879"/>
    <n v="1600.3508209617296"/>
    <n v="1"/>
    <n v="0"/>
    <n v="0"/>
    <n v="0"/>
    <n v="0"/>
    <n v="0"/>
    <n v="0"/>
    <n v="0"/>
    <n v="0"/>
    <n v="0"/>
  </r>
  <r>
    <d v="2008-07-08T00:00:00"/>
    <n v="2008"/>
    <x v="18"/>
    <s v="R"/>
    <s v="RS"/>
    <x v="2"/>
    <s v="PHX"/>
    <s v="A"/>
    <n v="2"/>
    <n v="1"/>
    <n v="1"/>
    <n v="-1"/>
    <n v="8"/>
    <n v="-8"/>
    <n v="1502.0517094975537"/>
    <n v="1549.8049279148736"/>
    <n v="0.33931930609645994"/>
    <n v="94"/>
    <n v="99"/>
    <n v="0"/>
    <n v="-5"/>
    <n v="0"/>
    <n v="0.31905922154900623"/>
    <n v="1"/>
    <n v="73.150000000000006"/>
    <n v="73.150000000000006"/>
    <n v="-7.9194350602059931"/>
    <n v="1494.1322744373476"/>
    <n v="0"/>
    <n v="1"/>
    <n v="0"/>
    <n v="0"/>
    <n v="0"/>
    <n v="0"/>
    <n v="0"/>
    <n v="0"/>
    <n v="0"/>
    <n v="0"/>
  </r>
  <r>
    <d v="2008-07-08T00:00:00"/>
    <n v="2008"/>
    <x v="17"/>
    <s v="R"/>
    <s v="RS"/>
    <x v="7"/>
    <s v="HOU"/>
    <s v="H"/>
    <n v="1"/>
    <n v="2"/>
    <n v="-1"/>
    <n v="1"/>
    <n v="-8"/>
    <n v="8"/>
    <n v="1549.8049279148736"/>
    <n v="1502.0517094975537"/>
    <n v="0.66068069390354001"/>
    <n v="99"/>
    <n v="94"/>
    <n v="0"/>
    <n v="5"/>
    <n v="1"/>
    <n v="0.31905922154900623"/>
    <n v="1"/>
    <n v="73.3"/>
    <n v="73.3"/>
    <n v="7.9356745032549467"/>
    <n v="1557.7406024181284"/>
    <n v="1"/>
    <n v="0"/>
    <n v="0"/>
    <n v="0"/>
    <n v="0"/>
    <n v="0"/>
    <n v="0"/>
    <n v="0"/>
    <n v="0"/>
    <n v="0"/>
  </r>
  <r>
    <d v="2008-07-08T00:00:00"/>
    <n v="2008"/>
    <x v="18"/>
    <s v="R"/>
    <s v="RS"/>
    <x v="11"/>
    <s v="SAC"/>
    <s v="A"/>
    <n v="2"/>
    <n v="2"/>
    <n v="0"/>
    <n v="0"/>
    <n v="0"/>
    <n v="0"/>
    <n v="1542.3412889391561"/>
    <n v="1477.2510277311521"/>
    <n v="0.47281353745375859"/>
    <n v="79"/>
    <n v="64"/>
    <n v="0"/>
    <n v="15"/>
    <n v="1"/>
    <n v="0.47697595354052236"/>
    <n v="1"/>
    <n v="73.150000000000006"/>
    <n v="73.150000000000006"/>
    <n v="18.39395268351533"/>
    <n v="1560.7352416226715"/>
    <n v="1"/>
    <n v="0"/>
    <n v="0"/>
    <n v="0"/>
    <n v="0"/>
    <n v="0"/>
    <n v="0"/>
    <n v="0"/>
    <n v="0"/>
    <n v="0"/>
  </r>
  <r>
    <d v="2008-07-08T00:00:00"/>
    <n v="2008"/>
    <x v="18"/>
    <s v="R"/>
    <s v="RS"/>
    <x v="9"/>
    <s v="SEA"/>
    <s v="H"/>
    <n v="2"/>
    <n v="2"/>
    <n v="0"/>
    <n v="0"/>
    <n v="0"/>
    <n v="0"/>
    <n v="1477.2510277311521"/>
    <n v="1542.3412889391561"/>
    <n v="0.52718646254624135"/>
    <n v="64"/>
    <n v="79"/>
    <n v="0"/>
    <n v="-15"/>
    <n v="0"/>
    <n v="0.47697595354052236"/>
    <n v="1"/>
    <n v="73.150000000000006"/>
    <n v="73.150000000000006"/>
    <n v="-18.393952683515327"/>
    <n v="1458.8570750476367"/>
    <n v="0"/>
    <n v="1"/>
    <n v="0"/>
    <n v="0"/>
    <n v="0"/>
    <n v="0"/>
    <n v="0"/>
    <n v="0"/>
    <n v="0"/>
    <n v="0"/>
  </r>
  <r>
    <d v="2008-07-08T00:00:00"/>
    <n v="2008"/>
    <x v="17"/>
    <s v="R"/>
    <s v="RS"/>
    <x v="13"/>
    <s v="SAS"/>
    <s v="A"/>
    <n v="2"/>
    <n v="1"/>
    <n v="1"/>
    <n v="-1"/>
    <n v="8"/>
    <n v="-8"/>
    <n v="1518.8826822761571"/>
    <n v="1570.7536983298828"/>
    <n v="0.33402572412821641"/>
    <n v="79"/>
    <n v="83"/>
    <n v="0"/>
    <n v="-4"/>
    <n v="0"/>
    <n v="0.29852858408906285"/>
    <n v="1"/>
    <n v="73.3"/>
    <n v="73.3"/>
    <n v="-7.309199400494383"/>
    <n v="1511.5734828756626"/>
    <n v="0"/>
    <n v="1"/>
    <n v="0"/>
    <n v="0"/>
    <n v="0"/>
    <n v="0"/>
    <n v="0"/>
    <n v="0"/>
    <n v="0"/>
    <n v="0"/>
  </r>
  <r>
    <d v="2008-07-08T00:00:00"/>
    <n v="2008"/>
    <x v="18"/>
    <s v="R"/>
    <s v="RS"/>
    <x v="8"/>
    <s v="NYL"/>
    <s v="H"/>
    <n v="1"/>
    <n v="2"/>
    <n v="-1"/>
    <n v="1"/>
    <n v="-8"/>
    <n v="8"/>
    <n v="1570.7536983298828"/>
    <n v="1518.8826822761571"/>
    <n v="0.66597427587178359"/>
    <n v="83"/>
    <n v="79"/>
    <n v="0"/>
    <n v="4"/>
    <n v="1"/>
    <n v="0.29852858408906285"/>
    <n v="1"/>
    <n v="73.150000000000006"/>
    <n v="73.150000000000006"/>
    <n v="7.2942419665233844"/>
    <n v="1578.0479402964063"/>
    <n v="1"/>
    <n v="0"/>
    <n v="0"/>
    <n v="0"/>
    <n v="0"/>
    <n v="0"/>
    <n v="0"/>
    <n v="0"/>
    <n v="0"/>
    <n v="0"/>
  </r>
  <r>
    <d v="2008-07-08T00:00:00"/>
    <n v="2008"/>
    <x v="17"/>
    <s v="R"/>
    <s v="RS"/>
    <x v="5"/>
    <s v="WAS"/>
    <s v="A"/>
    <n v="2"/>
    <n v="1"/>
    <n v="1"/>
    <n v="-1"/>
    <n v="8"/>
    <n v="-8"/>
    <n v="1524.7516072559215"/>
    <n v="1434.7924538719888"/>
    <n v="0.53155974945273965"/>
    <n v="48"/>
    <n v="50"/>
    <n v="0"/>
    <n v="-2"/>
    <n v="0"/>
    <n v="0.24916260652785349"/>
    <n v="1"/>
    <n v="73.3"/>
    <n v="73.3"/>
    <n v="-9.7082047708321078"/>
    <n v="1515.0434024850895"/>
    <n v="0"/>
    <n v="1"/>
    <n v="0"/>
    <n v="0"/>
    <n v="0"/>
    <n v="0"/>
    <n v="0"/>
    <n v="0"/>
    <n v="0"/>
    <n v="0"/>
  </r>
  <r>
    <d v="2008-07-08T00:00:00"/>
    <n v="2008"/>
    <x v="17"/>
    <s v="R"/>
    <s v="RS"/>
    <x v="4"/>
    <s v="IND"/>
    <s v="H"/>
    <n v="1"/>
    <n v="2"/>
    <n v="-1"/>
    <n v="1"/>
    <n v="-8"/>
    <n v="8"/>
    <n v="1434.7924538719888"/>
    <n v="1524.7516072559215"/>
    <n v="0.46844025054726046"/>
    <n v="50"/>
    <n v="48"/>
    <n v="0"/>
    <n v="2"/>
    <n v="1"/>
    <n v="0.24916260652785349"/>
    <n v="1"/>
    <n v="73.3"/>
    <n v="73.3"/>
    <n v="9.708204770832106"/>
    <n v="1444.5006586428208"/>
    <n v="1"/>
    <n v="0"/>
    <n v="0"/>
    <n v="0"/>
    <n v="0"/>
    <n v="0"/>
    <n v="0"/>
    <n v="0"/>
    <n v="0"/>
    <n v="0"/>
  </r>
  <r>
    <d v="2008-07-09T00:00:00"/>
    <n v="2008"/>
    <x v="19"/>
    <s v="R"/>
    <s v="RS"/>
    <x v="2"/>
    <s v="LAS"/>
    <s v="A"/>
    <n v="0"/>
    <n v="2"/>
    <n v="-2"/>
    <n v="2"/>
    <n v="-16"/>
    <n v="16"/>
    <n v="1494.1322744373476"/>
    <n v="1511.6737299483402"/>
    <n v="0.3167546733183802"/>
    <n v="74"/>
    <n v="82"/>
    <n v="1"/>
    <n v="-8"/>
    <n v="0"/>
    <n v="0.34444886940398683"/>
    <n v="1"/>
    <n v="73"/>
    <n v="73"/>
    <n v="-7.9647226045150035"/>
    <n v="1486.1675518328327"/>
    <n v="0"/>
    <n v="1"/>
    <n v="0"/>
    <n v="0"/>
    <n v="0"/>
    <n v="0"/>
    <n v="0"/>
    <n v="0"/>
    <n v="0"/>
    <n v="0"/>
  </r>
  <r>
    <d v="2008-07-09T00:00:00"/>
    <n v="2008"/>
    <x v="17"/>
    <s v="R"/>
    <s v="RS"/>
    <x v="6"/>
    <s v="HOU"/>
    <s v="H"/>
    <n v="2"/>
    <n v="0"/>
    <n v="2"/>
    <n v="-2"/>
    <n v="16"/>
    <n v="-16"/>
    <n v="1511.6737299483402"/>
    <n v="1494.1322744373476"/>
    <n v="0.68324532668161975"/>
    <n v="82"/>
    <n v="74"/>
    <n v="1"/>
    <n v="8"/>
    <n v="1"/>
    <n v="0.34444886940398683"/>
    <n v="1"/>
    <n v="73.3"/>
    <n v="73.3"/>
    <n v="7.9974543412458878"/>
    <n v="1519.6711842895861"/>
    <n v="1"/>
    <n v="0"/>
    <n v="0"/>
    <n v="0"/>
    <n v="0"/>
    <n v="0"/>
    <n v="0"/>
    <n v="0"/>
    <n v="0"/>
    <n v="0"/>
  </r>
  <r>
    <d v="2008-07-09T00:00:00"/>
    <n v="2008"/>
    <x v="18"/>
    <s v="R"/>
    <s v="RS"/>
    <x v="0"/>
    <s v="MIN"/>
    <s v="A"/>
    <n v="3"/>
    <n v="3"/>
    <n v="0"/>
    <n v="0"/>
    <n v="0"/>
    <n v="0"/>
    <n v="1317.6955367575658"/>
    <n v="1483.5591073183284"/>
    <n v="0.19180403936367391"/>
    <n v="73"/>
    <n v="67"/>
    <n v="0"/>
    <n v="6"/>
    <n v="1"/>
    <n v="0.3086230004187942"/>
    <n v="1"/>
    <n v="73.150000000000006"/>
    <n v="73.150000000000006"/>
    <n v="18.245648127093773"/>
    <n v="1335.9411848846596"/>
    <n v="1"/>
    <n v="0"/>
    <n v="0"/>
    <n v="0"/>
    <n v="0"/>
    <n v="0"/>
    <n v="0"/>
    <n v="0"/>
    <n v="0"/>
    <n v="0"/>
  </r>
  <r>
    <d v="2008-07-09T00:00:00"/>
    <n v="2008"/>
    <x v="18"/>
    <s v="R"/>
    <s v="RS"/>
    <x v="12"/>
    <s v="ATL"/>
    <s v="H"/>
    <n v="3"/>
    <n v="3"/>
    <n v="0"/>
    <n v="0"/>
    <n v="0"/>
    <n v="0"/>
    <n v="1483.5591073183284"/>
    <n v="1317.6955367575658"/>
    <n v="0.80819596063632615"/>
    <n v="67"/>
    <n v="73"/>
    <n v="0"/>
    <n v="-6"/>
    <n v="0"/>
    <n v="0.3086230004187942"/>
    <n v="1"/>
    <n v="73.150000000000006"/>
    <n v="73.150000000000006"/>
    <n v="-18.245648127093776"/>
    <n v="1465.3134591912346"/>
    <n v="0"/>
    <n v="1"/>
    <n v="0"/>
    <n v="0"/>
    <n v="0"/>
    <n v="0"/>
    <n v="0"/>
    <n v="0"/>
    <n v="0"/>
    <n v="0"/>
  </r>
  <r>
    <d v="2008-07-10T00:00:00"/>
    <n v="2008"/>
    <x v="19"/>
    <s v="R"/>
    <s v="RS"/>
    <x v="8"/>
    <s v="CHI"/>
    <s v="A"/>
    <n v="1"/>
    <n v="4"/>
    <n v="-3"/>
    <n v="3"/>
    <n v="-16"/>
    <n v="16"/>
    <n v="1578.0479402964063"/>
    <n v="1420.8192220426281"/>
    <n v="0.55905595473152259"/>
    <n v="75"/>
    <n v="67"/>
    <n v="0"/>
    <n v="8"/>
    <n v="1"/>
    <n v="0.34333096237687827"/>
    <n v="1"/>
    <n v="73"/>
    <n v="73"/>
    <n v="11.051451269395749"/>
    <n v="1589.0993915658021"/>
    <n v="1"/>
    <n v="0"/>
    <n v="0"/>
    <n v="0"/>
    <n v="0"/>
    <n v="0"/>
    <n v="0"/>
    <n v="0"/>
    <n v="0"/>
    <n v="0"/>
  </r>
  <r>
    <d v="2008-07-10T00:00:00"/>
    <n v="2008"/>
    <x v="16"/>
    <s v="R"/>
    <s v="RS"/>
    <x v="10"/>
    <s v="SAS"/>
    <s v="H"/>
    <n v="4"/>
    <n v="1"/>
    <n v="3"/>
    <n v="-3"/>
    <n v="16"/>
    <n v="-16"/>
    <n v="1420.8192220426281"/>
    <n v="1578.0479402964063"/>
    <n v="0.44094404526847752"/>
    <n v="67"/>
    <n v="75"/>
    <n v="0"/>
    <n v="-8"/>
    <n v="0"/>
    <n v="0.34333096237687827"/>
    <n v="1"/>
    <n v="73.45"/>
    <n v="73.45"/>
    <n v="-11.119576653933123"/>
    <n v="1409.699645388695"/>
    <n v="0"/>
    <n v="1"/>
    <n v="0"/>
    <n v="0"/>
    <n v="0"/>
    <n v="0"/>
    <n v="0"/>
    <n v="0"/>
    <n v="0"/>
    <n v="0"/>
  </r>
  <r>
    <d v="2008-07-10T00:00:00"/>
    <n v="2008"/>
    <x v="18"/>
    <s v="R"/>
    <s v="RS"/>
    <x v="6"/>
    <s v="SAC"/>
    <s v="A"/>
    <n v="0"/>
    <n v="1"/>
    <n v="-1"/>
    <n v="1"/>
    <n v="-8"/>
    <n v="8"/>
    <n v="1519.6711842895861"/>
    <n v="1458.8570750476367"/>
    <n v="0.44384487909604076"/>
    <n v="69"/>
    <n v="87"/>
    <n v="0"/>
    <n v="-18"/>
    <n v="0"/>
    <n v="0.52045794359496733"/>
    <n v="1"/>
    <n v="73.150000000000006"/>
    <n v="73.150000000000006"/>
    <n v="-16.897839681569632"/>
    <n v="1502.7733446080165"/>
    <n v="0"/>
    <n v="1"/>
    <n v="0"/>
    <n v="0"/>
    <n v="0"/>
    <n v="0"/>
    <n v="0"/>
    <n v="0"/>
    <n v="0"/>
    <n v="0"/>
  </r>
  <r>
    <d v="2008-07-10T00:00:00"/>
    <n v="2008"/>
    <x v="19"/>
    <s v="R"/>
    <s v="RS"/>
    <x v="9"/>
    <s v="LAS"/>
    <s v="H"/>
    <n v="1"/>
    <n v="0"/>
    <n v="1"/>
    <n v="-1"/>
    <n v="8"/>
    <n v="-8"/>
    <n v="1458.8570750476367"/>
    <n v="1519.6711842895861"/>
    <n v="0.55615512090395913"/>
    <n v="87"/>
    <n v="69"/>
    <n v="0"/>
    <n v="18"/>
    <n v="1"/>
    <n v="0.52045794359496733"/>
    <n v="1"/>
    <n v="73"/>
    <n v="73"/>
    <n v="16.863189292612208"/>
    <n v="1475.7202643402488"/>
    <n v="1"/>
    <n v="0"/>
    <n v="0"/>
    <n v="0"/>
    <n v="0"/>
    <n v="0"/>
    <n v="0"/>
    <n v="0"/>
    <n v="0"/>
    <n v="0"/>
  </r>
  <r>
    <d v="2008-07-10T00:00:00"/>
    <n v="2008"/>
    <x v="18"/>
    <s v="R"/>
    <s v="RS"/>
    <x v="7"/>
    <s v="SEA"/>
    <s v="A"/>
    <n v="1"/>
    <n v="1"/>
    <n v="0"/>
    <n v="0"/>
    <n v="0"/>
    <n v="0"/>
    <n v="1557.7406024181284"/>
    <n v="1560.7352416226715"/>
    <n v="0.37735705482758436"/>
    <n v="78"/>
    <n v="89"/>
    <n v="0"/>
    <n v="-11"/>
    <n v="0"/>
    <n v="0.4387410775646991"/>
    <n v="1"/>
    <n v="73.150000000000006"/>
    <n v="73.150000000000006"/>
    <n v="-12.110863289033034"/>
    <n v="1545.6297391290955"/>
    <n v="0"/>
    <n v="1"/>
    <n v="0"/>
    <n v="0"/>
    <n v="0"/>
    <n v="0"/>
    <n v="0"/>
    <n v="0"/>
    <n v="0"/>
    <n v="0"/>
  </r>
  <r>
    <d v="2008-07-10T00:00:00"/>
    <n v="2008"/>
    <x v="19"/>
    <s v="R"/>
    <s v="RS"/>
    <x v="11"/>
    <s v="PHX"/>
    <s v="H"/>
    <n v="1"/>
    <n v="1"/>
    <n v="0"/>
    <n v="0"/>
    <n v="0"/>
    <n v="0"/>
    <n v="1560.7352416226715"/>
    <n v="1557.7406024181284"/>
    <n v="0.6226429451724157"/>
    <n v="89"/>
    <n v="78"/>
    <n v="0"/>
    <n v="11"/>
    <n v="1"/>
    <n v="0.4387410775646991"/>
    <n v="1"/>
    <n v="73"/>
    <n v="73"/>
    <n v="12.086028982903779"/>
    <n v="1572.8212706055754"/>
    <n v="1"/>
    <n v="0"/>
    <n v="0"/>
    <n v="0"/>
    <n v="0"/>
    <n v="0"/>
    <n v="0"/>
    <n v="0"/>
    <n v="0"/>
    <n v="0"/>
  </r>
  <r>
    <d v="2008-07-11T00:00:00"/>
    <n v="2008"/>
    <x v="18"/>
    <s v="R"/>
    <s v="RS"/>
    <x v="4"/>
    <s v="DET"/>
    <s v="A"/>
    <n v="2"/>
    <n v="2"/>
    <n v="0"/>
    <n v="0"/>
    <n v="0"/>
    <n v="0"/>
    <n v="1444.5006586428208"/>
    <n v="1600.3508209617296"/>
    <n v="0.20089844306177443"/>
    <n v="66"/>
    <n v="79"/>
    <n v="0"/>
    <n v="-13"/>
    <n v="0"/>
    <n v="0.41778400189010423"/>
    <n v="1"/>
    <n v="73.150000000000006"/>
    <n v="73.150000000000006"/>
    <n v="-6.1396371759836503"/>
    <n v="1438.3610214668372"/>
    <n v="0"/>
    <n v="1"/>
    <n v="0"/>
    <n v="0"/>
    <n v="0"/>
    <n v="0"/>
    <n v="0"/>
    <n v="0"/>
    <n v="0"/>
    <n v="0"/>
  </r>
  <r>
    <d v="2008-07-11T00:00:00"/>
    <n v="2008"/>
    <x v="19"/>
    <s v="R"/>
    <s v="RS"/>
    <x v="3"/>
    <s v="WAS"/>
    <s v="H"/>
    <n v="2"/>
    <n v="2"/>
    <n v="0"/>
    <n v="0"/>
    <n v="0"/>
    <n v="0"/>
    <n v="1600.3508209617296"/>
    <n v="1444.5006586428208"/>
    <n v="0.79910155693822571"/>
    <n v="79"/>
    <n v="66"/>
    <n v="0"/>
    <n v="13"/>
    <n v="1"/>
    <n v="0.41778400189010423"/>
    <n v="1"/>
    <n v="73"/>
    <n v="73"/>
    <n v="6.1270473526562697"/>
    <n v="1606.4778683143859"/>
    <n v="1"/>
    <n v="0"/>
    <n v="0"/>
    <n v="0"/>
    <n v="0"/>
    <n v="0"/>
    <n v="0"/>
    <n v="0"/>
    <n v="0"/>
    <n v="0"/>
  </r>
  <r>
    <d v="2008-07-11T00:00:00"/>
    <n v="2008"/>
    <x v="19"/>
    <s v="R"/>
    <s v="RS"/>
    <x v="0"/>
    <s v="SAS"/>
    <s v="A"/>
    <n v="1"/>
    <n v="0"/>
    <n v="1"/>
    <n v="-1"/>
    <n v="8"/>
    <n v="-8"/>
    <n v="1335.9411848846596"/>
    <n v="1589.0993915658021"/>
    <n v="0.13602146177870178"/>
    <n v="74"/>
    <n v="82"/>
    <n v="0"/>
    <n v="-8"/>
    <n v="0"/>
    <n v="0.32066614623321149"/>
    <n v="1"/>
    <n v="73"/>
    <n v="73"/>
    <n v="-3.1840758906116591"/>
    <n v="1332.7571089940479"/>
    <n v="0"/>
    <n v="1"/>
    <n v="0"/>
    <n v="0"/>
    <n v="0"/>
    <n v="0"/>
    <n v="0"/>
    <n v="0"/>
    <n v="0"/>
    <n v="0"/>
  </r>
  <r>
    <d v="2008-07-11T00:00:00"/>
    <n v="2008"/>
    <x v="20"/>
    <s v="R"/>
    <s v="RS"/>
    <x v="8"/>
    <s v="ATL"/>
    <s v="H"/>
    <n v="0"/>
    <n v="1"/>
    <n v="-1"/>
    <n v="1"/>
    <n v="-8"/>
    <n v="8"/>
    <n v="1589.0993915658021"/>
    <n v="1335.9411848846596"/>
    <n v="0.86397853822129811"/>
    <n v="82"/>
    <n v="74"/>
    <n v="0"/>
    <n v="8"/>
    <n v="1"/>
    <n v="0.32066614623321149"/>
    <n v="1"/>
    <n v="72.849999999999994"/>
    <n v="72.849999999999994"/>
    <n v="3.1775332689186238"/>
    <n v="1592.2769248347206"/>
    <n v="1"/>
    <n v="0"/>
    <n v="0"/>
    <n v="0"/>
    <n v="0"/>
    <n v="0"/>
    <n v="0"/>
    <n v="0"/>
    <n v="0"/>
    <n v="0"/>
  </r>
  <r>
    <d v="2008-07-12T00:00:00"/>
    <n v="2008"/>
    <x v="17"/>
    <s v="R"/>
    <s v="RS"/>
    <x v="10"/>
    <s v="IND"/>
    <s v="A"/>
    <n v="1"/>
    <n v="3"/>
    <n v="-2"/>
    <n v="2"/>
    <n v="-16"/>
    <n v="16"/>
    <n v="1409.699645388695"/>
    <n v="1515.0434024850895"/>
    <n v="0.21854645761123143"/>
    <n v="57"/>
    <n v="66"/>
    <n v="0"/>
    <n v="-9"/>
    <n v="0"/>
    <n v="0.3732088424434209"/>
    <n v="1"/>
    <n v="73.3"/>
    <n v="73.3"/>
    <n v="-5.9786023850990011"/>
    <n v="1403.7210430035959"/>
    <n v="0"/>
    <n v="1"/>
    <n v="0"/>
    <n v="0"/>
    <n v="0"/>
    <n v="0"/>
    <n v="0"/>
    <n v="0"/>
    <n v="0"/>
    <n v="0"/>
  </r>
  <r>
    <d v="2008-07-12T00:00:00"/>
    <n v="2008"/>
    <x v="18"/>
    <s v="R"/>
    <s v="RS"/>
    <x v="5"/>
    <s v="CHI"/>
    <s v="H"/>
    <n v="3"/>
    <n v="1"/>
    <n v="2"/>
    <n v="-2"/>
    <n v="16"/>
    <n v="-16"/>
    <n v="1515.0434024850895"/>
    <n v="1409.699645388695"/>
    <n v="0.78145354238876863"/>
    <n v="66"/>
    <n v="57"/>
    <n v="0"/>
    <n v="9"/>
    <n v="1"/>
    <n v="0.3732088424434209"/>
    <n v="1"/>
    <n v="73.150000000000006"/>
    <n v="73.150000000000006"/>
    <n v="5.9663678645292206"/>
    <n v="1521.0097703496187"/>
    <n v="1"/>
    <n v="0"/>
    <n v="0"/>
    <n v="0"/>
    <n v="0"/>
    <n v="0"/>
    <n v="0"/>
    <n v="0"/>
    <n v="0"/>
    <n v="0"/>
  </r>
  <r>
    <d v="2008-07-12T00:00:00"/>
    <n v="2008"/>
    <x v="20"/>
    <s v="R"/>
    <s v="RS"/>
    <x v="2"/>
    <s v="MIN"/>
    <s v="A"/>
    <n v="2"/>
    <n v="2"/>
    <n v="0"/>
    <n v="0"/>
    <n v="0"/>
    <n v="0"/>
    <n v="1486.1675518328327"/>
    <n v="1465.3134591912346"/>
    <n v="0.41011329011912334"/>
    <n v="71"/>
    <n v="85"/>
    <n v="0"/>
    <n v="-14"/>
    <n v="0"/>
    <n v="0.47927899637446358"/>
    <n v="1"/>
    <n v="72.849999999999994"/>
    <n v="72.849999999999994"/>
    <n v="-14.319300281519734"/>
    <n v="1471.8482515513131"/>
    <n v="0"/>
    <n v="1"/>
    <n v="0"/>
    <n v="0"/>
    <n v="0"/>
    <n v="0"/>
    <n v="0"/>
    <n v="0"/>
    <n v="0"/>
    <n v="0"/>
  </r>
  <r>
    <d v="2008-07-12T00:00:00"/>
    <n v="2008"/>
    <x v="19"/>
    <s v="R"/>
    <s v="RS"/>
    <x v="12"/>
    <s v="HOU"/>
    <s v="H"/>
    <n v="2"/>
    <n v="2"/>
    <n v="0"/>
    <n v="0"/>
    <n v="0"/>
    <n v="0"/>
    <n v="1465.3134591912346"/>
    <n v="1486.1675518328327"/>
    <n v="0.58988670988087677"/>
    <n v="85"/>
    <n v="71"/>
    <n v="0"/>
    <n v="14"/>
    <n v="1"/>
    <n v="0.47927899637446358"/>
    <n v="1"/>
    <n v="73"/>
    <n v="73"/>
    <n v="14.348784084432948"/>
    <n v="1479.6622432756676"/>
    <n v="1"/>
    <n v="0"/>
    <n v="0"/>
    <n v="0"/>
    <n v="0"/>
    <n v="0"/>
    <n v="0"/>
    <n v="0"/>
    <n v="0"/>
    <n v="0"/>
  </r>
  <r>
    <d v="2008-07-12T00:00:00"/>
    <n v="2008"/>
    <x v="20"/>
    <s v="R"/>
    <s v="RS"/>
    <x v="3"/>
    <s v="NYL"/>
    <s v="A"/>
    <n v="0"/>
    <n v="3"/>
    <n v="-3"/>
    <n v="3"/>
    <n v="-16"/>
    <n v="16"/>
    <n v="1606.4778683143859"/>
    <n v="1511.5734828756626"/>
    <n v="0.46967822334172926"/>
    <n v="64"/>
    <n v="74"/>
    <n v="0"/>
    <n v="-10"/>
    <n v="0"/>
    <n v="0.39211824819537494"/>
    <n v="1"/>
    <n v="72.849999999999994"/>
    <n v="72.849999999999994"/>
    <n v="-13.416740946793228"/>
    <n v="1593.0611273675927"/>
    <n v="0"/>
    <n v="1"/>
    <n v="0"/>
    <n v="0"/>
    <n v="0"/>
    <n v="0"/>
    <n v="0"/>
    <n v="0"/>
    <n v="0"/>
    <n v="0"/>
  </r>
  <r>
    <d v="2008-07-12T00:00:00"/>
    <n v="2008"/>
    <x v="18"/>
    <s v="R"/>
    <s v="RS"/>
    <x v="13"/>
    <s v="DET"/>
    <s v="H"/>
    <n v="3"/>
    <n v="0"/>
    <n v="3"/>
    <n v="-3"/>
    <n v="16"/>
    <n v="-16"/>
    <n v="1511.5734828756626"/>
    <n v="1606.4778683143859"/>
    <n v="0.53032177665827074"/>
    <n v="74"/>
    <n v="64"/>
    <n v="0"/>
    <n v="10"/>
    <n v="1"/>
    <n v="0.39211824819537494"/>
    <n v="1"/>
    <n v="73.150000000000006"/>
    <n v="73.150000000000006"/>
    <n v="13.471991767438913"/>
    <n v="1525.0454746431017"/>
    <n v="1"/>
    <n v="0"/>
    <n v="0"/>
    <n v="0"/>
    <n v="0"/>
    <n v="0"/>
    <n v="0"/>
    <n v="0"/>
    <n v="0"/>
    <n v="0"/>
  </r>
  <r>
    <d v="2008-07-12T00:00:00"/>
    <n v="2008"/>
    <x v="19"/>
    <s v="R"/>
    <s v="RS"/>
    <x v="7"/>
    <s v="SAC"/>
    <s v="A"/>
    <n v="1"/>
    <n v="1"/>
    <n v="0"/>
    <n v="0"/>
    <n v="0"/>
    <n v="0"/>
    <n v="1545.6297391290955"/>
    <n v="1475.7202643402488"/>
    <n v="0.47973321438244448"/>
    <n v="97"/>
    <n v="105"/>
    <n v="0"/>
    <n v="-8"/>
    <n v="0"/>
    <n v="0.36693847180019418"/>
    <n v="1"/>
    <n v="73"/>
    <n v="73"/>
    <n v="-12.850377796682105"/>
    <n v="1532.7793613324134"/>
    <n v="0"/>
    <n v="1"/>
    <n v="0"/>
    <n v="0"/>
    <n v="0"/>
    <n v="0"/>
    <n v="0"/>
    <n v="0"/>
    <n v="0"/>
    <n v="0"/>
  </r>
  <r>
    <d v="2008-07-12T00:00:00"/>
    <n v="2008"/>
    <x v="20"/>
    <s v="R"/>
    <s v="RS"/>
    <x v="9"/>
    <s v="PHX"/>
    <s v="H"/>
    <n v="1"/>
    <n v="1"/>
    <n v="0"/>
    <n v="0"/>
    <n v="0"/>
    <n v="0"/>
    <n v="1475.7202643402488"/>
    <n v="1545.6297391290955"/>
    <n v="0.52026678561755546"/>
    <n v="105"/>
    <n v="97"/>
    <n v="0"/>
    <n v="8"/>
    <n v="1"/>
    <n v="0.36693847180019418"/>
    <n v="1"/>
    <n v="72.849999999999994"/>
    <n v="72.849999999999994"/>
    <n v="12.823972910798512"/>
    <n v="1488.5442372510474"/>
    <n v="1"/>
    <n v="0"/>
    <n v="0"/>
    <n v="0"/>
    <n v="0"/>
    <n v="0"/>
    <n v="0"/>
    <n v="0"/>
    <n v="0"/>
    <n v="0"/>
  </r>
  <r>
    <d v="2008-07-12T00:00:00"/>
    <n v="2008"/>
    <x v="19"/>
    <s v="R"/>
    <s v="RS"/>
    <x v="6"/>
    <s v="SEA"/>
    <s v="A"/>
    <n v="1"/>
    <n v="1"/>
    <n v="0"/>
    <n v="0"/>
    <n v="0"/>
    <n v="0"/>
    <n v="1502.7733446080165"/>
    <n v="1572.8212706055754"/>
    <n v="0.2917765988971866"/>
    <n v="52"/>
    <n v="70"/>
    <n v="0"/>
    <n v="-18"/>
    <n v="0"/>
    <n v="0.51667398144536369"/>
    <n v="1"/>
    <n v="73"/>
    <n v="73"/>
    <n v="-11.00499652427013"/>
    <n v="1491.7683480837463"/>
    <n v="0"/>
    <n v="1"/>
    <n v="0"/>
    <n v="0"/>
    <n v="0"/>
    <n v="0"/>
    <n v="0"/>
    <n v="0"/>
    <n v="0"/>
    <n v="0"/>
  </r>
  <r>
    <d v="2008-07-12T00:00:00"/>
    <n v="2008"/>
    <x v="20"/>
    <s v="R"/>
    <s v="RS"/>
    <x v="11"/>
    <s v="LAS"/>
    <s v="H"/>
    <n v="1"/>
    <n v="1"/>
    <n v="0"/>
    <n v="0"/>
    <n v="0"/>
    <n v="0"/>
    <n v="1572.8212706055754"/>
    <n v="1502.7733446080165"/>
    <n v="0.70822340110281345"/>
    <n v="70"/>
    <n v="52"/>
    <n v="0"/>
    <n v="18"/>
    <n v="1"/>
    <n v="0.51667398144536369"/>
    <n v="1"/>
    <n v="72.849999999999994"/>
    <n v="72.849999999999994"/>
    <n v="10.982383517713409"/>
    <n v="1583.8036541232889"/>
    <n v="1"/>
    <n v="0"/>
    <n v="0"/>
    <n v="0"/>
    <n v="0"/>
    <n v="0"/>
    <n v="0"/>
    <n v="0"/>
    <n v="0"/>
    <n v="0"/>
  </r>
  <r>
    <d v="2008-07-13T00:00:00"/>
    <n v="2008"/>
    <x v="20"/>
    <s v="R"/>
    <s v="RS"/>
    <x v="0"/>
    <s v="CHI"/>
    <s v="A"/>
    <n v="1"/>
    <n v="0"/>
    <n v="1"/>
    <n v="-1"/>
    <n v="8"/>
    <n v="-8"/>
    <n v="1332.7571089940479"/>
    <n v="1403.7210430035959"/>
    <n v="0.31003820230181933"/>
    <n v="66"/>
    <n v="79"/>
    <n v="0"/>
    <n v="-13"/>
    <n v="0"/>
    <n v="0.44568731780605009"/>
    <n v="1"/>
    <n v="72.849999999999994"/>
    <n v="72.849999999999994"/>
    <n v="-10.066419906275243"/>
    <n v="1322.6906890877726"/>
    <n v="0"/>
    <n v="1"/>
    <n v="0"/>
    <n v="0"/>
    <n v="0"/>
    <n v="0"/>
    <n v="0"/>
    <n v="0"/>
    <n v="0"/>
    <n v="0"/>
  </r>
  <r>
    <d v="2008-07-13T00:00:00"/>
    <n v="2008"/>
    <x v="18"/>
    <s v="R"/>
    <s v="RS"/>
    <x v="10"/>
    <s v="ATL"/>
    <s v="H"/>
    <n v="0"/>
    <n v="1"/>
    <n v="-1"/>
    <n v="1"/>
    <n v="-8"/>
    <n v="8"/>
    <n v="1403.7210430035959"/>
    <n v="1332.7571089940479"/>
    <n v="0.68996179769818067"/>
    <n v="79"/>
    <n v="66"/>
    <n v="0"/>
    <n v="13"/>
    <n v="1"/>
    <n v="0.44568731780605009"/>
    <n v="1"/>
    <n v="73.150000000000006"/>
    <n v="73.150000000000006"/>
    <n v="10.107873934715636"/>
    <n v="1413.8289169383115"/>
    <n v="1"/>
    <n v="0"/>
    <n v="0"/>
    <n v="0"/>
    <n v="0"/>
    <n v="0"/>
    <n v="0"/>
    <n v="0"/>
    <n v="0"/>
    <n v="0"/>
  </r>
  <r>
    <d v="2008-07-13T00:00:00"/>
    <n v="2008"/>
    <x v="20"/>
    <s v="R"/>
    <s v="RS"/>
    <x v="1"/>
    <s v="WAS"/>
    <s v="A"/>
    <n v="4"/>
    <n v="1"/>
    <n v="3"/>
    <n v="-3"/>
    <n v="16"/>
    <n v="-16"/>
    <n v="1571.0475789052659"/>
    <n v="1438.3610214668372"/>
    <n v="0.614073848349734"/>
    <n v="64"/>
    <n v="69"/>
    <n v="0"/>
    <n v="-5"/>
    <n v="0"/>
    <n v="0.29872528414986294"/>
    <n v="1"/>
    <n v="72.849999999999994"/>
    <n v="72.849999999999994"/>
    <n v="-13.363559185395419"/>
    <n v="1557.6840197198705"/>
    <n v="0"/>
    <n v="1"/>
    <n v="0"/>
    <n v="0"/>
    <n v="0"/>
    <n v="0"/>
    <n v="0"/>
    <n v="0"/>
    <n v="0"/>
    <n v="0"/>
  </r>
  <r>
    <d v="2008-07-13T00:00:00"/>
    <n v="2008"/>
    <x v="19"/>
    <s v="R"/>
    <s v="RS"/>
    <x v="4"/>
    <s v="CON"/>
    <s v="H"/>
    <n v="1"/>
    <n v="4"/>
    <n v="-3"/>
    <n v="3"/>
    <n v="-16"/>
    <n v="16"/>
    <n v="1438.3610214668372"/>
    <n v="1571.0475789052659"/>
    <n v="0.385926151650266"/>
    <n v="69"/>
    <n v="64"/>
    <n v="0"/>
    <n v="5"/>
    <n v="1"/>
    <n v="0.29872528414986294"/>
    <n v="1"/>
    <n v="73"/>
    <n v="73"/>
    <n v="13.391075093121012"/>
    <n v="1451.7520965599583"/>
    <n v="1"/>
    <n v="0"/>
    <n v="0"/>
    <n v="0"/>
    <n v="0"/>
    <n v="0"/>
    <n v="0"/>
    <n v="0"/>
    <n v="0"/>
    <n v="0"/>
  </r>
  <r>
    <d v="2008-07-14T00:00:00"/>
    <n v="2008"/>
    <x v="21"/>
    <s v="R"/>
    <s v="RS"/>
    <x v="8"/>
    <s v="LAS"/>
    <s v="A"/>
    <n v="2"/>
    <n v="1"/>
    <n v="1"/>
    <n v="-1"/>
    <n v="8"/>
    <n v="-8"/>
    <n v="1592.2769248347206"/>
    <n v="1491.7683480837463"/>
    <n v="0.54664755168945756"/>
    <n v="62"/>
    <n v="75"/>
    <n v="0"/>
    <n v="-13"/>
    <n v="0"/>
    <n v="0.43556229993660961"/>
    <n v="1"/>
    <n v="72.7"/>
    <n v="72.7"/>
    <n v="-17.309802015945536"/>
    <n v="1574.9671228187751"/>
    <n v="0"/>
    <n v="1"/>
    <n v="0"/>
    <n v="0"/>
    <n v="0"/>
    <n v="0"/>
    <n v="0"/>
    <n v="0"/>
    <n v="0"/>
    <n v="0"/>
  </r>
  <r>
    <d v="2008-07-14T00:00:00"/>
    <n v="2008"/>
    <x v="20"/>
    <s v="R"/>
    <s v="RS"/>
    <x v="6"/>
    <s v="SAS"/>
    <s v="H"/>
    <n v="1"/>
    <n v="2"/>
    <n v="-1"/>
    <n v="1"/>
    <n v="-8"/>
    <n v="8"/>
    <n v="1491.7683480837463"/>
    <n v="1592.2769248347206"/>
    <n v="0.4533524483105425"/>
    <n v="75"/>
    <n v="62"/>
    <n v="0"/>
    <n v="13"/>
    <n v="1"/>
    <n v="0.43556229993660961"/>
    <n v="1"/>
    <n v="72.849999999999994"/>
    <n v="72.849999999999994"/>
    <n v="17.34551687567582"/>
    <n v="1509.1138649594222"/>
    <n v="1"/>
    <n v="0"/>
    <n v="0"/>
    <n v="0"/>
    <n v="0"/>
    <n v="0"/>
    <n v="0"/>
    <n v="0"/>
    <n v="0"/>
    <n v="0"/>
  </r>
  <r>
    <d v="2008-07-15T00:00:00"/>
    <n v="2008"/>
    <x v="19"/>
    <s v="R"/>
    <s v="RS"/>
    <x v="13"/>
    <s v="CON"/>
    <s v="A"/>
    <n v="2"/>
    <n v="1"/>
    <n v="1"/>
    <n v="-1"/>
    <n v="8"/>
    <n v="-8"/>
    <n v="1525.0454746431017"/>
    <n v="1557.6840197198705"/>
    <n v="0.35908860850520419"/>
    <n v="77"/>
    <n v="71"/>
    <n v="0"/>
    <n v="6"/>
    <n v="1"/>
    <n v="0.34197933773273059"/>
    <n v="1"/>
    <n v="73"/>
    <n v="73"/>
    <n v="16.000027084238976"/>
    <n v="1541.0455017273407"/>
    <n v="1"/>
    <n v="0"/>
    <n v="0"/>
    <n v="0"/>
    <n v="0"/>
    <n v="0"/>
    <n v="0"/>
    <n v="0"/>
    <n v="0"/>
    <n v="0"/>
  </r>
  <r>
    <d v="2008-07-15T00:00:00"/>
    <n v="2008"/>
    <x v="21"/>
    <s v="R"/>
    <s v="RS"/>
    <x v="1"/>
    <s v="NYL"/>
    <s v="H"/>
    <n v="1"/>
    <n v="2"/>
    <n v="-1"/>
    <n v="1"/>
    <n v="-8"/>
    <n v="8"/>
    <n v="1557.6840197198705"/>
    <n v="1525.0454746431017"/>
    <n v="0.64091139149479581"/>
    <n v="71"/>
    <n v="77"/>
    <n v="0"/>
    <n v="-6"/>
    <n v="0"/>
    <n v="0.34197933773273059"/>
    <n v="1"/>
    <n v="72.7"/>
    <n v="72.7"/>
    <n v="-15.934273548276352"/>
    <n v="1541.7497461715941"/>
    <n v="0"/>
    <n v="1"/>
    <n v="0"/>
    <n v="0"/>
    <n v="0"/>
    <n v="0"/>
    <n v="0"/>
    <n v="0"/>
    <n v="0"/>
    <n v="0"/>
  </r>
  <r>
    <d v="2008-07-15T00:00:00"/>
    <n v="2008"/>
    <x v="22"/>
    <s v="R"/>
    <s v="RS"/>
    <x v="8"/>
    <s v="PHX"/>
    <s v="A"/>
    <n v="0"/>
    <n v="2"/>
    <n v="-2"/>
    <n v="2"/>
    <n v="-16"/>
    <n v="16"/>
    <n v="1574.9671228187751"/>
    <n v="1532.7793613324134"/>
    <n v="0.39534544123923521"/>
    <n v="97"/>
    <n v="87"/>
    <n v="0"/>
    <n v="10"/>
    <n v="1"/>
    <n v="0.40875917066770706"/>
    <n v="1"/>
    <n v="72.55"/>
    <n v="72.55"/>
    <n v="17.93131986331262"/>
    <n v="1592.8984426820878"/>
    <n v="1"/>
    <n v="0"/>
    <n v="0"/>
    <n v="0"/>
    <n v="0"/>
    <n v="0"/>
    <n v="0"/>
    <n v="0"/>
    <n v="0"/>
    <n v="0"/>
  </r>
  <r>
    <d v="2008-07-15T00:00:00"/>
    <n v="2008"/>
    <x v="20"/>
    <s v="R"/>
    <s v="RS"/>
    <x v="7"/>
    <s v="SAS"/>
    <s v="H"/>
    <n v="2"/>
    <n v="0"/>
    <n v="2"/>
    <n v="-2"/>
    <n v="16"/>
    <n v="-16"/>
    <n v="1532.7793613324134"/>
    <n v="1574.9671228187751"/>
    <n v="0.60465455876076479"/>
    <n v="87"/>
    <n v="97"/>
    <n v="0"/>
    <n v="-10"/>
    <n v="0"/>
    <n v="0.40875917066770706"/>
    <n v="1"/>
    <n v="72.849999999999994"/>
    <n v="72.849999999999994"/>
    <n v="-18.00546729210647"/>
    <n v="1514.7738940403069"/>
    <n v="0"/>
    <n v="1"/>
    <n v="0"/>
    <n v="0"/>
    <n v="0"/>
    <n v="0"/>
    <n v="0"/>
    <n v="0"/>
    <n v="0"/>
    <n v="0"/>
  </r>
  <r>
    <d v="2008-07-16T00:00:00"/>
    <n v="2008"/>
    <x v="19"/>
    <s v="R"/>
    <s v="RS"/>
    <x v="10"/>
    <s v="DET"/>
    <s v="A"/>
    <n v="2"/>
    <n v="3"/>
    <n v="-1"/>
    <n v="1"/>
    <n v="-8"/>
    <n v="8"/>
    <n v="1413.8289169383115"/>
    <n v="1593.0611273675927"/>
    <n v="0.16695131914775763"/>
    <n v="63"/>
    <n v="66"/>
    <n v="0"/>
    <n v="-3"/>
    <n v="0"/>
    <n v="0.25247396535937"/>
    <n v="1"/>
    <n v="73"/>
    <n v="73"/>
    <n v="-3.0770128944064825"/>
    <n v="1410.7519040439051"/>
    <n v="0"/>
    <n v="1"/>
    <n v="0"/>
    <n v="0"/>
    <n v="0"/>
    <n v="0"/>
    <n v="0"/>
    <n v="0"/>
    <n v="0"/>
    <n v="0"/>
  </r>
  <r>
    <d v="2008-07-16T00:00:00"/>
    <n v="2008"/>
    <x v="21"/>
    <s v="R"/>
    <s v="RS"/>
    <x v="3"/>
    <s v="CHI"/>
    <s v="H"/>
    <n v="3"/>
    <n v="2"/>
    <n v="1"/>
    <n v="-1"/>
    <n v="8"/>
    <n v="-8"/>
    <n v="1593.0611273675927"/>
    <n v="1413.8289169383115"/>
    <n v="0.83304868085224248"/>
    <n v="66"/>
    <n v="63"/>
    <n v="0"/>
    <n v="3"/>
    <n v="1"/>
    <n v="0.25247396535937"/>
    <n v="1"/>
    <n v="72.7"/>
    <n v="72.7"/>
    <n v="3.0643676359363163"/>
    <n v="1596.1254950035291"/>
    <n v="1"/>
    <n v="0"/>
    <n v="0"/>
    <n v="0"/>
    <n v="0"/>
    <n v="0"/>
    <n v="0"/>
    <n v="0"/>
    <n v="0"/>
    <n v="0"/>
  </r>
  <r>
    <d v="2008-07-16T00:00:00"/>
    <n v="2008"/>
    <x v="21"/>
    <s v="R"/>
    <s v="RS"/>
    <x v="0"/>
    <s v="IND"/>
    <s v="A"/>
    <n v="2"/>
    <n v="3"/>
    <n v="-1"/>
    <n v="1"/>
    <n v="-8"/>
    <n v="8"/>
    <n v="1322.6906890877726"/>
    <n v="1521.0097703496187"/>
    <n v="0.15222408466211534"/>
    <n v="81"/>
    <n v="77"/>
    <n v="0"/>
    <n v="4"/>
    <n v="1"/>
    <n v="0.26726323547513214"/>
    <n v="1"/>
    <n v="72.7"/>
    <n v="72.7"/>
    <n v="16.472317588422591"/>
    <n v="1339.1630066761952"/>
    <n v="1"/>
    <n v="0"/>
    <n v="0"/>
    <n v="0"/>
    <n v="0"/>
    <n v="0"/>
    <n v="0"/>
    <n v="0"/>
    <n v="0"/>
    <n v="0"/>
  </r>
  <r>
    <d v="2008-07-16T00:00:00"/>
    <n v="2008"/>
    <x v="19"/>
    <s v="R"/>
    <s v="RS"/>
    <x v="5"/>
    <s v="ATL"/>
    <s v="H"/>
    <n v="3"/>
    <n v="2"/>
    <n v="1"/>
    <n v="-1"/>
    <n v="8"/>
    <n v="-8"/>
    <n v="1521.0097703496187"/>
    <n v="1322.6906890877726"/>
    <n v="0.84777591533788466"/>
    <n v="77"/>
    <n v="81"/>
    <n v="0"/>
    <n v="-4"/>
    <n v="0"/>
    <n v="0.26726323547513214"/>
    <n v="1"/>
    <n v="73"/>
    <n v="73"/>
    <n v="-16.540291388649919"/>
    <n v="1504.4694789609689"/>
    <n v="0"/>
    <n v="1"/>
    <n v="0"/>
    <n v="0"/>
    <n v="0"/>
    <n v="0"/>
    <n v="0"/>
    <n v="0"/>
    <n v="0"/>
    <n v="0"/>
  </r>
  <r>
    <d v="2008-07-17T00:00:00"/>
    <n v="2008"/>
    <x v="20"/>
    <s v="R"/>
    <s v="RS"/>
    <x v="12"/>
    <s v="HOU"/>
    <s v="A"/>
    <n v="4"/>
    <n v="4"/>
    <n v="0"/>
    <n v="0"/>
    <n v="0"/>
    <n v="0"/>
    <n v="1479.6622432756676"/>
    <n v="1471.8482515513131"/>
    <n v="0.39208368885311351"/>
    <n v="88"/>
    <n v="96"/>
    <n v="0"/>
    <n v="-8"/>
    <n v="0"/>
    <n v="0.38580331507697213"/>
    <n v="1"/>
    <n v="72.849999999999994"/>
    <n v="72.849999999999994"/>
    <n v="-11.019814569099093"/>
    <n v="1468.6424287065686"/>
    <n v="0"/>
    <n v="1"/>
    <n v="0"/>
    <n v="0"/>
    <n v="0"/>
    <n v="0"/>
    <n v="0"/>
    <n v="0"/>
    <n v="0"/>
    <n v="0"/>
  </r>
  <r>
    <d v="2008-07-17T00:00:00"/>
    <n v="2008"/>
    <x v="21"/>
    <s v="R"/>
    <s v="RS"/>
    <x v="2"/>
    <s v="MIN"/>
    <s v="H"/>
    <n v="4"/>
    <n v="4"/>
    <n v="0"/>
    <n v="0"/>
    <n v="0"/>
    <n v="0"/>
    <n v="1471.8482515513131"/>
    <n v="1479.6622432756676"/>
    <n v="0.60791631114688649"/>
    <n v="96"/>
    <n v="88"/>
    <n v="0"/>
    <n v="8"/>
    <n v="1"/>
    <n v="0.38580331507697213"/>
    <n v="1"/>
    <n v="72.7"/>
    <n v="72.7"/>
    <n v="10.997124491057024"/>
    <n v="1482.8453760423702"/>
    <n v="1"/>
    <n v="0"/>
    <n v="0"/>
    <n v="0"/>
    <n v="0"/>
    <n v="0"/>
    <n v="0"/>
    <n v="0"/>
    <n v="0"/>
    <n v="0"/>
  </r>
  <r>
    <d v="2008-07-17T00:00:00"/>
    <n v="2008"/>
    <x v="20"/>
    <s v="R"/>
    <s v="RS"/>
    <x v="4"/>
    <s v="NYL"/>
    <s v="A"/>
    <n v="3"/>
    <n v="1"/>
    <n v="2"/>
    <n v="-2"/>
    <n v="16"/>
    <n v="-16"/>
    <n v="1451.7520965599583"/>
    <n v="1541.0455017273407"/>
    <n v="0.30717704372171561"/>
    <n v="56"/>
    <n v="77"/>
    <n v="0"/>
    <n v="-21"/>
    <n v="0"/>
    <n v="0.5478128907618125"/>
    <n v="1"/>
    <n v="72.849999999999994"/>
    <n v="72.849999999999994"/>
    <n v="-12.258873402026301"/>
    <n v="1439.4932231579321"/>
    <n v="0"/>
    <n v="1"/>
    <n v="0"/>
    <n v="0"/>
    <n v="0"/>
    <n v="0"/>
    <n v="0"/>
    <n v="0"/>
    <n v="0"/>
    <n v="0"/>
  </r>
  <r>
    <d v="2008-07-17T00:00:00"/>
    <n v="2008"/>
    <x v="20"/>
    <s v="R"/>
    <s v="RS"/>
    <x v="13"/>
    <s v="WAS"/>
    <s v="H"/>
    <n v="1"/>
    <n v="3"/>
    <n v="-2"/>
    <n v="2"/>
    <n v="-16"/>
    <n v="16"/>
    <n v="1541.0455017273407"/>
    <n v="1451.7520965599583"/>
    <n v="0.69282295627828439"/>
    <n v="77"/>
    <n v="56"/>
    <n v="0"/>
    <n v="21"/>
    <n v="1"/>
    <n v="0.5478128907618125"/>
    <n v="1"/>
    <n v="72.849999999999994"/>
    <n v="72.849999999999994"/>
    <n v="12.258873402026301"/>
    <n v="1553.3043751293669"/>
    <n v="1"/>
    <n v="0"/>
    <n v="0"/>
    <n v="0"/>
    <n v="0"/>
    <n v="0"/>
    <n v="0"/>
    <n v="0"/>
    <n v="0"/>
    <n v="0"/>
  </r>
  <r>
    <d v="2008-07-17T00:00:00"/>
    <n v="2008"/>
    <x v="21"/>
    <s v="R"/>
    <s v="RS"/>
    <x v="6"/>
    <s v="PHX"/>
    <s v="A"/>
    <n v="2"/>
    <n v="1"/>
    <n v="1"/>
    <n v="-1"/>
    <n v="8"/>
    <n v="-8"/>
    <n v="1509.1138649594222"/>
    <n v="1514.7738940403069"/>
    <n v="0.39555491089993194"/>
    <n v="92"/>
    <n v="99"/>
    <n v="0"/>
    <n v="-7"/>
    <n v="0"/>
    <n v="0.36836968653854951"/>
    <n v="1"/>
    <n v="72.7"/>
    <n v="72.7"/>
    <n v="-10.593148881639305"/>
    <n v="1498.5207160777829"/>
    <n v="0"/>
    <n v="1"/>
    <n v="0"/>
    <n v="0"/>
    <n v="0"/>
    <n v="0"/>
    <n v="0"/>
    <n v="0"/>
    <n v="0"/>
    <n v="0"/>
  </r>
  <r>
    <d v="2008-07-17T00:00:00"/>
    <n v="2008"/>
    <x v="21"/>
    <s v="R"/>
    <s v="RS"/>
    <x v="7"/>
    <s v="LAS"/>
    <s v="H"/>
    <n v="1"/>
    <n v="2"/>
    <n v="-1"/>
    <n v="1"/>
    <n v="-8"/>
    <n v="8"/>
    <n v="1514.7738940403069"/>
    <n v="1509.1138649594222"/>
    <n v="0.604445089100068"/>
    <n v="99"/>
    <n v="92"/>
    <n v="0"/>
    <n v="7"/>
    <n v="1"/>
    <n v="0.36836968653854951"/>
    <n v="1"/>
    <n v="72.7"/>
    <n v="72.7"/>
    <n v="10.593148881639307"/>
    <n v="1525.3670429219462"/>
    <n v="1"/>
    <n v="0"/>
    <n v="0"/>
    <n v="0"/>
    <n v="0"/>
    <n v="0"/>
    <n v="0"/>
    <n v="0"/>
    <n v="0"/>
    <n v="0"/>
  </r>
  <r>
    <d v="2008-07-18T00:00:00"/>
    <n v="2008"/>
    <x v="22"/>
    <s v="R"/>
    <s v="RS"/>
    <x v="1"/>
    <s v="CHI"/>
    <s v="A"/>
    <n v="2"/>
    <n v="1"/>
    <n v="1"/>
    <n v="-1"/>
    <n v="8"/>
    <n v="-8"/>
    <n v="1541.7497461715941"/>
    <n v="1410.7519040439051"/>
    <n v="0.58968049761816677"/>
    <n v="65"/>
    <n v="73"/>
    <n v="0"/>
    <n v="-8"/>
    <n v="0"/>
    <n v="0.35009721823343348"/>
    <n v="1"/>
    <n v="72.55"/>
    <n v="72.55"/>
    <n v="-14.977621160133586"/>
    <n v="1526.7721250114605"/>
    <n v="0"/>
    <n v="1"/>
    <n v="0"/>
    <n v="0"/>
    <n v="0"/>
    <n v="0"/>
    <n v="0"/>
    <n v="0"/>
    <n v="0"/>
    <n v="0"/>
  </r>
  <r>
    <d v="2008-07-18T00:00:00"/>
    <n v="2008"/>
    <x v="20"/>
    <s v="R"/>
    <s v="RS"/>
    <x v="10"/>
    <s v="CON"/>
    <s v="H"/>
    <n v="1"/>
    <n v="2"/>
    <n v="-1"/>
    <n v="1"/>
    <n v="-8"/>
    <n v="8"/>
    <n v="1410.7519040439051"/>
    <n v="1541.7497461715941"/>
    <n v="0.41031950238183329"/>
    <n v="73"/>
    <n v="65"/>
    <n v="0"/>
    <n v="8"/>
    <n v="1"/>
    <n v="0.35009721823343348"/>
    <n v="1"/>
    <n v="72.849999999999994"/>
    <n v="72.849999999999994"/>
    <n v="15.039554810692373"/>
    <n v="1425.7914588545975"/>
    <n v="1"/>
    <n v="0"/>
    <n v="0"/>
    <n v="0"/>
    <n v="0"/>
    <n v="0"/>
    <n v="0"/>
    <n v="0"/>
    <n v="0"/>
    <n v="0"/>
  </r>
  <r>
    <d v="2008-07-18T00:00:00"/>
    <n v="2008"/>
    <x v="21"/>
    <s v="R"/>
    <s v="RS"/>
    <x v="11"/>
    <s v="IND"/>
    <s v="A"/>
    <n v="5"/>
    <n v="1"/>
    <n v="4"/>
    <n v="-4"/>
    <n v="16"/>
    <n v="-16"/>
    <n v="1583.8036541232889"/>
    <n v="1504.4694789609689"/>
    <n v="0.53925608027507377"/>
    <n v="65"/>
    <n v="59"/>
    <n v="0"/>
    <n v="6"/>
    <n v="1"/>
    <n v="0.32949710989758096"/>
    <n v="1"/>
    <n v="72.7"/>
    <n v="72.7"/>
    <n v="11.036862529528303"/>
    <n v="1594.8405166528171"/>
    <n v="1"/>
    <n v="0"/>
    <n v="0"/>
    <n v="0"/>
    <n v="0"/>
    <n v="0"/>
    <n v="0"/>
    <n v="0"/>
    <n v="0"/>
    <n v="0"/>
  </r>
  <r>
    <d v="2008-07-18T00:00:00"/>
    <n v="2008"/>
    <x v="20"/>
    <s v="R"/>
    <s v="RS"/>
    <x v="5"/>
    <s v="SEA"/>
    <s v="H"/>
    <n v="1"/>
    <n v="5"/>
    <n v="-4"/>
    <n v="4"/>
    <n v="-16"/>
    <n v="16"/>
    <n v="1504.4694789609689"/>
    <n v="1583.8036541232889"/>
    <n v="0.46074391972492623"/>
    <n v="59"/>
    <n v="65"/>
    <n v="0"/>
    <n v="-6"/>
    <n v="0"/>
    <n v="0.32949710989758096"/>
    <n v="1"/>
    <n v="72.849999999999994"/>
    <n v="72.849999999999994"/>
    <n v="-11.059634598021139"/>
    <n v="1493.4098443629478"/>
    <n v="0"/>
    <n v="1"/>
    <n v="0"/>
    <n v="0"/>
    <n v="0"/>
    <n v="0"/>
    <n v="0"/>
    <n v="0"/>
    <n v="0"/>
    <n v="0"/>
  </r>
  <r>
    <d v="2008-07-18T00:00:00"/>
    <n v="2008"/>
    <x v="22"/>
    <s v="R"/>
    <s v="RS"/>
    <x v="0"/>
    <s v="SAC"/>
    <s v="A"/>
    <n v="1"/>
    <n v="5"/>
    <n v="-4"/>
    <n v="4"/>
    <n v="-16"/>
    <n v="16"/>
    <n v="1339.1630066761952"/>
    <n v="1488.5442372510474"/>
    <n v="0.17833672933257833"/>
    <n v="73"/>
    <n v="77"/>
    <n v="0"/>
    <n v="-4"/>
    <n v="0"/>
    <n v="0.27695603986239414"/>
    <n v="1"/>
    <n v="72.55"/>
    <n v="72.55"/>
    <n v="-3.5833485597681838"/>
    <n v="1335.579658116427"/>
    <n v="0"/>
    <n v="1"/>
    <n v="0"/>
    <n v="0"/>
    <n v="0"/>
    <n v="0"/>
    <n v="0"/>
    <n v="0"/>
    <n v="0"/>
    <n v="0"/>
  </r>
  <r>
    <d v="2008-07-18T00:00:00"/>
    <n v="2008"/>
    <x v="21"/>
    <s v="R"/>
    <s v="RS"/>
    <x v="9"/>
    <s v="ATL"/>
    <s v="H"/>
    <n v="5"/>
    <n v="1"/>
    <n v="4"/>
    <n v="-4"/>
    <n v="16"/>
    <n v="-16"/>
    <n v="1488.5442372510474"/>
    <n v="1339.1630066761952"/>
    <n v="0.82166327066742173"/>
    <n v="77"/>
    <n v="73"/>
    <n v="0"/>
    <n v="4"/>
    <n v="1"/>
    <n v="0.27695603986239414"/>
    <n v="1"/>
    <n v="72.7"/>
    <n v="72.7"/>
    <n v="3.5907572749158772"/>
    <n v="1492.1349945259633"/>
    <n v="1"/>
    <n v="0"/>
    <n v="0"/>
    <n v="0"/>
    <n v="0"/>
    <n v="0"/>
    <n v="0"/>
    <n v="0"/>
    <n v="0"/>
    <n v="0"/>
  </r>
  <r>
    <d v="2008-07-18T00:00:00"/>
    <n v="2008"/>
    <x v="22"/>
    <s v="R"/>
    <s v="RS"/>
    <x v="3"/>
    <s v="WAS"/>
    <s v="A"/>
    <n v="1"/>
    <n v="0"/>
    <n v="1"/>
    <n v="-1"/>
    <n v="8"/>
    <n v="-8"/>
    <n v="1596.1254950035291"/>
    <n v="1439.4932231579321"/>
    <n v="0.62485531993733423"/>
    <n v="99"/>
    <n v="62"/>
    <n v="0"/>
    <n v="37"/>
    <n v="1"/>
    <n v="0.69420450920002907"/>
    <n v="1"/>
    <n v="72.55"/>
    <n v="72.55"/>
    <n v="18.893988172813192"/>
    <n v="1615.0194831763422"/>
    <n v="1"/>
    <n v="0"/>
    <n v="0"/>
    <n v="0"/>
    <n v="0"/>
    <n v="0"/>
    <n v="0"/>
    <n v="0"/>
    <n v="0"/>
    <n v="0"/>
  </r>
  <r>
    <d v="2008-07-18T00:00:00"/>
    <n v="2008"/>
    <x v="21"/>
    <s v="R"/>
    <s v="RS"/>
    <x v="4"/>
    <s v="DET"/>
    <s v="H"/>
    <n v="0"/>
    <n v="1"/>
    <n v="-1"/>
    <n v="1"/>
    <n v="-8"/>
    <n v="8"/>
    <n v="1439.4932231579321"/>
    <n v="1596.1254950035291"/>
    <n v="0.37514468006266571"/>
    <n v="62"/>
    <n v="99"/>
    <n v="0"/>
    <n v="-37"/>
    <n v="0"/>
    <n v="0.69420450920002907"/>
    <n v="1"/>
    <n v="72.7"/>
    <n v="72.7"/>
    <n v="-18.933052242088479"/>
    <n v="1420.5601709158436"/>
    <n v="0"/>
    <n v="1"/>
    <n v="0"/>
    <n v="0"/>
    <n v="0"/>
    <n v="0"/>
    <n v="0"/>
    <n v="0"/>
    <n v="0"/>
    <n v="0"/>
  </r>
  <r>
    <d v="2008-07-19T00:00:00"/>
    <n v="2008"/>
    <x v="22"/>
    <s v="R"/>
    <s v="RS"/>
    <x v="6"/>
    <s v="HOU"/>
    <s v="A"/>
    <n v="1"/>
    <n v="1"/>
    <n v="0"/>
    <n v="0"/>
    <n v="0"/>
    <n v="0"/>
    <n v="1498.5207160777829"/>
    <n v="1482.8453760423702"/>
    <n v="0.40292113501027038"/>
    <n v="72"/>
    <n v="75"/>
    <n v="1"/>
    <n v="-3"/>
    <n v="0"/>
    <n v="0.25779761459788714"/>
    <n v="1"/>
    <n v="72.55"/>
    <n v="72.55"/>
    <n v="-7.5359213974361037"/>
    <n v="1490.9847946803468"/>
    <n v="0"/>
    <n v="1"/>
    <n v="0"/>
    <n v="0"/>
    <n v="0"/>
    <n v="0"/>
    <n v="0"/>
    <n v="0"/>
    <n v="0"/>
    <n v="0"/>
  </r>
  <r>
    <d v="2008-07-19T00:00:00"/>
    <n v="2008"/>
    <x v="22"/>
    <s v="R"/>
    <s v="RS"/>
    <x v="2"/>
    <s v="LAS"/>
    <s v="H"/>
    <n v="1"/>
    <n v="1"/>
    <n v="0"/>
    <n v="0"/>
    <n v="0"/>
    <n v="0"/>
    <n v="1482.8453760423702"/>
    <n v="1498.5207160777829"/>
    <n v="0.59707886498972962"/>
    <n v="75"/>
    <n v="72"/>
    <n v="1"/>
    <n v="3"/>
    <n v="1"/>
    <n v="0.25779761459788714"/>
    <n v="1"/>
    <n v="72.55"/>
    <n v="72.55"/>
    <n v="7.5359213974361037"/>
    <n v="1490.3812974398063"/>
    <n v="1"/>
    <n v="0"/>
    <n v="0"/>
    <n v="0"/>
    <n v="0"/>
    <n v="0"/>
    <n v="0"/>
    <n v="0"/>
    <n v="0"/>
    <n v="0"/>
  </r>
  <r>
    <d v="2008-07-19T00:00:00"/>
    <n v="2008"/>
    <x v="21"/>
    <s v="R"/>
    <s v="RS"/>
    <x v="5"/>
    <s v="NYL"/>
    <s v="A"/>
    <n v="0"/>
    <n v="1"/>
    <n v="-1"/>
    <n v="1"/>
    <n v="-8"/>
    <n v="8"/>
    <n v="1493.4098443629478"/>
    <n v="1553.3043751293669"/>
    <n v="0.28487091694245692"/>
    <n v="71"/>
    <n v="55"/>
    <n v="0"/>
    <n v="16"/>
    <n v="1"/>
    <n v="0.49317083578265769"/>
    <n v="1"/>
    <n v="72.7"/>
    <n v="72.7"/>
    <n v="25.63989471135492"/>
    <n v="1519.0497390743026"/>
    <n v="1"/>
    <n v="0"/>
    <n v="0"/>
    <n v="0"/>
    <n v="0"/>
    <n v="0"/>
    <n v="0"/>
    <n v="0"/>
    <n v="0"/>
    <n v="0"/>
  </r>
  <r>
    <d v="2008-07-19T00:00:00"/>
    <n v="2008"/>
    <x v="21"/>
    <s v="R"/>
    <s v="RS"/>
    <x v="13"/>
    <s v="IND"/>
    <s v="H"/>
    <n v="1"/>
    <n v="0"/>
    <n v="1"/>
    <n v="-1"/>
    <n v="8"/>
    <n v="-8"/>
    <n v="1553.3043751293669"/>
    <n v="1493.4098443629478"/>
    <n v="0.71512908305754308"/>
    <n v="55"/>
    <n v="71"/>
    <n v="0"/>
    <n v="-16"/>
    <n v="0"/>
    <n v="0.49317083578265769"/>
    <n v="1"/>
    <n v="72.7"/>
    <n v="72.7"/>
    <n v="-25.63989471135492"/>
    <n v="1527.6644804180121"/>
    <n v="0"/>
    <n v="1"/>
    <n v="0"/>
    <n v="0"/>
    <n v="0"/>
    <n v="0"/>
    <n v="0"/>
    <n v="0"/>
    <n v="0"/>
    <n v="0"/>
  </r>
  <r>
    <d v="2008-07-19T00:00:00"/>
    <n v="2008"/>
    <x v="23"/>
    <s v="R"/>
    <s v="RS"/>
    <x v="0"/>
    <s v="PHX"/>
    <s v="A"/>
    <n v="0"/>
    <n v="1"/>
    <n v="-1"/>
    <n v="1"/>
    <n v="-8"/>
    <n v="8"/>
    <n v="1335.579658116427"/>
    <n v="1525.3670429219462"/>
    <n v="0.15867095025100861"/>
    <n v="84"/>
    <n v="110"/>
    <n v="0"/>
    <n v="-26"/>
    <n v="0"/>
    <n v="0.56476613991573943"/>
    <n v="1"/>
    <n v="72.400000000000006"/>
    <n v="72.400000000000006"/>
    <n v="-6.4879073585177718"/>
    <n v="1329.0917507579093"/>
    <n v="0"/>
    <n v="1"/>
    <n v="0"/>
    <n v="0"/>
    <n v="0"/>
    <n v="0"/>
    <n v="0"/>
    <n v="0"/>
    <n v="0"/>
    <n v="0"/>
  </r>
  <r>
    <d v="2008-07-19T00:00:00"/>
    <n v="2008"/>
    <x v="22"/>
    <s v="R"/>
    <s v="RS"/>
    <x v="7"/>
    <s v="ATL"/>
    <s v="H"/>
    <n v="1"/>
    <n v="0"/>
    <n v="1"/>
    <n v="-1"/>
    <n v="8"/>
    <n v="-8"/>
    <n v="1525.3670429219462"/>
    <n v="1335.579658116427"/>
    <n v="0.84132904974899148"/>
    <n v="110"/>
    <n v="84"/>
    <n v="0"/>
    <n v="26"/>
    <n v="1"/>
    <n v="0.56476613991573943"/>
    <n v="1"/>
    <n v="72.55"/>
    <n v="72.55"/>
    <n v="6.5013491555312699"/>
    <n v="1531.8683920774774"/>
    <n v="1"/>
    <n v="0"/>
    <n v="0"/>
    <n v="0"/>
    <n v="0"/>
    <n v="0"/>
    <n v="0"/>
    <n v="0"/>
    <n v="0"/>
    <n v="0"/>
  </r>
  <r>
    <d v="2008-07-19T00:00:00"/>
    <n v="2008"/>
    <x v="21"/>
    <s v="R"/>
    <s v="RS"/>
    <x v="12"/>
    <s v="SAS"/>
    <s v="A"/>
    <n v="1"/>
    <n v="3"/>
    <n v="-2"/>
    <n v="2"/>
    <n v="-16"/>
    <n v="16"/>
    <n v="1468.6424287065686"/>
    <n v="1592.8984426820878"/>
    <n v="0.20052364442751727"/>
    <n v="87"/>
    <n v="74"/>
    <n v="0"/>
    <n v="13"/>
    <n v="1"/>
    <n v="0.42775150786471172"/>
    <n v="1"/>
    <n v="72.7"/>
    <n v="72.7"/>
    <n v="24.861743646697423"/>
    <n v="1493.5041723532661"/>
    <n v="1"/>
    <n v="0"/>
    <n v="0"/>
    <n v="0"/>
    <n v="0"/>
    <n v="0"/>
    <n v="0"/>
    <n v="0"/>
    <n v="0"/>
    <n v="0"/>
  </r>
  <r>
    <d v="2008-07-19T00:00:00"/>
    <n v="2008"/>
    <x v="23"/>
    <s v="R"/>
    <s v="RS"/>
    <x v="8"/>
    <s v="MIN"/>
    <s v="H"/>
    <n v="3"/>
    <n v="1"/>
    <n v="2"/>
    <n v="-2"/>
    <n v="16"/>
    <n v="-16"/>
    <n v="1592.8984426820878"/>
    <n v="1468.6424287065686"/>
    <n v="0.79947635557248276"/>
    <n v="74"/>
    <n v="87"/>
    <n v="0"/>
    <n v="-13"/>
    <n v="0"/>
    <n v="0.42775150786471172"/>
    <n v="1"/>
    <n v="72.400000000000006"/>
    <n v="72.400000000000006"/>
    <n v="-24.759150481717931"/>
    <n v="1568.1392922003699"/>
    <n v="0"/>
    <n v="1"/>
    <n v="0"/>
    <n v="0"/>
    <n v="0"/>
    <n v="0"/>
    <n v="0"/>
    <n v="0"/>
    <n v="0"/>
    <n v="0"/>
  </r>
  <r>
    <d v="2008-07-20T00:00:00"/>
    <n v="2008"/>
    <x v="21"/>
    <s v="R"/>
    <s v="RS"/>
    <x v="10"/>
    <s v="CON"/>
    <s v="A"/>
    <n v="1"/>
    <n v="1"/>
    <n v="0"/>
    <n v="0"/>
    <n v="0"/>
    <n v="0"/>
    <n v="1425.7914588545975"/>
    <n v="1526.7721250114605"/>
    <n v="0.25638669600755415"/>
    <n v="67"/>
    <n v="74"/>
    <n v="0"/>
    <n v="-7"/>
    <n v="0"/>
    <n v="0.34137986715556168"/>
    <n v="1"/>
    <n v="72.7"/>
    <n v="72.7"/>
    <n v="-6.3630861274493382"/>
    <n v="1419.4283727271481"/>
    <n v="0"/>
    <n v="1"/>
    <n v="0"/>
    <n v="0"/>
    <n v="0"/>
    <n v="0"/>
    <n v="0"/>
    <n v="0"/>
    <n v="0"/>
    <n v="0"/>
  </r>
  <r>
    <d v="2008-07-20T00:00:00"/>
    <n v="2008"/>
    <x v="23"/>
    <s v="R"/>
    <s v="RS"/>
    <x v="1"/>
    <s v="CHI"/>
    <s v="H"/>
    <n v="1"/>
    <n v="1"/>
    <n v="0"/>
    <n v="0"/>
    <n v="0"/>
    <n v="0"/>
    <n v="1526.7721250114605"/>
    <n v="1425.7914588545975"/>
    <n v="0.74361330399244585"/>
    <n v="74"/>
    <n v="67"/>
    <n v="0"/>
    <n v="7"/>
    <n v="1"/>
    <n v="0.34137986715556168"/>
    <n v="1"/>
    <n v="72.400000000000006"/>
    <n v="72.400000000000006"/>
    <n v="6.3368285505822843"/>
    <n v="1533.1089535620429"/>
    <n v="1"/>
    <n v="0"/>
    <n v="0"/>
    <n v="0"/>
    <n v="0"/>
    <n v="0"/>
    <n v="0"/>
    <n v="0"/>
    <n v="0"/>
    <n v="0"/>
  </r>
  <r>
    <d v="2008-07-20T00:00:00"/>
    <n v="2008"/>
    <x v="22"/>
    <s v="R"/>
    <s v="RS"/>
    <x v="9"/>
    <s v="DET"/>
    <s v="A"/>
    <n v="1"/>
    <n v="1"/>
    <n v="0"/>
    <n v="0"/>
    <n v="0"/>
    <n v="0"/>
    <n v="1492.1349945259633"/>
    <n v="1615.0194831763422"/>
    <n v="0.23309392562037426"/>
    <n v="88"/>
    <n v="85"/>
    <n v="0"/>
    <n v="3"/>
    <n v="1"/>
    <n v="0.26322799027880933"/>
    <n v="1"/>
    <n v="72.55"/>
    <n v="72.55"/>
    <n v="14.645751547372674"/>
    <n v="1506.7807460733359"/>
    <n v="1"/>
    <n v="0"/>
    <n v="0"/>
    <n v="0"/>
    <n v="0"/>
    <n v="0"/>
    <n v="0"/>
    <n v="0"/>
    <n v="0"/>
    <n v="0"/>
  </r>
  <r>
    <d v="2008-07-20T00:00:00"/>
    <n v="2008"/>
    <x v="23"/>
    <s v="R"/>
    <s v="RS"/>
    <x v="3"/>
    <s v="SAC"/>
    <s v="H"/>
    <n v="1"/>
    <n v="1"/>
    <n v="0"/>
    <n v="0"/>
    <n v="0"/>
    <n v="0"/>
    <n v="1615.0194831763422"/>
    <n v="1492.1349945259633"/>
    <n v="0.76690607437962577"/>
    <n v="85"/>
    <n v="88"/>
    <n v="0"/>
    <n v="-3"/>
    <n v="0"/>
    <n v="0.26322799027880933"/>
    <n v="1"/>
    <n v="72.400000000000006"/>
    <n v="72.400000000000006"/>
    <n v="-14.615470875668942"/>
    <n v="1600.4040123006732"/>
    <n v="0"/>
    <n v="1"/>
    <n v="0"/>
    <n v="0"/>
    <n v="0"/>
    <n v="0"/>
    <n v="0"/>
    <n v="0"/>
    <n v="0"/>
    <n v="0"/>
  </r>
  <r>
    <d v="2008-07-20T00:00:00"/>
    <n v="2008"/>
    <x v="22"/>
    <s v="R"/>
    <s v="RS"/>
    <x v="11"/>
    <s v="WAS"/>
    <s v="A"/>
    <n v="1"/>
    <n v="1"/>
    <n v="0"/>
    <n v="0"/>
    <n v="0"/>
    <n v="0"/>
    <n v="1594.8405166528171"/>
    <n v="1420.5601709158436"/>
    <n v="0.62707654857715178"/>
    <n v="57"/>
    <n v="89"/>
    <n v="0"/>
    <n v="-32"/>
    <n v="0"/>
    <n v="0.63510524441034422"/>
    <n v="1"/>
    <n v="72.55"/>
    <n v="72.55"/>
    <n v="-28.893734317218716"/>
    <n v="1565.9467823355983"/>
    <n v="0"/>
    <n v="1"/>
    <n v="0"/>
    <n v="0"/>
    <n v="0"/>
    <n v="0"/>
    <n v="0"/>
    <n v="0"/>
    <n v="0"/>
    <n v="0"/>
  </r>
  <r>
    <d v="2008-07-20T00:00:00"/>
    <n v="2008"/>
    <x v="22"/>
    <s v="R"/>
    <s v="RS"/>
    <x v="4"/>
    <s v="SEA"/>
    <s v="H"/>
    <n v="1"/>
    <n v="1"/>
    <n v="0"/>
    <n v="0"/>
    <n v="0"/>
    <n v="0"/>
    <n v="1420.5601709158436"/>
    <n v="1594.8405166528171"/>
    <n v="0.37292345142284827"/>
    <n v="89"/>
    <n v="57"/>
    <n v="0"/>
    <n v="32"/>
    <n v="1"/>
    <n v="0.63510524441034422"/>
    <n v="1"/>
    <n v="72.55"/>
    <n v="72.55"/>
    <n v="28.893734317218712"/>
    <n v="1449.4539052330624"/>
    <n v="1"/>
    <n v="0"/>
    <n v="0"/>
    <n v="0"/>
    <n v="0"/>
    <n v="0"/>
    <n v="0"/>
    <n v="0"/>
    <n v="0"/>
    <n v="0"/>
  </r>
  <r>
    <d v="2008-07-22T00:00:00"/>
    <n v="2008"/>
    <x v="23"/>
    <s v="R"/>
    <s v="RS"/>
    <x v="9"/>
    <s v="ATL"/>
    <s v="A"/>
    <n v="1"/>
    <n v="2"/>
    <n v="-1"/>
    <n v="1"/>
    <n v="-8"/>
    <n v="8"/>
    <n v="1506.7807460733359"/>
    <n v="1329.0917507579093"/>
    <n v="0.6099765875826354"/>
    <n v="79"/>
    <n v="66"/>
    <n v="0"/>
    <n v="13"/>
    <n v="1"/>
    <n v="0.41116137873138042"/>
    <n v="1"/>
    <n v="72.400000000000006"/>
    <n v="72.400000000000006"/>
    <n v="11.6102496326618"/>
    <n v="1518.3909957059977"/>
    <n v="1"/>
    <n v="0"/>
    <n v="0"/>
    <n v="0"/>
    <n v="0"/>
    <n v="0"/>
    <n v="0"/>
    <n v="0"/>
    <n v="0"/>
    <n v="0"/>
  </r>
  <r>
    <d v="2008-07-22T00:00:00"/>
    <n v="2008"/>
    <x v="24"/>
    <s v="R"/>
    <s v="RS"/>
    <x v="0"/>
    <s v="SAC"/>
    <s v="H"/>
    <n v="2"/>
    <n v="1"/>
    <n v="1"/>
    <n v="-1"/>
    <n v="8"/>
    <n v="-8"/>
    <n v="1329.0917507579093"/>
    <n v="1506.7807460733359"/>
    <n v="0.39002341241736466"/>
    <n v="66"/>
    <n v="79"/>
    <n v="0"/>
    <n v="-13"/>
    <n v="0"/>
    <n v="0.41116137873138042"/>
    <n v="1"/>
    <n v="72.25"/>
    <n v="72.25"/>
    <n v="-11.586195248063744"/>
    <n v="1317.5055555098456"/>
    <n v="0"/>
    <n v="1"/>
    <n v="0"/>
    <n v="0"/>
    <n v="0"/>
    <n v="0"/>
    <n v="0"/>
    <n v="0"/>
    <n v="0"/>
    <n v="0"/>
  </r>
  <r>
    <d v="2008-07-22T00:00:00"/>
    <n v="2008"/>
    <x v="22"/>
    <s v="R"/>
    <s v="RS"/>
    <x v="5"/>
    <s v="CHI"/>
    <s v="A"/>
    <n v="2"/>
    <n v="1"/>
    <n v="1"/>
    <n v="-1"/>
    <n v="8"/>
    <n v="-8"/>
    <n v="1519.0497390743026"/>
    <n v="1419.4283727271481"/>
    <n v="0.54538156765234047"/>
    <n v="60"/>
    <n v="68"/>
    <n v="0"/>
    <n v="-8"/>
    <n v="0"/>
    <n v="0.35854953917334609"/>
    <n v="1"/>
    <n v="72.55"/>
    <n v="72.55"/>
    <n v="-14.186884772753091"/>
    <n v="1504.8628543015495"/>
    <n v="0"/>
    <n v="1"/>
    <n v="0"/>
    <n v="0"/>
    <n v="0"/>
    <n v="0"/>
    <n v="0"/>
    <n v="0"/>
    <n v="0"/>
    <n v="0"/>
  </r>
  <r>
    <d v="2008-07-22T00:00:00"/>
    <n v="2008"/>
    <x v="22"/>
    <s v="R"/>
    <s v="RS"/>
    <x v="10"/>
    <s v="IND"/>
    <s v="H"/>
    <n v="1"/>
    <n v="2"/>
    <n v="-1"/>
    <n v="1"/>
    <n v="-8"/>
    <n v="8"/>
    <n v="1419.4283727271481"/>
    <n v="1519.0497390743026"/>
    <n v="0.45461843234765958"/>
    <n v="68"/>
    <n v="60"/>
    <n v="0"/>
    <n v="8"/>
    <n v="1"/>
    <n v="0.35854953917334609"/>
    <n v="1"/>
    <n v="72.55"/>
    <n v="72.55"/>
    <n v="14.186884772753087"/>
    <n v="1433.6152574999012"/>
    <n v="1"/>
    <n v="0"/>
    <n v="0"/>
    <n v="0"/>
    <n v="0"/>
    <n v="0"/>
    <n v="0"/>
    <n v="0"/>
    <n v="0"/>
    <n v="0"/>
  </r>
  <r>
    <d v="2008-07-22T00:00:00"/>
    <n v="2008"/>
    <x v="23"/>
    <s v="R"/>
    <s v="RS"/>
    <x v="6"/>
    <s v="DET"/>
    <s v="A"/>
    <n v="2"/>
    <n v="1"/>
    <n v="1"/>
    <n v="-1"/>
    <n v="8"/>
    <n v="-8"/>
    <n v="1490.9847946803468"/>
    <n v="1600.4040123006732"/>
    <n v="0.26477286873362849"/>
    <n v="84"/>
    <n v="81"/>
    <n v="0"/>
    <n v="3"/>
    <n v="1"/>
    <n v="0.26593486687272533"/>
    <n v="1"/>
    <n v="72.400000000000006"/>
    <n v="72.400000000000006"/>
    <n v="14.15583111947657"/>
    <n v="1505.1406257998233"/>
    <n v="1"/>
    <n v="0"/>
    <n v="0"/>
    <n v="0"/>
    <n v="0"/>
    <n v="0"/>
    <n v="0"/>
    <n v="0"/>
    <n v="0"/>
    <n v="0"/>
  </r>
  <r>
    <d v="2008-07-22T00:00:00"/>
    <n v="2008"/>
    <x v="24"/>
    <s v="R"/>
    <s v="RS"/>
    <x v="3"/>
    <s v="LAS"/>
    <s v="H"/>
    <n v="1"/>
    <n v="2"/>
    <n v="-1"/>
    <n v="1"/>
    <n v="-8"/>
    <n v="8"/>
    <n v="1600.4040123006732"/>
    <n v="1490.9847946803468"/>
    <n v="0.73522713126637163"/>
    <n v="81"/>
    <n v="84"/>
    <n v="0"/>
    <n v="-3"/>
    <n v="0"/>
    <n v="0.26593486687272533"/>
    <n v="1"/>
    <n v="72.25"/>
    <n v="72.25"/>
    <n v="-14.126502740085391"/>
    <n v="1586.2775095605878"/>
    <n v="0"/>
    <n v="1"/>
    <n v="0"/>
    <n v="0"/>
    <n v="0"/>
    <n v="0"/>
    <n v="0"/>
    <n v="0"/>
    <n v="0"/>
    <n v="0"/>
  </r>
  <r>
    <d v="2008-07-22T00:00:00"/>
    <n v="2008"/>
    <x v="23"/>
    <s v="R"/>
    <s v="RS"/>
    <x v="7"/>
    <s v="HOU"/>
    <s v="A"/>
    <n v="2"/>
    <n v="2"/>
    <n v="0"/>
    <n v="0"/>
    <n v="0"/>
    <n v="0"/>
    <n v="1531.8683920774774"/>
    <n v="1490.3812974398063"/>
    <n v="0.43912253665086021"/>
    <n v="92"/>
    <n v="94"/>
    <n v="0"/>
    <n v="-2"/>
    <n v="0"/>
    <n v="0.25889079826915756"/>
    <n v="1"/>
    <n v="72.400000000000006"/>
    <n v="72.400000000000006"/>
    <n v="-8.2307783653299467"/>
    <n v="1523.6376137121474"/>
    <n v="0"/>
    <n v="1"/>
    <n v="0"/>
    <n v="0"/>
    <n v="0"/>
    <n v="0"/>
    <n v="0"/>
    <n v="0"/>
    <n v="0"/>
    <n v="0"/>
  </r>
  <r>
    <d v="2008-07-22T00:00:00"/>
    <n v="2008"/>
    <x v="23"/>
    <s v="R"/>
    <s v="RS"/>
    <x v="2"/>
    <s v="PHX"/>
    <s v="H"/>
    <n v="2"/>
    <n v="2"/>
    <n v="0"/>
    <n v="0"/>
    <n v="0"/>
    <n v="0"/>
    <n v="1490.3812974398063"/>
    <n v="1531.8683920774774"/>
    <n v="0.56087746334913979"/>
    <n v="94"/>
    <n v="92"/>
    <n v="0"/>
    <n v="2"/>
    <n v="1"/>
    <n v="0.25889079826915756"/>
    <n v="1"/>
    <n v="72.400000000000006"/>
    <n v="72.400000000000006"/>
    <n v="8.2307783653299467"/>
    <n v="1498.6120758051363"/>
    <n v="1"/>
    <n v="0"/>
    <n v="0"/>
    <n v="0"/>
    <n v="0"/>
    <n v="0"/>
    <n v="0"/>
    <n v="0"/>
    <n v="0"/>
    <n v="0"/>
  </r>
  <r>
    <d v="2008-07-22T00:00:00"/>
    <n v="2008"/>
    <x v="23"/>
    <s v="R"/>
    <s v="RS"/>
    <x v="11"/>
    <s v="MIN"/>
    <s v="A"/>
    <n v="1"/>
    <n v="2"/>
    <n v="-1"/>
    <n v="1"/>
    <n v="-8"/>
    <n v="8"/>
    <n v="1565.9467823355983"/>
    <n v="1493.5041723532661"/>
    <n v="0.46042468399768866"/>
    <n v="76"/>
    <n v="73"/>
    <n v="0"/>
    <n v="3"/>
    <n v="1"/>
    <n v="0.27366281401350168"/>
    <n v="1"/>
    <n v="72.400000000000006"/>
    <n v="72.400000000000006"/>
    <n v="10.690707032897786"/>
    <n v="1576.6374893684961"/>
    <n v="1"/>
    <n v="0"/>
    <n v="0"/>
    <n v="0"/>
    <n v="0"/>
    <n v="0"/>
    <n v="0"/>
    <n v="0"/>
    <n v="0"/>
    <n v="0"/>
  </r>
  <r>
    <d v="2008-07-22T00:00:00"/>
    <n v="2008"/>
    <x v="22"/>
    <s v="R"/>
    <s v="RS"/>
    <x v="12"/>
    <s v="SEA"/>
    <s v="H"/>
    <n v="2"/>
    <n v="1"/>
    <n v="1"/>
    <n v="-1"/>
    <n v="8"/>
    <n v="-8"/>
    <n v="1493.5041723532661"/>
    <n v="1565.9467823355983"/>
    <n v="0.53957531600231134"/>
    <n v="73"/>
    <n v="76"/>
    <n v="0"/>
    <n v="-3"/>
    <n v="0"/>
    <n v="0.27366281401350168"/>
    <n v="1"/>
    <n v="72.55"/>
    <n v="72.55"/>
    <n v="-10.712856287800196"/>
    <n v="1482.7913160654659"/>
    <n v="0"/>
    <n v="1"/>
    <n v="0"/>
    <n v="0"/>
    <n v="0"/>
    <n v="0"/>
    <n v="0"/>
    <n v="0"/>
    <n v="0"/>
    <n v="0"/>
  </r>
  <r>
    <d v="2008-07-23T00:00:00"/>
    <n v="2008"/>
    <x v="22"/>
    <s v="R"/>
    <s v="RS"/>
    <x v="13"/>
    <s v="WAS"/>
    <s v="A"/>
    <n v="3"/>
    <n v="2"/>
    <n v="1"/>
    <n v="-1"/>
    <n v="8"/>
    <n v="-8"/>
    <n v="1527.6644804180121"/>
    <n v="1449.4539052330624"/>
    <n v="0.51468996999157934"/>
    <n v="80"/>
    <n v="73"/>
    <n v="0"/>
    <n v="7"/>
    <n v="1"/>
    <n v="0.34746122087146808"/>
    <n v="1"/>
    <n v="72.55"/>
    <n v="72.55"/>
    <n v="12.233846446548757"/>
    <n v="1539.8983268645609"/>
    <n v="1"/>
    <n v="0"/>
    <n v="0"/>
    <n v="0"/>
    <n v="0"/>
    <n v="0"/>
    <n v="0"/>
    <n v="0"/>
    <n v="0"/>
    <n v="0"/>
  </r>
  <r>
    <d v="2008-07-23T00:00:00"/>
    <n v="2008"/>
    <x v="23"/>
    <s v="R"/>
    <s v="RS"/>
    <x v="4"/>
    <s v="NYL"/>
    <s v="H"/>
    <n v="2"/>
    <n v="3"/>
    <n v="-1"/>
    <n v="1"/>
    <n v="-8"/>
    <n v="8"/>
    <n v="1449.4539052330624"/>
    <n v="1527.6644804180121"/>
    <n v="0.4853100300084206"/>
    <n v="73"/>
    <n v="80"/>
    <n v="0"/>
    <n v="-7"/>
    <n v="0"/>
    <n v="0.34746122087146808"/>
    <n v="1"/>
    <n v="72.400000000000006"/>
    <n v="72.400000000000006"/>
    <n v="-12.208552484219572"/>
    <n v="1437.2453527488428"/>
    <n v="0"/>
    <n v="1"/>
    <n v="0"/>
    <n v="0"/>
    <n v="0"/>
    <n v="0"/>
    <n v="0"/>
    <n v="0"/>
    <n v="0"/>
    <n v="0"/>
  </r>
  <r>
    <d v="2008-07-24T00:00:00"/>
    <n v="2008"/>
    <x v="24"/>
    <s v="R"/>
    <s v="RS"/>
    <x v="6"/>
    <s v="CON"/>
    <s v="A"/>
    <n v="1"/>
    <n v="3"/>
    <n v="-2"/>
    <n v="2"/>
    <n v="-16"/>
    <n v="16"/>
    <n v="1505.1406257998233"/>
    <n v="1533.1089535620429"/>
    <n v="0.30390979775006705"/>
    <n v="61"/>
    <n v="87"/>
    <n v="0"/>
    <n v="-26"/>
    <n v="0"/>
    <n v="0.63918982181777428"/>
    <n v="1"/>
    <n v="72.25"/>
    <n v="72.25"/>
    <n v="-14.034999574391099"/>
    <n v="1491.1056262254322"/>
    <n v="0"/>
    <n v="1"/>
    <n v="0"/>
    <n v="0"/>
    <n v="0"/>
    <n v="0"/>
    <n v="0"/>
    <n v="0"/>
    <n v="0"/>
    <n v="0"/>
  </r>
  <r>
    <d v="2008-07-24T00:00:00"/>
    <n v="2008"/>
    <x v="24"/>
    <s v="R"/>
    <s v="RS"/>
    <x v="1"/>
    <s v="LAS"/>
    <s v="H"/>
    <n v="3"/>
    <n v="1"/>
    <n v="2"/>
    <n v="-2"/>
    <n v="16"/>
    <n v="-16"/>
    <n v="1533.1089535620429"/>
    <n v="1505.1406257998233"/>
    <n v="0.69609020224993301"/>
    <n v="87"/>
    <n v="61"/>
    <n v="0"/>
    <n v="26"/>
    <n v="1"/>
    <n v="0.63918982181777428"/>
    <n v="1"/>
    <n v="72.25"/>
    <n v="72.25"/>
    <n v="14.034999574391097"/>
    <n v="1547.143953136434"/>
    <n v="1"/>
    <n v="0"/>
    <n v="0"/>
    <n v="0"/>
    <n v="0"/>
    <n v="0"/>
    <n v="0"/>
    <n v="0"/>
    <n v="0"/>
    <n v="0"/>
  </r>
  <r>
    <d v="2008-07-24T00:00:00"/>
    <n v="2008"/>
    <x v="25"/>
    <s v="R"/>
    <s v="RS"/>
    <x v="3"/>
    <s v="HOU"/>
    <s v="A"/>
    <n v="1"/>
    <n v="1"/>
    <n v="0"/>
    <n v="0"/>
    <n v="0"/>
    <n v="0"/>
    <n v="1586.2775095605878"/>
    <n v="1498.6120758051363"/>
    <n v="0.50527478750659849"/>
    <n v="61"/>
    <n v="79"/>
    <n v="0"/>
    <n v="-18"/>
    <n v="0"/>
    <n v="0.50960498072685601"/>
    <n v="1"/>
    <n v="72.099999999999994"/>
    <n v="72.099999999999994"/>
    <n v="-18.565068535967683"/>
    <n v="1567.7124410246201"/>
    <n v="0"/>
    <n v="1"/>
    <n v="0"/>
    <n v="0"/>
    <n v="0"/>
    <n v="0"/>
    <n v="0"/>
    <n v="0"/>
    <n v="0"/>
    <n v="0"/>
  </r>
  <r>
    <d v="2008-07-24T00:00:00"/>
    <n v="2008"/>
    <x v="24"/>
    <s v="R"/>
    <s v="RS"/>
    <x v="2"/>
    <s v="DET"/>
    <s v="H"/>
    <n v="1"/>
    <n v="1"/>
    <n v="0"/>
    <n v="0"/>
    <n v="0"/>
    <n v="0"/>
    <n v="1498.6120758051363"/>
    <n v="1586.2775095605878"/>
    <n v="0.4947252124934014"/>
    <n v="79"/>
    <n v="61"/>
    <n v="0"/>
    <n v="18"/>
    <n v="1"/>
    <n v="0.50960498072685601"/>
    <n v="1"/>
    <n v="72.25"/>
    <n v="72.25"/>
    <n v="18.603692118220049"/>
    <n v="1517.2157679233565"/>
    <n v="1"/>
    <n v="0"/>
    <n v="0"/>
    <n v="0"/>
    <n v="0"/>
    <n v="0"/>
    <n v="0"/>
    <n v="0"/>
    <n v="0"/>
    <n v="0"/>
  </r>
  <r>
    <d v="2008-07-24T00:00:00"/>
    <n v="2008"/>
    <x v="23"/>
    <s v="R"/>
    <s v="RS"/>
    <x v="12"/>
    <s v="IND"/>
    <s v="A"/>
    <n v="1"/>
    <n v="1"/>
    <n v="0"/>
    <n v="0"/>
    <n v="0"/>
    <n v="0"/>
    <n v="1482.7913160654659"/>
    <n v="1504.8628543015495"/>
    <n v="0.35192305883175146"/>
    <n v="84"/>
    <n v="80"/>
    <n v="1"/>
    <n v="4"/>
    <n v="1"/>
    <n v="0.27522722129808169"/>
    <n v="1"/>
    <n v="72.400000000000006"/>
    <n v="72.400000000000006"/>
    <n v="12.913873297049054"/>
    <n v="1495.7051893625151"/>
    <n v="1"/>
    <n v="0"/>
    <n v="0"/>
    <n v="0"/>
    <n v="0"/>
    <n v="0"/>
    <n v="0"/>
    <n v="0"/>
    <n v="0"/>
    <n v="0"/>
  </r>
  <r>
    <d v="2008-07-24T00:00:00"/>
    <n v="2008"/>
    <x v="23"/>
    <s v="R"/>
    <s v="RS"/>
    <x v="5"/>
    <s v="MIN"/>
    <s v="H"/>
    <n v="1"/>
    <n v="1"/>
    <n v="0"/>
    <n v="0"/>
    <n v="0"/>
    <n v="0"/>
    <n v="1504.8628543015495"/>
    <n v="1482.7913160654659"/>
    <n v="0.64807694116824843"/>
    <n v="80"/>
    <n v="84"/>
    <n v="1"/>
    <n v="-4"/>
    <n v="0"/>
    <n v="0.27522722129808169"/>
    <n v="1"/>
    <n v="72.400000000000006"/>
    <n v="72.400000000000006"/>
    <n v="-12.913873297049053"/>
    <n v="1491.9489810045004"/>
    <n v="0"/>
    <n v="1"/>
    <n v="0"/>
    <n v="0"/>
    <n v="0"/>
    <n v="0"/>
    <n v="0"/>
    <n v="0"/>
    <n v="0"/>
    <n v="0"/>
  </r>
  <r>
    <d v="2008-07-24T00:00:00"/>
    <n v="2008"/>
    <x v="24"/>
    <s v="R"/>
    <s v="RS"/>
    <x v="7"/>
    <s v="SAC"/>
    <s v="A"/>
    <n v="1"/>
    <n v="1"/>
    <n v="0"/>
    <n v="0"/>
    <n v="0"/>
    <n v="0"/>
    <n v="1523.6376137121474"/>
    <n v="1518.3909957059977"/>
    <n v="0.38856672936228576"/>
    <n v="74"/>
    <n v="83"/>
    <n v="0"/>
    <n v="-9"/>
    <n v="0"/>
    <n v="0.40420427263476932"/>
    <n v="1"/>
    <n v="72.25"/>
    <n v="72.25"/>
    <n v="-11.347609002313675"/>
    <n v="1512.2900047098337"/>
    <n v="0"/>
    <n v="1"/>
    <n v="0"/>
    <n v="0"/>
    <n v="0"/>
    <n v="0"/>
    <n v="0"/>
    <n v="0"/>
    <n v="0"/>
    <n v="0"/>
  </r>
  <r>
    <d v="2008-07-24T00:00:00"/>
    <n v="2008"/>
    <x v="24"/>
    <s v="R"/>
    <s v="RS"/>
    <x v="9"/>
    <s v="PHX"/>
    <s v="H"/>
    <n v="1"/>
    <n v="1"/>
    <n v="0"/>
    <n v="0"/>
    <n v="0"/>
    <n v="0"/>
    <n v="1518.3909957059977"/>
    <n v="1523.6376137121474"/>
    <n v="0.61143327063771424"/>
    <n v="83"/>
    <n v="74"/>
    <n v="0"/>
    <n v="9"/>
    <n v="1"/>
    <n v="0.40420427263476932"/>
    <n v="1"/>
    <n v="72.25"/>
    <n v="72.25"/>
    <n v="11.347609002313675"/>
    <n v="1529.7386047083114"/>
    <n v="1"/>
    <n v="0"/>
    <n v="0"/>
    <n v="0"/>
    <n v="0"/>
    <n v="0"/>
    <n v="0"/>
    <n v="0"/>
    <n v="0"/>
    <n v="0"/>
  </r>
  <r>
    <d v="2008-07-24T00:00:00"/>
    <n v="2008"/>
    <x v="23"/>
    <s v="R"/>
    <s v="RS"/>
    <x v="10"/>
    <s v="SAS"/>
    <s v="A"/>
    <n v="1"/>
    <n v="4"/>
    <n v="-3"/>
    <n v="3"/>
    <n v="-16"/>
    <n v="16"/>
    <n v="1433.6152574999012"/>
    <n v="1568.1392922003699"/>
    <n v="0.19121537159337904"/>
    <n v="67"/>
    <n v="78"/>
    <n v="0"/>
    <n v="-11"/>
    <n v="0"/>
    <n v="0.39549918216918595"/>
    <n v="1"/>
    <n v="72.400000000000006"/>
    <n v="72.400000000000006"/>
    <n v="-5.4752878712351487"/>
    <n v="1428.139969628666"/>
    <n v="0"/>
    <n v="1"/>
    <n v="0"/>
    <n v="0"/>
    <n v="0"/>
    <n v="0"/>
    <n v="0"/>
    <n v="0"/>
    <n v="0"/>
    <n v="0"/>
  </r>
  <r>
    <d v="2008-07-24T00:00:00"/>
    <n v="2008"/>
    <x v="24"/>
    <s v="R"/>
    <s v="RS"/>
    <x v="8"/>
    <s v="CHI"/>
    <s v="H"/>
    <n v="4"/>
    <n v="1"/>
    <n v="3"/>
    <n v="-3"/>
    <n v="16"/>
    <n v="-16"/>
    <n v="1568.1392922003699"/>
    <n v="1433.6152574999012"/>
    <n v="0.80878462840662102"/>
    <n v="78"/>
    <n v="67"/>
    <n v="0"/>
    <n v="11"/>
    <n v="1"/>
    <n v="0.39549918216918595"/>
    <n v="1"/>
    <n v="72.25"/>
    <n v="72.25"/>
    <n v="5.4639440427726429"/>
    <n v="1573.6032362431426"/>
    <n v="1"/>
    <n v="0"/>
    <n v="0"/>
    <n v="0"/>
    <n v="0"/>
    <n v="0"/>
    <n v="0"/>
    <n v="0"/>
    <n v="0"/>
    <n v="0"/>
  </r>
  <r>
    <d v="2008-07-25T00:00:00"/>
    <n v="2008"/>
    <x v="24"/>
    <s v="R"/>
    <s v="RS"/>
    <x v="4"/>
    <s v="ATL"/>
    <s v="A"/>
    <n v="1"/>
    <n v="2"/>
    <n v="-1"/>
    <n v="1"/>
    <n v="-8"/>
    <n v="8"/>
    <n v="1437.2453527488428"/>
    <n v="1317.5055555098456"/>
    <n v="0.52837732412785521"/>
    <n v="81"/>
    <n v="75"/>
    <n v="0"/>
    <n v="6"/>
    <n v="1"/>
    <n v="0.31940910942526662"/>
    <n v="1"/>
    <n v="72.25"/>
    <n v="72.25"/>
    <n v="10.883781824447242"/>
    <n v="1448.12913457329"/>
    <n v="1"/>
    <n v="0"/>
    <n v="0"/>
    <n v="0"/>
    <n v="0"/>
    <n v="0"/>
    <n v="0"/>
    <n v="0"/>
    <n v="0"/>
    <n v="0"/>
  </r>
  <r>
    <d v="2008-07-25T00:00:00"/>
    <n v="2008"/>
    <x v="25"/>
    <s v="R"/>
    <s v="RS"/>
    <x v="0"/>
    <s v="WAS"/>
    <s v="H"/>
    <n v="2"/>
    <n v="1"/>
    <n v="1"/>
    <n v="-1"/>
    <n v="8"/>
    <n v="-8"/>
    <n v="1317.5055555098456"/>
    <n v="1437.2453527488428"/>
    <n v="0.47162267587214474"/>
    <n v="75"/>
    <n v="81"/>
    <n v="0"/>
    <n v="-6"/>
    <n v="0"/>
    <n v="0.31940910942526662"/>
    <n v="1"/>
    <n v="72.099999999999994"/>
    <n v="72.099999999999994"/>
    <n v="-10.861185737614479"/>
    <n v="1306.6443697722311"/>
    <n v="0"/>
    <n v="1"/>
    <n v="0"/>
    <n v="0"/>
    <n v="0"/>
    <n v="0"/>
    <n v="0"/>
    <n v="0"/>
    <n v="0"/>
    <n v="0"/>
  </r>
  <r>
    <d v="2008-07-25T00:00:00"/>
    <n v="2008"/>
    <x v="25"/>
    <s v="R"/>
    <s v="RS"/>
    <x v="8"/>
    <s v="MIN"/>
    <s v="A"/>
    <n v="0"/>
    <n v="0"/>
    <n v="0"/>
    <n v="0"/>
    <n v="0"/>
    <n v="0"/>
    <n v="1573.6032362431426"/>
    <n v="1495.7051893625151"/>
    <n v="0.49121948634189022"/>
    <n v="68"/>
    <n v="78"/>
    <n v="0"/>
    <n v="-10"/>
    <n v="0"/>
    <n v="0.39733657973590419"/>
    <n v="1"/>
    <n v="72.099999999999994"/>
    <n v="72.099999999999994"/>
    <n v="-14.072439830455705"/>
    <n v="1559.5307964126869"/>
    <n v="0"/>
    <n v="1"/>
    <n v="0"/>
    <n v="0"/>
    <n v="0"/>
    <n v="0"/>
    <n v="0"/>
    <n v="0"/>
    <n v="0"/>
    <n v="0"/>
  </r>
  <r>
    <d v="2008-07-25T00:00:00"/>
    <n v="2008"/>
    <x v="24"/>
    <s v="R"/>
    <s v="RS"/>
    <x v="12"/>
    <s v="SAS"/>
    <s v="H"/>
    <n v="0"/>
    <n v="0"/>
    <n v="0"/>
    <n v="0"/>
    <n v="0"/>
    <n v="0"/>
    <n v="1495.7051893625151"/>
    <n v="1573.6032362431426"/>
    <n v="0.50878051365810983"/>
    <n v="78"/>
    <n v="68"/>
    <n v="0"/>
    <n v="10"/>
    <n v="1"/>
    <n v="0.39733657973590419"/>
    <n v="1"/>
    <n v="72.25"/>
    <n v="72.25"/>
    <n v="14.101716751046112"/>
    <n v="1509.8069061135611"/>
    <n v="1"/>
    <n v="0"/>
    <n v="0"/>
    <n v="0"/>
    <n v="0"/>
    <n v="0"/>
    <n v="0"/>
    <n v="0"/>
    <n v="0"/>
    <n v="0"/>
  </r>
  <r>
    <d v="2008-07-25T00:00:00"/>
    <n v="2008"/>
    <x v="25"/>
    <s v="R"/>
    <s v="RS"/>
    <x v="6"/>
    <s v="NYL"/>
    <s v="A"/>
    <n v="0"/>
    <n v="1"/>
    <n v="-1"/>
    <n v="1"/>
    <n v="-8"/>
    <n v="8"/>
    <n v="1491.1056262254322"/>
    <n v="1539.8983268645609"/>
    <n v="0.29806700592757751"/>
    <n v="68"/>
    <n v="69"/>
    <n v="0"/>
    <n v="-1"/>
    <n v="0"/>
    <n v="0.23463910784262876"/>
    <n v="1"/>
    <n v="72.099999999999994"/>
    <n v="72.099999999999994"/>
    <n v="-5.0425425147030802"/>
    <n v="1486.0630837107292"/>
    <n v="0"/>
    <n v="1"/>
    <n v="0"/>
    <n v="0"/>
    <n v="0"/>
    <n v="0"/>
    <n v="0"/>
    <n v="0"/>
    <n v="0"/>
    <n v="0"/>
  </r>
  <r>
    <d v="2008-07-25T00:00:00"/>
    <n v="2008"/>
    <x v="23"/>
    <s v="R"/>
    <s v="RS"/>
    <x v="13"/>
    <s v="LAS"/>
    <s v="H"/>
    <n v="1"/>
    <n v="0"/>
    <n v="1"/>
    <n v="-1"/>
    <n v="8"/>
    <n v="-8"/>
    <n v="1539.8983268645609"/>
    <n v="1491.1056262254322"/>
    <n v="0.70193299407242238"/>
    <n v="69"/>
    <n v="68"/>
    <n v="0"/>
    <n v="1"/>
    <n v="1"/>
    <n v="0.23463910784262876"/>
    <n v="1"/>
    <n v="72.400000000000006"/>
    <n v="72.400000000000006"/>
    <n v="5.0635239676075336"/>
    <n v="1544.9618508321685"/>
    <n v="1"/>
    <n v="0"/>
    <n v="0"/>
    <n v="0"/>
    <n v="0"/>
    <n v="0"/>
    <n v="0"/>
    <n v="0"/>
    <n v="0"/>
    <n v="0"/>
  </r>
  <r>
    <d v="2008-07-25T00:00:00"/>
    <n v="2008"/>
    <x v="24"/>
    <s v="R"/>
    <s v="RS"/>
    <x v="11"/>
    <s v="PHX"/>
    <s v="A"/>
    <n v="2"/>
    <n v="0"/>
    <n v="2"/>
    <n v="-2"/>
    <n v="16"/>
    <n v="-16"/>
    <n v="1576.6374893684961"/>
    <n v="1512.2900047098337"/>
    <n v="0.51776198156787145"/>
    <n v="80"/>
    <n v="94"/>
    <n v="0"/>
    <n v="-14"/>
    <n v="0"/>
    <n v="0.46279186010235934"/>
    <n v="1"/>
    <n v="72.25"/>
    <n v="72.25"/>
    <n v="-17.312258206520688"/>
    <n v="1559.3252311619754"/>
    <n v="0"/>
    <n v="1"/>
    <n v="0"/>
    <n v="0"/>
    <n v="0"/>
    <n v="0"/>
    <n v="0"/>
    <n v="0"/>
    <n v="0"/>
    <n v="0"/>
  </r>
  <r>
    <d v="2008-07-25T00:00:00"/>
    <n v="2008"/>
    <x v="25"/>
    <s v="R"/>
    <s v="RS"/>
    <x v="7"/>
    <s v="SEA"/>
    <s v="H"/>
    <n v="0"/>
    <n v="2"/>
    <n v="-2"/>
    <n v="2"/>
    <n v="-16"/>
    <n v="16"/>
    <n v="1512.2900047098337"/>
    <n v="1576.6374893684961"/>
    <n v="0.48223801843212855"/>
    <n v="94"/>
    <n v="80"/>
    <n v="0"/>
    <n v="14"/>
    <n v="1"/>
    <n v="0.46279186010235934"/>
    <n v="1"/>
    <n v="72.099999999999994"/>
    <n v="72.099999999999994"/>
    <n v="17.276315801939674"/>
    <n v="1529.5663205117735"/>
    <n v="1"/>
    <n v="0"/>
    <n v="0"/>
    <n v="0"/>
    <n v="0"/>
    <n v="0"/>
    <n v="0"/>
    <n v="0"/>
    <n v="0"/>
    <n v="0"/>
  </r>
  <r>
    <d v="2008-07-26T00:00:00"/>
    <n v="2008"/>
    <x v="24"/>
    <s v="R"/>
    <s v="RS"/>
    <x v="10"/>
    <s v="HOU"/>
    <s v="A"/>
    <n v="1"/>
    <n v="1"/>
    <n v="0"/>
    <n v="0"/>
    <n v="0"/>
    <n v="0"/>
    <n v="1428.139969628666"/>
    <n v="1517.2157679233565"/>
    <n v="0.26966864396709006"/>
    <n v="65"/>
    <n v="79"/>
    <n v="0"/>
    <n v="-14"/>
    <n v="0"/>
    <n v="0.45391413368786038"/>
    <n v="1"/>
    <n v="72.25"/>
    <n v="72.25"/>
    <n v="-8.8438630436826013"/>
    <n v="1419.2961065849834"/>
    <n v="0"/>
    <n v="1"/>
    <n v="0"/>
    <n v="0"/>
    <n v="0"/>
    <n v="0"/>
    <n v="0"/>
    <n v="0"/>
    <n v="0"/>
    <n v="0"/>
  </r>
  <r>
    <d v="2008-07-26T00:00:00"/>
    <n v="2008"/>
    <x v="25"/>
    <s v="R"/>
    <s v="RS"/>
    <x v="2"/>
    <s v="CHI"/>
    <s v="H"/>
    <n v="1"/>
    <n v="1"/>
    <n v="0"/>
    <n v="0"/>
    <n v="0"/>
    <n v="0"/>
    <n v="1517.2157679233565"/>
    <n v="1428.139969628666"/>
    <n v="0.73033135603291"/>
    <n v="79"/>
    <n v="65"/>
    <n v="0"/>
    <n v="14"/>
    <n v="1"/>
    <n v="0.45391413368786038"/>
    <n v="1"/>
    <n v="72.099999999999994"/>
    <n v="72.099999999999994"/>
    <n v="8.8255020823462313"/>
    <n v="1526.0412700057027"/>
    <n v="1"/>
    <n v="0"/>
    <n v="0"/>
    <n v="0"/>
    <n v="0"/>
    <n v="0"/>
    <n v="0"/>
    <n v="0"/>
    <n v="0"/>
    <n v="0"/>
  </r>
  <r>
    <d v="2008-07-26T00:00:00"/>
    <n v="2008"/>
    <x v="24"/>
    <s v="R"/>
    <s v="RS"/>
    <x v="5"/>
    <s v="SAC"/>
    <s v="A"/>
    <n v="1"/>
    <n v="1"/>
    <n v="0"/>
    <n v="0"/>
    <n v="0"/>
    <n v="0"/>
    <n v="1491.9489810045004"/>
    <n v="1529.7386047083114"/>
    <n v="0.33157339102156319"/>
    <n v="62"/>
    <n v="70"/>
    <n v="0"/>
    <n v="-8"/>
    <n v="0"/>
    <n v="0.37646029105436257"/>
    <n v="1"/>
    <n v="72.25"/>
    <n v="72.25"/>
    <n v="-9.0185495546923597"/>
    <n v="1482.9304314498081"/>
    <n v="0"/>
    <n v="1"/>
    <n v="0"/>
    <n v="0"/>
    <n v="0"/>
    <n v="0"/>
    <n v="0"/>
    <n v="0"/>
    <n v="0"/>
    <n v="0"/>
  </r>
  <r>
    <d v="2008-07-26T00:00:00"/>
    <n v="2008"/>
    <x v="25"/>
    <s v="R"/>
    <s v="RS"/>
    <x v="9"/>
    <s v="IND"/>
    <s v="H"/>
    <n v="1"/>
    <n v="1"/>
    <n v="0"/>
    <n v="0"/>
    <n v="0"/>
    <n v="0"/>
    <n v="1529.7386047083114"/>
    <n v="1491.9489810045004"/>
    <n v="0.66842660897843686"/>
    <n v="70"/>
    <n v="62"/>
    <n v="0"/>
    <n v="8"/>
    <n v="1"/>
    <n v="0.37646029105436257"/>
    <n v="1"/>
    <n v="72.099999999999994"/>
    <n v="72.099999999999994"/>
    <n v="8.9998259223988786"/>
    <n v="1538.7384306307104"/>
    <n v="1"/>
    <n v="0"/>
    <n v="0"/>
    <n v="0"/>
    <n v="0"/>
    <n v="0"/>
    <n v="0"/>
    <n v="0"/>
    <n v="0"/>
    <n v="0"/>
  </r>
  <r>
    <d v="2008-07-27T00:00:00"/>
    <n v="2008"/>
    <x v="24"/>
    <s v="R"/>
    <s v="RS"/>
    <x v="13"/>
    <s v="ATL"/>
    <s v="A"/>
    <n v="1"/>
    <n v="1"/>
    <n v="0"/>
    <n v="0"/>
    <n v="0"/>
    <n v="0"/>
    <n v="1544.9618508321685"/>
    <n v="1306.6443697722311"/>
    <n v="0.70854394206517313"/>
    <n v="86"/>
    <n v="76"/>
    <n v="0"/>
    <n v="10"/>
    <n v="1"/>
    <n v="0.3530205576202558"/>
    <n v="1"/>
    <n v="72.25"/>
    <n v="72.25"/>
    <n v="7.4338010617881878"/>
    <n v="1552.3956518939567"/>
    <n v="1"/>
    <n v="0"/>
    <n v="0"/>
    <n v="0"/>
    <n v="0"/>
    <n v="0"/>
    <n v="0"/>
    <n v="0"/>
    <n v="0"/>
    <n v="0"/>
  </r>
  <r>
    <d v="2008-07-27T00:00:00"/>
    <n v="2008"/>
    <x v="26"/>
    <s v="R"/>
    <s v="RS"/>
    <x v="0"/>
    <s v="NYL"/>
    <s v="H"/>
    <n v="1"/>
    <n v="1"/>
    <n v="0"/>
    <n v="0"/>
    <n v="0"/>
    <n v="0"/>
    <n v="1306.6443697722311"/>
    <n v="1544.9618508321685"/>
    <n v="0.29145605793482676"/>
    <n v="76"/>
    <n v="86"/>
    <n v="0"/>
    <n v="-10"/>
    <n v="0"/>
    <n v="0.3530205576202558"/>
    <n v="1"/>
    <n v="71.95"/>
    <n v="71.95"/>
    <n v="-7.4029340677599995"/>
    <n v="1299.2414357044711"/>
    <n v="0"/>
    <n v="1"/>
    <n v="0"/>
    <n v="0"/>
    <n v="0"/>
    <n v="0"/>
    <n v="0"/>
    <n v="0"/>
    <n v="0"/>
    <n v="0"/>
  </r>
  <r>
    <d v="2008-07-27T00:00:00"/>
    <n v="2008"/>
    <x v="26"/>
    <s v="R"/>
    <s v="RS"/>
    <x v="8"/>
    <s v="DET"/>
    <s v="A"/>
    <n v="1"/>
    <n v="2"/>
    <n v="-1"/>
    <n v="1"/>
    <n v="-8"/>
    <n v="8"/>
    <n v="1559.5307964126869"/>
    <n v="1567.7124410246201"/>
    <n v="0.34915771863523948"/>
    <n v="76"/>
    <n v="64"/>
    <n v="0"/>
    <n v="12"/>
    <n v="1"/>
    <n v="0.45304059545421982"/>
    <n v="1"/>
    <n v="71.95"/>
    <n v="71.95"/>
    <n v="21.215031279396914"/>
    <n v="1580.7458276920838"/>
    <n v="1"/>
    <n v="0"/>
    <n v="0"/>
    <n v="0"/>
    <n v="0"/>
    <n v="0"/>
    <n v="0"/>
    <n v="0"/>
    <n v="0"/>
    <n v="0"/>
  </r>
  <r>
    <d v="2008-07-27T00:00:00"/>
    <n v="2008"/>
    <x v="26"/>
    <s v="R"/>
    <s v="RS"/>
    <x v="3"/>
    <s v="SAS"/>
    <s v="H"/>
    <n v="2"/>
    <n v="1"/>
    <n v="1"/>
    <n v="-1"/>
    <n v="8"/>
    <n v="-8"/>
    <n v="1567.7124410246201"/>
    <n v="1559.5307964126869"/>
    <n v="0.65084228136476063"/>
    <n v="64"/>
    <n v="76"/>
    <n v="0"/>
    <n v="-12"/>
    <n v="0"/>
    <n v="0.45304059545421982"/>
    <n v="1"/>
    <n v="71.95"/>
    <n v="71.95"/>
    <n v="-21.215031279396918"/>
    <n v="1546.4974097452232"/>
    <n v="0"/>
    <n v="1"/>
    <n v="0"/>
    <n v="0"/>
    <n v="0"/>
    <n v="0"/>
    <n v="0"/>
    <n v="0"/>
    <n v="0"/>
    <n v="0"/>
  </r>
  <r>
    <d v="2008-07-27T00:00:00"/>
    <n v="2008"/>
    <x v="26"/>
    <s v="R"/>
    <s v="RS"/>
    <x v="6"/>
    <s v="MIN"/>
    <s v="A"/>
    <n v="1"/>
    <n v="1"/>
    <n v="0"/>
    <n v="0"/>
    <n v="0"/>
    <n v="0"/>
    <n v="1486.0630837107292"/>
    <n v="1509.8069061135611"/>
    <n v="0.34973066741377629"/>
    <n v="92"/>
    <n v="84"/>
    <n v="1"/>
    <n v="8"/>
    <n v="1"/>
    <n v="0.34270308060047083"/>
    <n v="1"/>
    <n v="71.95"/>
    <n v="71.95"/>
    <n v="16.034007386631526"/>
    <n v="1502.0970910973608"/>
    <n v="1"/>
    <n v="0"/>
    <n v="0"/>
    <n v="0"/>
    <n v="0"/>
    <n v="0"/>
    <n v="0"/>
    <n v="0"/>
    <n v="0"/>
    <n v="0"/>
  </r>
  <r>
    <d v="2008-07-27T00:00:00"/>
    <n v="2008"/>
    <x v="25"/>
    <s v="R"/>
    <s v="RS"/>
    <x v="12"/>
    <s v="LAS"/>
    <s v="H"/>
    <n v="1"/>
    <n v="1"/>
    <n v="0"/>
    <n v="0"/>
    <n v="0"/>
    <n v="0"/>
    <n v="1509.8069061135611"/>
    <n v="1486.0630837107292"/>
    <n v="0.65026933258622366"/>
    <n v="84"/>
    <n v="92"/>
    <n v="1"/>
    <n v="-8"/>
    <n v="0"/>
    <n v="0.34270308060047083"/>
    <n v="1"/>
    <n v="72.099999999999994"/>
    <n v="72.099999999999994"/>
    <n v="-16.06743478215612"/>
    <n v="1493.739471331405"/>
    <n v="0"/>
    <n v="1"/>
    <n v="0"/>
    <n v="0"/>
    <n v="0"/>
    <n v="0"/>
    <n v="0"/>
    <n v="0"/>
    <n v="0"/>
    <n v="0"/>
  </r>
  <r>
    <d v="2008-07-27T00:00:00"/>
    <n v="2008"/>
    <x v="25"/>
    <s v="R"/>
    <s v="RS"/>
    <x v="5"/>
    <s v="PHX"/>
    <s v="A"/>
    <n v="0"/>
    <n v="1"/>
    <n v="-1"/>
    <n v="1"/>
    <n v="-8"/>
    <n v="8"/>
    <n v="1482.9304314498081"/>
    <n v="1529.5663205117735"/>
    <n v="0.30067113237502446"/>
    <n v="88"/>
    <n v="84"/>
    <n v="0"/>
    <n v="4"/>
    <n v="1"/>
    <n v="0.29978222604024446"/>
    <n v="1"/>
    <n v="72.099999999999994"/>
    <n v="72.099999999999994"/>
    <n v="15.115502892766022"/>
    <n v="1498.0459343425741"/>
    <n v="1"/>
    <n v="0"/>
    <n v="0"/>
    <n v="0"/>
    <n v="0"/>
    <n v="0"/>
    <n v="0"/>
    <n v="0"/>
    <n v="0"/>
    <n v="0"/>
  </r>
  <r>
    <d v="2008-07-27T00:00:00"/>
    <n v="2008"/>
    <x v="26"/>
    <s v="R"/>
    <s v="RS"/>
    <x v="7"/>
    <s v="IND"/>
    <s v="H"/>
    <n v="1"/>
    <n v="0"/>
    <n v="1"/>
    <n v="-1"/>
    <n v="8"/>
    <n v="-8"/>
    <n v="1529.5663205117735"/>
    <n v="1482.9304314498081"/>
    <n v="0.69932886762497559"/>
    <n v="84"/>
    <n v="88"/>
    <n v="0"/>
    <n v="-4"/>
    <n v="0"/>
    <n v="0.29978222604024446"/>
    <n v="1"/>
    <n v="71.95"/>
    <n v="71.95"/>
    <n v="-15.084055938065401"/>
    <n v="1514.4822645737081"/>
    <n v="0"/>
    <n v="1"/>
    <n v="0"/>
    <n v="0"/>
    <n v="0"/>
    <n v="0"/>
    <n v="0"/>
    <n v="0"/>
    <n v="0"/>
    <n v="0"/>
  </r>
  <r>
    <d v="2008-07-27T00:00:00"/>
    <n v="2008"/>
    <x v="26"/>
    <s v="R"/>
    <s v="RS"/>
    <x v="9"/>
    <s v="SEA"/>
    <s v="A"/>
    <n v="0"/>
    <n v="1"/>
    <n v="-1"/>
    <n v="1"/>
    <n v="-8"/>
    <n v="8"/>
    <n v="1538.7384306307104"/>
    <n v="1559.3252311619754"/>
    <n v="0.33310976135172271"/>
    <n v="71"/>
    <n v="77"/>
    <n v="0"/>
    <n v="-6"/>
    <n v="0"/>
    <n v="0.34535594938902703"/>
    <n v="1"/>
    <n v="71.95"/>
    <n v="71.95"/>
    <n v="-8.2772314556369828"/>
    <n v="1530.4611991750733"/>
    <n v="0"/>
    <n v="1"/>
    <n v="0"/>
    <n v="0"/>
    <n v="0"/>
    <n v="0"/>
    <n v="0"/>
    <n v="0"/>
    <n v="0"/>
    <n v="0"/>
  </r>
  <r>
    <d v="2008-07-27T00:00:00"/>
    <n v="2008"/>
    <x v="25"/>
    <s v="R"/>
    <s v="RS"/>
    <x v="11"/>
    <s v="SAC"/>
    <s v="H"/>
    <n v="1"/>
    <n v="0"/>
    <n v="1"/>
    <n v="-1"/>
    <n v="8"/>
    <n v="-8"/>
    <n v="1559.3252311619754"/>
    <n v="1538.7384306307104"/>
    <n v="0.66689023864827723"/>
    <n v="77"/>
    <n v="71"/>
    <n v="0"/>
    <n v="6"/>
    <n v="1"/>
    <n v="0.34535594938902703"/>
    <n v="1"/>
    <n v="72.099999999999994"/>
    <n v="72.099999999999994"/>
    <n v="8.2944876713193416"/>
    <n v="1567.6197188332947"/>
    <n v="1"/>
    <n v="0"/>
    <n v="0"/>
    <n v="0"/>
    <n v="0"/>
    <n v="0"/>
    <n v="0"/>
    <n v="0"/>
    <n v="0"/>
    <n v="0"/>
  </r>
  <r>
    <d v="2008-07-27T00:00:00"/>
    <n v="2008"/>
    <x v="25"/>
    <s v="R"/>
    <s v="RS"/>
    <x v="1"/>
    <s v="WAS"/>
    <s v="A"/>
    <n v="2"/>
    <n v="1"/>
    <n v="1"/>
    <n v="-1"/>
    <n v="8"/>
    <n v="-8"/>
    <n v="1547.143953136434"/>
    <n v="1448.12913457329"/>
    <n v="0.54451572975022666"/>
    <n v="82"/>
    <n v="60"/>
    <n v="0"/>
    <n v="22"/>
    <n v="1"/>
    <n v="0.55616563818982256"/>
    <n v="1"/>
    <n v="72.099999999999994"/>
    <n v="72.099999999999994"/>
    <n v="18.264710859105026"/>
    <n v="1565.408663995539"/>
    <n v="1"/>
    <n v="0"/>
    <n v="0"/>
    <n v="0"/>
    <n v="0"/>
    <n v="0"/>
    <n v="0"/>
    <n v="0"/>
    <n v="0"/>
    <n v="0"/>
  </r>
  <r>
    <d v="2008-07-27T00:00:00"/>
    <n v="2008"/>
    <x v="25"/>
    <s v="R"/>
    <s v="RS"/>
    <x v="4"/>
    <s v="CON"/>
    <s v="H"/>
    <n v="1"/>
    <n v="2"/>
    <n v="-1"/>
    <n v="1"/>
    <n v="-8"/>
    <n v="8"/>
    <n v="1448.12913457329"/>
    <n v="1547.143953136434"/>
    <n v="0.45548427024977345"/>
    <n v="60"/>
    <n v="82"/>
    <n v="0"/>
    <n v="-22"/>
    <n v="0"/>
    <n v="0.55616563818982256"/>
    <n v="1"/>
    <n v="72.099999999999994"/>
    <n v="72.099999999999994"/>
    <n v="-18.26471085910503"/>
    <n v="1429.864423714185"/>
    <n v="0"/>
    <n v="1"/>
    <n v="0"/>
    <n v="0"/>
    <n v="0"/>
    <n v="0"/>
    <n v="0"/>
    <n v="0"/>
    <n v="0"/>
    <n v="0"/>
  </r>
  <r>
    <d v="2008-08-28T00:00:00"/>
    <n v="2008"/>
    <x v="26"/>
    <s v="R"/>
    <s v="RS"/>
    <x v="1"/>
    <s v="IND"/>
    <s v="A"/>
    <n v="31"/>
    <n v="31"/>
    <n v="0"/>
    <n v="0"/>
    <n v="0"/>
    <n v="0"/>
    <n v="1565.408663995539"/>
    <n v="1498.0459343425741"/>
    <n v="0.47607532743312631"/>
    <n v="84"/>
    <n v="58"/>
    <n v="0"/>
    <n v="26"/>
    <n v="1"/>
    <n v="0.61932139730440849"/>
    <n v="1"/>
    <n v="71.95"/>
    <n v="71.95"/>
    <n v="23.346174853323888"/>
    <n v="1588.7548388488628"/>
    <n v="1"/>
    <n v="0"/>
    <n v="0"/>
    <n v="0"/>
    <n v="0"/>
    <n v="0"/>
    <n v="0"/>
    <n v="0"/>
    <n v="0"/>
    <n v="0"/>
  </r>
  <r>
    <d v="2008-08-28T00:00:00"/>
    <n v="2008"/>
    <x v="26"/>
    <s v="R"/>
    <s v="RS"/>
    <x v="5"/>
    <s v="CON"/>
    <s v="H"/>
    <n v="31"/>
    <n v="31"/>
    <n v="0"/>
    <n v="0"/>
    <n v="0"/>
    <n v="0"/>
    <n v="1498.0459343425741"/>
    <n v="1565.408663995539"/>
    <n v="0.52392467256687381"/>
    <n v="58"/>
    <n v="84"/>
    <n v="0"/>
    <n v="-26"/>
    <n v="0"/>
    <n v="0.61932139730440849"/>
    <n v="1"/>
    <n v="71.95"/>
    <n v="71.95"/>
    <n v="-23.346174853323895"/>
    <n v="1474.6997594892503"/>
    <n v="0"/>
    <n v="1"/>
    <n v="0"/>
    <n v="0"/>
    <n v="0"/>
    <n v="0"/>
    <n v="0"/>
    <n v="0"/>
    <n v="0"/>
    <n v="0"/>
  </r>
  <r>
    <d v="2008-08-28T00:00:00"/>
    <n v="2008"/>
    <x v="27"/>
    <s v="R"/>
    <s v="RS"/>
    <x v="9"/>
    <s v="LAS"/>
    <s v="A"/>
    <n v="31"/>
    <n v="31"/>
    <n v="0"/>
    <n v="0"/>
    <n v="0"/>
    <n v="0"/>
    <n v="1530.4611991750733"/>
    <n v="1502.0970910973608"/>
    <n v="0.42061093798329124"/>
    <n v="63"/>
    <n v="78"/>
    <n v="0"/>
    <n v="-15"/>
    <n v="0"/>
    <n v="0.49123678369177892"/>
    <n v="1"/>
    <n v="71.8"/>
    <n v="71.8"/>
    <n v="-14.83528472108349"/>
    <n v="1515.6259144539897"/>
    <n v="0"/>
    <n v="1"/>
    <n v="0"/>
    <n v="0"/>
    <n v="0"/>
    <n v="0"/>
    <n v="0"/>
    <n v="0"/>
    <n v="0"/>
    <n v="0"/>
  </r>
  <r>
    <d v="2008-08-28T00:00:00"/>
    <n v="2008"/>
    <x v="27"/>
    <s v="R"/>
    <s v="RS"/>
    <x v="6"/>
    <s v="SAC"/>
    <s v="H"/>
    <n v="31"/>
    <n v="31"/>
    <n v="0"/>
    <n v="0"/>
    <n v="0"/>
    <n v="0"/>
    <n v="1502.0970910973608"/>
    <n v="1530.4611991750733"/>
    <n v="0.57938906201670881"/>
    <n v="78"/>
    <n v="63"/>
    <n v="0"/>
    <n v="15"/>
    <n v="1"/>
    <n v="0.49123678369177892"/>
    <n v="1"/>
    <n v="71.8"/>
    <n v="71.8"/>
    <n v="14.835284721083488"/>
    <n v="1516.9323758184444"/>
    <n v="1"/>
    <n v="0"/>
    <n v="0"/>
    <n v="0"/>
    <n v="0"/>
    <n v="0"/>
    <n v="0"/>
    <n v="0"/>
    <n v="0"/>
    <n v="0"/>
  </r>
  <r>
    <d v="2008-08-28T00:00:00"/>
    <n v="2008"/>
    <x v="25"/>
    <s v="R"/>
    <s v="RS"/>
    <x v="10"/>
    <s v="NYL"/>
    <s v="A"/>
    <n v="32"/>
    <n v="31"/>
    <n v="1"/>
    <n v="-1"/>
    <n v="8"/>
    <n v="-8"/>
    <n v="1419.2961065849834"/>
    <n v="1552.3956518939567"/>
    <n v="0.23909964170988179"/>
    <n v="69"/>
    <n v="60"/>
    <n v="0"/>
    <n v="9"/>
    <n v="1"/>
    <n v="0.36543845078259374"/>
    <n v="1"/>
    <n v="72.099999999999994"/>
    <n v="72.099999999999994"/>
    <n v="20.04828809042256"/>
    <n v="1439.344394675406"/>
    <n v="1"/>
    <n v="0"/>
    <n v="0"/>
    <n v="0"/>
    <n v="0"/>
    <n v="0"/>
    <n v="0"/>
    <n v="0"/>
    <n v="0"/>
    <n v="0"/>
  </r>
  <r>
    <d v="2008-08-28T00:00:00"/>
    <n v="2008"/>
    <x v="25"/>
    <s v="R"/>
    <s v="RS"/>
    <x v="13"/>
    <s v="CHI"/>
    <s v="H"/>
    <n v="31"/>
    <n v="32"/>
    <n v="-1"/>
    <n v="1"/>
    <n v="-8"/>
    <n v="8"/>
    <n v="1552.3956518939567"/>
    <n v="1419.2961065849834"/>
    <n v="0.76090035829011826"/>
    <n v="60"/>
    <n v="69"/>
    <n v="0"/>
    <n v="-9"/>
    <n v="0"/>
    <n v="0.36543845078259374"/>
    <n v="1"/>
    <n v="72.099999999999994"/>
    <n v="72.099999999999994"/>
    <n v="-20.04828809042256"/>
    <n v="1532.3473638035341"/>
    <n v="0"/>
    <n v="1"/>
    <n v="0"/>
    <n v="0"/>
    <n v="0"/>
    <n v="0"/>
    <n v="0"/>
    <n v="0"/>
    <n v="0"/>
    <n v="0"/>
  </r>
  <r>
    <d v="2008-08-28T00:00:00"/>
    <n v="2008"/>
    <x v="27"/>
    <s v="R"/>
    <s v="RS"/>
    <x v="8"/>
    <s v="PHX"/>
    <s v="A"/>
    <n v="31"/>
    <n v="31"/>
    <n v="0"/>
    <n v="0"/>
    <n v="0"/>
    <n v="0"/>
    <n v="1580.7458276920838"/>
    <n v="1514.4822645737081"/>
    <n v="0.47449736545874288"/>
    <n v="77"/>
    <n v="55"/>
    <n v="0"/>
    <n v="22"/>
    <n v="1"/>
    <n v="0.57055057622049599"/>
    <n v="1"/>
    <n v="71.8"/>
    <n v="71.8"/>
    <n v="21.52749466170043"/>
    <n v="1602.2733223537844"/>
    <n v="1"/>
    <n v="0"/>
    <n v="0"/>
    <n v="0"/>
    <n v="0"/>
    <n v="0"/>
    <n v="0"/>
    <n v="0"/>
    <n v="0"/>
    <n v="0"/>
  </r>
  <r>
    <d v="2008-08-28T00:00:00"/>
    <n v="2008"/>
    <x v="27"/>
    <s v="R"/>
    <s v="RS"/>
    <x v="7"/>
    <s v="SAS"/>
    <s v="H"/>
    <n v="31"/>
    <n v="31"/>
    <n v="0"/>
    <n v="0"/>
    <n v="0"/>
    <n v="0"/>
    <n v="1514.4822645737081"/>
    <n v="1580.7458276920838"/>
    <n v="0.52550263454125723"/>
    <n v="55"/>
    <n v="77"/>
    <n v="0"/>
    <n v="-22"/>
    <n v="0"/>
    <n v="0.57055057622049599"/>
    <n v="1"/>
    <n v="71.8"/>
    <n v="71.8"/>
    <n v="-21.527494661700437"/>
    <n v="1492.9547699120076"/>
    <n v="0"/>
    <n v="1"/>
    <n v="0"/>
    <n v="0"/>
    <n v="0"/>
    <n v="0"/>
    <n v="0"/>
    <n v="0"/>
    <n v="0"/>
    <n v="0"/>
  </r>
  <r>
    <d v="2008-08-28T00:00:00"/>
    <n v="2008"/>
    <x v="26"/>
    <s v="R"/>
    <s v="RS"/>
    <x v="2"/>
    <s v="SEA"/>
    <s v="A"/>
    <n v="32"/>
    <n v="31"/>
    <n v="1"/>
    <n v="-1"/>
    <n v="8"/>
    <n v="-8"/>
    <n v="1526.0412700057027"/>
    <n v="1567.6197188332947"/>
    <n v="0.34733273119591207"/>
    <n v="49"/>
    <n v="66"/>
    <n v="0"/>
    <n v="-17"/>
    <n v="0"/>
    <n v="0.51461144763082134"/>
    <n v="1"/>
    <n v="71.95"/>
    <n v="71.95"/>
    <n v="-12.860443701960744"/>
    <n v="1513.1808263037419"/>
    <n v="0"/>
    <n v="1"/>
    <n v="0"/>
    <n v="0"/>
    <n v="0"/>
    <n v="0"/>
    <n v="0"/>
    <n v="0"/>
    <n v="0"/>
    <n v="0"/>
  </r>
  <r>
    <d v="2008-08-28T00:00:00"/>
    <n v="2008"/>
    <x v="26"/>
    <s v="R"/>
    <s v="RS"/>
    <x v="11"/>
    <s v="HOU"/>
    <s v="H"/>
    <n v="31"/>
    <n v="32"/>
    <n v="-1"/>
    <n v="1"/>
    <n v="-8"/>
    <n v="8"/>
    <n v="1567.6197188332947"/>
    <n v="1526.0412700057027"/>
    <n v="0.6526672688040881"/>
    <n v="66"/>
    <n v="49"/>
    <n v="0"/>
    <n v="17"/>
    <n v="1"/>
    <n v="0.51461144763082134"/>
    <n v="1"/>
    <n v="71.95"/>
    <n v="71.95"/>
    <n v="12.860443701960738"/>
    <n v="1580.4801625352554"/>
    <n v="1"/>
    <n v="0"/>
    <n v="0"/>
    <n v="0"/>
    <n v="0"/>
    <n v="0"/>
    <n v="0"/>
    <n v="0"/>
    <n v="0"/>
    <n v="0"/>
  </r>
  <r>
    <d v="2008-08-29T00:00:00"/>
    <n v="2008"/>
    <x v="27"/>
    <s v="R"/>
    <s v="RS"/>
    <x v="1"/>
    <s v="ATL"/>
    <s v="A"/>
    <n v="0"/>
    <n v="32"/>
    <n v="-32"/>
    <n v="32"/>
    <n v="-16"/>
    <n v="16"/>
    <n v="1588.7548388488628"/>
    <n v="1299.2414357044711"/>
    <n v="0.73082718977798788"/>
    <n v="98"/>
    <n v="72"/>
    <n v="0"/>
    <n v="26"/>
    <n v="1"/>
    <n v="0.52695387296499241"/>
    <n v="1"/>
    <n v="71.8"/>
    <n v="71.8"/>
    <n v="10.184230817753262"/>
    <n v="1598.9390696666162"/>
    <n v="1"/>
    <n v="0"/>
    <n v="0"/>
    <n v="0"/>
    <n v="0"/>
    <n v="0"/>
    <n v="0"/>
    <n v="0"/>
    <n v="0"/>
    <n v="0"/>
  </r>
  <r>
    <d v="2008-08-29T00:00:00"/>
    <n v="2008"/>
    <x v="27"/>
    <s v="R"/>
    <s v="RS"/>
    <x v="0"/>
    <s v="CON"/>
    <s v="H"/>
    <n v="32"/>
    <n v="0"/>
    <n v="32"/>
    <n v="-32"/>
    <n v="16"/>
    <n v="-16"/>
    <n v="1299.2414357044711"/>
    <n v="1588.7548388488628"/>
    <n v="0.26917281022201217"/>
    <n v="72"/>
    <n v="98"/>
    <n v="0"/>
    <n v="-26"/>
    <n v="0"/>
    <n v="0.52695387296499241"/>
    <n v="1"/>
    <n v="71.8"/>
    <n v="71.8"/>
    <n v="-10.184230817753264"/>
    <n v="1289.0572048867177"/>
    <n v="0"/>
    <n v="1"/>
    <n v="0"/>
    <n v="0"/>
    <n v="0"/>
    <n v="0"/>
    <n v="0"/>
    <n v="0"/>
    <n v="0"/>
    <n v="0"/>
  </r>
  <r>
    <d v="2008-08-29T00:00:00"/>
    <n v="2008"/>
    <x v="26"/>
    <s v="R"/>
    <s v="RS"/>
    <x v="13"/>
    <s v="DET"/>
    <s v="A"/>
    <n v="0"/>
    <n v="32"/>
    <n v="-32"/>
    <n v="32"/>
    <n v="-16"/>
    <n v="16"/>
    <n v="1532.3473638035341"/>
    <n v="1546.4974097452232"/>
    <n v="0.32099479414436688"/>
    <n v="69"/>
    <n v="83"/>
    <n v="0"/>
    <n v="-14"/>
    <n v="0"/>
    <n v="0.48192538162538029"/>
    <n v="1"/>
    <n v="71.95"/>
    <n v="71.95"/>
    <n v="-11.130344007147087"/>
    <n v="1521.2170197963869"/>
    <n v="0"/>
    <n v="1"/>
    <n v="0"/>
    <n v="0"/>
    <n v="0"/>
    <n v="0"/>
    <n v="0"/>
    <n v="0"/>
    <n v="0"/>
    <n v="0"/>
  </r>
  <r>
    <d v="2008-08-29T00:00:00"/>
    <n v="2008"/>
    <x v="27"/>
    <s v="R"/>
    <s v="RS"/>
    <x v="3"/>
    <s v="NYL"/>
    <s v="H"/>
    <n v="32"/>
    <n v="0"/>
    <n v="32"/>
    <n v="-32"/>
    <n v="16"/>
    <n v="-16"/>
    <n v="1546.4974097452232"/>
    <n v="1532.3473638035341"/>
    <n v="0.67900520585563306"/>
    <n v="83"/>
    <n v="69"/>
    <n v="0"/>
    <n v="14"/>
    <n v="1"/>
    <n v="0.48192538162538029"/>
    <n v="1"/>
    <n v="71.8"/>
    <n v="71.8"/>
    <n v="11.10713967634692"/>
    <n v="1557.60454942157"/>
    <n v="1"/>
    <n v="0"/>
    <n v="0"/>
    <n v="0"/>
    <n v="0"/>
    <n v="0"/>
    <n v="0"/>
    <n v="0"/>
    <n v="0"/>
    <n v="0"/>
  </r>
  <r>
    <d v="2008-08-29T00:00:00"/>
    <n v="2008"/>
    <x v="26"/>
    <s v="R"/>
    <s v="RS"/>
    <x v="10"/>
    <s v="WAS"/>
    <s v="A"/>
    <n v="0"/>
    <n v="32"/>
    <n v="-32"/>
    <n v="32"/>
    <n v="-16"/>
    <n v="16"/>
    <n v="1439.344394675406"/>
    <n v="1429.864423714185"/>
    <n v="0.35133446284781938"/>
    <n v="79"/>
    <n v="75"/>
    <n v="0"/>
    <n v="4"/>
    <n v="1"/>
    <n v="0.30899170788884245"/>
    <n v="1"/>
    <n v="71.95"/>
    <n v="71.95"/>
    <n v="14.421101982867903"/>
    <n v="1453.7654966582738"/>
    <n v="1"/>
    <n v="0"/>
    <n v="0"/>
    <n v="0"/>
    <n v="0"/>
    <n v="0"/>
    <n v="0"/>
    <n v="0"/>
    <n v="0"/>
    <n v="0"/>
  </r>
  <r>
    <d v="2008-08-29T00:00:00"/>
    <n v="2008"/>
    <x v="26"/>
    <s v="R"/>
    <s v="RS"/>
    <x v="4"/>
    <s v="CHI"/>
    <s v="H"/>
    <n v="32"/>
    <n v="0"/>
    <n v="32"/>
    <n v="-32"/>
    <n v="16"/>
    <n v="-16"/>
    <n v="1429.864423714185"/>
    <n v="1439.344394675406"/>
    <n v="0.64866553715218067"/>
    <n v="75"/>
    <n v="79"/>
    <n v="0"/>
    <n v="-4"/>
    <n v="0"/>
    <n v="0.30899170788884245"/>
    <n v="1"/>
    <n v="71.95"/>
    <n v="71.95"/>
    <n v="-14.421101982867905"/>
    <n v="1415.4433217313172"/>
    <n v="0"/>
    <n v="1"/>
    <n v="0"/>
    <n v="0"/>
    <n v="0"/>
    <n v="0"/>
    <n v="0"/>
    <n v="0"/>
    <n v="0"/>
    <n v="0"/>
  </r>
  <r>
    <d v="2008-08-30T00:00:00"/>
    <n v="2008"/>
    <x v="28"/>
    <s v="R"/>
    <s v="RS"/>
    <x v="0"/>
    <s v="IND"/>
    <s v="A"/>
    <n v="0"/>
    <n v="1"/>
    <n v="-1"/>
    <n v="1"/>
    <n v="-8"/>
    <n v="8"/>
    <n v="1289.0572048867177"/>
    <n v="1474.6997594892503"/>
    <n v="0.16188206877177966"/>
    <n v="72"/>
    <n v="87"/>
    <n v="0"/>
    <n v="-15"/>
    <n v="0"/>
    <n v="0.43547856671275859"/>
    <n v="1"/>
    <n v="71.650000000000006"/>
    <n v="71.650000000000006"/>
    <n v="-5.051050672586789"/>
    <n v="1284.0061542141309"/>
    <n v="0"/>
    <n v="1"/>
    <n v="0"/>
    <n v="0"/>
    <n v="0"/>
    <n v="0"/>
    <n v="0"/>
    <n v="0"/>
    <n v="0"/>
    <n v="0"/>
  </r>
  <r>
    <d v="2008-08-30T00:00:00"/>
    <n v="2008"/>
    <x v="27"/>
    <s v="R"/>
    <s v="RS"/>
    <x v="5"/>
    <s v="ATL"/>
    <s v="H"/>
    <n v="1"/>
    <n v="0"/>
    <n v="1"/>
    <n v="-1"/>
    <n v="8"/>
    <n v="-8"/>
    <n v="1474.6997594892503"/>
    <n v="1289.0572048867177"/>
    <n v="0.83811793122822043"/>
    <n v="87"/>
    <n v="72"/>
    <n v="0"/>
    <n v="15"/>
    <n v="1"/>
    <n v="0.43547856671275859"/>
    <n v="1"/>
    <n v="71.8"/>
    <n v="71.8"/>
    <n v="5.0616250982795705"/>
    <n v="1479.7613845875298"/>
    <n v="1"/>
    <n v="0"/>
    <n v="0"/>
    <n v="0"/>
    <n v="0"/>
    <n v="0"/>
    <n v="0"/>
    <n v="0"/>
    <n v="0"/>
    <n v="0"/>
  </r>
  <r>
    <d v="2008-08-30T00:00:00"/>
    <n v="2008"/>
    <x v="28"/>
    <s v="R"/>
    <s v="RS"/>
    <x v="8"/>
    <s v="LAS"/>
    <s v="A"/>
    <n v="1"/>
    <n v="1"/>
    <n v="0"/>
    <n v="0"/>
    <n v="0"/>
    <n v="0"/>
    <n v="1602.2733223537844"/>
    <n v="1516.9323758184444"/>
    <n v="0.50192976760720198"/>
    <n v="53"/>
    <n v="58"/>
    <n v="0"/>
    <n v="-5"/>
    <n v="0"/>
    <n v="0.3097288479189918"/>
    <n v="1"/>
    <n v="71.650000000000006"/>
    <n v="71.650000000000006"/>
    <n v="-11.138861518290241"/>
    <n v="1591.1344608354941"/>
    <n v="0"/>
    <n v="1"/>
    <n v="0"/>
    <n v="0"/>
    <n v="0"/>
    <n v="0"/>
    <n v="0"/>
    <n v="0"/>
    <n v="0"/>
    <n v="0"/>
  </r>
  <r>
    <d v="2008-08-30T00:00:00"/>
    <n v="2008"/>
    <x v="28"/>
    <s v="R"/>
    <s v="RS"/>
    <x v="6"/>
    <s v="SAS"/>
    <s v="H"/>
    <n v="1"/>
    <n v="1"/>
    <n v="0"/>
    <n v="0"/>
    <n v="0"/>
    <n v="0"/>
    <n v="1516.9323758184444"/>
    <n v="1602.2733223537844"/>
    <n v="0.49807023239279802"/>
    <n v="58"/>
    <n v="53"/>
    <n v="0"/>
    <n v="5"/>
    <n v="1"/>
    <n v="0.3097288479189918"/>
    <n v="1"/>
    <n v="71.650000000000006"/>
    <n v="71.650000000000006"/>
    <n v="11.138861518290241"/>
    <n v="1528.0712373367346"/>
    <n v="1"/>
    <n v="0"/>
    <n v="0"/>
    <n v="0"/>
    <n v="0"/>
    <n v="0"/>
    <n v="0"/>
    <n v="0"/>
    <n v="0"/>
    <n v="0"/>
  </r>
  <r>
    <d v="2008-08-30T00:00:00"/>
    <n v="2008"/>
    <x v="27"/>
    <s v="R"/>
    <s v="RS"/>
    <x v="4"/>
    <s v="MIN"/>
    <s v="A"/>
    <n v="0"/>
    <n v="33"/>
    <n v="-33"/>
    <n v="33"/>
    <n v="-16"/>
    <n v="16"/>
    <n v="1415.4433217313172"/>
    <n v="1493.739471331405"/>
    <n v="0.24629731969711108"/>
    <n v="78"/>
    <n v="92"/>
    <n v="0"/>
    <n v="-14"/>
    <n v="0"/>
    <n v="0.45774191248559898"/>
    <n v="1"/>
    <n v="71.8"/>
    <n v="71.8"/>
    <n v="-8.0947755221611004"/>
    <n v="1407.348546209156"/>
    <n v="0"/>
    <n v="1"/>
    <n v="0"/>
    <n v="0"/>
    <n v="0"/>
    <n v="0"/>
    <n v="0"/>
    <n v="0"/>
    <n v="0"/>
    <n v="0"/>
  </r>
  <r>
    <d v="2008-08-30T00:00:00"/>
    <n v="2008"/>
    <x v="26"/>
    <s v="R"/>
    <s v="RS"/>
    <x v="12"/>
    <s v="WAS"/>
    <s v="H"/>
    <n v="33"/>
    <n v="0"/>
    <n v="33"/>
    <n v="-33"/>
    <n v="16"/>
    <n v="-16"/>
    <n v="1493.739471331405"/>
    <n v="1415.4433217313172"/>
    <n v="0.75370268030288889"/>
    <n v="92"/>
    <n v="78"/>
    <n v="0"/>
    <n v="14"/>
    <n v="1"/>
    <n v="0.45774191248559898"/>
    <n v="1"/>
    <n v="71.95"/>
    <n v="71.95"/>
    <n v="8.1116866130848386"/>
    <n v="1501.8511579444898"/>
    <n v="1"/>
    <n v="0"/>
    <n v="0"/>
    <n v="0"/>
    <n v="0"/>
    <n v="0"/>
    <n v="0"/>
    <n v="0"/>
    <n v="0"/>
    <n v="0"/>
  </r>
  <r>
    <d v="2008-08-30T00:00:00"/>
    <n v="2008"/>
    <x v="27"/>
    <s v="R"/>
    <s v="RS"/>
    <x v="2"/>
    <s v="SAC"/>
    <s v="A"/>
    <n v="1"/>
    <n v="1"/>
    <n v="0"/>
    <n v="0"/>
    <n v="0"/>
    <n v="0"/>
    <n v="1513.1808263037419"/>
    <n v="1515.6259144539897"/>
    <n v="0.37810062755925788"/>
    <n v="65"/>
    <n v="80"/>
    <n v="0"/>
    <n v="-15"/>
    <n v="0"/>
    <n v="0.50182552168163375"/>
    <n v="1"/>
    <n v="71.8"/>
    <n v="71.8"/>
    <n v="-13.623371107526976"/>
    <n v="1499.557455196215"/>
    <n v="0"/>
    <n v="1"/>
    <n v="0"/>
    <n v="0"/>
    <n v="0"/>
    <n v="0"/>
    <n v="0"/>
    <n v="0"/>
    <n v="0"/>
    <n v="0"/>
  </r>
  <r>
    <d v="2008-08-30T00:00:00"/>
    <n v="2008"/>
    <x v="28"/>
    <s v="R"/>
    <s v="RS"/>
    <x v="9"/>
    <s v="HOU"/>
    <s v="H"/>
    <n v="1"/>
    <n v="1"/>
    <n v="0"/>
    <n v="0"/>
    <n v="0"/>
    <n v="0"/>
    <n v="1515.6259144539897"/>
    <n v="1513.1808263037419"/>
    <n v="0.621899372440742"/>
    <n v="80"/>
    <n v="65"/>
    <n v="0"/>
    <n v="15"/>
    <n v="1"/>
    <n v="0.50182552168163375"/>
    <n v="1"/>
    <n v="71.650000000000006"/>
    <n v="71.650000000000006"/>
    <n v="13.594910025826023"/>
    <n v="1529.2208244798157"/>
    <n v="1"/>
    <n v="0"/>
    <n v="0"/>
    <n v="0"/>
    <n v="0"/>
    <n v="0"/>
    <n v="0"/>
    <n v="0"/>
    <n v="0"/>
    <n v="0"/>
  </r>
  <r>
    <d v="2008-08-31T00:00:00"/>
    <n v="2008"/>
    <x v="28"/>
    <s v="R"/>
    <s v="RS"/>
    <x v="3"/>
    <s v="CHI"/>
    <s v="A"/>
    <n v="1"/>
    <n v="1"/>
    <n v="0"/>
    <n v="0"/>
    <n v="0"/>
    <n v="0"/>
    <n v="1557.60454942157"/>
    <n v="1453.7654966582738"/>
    <n v="0.52851970189607345"/>
    <n v="81"/>
    <n v="82"/>
    <n v="1"/>
    <n v="-1"/>
    <n v="0"/>
    <n v="0.20225966087118924"/>
    <n v="1"/>
    <n v="71.650000000000006"/>
    <n v="71.650000000000006"/>
    <n v="-7.659257152701179"/>
    <n v="1549.9452922688688"/>
    <n v="0"/>
    <n v="1"/>
    <n v="0"/>
    <n v="0"/>
    <n v="0"/>
    <n v="0"/>
    <n v="0"/>
    <n v="0"/>
    <n v="0"/>
    <n v="0"/>
  </r>
  <r>
    <d v="2008-08-31T00:00:00"/>
    <n v="2008"/>
    <x v="27"/>
    <s v="R"/>
    <s v="RS"/>
    <x v="10"/>
    <s v="DET"/>
    <s v="H"/>
    <n v="1"/>
    <n v="1"/>
    <n v="0"/>
    <n v="0"/>
    <n v="0"/>
    <n v="0"/>
    <n v="1453.7654966582738"/>
    <n v="1557.60454942157"/>
    <n v="0.4714802981039265"/>
    <n v="82"/>
    <n v="81"/>
    <n v="1"/>
    <n v="1"/>
    <n v="1"/>
    <n v="0.20225966087118924"/>
    <n v="1"/>
    <n v="71.8"/>
    <n v="71.8"/>
    <n v="7.6752918850515641"/>
    <n v="1461.4407885433254"/>
    <n v="1"/>
    <n v="0"/>
    <n v="0"/>
    <n v="0"/>
    <n v="0"/>
    <n v="0"/>
    <n v="0"/>
    <n v="0"/>
    <n v="0"/>
    <n v="0"/>
  </r>
  <r>
    <d v="2008-08-31T00:00:00"/>
    <n v="2008"/>
    <x v="27"/>
    <s v="R"/>
    <s v="RS"/>
    <x v="11"/>
    <s v="CON"/>
    <s v="A"/>
    <n v="2"/>
    <n v="1"/>
    <n v="1"/>
    <n v="-1"/>
    <n v="8"/>
    <n v="-8"/>
    <n v="1580.4801625352554"/>
    <n v="1598.9390696666162"/>
    <n v="0.37808192267497187"/>
    <n v="76"/>
    <n v="80"/>
    <n v="0"/>
    <n v="-4"/>
    <n v="0"/>
    <n v="0.30671471946847112"/>
    <n v="1"/>
    <n v="71.8"/>
    <n v="71.8"/>
    <n v="-8.3261642829836298"/>
    <n v="1572.1539982522718"/>
    <n v="0"/>
    <n v="1"/>
    <n v="0"/>
    <n v="0"/>
    <n v="0"/>
    <n v="0"/>
    <n v="0"/>
    <n v="0"/>
    <n v="0"/>
    <n v="0"/>
  </r>
  <r>
    <d v="2008-08-31T00:00:00"/>
    <n v="2008"/>
    <x v="28"/>
    <s v="R"/>
    <s v="RS"/>
    <x v="1"/>
    <s v="SEA"/>
    <s v="H"/>
    <n v="1"/>
    <n v="2"/>
    <n v="-1"/>
    <n v="1"/>
    <n v="-8"/>
    <n v="8"/>
    <n v="1598.9390696666162"/>
    <n v="1580.4801625352554"/>
    <n v="0.62191807732502813"/>
    <n v="80"/>
    <n v="76"/>
    <n v="0"/>
    <n v="4"/>
    <n v="1"/>
    <n v="0.30671471946847112"/>
    <n v="1"/>
    <n v="71.650000000000006"/>
    <n v="71.650000000000006"/>
    <n v="8.3087697893562282"/>
    <n v="1607.2478394559723"/>
    <n v="1"/>
    <n v="0"/>
    <n v="0"/>
    <n v="0"/>
    <n v="0"/>
    <n v="0"/>
    <n v="0"/>
    <n v="0"/>
    <n v="0"/>
    <n v="0"/>
  </r>
  <r>
    <d v="2008-09-01T00:00:00"/>
    <n v="2008"/>
    <x v="27"/>
    <s v="R"/>
    <s v="RS"/>
    <x v="12"/>
    <s v="LAS"/>
    <s v="A"/>
    <n v="1"/>
    <n v="1"/>
    <n v="0"/>
    <n v="0"/>
    <n v="0"/>
    <n v="0"/>
    <n v="1501.8511579444898"/>
    <n v="1528.0712373367346"/>
    <n v="0.34649590942274383"/>
    <n v="58"/>
    <n v="82"/>
    <n v="0"/>
    <n v="-24"/>
    <n v="0"/>
    <n v="0.61499328710351031"/>
    <n v="1"/>
    <n v="71.8"/>
    <n v="71.8"/>
    <n v="-15.300052866213802"/>
    <n v="1486.5511050782761"/>
    <n v="0"/>
    <n v="1"/>
    <n v="0"/>
    <n v="0"/>
    <n v="0"/>
    <n v="0"/>
    <n v="0"/>
    <n v="0"/>
    <n v="0"/>
    <n v="0"/>
  </r>
  <r>
    <d v="2008-09-01T00:00:00"/>
    <n v="2008"/>
    <x v="29"/>
    <s v="R"/>
    <s v="RS"/>
    <x v="6"/>
    <s v="MIN"/>
    <s v="H"/>
    <n v="1"/>
    <n v="1"/>
    <n v="0"/>
    <n v="0"/>
    <n v="0"/>
    <n v="0"/>
    <n v="1528.0712373367346"/>
    <n v="1501.8511579444898"/>
    <n v="0.65350409057725622"/>
    <n v="82"/>
    <n v="58"/>
    <n v="0"/>
    <n v="24"/>
    <n v="1"/>
    <n v="0.61499328710351031"/>
    <n v="1"/>
    <n v="71.5"/>
    <n v="71.5"/>
    <n v="15.236125068722655"/>
    <n v="1543.3073624054573"/>
    <n v="1"/>
    <n v="0"/>
    <n v="0"/>
    <n v="0"/>
    <n v="0"/>
    <n v="0"/>
    <n v="0"/>
    <n v="0"/>
    <n v="0"/>
    <n v="0"/>
  </r>
  <r>
    <d v="2008-09-02T00:00:00"/>
    <n v="2008"/>
    <x v="28"/>
    <s v="R"/>
    <s v="RS"/>
    <x v="11"/>
    <s v="ATL"/>
    <s v="A"/>
    <n v="1"/>
    <n v="2"/>
    <n v="-1"/>
    <n v="1"/>
    <n v="-8"/>
    <n v="8"/>
    <n v="1572.1539982522718"/>
    <n v="1284.0061542141309"/>
    <n v="0.74707376665699288"/>
    <n v="83"/>
    <n v="69"/>
    <n v="0"/>
    <n v="14"/>
    <n v="1"/>
    <n v="0.39319327483830618"/>
    <n v="1"/>
    <n v="71.650000000000006"/>
    <n v="71.650000000000006"/>
    <n v="7.1255132537138994"/>
    <n v="1579.2795115059857"/>
    <n v="1"/>
    <n v="0"/>
    <n v="0"/>
    <n v="0"/>
    <n v="0"/>
    <n v="0"/>
    <n v="0"/>
    <n v="0"/>
    <n v="0"/>
    <n v="0"/>
  </r>
  <r>
    <d v="2008-09-02T00:00:00"/>
    <n v="2008"/>
    <x v="29"/>
    <s v="R"/>
    <s v="RS"/>
    <x v="0"/>
    <s v="SEA"/>
    <s v="H"/>
    <n v="2"/>
    <n v="1"/>
    <n v="1"/>
    <n v="-1"/>
    <n v="8"/>
    <n v="-8"/>
    <n v="1284.0061542141309"/>
    <n v="1572.1539982522718"/>
    <n v="0.25292623334300718"/>
    <n v="69"/>
    <n v="83"/>
    <n v="0"/>
    <n v="-14"/>
    <n v="0"/>
    <n v="0.39319327483830618"/>
    <n v="1"/>
    <n v="71.5"/>
    <n v="71.5"/>
    <n v="-7.1105959196168023"/>
    <n v="1276.8955582945141"/>
    <n v="0"/>
    <n v="1"/>
    <n v="0"/>
    <n v="0"/>
    <n v="0"/>
    <n v="0"/>
    <n v="0"/>
    <n v="0"/>
    <n v="0"/>
    <n v="0"/>
  </r>
  <r>
    <d v="2008-09-02T00:00:00"/>
    <n v="2008"/>
    <x v="27"/>
    <s v="R"/>
    <s v="RS"/>
    <x v="13"/>
    <s v="HOU"/>
    <s v="A"/>
    <n v="3"/>
    <n v="2"/>
    <n v="1"/>
    <n v="-1"/>
    <n v="8"/>
    <n v="-8"/>
    <n v="1521.2170197963869"/>
    <n v="1499.557455196215"/>
    <n v="0.43370342198153478"/>
    <n v="90"/>
    <n v="87"/>
    <n v="1"/>
    <n v="3"/>
    <n v="1"/>
    <n v="0.25653480876988388"/>
    <n v="1"/>
    <n v="71.8"/>
    <n v="71.8"/>
    <n v="10.430729516258674"/>
    <n v="1531.6477493126456"/>
    <n v="1"/>
    <n v="0"/>
    <n v="0"/>
    <n v="0"/>
    <n v="0"/>
    <n v="0"/>
    <n v="0"/>
    <n v="0"/>
    <n v="0"/>
    <n v="0"/>
  </r>
  <r>
    <d v="2008-09-02T00:00:00"/>
    <n v="2008"/>
    <x v="28"/>
    <s v="R"/>
    <s v="RS"/>
    <x v="2"/>
    <s v="NYL"/>
    <s v="H"/>
    <n v="2"/>
    <n v="3"/>
    <n v="-1"/>
    <n v="1"/>
    <n v="-8"/>
    <n v="8"/>
    <n v="1499.557455196215"/>
    <n v="1521.2170197963869"/>
    <n v="0.56629657801846522"/>
    <n v="87"/>
    <n v="90"/>
    <n v="1"/>
    <n v="-3"/>
    <n v="0"/>
    <n v="0.25653480876988388"/>
    <n v="1"/>
    <n v="71.650000000000006"/>
    <n v="71.650000000000006"/>
    <n v="-10.408938298606323"/>
    <n v="1489.1485168976087"/>
    <n v="0"/>
    <n v="1"/>
    <n v="0"/>
    <n v="0"/>
    <n v="0"/>
    <n v="0"/>
    <n v="0"/>
    <n v="0"/>
    <n v="0"/>
    <n v="0"/>
  </r>
  <r>
    <d v="2008-09-02T00:00:00"/>
    <n v="2008"/>
    <x v="28"/>
    <s v="R"/>
    <s v="RS"/>
    <x v="5"/>
    <s v="WAS"/>
    <s v="A"/>
    <n v="2"/>
    <n v="2"/>
    <n v="0"/>
    <n v="0"/>
    <n v="0"/>
    <n v="0"/>
    <n v="1479.7613845875298"/>
    <n v="1407.348546209156"/>
    <n v="0.48333091363739106"/>
    <n v="79"/>
    <n v="68"/>
    <n v="0"/>
    <n v="11"/>
    <n v="1"/>
    <n v="0.41480496611604156"/>
    <n v="1"/>
    <n v="71.650000000000006"/>
    <n v="71.650000000000006"/>
    <n v="15.35580609005142"/>
    <n v="1495.1171906775812"/>
    <n v="1"/>
    <n v="0"/>
    <n v="0"/>
    <n v="0"/>
    <n v="0"/>
    <n v="0"/>
    <n v="0"/>
    <n v="0"/>
    <n v="0"/>
    <n v="0"/>
  </r>
  <r>
    <d v="2008-09-02T00:00:00"/>
    <n v="2008"/>
    <x v="28"/>
    <s v="R"/>
    <s v="RS"/>
    <x v="4"/>
    <s v="IND"/>
    <s v="H"/>
    <n v="2"/>
    <n v="2"/>
    <n v="0"/>
    <n v="0"/>
    <n v="0"/>
    <n v="0"/>
    <n v="1407.348546209156"/>
    <n v="1479.7613845875298"/>
    <n v="0.51666908636260889"/>
    <n v="68"/>
    <n v="79"/>
    <n v="0"/>
    <n v="-11"/>
    <n v="0"/>
    <n v="0.41480496611604156"/>
    <n v="1"/>
    <n v="71.650000000000006"/>
    <n v="71.650000000000006"/>
    <n v="-15.35580609005142"/>
    <n v="1391.9927401191046"/>
    <n v="0"/>
    <n v="1"/>
    <n v="0"/>
    <n v="0"/>
    <n v="0"/>
    <n v="0"/>
    <n v="0"/>
    <n v="0"/>
    <n v="0"/>
    <n v="0"/>
  </r>
  <r>
    <d v="2008-09-03T00:00:00"/>
    <n v="2008"/>
    <x v="28"/>
    <s v="R"/>
    <s v="RS"/>
    <x v="12"/>
    <s v="PHX"/>
    <s v="A"/>
    <n v="1"/>
    <n v="5"/>
    <n v="-4"/>
    <n v="4"/>
    <n v="-16"/>
    <n v="16"/>
    <n v="1486.5511050782761"/>
    <n v="1492.9547699120076"/>
    <n v="0.33079045255052131"/>
    <n v="96"/>
    <n v="103"/>
    <n v="0"/>
    <n v="-7"/>
    <n v="0"/>
    <n v="0.36814262085799826"/>
    <n v="1"/>
    <n v="71.650000000000006"/>
    <n v="71.650000000000006"/>
    <n v="-8.7253982968312975"/>
    <n v="1477.8257067814448"/>
    <n v="0"/>
    <n v="1"/>
    <n v="0"/>
    <n v="0"/>
    <n v="0"/>
    <n v="0"/>
    <n v="0"/>
    <n v="0"/>
    <n v="0"/>
    <n v="0"/>
  </r>
  <r>
    <d v="2008-09-03T00:00:00"/>
    <n v="2008"/>
    <x v="28"/>
    <s v="R"/>
    <s v="RS"/>
    <x v="7"/>
    <s v="MIN"/>
    <s v="H"/>
    <n v="5"/>
    <n v="1"/>
    <n v="4"/>
    <n v="-4"/>
    <n v="16"/>
    <n v="-16"/>
    <n v="1492.9547699120076"/>
    <n v="1486.5511050782761"/>
    <n v="0.66920954744947869"/>
    <n v="103"/>
    <n v="96"/>
    <n v="0"/>
    <n v="7"/>
    <n v="1"/>
    <n v="0.36814262085799826"/>
    <n v="1"/>
    <n v="71.650000000000006"/>
    <n v="71.650000000000006"/>
    <n v="8.7253982968312975"/>
    <n v="1501.6801682088389"/>
    <n v="1"/>
    <n v="0"/>
    <n v="0"/>
    <n v="0"/>
    <n v="0"/>
    <n v="0"/>
    <n v="0"/>
    <n v="0"/>
    <n v="0"/>
    <n v="0"/>
  </r>
  <r>
    <d v="2008-09-04T00:00:00"/>
    <n v="2008"/>
    <x v="29"/>
    <s v="R"/>
    <s v="RS"/>
    <x v="11"/>
    <s v="CHI"/>
    <s v="A"/>
    <n v="1"/>
    <n v="3"/>
    <n v="-2"/>
    <n v="2"/>
    <n v="-16"/>
    <n v="16"/>
    <n v="1579.2795115059857"/>
    <n v="1461.4407885433254"/>
    <n v="0.50264611034833129"/>
    <n v="70"/>
    <n v="62"/>
    <n v="0"/>
    <n v="8"/>
    <n v="1"/>
    <n v="0.3535930716590498"/>
    <n v="1"/>
    <n v="71.5"/>
    <n v="71.5"/>
    <n v="12.574053602360939"/>
    <n v="1591.8535651083466"/>
    <n v="1"/>
    <n v="0"/>
    <n v="0"/>
    <n v="0"/>
    <n v="0"/>
    <n v="0"/>
    <n v="0"/>
    <n v="0"/>
    <n v="0"/>
    <n v="0"/>
  </r>
  <r>
    <d v="2008-09-04T00:00:00"/>
    <n v="2008"/>
    <x v="28"/>
    <s v="R"/>
    <s v="RS"/>
    <x v="10"/>
    <s v="SEA"/>
    <s v="H"/>
    <n v="3"/>
    <n v="1"/>
    <n v="2"/>
    <n v="-2"/>
    <n v="16"/>
    <n v="-16"/>
    <n v="1461.4407885433254"/>
    <n v="1579.2795115059857"/>
    <n v="0.49735388965166877"/>
    <n v="62"/>
    <n v="70"/>
    <n v="0"/>
    <n v="-8"/>
    <n v="0"/>
    <n v="0.3535930716590498"/>
    <n v="1"/>
    <n v="71.650000000000006"/>
    <n v="71.650000000000006"/>
    <n v="-12.600432735792468"/>
    <n v="1448.8403558075329"/>
    <n v="0"/>
    <n v="1"/>
    <n v="0"/>
    <n v="0"/>
    <n v="0"/>
    <n v="0"/>
    <n v="0"/>
    <n v="0"/>
    <n v="0"/>
    <n v="0"/>
  </r>
  <r>
    <d v="2008-09-05T00:00:00"/>
    <n v="2008"/>
    <x v="29"/>
    <s v="R"/>
    <s v="RS"/>
    <x v="10"/>
    <s v="CON"/>
    <s v="A"/>
    <n v="0"/>
    <n v="4"/>
    <n v="-4"/>
    <n v="4"/>
    <n v="-16"/>
    <n v="16"/>
    <n v="1448.8403558075329"/>
    <n v="1607.2478394559723"/>
    <n v="0.17084980846994274"/>
    <n v="75"/>
    <n v="80"/>
    <n v="0"/>
    <n v="-5"/>
    <n v="0"/>
    <n v="0.29306903513535765"/>
    <n v="1"/>
    <n v="71.5"/>
    <n v="71.5"/>
    <n v="-3.5800613792762941"/>
    <n v="1445.2602944282567"/>
    <n v="0"/>
    <n v="1"/>
    <n v="0"/>
    <n v="0"/>
    <n v="0"/>
    <n v="0"/>
    <n v="0"/>
    <n v="0"/>
    <n v="0"/>
    <n v="0"/>
  </r>
  <r>
    <d v="2008-09-05T00:00:00"/>
    <n v="2008"/>
    <x v="29"/>
    <s v="R"/>
    <s v="RS"/>
    <x v="1"/>
    <s v="CHI"/>
    <s v="H"/>
    <n v="4"/>
    <n v="0"/>
    <n v="4"/>
    <n v="-4"/>
    <n v="16"/>
    <n v="-16"/>
    <n v="1607.2478394559723"/>
    <n v="1448.8403558075329"/>
    <n v="0.8291501915300572"/>
    <n v="80"/>
    <n v="75"/>
    <n v="0"/>
    <n v="5"/>
    <n v="1"/>
    <n v="0.29306903513535765"/>
    <n v="1"/>
    <n v="71.5"/>
    <n v="71.5"/>
    <n v="3.5800613792762954"/>
    <n v="1610.8279008352486"/>
    <n v="1"/>
    <n v="0"/>
    <n v="0"/>
    <n v="0"/>
    <n v="0"/>
    <n v="0"/>
    <n v="0"/>
    <n v="0"/>
    <n v="0"/>
    <n v="0"/>
  </r>
  <r>
    <d v="2008-09-05T00:00:00"/>
    <n v="2008"/>
    <x v="29"/>
    <s v="R"/>
    <s v="RS"/>
    <x v="5"/>
    <s v="DET"/>
    <s v="A"/>
    <n v="2"/>
    <n v="4"/>
    <n v="-2"/>
    <n v="2"/>
    <n v="-16"/>
    <n v="16"/>
    <n v="1495.1171906775812"/>
    <n v="1549.9452922688688"/>
    <n v="0.27222448564261786"/>
    <n v="68"/>
    <n v="90"/>
    <n v="0"/>
    <n v="-22"/>
    <n v="0"/>
    <n v="0.5757501004862926"/>
    <n v="1"/>
    <n v="71.5"/>
    <n v="71.5"/>
    <n v="-11.206429159895009"/>
    <n v="1483.9107615176863"/>
    <n v="0"/>
    <n v="1"/>
    <n v="0"/>
    <n v="0"/>
    <n v="0"/>
    <n v="0"/>
    <n v="0"/>
    <n v="0"/>
    <n v="0"/>
    <n v="0"/>
  </r>
  <r>
    <d v="2008-09-05T00:00:00"/>
    <n v="2008"/>
    <x v="29"/>
    <s v="R"/>
    <s v="RS"/>
    <x v="3"/>
    <s v="IND"/>
    <s v="H"/>
    <n v="4"/>
    <n v="2"/>
    <n v="2"/>
    <n v="-2"/>
    <n v="16"/>
    <n v="-16"/>
    <n v="1549.9452922688688"/>
    <n v="1495.1171906775812"/>
    <n v="0.72777551435738219"/>
    <n v="90"/>
    <n v="68"/>
    <n v="0"/>
    <n v="22"/>
    <n v="1"/>
    <n v="0.5757501004862926"/>
    <n v="1"/>
    <n v="71.5"/>
    <n v="71.5"/>
    <n v="11.206429159895006"/>
    <n v="1561.1517214287637"/>
    <n v="1"/>
    <n v="0"/>
    <n v="0"/>
    <n v="0"/>
    <n v="0"/>
    <n v="0"/>
    <n v="0"/>
    <n v="0"/>
    <n v="0"/>
    <n v="0"/>
  </r>
  <r>
    <d v="2008-09-05T00:00:00"/>
    <n v="2008"/>
    <x v="30"/>
    <s v="R"/>
    <s v="RS"/>
    <x v="0"/>
    <s v="NYL"/>
    <s v="A"/>
    <n v="2"/>
    <n v="2"/>
    <n v="0"/>
    <n v="0"/>
    <n v="0"/>
    <n v="0"/>
    <n v="1276.8955582945141"/>
    <n v="1531.6477493126456"/>
    <n v="0.12455179204128659"/>
    <n v="71"/>
    <n v="82"/>
    <n v="0"/>
    <n v="-11"/>
    <n v="0"/>
    <n v="0.36281310835474062"/>
    <n v="1"/>
    <n v="71.349999999999994"/>
    <n v="71.349999999999994"/>
    <n v="-3.2242367783249009"/>
    <n v="1273.6713215161892"/>
    <n v="0"/>
    <n v="1"/>
    <n v="0"/>
    <n v="0"/>
    <n v="0"/>
    <n v="0"/>
    <n v="0"/>
    <n v="0"/>
    <n v="0"/>
    <n v="0"/>
  </r>
  <r>
    <d v="2008-09-05T00:00:00"/>
    <n v="2008"/>
    <x v="28"/>
    <s v="R"/>
    <s v="RS"/>
    <x v="13"/>
    <s v="ATL"/>
    <s v="H"/>
    <n v="2"/>
    <n v="2"/>
    <n v="0"/>
    <n v="0"/>
    <n v="0"/>
    <n v="0"/>
    <n v="1531.6477493126456"/>
    <n v="1276.8955582945141"/>
    <n v="0.87544820795871348"/>
    <n v="82"/>
    <n v="71"/>
    <n v="0"/>
    <n v="11"/>
    <n v="1"/>
    <n v="0.36281310835474062"/>
    <n v="1"/>
    <n v="71.650000000000006"/>
    <n v="71.650000000000006"/>
    <n v="3.237793485171395"/>
    <n v="1534.8855427978169"/>
    <n v="1"/>
    <n v="0"/>
    <n v="0"/>
    <n v="0"/>
    <n v="0"/>
    <n v="0"/>
    <n v="0"/>
    <n v="0"/>
    <n v="0"/>
    <n v="0"/>
  </r>
  <r>
    <d v="2008-09-05T00:00:00"/>
    <n v="2008"/>
    <x v="29"/>
    <s v="R"/>
    <s v="RS"/>
    <x v="9"/>
    <s v="PHX"/>
    <s v="A"/>
    <n v="5"/>
    <n v="1"/>
    <n v="4"/>
    <n v="-4"/>
    <n v="16"/>
    <n v="-16"/>
    <n v="1529.2208244798157"/>
    <n v="1501.6801682088389"/>
    <n v="0.46485821120037168"/>
    <n v="69"/>
    <n v="81"/>
    <n v="0"/>
    <n v="-12"/>
    <n v="0"/>
    <n v="0.44589588857659912"/>
    <n v="1"/>
    <n v="71.5"/>
    <n v="71.5"/>
    <n v="-14.820403107890245"/>
    <n v="1514.4004213719254"/>
    <n v="0"/>
    <n v="1"/>
    <n v="0"/>
    <n v="0"/>
    <n v="0"/>
    <n v="0"/>
    <n v="0"/>
    <n v="0"/>
    <n v="0"/>
    <n v="0"/>
  </r>
  <r>
    <d v="2008-09-05T00:00:00"/>
    <n v="2008"/>
    <x v="29"/>
    <s v="R"/>
    <s v="RS"/>
    <x v="7"/>
    <s v="SAC"/>
    <s v="H"/>
    <n v="1"/>
    <n v="5"/>
    <n v="-4"/>
    <n v="4"/>
    <n v="-16"/>
    <n v="16"/>
    <n v="1501.6801682088389"/>
    <n v="1529.2208244798157"/>
    <n v="0.53514178879962826"/>
    <n v="81"/>
    <n v="69"/>
    <n v="0"/>
    <n v="12"/>
    <n v="1"/>
    <n v="0.44589588857659912"/>
    <n v="1"/>
    <n v="71.5"/>
    <n v="71.5"/>
    <n v="14.820403107890247"/>
    <n v="1516.5005713167293"/>
    <n v="1"/>
    <n v="0"/>
    <n v="0"/>
    <n v="0"/>
    <n v="0"/>
    <n v="0"/>
    <n v="0"/>
    <n v="0"/>
    <n v="0"/>
    <n v="0"/>
  </r>
  <r>
    <d v="2008-09-05T00:00:00"/>
    <n v="2008"/>
    <x v="30"/>
    <s v="R"/>
    <s v="RS"/>
    <x v="6"/>
    <s v="SAS"/>
    <s v="A"/>
    <n v="3"/>
    <n v="5"/>
    <n v="-2"/>
    <n v="2"/>
    <n v="-16"/>
    <n v="16"/>
    <n v="1543.3073624054573"/>
    <n v="1591.1344608354941"/>
    <n v="0.2802817262081726"/>
    <n v="58"/>
    <n v="76"/>
    <n v="0"/>
    <n v="-18"/>
    <n v="0"/>
    <n v="0.52587471403465225"/>
    <n v="1"/>
    <n v="71.349999999999994"/>
    <n v="71.349999999999994"/>
    <n v="-10.516495731355764"/>
    <n v="1532.7908666741016"/>
    <n v="0"/>
    <n v="1"/>
    <n v="0"/>
    <n v="0"/>
    <n v="0"/>
    <n v="0"/>
    <n v="0"/>
    <n v="0"/>
    <n v="0"/>
    <n v="0"/>
  </r>
  <r>
    <d v="2008-09-05T00:00:00"/>
    <n v="2008"/>
    <x v="29"/>
    <s v="R"/>
    <s v="RS"/>
    <x v="8"/>
    <s v="LAS"/>
    <s v="H"/>
    <n v="5"/>
    <n v="3"/>
    <n v="2"/>
    <n v="-2"/>
    <n v="16"/>
    <n v="-16"/>
    <n v="1591.1344608354941"/>
    <n v="1543.3073624054573"/>
    <n v="0.71971827379182729"/>
    <n v="76"/>
    <n v="58"/>
    <n v="0"/>
    <n v="18"/>
    <n v="1"/>
    <n v="0.52587471403465225"/>
    <n v="1"/>
    <n v="71.5"/>
    <n v="71.5"/>
    <n v="10.538604692248599"/>
    <n v="1601.6730655277427"/>
    <n v="1"/>
    <n v="0"/>
    <n v="0"/>
    <n v="0"/>
    <n v="0"/>
    <n v="0"/>
    <n v="0"/>
    <n v="0"/>
    <n v="0"/>
    <n v="0"/>
  </r>
  <r>
    <d v="2008-09-06T00:00:00"/>
    <n v="2008"/>
    <x v="31"/>
    <s v="R"/>
    <s v="RS"/>
    <x v="6"/>
    <s v="HOU"/>
    <s v="A"/>
    <n v="0"/>
    <n v="3"/>
    <n v="-3"/>
    <n v="3"/>
    <n v="-16"/>
    <n v="16"/>
    <n v="1532.7908666741016"/>
    <n v="1489.1485168976087"/>
    <n v="0.39734879687309305"/>
    <n v="84"/>
    <n v="66"/>
    <n v="0"/>
    <n v="18"/>
    <n v="1"/>
    <n v="0.52764423684149842"/>
    <n v="1"/>
    <n v="71.2"/>
    <n v="71.2"/>
    <n v="22.640562911872145"/>
    <n v="1555.4314295859738"/>
    <n v="1"/>
    <n v="0"/>
    <n v="0"/>
    <n v="0"/>
    <n v="0"/>
    <n v="0"/>
    <n v="0"/>
    <n v="0"/>
    <n v="0"/>
    <n v="0"/>
  </r>
  <r>
    <d v="2008-09-06T00:00:00"/>
    <n v="2008"/>
    <x v="29"/>
    <s v="R"/>
    <s v="RS"/>
    <x v="2"/>
    <s v="LAS"/>
    <s v="H"/>
    <n v="3"/>
    <n v="0"/>
    <n v="3"/>
    <n v="-3"/>
    <n v="16"/>
    <n v="-16"/>
    <n v="1489.1485168976087"/>
    <n v="1532.7908666741016"/>
    <n v="0.6026512031269069"/>
    <n v="66"/>
    <n v="84"/>
    <n v="0"/>
    <n v="-18"/>
    <n v="0"/>
    <n v="0.52764423684149842"/>
    <n v="1"/>
    <n v="71.5"/>
    <n v="71.5"/>
    <n v="-22.735958542118794"/>
    <n v="1466.4125583554899"/>
    <n v="0"/>
    <n v="1"/>
    <n v="0"/>
    <n v="0"/>
    <n v="0"/>
    <n v="0"/>
    <n v="0"/>
    <n v="0"/>
    <n v="0"/>
    <n v="0"/>
  </r>
  <r>
    <d v="2008-09-06T00:00:00"/>
    <n v="2008"/>
    <x v="29"/>
    <s v="R"/>
    <s v="RS"/>
    <x v="12"/>
    <s v="SEA"/>
    <s v="A"/>
    <n v="2"/>
    <n v="1"/>
    <n v="1"/>
    <n v="-1"/>
    <n v="8"/>
    <n v="-8"/>
    <n v="1477.8257067814448"/>
    <n v="1591.8535651083466"/>
    <n v="0.25964075266394893"/>
    <n v="88"/>
    <n v="96"/>
    <n v="0"/>
    <n v="-8"/>
    <n v="0"/>
    <n v="0.3546185410383294"/>
    <n v="1"/>
    <n v="71.5"/>
    <n v="71.5"/>
    <n v="-6.5832498806205058"/>
    <n v="1471.2424569008242"/>
    <n v="0"/>
    <n v="1"/>
    <n v="0"/>
    <n v="0"/>
    <n v="0"/>
    <n v="0"/>
    <n v="0"/>
    <n v="0"/>
    <n v="0"/>
    <n v="0"/>
  </r>
  <r>
    <d v="2008-09-06T00:00:00"/>
    <n v="2008"/>
    <x v="30"/>
    <s v="R"/>
    <s v="RS"/>
    <x v="11"/>
    <s v="MIN"/>
    <s v="H"/>
    <n v="1"/>
    <n v="2"/>
    <n v="-1"/>
    <n v="1"/>
    <n v="-8"/>
    <n v="8"/>
    <n v="1591.8535651083466"/>
    <n v="1477.8257067814448"/>
    <n v="0.74035924733605107"/>
    <n v="96"/>
    <n v="88"/>
    <n v="0"/>
    <n v="8"/>
    <n v="1"/>
    <n v="0.3546185410383294"/>
    <n v="1"/>
    <n v="71.349999999999994"/>
    <n v="71.349999999999994"/>
    <n v="6.5694388668849379"/>
    <n v="1598.4230039752315"/>
    <n v="1"/>
    <n v="0"/>
    <n v="0"/>
    <n v="0"/>
    <n v="0"/>
    <n v="0"/>
    <n v="0"/>
    <n v="0"/>
    <n v="0"/>
    <n v="0"/>
  </r>
  <r>
    <d v="2008-09-06T00:00:00"/>
    <n v="2008"/>
    <x v="30"/>
    <s v="R"/>
    <s v="RS"/>
    <x v="3"/>
    <s v="WAS"/>
    <s v="A"/>
    <n v="0"/>
    <n v="3"/>
    <n v="-3"/>
    <n v="3"/>
    <n v="-16"/>
    <n v="16"/>
    <n v="1561.1517214287637"/>
    <n v="1391.9927401191046"/>
    <n v="0.57591048680868773"/>
    <n v="84"/>
    <n v="69"/>
    <n v="0"/>
    <n v="15"/>
    <n v="1"/>
    <n v="0.44072137851903903"/>
    <n v="1"/>
    <n v="71.349999999999994"/>
    <n v="71.349999999999994"/>
    <n v="13.335694215913374"/>
    <n v="1574.4874156446772"/>
    <n v="1"/>
    <n v="0"/>
    <n v="0"/>
    <n v="0"/>
    <n v="0"/>
    <n v="0"/>
    <n v="0"/>
    <n v="0"/>
    <n v="0"/>
    <n v="0"/>
  </r>
  <r>
    <d v="2008-09-06T00:00:00"/>
    <n v="2008"/>
    <x v="29"/>
    <s v="R"/>
    <s v="RS"/>
    <x v="4"/>
    <s v="DET"/>
    <s v="H"/>
    <n v="3"/>
    <n v="0"/>
    <n v="3"/>
    <n v="-3"/>
    <n v="16"/>
    <n v="-16"/>
    <n v="1391.9927401191046"/>
    <n v="1561.1517214287637"/>
    <n v="0.42408951319131227"/>
    <n v="69"/>
    <n v="84"/>
    <n v="0"/>
    <n v="-15"/>
    <n v="0"/>
    <n v="0.44072137851903903"/>
    <n v="1"/>
    <n v="71.5"/>
    <n v="71.5"/>
    <n v="-13.363730013143748"/>
    <n v="1378.6290101059608"/>
    <n v="0"/>
    <n v="1"/>
    <n v="0"/>
    <n v="0"/>
    <n v="0"/>
    <n v="0"/>
    <n v="0"/>
    <n v="0"/>
    <n v="0"/>
    <n v="0"/>
  </r>
  <r>
    <d v="2008-09-07T00:00:00"/>
    <n v="2008"/>
    <x v="30"/>
    <s v="R"/>
    <s v="RS"/>
    <x v="8"/>
    <s v="CON"/>
    <s v="A"/>
    <n v="1"/>
    <n v="1"/>
    <n v="0"/>
    <n v="0"/>
    <n v="0"/>
    <n v="0"/>
    <n v="1601.6730655277427"/>
    <n v="1610.8279008352486"/>
    <n v="0.36906214240804386"/>
    <n v="85"/>
    <n v="73"/>
    <n v="0"/>
    <n v="12"/>
    <n v="1"/>
    <n v="0.45267596482186534"/>
    <n v="1"/>
    <n v="71.349999999999994"/>
    <n v="71.349999999999994"/>
    <n v="20.37830228459347"/>
    <n v="1622.0513678123361"/>
    <n v="1"/>
    <n v="0"/>
    <n v="0"/>
    <n v="0"/>
    <n v="0"/>
    <n v="0"/>
    <n v="0"/>
    <n v="0"/>
    <n v="0"/>
    <n v="0"/>
  </r>
  <r>
    <d v="2008-09-07T00:00:00"/>
    <n v="2008"/>
    <x v="30"/>
    <s v="R"/>
    <s v="RS"/>
    <x v="1"/>
    <s v="SAS"/>
    <s v="H"/>
    <n v="1"/>
    <n v="1"/>
    <n v="0"/>
    <n v="0"/>
    <n v="0"/>
    <n v="0"/>
    <n v="1610.8279008352486"/>
    <n v="1601.6730655277427"/>
    <n v="0.6309378575919562"/>
    <n v="73"/>
    <n v="85"/>
    <n v="0"/>
    <n v="-12"/>
    <n v="0"/>
    <n v="0.45267596482186534"/>
    <n v="1"/>
    <n v="71.349999999999994"/>
    <n v="71.349999999999994"/>
    <n v="-20.37830228459347"/>
    <n v="1590.4495985506551"/>
    <n v="0"/>
    <n v="1"/>
    <n v="0"/>
    <n v="0"/>
    <n v="0"/>
    <n v="0"/>
    <n v="0"/>
    <n v="0"/>
    <n v="0"/>
    <n v="0"/>
  </r>
  <r>
    <d v="2008-09-07T00:00:00"/>
    <n v="2008"/>
    <x v="30"/>
    <s v="R"/>
    <s v="RS"/>
    <x v="10"/>
    <s v="NYL"/>
    <s v="A"/>
    <n v="1"/>
    <n v="1"/>
    <n v="0"/>
    <n v="0"/>
    <n v="0"/>
    <n v="0"/>
    <n v="1445.2602944282567"/>
    <n v="1534.8855427978169"/>
    <n v="0.26904617501103917"/>
    <n v="61"/>
    <n v="69"/>
    <n v="0"/>
    <n v="-8"/>
    <n v="0"/>
    <n v="0.36132872134190247"/>
    <n v="1"/>
    <n v="71.349999999999994"/>
    <n v="71.349999999999994"/>
    <n v="-6.9362267769449959"/>
    <n v="1438.3240676513117"/>
    <n v="0"/>
    <n v="1"/>
    <n v="0"/>
    <n v="0"/>
    <n v="0"/>
    <n v="0"/>
    <n v="0"/>
    <n v="0"/>
    <n v="0"/>
    <n v="0"/>
  </r>
  <r>
    <d v="2008-09-07T00:00:00"/>
    <n v="2008"/>
    <x v="29"/>
    <s v="R"/>
    <s v="RS"/>
    <x v="13"/>
    <s v="CHI"/>
    <s v="H"/>
    <n v="1"/>
    <n v="1"/>
    <n v="0"/>
    <n v="0"/>
    <n v="0"/>
    <n v="0"/>
    <n v="1534.8855427978169"/>
    <n v="1445.2602944282567"/>
    <n v="0.73095382498896089"/>
    <n v="69"/>
    <n v="61"/>
    <n v="0"/>
    <n v="8"/>
    <n v="1"/>
    <n v="0.36132872134190247"/>
    <n v="1"/>
    <n v="71.5"/>
    <n v="71.5"/>
    <n v="6.9508088935047958"/>
    <n v="1541.8363516913216"/>
    <n v="1"/>
    <n v="0"/>
    <n v="0"/>
    <n v="0"/>
    <n v="0"/>
    <n v="0"/>
    <n v="0"/>
    <n v="0"/>
    <n v="0"/>
    <n v="0"/>
  </r>
  <r>
    <d v="2008-09-07T00:00:00"/>
    <n v="2008"/>
    <x v="30"/>
    <s v="R"/>
    <s v="RS"/>
    <x v="2"/>
    <s v="PHX"/>
    <s v="A"/>
    <n v="0"/>
    <n v="1"/>
    <n v="-1"/>
    <n v="1"/>
    <n v="-8"/>
    <n v="8"/>
    <n v="1466.4125583554899"/>
    <n v="1516.5005713167293"/>
    <n v="0.2965093041227998"/>
    <n v="74"/>
    <n v="99"/>
    <n v="0"/>
    <n v="-25"/>
    <n v="0"/>
    <n v="0.61564755928626824"/>
    <n v="1"/>
    <n v="71.349999999999994"/>
    <n v="71.349999999999994"/>
    <n v="-13.024602116895984"/>
    <n v="1453.3879562385939"/>
    <n v="0"/>
    <n v="1"/>
    <n v="0"/>
    <n v="0"/>
    <n v="0"/>
    <n v="0"/>
    <n v="0"/>
    <n v="0"/>
    <n v="0"/>
    <n v="0"/>
  </r>
  <r>
    <d v="2008-09-07T00:00:00"/>
    <n v="2008"/>
    <x v="30"/>
    <s v="R"/>
    <s v="RS"/>
    <x v="7"/>
    <s v="HOU"/>
    <s v="H"/>
    <n v="1"/>
    <n v="0"/>
    <n v="1"/>
    <n v="-1"/>
    <n v="8"/>
    <n v="-8"/>
    <n v="1516.5005713167293"/>
    <n v="1466.4125583554899"/>
    <n v="0.70349069587720015"/>
    <n v="99"/>
    <n v="74"/>
    <n v="0"/>
    <n v="25"/>
    <n v="1"/>
    <n v="0.61564755928626824"/>
    <n v="1"/>
    <n v="71.349999999999994"/>
    <n v="71.349999999999994"/>
    <n v="13.024602116895986"/>
    <n v="1529.5251734336252"/>
    <n v="1"/>
    <n v="0"/>
    <n v="0"/>
    <n v="0"/>
    <n v="0"/>
    <n v="0"/>
    <n v="0"/>
    <n v="0"/>
    <n v="0"/>
    <n v="0"/>
  </r>
  <r>
    <d v="2008-09-07T00:00:00"/>
    <n v="2008"/>
    <x v="30"/>
    <s v="R"/>
    <s v="RS"/>
    <x v="12"/>
    <s v="SAC"/>
    <s v="A"/>
    <n v="0"/>
    <n v="1"/>
    <n v="-1"/>
    <n v="1"/>
    <n v="-8"/>
    <n v="8"/>
    <n v="1471.2424569008242"/>
    <n v="1514.4004213719254"/>
    <n v="0.30489753704995154"/>
    <n v="71"/>
    <n v="78"/>
    <n v="0"/>
    <n v="-7"/>
    <n v="0"/>
    <n v="0.35725838523951181"/>
    <n v="1"/>
    <n v="71.349999999999994"/>
    <n v="71.349999999999994"/>
    <n v="-7.7719558448603525"/>
    <n v="1463.470501055964"/>
    <n v="0"/>
    <n v="1"/>
    <n v="0"/>
    <n v="0"/>
    <n v="0"/>
    <n v="0"/>
    <n v="0"/>
    <n v="0"/>
    <n v="0"/>
    <n v="0"/>
  </r>
  <r>
    <d v="2008-09-07T00:00:00"/>
    <n v="2008"/>
    <x v="30"/>
    <s v="R"/>
    <s v="RS"/>
    <x v="9"/>
    <s v="MIN"/>
    <s v="H"/>
    <n v="1"/>
    <n v="0"/>
    <n v="1"/>
    <n v="-1"/>
    <n v="8"/>
    <n v="-8"/>
    <n v="1514.4004213719254"/>
    <n v="1471.2424569008242"/>
    <n v="0.69510246295004841"/>
    <n v="78"/>
    <n v="71"/>
    <n v="0"/>
    <n v="7"/>
    <n v="1"/>
    <n v="0.35725838523951181"/>
    <n v="1"/>
    <n v="71.349999999999994"/>
    <n v="71.349999999999994"/>
    <n v="7.7719558448603543"/>
    <n v="1522.1723772167857"/>
    <n v="1"/>
    <n v="0"/>
    <n v="0"/>
    <n v="0"/>
    <n v="0"/>
    <n v="0"/>
    <n v="0"/>
    <n v="0"/>
    <n v="0"/>
    <n v="0"/>
  </r>
  <r>
    <d v="2008-09-08T00:00:00"/>
    <n v="2008"/>
    <x v="30"/>
    <s v="R"/>
    <s v="RS"/>
    <x v="5"/>
    <s v="ATL"/>
    <s v="A"/>
    <n v="2"/>
    <n v="2"/>
    <n v="0"/>
    <n v="0"/>
    <n v="0"/>
    <n v="0"/>
    <n v="1483.9107615176863"/>
    <n v="1273.6713215161892"/>
    <n v="0.67407907419669733"/>
    <n v="81"/>
    <n v="77"/>
    <n v="0"/>
    <n v="4"/>
    <n v="1"/>
    <n v="0.26500413425131442"/>
    <n v="1"/>
    <n v="71.349999999999994"/>
    <n v="71.349999999999994"/>
    <n v="6.1625275246311793"/>
    <n v="1490.0732890423176"/>
    <n v="1"/>
    <n v="0"/>
    <n v="0"/>
    <n v="0"/>
    <n v="0"/>
    <n v="0"/>
    <n v="0"/>
    <n v="0"/>
    <n v="0"/>
    <n v="0"/>
  </r>
  <r>
    <d v="2008-09-08T00:00:00"/>
    <n v="2008"/>
    <x v="31"/>
    <s v="R"/>
    <s v="RS"/>
    <x v="0"/>
    <s v="IND"/>
    <s v="H"/>
    <n v="2"/>
    <n v="2"/>
    <n v="0"/>
    <n v="0"/>
    <n v="0"/>
    <n v="0"/>
    <n v="1273.6713215161892"/>
    <n v="1483.9107615176863"/>
    <n v="0.32592092580330267"/>
    <n v="77"/>
    <n v="81"/>
    <n v="0"/>
    <n v="-4"/>
    <n v="0"/>
    <n v="0.26500413425131442"/>
    <n v="1"/>
    <n v="71.2"/>
    <n v="71.2"/>
    <n v="-6.1495719657146468"/>
    <n v="1267.5217495504746"/>
    <n v="0"/>
    <n v="1"/>
    <n v="0"/>
    <n v="0"/>
    <n v="0"/>
    <n v="0"/>
    <n v="0"/>
    <n v="0"/>
    <n v="0"/>
    <n v="0"/>
  </r>
  <r>
    <d v="2008-09-09T00:00:00"/>
    <n v="2008"/>
    <x v="30"/>
    <s v="R"/>
    <s v="RS"/>
    <x v="4"/>
    <s v="CHI"/>
    <s v="A"/>
    <n v="2"/>
    <n v="1"/>
    <n v="1"/>
    <n v="-1"/>
    <n v="8"/>
    <n v="-8"/>
    <n v="1378.6290101059608"/>
    <n v="1438.3240676513117"/>
    <n v="0.3240827353251024"/>
    <n v="59"/>
    <n v="78"/>
    <n v="0"/>
    <n v="-19"/>
    <n v="0"/>
    <n v="0.53439368777033125"/>
    <n v="1"/>
    <n v="71.349999999999994"/>
    <n v="71.349999999999994"/>
    <n v="-12.356947252014091"/>
    <n v="1366.2720628539466"/>
    <n v="0"/>
    <n v="1"/>
    <n v="0"/>
    <n v="0"/>
    <n v="0"/>
    <n v="0"/>
    <n v="0"/>
    <n v="0"/>
    <n v="0"/>
    <n v="0"/>
  </r>
  <r>
    <d v="2008-09-09T00:00:00"/>
    <n v="2008"/>
    <x v="31"/>
    <s v="R"/>
    <s v="RS"/>
    <x v="10"/>
    <s v="WAS"/>
    <s v="H"/>
    <n v="1"/>
    <n v="2"/>
    <n v="-1"/>
    <n v="1"/>
    <n v="-8"/>
    <n v="8"/>
    <n v="1438.3240676513117"/>
    <n v="1378.6290101059608"/>
    <n v="0.67591726467489766"/>
    <n v="78"/>
    <n v="59"/>
    <n v="0"/>
    <n v="19"/>
    <n v="1"/>
    <n v="0.53439368777033125"/>
    <n v="1"/>
    <n v="71.2"/>
    <n v="71.2"/>
    <n v="12.330969086803128"/>
    <n v="1450.6550367381149"/>
    <n v="1"/>
    <n v="0"/>
    <n v="0"/>
    <n v="0"/>
    <n v="0"/>
    <n v="0"/>
    <n v="0"/>
    <n v="0"/>
    <n v="0"/>
    <n v="0"/>
  </r>
  <r>
    <d v="2008-09-09T00:00:00"/>
    <n v="2008"/>
    <x v="31"/>
    <s v="R"/>
    <s v="RS"/>
    <x v="7"/>
    <s v="DET"/>
    <s v="A"/>
    <n v="1"/>
    <n v="2"/>
    <n v="-1"/>
    <n v="1"/>
    <n v="-8"/>
    <n v="8"/>
    <n v="1529.5251734336252"/>
    <n v="1574.4874156446772"/>
    <n v="0.30270079643996012"/>
    <n v="78"/>
    <n v="89"/>
    <n v="0"/>
    <n v="-11"/>
    <n v="0"/>
    <n v="0.42395114198144651"/>
    <n v="1"/>
    <n v="71.2"/>
    <n v="71.2"/>
    <n v="-9.1371208010543103"/>
    <n v="1520.3880526325709"/>
    <n v="0"/>
    <n v="1"/>
    <n v="0"/>
    <n v="0"/>
    <n v="0"/>
    <n v="0"/>
    <n v="0"/>
    <n v="0"/>
    <n v="0"/>
    <n v="0"/>
  </r>
  <r>
    <d v="2008-09-09T00:00:00"/>
    <n v="2008"/>
    <x v="31"/>
    <s v="R"/>
    <s v="RS"/>
    <x v="3"/>
    <s v="PHX"/>
    <s v="H"/>
    <n v="2"/>
    <n v="1"/>
    <n v="1"/>
    <n v="-1"/>
    <n v="8"/>
    <n v="-8"/>
    <n v="1574.4874156446772"/>
    <n v="1529.5251734336252"/>
    <n v="0.69729920356003983"/>
    <n v="89"/>
    <n v="78"/>
    <n v="0"/>
    <n v="11"/>
    <n v="1"/>
    <n v="0.42395114198144651"/>
    <n v="1"/>
    <n v="71.2"/>
    <n v="71.2"/>
    <n v="9.1371208010543121"/>
    <n v="1583.6245364457316"/>
    <n v="1"/>
    <n v="0"/>
    <n v="0"/>
    <n v="0"/>
    <n v="0"/>
    <n v="0"/>
    <n v="0"/>
    <n v="0"/>
    <n v="0"/>
    <n v="0"/>
  </r>
  <r>
    <d v="2008-09-09T00:00:00"/>
    <n v="2008"/>
    <x v="31"/>
    <s v="R"/>
    <s v="RS"/>
    <x v="1"/>
    <s v="HOU"/>
    <s v="A"/>
    <n v="1"/>
    <n v="1"/>
    <n v="0"/>
    <n v="0"/>
    <n v="0"/>
    <n v="0"/>
    <n v="1590.4495985506551"/>
    <n v="1453.3879562385939"/>
    <n v="0.57577362774996454"/>
    <n v="68"/>
    <n v="75"/>
    <n v="0"/>
    <n v="-7"/>
    <n v="0"/>
    <n v="0.33216763754929957"/>
    <n v="1"/>
    <n v="71.2"/>
    <n v="71.2"/>
    <n v="-13.617239637334164"/>
    <n v="1576.8323589133208"/>
    <n v="0"/>
    <n v="1"/>
    <n v="0"/>
    <n v="0"/>
    <n v="0"/>
    <n v="0"/>
    <n v="0"/>
    <n v="0"/>
    <n v="0"/>
    <n v="0"/>
  </r>
  <r>
    <d v="2008-09-09T00:00:00"/>
    <n v="2008"/>
    <x v="31"/>
    <s v="R"/>
    <s v="RS"/>
    <x v="2"/>
    <s v="CON"/>
    <s v="H"/>
    <n v="1"/>
    <n v="1"/>
    <n v="0"/>
    <n v="0"/>
    <n v="0"/>
    <n v="0"/>
    <n v="1453.3879562385939"/>
    <n v="1590.4495985506551"/>
    <n v="0.42422637225003557"/>
    <n v="75"/>
    <n v="68"/>
    <n v="0"/>
    <n v="7"/>
    <n v="1"/>
    <n v="0.33216763754929957"/>
    <n v="1"/>
    <n v="71.2"/>
    <n v="71.2"/>
    <n v="13.617239637334162"/>
    <n v="1467.0051958759282"/>
    <n v="1"/>
    <n v="0"/>
    <n v="0"/>
    <n v="0"/>
    <n v="0"/>
    <n v="0"/>
    <n v="0"/>
    <n v="0"/>
    <n v="0"/>
    <n v="0"/>
  </r>
  <r>
    <d v="2008-09-09T00:00:00"/>
    <n v="2008"/>
    <x v="31"/>
    <s v="R"/>
    <s v="RS"/>
    <x v="5"/>
    <s v="MIN"/>
    <s v="A"/>
    <n v="0"/>
    <n v="1"/>
    <n v="-1"/>
    <n v="1"/>
    <n v="-8"/>
    <n v="8"/>
    <n v="1490.0732890423176"/>
    <n v="1463.470501055964"/>
    <n v="0.39591668830864085"/>
    <n v="76"/>
    <n v="86"/>
    <n v="0"/>
    <n v="-10"/>
    <n v="0"/>
    <n v="0.41395278420351161"/>
    <n v="1"/>
    <n v="71.2"/>
    <n v="71.2"/>
    <n v="-11.669026059185301"/>
    <n v="1478.4042629831322"/>
    <n v="0"/>
    <n v="1"/>
    <n v="0"/>
    <n v="0"/>
    <n v="0"/>
    <n v="0"/>
    <n v="0"/>
    <n v="0"/>
    <n v="0"/>
    <n v="0"/>
  </r>
  <r>
    <d v="2008-09-09T00:00:00"/>
    <n v="2008"/>
    <x v="31"/>
    <s v="R"/>
    <s v="RS"/>
    <x v="12"/>
    <s v="IND"/>
    <s v="H"/>
    <n v="1"/>
    <n v="0"/>
    <n v="1"/>
    <n v="-1"/>
    <n v="8"/>
    <n v="-8"/>
    <n v="1463.470501055964"/>
    <n v="1490.0732890423176"/>
    <n v="0.6040833116913592"/>
    <n v="86"/>
    <n v="76"/>
    <n v="0"/>
    <n v="10"/>
    <n v="1"/>
    <n v="0.41395278420351161"/>
    <n v="1"/>
    <n v="71.2"/>
    <n v="71.2"/>
    <n v="11.669026059185299"/>
    <n v="1475.1395271151493"/>
    <n v="1"/>
    <n v="0"/>
    <n v="0"/>
    <n v="0"/>
    <n v="0"/>
    <n v="0"/>
    <n v="0"/>
    <n v="0"/>
    <n v="0"/>
    <n v="0"/>
  </r>
  <r>
    <d v="2008-09-09T00:00:00"/>
    <n v="2008"/>
    <x v="31"/>
    <s v="R"/>
    <s v="RS"/>
    <x v="8"/>
    <s v="NYL"/>
    <s v="A"/>
    <n v="1"/>
    <n v="1"/>
    <n v="0"/>
    <n v="0"/>
    <n v="0"/>
    <n v="0"/>
    <n v="1622.0513678123361"/>
    <n v="1541.8363516913216"/>
    <n v="0.49455318581461466"/>
    <n v="82"/>
    <n v="76"/>
    <n v="0"/>
    <n v="6"/>
    <n v="1"/>
    <n v="0.3292704022379187"/>
    <n v="1"/>
    <n v="71.2"/>
    <n v="71.2"/>
    <n v="11.849721718148784"/>
    <n v="1633.901089530485"/>
    <n v="1"/>
    <n v="0"/>
    <n v="0"/>
    <n v="0"/>
    <n v="0"/>
    <n v="0"/>
    <n v="0"/>
    <n v="0"/>
    <n v="0"/>
    <n v="0"/>
  </r>
  <r>
    <d v="2008-09-09T00:00:00"/>
    <n v="2008"/>
    <x v="30"/>
    <s v="R"/>
    <s v="RS"/>
    <x v="13"/>
    <s v="SAS"/>
    <s v="H"/>
    <n v="1"/>
    <n v="1"/>
    <n v="0"/>
    <n v="0"/>
    <n v="0"/>
    <n v="0"/>
    <n v="1541.8363516913216"/>
    <n v="1622.0513678123361"/>
    <n v="0.50544681418538528"/>
    <n v="76"/>
    <n v="82"/>
    <n v="0"/>
    <n v="-6"/>
    <n v="0"/>
    <n v="0.3292704022379187"/>
    <n v="1"/>
    <n v="71.349999999999994"/>
    <n v="71.349999999999994"/>
    <n v="-11.874686019521285"/>
    <n v="1529.9616656718003"/>
    <n v="0"/>
    <n v="1"/>
    <n v="0"/>
    <n v="0"/>
    <n v="0"/>
    <n v="0"/>
    <n v="0"/>
    <n v="0"/>
    <n v="0"/>
    <n v="0"/>
  </r>
  <r>
    <d v="2008-09-09T00:00:00"/>
    <n v="2008"/>
    <x v="31"/>
    <s v="R"/>
    <s v="RS"/>
    <x v="11"/>
    <s v="SAC"/>
    <s v="A"/>
    <n v="2"/>
    <n v="1"/>
    <n v="1"/>
    <n v="-1"/>
    <n v="8"/>
    <n v="-8"/>
    <n v="1598.4230039752315"/>
    <n v="1522.1723772167857"/>
    <n v="0.51187137490562262"/>
    <n v="74"/>
    <n v="77"/>
    <n v="0"/>
    <n v="-3"/>
    <n v="0"/>
    <n v="0.27284627174122972"/>
    <n v="1"/>
    <n v="71.2"/>
    <n v="71.2"/>
    <n v="-9.9439483732888139"/>
    <n v="1588.4790556019427"/>
    <n v="0"/>
    <n v="1"/>
    <n v="0"/>
    <n v="0"/>
    <n v="0"/>
    <n v="0"/>
    <n v="0"/>
    <n v="0"/>
    <n v="0"/>
    <n v="0"/>
  </r>
  <r>
    <d v="2008-09-09T00:00:00"/>
    <n v="2008"/>
    <x v="31"/>
    <s v="R"/>
    <s v="RS"/>
    <x v="9"/>
    <s v="SEA"/>
    <s v="H"/>
    <n v="1"/>
    <n v="2"/>
    <n v="-1"/>
    <n v="1"/>
    <n v="-8"/>
    <n v="8"/>
    <n v="1522.1723772167857"/>
    <n v="1598.4230039752315"/>
    <n v="0.48812862509437738"/>
    <n v="77"/>
    <n v="74"/>
    <n v="0"/>
    <n v="3"/>
    <n v="1"/>
    <n v="0.27284627174122972"/>
    <n v="1"/>
    <n v="71.2"/>
    <n v="71.2"/>
    <n v="9.9439483732888139"/>
    <n v="1532.1163255900744"/>
    <n v="1"/>
    <n v="0"/>
    <n v="0"/>
    <n v="0"/>
    <n v="0"/>
    <n v="0"/>
    <n v="0"/>
    <n v="0"/>
    <n v="0"/>
    <n v="0"/>
  </r>
  <r>
    <d v="2008-09-11T00:00:00"/>
    <n v="2008"/>
    <x v="31"/>
    <s v="R"/>
    <s v="RS"/>
    <x v="4"/>
    <s v="DET"/>
    <s v="A"/>
    <n v="1"/>
    <n v="1"/>
    <n v="0"/>
    <n v="0"/>
    <n v="0"/>
    <n v="0"/>
    <n v="1366.2720628539466"/>
    <n v="1583.6245364457316"/>
    <n v="0.14998428908401554"/>
    <n v="66"/>
    <n v="78"/>
    <n v="0"/>
    <n v="-12"/>
    <n v="0"/>
    <n v="0.38618151933990552"/>
    <n v="1"/>
    <n v="71.2"/>
    <n v="71.2"/>
    <n v="-4.1239866372533482"/>
    <n v="1362.1480762166932"/>
    <n v="0"/>
    <n v="1"/>
    <n v="0"/>
    <n v="0"/>
    <n v="0"/>
    <n v="0"/>
    <n v="0"/>
    <n v="0"/>
    <n v="0"/>
    <n v="0"/>
  </r>
  <r>
    <d v="2008-09-11T00:00:00"/>
    <n v="2008"/>
    <x v="32"/>
    <s v="R"/>
    <s v="RS"/>
    <x v="3"/>
    <s v="WAS"/>
    <s v="H"/>
    <n v="1"/>
    <n v="1"/>
    <n v="0"/>
    <n v="0"/>
    <n v="0"/>
    <n v="0"/>
    <n v="1583.6245364457316"/>
    <n v="1366.2720628539466"/>
    <n v="0.85001571091598449"/>
    <n v="78"/>
    <n v="66"/>
    <n v="0"/>
    <n v="12"/>
    <n v="1"/>
    <n v="0.38618151933990552"/>
    <n v="1"/>
    <n v="71.05"/>
    <n v="71.05"/>
    <n v="4.1152984631580098"/>
    <n v="1587.7398349088896"/>
    <n v="1"/>
    <n v="0"/>
    <n v="0"/>
    <n v="0"/>
    <n v="0"/>
    <n v="0"/>
    <n v="0"/>
    <n v="0"/>
    <n v="0"/>
    <n v="0"/>
  </r>
  <r>
    <d v="2008-09-11T00:00:00"/>
    <n v="2008"/>
    <x v="31"/>
    <s v="R"/>
    <s v="RS"/>
    <x v="13"/>
    <s v="IND"/>
    <s v="A"/>
    <n v="1"/>
    <n v="1"/>
    <n v="0"/>
    <n v="0"/>
    <n v="0"/>
    <n v="0"/>
    <n v="1529.9616656718003"/>
    <n v="1478.4042629831322"/>
    <n v="0.45344657556306545"/>
    <n v="59"/>
    <n v="74"/>
    <n v="0"/>
    <n v="-15"/>
    <n v="0"/>
    <n v="0.4821334062330816"/>
    <n v="1"/>
    <n v="71.2"/>
    <n v="71.2"/>
    <n v="-15.565868031891439"/>
    <n v="1514.395797639909"/>
    <n v="0"/>
    <n v="1"/>
    <n v="0"/>
    <n v="0"/>
    <n v="0"/>
    <n v="0"/>
    <n v="0"/>
    <n v="0"/>
    <n v="0"/>
    <n v="0"/>
  </r>
  <r>
    <d v="2008-09-11T00:00:00"/>
    <n v="2008"/>
    <x v="32"/>
    <s v="R"/>
    <s v="RS"/>
    <x v="5"/>
    <s v="NYL"/>
    <s v="H"/>
    <n v="1"/>
    <n v="1"/>
    <n v="0"/>
    <n v="0"/>
    <n v="0"/>
    <n v="0"/>
    <n v="1478.4042629831322"/>
    <n v="1529.9616656718003"/>
    <n v="0.54655342443693455"/>
    <n v="74"/>
    <n v="59"/>
    <n v="0"/>
    <n v="15"/>
    <n v="1"/>
    <n v="0.4821334062330816"/>
    <n v="1"/>
    <n v="71.05"/>
    <n v="71.05"/>
    <n v="15.533074770588295"/>
    <n v="1493.9373377537204"/>
    <n v="1"/>
    <n v="0"/>
    <n v="0"/>
    <n v="0"/>
    <n v="0"/>
    <n v="0"/>
    <n v="0"/>
    <n v="0"/>
    <n v="0"/>
    <n v="0"/>
  </r>
  <r>
    <d v="2008-09-11T00:00:00"/>
    <n v="2008"/>
    <x v="32"/>
    <s v="R"/>
    <s v="RS"/>
    <x v="0"/>
    <s v="LAS"/>
    <s v="A"/>
    <n v="2"/>
    <n v="4"/>
    <n v="-2"/>
    <n v="2"/>
    <n v="-16"/>
    <n v="16"/>
    <n v="1267.5217495504746"/>
    <n v="1555.4314295859738"/>
    <n v="8.9066142666852269E-2"/>
    <n v="83"/>
    <n v="72"/>
    <n v="0"/>
    <n v="11"/>
    <n v="1"/>
    <n v="0.35472795922435635"/>
    <n v="1"/>
    <n v="71.05"/>
    <n v="71.05"/>
    <n v="22.958649967621259"/>
    <n v="1290.480399518096"/>
    <n v="1"/>
    <n v="0"/>
    <n v="0"/>
    <n v="0"/>
    <n v="0"/>
    <n v="0"/>
    <n v="0"/>
    <n v="0"/>
    <n v="0"/>
    <n v="0"/>
  </r>
  <r>
    <d v="2008-09-11T00:00:00"/>
    <n v="2008"/>
    <x v="32"/>
    <s v="R"/>
    <s v="RS"/>
    <x v="6"/>
    <s v="ATL"/>
    <s v="H"/>
    <n v="4"/>
    <n v="2"/>
    <n v="2"/>
    <n v="-2"/>
    <n v="16"/>
    <n v="-16"/>
    <n v="1555.4314295859738"/>
    <n v="1267.5217495504746"/>
    <n v="0.9109338573331478"/>
    <n v="72"/>
    <n v="83"/>
    <n v="0"/>
    <n v="-11"/>
    <n v="0"/>
    <n v="0.35472795922435635"/>
    <n v="1"/>
    <n v="71.05"/>
    <n v="71.05"/>
    <n v="-22.958649967621259"/>
    <n v="1532.4727796183524"/>
    <n v="0"/>
    <n v="1"/>
    <n v="0"/>
    <n v="0"/>
    <n v="0"/>
    <n v="0"/>
    <n v="0"/>
    <n v="0"/>
    <n v="0"/>
    <n v="0"/>
  </r>
  <r>
    <d v="2008-09-11T00:00:00"/>
    <n v="2008"/>
    <x v="32"/>
    <s v="R"/>
    <s v="RS"/>
    <x v="1"/>
    <s v="SAS"/>
    <s v="A"/>
    <n v="1"/>
    <n v="1"/>
    <n v="0"/>
    <n v="0"/>
    <n v="0"/>
    <n v="0"/>
    <n v="1576.8323589133208"/>
    <n v="1633.901089530485"/>
    <n v="0.30745235808101307"/>
    <n v="74"/>
    <n v="78"/>
    <n v="0"/>
    <n v="-4"/>
    <n v="0"/>
    <n v="0.29729423123998627"/>
    <n v="1"/>
    <n v="71.05"/>
    <n v="71.05"/>
    <n v="-6.4942408737636494"/>
    <n v="1570.3381180395572"/>
    <n v="0"/>
    <n v="1"/>
    <n v="0"/>
    <n v="0"/>
    <n v="0"/>
    <n v="0"/>
    <n v="0"/>
    <n v="0"/>
    <n v="0"/>
    <n v="0"/>
  </r>
  <r>
    <d v="2008-09-11T00:00:00"/>
    <n v="2008"/>
    <x v="32"/>
    <s v="R"/>
    <s v="RS"/>
    <x v="8"/>
    <s v="CON"/>
    <s v="H"/>
    <n v="1"/>
    <n v="1"/>
    <n v="0"/>
    <n v="0"/>
    <n v="0"/>
    <n v="0"/>
    <n v="1633.901089530485"/>
    <n v="1576.8323589133208"/>
    <n v="0.69254764191898688"/>
    <n v="78"/>
    <n v="74"/>
    <n v="0"/>
    <n v="4"/>
    <n v="1"/>
    <n v="0.29729423123998627"/>
    <n v="1"/>
    <n v="71.05"/>
    <n v="71.05"/>
    <n v="6.4942408737636512"/>
    <n v="1640.3953304042486"/>
    <n v="1"/>
    <n v="0"/>
    <n v="0"/>
    <n v="0"/>
    <n v="0"/>
    <n v="0"/>
    <n v="0"/>
    <n v="0"/>
    <n v="0"/>
    <n v="0"/>
  </r>
  <r>
    <d v="2008-09-12T00:00:00"/>
    <n v="2008"/>
    <x v="32"/>
    <s v="R"/>
    <s v="RS"/>
    <x v="13"/>
    <s v="CHI"/>
    <s v="A"/>
    <n v="0"/>
    <n v="2"/>
    <n v="-2"/>
    <n v="2"/>
    <n v="-16"/>
    <n v="16"/>
    <n v="1514.395797639909"/>
    <n v="1450.6550367381149"/>
    <n v="0.42535499563783374"/>
    <n v="69"/>
    <n v="62"/>
    <n v="0"/>
    <n v="7"/>
    <n v="1"/>
    <n v="0.3514396470583554"/>
    <n v="1"/>
    <n v="71.05"/>
    <n v="71.05"/>
    <n v="14.348763315574807"/>
    <n v="1528.7445609554838"/>
    <n v="1"/>
    <n v="0"/>
    <n v="0"/>
    <n v="0"/>
    <n v="0"/>
    <n v="0"/>
    <n v="0"/>
    <n v="0"/>
    <n v="0"/>
    <n v="0"/>
  </r>
  <r>
    <d v="2008-09-12T00:00:00"/>
    <n v="2008"/>
    <x v="32"/>
    <s v="R"/>
    <s v="RS"/>
    <x v="10"/>
    <s v="NYL"/>
    <s v="H"/>
    <n v="2"/>
    <n v="0"/>
    <n v="2"/>
    <n v="-2"/>
    <n v="16"/>
    <n v="-16"/>
    <n v="1450.6550367381149"/>
    <n v="1514.395797639909"/>
    <n v="0.57464500436216626"/>
    <n v="62"/>
    <n v="69"/>
    <n v="0"/>
    <n v="-7"/>
    <n v="0"/>
    <n v="0.3514396470583554"/>
    <n v="1"/>
    <n v="71.05"/>
    <n v="71.05"/>
    <n v="-14.348763315574807"/>
    <n v="1436.30627342254"/>
    <n v="0"/>
    <n v="1"/>
    <n v="0"/>
    <n v="0"/>
    <n v="0"/>
    <n v="0"/>
    <n v="0"/>
    <n v="0"/>
    <n v="0"/>
    <n v="0"/>
  </r>
  <r>
    <d v="2008-09-12T00:00:00"/>
    <n v="2008"/>
    <x v="32"/>
    <s v="R"/>
    <s v="RS"/>
    <x v="7"/>
    <s v="MIN"/>
    <s v="A"/>
    <n v="2"/>
    <n v="2"/>
    <n v="0"/>
    <n v="0"/>
    <n v="0"/>
    <n v="0"/>
    <n v="1520.3880526325709"/>
    <n v="1475.1395271151493"/>
    <n v="0.44446225504084702"/>
    <n v="96"/>
    <n v="87"/>
    <n v="0"/>
    <n v="9"/>
    <n v="1"/>
    <n v="0.39121976263675229"/>
    <n v="1"/>
    <n v="71.05"/>
    <n v="71.05"/>
    <n v="15.441818342261962"/>
    <n v="1535.8298709748328"/>
    <n v="1"/>
    <n v="0"/>
    <n v="0"/>
    <n v="0"/>
    <n v="0"/>
    <n v="0"/>
    <n v="0"/>
    <n v="0"/>
    <n v="0"/>
    <n v="0"/>
  </r>
  <r>
    <d v="2008-09-12T00:00:00"/>
    <n v="2008"/>
    <x v="32"/>
    <s v="R"/>
    <s v="RS"/>
    <x v="12"/>
    <s v="PHX"/>
    <s v="H"/>
    <n v="2"/>
    <n v="2"/>
    <n v="0"/>
    <n v="0"/>
    <n v="0"/>
    <n v="0"/>
    <n v="1475.1395271151493"/>
    <n v="1520.3880526325709"/>
    <n v="0.55553774495915287"/>
    <n v="87"/>
    <n v="96"/>
    <n v="0"/>
    <n v="-9"/>
    <n v="0"/>
    <n v="0.39121976263675229"/>
    <n v="1"/>
    <n v="71.05"/>
    <n v="71.05"/>
    <n v="-15.441818342261959"/>
    <n v="1459.6977087728874"/>
    <n v="0"/>
    <n v="1"/>
    <n v="0"/>
    <n v="0"/>
    <n v="0"/>
    <n v="0"/>
    <n v="0"/>
    <n v="0"/>
    <n v="0"/>
    <n v="0"/>
  </r>
  <r>
    <d v="2008-09-12T00:00:00"/>
    <n v="2008"/>
    <x v="33"/>
    <s v="R"/>
    <s v="RS"/>
    <x v="0"/>
    <s v="SEA"/>
    <s v="A"/>
    <n v="0"/>
    <n v="2"/>
    <n v="-2"/>
    <n v="2"/>
    <n v="-16"/>
    <n v="16"/>
    <n v="1290.480399518096"/>
    <n v="1588.4790556019427"/>
    <n v="8.4465271542279549E-2"/>
    <n v="72"/>
    <n v="77"/>
    <n v="0"/>
    <n v="-5"/>
    <n v="0"/>
    <n v="0.26575936429359132"/>
    <n v="1"/>
    <n v="70.900000000000006"/>
    <n v="70.900000000000006"/>
    <n v="-1.5915232740802905"/>
    <n v="1288.8888762440156"/>
    <n v="0"/>
    <n v="1"/>
    <n v="0"/>
    <n v="0"/>
    <n v="0"/>
    <n v="0"/>
    <n v="0"/>
    <n v="0"/>
    <n v="0"/>
    <n v="0"/>
  </r>
  <r>
    <d v="2008-09-12T00:00:00"/>
    <n v="2008"/>
    <x v="32"/>
    <s v="R"/>
    <s v="RS"/>
    <x v="11"/>
    <s v="ATL"/>
    <s v="H"/>
    <n v="2"/>
    <n v="0"/>
    <n v="2"/>
    <n v="-2"/>
    <n v="16"/>
    <n v="-16"/>
    <n v="1588.4790556019427"/>
    <n v="1290.480399518096"/>
    <n v="0.91553472845772044"/>
    <n v="77"/>
    <n v="72"/>
    <n v="0"/>
    <n v="5"/>
    <n v="1"/>
    <n v="0.26575936429359132"/>
    <n v="1"/>
    <n v="71.05"/>
    <n v="71.05"/>
    <n v="1.5948903896107849"/>
    <n v="1590.0739459915535"/>
    <n v="1"/>
    <n v="0"/>
    <n v="0"/>
    <n v="0"/>
    <n v="0"/>
    <n v="0"/>
    <n v="0"/>
    <n v="0"/>
    <n v="0"/>
    <n v="0"/>
  </r>
  <r>
    <d v="2008-09-13T00:00:00"/>
    <n v="2008"/>
    <x v="32"/>
    <s v="R"/>
    <s v="RS"/>
    <x v="4"/>
    <s v="CON"/>
    <s v="A"/>
    <n v="1"/>
    <n v="1"/>
    <n v="0"/>
    <n v="0"/>
    <n v="0"/>
    <n v="0"/>
    <n v="1362.1480762166932"/>
    <n v="1570.3381180395572"/>
    <n v="0.15683331854266225"/>
    <n v="81"/>
    <n v="87"/>
    <n v="0"/>
    <n v="-6"/>
    <n v="0"/>
    <n v="0.29934660861791201"/>
    <n v="1"/>
    <n v="71.05"/>
    <n v="71.05"/>
    <n v="-3.3356214398079449"/>
    <n v="1358.8124547768853"/>
    <n v="0"/>
    <n v="1"/>
    <n v="0"/>
    <n v="0"/>
    <n v="0"/>
    <n v="0"/>
    <n v="0"/>
    <n v="0"/>
    <n v="0"/>
    <n v="0"/>
  </r>
  <r>
    <d v="2008-09-13T00:00:00"/>
    <n v="2008"/>
    <x v="33"/>
    <s v="R"/>
    <s v="RS"/>
    <x v="1"/>
    <s v="WAS"/>
    <s v="H"/>
    <n v="1"/>
    <n v="1"/>
    <n v="0"/>
    <n v="0"/>
    <n v="0"/>
    <n v="0"/>
    <n v="1570.3381180395572"/>
    <n v="1362.1480762166932"/>
    <n v="0.84316668145733764"/>
    <n v="87"/>
    <n v="81"/>
    <n v="0"/>
    <n v="6"/>
    <n v="1"/>
    <n v="0.29934660861791201"/>
    <n v="1"/>
    <n v="70.900000000000006"/>
    <n v="70.900000000000006"/>
    <n v="3.3285793115043423"/>
    <n v="1573.6666973510617"/>
    <n v="1"/>
    <n v="0"/>
    <n v="0"/>
    <n v="0"/>
    <n v="0"/>
    <n v="0"/>
    <n v="0"/>
    <n v="0"/>
    <n v="0"/>
    <n v="0"/>
  </r>
  <r>
    <d v="2008-09-13T00:00:00"/>
    <n v="2008"/>
    <x v="32"/>
    <s v="R"/>
    <s v="RS"/>
    <x v="9"/>
    <s v="SAS"/>
    <s v="A"/>
    <n v="3"/>
    <n v="1"/>
    <n v="2"/>
    <n v="-2"/>
    <n v="16"/>
    <n v="-16"/>
    <n v="1532.1163255900744"/>
    <n v="1640.3953304042486"/>
    <n v="0.28442025760448481"/>
    <n v="69"/>
    <n v="77"/>
    <n v="0"/>
    <n v="-8"/>
    <n v="0"/>
    <n v="0.35617680960170528"/>
    <n v="1"/>
    <n v="71.05"/>
    <n v="71.05"/>
    <n v="-7.1976420907128826"/>
    <n v="1524.9186834993616"/>
    <n v="0"/>
    <n v="1"/>
    <n v="0"/>
    <n v="0"/>
    <n v="0"/>
    <n v="0"/>
    <n v="0"/>
    <n v="0"/>
    <n v="0"/>
    <n v="0"/>
  </r>
  <r>
    <d v="2008-09-13T00:00:00"/>
    <n v="2008"/>
    <x v="33"/>
    <s v="R"/>
    <s v="RS"/>
    <x v="8"/>
    <s v="SAC"/>
    <s v="H"/>
    <n v="1"/>
    <n v="3"/>
    <n v="-2"/>
    <n v="2"/>
    <n v="-16"/>
    <n v="16"/>
    <n v="1640.3953304042486"/>
    <n v="1532.1163255900744"/>
    <n v="0.71557974239551525"/>
    <n v="77"/>
    <n v="69"/>
    <n v="0"/>
    <n v="8"/>
    <n v="1"/>
    <n v="0.35617680960170528"/>
    <n v="1"/>
    <n v="70.900000000000006"/>
    <n v="70.900000000000006"/>
    <n v="7.1824465057219324"/>
    <n v="1647.5777769099705"/>
    <n v="1"/>
    <n v="0"/>
    <n v="0"/>
    <n v="0"/>
    <n v="0"/>
    <n v="0"/>
    <n v="0"/>
    <n v="0"/>
    <n v="0"/>
    <n v="0"/>
  </r>
  <r>
    <d v="2008-09-14T00:00:00"/>
    <n v="2008"/>
    <x v="32"/>
    <s v="R"/>
    <s v="RS"/>
    <x v="2"/>
    <s v="CHI"/>
    <s v="A"/>
    <n v="4"/>
    <n v="1"/>
    <n v="3"/>
    <n v="-3"/>
    <n v="16"/>
    <n v="-16"/>
    <n v="1467.0051958759282"/>
    <n v="1436.30627342254"/>
    <n v="0.46938363635944641"/>
    <n v="79"/>
    <n v="76"/>
    <n v="0"/>
    <n v="3"/>
    <n v="1"/>
    <n v="0.28294509645322147"/>
    <n v="1"/>
    <n v="71.05"/>
    <n v="71.05"/>
    <n v="10.667112936394817"/>
    <n v="1477.6723088123231"/>
    <n v="1"/>
    <n v="0"/>
    <n v="0"/>
    <n v="0"/>
    <n v="0"/>
    <n v="0"/>
    <n v="0"/>
    <n v="0"/>
    <n v="0"/>
    <n v="0"/>
  </r>
  <r>
    <d v="2008-09-14T00:00:00"/>
    <n v="2008"/>
    <x v="33"/>
    <s v="R"/>
    <s v="RS"/>
    <x v="10"/>
    <s v="HOU"/>
    <s v="H"/>
    <n v="1"/>
    <n v="4"/>
    <n v="-3"/>
    <n v="3"/>
    <n v="-16"/>
    <n v="16"/>
    <n v="1436.30627342254"/>
    <n v="1467.0051958759282"/>
    <n v="0.53061636364055365"/>
    <n v="76"/>
    <n v="79"/>
    <n v="0"/>
    <n v="-3"/>
    <n v="0"/>
    <n v="0.28294509645322147"/>
    <n v="1"/>
    <n v="70.900000000000006"/>
    <n v="70.900000000000006"/>
    <n v="-10.644592641666328"/>
    <n v="1425.6616807808737"/>
    <n v="0"/>
    <n v="1"/>
    <n v="0"/>
    <n v="0"/>
    <n v="0"/>
    <n v="0"/>
    <n v="0"/>
    <n v="0"/>
    <n v="0"/>
    <n v="0"/>
  </r>
  <r>
    <d v="2008-09-14T00:00:00"/>
    <n v="2008"/>
    <x v="33"/>
    <s v="R"/>
    <s v="RS"/>
    <x v="7"/>
    <s v="IND"/>
    <s v="A"/>
    <n v="1"/>
    <n v="2"/>
    <n v="-1"/>
    <n v="1"/>
    <n v="-8"/>
    <n v="8"/>
    <n v="1535.8298709748328"/>
    <n v="1493.9373377537204"/>
    <n v="0.41714769678195546"/>
    <n v="89"/>
    <n v="103"/>
    <n v="0"/>
    <n v="-14"/>
    <n v="0"/>
    <n v="0.47115970874167601"/>
    <n v="1"/>
    <n v="70.900000000000006"/>
    <n v="70.900000000000006"/>
    <n v="-13.934911980849542"/>
    <n v="1521.8949589939832"/>
    <n v="0"/>
    <n v="1"/>
    <n v="0"/>
    <n v="0"/>
    <n v="0"/>
    <n v="0"/>
    <n v="0"/>
    <n v="0"/>
    <n v="0"/>
    <n v="0"/>
  </r>
  <r>
    <d v="2008-09-14T00:00:00"/>
    <n v="2008"/>
    <x v="33"/>
    <s v="R"/>
    <s v="RS"/>
    <x v="5"/>
    <s v="PHX"/>
    <s v="H"/>
    <n v="2"/>
    <n v="1"/>
    <n v="1"/>
    <n v="-1"/>
    <n v="8"/>
    <n v="-8"/>
    <n v="1493.9373377537204"/>
    <n v="1535.8298709748328"/>
    <n v="0.58285230321804449"/>
    <n v="103"/>
    <n v="89"/>
    <n v="0"/>
    <n v="14"/>
    <n v="1"/>
    <n v="0.47115970874167601"/>
    <n v="1"/>
    <n v="70.900000000000006"/>
    <n v="70.900000000000006"/>
    <n v="13.934911980849543"/>
    <n v="1507.87224973457"/>
    <n v="1"/>
    <n v="0"/>
    <n v="0"/>
    <n v="0"/>
    <n v="0"/>
    <n v="0"/>
    <n v="0"/>
    <n v="0"/>
    <n v="0"/>
    <n v="0"/>
  </r>
  <r>
    <d v="2008-09-14T00:00:00"/>
    <n v="2008"/>
    <x v="33"/>
    <s v="R"/>
    <s v="RS"/>
    <x v="11"/>
    <s v="LAS"/>
    <s v="A"/>
    <n v="1"/>
    <n v="2"/>
    <n v="-1"/>
    <n v="1"/>
    <n v="-8"/>
    <n v="8"/>
    <n v="1590.0739459915535"/>
    <n v="1532.4727796183524"/>
    <n v="0.43928427194723946"/>
    <n v="48"/>
    <n v="65"/>
    <n v="0"/>
    <n v="-17"/>
    <n v="0"/>
    <n v="0.50805493822895365"/>
    <n v="1"/>
    <n v="70.900000000000006"/>
    <n v="70.900000000000006"/>
    <n v="-15.82350054472159"/>
    <n v="1574.2504454468319"/>
    <n v="0"/>
    <n v="1"/>
    <n v="0"/>
    <n v="0"/>
    <n v="0"/>
    <n v="0"/>
    <n v="0"/>
    <n v="0"/>
    <n v="0"/>
    <n v="0"/>
  </r>
  <r>
    <d v="2008-09-14T00:00:00"/>
    <n v="2008"/>
    <x v="33"/>
    <s v="R"/>
    <s v="RS"/>
    <x v="6"/>
    <s v="SEA"/>
    <s v="H"/>
    <n v="2"/>
    <n v="1"/>
    <n v="1"/>
    <n v="-1"/>
    <n v="8"/>
    <n v="-8"/>
    <n v="1532.4727796183524"/>
    <n v="1590.0739459915535"/>
    <n v="0.56071572805276049"/>
    <n v="65"/>
    <n v="48"/>
    <n v="0"/>
    <n v="17"/>
    <n v="1"/>
    <n v="0.50805493822895365"/>
    <n v="1"/>
    <n v="70.900000000000006"/>
    <n v="70.900000000000006"/>
    <n v="15.823500544721592"/>
    <n v="1548.296280163074"/>
    <n v="1"/>
    <n v="0"/>
    <n v="0"/>
    <n v="0"/>
    <n v="0"/>
    <n v="0"/>
    <n v="0"/>
    <n v="0"/>
    <n v="0"/>
    <n v="0"/>
  </r>
  <r>
    <d v="2008-09-14T00:00:00"/>
    <n v="2008"/>
    <x v="33"/>
    <s v="R"/>
    <s v="RS"/>
    <x v="3"/>
    <s v="NYL"/>
    <s v="A"/>
    <n v="2"/>
    <n v="1"/>
    <n v="1"/>
    <n v="-1"/>
    <n v="8"/>
    <n v="-8"/>
    <n v="1587.7398349088896"/>
    <n v="1528.7445609554838"/>
    <n v="0.48704405834355435"/>
    <n v="61"/>
    <n v="59"/>
    <n v="0"/>
    <n v="2"/>
    <n v="1"/>
    <n v="0.25529054129197543"/>
    <n v="1"/>
    <n v="70.900000000000006"/>
    <n v="70.900000000000006"/>
    <n v="9.2845535203125973"/>
    <n v="1597.0243884292022"/>
    <n v="1"/>
    <n v="0"/>
    <n v="0"/>
    <n v="0"/>
    <n v="0"/>
    <n v="0"/>
    <n v="0"/>
    <n v="0"/>
    <n v="0"/>
    <n v="0"/>
  </r>
  <r>
    <d v="2008-09-14T00:00:00"/>
    <n v="2008"/>
    <x v="33"/>
    <s v="R"/>
    <s v="RS"/>
    <x v="13"/>
    <s v="DET"/>
    <s v="H"/>
    <n v="1"/>
    <n v="2"/>
    <n v="-1"/>
    <n v="1"/>
    <n v="-8"/>
    <n v="8"/>
    <n v="1528.7445609554838"/>
    <n v="1587.7398349088896"/>
    <n v="0.51295594165644565"/>
    <n v="59"/>
    <n v="61"/>
    <n v="0"/>
    <n v="-2"/>
    <n v="0"/>
    <n v="0.25529054129197543"/>
    <n v="1"/>
    <n v="70.900000000000006"/>
    <n v="70.900000000000006"/>
    <n v="-9.2845535203125973"/>
    <n v="1519.4600074351713"/>
    <n v="0"/>
    <n v="1"/>
    <n v="0"/>
    <n v="0"/>
    <n v="0"/>
    <n v="0"/>
    <n v="0"/>
    <n v="0"/>
    <n v="0"/>
    <n v="0"/>
  </r>
  <r>
    <d v="2008-09-14T00:00:00"/>
    <n v="2008"/>
    <x v="33"/>
    <s v="R"/>
    <s v="RS"/>
    <x v="12"/>
    <s v="WAS"/>
    <s v="A"/>
    <n v="1"/>
    <n v="0"/>
    <n v="1"/>
    <n v="-1"/>
    <n v="8"/>
    <n v="-8"/>
    <n v="1459.6977087728874"/>
    <n v="1358.8124547768853"/>
    <n v="0.54718486099236463"/>
    <n v="96"/>
    <n v="70"/>
    <n v="0"/>
    <n v="26"/>
    <n v="1"/>
    <n v="0.60336209839351107"/>
    <n v="1"/>
    <n v="70.900000000000006"/>
    <n v="70.900000000000006"/>
    <n v="19.370694815130136"/>
    <n v="1479.0684035880174"/>
    <n v="1"/>
    <n v="0"/>
    <n v="0"/>
    <n v="0"/>
    <n v="0"/>
    <n v="0"/>
    <n v="0"/>
    <n v="0"/>
    <n v="0"/>
    <n v="0"/>
  </r>
  <r>
    <d v="2008-09-14T00:00:00"/>
    <n v="2008"/>
    <x v="33"/>
    <s v="R"/>
    <s v="RS"/>
    <x v="4"/>
    <s v="MIN"/>
    <s v="H"/>
    <n v="0"/>
    <n v="1"/>
    <n v="-1"/>
    <n v="1"/>
    <n v="-8"/>
    <n v="8"/>
    <n v="1358.8124547768853"/>
    <n v="1459.6977087728874"/>
    <n v="0.45281513900763548"/>
    <n v="70"/>
    <n v="96"/>
    <n v="0"/>
    <n v="-26"/>
    <n v="0"/>
    <n v="0.60336209839351107"/>
    <n v="1"/>
    <n v="70.900000000000006"/>
    <n v="70.900000000000006"/>
    <n v="-19.370694815130143"/>
    <n v="1339.4417599617552"/>
    <n v="0"/>
    <n v="1"/>
    <n v="0"/>
    <n v="0"/>
    <n v="0"/>
    <n v="0"/>
    <n v="0"/>
    <n v="0"/>
    <n v="0"/>
    <n v="0"/>
  </r>
  <r>
    <d v="2008-09-15T00:00:00"/>
    <n v="2008"/>
    <x v="33"/>
    <s v="R"/>
    <s v="RS"/>
    <x v="9"/>
    <s v="HOU"/>
    <s v="A"/>
    <n v="1"/>
    <n v="0"/>
    <n v="1"/>
    <n v="-1"/>
    <n v="8"/>
    <n v="-8"/>
    <n v="1524.9186834993616"/>
    <n v="1477.6723088123231"/>
    <n v="0.47016860455108084"/>
    <n v="81"/>
    <n v="90"/>
    <n v="0"/>
    <n v="-9"/>
    <n v="0"/>
    <n v="0.39059310370730238"/>
    <n v="1"/>
    <n v="70.900000000000006"/>
    <n v="70.900000000000006"/>
    <n v="-13.020403169279263"/>
    <n v="1511.8982803300823"/>
    <n v="0"/>
    <n v="1"/>
    <n v="0"/>
    <n v="0"/>
    <n v="0"/>
    <n v="0"/>
    <n v="0"/>
    <n v="0"/>
    <n v="0"/>
    <n v="0"/>
  </r>
  <r>
    <d v="2008-09-15T00:00:00"/>
    <n v="2008"/>
    <x v="33"/>
    <s v="R"/>
    <s v="RS"/>
    <x v="2"/>
    <s v="SAC"/>
    <s v="H"/>
    <n v="0"/>
    <n v="1"/>
    <n v="-1"/>
    <n v="1"/>
    <n v="-8"/>
    <n v="8"/>
    <n v="1477.6723088123231"/>
    <n v="1524.9186834993616"/>
    <n v="0.52983139544891911"/>
    <n v="90"/>
    <n v="81"/>
    <n v="0"/>
    <n v="9"/>
    <n v="1"/>
    <n v="0.39059310370730238"/>
    <n v="1"/>
    <n v="70.900000000000006"/>
    <n v="70.900000000000006"/>
    <n v="13.020403169279264"/>
    <n v="1490.6927119816023"/>
    <n v="1"/>
    <n v="0"/>
    <n v="0"/>
    <n v="0"/>
    <n v="0"/>
    <n v="0"/>
    <n v="0"/>
    <n v="0"/>
    <n v="0"/>
    <n v="0"/>
  </r>
  <r>
    <d v="2008-09-18T00:00:00"/>
    <n v="2008"/>
    <x v="34"/>
    <s v="P"/>
    <n v="1"/>
    <x v="1"/>
    <s v="NYL"/>
    <s v="A"/>
    <n v="4"/>
    <n v="3"/>
    <n v="1"/>
    <n v="-1"/>
    <n v="8"/>
    <n v="-8"/>
    <n v="1573.6666973510617"/>
    <n v="1519.4600074351713"/>
    <n v="0.48016025329355116"/>
    <n v="63"/>
    <n v="72"/>
    <n v="0"/>
    <n v="-9"/>
    <n v="0"/>
    <n v="0.38842547762949797"/>
    <n v="1.1000000000000001"/>
    <n v="70.75"/>
    <n v="77.825000000000003"/>
    <n v="-14.514866473239628"/>
    <n v="1559.151830877822"/>
    <n v="0"/>
    <n v="0"/>
    <n v="0"/>
    <n v="1"/>
    <n v="0"/>
    <n v="0"/>
    <n v="0"/>
    <n v="0"/>
    <n v="0"/>
    <n v="0"/>
  </r>
  <r>
    <d v="2008-09-18T00:00:00"/>
    <n v="2008"/>
    <x v="34"/>
    <s v="P"/>
    <n v="1"/>
    <x v="13"/>
    <s v="CON"/>
    <s v="H"/>
    <n v="3"/>
    <n v="4"/>
    <n v="-1"/>
    <n v="1"/>
    <n v="-8"/>
    <n v="8"/>
    <n v="1519.4600074351713"/>
    <n v="1573.6666973510617"/>
    <n v="0.51983974670644895"/>
    <n v="72"/>
    <n v="63"/>
    <n v="0"/>
    <n v="9"/>
    <n v="1"/>
    <n v="0.38842547762949797"/>
    <n v="1.1000000000000001"/>
    <n v="70.75"/>
    <n v="77.825000000000003"/>
    <n v="14.514866473239625"/>
    <n v="1533.9748739084109"/>
    <n v="0"/>
    <n v="0"/>
    <n v="1"/>
    <n v="0"/>
    <n v="0"/>
    <n v="0"/>
    <n v="0"/>
    <n v="0"/>
    <n v="0"/>
    <n v="0"/>
  </r>
  <r>
    <d v="2008-09-18T00:00:00"/>
    <n v="2008"/>
    <x v="34"/>
    <s v="P"/>
    <n v="1"/>
    <x v="8"/>
    <s v="SAC"/>
    <s v="A"/>
    <n v="4"/>
    <n v="2"/>
    <n v="2"/>
    <n v="-2"/>
    <n v="16"/>
    <n v="-16"/>
    <n v="1647.5777769099705"/>
    <n v="1511.8982803300823"/>
    <n v="0.61814872972716195"/>
    <n v="85"/>
    <n v="78"/>
    <n v="0"/>
    <n v="7"/>
    <n v="1"/>
    <n v="0.33251136078813071"/>
    <n v="1.1000000000000001"/>
    <n v="70.75"/>
    <n v="77.825000000000003"/>
    <n v="9.8814313388116251"/>
    <n v="1657.459208248782"/>
    <n v="0"/>
    <n v="0"/>
    <n v="1"/>
    <n v="0"/>
    <n v="0"/>
    <n v="0"/>
    <n v="0"/>
    <n v="0"/>
    <n v="0"/>
    <n v="0"/>
  </r>
  <r>
    <d v="2008-09-18T00:00:00"/>
    <n v="2008"/>
    <x v="34"/>
    <s v="P"/>
    <n v="1"/>
    <x v="9"/>
    <s v="SAS"/>
    <s v="H"/>
    <n v="2"/>
    <n v="4"/>
    <n v="-2"/>
    <n v="2"/>
    <n v="-16"/>
    <n v="16"/>
    <n v="1511.8982803300823"/>
    <n v="1647.5777769099705"/>
    <n v="0.38185127027283799"/>
    <n v="78"/>
    <n v="85"/>
    <n v="0"/>
    <n v="-7"/>
    <n v="0"/>
    <n v="0.33251136078813071"/>
    <n v="1.1000000000000001"/>
    <n v="70.75"/>
    <n v="77.825000000000003"/>
    <n v="-9.8814313388116251"/>
    <n v="1502.0168489912708"/>
    <n v="0"/>
    <n v="0"/>
    <n v="0"/>
    <n v="1"/>
    <n v="0"/>
    <n v="0"/>
    <n v="0"/>
    <n v="0"/>
    <n v="0"/>
    <n v="0"/>
  </r>
  <r>
    <d v="2008-09-19T00:00:00"/>
    <n v="2008"/>
    <x v="34"/>
    <s v="P"/>
    <n v="1"/>
    <x v="3"/>
    <s v="IND"/>
    <s v="A"/>
    <n v="4"/>
    <n v="4"/>
    <n v="0"/>
    <n v="0"/>
    <n v="0"/>
    <n v="0"/>
    <n v="1597.0243884292022"/>
    <n v="1507.87224973457"/>
    <n v="0.50741398015869899"/>
    <n v="81"/>
    <n v="72"/>
    <n v="0"/>
    <n v="9"/>
    <n v="1"/>
    <n v="0.37789630715734224"/>
    <n v="1.1000000000000001"/>
    <n v="70.75"/>
    <n v="77.825000000000003"/>
    <n v="14.486846526093467"/>
    <n v="1611.5112349552955"/>
    <n v="0"/>
    <n v="0"/>
    <n v="1"/>
    <n v="0"/>
    <n v="0"/>
    <n v="0"/>
    <n v="0"/>
    <n v="0"/>
    <n v="0"/>
    <n v="0"/>
  </r>
  <r>
    <d v="2008-09-19T00:00:00"/>
    <n v="2008"/>
    <x v="34"/>
    <s v="P"/>
    <n v="1"/>
    <x v="5"/>
    <s v="DET"/>
    <s v="H"/>
    <n v="4"/>
    <n v="4"/>
    <n v="0"/>
    <n v="0"/>
    <n v="0"/>
    <n v="0"/>
    <n v="1507.87224973457"/>
    <n v="1597.0243884292022"/>
    <n v="0.49258601984130101"/>
    <n v="72"/>
    <n v="81"/>
    <n v="0"/>
    <n v="-9"/>
    <n v="0"/>
    <n v="0.37789630715734224"/>
    <n v="1.1000000000000001"/>
    <n v="70.75"/>
    <n v="77.825000000000003"/>
    <n v="-14.486846526093467"/>
    <n v="1493.3854032084766"/>
    <n v="0"/>
    <n v="0"/>
    <n v="0"/>
    <n v="1"/>
    <n v="0"/>
    <n v="0"/>
    <n v="0"/>
    <n v="0"/>
    <n v="0"/>
    <n v="0"/>
  </r>
  <r>
    <d v="2008-09-19T00:00:00"/>
    <n v="2008"/>
    <x v="34"/>
    <s v="P"/>
    <n v="1"/>
    <x v="11"/>
    <s v="LAS"/>
    <s v="A"/>
    <n v="4"/>
    <n v="4"/>
    <n v="0"/>
    <n v="0"/>
    <n v="0"/>
    <n v="0"/>
    <n v="1574.2504454468319"/>
    <n v="1548.296280163074"/>
    <n v="0.41723395957752191"/>
    <n v="69"/>
    <n v="77"/>
    <n v="0"/>
    <n v="-8"/>
    <n v="0"/>
    <n v="0.38009466846238232"/>
    <n v="1.1000000000000001"/>
    <n v="70.75"/>
    <n v="77.825000000000003"/>
    <n v="-12.342142505256536"/>
    <n v="1561.9083029415754"/>
    <n v="0"/>
    <n v="0"/>
    <n v="0"/>
    <n v="1"/>
    <n v="0"/>
    <n v="0"/>
    <n v="0"/>
    <n v="0"/>
    <n v="0"/>
    <n v="0"/>
  </r>
  <r>
    <d v="2008-09-19T00:00:00"/>
    <n v="2008"/>
    <x v="34"/>
    <s v="P"/>
    <n v="1"/>
    <x v="6"/>
    <s v="SEA"/>
    <s v="H"/>
    <n v="4"/>
    <n v="4"/>
    <n v="0"/>
    <n v="0"/>
    <n v="0"/>
    <n v="0"/>
    <n v="1548.296280163074"/>
    <n v="1574.2504454468319"/>
    <n v="0.58276604042247815"/>
    <n v="77"/>
    <n v="69"/>
    <n v="0"/>
    <n v="8"/>
    <n v="1"/>
    <n v="0.38009466846238232"/>
    <n v="1.1000000000000001"/>
    <n v="70.75"/>
    <n v="77.825000000000003"/>
    <n v="12.342142505256534"/>
    <n v="1560.6384226683306"/>
    <n v="0"/>
    <n v="0"/>
    <n v="1"/>
    <n v="0"/>
    <n v="0"/>
    <n v="0"/>
    <n v="0"/>
    <n v="0"/>
    <n v="0"/>
    <n v="0"/>
  </r>
  <r>
    <d v="2008-09-20T00:00:00"/>
    <n v="2008"/>
    <x v="35"/>
    <s v="P"/>
    <n v="1"/>
    <x v="13"/>
    <s v="CON"/>
    <s v="A"/>
    <n v="1"/>
    <n v="1"/>
    <n v="0"/>
    <n v="0"/>
    <n v="0"/>
    <n v="0"/>
    <n v="1533.9748739084109"/>
    <n v="1559.151830877822"/>
    <n v="0.34785684193090483"/>
    <n v="70"/>
    <n v="73"/>
    <n v="0"/>
    <n v="-3"/>
    <n v="0"/>
    <n v="0.28422035146645647"/>
    <n v="1.1000000000000001"/>
    <n v="70.599999999999994"/>
    <n v="77.66"/>
    <n v="-7.6780884042248134"/>
    <n v="1526.2967855041861"/>
    <n v="0"/>
    <n v="0"/>
    <n v="0"/>
    <n v="1"/>
    <n v="0"/>
    <n v="0"/>
    <n v="0"/>
    <n v="0"/>
    <n v="0"/>
    <n v="0"/>
  </r>
  <r>
    <d v="2008-09-20T00:00:00"/>
    <n v="2008"/>
    <x v="35"/>
    <s v="P"/>
    <n v="1"/>
    <x v="1"/>
    <s v="NYL"/>
    <s v="H"/>
    <n v="1"/>
    <n v="1"/>
    <n v="0"/>
    <n v="0"/>
    <n v="0"/>
    <n v="0"/>
    <n v="1559.151830877822"/>
    <n v="1533.9748739084109"/>
    <n v="0.65214315806909517"/>
    <n v="73"/>
    <n v="70"/>
    <n v="0"/>
    <n v="3"/>
    <n v="1"/>
    <n v="0.28422035146645647"/>
    <n v="1.1000000000000001"/>
    <n v="70.599999999999994"/>
    <n v="77.66"/>
    <n v="7.6780884042248134"/>
    <n v="1566.8299192820468"/>
    <n v="0"/>
    <n v="0"/>
    <n v="1"/>
    <n v="0"/>
    <n v="0"/>
    <n v="0"/>
    <n v="0"/>
    <n v="0"/>
    <n v="0"/>
    <n v="0"/>
  </r>
  <r>
    <d v="2008-09-20T00:00:00"/>
    <n v="2008"/>
    <x v="35"/>
    <s v="P"/>
    <n v="1"/>
    <x v="9"/>
    <s v="SAS"/>
    <s v="A"/>
    <n v="1"/>
    <n v="1"/>
    <n v="0"/>
    <n v="0"/>
    <n v="0"/>
    <n v="0"/>
    <n v="1502.0168489912708"/>
    <n v="1657.459208248782"/>
    <n v="0.20127557175026969"/>
    <n v="84"/>
    <n v="67"/>
    <n v="0"/>
    <n v="17"/>
    <n v="1"/>
    <n v="0.47138152244879838"/>
    <n v="1.1000000000000001"/>
    <n v="70.599999999999994"/>
    <n v="77.66"/>
    <n v="29.239295747839666"/>
    <n v="1531.2561447391104"/>
    <n v="0"/>
    <n v="0"/>
    <n v="1"/>
    <n v="0"/>
    <n v="0"/>
    <n v="0"/>
    <n v="0"/>
    <n v="0"/>
    <n v="0"/>
    <n v="0"/>
  </r>
  <r>
    <d v="2008-09-20T00:00:00"/>
    <n v="2008"/>
    <x v="35"/>
    <s v="P"/>
    <n v="1"/>
    <x v="8"/>
    <s v="SAC"/>
    <s v="H"/>
    <n v="1"/>
    <n v="1"/>
    <n v="0"/>
    <n v="0"/>
    <n v="0"/>
    <n v="0"/>
    <n v="1657.459208248782"/>
    <n v="1502.0168489912708"/>
    <n v="0.79872442824973022"/>
    <n v="67"/>
    <n v="84"/>
    <n v="0"/>
    <n v="-17"/>
    <n v="0"/>
    <n v="0.47138152244879838"/>
    <n v="1.1000000000000001"/>
    <n v="70.599999999999994"/>
    <n v="77.66"/>
    <n v="-29.239295747839662"/>
    <n v="1628.2199125009424"/>
    <n v="0"/>
    <n v="0"/>
    <n v="0"/>
    <n v="1"/>
    <n v="0"/>
    <n v="0"/>
    <n v="0"/>
    <n v="0"/>
    <n v="0"/>
    <n v="0"/>
  </r>
  <r>
    <d v="2008-09-21T00:00:00"/>
    <n v="2008"/>
    <x v="35"/>
    <s v="P"/>
    <n v="1"/>
    <x v="5"/>
    <s v="DET"/>
    <s v="A"/>
    <n v="1"/>
    <n v="1"/>
    <n v="0"/>
    <n v="0"/>
    <n v="0"/>
    <n v="0"/>
    <n v="1493.3854032084766"/>
    <n v="1611.5112349552955"/>
    <n v="0.23802649064946879"/>
    <n v="89"/>
    <n v="82"/>
    <n v="1"/>
    <n v="7"/>
    <n v="1"/>
    <n v="0.30324551469901068"/>
    <n v="1.1000000000000001"/>
    <n v="70.599999999999994"/>
    <n v="77.66"/>
    <n v="17.944511707670831"/>
    <n v="1511.3299149161476"/>
    <n v="0"/>
    <n v="0"/>
    <n v="1"/>
    <n v="0"/>
    <n v="0"/>
    <n v="0"/>
    <n v="0"/>
    <n v="0"/>
    <n v="0"/>
    <n v="0"/>
  </r>
  <r>
    <d v="2008-09-21T00:00:00"/>
    <n v="2008"/>
    <x v="35"/>
    <s v="P"/>
    <n v="1"/>
    <x v="3"/>
    <s v="IND"/>
    <s v="H"/>
    <n v="1"/>
    <n v="1"/>
    <n v="0"/>
    <n v="0"/>
    <n v="0"/>
    <n v="0"/>
    <n v="1611.5112349552955"/>
    <n v="1493.3854032084766"/>
    <n v="0.76197350935053132"/>
    <n v="82"/>
    <n v="89"/>
    <n v="1"/>
    <n v="-7"/>
    <n v="0"/>
    <n v="0.30324551469901068"/>
    <n v="1.1000000000000001"/>
    <n v="70.599999999999994"/>
    <n v="77.66"/>
    <n v="-17.944511707670834"/>
    <n v="1593.5667232476246"/>
    <n v="0"/>
    <n v="0"/>
    <n v="0"/>
    <n v="1"/>
    <n v="0"/>
    <n v="0"/>
    <n v="0"/>
    <n v="0"/>
    <n v="0"/>
    <n v="0"/>
  </r>
  <r>
    <d v="2008-09-21T00:00:00"/>
    <n v="2008"/>
    <x v="35"/>
    <s v="P"/>
    <n v="1"/>
    <x v="6"/>
    <s v="SEA"/>
    <s v="A"/>
    <n v="1"/>
    <n v="1"/>
    <n v="0"/>
    <n v="0"/>
    <n v="0"/>
    <n v="0"/>
    <n v="1560.6384226683306"/>
    <n v="1561.9083029415754"/>
    <n v="0.37969266963222364"/>
    <n v="50"/>
    <n v="64"/>
    <n v="0"/>
    <n v="-14"/>
    <n v="0"/>
    <n v="0.48709264574903516"/>
    <n v="1.1000000000000001"/>
    <n v="70.599999999999994"/>
    <n v="77.66"/>
    <n v="-14.362868075380876"/>
    <n v="1546.2755545929497"/>
    <n v="0"/>
    <n v="0"/>
    <n v="0"/>
    <n v="1"/>
    <n v="0"/>
    <n v="0"/>
    <n v="0"/>
    <n v="0"/>
    <n v="0"/>
    <n v="0"/>
  </r>
  <r>
    <d v="2008-09-21T00:00:00"/>
    <n v="2008"/>
    <x v="35"/>
    <s v="P"/>
    <n v="1"/>
    <x v="11"/>
    <s v="LAS"/>
    <s v="H"/>
    <n v="1"/>
    <n v="1"/>
    <n v="0"/>
    <n v="0"/>
    <n v="0"/>
    <n v="0"/>
    <n v="1561.9083029415754"/>
    <n v="1560.6384226683306"/>
    <n v="0.6203073303677763"/>
    <n v="64"/>
    <n v="50"/>
    <n v="0"/>
    <n v="14"/>
    <n v="1"/>
    <n v="0.48709264574903516"/>
    <n v="1.1000000000000001"/>
    <n v="70.599999999999994"/>
    <n v="77.66"/>
    <n v="14.362868075380877"/>
    <n v="1576.2711710169563"/>
    <n v="0"/>
    <n v="0"/>
    <n v="1"/>
    <n v="0"/>
    <n v="0"/>
    <n v="0"/>
    <n v="0"/>
    <n v="0"/>
    <n v="0"/>
    <n v="0"/>
  </r>
  <r>
    <d v="2008-09-22T00:00:00"/>
    <n v="2008"/>
    <x v="36"/>
    <s v="P"/>
    <n v="1"/>
    <x v="13"/>
    <s v="CON"/>
    <s v="A"/>
    <n v="1"/>
    <n v="1"/>
    <n v="0"/>
    <n v="0"/>
    <n v="0"/>
    <n v="0"/>
    <n v="1526.2967855041861"/>
    <n v="1566.8299192820468"/>
    <n v="0.32808252654814873"/>
    <n v="66"/>
    <n v="62"/>
    <n v="0"/>
    <n v="4"/>
    <n v="1"/>
    <n v="0.30125699323044136"/>
    <n v="1.1000000000000001"/>
    <n v="70.45"/>
    <n v="77.495000000000005"/>
    <n v="15.686525326521465"/>
    <n v="1541.9833108307075"/>
    <n v="0"/>
    <n v="0"/>
    <n v="1"/>
    <n v="0"/>
    <n v="0"/>
    <n v="0"/>
    <n v="0"/>
    <n v="0"/>
    <n v="0"/>
    <n v="0"/>
  </r>
  <r>
    <d v="2008-09-22T00:00:00"/>
    <n v="2008"/>
    <x v="36"/>
    <s v="P"/>
    <n v="1"/>
    <x v="1"/>
    <s v="NYL"/>
    <s v="H"/>
    <n v="1"/>
    <n v="1"/>
    <n v="0"/>
    <n v="0"/>
    <n v="0"/>
    <n v="0"/>
    <n v="1566.8299192820468"/>
    <n v="1526.2967855041861"/>
    <n v="0.67191747345185127"/>
    <n v="62"/>
    <n v="66"/>
    <n v="0"/>
    <n v="-4"/>
    <n v="0"/>
    <n v="0.30125699323044136"/>
    <n v="1.1000000000000001"/>
    <n v="70.45"/>
    <n v="77.495000000000005"/>
    <n v="-15.686525326521465"/>
    <n v="1551.1433939555254"/>
    <n v="0"/>
    <n v="0"/>
    <n v="0"/>
    <n v="1"/>
    <n v="0"/>
    <n v="0"/>
    <n v="0"/>
    <n v="0"/>
    <n v="0"/>
    <n v="0"/>
  </r>
  <r>
    <d v="2008-09-22T00:00:00"/>
    <n v="2008"/>
    <x v="36"/>
    <s v="P"/>
    <n v="1"/>
    <x v="9"/>
    <s v="SAS"/>
    <s v="A"/>
    <n v="1"/>
    <n v="1"/>
    <n v="0"/>
    <n v="0"/>
    <n v="0"/>
    <n v="0"/>
    <n v="1531.2561447391104"/>
    <n v="1628.2199125009424"/>
    <n v="0.26081995457886742"/>
    <n v="81"/>
    <n v="86"/>
    <n v="1"/>
    <n v="-5"/>
    <n v="0"/>
    <n v="0.27625787427852283"/>
    <n v="1.1000000000000001"/>
    <n v="70.45"/>
    <n v="77.495000000000005"/>
    <n v="-5.5837911143257495"/>
    <n v="1525.6723536247846"/>
    <n v="0"/>
    <n v="0"/>
    <n v="0"/>
    <n v="1"/>
    <n v="0"/>
    <n v="0"/>
    <n v="0"/>
    <n v="0"/>
    <n v="0"/>
    <n v="0"/>
  </r>
  <r>
    <d v="2008-09-22T00:00:00"/>
    <n v="2008"/>
    <x v="36"/>
    <s v="P"/>
    <n v="1"/>
    <x v="8"/>
    <s v="SAC"/>
    <s v="H"/>
    <n v="1"/>
    <n v="1"/>
    <n v="0"/>
    <n v="0"/>
    <n v="0"/>
    <n v="0"/>
    <n v="1628.2199125009424"/>
    <n v="1531.2561447391104"/>
    <n v="0.73918004542113258"/>
    <n v="86"/>
    <n v="81"/>
    <n v="1"/>
    <n v="5"/>
    <n v="1"/>
    <n v="0.27625787427852283"/>
    <n v="1.1000000000000001"/>
    <n v="70.45"/>
    <n v="77.495000000000005"/>
    <n v="5.5837911143257495"/>
    <n v="1633.8037036152682"/>
    <n v="0"/>
    <n v="0"/>
    <n v="1"/>
    <n v="0"/>
    <n v="0"/>
    <n v="0"/>
    <n v="0"/>
    <n v="0"/>
    <n v="0"/>
    <n v="0"/>
  </r>
  <r>
    <d v="2008-09-23T00:00:00"/>
    <n v="2008"/>
    <x v="36"/>
    <s v="P"/>
    <n v="1"/>
    <x v="5"/>
    <s v="DET"/>
    <s v="A"/>
    <n v="1"/>
    <n v="1"/>
    <n v="0"/>
    <n v="0"/>
    <n v="0"/>
    <n v="0"/>
    <n v="1511.3299149161476"/>
    <n v="1593.5667232476246"/>
    <n v="0.2774920795385003"/>
    <n v="61"/>
    <n v="80"/>
    <n v="0"/>
    <n v="-19"/>
    <n v="0"/>
    <n v="0.52499903519669866"/>
    <n v="1.1000000000000001"/>
    <n v="70.45"/>
    <n v="77.495000000000005"/>
    <n v="-11.2897098221438"/>
    <n v="1500.0402050940038"/>
    <n v="0"/>
    <n v="0"/>
    <n v="0"/>
    <n v="1"/>
    <n v="0"/>
    <n v="0"/>
    <n v="0"/>
    <n v="0"/>
    <n v="0"/>
    <n v="0"/>
  </r>
  <r>
    <d v="2008-09-23T00:00:00"/>
    <n v="2008"/>
    <x v="36"/>
    <s v="P"/>
    <n v="1"/>
    <x v="3"/>
    <s v="IND"/>
    <s v="H"/>
    <n v="1"/>
    <n v="1"/>
    <n v="0"/>
    <n v="0"/>
    <n v="0"/>
    <n v="0"/>
    <n v="1593.5667232476246"/>
    <n v="1511.3299149161476"/>
    <n v="0.7225079204614997"/>
    <n v="80"/>
    <n v="61"/>
    <n v="0"/>
    <n v="19"/>
    <n v="1"/>
    <n v="0.52499903519669866"/>
    <n v="1.1000000000000001"/>
    <n v="70.45"/>
    <n v="77.495000000000005"/>
    <n v="11.2897098221438"/>
    <n v="1604.8564330697684"/>
    <n v="0"/>
    <n v="0"/>
    <n v="1"/>
    <n v="0"/>
    <n v="0"/>
    <n v="0"/>
    <n v="0"/>
    <n v="0"/>
    <n v="0"/>
    <n v="0"/>
  </r>
  <r>
    <d v="2008-09-23T00:00:00"/>
    <n v="2008"/>
    <x v="36"/>
    <s v="P"/>
    <n v="1"/>
    <x v="6"/>
    <s v="SEA"/>
    <s v="A"/>
    <n v="1"/>
    <n v="1"/>
    <n v="0"/>
    <n v="0"/>
    <n v="0"/>
    <n v="0"/>
    <n v="1546.2755545929497"/>
    <n v="1576.2711710169563"/>
    <n v="0.34159115433016957"/>
    <n v="71"/>
    <n v="64"/>
    <n v="0"/>
    <n v="7"/>
    <n v="1"/>
    <n v="0.36108145513218082"/>
    <n v="1.1000000000000001"/>
    <n v="70.45"/>
    <n v="77.495000000000005"/>
    <n v="18.423601169022714"/>
    <n v="1564.6991557619724"/>
    <n v="0"/>
    <n v="0"/>
    <n v="1"/>
    <n v="0"/>
    <n v="0"/>
    <n v="0"/>
    <n v="0"/>
    <n v="0"/>
    <n v="0"/>
    <n v="0"/>
  </r>
  <r>
    <d v="2008-09-23T00:00:00"/>
    <n v="2008"/>
    <x v="36"/>
    <s v="P"/>
    <n v="1"/>
    <x v="11"/>
    <s v="LAS"/>
    <s v="H"/>
    <n v="1"/>
    <n v="1"/>
    <n v="0"/>
    <n v="0"/>
    <n v="0"/>
    <n v="0"/>
    <n v="1576.2711710169563"/>
    <n v="1546.2755545929497"/>
    <n v="0.65840884566983038"/>
    <n v="64"/>
    <n v="71"/>
    <n v="0"/>
    <n v="-7"/>
    <n v="0"/>
    <n v="0.36108145513218082"/>
    <n v="1.1000000000000001"/>
    <n v="70.45"/>
    <n v="77.495000000000005"/>
    <n v="-18.42360116902271"/>
    <n v="1557.8475698479335"/>
    <n v="0"/>
    <n v="0"/>
    <n v="0"/>
    <n v="1"/>
    <n v="0"/>
    <n v="0"/>
    <n v="0"/>
    <n v="0"/>
    <n v="0"/>
    <n v="0"/>
  </r>
  <r>
    <d v="2008-09-25T00:00:00"/>
    <n v="2008"/>
    <x v="37"/>
    <s v="P"/>
    <n v="2"/>
    <x v="8"/>
    <s v="LAS"/>
    <s v="A"/>
    <n v="2"/>
    <n v="1"/>
    <n v="1"/>
    <n v="-1"/>
    <n v="8"/>
    <n v="-8"/>
    <n v="1633.8037036152682"/>
    <n v="1564.6991557619724"/>
    <n v="0.50158956678321109"/>
    <n v="70"/>
    <n v="85"/>
    <n v="0"/>
    <n v="-15"/>
    <n v="0"/>
    <n v="0.47546723764815413"/>
    <n v="1.2"/>
    <n v="70.3"/>
    <n v="84.36"/>
    <n v="-20.118966269200563"/>
    <n v="1613.6847373460675"/>
    <n v="0"/>
    <n v="0"/>
    <n v="0"/>
    <n v="0"/>
    <n v="0"/>
    <n v="1"/>
    <n v="0"/>
    <n v="0"/>
    <n v="0"/>
    <n v="0"/>
  </r>
  <r>
    <d v="2008-09-25T00:00:00"/>
    <n v="2008"/>
    <x v="37"/>
    <s v="P"/>
    <n v="2"/>
    <x v="6"/>
    <s v="SAS"/>
    <s v="H"/>
    <n v="1"/>
    <n v="2"/>
    <n v="-1"/>
    <n v="1"/>
    <n v="-8"/>
    <n v="8"/>
    <n v="1564.6991557619724"/>
    <n v="1633.8037036152682"/>
    <n v="0.49841043321678885"/>
    <n v="85"/>
    <n v="70"/>
    <n v="0"/>
    <n v="15"/>
    <n v="1"/>
    <n v="0.47546723764815413"/>
    <n v="1.2"/>
    <n v="70.3"/>
    <n v="84.36"/>
    <n v="20.118966269200563"/>
    <n v="1584.8181220311731"/>
    <n v="0"/>
    <n v="0"/>
    <n v="0"/>
    <n v="0"/>
    <n v="1"/>
    <n v="0"/>
    <n v="0"/>
    <n v="0"/>
    <n v="0"/>
    <n v="0"/>
  </r>
  <r>
    <d v="2008-09-26T00:00:00"/>
    <n v="2008"/>
    <x v="37"/>
    <s v="P"/>
    <n v="2"/>
    <x v="3"/>
    <s v="NYL"/>
    <s v="A"/>
    <n v="2"/>
    <n v="3"/>
    <n v="-1"/>
    <n v="1"/>
    <n v="-8"/>
    <n v="8"/>
    <n v="1604.8564330697684"/>
    <n v="1541.9833108307075"/>
    <n v="0.4467725752907093"/>
    <n v="56"/>
    <n v="60"/>
    <n v="0"/>
    <n v="-4"/>
    <n v="0"/>
    <n v="0.2959278135732708"/>
    <n v="1.2"/>
    <n v="70.3"/>
    <n v="84.36"/>
    <n v="-11.153440710396746"/>
    <n v="1593.7029923593716"/>
    <n v="0"/>
    <n v="0"/>
    <n v="0"/>
    <n v="0"/>
    <n v="0"/>
    <n v="1"/>
    <n v="0"/>
    <n v="0"/>
    <n v="0"/>
    <n v="0"/>
  </r>
  <r>
    <d v="2008-09-26T00:00:00"/>
    <n v="2008"/>
    <x v="37"/>
    <s v="P"/>
    <n v="2"/>
    <x v="13"/>
    <s v="DET"/>
    <s v="H"/>
    <n v="3"/>
    <n v="2"/>
    <n v="1"/>
    <n v="-1"/>
    <n v="8"/>
    <n v="-8"/>
    <n v="1541.9833108307075"/>
    <n v="1604.8564330697684"/>
    <n v="0.55322742470929065"/>
    <n v="60"/>
    <n v="56"/>
    <n v="0"/>
    <n v="4"/>
    <n v="1"/>
    <n v="0.2959278135732708"/>
    <n v="1.2"/>
    <n v="70.3"/>
    <n v="84.36"/>
    <n v="11.153440710396747"/>
    <n v="1553.1367515411043"/>
    <n v="0"/>
    <n v="0"/>
    <n v="0"/>
    <n v="0"/>
    <n v="1"/>
    <n v="0"/>
    <n v="0"/>
    <n v="0"/>
    <n v="0"/>
    <n v="0"/>
  </r>
  <r>
    <d v="2008-09-27T00:00:00"/>
    <n v="2008"/>
    <x v="38"/>
    <s v="P"/>
    <n v="2"/>
    <x v="6"/>
    <s v="SAS"/>
    <s v="A"/>
    <n v="1"/>
    <n v="1"/>
    <n v="0"/>
    <n v="0"/>
    <n v="0"/>
    <n v="0"/>
    <n v="1584.8181220311731"/>
    <n v="1613.6847373460675"/>
    <n v="0.34305433565119892"/>
    <n v="66"/>
    <n v="67"/>
    <n v="0"/>
    <n v="-1"/>
    <n v="0"/>
    <n v="0.23844378348846876"/>
    <n v="1.2"/>
    <n v="70.150000000000006"/>
    <n v="84.18"/>
    <n v="-6.885854444995041"/>
    <n v="1577.9322675861781"/>
    <n v="0"/>
    <n v="0"/>
    <n v="0"/>
    <n v="0"/>
    <n v="0"/>
    <n v="1"/>
    <n v="0"/>
    <n v="0"/>
    <n v="0"/>
    <n v="0"/>
  </r>
  <r>
    <d v="2008-09-27T00:00:00"/>
    <n v="2008"/>
    <x v="38"/>
    <s v="P"/>
    <n v="2"/>
    <x v="8"/>
    <s v="LAS"/>
    <s v="H"/>
    <n v="1"/>
    <n v="1"/>
    <n v="0"/>
    <n v="0"/>
    <n v="0"/>
    <n v="0"/>
    <n v="1613.6847373460675"/>
    <n v="1584.8181220311731"/>
    <n v="0.65694566434880119"/>
    <n v="67"/>
    <n v="66"/>
    <n v="0"/>
    <n v="1"/>
    <n v="1"/>
    <n v="0.23844378348846876"/>
    <n v="1.2"/>
    <n v="70.150000000000006"/>
    <n v="84.18"/>
    <n v="6.8858544449950383"/>
    <n v="1620.5705917910625"/>
    <n v="0"/>
    <n v="0"/>
    <n v="0"/>
    <n v="0"/>
    <n v="1"/>
    <n v="0"/>
    <n v="0"/>
    <n v="0"/>
    <n v="0"/>
    <n v="0"/>
  </r>
  <r>
    <d v="2008-09-28T00:00:00"/>
    <n v="2008"/>
    <x v="38"/>
    <s v="P"/>
    <n v="2"/>
    <x v="13"/>
    <s v="DET"/>
    <s v="A"/>
    <n v="1"/>
    <n v="1"/>
    <n v="0"/>
    <n v="0"/>
    <n v="0"/>
    <n v="0"/>
    <n v="1553.1367515411043"/>
    <n v="1593.7029923593716"/>
    <n v="0.32804051575683651"/>
    <n v="55"/>
    <n v="64"/>
    <n v="0"/>
    <n v="-9"/>
    <n v="0"/>
    <n v="0.39269634828637673"/>
    <n v="1.2"/>
    <n v="70.150000000000006"/>
    <n v="84.18"/>
    <n v="-10.844093916998887"/>
    <n v="1542.2926576241055"/>
    <n v="0"/>
    <n v="0"/>
    <n v="0"/>
    <n v="0"/>
    <n v="0"/>
    <n v="1"/>
    <n v="0"/>
    <n v="0"/>
    <n v="0"/>
    <n v="0"/>
  </r>
  <r>
    <d v="2008-09-28T00:00:00"/>
    <n v="2008"/>
    <x v="38"/>
    <s v="P"/>
    <n v="2"/>
    <x v="3"/>
    <s v="NYL"/>
    <s v="H"/>
    <n v="1"/>
    <n v="1"/>
    <n v="0"/>
    <n v="0"/>
    <n v="0"/>
    <n v="0"/>
    <n v="1593.7029923593716"/>
    <n v="1553.1367515411043"/>
    <n v="0.67195948424316343"/>
    <n v="64"/>
    <n v="55"/>
    <n v="0"/>
    <n v="9"/>
    <n v="1"/>
    <n v="0.39269634828637673"/>
    <n v="1.2"/>
    <n v="70.150000000000006"/>
    <n v="84.18"/>
    <n v="10.844093916998888"/>
    <n v="1604.5470862763705"/>
    <n v="0"/>
    <n v="0"/>
    <n v="0"/>
    <n v="0"/>
    <n v="1"/>
    <n v="0"/>
    <n v="0"/>
    <n v="0"/>
    <n v="0"/>
    <n v="0"/>
  </r>
  <r>
    <d v="2008-09-28T00:00:00"/>
    <n v="2008"/>
    <x v="39"/>
    <s v="P"/>
    <n v="2"/>
    <x v="6"/>
    <s v="SAS"/>
    <s v="A"/>
    <n v="0"/>
    <n v="0"/>
    <n v="0"/>
    <n v="0"/>
    <n v="0"/>
    <n v="0"/>
    <n v="1577.9322675861781"/>
    <n v="1620.5705917910625"/>
    <n v="0.32541666887244641"/>
    <n v="72"/>
    <n v="76"/>
    <n v="0"/>
    <n v="-4"/>
    <n v="0"/>
    <n v="0.3007466248264824"/>
    <n v="1.2"/>
    <n v="70"/>
    <n v="84"/>
    <n v="-8.2209090453558851"/>
    <n v="1569.7113585408222"/>
    <n v="0"/>
    <n v="0"/>
    <n v="0"/>
    <n v="0"/>
    <n v="0"/>
    <n v="1"/>
    <n v="0"/>
    <n v="0"/>
    <n v="0"/>
    <n v="0"/>
  </r>
  <r>
    <d v="2008-09-28T00:00:00"/>
    <n v="2008"/>
    <x v="39"/>
    <s v="P"/>
    <n v="2"/>
    <x v="8"/>
    <s v="LAS"/>
    <s v="H"/>
    <n v="0"/>
    <n v="0"/>
    <n v="0"/>
    <n v="0"/>
    <n v="0"/>
    <n v="0"/>
    <n v="1620.5705917910625"/>
    <n v="1577.9322675861781"/>
    <n v="0.67458333112755353"/>
    <n v="76"/>
    <n v="72"/>
    <n v="0"/>
    <n v="4"/>
    <n v="1"/>
    <n v="0.3007466248264824"/>
    <n v="1.2"/>
    <n v="70"/>
    <n v="84"/>
    <n v="8.2209090453558868"/>
    <n v="1628.7915008364184"/>
    <n v="0"/>
    <n v="0"/>
    <n v="0"/>
    <n v="0"/>
    <n v="1"/>
    <n v="0"/>
    <n v="0"/>
    <n v="0"/>
    <n v="0"/>
    <n v="0"/>
  </r>
  <r>
    <d v="2008-09-29T00:00:00"/>
    <n v="2008"/>
    <x v="39"/>
    <s v="P"/>
    <n v="2"/>
    <x v="13"/>
    <s v="DET"/>
    <s v="A"/>
    <n v="0"/>
    <n v="0"/>
    <n v="0"/>
    <n v="0"/>
    <n v="0"/>
    <n v="0"/>
    <n v="1542.2926576241055"/>
    <n v="1604.5470862763705"/>
    <n v="0.3011330540215113"/>
    <n v="73"/>
    <n v="75"/>
    <n v="0"/>
    <n v="-2"/>
    <n v="0"/>
    <n v="0.25463137833057908"/>
    <n v="1.2"/>
    <n v="70"/>
    <n v="84"/>
    <n v="-6.4409456669371092"/>
    <n v="1535.8517119571684"/>
    <n v="0"/>
    <n v="0"/>
    <n v="0"/>
    <n v="0"/>
    <n v="0"/>
    <n v="1"/>
    <n v="0"/>
    <n v="0"/>
    <n v="0"/>
    <n v="0"/>
  </r>
  <r>
    <d v="2008-09-29T00:00:00"/>
    <n v="2008"/>
    <x v="39"/>
    <s v="P"/>
    <n v="2"/>
    <x v="3"/>
    <s v="NYL"/>
    <s v="H"/>
    <n v="0"/>
    <n v="0"/>
    <n v="0"/>
    <n v="0"/>
    <n v="0"/>
    <n v="0"/>
    <n v="1604.5470862763705"/>
    <n v="1542.2926576241055"/>
    <n v="0.69886694597848875"/>
    <n v="75"/>
    <n v="73"/>
    <n v="0"/>
    <n v="2"/>
    <n v="1"/>
    <n v="0.25463137833057908"/>
    <n v="1.2"/>
    <n v="70"/>
    <n v="84"/>
    <n v="6.4409456669371083"/>
    <n v="1610.9880319433075"/>
    <n v="0"/>
    <n v="0"/>
    <n v="0"/>
    <n v="0"/>
    <n v="1"/>
    <n v="0"/>
    <n v="0"/>
    <n v="0"/>
    <n v="0"/>
    <n v="0"/>
  </r>
  <r>
    <d v="2008-10-01T00:00:00"/>
    <n v="2008"/>
    <x v="40"/>
    <s v="P"/>
    <n v="3"/>
    <x v="3"/>
    <s v="SAS"/>
    <s v="A"/>
    <n v="1"/>
    <n v="2"/>
    <n v="-1"/>
    <n v="1"/>
    <n v="-8"/>
    <n v="8"/>
    <n v="1610.9880319433075"/>
    <n v="1628.7915008364184"/>
    <n v="0.33667850942219768"/>
    <n v="77"/>
    <n v="69"/>
    <n v="0"/>
    <n v="8"/>
    <n v="1"/>
    <n v="0.38263862265653181"/>
    <n v="1.35"/>
    <n v="69.849999999999994"/>
    <n v="94.297499999999999"/>
    <n v="23.933876819523899"/>
    <n v="1634.9219087628314"/>
    <n v="0"/>
    <n v="0"/>
    <n v="0"/>
    <n v="0"/>
    <n v="0"/>
    <n v="0"/>
    <n v="1"/>
    <n v="0"/>
    <n v="0"/>
    <n v="0"/>
  </r>
  <r>
    <d v="2008-10-01T00:00:00"/>
    <n v="2008"/>
    <x v="40"/>
    <s v="P"/>
    <n v="3"/>
    <x v="8"/>
    <s v="DET"/>
    <s v="H"/>
    <n v="2"/>
    <n v="1"/>
    <n v="1"/>
    <n v="-1"/>
    <n v="8"/>
    <n v="-8"/>
    <n v="1628.7915008364184"/>
    <n v="1610.9880319433075"/>
    <n v="0.66332149057780232"/>
    <n v="69"/>
    <n v="77"/>
    <n v="0"/>
    <n v="-8"/>
    <n v="0"/>
    <n v="0.38263862265653181"/>
    <n v="1.35"/>
    <n v="69.849999999999994"/>
    <n v="94.297499999999999"/>
    <n v="-23.933876819523899"/>
    <n v="1604.8576240168945"/>
    <n v="0"/>
    <n v="0"/>
    <n v="0"/>
    <n v="0"/>
    <n v="0"/>
    <n v="0"/>
    <n v="0"/>
    <n v="1"/>
    <n v="0"/>
    <n v="0"/>
  </r>
  <r>
    <d v="2008-10-03T00:00:00"/>
    <n v="2008"/>
    <x v="41"/>
    <s v="P"/>
    <n v="3"/>
    <x v="3"/>
    <s v="SAS"/>
    <s v="A"/>
    <n v="1"/>
    <n v="1"/>
    <n v="0"/>
    <n v="0"/>
    <n v="0"/>
    <n v="0"/>
    <n v="1634.9219087628314"/>
    <n v="1604.8576240168945"/>
    <n v="0.42299784062036772"/>
    <n v="69"/>
    <n v="61"/>
    <n v="0"/>
    <n v="8"/>
    <n v="1"/>
    <n v="0.37882462549496099"/>
    <n v="1.35"/>
    <n v="69.7"/>
    <n v="94.095000000000013"/>
    <n v="20.567532281615659"/>
    <n v="1655.4894410444472"/>
    <n v="0"/>
    <n v="0"/>
    <n v="0"/>
    <n v="0"/>
    <n v="0"/>
    <n v="0"/>
    <n v="1"/>
    <n v="0"/>
    <n v="0"/>
    <n v="0"/>
  </r>
  <r>
    <d v="2008-10-03T00:00:00"/>
    <n v="2008"/>
    <x v="41"/>
    <s v="P"/>
    <n v="3"/>
    <x v="8"/>
    <s v="DET"/>
    <s v="H"/>
    <n v="1"/>
    <n v="1"/>
    <n v="0"/>
    <n v="0"/>
    <n v="0"/>
    <n v="0"/>
    <n v="1604.8576240168945"/>
    <n v="1634.9219087628314"/>
    <n v="0.5770021593796324"/>
    <n v="61"/>
    <n v="69"/>
    <n v="0"/>
    <n v="-8"/>
    <n v="0"/>
    <n v="0.37882462549496099"/>
    <n v="1.35"/>
    <n v="69.7"/>
    <n v="94.095000000000013"/>
    <n v="-20.567532281615662"/>
    <n v="1584.2900917352788"/>
    <n v="0"/>
    <n v="0"/>
    <n v="0"/>
    <n v="0"/>
    <n v="0"/>
    <n v="0"/>
    <n v="0"/>
    <n v="1"/>
    <n v="0"/>
    <n v="0"/>
  </r>
  <r>
    <d v="2008-10-05T00:00:00"/>
    <n v="2008"/>
    <x v="42"/>
    <s v="P"/>
    <n v="3"/>
    <x v="8"/>
    <s v="DET"/>
    <s v="A"/>
    <n v="1"/>
    <n v="1"/>
    <n v="0"/>
    <n v="0"/>
    <n v="0"/>
    <n v="0"/>
    <n v="1584.2900917352788"/>
    <n v="1655.4894410444472"/>
    <n v="0.29040883578218196"/>
    <n v="60"/>
    <n v="76"/>
    <n v="0"/>
    <n v="-16"/>
    <n v="0"/>
    <n v="0.48878505096288982"/>
    <n v="1.35"/>
    <n v="69.55"/>
    <n v="93.892499999999998"/>
    <n v="-13.327805418207756"/>
    <n v="1570.9622863170709"/>
    <n v="0"/>
    <n v="0"/>
    <n v="0"/>
    <n v="0"/>
    <n v="0"/>
    <n v="0"/>
    <n v="0"/>
    <n v="1"/>
    <n v="0"/>
    <n v="0"/>
  </r>
  <r>
    <d v="2008-10-05T00:00:00"/>
    <n v="2008"/>
    <x v="42"/>
    <s v="P"/>
    <n v="3"/>
    <x v="3"/>
    <s v="SAS"/>
    <s v="H"/>
    <n v="1"/>
    <n v="1"/>
    <n v="0"/>
    <n v="0"/>
    <n v="0"/>
    <n v="0"/>
    <n v="1655.4894410444472"/>
    <n v="1584.2900917352788"/>
    <n v="0.70959116421781809"/>
    <n v="76"/>
    <n v="60"/>
    <n v="0"/>
    <n v="16"/>
    <n v="1"/>
    <n v="0.48878505096288982"/>
    <n v="1.35"/>
    <n v="69.55"/>
    <n v="93.892499999999998"/>
    <n v="13.327805418207753"/>
    <n v="1668.817246462655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8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8">
        <item m="1" x="38"/>
        <item x="0"/>
        <item m="1" x="49"/>
        <item m="1" x="26"/>
        <item m="1" x="24"/>
        <item m="1" x="37"/>
        <item m="1" x="53"/>
        <item m="1" x="14"/>
        <item x="10"/>
        <item m="1" x="39"/>
        <item m="1" x="15"/>
        <item x="1"/>
        <item m="1" x="28"/>
        <item m="1" x="32"/>
        <item x="3"/>
        <item m="1" x="54"/>
        <item m="1" x="34"/>
        <item x="2"/>
        <item x="5"/>
        <item m="1" x="48"/>
        <item m="1" x="47"/>
        <item m="1" x="23"/>
        <item m="1" x="22"/>
        <item m="1" x="56"/>
        <item x="6"/>
        <item m="1" x="55"/>
        <item m="1" x="25"/>
        <item m="1" x="17"/>
        <item m="1" x="33"/>
        <item x="12"/>
        <item m="1" x="41"/>
        <item m="1" x="20"/>
        <item m="1" x="29"/>
        <item m="1" x="42"/>
        <item m="1" x="50"/>
        <item x="13"/>
        <item m="1" x="43"/>
        <item m="1" x="31"/>
        <item m="1" x="19"/>
        <item m="1" x="27"/>
        <item x="7"/>
        <item m="1" x="45"/>
        <item m="1" x="18"/>
        <item m="1" x="30"/>
        <item x="9"/>
        <item x="8"/>
        <item m="1" x="40"/>
        <item x="11"/>
        <item m="1" x="51"/>
        <item m="1" x="46"/>
        <item m="1" x="52"/>
        <item m="1" x="44"/>
        <item m="1" x="21"/>
        <item m="1" x="16"/>
        <item m="1" x="36"/>
        <item x="4"/>
        <item m="1" x="35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5">
    <i>
      <x v="1"/>
    </i>
    <i>
      <x v="8"/>
    </i>
    <i>
      <x v="11"/>
    </i>
    <i>
      <x v="14"/>
    </i>
    <i>
      <x v="17"/>
    </i>
    <i>
      <x v="18"/>
    </i>
    <i>
      <x v="24"/>
    </i>
    <i>
      <x v="29"/>
    </i>
    <i>
      <x v="35"/>
    </i>
    <i>
      <x v="40"/>
    </i>
    <i>
      <x v="44"/>
    </i>
    <i>
      <x v="45"/>
    </i>
    <i>
      <x v="47"/>
    </i>
    <i>
      <x v="5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5" totalsRowShown="0">
  <autoFilter ref="A1:D15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5">
    <sortCondition ref="C15"/>
  </sortState>
  <tableColumns count="4">
    <tableColumn id="1" xr3:uid="{8C17ECDF-4459-4994-A3F5-8E8FEDF92B6F}" name="TeamID"/>
    <tableColumn id="4" xr3:uid="{789F069E-DAF9-4B19-A6DB-107BA6995CE5}" name="Logo" dataDxfId="58"/>
    <tableColumn id="5" xr3:uid="{A9DA91BA-5529-4913-978B-19C8EF225B29}" name="TeamName" dataDxfId="57"/>
    <tableColumn id="2" xr3:uid="{AA4C8157-DB69-4779-8EEE-6F419B992D71}" name="PreSeasonElo" dataDxfId="5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19" totalsRowShown="0" headerRowDxfId="53" dataDxfId="52">
  <autoFilter ref="A1:AL519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1"/>
    <tableColumn id="21" xr3:uid="{D754AB95-C77C-4DD5-B1B9-A24A4FEE7279}" name="Season" dataDxfId="50"/>
    <tableColumn id="19" xr3:uid="{4C42B78B-6AFC-42C3-A5F4-3266E247C458}" name="GamesPlayed" dataDxfId="49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8"/>
    <tableColumn id="14" xr3:uid="{EFA83923-8CCA-4DC9-BC85-5D86949A45D9}" name="Round" dataDxfId="47"/>
    <tableColumn id="2" xr3:uid="{6E102E51-A49B-416B-8CD2-B93B2A4EA389}" name="Team" dataDxfId="46"/>
    <tableColumn id="3" xr3:uid="{19101345-1C34-4AF3-88E6-76A7F19B7FE6}" name="Opponent" dataDxfId="45"/>
    <tableColumn id="16" xr3:uid="{4CBCDF29-B095-48DF-8EF6-06DC7D78C844}" name="HomeAway" dataDxfId="44"/>
    <tableColumn id="32" xr3:uid="{E3FA53E3-DAD6-4BC2-969A-C53F4798E86D}" name="DaysOff" dataDxfId="43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2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1">
      <calculatedColumnFormula>Games[[#This Row],[DaysOff]]-Games[[#This Row],[OppDaysOff]]</calculatedColumnFormula>
    </tableColumn>
    <tableColumn id="35" xr3:uid="{3F2DB366-7372-41BA-8B0C-09F9BA7EA850}" name="OppRestDiff" dataDxfId="40">
      <calculatedColumnFormula>Games[[#This Row],[OppDaysOff]]-Games[[#This Row],[DaysOff]]</calculatedColumnFormula>
    </tableColumn>
    <tableColumn id="36" xr3:uid="{BDD0FD2C-608F-4CCC-867B-4481F0F4B802}" name="RestAdj" dataDxfId="39">
      <calculatedColumnFormula>MAX(-16, MIN(16, Games[[#This Row],[RestDiff]]*8))</calculatedColumnFormula>
    </tableColumn>
    <tableColumn id="37" xr3:uid="{5F89213A-4C28-428C-B766-3B05D4F530A5}" name="OppRestAdj" dataDxfId="38">
      <calculatedColumnFormula>MAX(-16, MIN(16, Games[[#This Row],[OppRestDiff]]*8))</calculatedColumnFormula>
    </tableColumn>
    <tableColumn id="4" xr3:uid="{68053CFA-948B-4F2C-A114-7C46ABD9EA33}" name="PreGmRate" dataDxfId="37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6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5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4"/>
    <tableColumn id="8" xr3:uid="{0CDDF0F9-2F1E-487C-96DD-90F70CE7DAFC}" name="PointsAgainst" dataDxfId="33"/>
    <tableColumn id="22" xr3:uid="{AB7B5B5C-5BAD-4213-990E-8EB9B177497C}" name="OT" dataDxfId="32"/>
    <tableColumn id="9" xr3:uid="{CE171F1D-5E5D-4800-A6DC-8F6DBD74C939}" name="MOV" dataDxfId="31">
      <calculatedColumnFormula>Games[[#This Row],[PointsFor]]-Games[[#This Row],[PointsAgainst]]</calculatedColumnFormula>
    </tableColumn>
    <tableColumn id="10" xr3:uid="{883A3911-25F6-4C39-9637-F1C42D6A1FC2}" name="Result" dataDxfId="30">
      <calculatedColumnFormula>IF(Games[[#This Row],[MOV]]&gt;0,1,IF(Games[[#This Row],[MOV]]=0,0.5,0))</calculatedColumnFormula>
    </tableColumn>
    <tableColumn id="15" xr3:uid="{00048431-5FD6-47EE-807E-5B63FD521193}" name="MOVMult" dataDxfId="29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8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7">
      <calculatedColumnFormula>MAX(kmin, kmax - 0.15 * MIN(Games[[#This Row],[GamesPlayed]], 82))</calculatedColumnFormula>
    </tableColumn>
    <tableColumn id="29" xr3:uid="{FBA5D644-15ED-4725-9E52-1D37FD0FAC64}" name="Keff" dataDxfId="26">
      <calculatedColumnFormula>Games[[#This Row],[K]]*Games[[#This Row],[POMult]]</calculatedColumnFormula>
    </tableColumn>
    <tableColumn id="11" xr3:uid="{309DAEBD-E62C-4090-89E9-A58FD32AB89B}" name="RatingChange" dataDxfId="25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4">
      <calculatedColumnFormula>Games[[#This Row],[PreGmRate]]+Games[[#This Row],[RatingChange]]</calculatedColumnFormula>
    </tableColumn>
    <tableColumn id="17" xr3:uid="{90B7BF87-E472-4474-A10D-555BD3BF8F04}" name="W" dataDxfId="23">
      <calculatedColumnFormula>IF(Games[[#This Row],[Type]]="R",IF(Games[[#This Row],[Result]]&gt;0.5,1,0),0)</calculatedColumnFormula>
    </tableColumn>
    <tableColumn id="18" xr3:uid="{29756EA1-783D-4C76-A7B8-F906AF0EC7E7}" name="L" dataDxfId="22">
      <calculatedColumnFormula>IF(Games[[#This Row],[Type]]="R",IF(Games[[#This Row],[Result]]&lt;0.5,1,0),0)</calculatedColumnFormula>
    </tableColumn>
    <tableColumn id="23" xr3:uid="{C253CFA7-28A4-4AE5-B131-DC1E8F2B73F8}" name="R1W" dataDxfId="21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0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9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8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7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6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5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4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7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88</v>
      </c>
      <c r="B2" s="8"/>
      <c r="C2" s="15" t="s">
        <v>89</v>
      </c>
      <c r="D2" s="13">
        <v>1500</v>
      </c>
      <c r="G2" t="s">
        <v>89</v>
      </c>
      <c r="H2" s="12">
        <v>1288.8888762440156</v>
      </c>
    </row>
    <row r="3" spans="1:8" x14ac:dyDescent="0.35">
      <c r="A3" t="s">
        <v>86</v>
      </c>
      <c r="B3" s="8"/>
      <c r="C3" s="15" t="s">
        <v>87</v>
      </c>
      <c r="D3" s="13">
        <v>1424.6472433443516</v>
      </c>
      <c r="G3" t="s">
        <v>87</v>
      </c>
      <c r="H3" s="12">
        <v>1425.6616807808737</v>
      </c>
    </row>
    <row r="4" spans="1:8" x14ac:dyDescent="0.35">
      <c r="A4" t="s">
        <v>85</v>
      </c>
      <c r="B4" s="8"/>
      <c r="C4" s="15" t="s">
        <v>84</v>
      </c>
      <c r="D4" s="13">
        <v>1556.097592027138</v>
      </c>
      <c r="G4" t="s">
        <v>84</v>
      </c>
      <c r="H4" s="12">
        <v>1551.1433939555254</v>
      </c>
    </row>
    <row r="5" spans="1:8" x14ac:dyDescent="0.35">
      <c r="A5" t="s">
        <v>74</v>
      </c>
      <c r="B5" s="8"/>
      <c r="C5" s="15" t="s">
        <v>75</v>
      </c>
      <c r="D5" s="13">
        <v>1597.8241967338902</v>
      </c>
      <c r="G5" t="s">
        <v>75</v>
      </c>
      <c r="H5" s="12">
        <v>1668.817246462655</v>
      </c>
    </row>
    <row r="6" spans="1:8" x14ac:dyDescent="0.35">
      <c r="A6" t="s">
        <v>2</v>
      </c>
      <c r="B6" s="8"/>
      <c r="C6" s="15" t="s">
        <v>65</v>
      </c>
      <c r="D6" s="13">
        <v>1452.2974246968972</v>
      </c>
      <c r="G6" t="s">
        <v>65</v>
      </c>
      <c r="H6" s="12">
        <v>1490.6927119816023</v>
      </c>
    </row>
    <row r="7" spans="1:8" x14ac:dyDescent="0.35">
      <c r="A7" t="s">
        <v>78</v>
      </c>
      <c r="B7" s="8"/>
      <c r="C7" s="15" t="s">
        <v>79</v>
      </c>
      <c r="D7" s="13">
        <v>1567.3006722354555</v>
      </c>
      <c r="G7" t="s">
        <v>79</v>
      </c>
      <c r="H7" s="12">
        <v>1500.0402050940038</v>
      </c>
    </row>
    <row r="8" spans="1:8" x14ac:dyDescent="0.35">
      <c r="A8" t="s">
        <v>69</v>
      </c>
      <c r="B8" s="8"/>
      <c r="C8" s="15" t="s">
        <v>70</v>
      </c>
      <c r="D8" s="13">
        <v>1367.4998872764891</v>
      </c>
      <c r="G8" t="s">
        <v>70</v>
      </c>
      <c r="H8" s="12">
        <v>1569.7113585408222</v>
      </c>
    </row>
    <row r="9" spans="1:8" x14ac:dyDescent="0.35">
      <c r="A9" t="s">
        <v>76</v>
      </c>
      <c r="B9" s="8"/>
      <c r="C9" s="15" t="s">
        <v>77</v>
      </c>
      <c r="D9" s="13">
        <v>1390.3474680613367</v>
      </c>
      <c r="G9" t="s">
        <v>77</v>
      </c>
      <c r="H9" s="12">
        <v>1479.0684035880174</v>
      </c>
    </row>
    <row r="10" spans="1:8" x14ac:dyDescent="0.35">
      <c r="A10" t="s">
        <v>66</v>
      </c>
      <c r="B10" s="8"/>
      <c r="C10" s="15" t="s">
        <v>67</v>
      </c>
      <c r="D10" s="13">
        <v>1468.9612651051496</v>
      </c>
      <c r="G10" t="s">
        <v>67</v>
      </c>
      <c r="H10" s="12">
        <v>1535.8517119571684</v>
      </c>
    </row>
    <row r="11" spans="1:8" x14ac:dyDescent="0.35">
      <c r="A11" t="s">
        <v>44</v>
      </c>
      <c r="B11" s="8"/>
      <c r="C11" s="15" t="s">
        <v>68</v>
      </c>
      <c r="D11" s="13">
        <v>1691.5269344620017</v>
      </c>
      <c r="G11" t="s">
        <v>68</v>
      </c>
      <c r="H11" s="12">
        <v>1521.8949589939832</v>
      </c>
    </row>
    <row r="12" spans="1:8" x14ac:dyDescent="0.35">
      <c r="A12" t="s">
        <v>45</v>
      </c>
      <c r="B12" s="8"/>
      <c r="C12" s="15" t="s">
        <v>71</v>
      </c>
      <c r="D12" s="13">
        <v>1528.0185269447643</v>
      </c>
      <c r="G12" t="s">
        <v>71</v>
      </c>
      <c r="H12" s="12">
        <v>1525.6723536247846</v>
      </c>
    </row>
    <row r="13" spans="1:8" x14ac:dyDescent="0.35">
      <c r="A13" t="s">
        <v>83</v>
      </c>
      <c r="B13" s="8"/>
      <c r="C13" s="15" t="s">
        <v>82</v>
      </c>
      <c r="D13" s="13">
        <v>1512.9737114764548</v>
      </c>
      <c r="G13" t="s">
        <v>82</v>
      </c>
      <c r="H13" s="12">
        <v>1570.9622863170709</v>
      </c>
    </row>
    <row r="14" spans="1:8" x14ac:dyDescent="0.35">
      <c r="A14" t="s">
        <v>80</v>
      </c>
      <c r="B14" s="8"/>
      <c r="C14" s="15" t="s">
        <v>81</v>
      </c>
      <c r="D14" s="13">
        <v>1495.4233724993865</v>
      </c>
      <c r="G14" t="s">
        <v>81</v>
      </c>
      <c r="H14" s="12">
        <v>1557.8475698479335</v>
      </c>
    </row>
    <row r="15" spans="1:8" x14ac:dyDescent="0.35">
      <c r="A15" t="s">
        <v>72</v>
      </c>
      <c r="B15" s="8"/>
      <c r="C15" s="15" t="s">
        <v>73</v>
      </c>
      <c r="D15" s="13">
        <v>1498.4387295062393</v>
      </c>
      <c r="G15" t="s">
        <v>73</v>
      </c>
      <c r="H15" s="12">
        <v>1339.4417599617552</v>
      </c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8"/>
      <c r="D25" s="13"/>
    </row>
    <row r="26" spans="2:4" x14ac:dyDescent="0.35">
      <c r="B26" s="8"/>
      <c r="C26" s="8"/>
      <c r="D26" s="13"/>
    </row>
    <row r="27" spans="2:4" x14ac:dyDescent="0.35">
      <c r="B27" s="8"/>
      <c r="C27" s="8"/>
      <c r="D27" s="13"/>
    </row>
  </sheetData>
  <sortState xmlns:xlrd2="http://schemas.microsoft.com/office/spreadsheetml/2017/richdata2" ref="G2:H15">
    <sortCondition ref="G2:G1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8"/>
  <sheetViews>
    <sheetView workbookViewId="0"/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5">_xlfn.SORTBY(A25:H38,G25:G38,-1)</f>
        <v>DET</v>
      </c>
      <c r="B2">
        <v>0</v>
      </c>
      <c r="C2" t="str">
        <v>Detroit Shock</v>
      </c>
      <c r="D2" s="1">
        <v>22</v>
      </c>
      <c r="E2" s="1">
        <v>12</v>
      </c>
      <c r="F2" s="3">
        <v>0.6470588235294118</v>
      </c>
      <c r="G2" s="9">
        <v>1668.817246462655</v>
      </c>
      <c r="H2" s="1">
        <v>39726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0</v>
      </c>
      <c r="AP2" s="1">
        <f>_xlfn.XLOOKUP($AK2,StandingsPivot!$A$4:$A$33,StandingsPivot!F$4:F$33)</f>
        <v>0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0</v>
      </c>
      <c r="AW2" s="1">
        <f t="shared" ref="AW2:AW5" si="1">SUM(AO2,AQ2,AS2,AU2)</f>
        <v>0</v>
      </c>
      <c r="AX2" s="4" cm="1">
        <f t="array" ref="AX2">_xlfn.IFNA(INDEX(Games[PostGmRate], MATCH(1, (Games[Team]=AK2)*(Games[Date]=AY2), 0)),0)</f>
        <v>1490.6927119816023</v>
      </c>
      <c r="AY2" s="1">
        <f>_xlfn.MAXIFS(Games[Date], Games[Team], AK2)</f>
        <v>39706</v>
      </c>
      <c r="AZ2">
        <f t="shared" ref="AZ2:AZ5" si="2">SUM(AV2:AW2)</f>
        <v>0</v>
      </c>
    </row>
    <row r="3" spans="1:68" x14ac:dyDescent="0.35">
      <c r="A3" t="str">
        <v>SAS</v>
      </c>
      <c r="B3">
        <v>0</v>
      </c>
      <c r="C3" t="str">
        <v>San Antonio Silver Stars</v>
      </c>
      <c r="D3" s="1">
        <v>24</v>
      </c>
      <c r="E3" s="1">
        <v>10</v>
      </c>
      <c r="F3" s="3">
        <v>0.70588235294117652</v>
      </c>
      <c r="G3" s="9">
        <v>1570.9622863170709</v>
      </c>
      <c r="H3" s="1">
        <v>39726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2</v>
      </c>
      <c r="AO3" s="1">
        <f>_xlfn.XLOOKUP($AK3,StandingsPivot!$A$4:$A$33,StandingsPivot!E$4:E$33)</f>
        <v>1</v>
      </c>
      <c r="AP3" s="1">
        <f>_xlfn.XLOOKUP($AK3,StandingsPivot!$A$4:$A$33,StandingsPivot!F$4:F$33)</f>
        <v>1</v>
      </c>
      <c r="AQ3" s="1">
        <f>_xlfn.XLOOKUP($AK3,StandingsPivot!$A$4:$A$33,StandingsPivot!G$4:G$33)</f>
        <v>2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3</v>
      </c>
      <c r="AW3" s="1">
        <f t="shared" si="1"/>
        <v>3</v>
      </c>
      <c r="AX3" s="4" cm="1">
        <f t="array" ref="AX3">_xlfn.IFNA(INDEX(Games[PostGmRate], MATCH(1, (Games[Team]=AK3)*(Games[Date]=AY3), 0)),0)</f>
        <v>1535.8517119571684</v>
      </c>
      <c r="AY3" s="1">
        <f>_xlfn.MAXIFS(Games[Date], Games[Team], AK3)</f>
        <v>39720</v>
      </c>
      <c r="AZ3">
        <f t="shared" si="2"/>
        <v>6</v>
      </c>
    </row>
    <row r="4" spans="1:68" x14ac:dyDescent="0.35">
      <c r="A4" t="str">
        <v>LAS</v>
      </c>
      <c r="B4">
        <v>0</v>
      </c>
      <c r="C4" t="str">
        <v>Los Angeles Sparks</v>
      </c>
      <c r="D4" s="1">
        <v>20</v>
      </c>
      <c r="E4" s="1">
        <v>14</v>
      </c>
      <c r="F4" s="3">
        <v>0.58823529411764708</v>
      </c>
      <c r="G4" s="9">
        <v>1569.7113585408222</v>
      </c>
      <c r="H4" s="1">
        <v>39719</v>
      </c>
      <c r="O4" s="4"/>
      <c r="P4" s="4"/>
      <c r="Q4" s="1"/>
      <c r="AK4" t="s">
        <v>64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SEA</v>
      </c>
      <c r="B5">
        <v>0</v>
      </c>
      <c r="C5" t="str">
        <v>Seattle Storm</v>
      </c>
      <c r="D5" s="1">
        <v>22</v>
      </c>
      <c r="E5" s="1">
        <v>12</v>
      </c>
      <c r="F5" s="3">
        <v>0.6470588235294118</v>
      </c>
      <c r="G5" s="9">
        <v>1557.8475698479335</v>
      </c>
      <c r="H5" s="1">
        <v>39714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CON</v>
      </c>
      <c r="B6">
        <v>0</v>
      </c>
      <c r="C6" t="str">
        <v>Connecticut Sun</v>
      </c>
      <c r="D6" s="1">
        <v>21</v>
      </c>
      <c r="E6" s="1">
        <v>13</v>
      </c>
      <c r="F6" s="3">
        <v>0.61764705882352944</v>
      </c>
      <c r="G6" s="9">
        <v>1551.1433939555254</v>
      </c>
      <c r="H6" s="1">
        <v>39713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1521.8949589939832</v>
      </c>
      <c r="AY6" s="1">
        <f>_xlfn.MAXIFS(Games[Date], Games[Team], AK6)</f>
        <v>39705</v>
      </c>
      <c r="AZ6">
        <f>SUM(AV6:AW6)</f>
        <v>0</v>
      </c>
      <c r="BO6" s="4"/>
      <c r="BP6" s="1"/>
    </row>
    <row r="7" spans="1:68" x14ac:dyDescent="0.35">
      <c r="A7" t="str">
        <v>NYL</v>
      </c>
      <c r="B7">
        <v>0</v>
      </c>
      <c r="C7" t="str">
        <v>New York Liberty</v>
      </c>
      <c r="D7" s="1">
        <v>19</v>
      </c>
      <c r="E7" s="1">
        <v>15</v>
      </c>
      <c r="F7" s="3">
        <v>0.55882352941176472</v>
      </c>
      <c r="G7" s="9">
        <v>1535.8517119571684</v>
      </c>
      <c r="H7" s="1">
        <v>39720</v>
      </c>
      <c r="AK7" t="s">
        <v>69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2</v>
      </c>
      <c r="AO7" s="1">
        <f>_xlfn.XLOOKUP($AK7,StandingsPivot!$A$4:$A$33,StandingsPivot!E$4:E$33)</f>
        <v>1</v>
      </c>
      <c r="AP7" s="1">
        <f>_xlfn.XLOOKUP($AK7,StandingsPivot!$A$4:$A$33,StandingsPivot!F$4:F$33)</f>
        <v>1</v>
      </c>
      <c r="AQ7" s="1">
        <f>_xlfn.XLOOKUP($AK7,StandingsPivot!$A$4:$A$33,StandingsPivot!G$4:G$33)</f>
        <v>2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3</v>
      </c>
      <c r="AW7" s="1">
        <f t="shared" si="3"/>
        <v>3</v>
      </c>
      <c r="AX7" s="4" cm="1">
        <f t="array" ref="AX7">_xlfn.IFNA(INDEX(Games[PostGmRate], MATCH(1, (Games[Team]=AK7)*(Games[Date]=AY7), 0)),0)</f>
        <v>1569.7113585408222</v>
      </c>
      <c r="AY7" s="1">
        <f>_xlfn.MAXIFS(Games[Date], Games[Team], AK7)</f>
        <v>39719</v>
      </c>
      <c r="AZ7">
        <f>SUM(AV7:AW7)</f>
        <v>6</v>
      </c>
      <c r="BO7" s="4"/>
      <c r="BP7" s="1"/>
    </row>
    <row r="8" spans="1:68" x14ac:dyDescent="0.35">
      <c r="A8" t="str">
        <v>SAC</v>
      </c>
      <c r="B8">
        <v>0</v>
      </c>
      <c r="C8" t="str">
        <v>Sacramento Monarchs</v>
      </c>
      <c r="D8" s="1">
        <v>18</v>
      </c>
      <c r="E8" s="1">
        <v>16</v>
      </c>
      <c r="F8" s="3">
        <v>0.52941176470588236</v>
      </c>
      <c r="G8" s="9">
        <v>1525.6723536247846</v>
      </c>
      <c r="H8" s="1">
        <v>39713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1</v>
      </c>
      <c r="AO8" s="1">
        <f>_xlfn.XLOOKUP($AK8,StandingsPivot!$A$4:$A$33,StandingsPivot!E$4:E$33)</f>
        <v>2</v>
      </c>
      <c r="AP8" s="1">
        <f>_xlfn.XLOOKUP($AK8,StandingsPivot!$A$4:$A$33,StandingsPivot!F$4:F$33)</f>
        <v>0</v>
      </c>
      <c r="AQ8" s="1">
        <f>_xlfn.XLOOKUP($AK8,StandingsPivot!$A$4:$A$33,StandingsPivot!G$4:G$33)</f>
        <v>0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1</v>
      </c>
      <c r="AW8" s="1">
        <f t="shared" si="3"/>
        <v>2</v>
      </c>
      <c r="AX8" s="4" cm="1">
        <f t="array" ref="AX8">_xlfn.IFNA(INDEX(Games[PostGmRate], MATCH(1, (Games[Team]=AK8)*(Games[Date]=AY8), 0)),0)</f>
        <v>1525.6723536247846</v>
      </c>
      <c r="AY8" s="1">
        <f>_xlfn.MAXIFS(Games[Date], Games[Team], AK8)</f>
        <v>39713</v>
      </c>
      <c r="AZ8">
        <f>SUM(AV8:AW8)</f>
        <v>3</v>
      </c>
      <c r="BO8" s="4"/>
      <c r="BP8" s="1"/>
    </row>
    <row r="9" spans="1:68" x14ac:dyDescent="0.35">
      <c r="A9" t="str">
        <v>PHX</v>
      </c>
      <c r="B9">
        <v>0</v>
      </c>
      <c r="C9" t="str">
        <v>Phoenix Mercury</v>
      </c>
      <c r="D9" s="1">
        <v>16</v>
      </c>
      <c r="E9" s="1">
        <v>18</v>
      </c>
      <c r="F9" s="3">
        <v>0.47058823529411764</v>
      </c>
      <c r="G9" s="9">
        <v>1521.8949589939832</v>
      </c>
      <c r="H9" s="1">
        <v>39705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IND</v>
      </c>
      <c r="B10">
        <v>0</v>
      </c>
      <c r="C10" t="str">
        <v>Indiana Fever</v>
      </c>
      <c r="D10" s="1">
        <v>17</v>
      </c>
      <c r="E10" s="1">
        <v>17</v>
      </c>
      <c r="F10" s="3">
        <v>0.5</v>
      </c>
      <c r="G10" s="9">
        <v>1500.0402050940038</v>
      </c>
      <c r="H10" s="1">
        <v>39714</v>
      </c>
      <c r="O10" s="3"/>
      <c r="P10" s="4"/>
      <c r="Q10" s="1"/>
      <c r="AX10" s="4"/>
      <c r="BO10" s="4"/>
      <c r="BP10" s="1"/>
    </row>
    <row r="11" spans="1:68" x14ac:dyDescent="0.35">
      <c r="A11" t="str">
        <v>HOU</v>
      </c>
      <c r="B11">
        <v>0</v>
      </c>
      <c r="C11" t="str">
        <v>Houston Comets</v>
      </c>
      <c r="D11" s="1">
        <v>17</v>
      </c>
      <c r="E11" s="1">
        <v>17</v>
      </c>
      <c r="F11" s="3">
        <v>0.5</v>
      </c>
      <c r="G11" s="9">
        <v>1490.6927119816023</v>
      </c>
      <c r="H11" s="1">
        <v>39706</v>
      </c>
      <c r="O11" s="3"/>
      <c r="P11" s="4"/>
      <c r="Q11" s="1"/>
      <c r="AX11" s="4"/>
      <c r="BO11" s="4"/>
      <c r="BP11" s="1"/>
    </row>
    <row r="12" spans="1:68" x14ac:dyDescent="0.35">
      <c r="A12" t="str">
        <v>MIN</v>
      </c>
      <c r="B12">
        <v>0</v>
      </c>
      <c r="C12" t="str">
        <v>Minnesota Lynx</v>
      </c>
      <c r="D12" s="1">
        <v>16</v>
      </c>
      <c r="E12" s="1">
        <v>18</v>
      </c>
      <c r="F12" s="3">
        <v>0.47058823529411764</v>
      </c>
      <c r="G12" s="9">
        <v>1479.0684035880174</v>
      </c>
      <c r="H12" s="1">
        <v>39705</v>
      </c>
      <c r="O12" s="3"/>
      <c r="P12" s="4"/>
      <c r="Q12" s="1"/>
      <c r="AX12" s="4"/>
      <c r="BO12" s="4"/>
      <c r="BP12" s="1"/>
    </row>
    <row r="13" spans="1:68" x14ac:dyDescent="0.35">
      <c r="A13" t="str">
        <v>CHI</v>
      </c>
      <c r="B13">
        <v>0</v>
      </c>
      <c r="C13" t="str">
        <v>Chicago Sky</v>
      </c>
      <c r="D13" s="1">
        <v>12</v>
      </c>
      <c r="E13" s="1">
        <v>22</v>
      </c>
      <c r="F13" s="3">
        <v>0.35294117647058826</v>
      </c>
      <c r="G13" s="9">
        <v>1425.6616807808737</v>
      </c>
      <c r="H13" s="1">
        <v>39705</v>
      </c>
      <c r="AX13" s="4"/>
      <c r="BO13" s="4"/>
      <c r="BP13" s="1"/>
    </row>
    <row r="14" spans="1:68" x14ac:dyDescent="0.35">
      <c r="A14" t="str">
        <v>WAS</v>
      </c>
      <c r="B14">
        <v>0</v>
      </c>
      <c r="C14" t="str">
        <v>Washington Mystics</v>
      </c>
      <c r="D14" s="1">
        <v>10</v>
      </c>
      <c r="E14" s="1">
        <v>24</v>
      </c>
      <c r="F14" s="3">
        <v>0.29411764705882354</v>
      </c>
      <c r="G14" s="9">
        <v>1339.4417599617552</v>
      </c>
      <c r="H14" s="1">
        <v>39705</v>
      </c>
      <c r="O14" s="3"/>
      <c r="P14" s="4"/>
      <c r="Q14" s="1"/>
      <c r="AX14" s="4"/>
      <c r="BO14" s="4"/>
      <c r="BP14" s="1"/>
    </row>
    <row r="15" spans="1:68" x14ac:dyDescent="0.35">
      <c r="A15" t="str">
        <v>ATL</v>
      </c>
      <c r="B15">
        <v>0</v>
      </c>
      <c r="C15" t="str">
        <v>Atlanta Dream</v>
      </c>
      <c r="D15" s="1">
        <v>4</v>
      </c>
      <c r="E15" s="1">
        <v>30</v>
      </c>
      <c r="F15" s="3">
        <v>0.11764705882352941</v>
      </c>
      <c r="G15" s="9">
        <v>1288.8888762440156</v>
      </c>
      <c r="H15" s="1">
        <v>39703</v>
      </c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88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4</v>
      </c>
      <c r="E25" s="1">
        <f>_xlfn.XLOOKUP($A25,StandingsPivot!$A$4:$A$35,StandingsPivot!C$4:C$35)</f>
        <v>30</v>
      </c>
      <c r="F25" s="3">
        <f>(D25)/(D25+E25)</f>
        <v>0.11764705882352941</v>
      </c>
      <c r="G25" s="9" cm="1">
        <f t="array" ref="G25">INDEX(Games[PostGmRate], MATCH(1, (Games[Team]=A25)*(Games[Date]=H25), 0))</f>
        <v>1288.8888762440156</v>
      </c>
      <c r="H25" s="1">
        <f>_xlfn.MAXIFS(Games[Date], Games[Team], A25)</f>
        <v>39703</v>
      </c>
      <c r="AR25" s="3"/>
      <c r="AS25" s="4"/>
      <c r="BD25" s="1"/>
      <c r="BG25" s="3"/>
      <c r="BH25" s="4"/>
    </row>
    <row r="26" spans="1:60" x14ac:dyDescent="0.35">
      <c r="A26" t="s">
        <v>86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12</v>
      </c>
      <c r="E26" s="1">
        <f>_xlfn.XLOOKUP($A26,StandingsPivot!$A$4:$A$35,StandingsPivot!C$4:C$35)</f>
        <v>22</v>
      </c>
      <c r="F26" s="3">
        <f>(D26)/(D26+E26)</f>
        <v>0.35294117647058826</v>
      </c>
      <c r="G26" s="9" cm="1">
        <f t="array" ref="G26">INDEX(Games[PostGmRate], MATCH(1, (Games[Team]=A26)*(Games[Date]=H26), 0))</f>
        <v>1425.6616807808737</v>
      </c>
      <c r="H26" s="1">
        <f>_xlfn.MAXIFS(Games[Date], Games[Team], A26)</f>
        <v>39705</v>
      </c>
      <c r="AR26" s="3"/>
      <c r="AS26" s="4"/>
      <c r="BD26" s="1"/>
      <c r="BG26" s="3"/>
      <c r="BH26" s="4"/>
    </row>
    <row r="27" spans="1:60" x14ac:dyDescent="0.35">
      <c r="A27" t="s">
        <v>85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21</v>
      </c>
      <c r="E27" s="1">
        <f>_xlfn.XLOOKUP($A27,StandingsPivot!$A$4:$A$35,StandingsPivot!C$4:C$35)</f>
        <v>13</v>
      </c>
      <c r="F27" s="3">
        <f>(D27)/(D27+E27)</f>
        <v>0.61764705882352944</v>
      </c>
      <c r="G27" s="9" cm="1">
        <f t="array" ref="G27">INDEX(Games[PostGmRate], MATCH(1, (Games[Team]=A27)*(Games[Date]=H27), 0))</f>
        <v>1551.1433939555254</v>
      </c>
      <c r="H27" s="1">
        <f>_xlfn.MAXIFS(Games[Date], Games[Team], A27)</f>
        <v>39713</v>
      </c>
      <c r="AR27" s="3"/>
      <c r="AS27" s="4"/>
      <c r="BD27" s="1"/>
      <c r="BG27" s="3"/>
      <c r="BH27" s="4"/>
    </row>
    <row r="28" spans="1:60" x14ac:dyDescent="0.35">
      <c r="A28" t="s">
        <v>74</v>
      </c>
      <c r="B28">
        <f>_xlfn.XLOOKUP(A28,ConfDiv[TeamID],ConfDiv[Logo])</f>
        <v>0</v>
      </c>
      <c r="C28" t="str">
        <f>_xlfn.XLOOKUP(A28,ConfDiv[TeamID],ConfDiv[TeamName])</f>
        <v>Detroit Shock</v>
      </c>
      <c r="D28" s="1">
        <f>_xlfn.XLOOKUP($A28,StandingsPivot!$A$4:$A$35,StandingsPivot!B$4:B$35)</f>
        <v>22</v>
      </c>
      <c r="E28" s="1">
        <f>_xlfn.XLOOKUP($A28,StandingsPivot!$A$4:$A$35,StandingsPivot!C$4:C$35)</f>
        <v>12</v>
      </c>
      <c r="F28" s="3">
        <f>(D28)/(D28+E28)</f>
        <v>0.6470588235294118</v>
      </c>
      <c r="G28" s="9" cm="1">
        <f t="array" ref="G28">INDEX(Games[PostGmRate], MATCH(1, (Games[Team]=A28)*(Games[Date]=H28), 0))</f>
        <v>1668.817246462655</v>
      </c>
      <c r="H28" s="1">
        <f>_xlfn.MAXIFS(Games[Date], Games[Team], A28)</f>
        <v>39726</v>
      </c>
      <c r="AR28" s="3"/>
      <c r="AS28" s="4"/>
      <c r="BD28" s="1"/>
      <c r="BG28" s="3"/>
      <c r="BH28" s="4"/>
    </row>
    <row r="29" spans="1:60" x14ac:dyDescent="0.35">
      <c r="A29" t="s">
        <v>2</v>
      </c>
      <c r="B29">
        <f>_xlfn.XLOOKUP(A29,ConfDiv[TeamID],ConfDiv[Logo])</f>
        <v>0</v>
      </c>
      <c r="C29" t="str">
        <f>_xlfn.XLOOKUP(A29,ConfDiv[TeamID],ConfDiv[TeamName])</f>
        <v>Houston Comets</v>
      </c>
      <c r="D29" s="1">
        <f>_xlfn.XLOOKUP($A29,StandingsPivot!$A$4:$A$35,StandingsPivot!B$4:B$35)</f>
        <v>17</v>
      </c>
      <c r="E29" s="1">
        <f>_xlfn.XLOOKUP($A29,StandingsPivot!$A$4:$A$35,StandingsPivot!C$4:C$35)</f>
        <v>17</v>
      </c>
      <c r="F29" s="3">
        <f>(D29)/(D29+E29)</f>
        <v>0.5</v>
      </c>
      <c r="G29" s="9" cm="1">
        <f t="array" ref="G29">INDEX(Games[PostGmRate], MATCH(1, (Games[Team]=A29)*(Games[Date]=H29), 0))</f>
        <v>1490.6927119816023</v>
      </c>
      <c r="H29" s="1">
        <f>_xlfn.MAXIFS(Games[Date], Games[Team], A29)</f>
        <v>39706</v>
      </c>
      <c r="AR29" s="3"/>
      <c r="AS29" s="4"/>
      <c r="BD29" s="1"/>
      <c r="BG29" s="3"/>
      <c r="BH29" s="4"/>
    </row>
    <row r="30" spans="1:60" x14ac:dyDescent="0.35">
      <c r="A30" t="s">
        <v>78</v>
      </c>
      <c r="B30">
        <f>_xlfn.XLOOKUP(A30,ConfDiv[TeamID],ConfDiv[Logo])</f>
        <v>0</v>
      </c>
      <c r="C30" t="str">
        <f>_xlfn.XLOOKUP(A30,ConfDiv[TeamID],ConfDiv[TeamName])</f>
        <v>Indiana Fever</v>
      </c>
      <c r="D30" s="1">
        <f>_xlfn.XLOOKUP($A30,StandingsPivot!$A$4:$A$35,StandingsPivot!B$4:B$35)</f>
        <v>17</v>
      </c>
      <c r="E30" s="1">
        <f>_xlfn.XLOOKUP($A30,StandingsPivot!$A$4:$A$35,StandingsPivot!C$4:C$35)</f>
        <v>17</v>
      </c>
      <c r="F30" s="3">
        <f>(D30)/(D30+E30)</f>
        <v>0.5</v>
      </c>
      <c r="G30" s="9" cm="1">
        <f t="array" ref="G30">INDEX(Games[PostGmRate], MATCH(1, (Games[Team]=A30)*(Games[Date]=H30), 0))</f>
        <v>1500.0402050940038</v>
      </c>
      <c r="H30" s="1">
        <f>_xlfn.MAXIFS(Games[Date], Games[Team], A30)</f>
        <v>39714</v>
      </c>
      <c r="AR30" s="3"/>
      <c r="AS30" s="4"/>
      <c r="BD30" s="1"/>
      <c r="BG30" s="3"/>
      <c r="BH30" s="4"/>
    </row>
    <row r="31" spans="1:60" x14ac:dyDescent="0.35">
      <c r="A31" t="s">
        <v>69</v>
      </c>
      <c r="B31">
        <f>_xlfn.XLOOKUP(A31,ConfDiv[TeamID],ConfDiv[Logo])</f>
        <v>0</v>
      </c>
      <c r="C31" t="str">
        <f>_xlfn.XLOOKUP(A31,ConfDiv[TeamID],ConfDiv[TeamName])</f>
        <v>Los Angeles Sparks</v>
      </c>
      <c r="D31" s="1">
        <f>_xlfn.XLOOKUP($A31,StandingsPivot!$A$4:$A$35,StandingsPivot!B$4:B$35)</f>
        <v>20</v>
      </c>
      <c r="E31" s="1">
        <f>_xlfn.XLOOKUP($A31,StandingsPivot!$A$4:$A$35,StandingsPivot!C$4:C$35)</f>
        <v>14</v>
      </c>
      <c r="F31" s="3">
        <f>(D31)/(D31+E31)</f>
        <v>0.58823529411764708</v>
      </c>
      <c r="G31" s="9" cm="1">
        <f t="array" ref="G31">INDEX(Games[PostGmRate], MATCH(1, (Games[Team]=A31)*(Games[Date]=H31), 0))</f>
        <v>1569.7113585408222</v>
      </c>
      <c r="H31" s="1">
        <f>_xlfn.MAXIFS(Games[Date], Games[Team], A31)</f>
        <v>39719</v>
      </c>
      <c r="AR31" s="3"/>
      <c r="AS31" s="4"/>
      <c r="BD31" s="1"/>
      <c r="BG31" s="3"/>
      <c r="BH31" s="4"/>
    </row>
    <row r="32" spans="1:60" x14ac:dyDescent="0.35">
      <c r="A32" t="s">
        <v>76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16</v>
      </c>
      <c r="E32" s="1">
        <f>_xlfn.XLOOKUP($A32,StandingsPivot!$A$4:$A$35,StandingsPivot!C$4:C$35)</f>
        <v>18</v>
      </c>
      <c r="F32" s="3">
        <f>(D32)/(D32+E32)</f>
        <v>0.47058823529411764</v>
      </c>
      <c r="G32" s="9" cm="1">
        <f t="array" ref="G32">INDEX(Games[PostGmRate], MATCH(1, (Games[Team]=A32)*(Games[Date]=H32), 0))</f>
        <v>1479.0684035880174</v>
      </c>
      <c r="H32" s="1">
        <f>_xlfn.MAXIFS(Games[Date], Games[Team], A32)</f>
        <v>39705</v>
      </c>
      <c r="AR32" s="3"/>
      <c r="AS32" s="4"/>
      <c r="BD32" s="1"/>
      <c r="BG32" s="3"/>
      <c r="BH32" s="4"/>
    </row>
    <row r="33" spans="1:8" x14ac:dyDescent="0.35">
      <c r="A33" t="s">
        <v>66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19</v>
      </c>
      <c r="E33" s="1">
        <f>_xlfn.XLOOKUP($A33,StandingsPivot!$A$4:$A$35,StandingsPivot!C$4:C$35)</f>
        <v>15</v>
      </c>
      <c r="F33" s="3">
        <f>(D33)/(D33+E33)</f>
        <v>0.55882352941176472</v>
      </c>
      <c r="G33" s="9" cm="1">
        <f t="array" ref="G33">INDEX(Games[PostGmRate], MATCH(1, (Games[Team]=A33)*(Games[Date]=H33), 0))</f>
        <v>1535.8517119571684</v>
      </c>
      <c r="H33" s="1">
        <f>_xlfn.MAXIFS(Games[Date], Games[Team], A33)</f>
        <v>39720</v>
      </c>
    </row>
    <row r="34" spans="1:8" x14ac:dyDescent="0.35">
      <c r="A34" t="s">
        <v>44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16</v>
      </c>
      <c r="E34" s="1">
        <f>_xlfn.XLOOKUP($A34,StandingsPivot!$A$4:$A$35,StandingsPivot!C$4:C$35)</f>
        <v>18</v>
      </c>
      <c r="F34" s="3">
        <f>(D34)/(D34+E34)</f>
        <v>0.47058823529411764</v>
      </c>
      <c r="G34" s="9" cm="1">
        <f t="array" ref="G34">INDEX(Games[PostGmRate], MATCH(1, (Games[Team]=A34)*(Games[Date]=H34), 0))</f>
        <v>1521.8949589939832</v>
      </c>
      <c r="H34" s="1">
        <f>_xlfn.MAXIFS(Games[Date], Games[Team], A34)</f>
        <v>39705</v>
      </c>
    </row>
    <row r="35" spans="1:8" x14ac:dyDescent="0.35">
      <c r="A35" t="s">
        <v>45</v>
      </c>
      <c r="B35">
        <f>_xlfn.XLOOKUP(A35,ConfDiv[TeamID],ConfDiv[Logo])</f>
        <v>0</v>
      </c>
      <c r="C35" t="str">
        <f>_xlfn.XLOOKUP(A35,ConfDiv[TeamID],ConfDiv[TeamName])</f>
        <v>Sacramento Monarchs</v>
      </c>
      <c r="D35" s="1">
        <f>_xlfn.XLOOKUP($A35,StandingsPivot!$A$4:$A$35,StandingsPivot!B$4:B$35)</f>
        <v>18</v>
      </c>
      <c r="E35" s="1">
        <f>_xlfn.XLOOKUP($A35,StandingsPivot!$A$4:$A$35,StandingsPivot!C$4:C$35)</f>
        <v>16</v>
      </c>
      <c r="F35" s="3">
        <f>(D35)/(D35+E35)</f>
        <v>0.52941176470588236</v>
      </c>
      <c r="G35" s="9" cm="1">
        <f t="array" ref="G35">INDEX(Games[PostGmRate], MATCH(1, (Games[Team]=A35)*(Games[Date]=H35), 0))</f>
        <v>1525.6723536247846</v>
      </c>
      <c r="H35" s="1">
        <f>_xlfn.MAXIFS(Games[Date], Games[Team], A35)</f>
        <v>39713</v>
      </c>
    </row>
    <row r="36" spans="1:8" x14ac:dyDescent="0.35">
      <c r="A36" t="s">
        <v>83</v>
      </c>
      <c r="B36">
        <f>_xlfn.XLOOKUP(A36,ConfDiv[TeamID],ConfDiv[Logo])</f>
        <v>0</v>
      </c>
      <c r="C36" t="str">
        <f>_xlfn.XLOOKUP(A36,ConfDiv[TeamID],ConfDiv[TeamName])</f>
        <v>San Antonio Silver Stars</v>
      </c>
      <c r="D36" s="1">
        <f>_xlfn.XLOOKUP($A36,StandingsPivot!$A$4:$A$35,StandingsPivot!B$4:B$35)</f>
        <v>24</v>
      </c>
      <c r="E36" s="1">
        <f>_xlfn.XLOOKUP($A36,StandingsPivot!$A$4:$A$35,StandingsPivot!C$4:C$35)</f>
        <v>10</v>
      </c>
      <c r="F36" s="3">
        <f>(D36)/(D36+E36)</f>
        <v>0.70588235294117652</v>
      </c>
      <c r="G36" s="9" cm="1">
        <f t="array" ref="G36">INDEX(Games[PostGmRate], MATCH(1, (Games[Team]=A36)*(Games[Date]=H36), 0))</f>
        <v>1570.9622863170709</v>
      </c>
      <c r="H36" s="1">
        <f>_xlfn.MAXIFS(Games[Date], Games[Team], A36)</f>
        <v>39726</v>
      </c>
    </row>
    <row r="37" spans="1:8" x14ac:dyDescent="0.35">
      <c r="A37" t="s">
        <v>80</v>
      </c>
      <c r="B37">
        <f>_xlfn.XLOOKUP(A37,ConfDiv[TeamID],ConfDiv[Logo])</f>
        <v>0</v>
      </c>
      <c r="C37" t="str">
        <f>_xlfn.XLOOKUP(A37,ConfDiv[TeamID],ConfDiv[TeamName])</f>
        <v>Seattle Storm</v>
      </c>
      <c r="D37" s="1">
        <f>_xlfn.XLOOKUP($A37,StandingsPivot!$A$4:$A$35,StandingsPivot!B$4:B$35)</f>
        <v>22</v>
      </c>
      <c r="E37" s="1">
        <f>_xlfn.XLOOKUP($A37,StandingsPivot!$A$4:$A$35,StandingsPivot!C$4:C$35)</f>
        <v>12</v>
      </c>
      <c r="F37" s="3">
        <f>(D37)/(D37+E37)</f>
        <v>0.6470588235294118</v>
      </c>
      <c r="G37" s="9" cm="1">
        <f t="array" ref="G37">INDEX(Games[PostGmRate], MATCH(1, (Games[Team]=A37)*(Games[Date]=H37), 0))</f>
        <v>1557.8475698479335</v>
      </c>
      <c r="H37" s="1">
        <f>_xlfn.MAXIFS(Games[Date], Games[Team], A37)</f>
        <v>39714</v>
      </c>
    </row>
    <row r="38" spans="1:8" x14ac:dyDescent="0.35">
      <c r="A38" t="s">
        <v>72</v>
      </c>
      <c r="B38">
        <f>_xlfn.XLOOKUP(A38,ConfDiv[TeamID],ConfDiv[Logo])</f>
        <v>0</v>
      </c>
      <c r="C38" t="str">
        <f>_xlfn.XLOOKUP(A38,ConfDiv[TeamID],ConfDiv[TeamName])</f>
        <v>Washington Mystics</v>
      </c>
      <c r="D38" s="1">
        <f>_xlfn.XLOOKUP($A38,StandingsPivot!$A$4:$A$35,StandingsPivot!B$4:B$35)</f>
        <v>10</v>
      </c>
      <c r="E38" s="1">
        <f>_xlfn.XLOOKUP($A38,StandingsPivot!$A$4:$A$35,StandingsPivot!C$4:C$35)</f>
        <v>24</v>
      </c>
      <c r="F38" s="3">
        <f>(D38)/(D38+E38)</f>
        <v>0.29411764705882354</v>
      </c>
      <c r="G38" s="9" cm="1">
        <f t="array" ref="G38">INDEX(Games[PostGmRate], MATCH(1, (Games[Team]=A38)*(Games[Date]=H38), 0))</f>
        <v>1339.4417599617552</v>
      </c>
      <c r="H38" s="1">
        <f>_xlfn.MAXIFS(Games[Date], Games[Team], A38)</f>
        <v>39705</v>
      </c>
    </row>
  </sheetData>
  <sortState xmlns:xlrd2="http://schemas.microsoft.com/office/spreadsheetml/2017/richdata2" ref="A25:G38">
    <sortCondition ref="A25:A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88</v>
      </c>
      <c r="B4" s="2">
        <v>4</v>
      </c>
      <c r="C4" s="2">
        <v>30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86</v>
      </c>
      <c r="B5" s="2">
        <v>12</v>
      </c>
      <c r="C5" s="2">
        <v>22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85</v>
      </c>
      <c r="B6" s="2">
        <v>21</v>
      </c>
      <c r="C6" s="2">
        <v>13</v>
      </c>
      <c r="D6" s="2">
        <v>1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74</v>
      </c>
      <c r="B7" s="2">
        <v>22</v>
      </c>
      <c r="C7" s="2">
        <v>12</v>
      </c>
      <c r="D7" s="2">
        <v>2</v>
      </c>
      <c r="E7" s="2">
        <v>1</v>
      </c>
      <c r="F7" s="2">
        <v>2</v>
      </c>
      <c r="G7" s="2">
        <v>1</v>
      </c>
      <c r="H7" s="2">
        <v>3</v>
      </c>
      <c r="I7" s="2">
        <v>0</v>
      </c>
      <c r="J7" s="2">
        <v>0</v>
      </c>
      <c r="K7" s="2">
        <v>0</v>
      </c>
    </row>
    <row r="8" spans="1:11" x14ac:dyDescent="0.35">
      <c r="A8" s="6" t="s">
        <v>2</v>
      </c>
      <c r="B8" s="2">
        <v>17</v>
      </c>
      <c r="C8" s="2">
        <v>17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78</v>
      </c>
      <c r="B9" s="2">
        <v>17</v>
      </c>
      <c r="C9" s="2">
        <v>17</v>
      </c>
      <c r="D9" s="2">
        <v>1</v>
      </c>
      <c r="E9" s="2">
        <v>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69</v>
      </c>
      <c r="B10" s="2">
        <v>20</v>
      </c>
      <c r="C10" s="2">
        <v>14</v>
      </c>
      <c r="D10" s="2">
        <v>2</v>
      </c>
      <c r="E10" s="2">
        <v>1</v>
      </c>
      <c r="F10" s="2">
        <v>1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76</v>
      </c>
      <c r="B11" s="2">
        <v>16</v>
      </c>
      <c r="C11" s="2">
        <v>18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66</v>
      </c>
      <c r="B12" s="2">
        <v>19</v>
      </c>
      <c r="C12" s="2">
        <v>15</v>
      </c>
      <c r="D12" s="2">
        <v>2</v>
      </c>
      <c r="E12" s="2">
        <v>1</v>
      </c>
      <c r="F12" s="2">
        <v>1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44</v>
      </c>
      <c r="B13" s="2">
        <v>16</v>
      </c>
      <c r="C13" s="2">
        <v>18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45</v>
      </c>
      <c r="B14" s="2">
        <v>18</v>
      </c>
      <c r="C14" s="2">
        <v>16</v>
      </c>
      <c r="D14" s="2">
        <v>1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83</v>
      </c>
      <c r="B15" s="2">
        <v>24</v>
      </c>
      <c r="C15" s="2">
        <v>10</v>
      </c>
      <c r="D15" s="2">
        <v>2</v>
      </c>
      <c r="E15" s="2">
        <v>1</v>
      </c>
      <c r="F15" s="2">
        <v>2</v>
      </c>
      <c r="G15" s="2">
        <v>1</v>
      </c>
      <c r="H15" s="2">
        <v>0</v>
      </c>
      <c r="I15" s="2">
        <v>3</v>
      </c>
      <c r="J15" s="2">
        <v>0</v>
      </c>
      <c r="K15" s="2">
        <v>0</v>
      </c>
    </row>
    <row r="16" spans="1:11" x14ac:dyDescent="0.35">
      <c r="A16" s="6" t="s">
        <v>80</v>
      </c>
      <c r="B16" s="2">
        <v>22</v>
      </c>
      <c r="C16" s="2">
        <v>12</v>
      </c>
      <c r="D16" s="2">
        <v>1</v>
      </c>
      <c r="E16" s="2">
        <v>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72</v>
      </c>
      <c r="B17" s="2">
        <v>10</v>
      </c>
      <c r="C17" s="2">
        <v>24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5">
      <c r="A18" s="6" t="s">
        <v>20</v>
      </c>
      <c r="B18" s="2">
        <v>238</v>
      </c>
      <c r="C18" s="2">
        <v>238</v>
      </c>
      <c r="D18" s="2">
        <v>12</v>
      </c>
      <c r="E18" s="2">
        <v>12</v>
      </c>
      <c r="F18" s="2">
        <v>6</v>
      </c>
      <c r="G18" s="2">
        <v>6</v>
      </c>
      <c r="H18" s="2">
        <v>3</v>
      </c>
      <c r="I18" s="2">
        <v>3</v>
      </c>
      <c r="J18" s="2">
        <v>0</v>
      </c>
      <c r="K18" s="2">
        <v>0</v>
      </c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19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39585</v>
      </c>
      <c r="B2" s="2">
        <v>2008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88</v>
      </c>
      <c r="G2" s="1" t="s">
        <v>85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1528.048796013569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0.34411609383130642</v>
      </c>
      <c r="R2" s="1">
        <v>67</v>
      </c>
      <c r="S2" s="1">
        <v>100</v>
      </c>
      <c r="T2" s="1">
        <v>0</v>
      </c>
      <c r="U2" s="1">
        <f>Games[[#This Row],[PointsFor]]-Games[[#This Row],[PointsAgainst]]</f>
        <v>-33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0.72219509474591448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-18.850162735846954</v>
      </c>
      <c r="AB2" s="4">
        <f>Games[[#This Row],[PreGmRate]]+Games[[#This Row],[RatingChange]]</f>
        <v>1481.1498372641531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39585</v>
      </c>
      <c r="B3" s="2">
        <v>2008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85</v>
      </c>
      <c r="G3" s="1" t="s">
        <v>88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1528.048796013569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0.65588390616869352</v>
      </c>
      <c r="R3" s="1">
        <v>100</v>
      </c>
      <c r="S3" s="1">
        <v>67</v>
      </c>
      <c r="T3" s="1">
        <v>0</v>
      </c>
      <c r="U3" s="1">
        <f>Games[[#This Row],[PointsFor]]-Games[[#This Row],[PointsAgainst]]</f>
        <v>33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0.72219509474591448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18.850162735846958</v>
      </c>
      <c r="AB3" s="4">
        <f>Games[[#This Row],[PreGmRate]]+Games[[#This Row],[RatingChange]]</f>
        <v>1546.8989587494159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39585</v>
      </c>
      <c r="B4" s="2">
        <v>2008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2</v>
      </c>
      <c r="G4" s="1" t="s">
        <v>74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1476.1487123484485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1548.912098366945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0.28855701485464713</v>
      </c>
      <c r="R4" s="1">
        <v>66</v>
      </c>
      <c r="S4" s="1">
        <v>85</v>
      </c>
      <c r="T4" s="1">
        <v>0</v>
      </c>
      <c r="U4" s="1">
        <f>Games[[#This Row],[PointsFor]]-Games[[#This Row],[PointsAgainst]]</f>
        <v>-19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0.5289067038403451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-11.576207248415832</v>
      </c>
      <c r="AB4" s="4">
        <f>Games[[#This Row],[PreGmRate]]+Games[[#This Row],[RatingChange]]</f>
        <v>1464.5725051000327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39585</v>
      </c>
      <c r="B5" s="2">
        <v>2008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74</v>
      </c>
      <c r="G5" s="1" t="s">
        <v>2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1548.912098366945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1476.1487123484485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0.71144298514535287</v>
      </c>
      <c r="R5" s="1">
        <v>85</v>
      </c>
      <c r="S5" s="1">
        <v>66</v>
      </c>
      <c r="T5" s="1">
        <v>0</v>
      </c>
      <c r="U5" s="1">
        <f>Games[[#This Row],[PointsFor]]-Games[[#This Row],[PointsAgainst]]</f>
        <v>19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0.5289067038403451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11.576207248415832</v>
      </c>
      <c r="AB5" s="4">
        <f>Games[[#This Row],[PreGmRate]]+Games[[#This Row],[RatingChange]]</f>
        <v>1560.4883056153608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39585</v>
      </c>
      <c r="B6" s="2">
        <v>2008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72</v>
      </c>
      <c r="G6" s="1" t="s">
        <v>78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1499.2193647531196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1533.6503361177279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0.3358722886309069</v>
      </c>
      <c r="R6" s="1">
        <v>53</v>
      </c>
      <c r="S6" s="1">
        <v>64</v>
      </c>
      <c r="T6" s="1">
        <v>0</v>
      </c>
      <c r="U6" s="1">
        <f>Games[[#This Row],[PointsFor]]-Games[[#This Row],[PointsAgainst]]</f>
        <v>-11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0.42756798602168489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-10.892684853089667</v>
      </c>
      <c r="AB6" s="4">
        <f>Games[[#This Row],[PreGmRate]]+Games[[#This Row],[RatingChange]]</f>
        <v>1488.3266799000301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39585</v>
      </c>
      <c r="B7" s="2">
        <v>2008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78</v>
      </c>
      <c r="G7" s="1" t="s">
        <v>72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1533.6503361177279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1499.2193647531196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0.6641277113690931</v>
      </c>
      <c r="R7" s="1">
        <v>64</v>
      </c>
      <c r="S7" s="1">
        <v>53</v>
      </c>
      <c r="T7" s="1">
        <v>0</v>
      </c>
      <c r="U7" s="1">
        <f>Games[[#This Row],[PointsFor]]-Games[[#This Row],[PointsAgainst]]</f>
        <v>11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0.42756798602168489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10.892684853089667</v>
      </c>
      <c r="AB7" s="4">
        <f>Games[[#This Row],[PreGmRate]]+Games[[#This Row],[RatingChange]]</f>
        <v>1544.5430209708175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39585</v>
      </c>
      <c r="B8" s="2">
        <v>2008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69</v>
      </c>
      <c r="G8" s="1" t="s">
        <v>44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1433.7499436382445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1595.763467231001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0.19526307352441466</v>
      </c>
      <c r="R8" s="1">
        <v>99</v>
      </c>
      <c r="S8" s="1">
        <v>94</v>
      </c>
      <c r="T8" s="1">
        <v>0</v>
      </c>
      <c r="U8" s="1">
        <f>Games[[#This Row],[PointsFor]]-Games[[#This Row],[PointsAgainst]]</f>
        <v>5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0.29229311138068531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17.841365707256003</v>
      </c>
      <c r="AB8" s="4">
        <f>Games[[#This Row],[PreGmRate]]+Games[[#This Row],[RatingChange]]</f>
        <v>1451.5913093455006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39585</v>
      </c>
      <c r="B9" s="2">
        <v>2008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44</v>
      </c>
      <c r="G9" s="1" t="s">
        <v>69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1595.763467231001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1433.7499436382445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0.80473692647558537</v>
      </c>
      <c r="R9" s="1">
        <v>94</v>
      </c>
      <c r="S9" s="1">
        <v>99</v>
      </c>
      <c r="T9" s="1">
        <v>0</v>
      </c>
      <c r="U9" s="1">
        <f>Games[[#This Row],[PointsFor]]-Games[[#This Row],[PointsAgainst]]</f>
        <v>-5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0.29229311138068531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-17.841365707256003</v>
      </c>
      <c r="AB9" s="4">
        <f>Games[[#This Row],[PreGmRate]]+Games[[#This Row],[RatingChange]]</f>
        <v>1577.9221015237449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39585</v>
      </c>
      <c r="B10" s="2">
        <v>2008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83</v>
      </c>
      <c r="G10" s="1" t="s">
        <v>45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1506.4868557382274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1514.0092634723821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0.37125296494656723</v>
      </c>
      <c r="R10" s="1">
        <v>64</v>
      </c>
      <c r="S10" s="1">
        <v>73</v>
      </c>
      <c r="T10" s="1">
        <v>0</v>
      </c>
      <c r="U10" s="1">
        <f>Games[[#This Row],[PointsFor]]-Games[[#This Row],[PointsAgainst]]</f>
        <v>-9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0.40344247813241796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-11.36075354816705</v>
      </c>
      <c r="AB10" s="4">
        <f>Games[[#This Row],[PreGmRate]]+Games[[#This Row],[RatingChange]]</f>
        <v>1495.1261021900605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39585</v>
      </c>
      <c r="B11" s="2">
        <v>2008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45</v>
      </c>
      <c r="G11" s="1" t="s">
        <v>83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1514.0092634723821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1506.4868557382274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0.62874703505343277</v>
      </c>
      <c r="R11" s="1">
        <v>73</v>
      </c>
      <c r="S11" s="1">
        <v>64</v>
      </c>
      <c r="T11" s="1">
        <v>0</v>
      </c>
      <c r="U11" s="1">
        <f>Games[[#This Row],[PointsFor]]-Games[[#This Row],[PointsAgainst]]</f>
        <v>9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0.40344247813241796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11.36075354816705</v>
      </c>
      <c r="AB11" s="4">
        <f>Games[[#This Row],[PreGmRate]]+Games[[#This Row],[RatingChange]]</f>
        <v>1525.3700170205491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39585</v>
      </c>
      <c r="B12" s="2">
        <v>2008</v>
      </c>
      <c r="C12" s="2">
        <f>COUNTIFS(Games[Team],Games[[#This Row],[Team]],Games[Season],Games[[#This Row],[Season]],Games[Date],"&lt;=" &amp; Games[[#This Row],[Date]])</f>
        <v>1</v>
      </c>
      <c r="D12" s="2" t="s">
        <v>23</v>
      </c>
      <c r="E12" s="2" t="s">
        <v>29</v>
      </c>
      <c r="F12" s="1" t="s">
        <v>86</v>
      </c>
      <c r="G12" s="1" t="s">
        <v>80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1462.3236216721757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1497.7116862496932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0.33464444778845404</v>
      </c>
      <c r="R12" s="1">
        <v>61</v>
      </c>
      <c r="S12" s="1">
        <v>67</v>
      </c>
      <c r="T12" s="1">
        <v>0</v>
      </c>
      <c r="U12" s="1">
        <f>Games[[#This Row],[PointsFor]]-Games[[#This Row],[PointsAgainst]]</f>
        <v>-6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0.341218217494556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-8.6610674123354734</v>
      </c>
      <c r="AB12" s="4">
        <f>Games[[#This Row],[PreGmRate]]+Games[[#This Row],[RatingChange]]</f>
        <v>1453.6625542598401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39585</v>
      </c>
      <c r="B13" s="2">
        <v>2008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80</v>
      </c>
      <c r="G13" s="1" t="s">
        <v>86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1497.7116862496932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1462.3236216721757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0.66535555221154596</v>
      </c>
      <c r="R13" s="1">
        <v>67</v>
      </c>
      <c r="S13" s="1">
        <v>61</v>
      </c>
      <c r="T13" s="1">
        <v>0</v>
      </c>
      <c r="U13" s="1">
        <f>Games[[#This Row],[PointsFor]]-Games[[#This Row],[PointsAgainst]]</f>
        <v>6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0.341218217494556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8.6610674123354734</v>
      </c>
      <c r="AB13" s="4">
        <f>Games[[#This Row],[PreGmRate]]+Games[[#This Row],[RatingChange]]</f>
        <v>1506.3727536620288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39586</v>
      </c>
      <c r="B14" s="2">
        <v>2008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74</v>
      </c>
      <c r="G14" s="1" t="s">
        <v>76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1560.4883056153608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1445.1737340306684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0.52202517740598875</v>
      </c>
      <c r="R14" s="1">
        <v>70</v>
      </c>
      <c r="S14" s="1">
        <v>84</v>
      </c>
      <c r="T14" s="1">
        <v>0</v>
      </c>
      <c r="U14" s="1">
        <f>Games[[#This Row],[PointsFor]]-Games[[#This Row],[PointsAgainst]]</f>
        <v>-14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0.44485915147732041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-17.579635184526374</v>
      </c>
      <c r="AB14" s="4">
        <f>Games[[#This Row],[PreGmRate]]+Games[[#This Row],[RatingChange]]</f>
        <v>1542.9086704308345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39586</v>
      </c>
      <c r="B15" s="2">
        <v>2008</v>
      </c>
      <c r="C15" s="2">
        <f>COUNTIFS(Games[Team],Games[[#This Row],[Team]],Games[Season],Games[[#This Row],[Season]],Games[Date],"&lt;=" &amp; Games[[#This Row],[Date]])</f>
        <v>1</v>
      </c>
      <c r="D15" s="2" t="s">
        <v>23</v>
      </c>
      <c r="E15" s="2" t="s">
        <v>29</v>
      </c>
      <c r="F15" s="1" t="s">
        <v>76</v>
      </c>
      <c r="G15" s="1" t="s">
        <v>74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1445.1737340306684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1560.4883056153608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0.47797482259401125</v>
      </c>
      <c r="R15" s="1">
        <v>84</v>
      </c>
      <c r="S15" s="1">
        <v>70</v>
      </c>
      <c r="T15" s="1">
        <v>0</v>
      </c>
      <c r="U15" s="1">
        <f>Games[[#This Row],[PointsFor]]-Games[[#This Row],[PointsAgainst]]</f>
        <v>14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0.44485915147732041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17.614469336146968</v>
      </c>
      <c r="AB15" s="4">
        <f>Games[[#This Row],[PreGmRate]]+Games[[#This Row],[RatingChange]]</f>
        <v>1462.7882033668154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39586</v>
      </c>
      <c r="B16" s="2">
        <v>2008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85</v>
      </c>
      <c r="G16" s="1" t="s">
        <v>66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-1</v>
      </c>
      <c r="L16" s="2">
        <f>Games[[#This Row],[OppDaysOff]]-Games[[#This Row],[DaysOff]]</f>
        <v>1</v>
      </c>
      <c r="M16" s="1">
        <f>MAX(-16, MIN(16, Games[[#This Row],[RestDiff]]*8))</f>
        <v>-8</v>
      </c>
      <c r="N16" s="1">
        <f>MAX(-16, MIN(16, Games[[#This Row],[OppRestDiff]]*8))</f>
        <v>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1546.8989587494159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1484.4806325525747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0.44612557895862981</v>
      </c>
      <c r="R16" s="1">
        <v>77</v>
      </c>
      <c r="S16" s="1">
        <v>63</v>
      </c>
      <c r="T16" s="1">
        <v>0</v>
      </c>
      <c r="U16" s="1">
        <f>Games[[#This Row],[PointsFor]]-Games[[#This Row],[PointsAgainst]]</f>
        <v>14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0.46349907324593592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19.433725260140942</v>
      </c>
      <c r="AB16" s="4">
        <f>Games[[#This Row],[PreGmRate]]+Games[[#This Row],[RatingChange]]</f>
        <v>1566.3326840095569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39586</v>
      </c>
      <c r="B17" s="2">
        <v>2008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66</v>
      </c>
      <c r="G17" s="1" t="s">
        <v>85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" s="2">
        <f>Games[[#This Row],[DaysOff]]-Games[[#This Row],[OppDaysOff]]</f>
        <v>1</v>
      </c>
      <c r="L17" s="2">
        <f>Games[[#This Row],[OppDaysOff]]-Games[[#This Row],[DaysOff]]</f>
        <v>-1</v>
      </c>
      <c r="M17" s="1">
        <f>MAX(-16, MIN(16, Games[[#This Row],[RestDiff]]*8))</f>
        <v>8</v>
      </c>
      <c r="N17" s="1">
        <f>MAX(-16, MIN(16, Games[[#This Row],[OppRestDiff]]*8))</f>
        <v>-8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1484.4806325525747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1546.8989587494159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0.55387442104137019</v>
      </c>
      <c r="R17" s="1">
        <v>63</v>
      </c>
      <c r="S17" s="1">
        <v>77</v>
      </c>
      <c r="T17" s="1">
        <v>0</v>
      </c>
      <c r="U17" s="1">
        <f>Games[[#This Row],[PointsFor]]-Games[[#This Row],[PointsAgainst]]</f>
        <v>-14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0.46349907324593592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-19.472233302268037</v>
      </c>
      <c r="AB17" s="4">
        <f>Games[[#This Row],[PreGmRate]]+Games[[#This Row],[RatingChange]]</f>
        <v>1465.0083992503066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39588</v>
      </c>
      <c r="B18" s="2">
        <v>2008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44</v>
      </c>
      <c r="G18" s="1" t="s">
        <v>83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1577.9221015237449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1495.1261021900605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0.49826731069453478</v>
      </c>
      <c r="R18" s="1">
        <v>76</v>
      </c>
      <c r="S18" s="1">
        <v>81</v>
      </c>
      <c r="T18" s="1">
        <v>0</v>
      </c>
      <c r="U18" s="1">
        <f>Games[[#This Row],[PointsFor]]-Games[[#This Row],[PointsAgainst]]</f>
        <v>-5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0.31034332096473943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-11.705788647033746</v>
      </c>
      <c r="AB18" s="4">
        <f>Games[[#This Row],[PreGmRate]]+Games[[#This Row],[RatingChange]]</f>
        <v>1566.2163128767111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39588</v>
      </c>
      <c r="B19" s="2">
        <v>2008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83</v>
      </c>
      <c r="G19" s="1" t="s">
        <v>44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1495.1261021900605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1577.9221015237449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0.50173268930546511</v>
      </c>
      <c r="R19" s="1">
        <v>81</v>
      </c>
      <c r="S19" s="1">
        <v>76</v>
      </c>
      <c r="T19" s="1">
        <v>0</v>
      </c>
      <c r="U19" s="1">
        <f>Games[[#This Row],[PointsFor]]-Games[[#This Row],[PointsAgainst]]</f>
        <v>5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0.31034332096473943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11.705788647033748</v>
      </c>
      <c r="AB19" s="4">
        <f>Games[[#This Row],[PreGmRate]]+Games[[#This Row],[RatingChange]]</f>
        <v>1506.8318908370943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39588</v>
      </c>
      <c r="B20" s="2">
        <v>2008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45</v>
      </c>
      <c r="G20" s="1" t="s">
        <v>80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1525.3700170205491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1506.3727536620288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0.40752996576894984</v>
      </c>
      <c r="R20" s="1">
        <v>62</v>
      </c>
      <c r="S20" s="1">
        <v>74</v>
      </c>
      <c r="T20" s="1">
        <v>0</v>
      </c>
      <c r="U20" s="1">
        <f>Games[[#This Row],[PointsFor]]-Games[[#This Row],[PointsAgainst]]</f>
        <v>-12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0.44902096841776562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-13.852305141584639</v>
      </c>
      <c r="AB20" s="4">
        <f>Games[[#This Row],[PreGmRate]]+Games[[#This Row],[RatingChange]]</f>
        <v>1511.5177118789645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39588</v>
      </c>
      <c r="B21" s="2">
        <v>2008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80</v>
      </c>
      <c r="G21" s="1" t="s">
        <v>45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1506.3727536620288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1525.3700170205491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0.59247003423105016</v>
      </c>
      <c r="R21" s="1">
        <v>74</v>
      </c>
      <c r="S21" s="1">
        <v>62</v>
      </c>
      <c r="T21" s="1">
        <v>0</v>
      </c>
      <c r="U21" s="1">
        <f>Games[[#This Row],[PointsFor]]-Games[[#This Row],[PointsAgainst]]</f>
        <v>12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0.44902096841776562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13.852305141584639</v>
      </c>
      <c r="AB21" s="4">
        <f>Games[[#This Row],[PreGmRate]]+Games[[#This Row],[RatingChange]]</f>
        <v>1520.2250588036134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39589</v>
      </c>
      <c r="B22" s="2">
        <v>2008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78</v>
      </c>
      <c r="G22" s="1" t="s">
        <v>74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" s="2">
        <f>Games[[#This Row],[DaysOff]]-Games[[#This Row],[OppDaysOff]]</f>
        <v>1</v>
      </c>
      <c r="L22" s="2">
        <f>Games[[#This Row],[OppDaysOff]]-Games[[#This Row],[DaysOff]]</f>
        <v>-1</v>
      </c>
      <c r="M22" s="1">
        <f>MAX(-16, MIN(16, Games[[#This Row],[RestDiff]]*8))</f>
        <v>8</v>
      </c>
      <c r="N22" s="1">
        <f>MAX(-16, MIN(16, Games[[#This Row],[OppRestDiff]]*8))</f>
        <v>-8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1544.5430209708175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1542.9086704308345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0.40563704460065109</v>
      </c>
      <c r="R22" s="1">
        <v>71</v>
      </c>
      <c r="S22" s="1">
        <v>76</v>
      </c>
      <c r="T22" s="1">
        <v>0</v>
      </c>
      <c r="U22" s="1">
        <f>Games[[#This Row],[PointsFor]]-Games[[#This Row],[PointsAgainst]]</f>
        <v>-5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0.3313047520442457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-10.173283672440418</v>
      </c>
      <c r="AB22" s="4">
        <f>Games[[#This Row],[PreGmRate]]+Games[[#This Row],[RatingChange]]</f>
        <v>1534.369737298377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39589</v>
      </c>
      <c r="B23" s="2">
        <v>2008</v>
      </c>
      <c r="C23" s="2">
        <f>COUNTIFS(Games[Team],Games[[#This Row],[Team]],Games[Season],Games[[#This Row],[Season]],Games[Date],"&lt;=" &amp; Games[[#This Row],[Date]])</f>
        <v>3</v>
      </c>
      <c r="D23" s="2" t="s">
        <v>23</v>
      </c>
      <c r="E23" s="2" t="s">
        <v>29</v>
      </c>
      <c r="F23" s="1" t="s">
        <v>74</v>
      </c>
      <c r="G23" s="1" t="s">
        <v>78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" s="2">
        <f>Games[[#This Row],[DaysOff]]-Games[[#This Row],[OppDaysOff]]</f>
        <v>-1</v>
      </c>
      <c r="L23" s="2">
        <f>Games[[#This Row],[OppDaysOff]]-Games[[#This Row],[DaysOff]]</f>
        <v>1</v>
      </c>
      <c r="M23" s="1">
        <f>MAX(-16, MIN(16, Games[[#This Row],[RestDiff]]*8))</f>
        <v>-8</v>
      </c>
      <c r="N23" s="1">
        <f>MAX(-16, MIN(16, Games[[#This Row],[OppRestDiff]]*8))</f>
        <v>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1542.9086704308345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1544.5430209708175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0.59436295539934891</v>
      </c>
      <c r="R23" s="1">
        <v>76</v>
      </c>
      <c r="S23" s="1">
        <v>71</v>
      </c>
      <c r="T23" s="1">
        <v>0</v>
      </c>
      <c r="U23" s="1">
        <f>Games[[#This Row],[PointsFor]]-Games[[#This Row],[PointsAgainst]]</f>
        <v>5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0.3313047520442457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10.153125250368209</v>
      </c>
      <c r="AB23" s="4">
        <f>Games[[#This Row],[PreGmRate]]+Games[[#This Row],[RatingChange]]</f>
        <v>1553.0617956812027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39590</v>
      </c>
      <c r="B24" s="2">
        <v>2008</v>
      </c>
      <c r="C24" s="2">
        <f>COUNTIFS(Games[Team],Games[[#This Row],[Team]],Games[Season],Games[[#This Row],[Season]],Games[Date],"&lt;=" &amp; Games[[#This Row],[Date]])</f>
        <v>3</v>
      </c>
      <c r="D24" s="2" t="s">
        <v>23</v>
      </c>
      <c r="E24" s="2" t="s">
        <v>29</v>
      </c>
      <c r="F24" s="1" t="s">
        <v>45</v>
      </c>
      <c r="G24" s="1" t="s">
        <v>86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" s="2">
        <f>Games[[#This Row],[DaysOff]]-Games[[#This Row],[OppDaysOff]]</f>
        <v>-3</v>
      </c>
      <c r="L24" s="2">
        <f>Games[[#This Row],[OppDaysOff]]-Games[[#This Row],[DaysOff]]</f>
        <v>3</v>
      </c>
      <c r="M24" s="1">
        <f>MAX(-16, MIN(16, Games[[#This Row],[RestDiff]]*8))</f>
        <v>-16</v>
      </c>
      <c r="N24" s="1">
        <f>MAX(-16, MIN(16, Games[[#This Row],[OppRestDiff]]*8))</f>
        <v>16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1511.5177118789645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1453.6625542598401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0.41709538680635266</v>
      </c>
      <c r="R24" s="1">
        <v>77</v>
      </c>
      <c r="S24" s="1">
        <v>87</v>
      </c>
      <c r="T24" s="1">
        <v>0</v>
      </c>
      <c r="U24" s="1">
        <f>Games[[#This Row],[PointsFor]]-Games[[#This Row],[PointsAgainst]]</f>
        <v>-10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0.40366781192822204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-12.720201051997297</v>
      </c>
      <c r="AB24" s="4">
        <f>Games[[#This Row],[PreGmRate]]+Games[[#This Row],[RatingChange]]</f>
        <v>1498.7975108269673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39590</v>
      </c>
      <c r="B25" s="2">
        <v>2008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86</v>
      </c>
      <c r="G25" s="1" t="s">
        <v>45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3</v>
      </c>
      <c r="L25" s="2">
        <f>Games[[#This Row],[OppDaysOff]]-Games[[#This Row],[DaysOff]]</f>
        <v>-3</v>
      </c>
      <c r="M25" s="1">
        <f>MAX(-16, MIN(16, Games[[#This Row],[RestDiff]]*8))</f>
        <v>16</v>
      </c>
      <c r="N25" s="1">
        <f>MAX(-16, MIN(16, Games[[#This Row],[OppRestDiff]]*8))</f>
        <v>-16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1453.6625542598401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1511.5177118789645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0.58290461319364739</v>
      </c>
      <c r="R25" s="1">
        <v>87</v>
      </c>
      <c r="S25" s="1">
        <v>77</v>
      </c>
      <c r="T25" s="1">
        <v>0</v>
      </c>
      <c r="U25" s="1">
        <f>Games[[#This Row],[PointsFor]]-Games[[#This Row],[PointsAgainst]]</f>
        <v>10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0.40366781192822204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12.745456249320917</v>
      </c>
      <c r="AB25" s="4">
        <f>Games[[#This Row],[PreGmRate]]+Games[[#This Row],[RatingChange]]</f>
        <v>1466.4080105091612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39590</v>
      </c>
      <c r="B26" s="2">
        <v>2008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72</v>
      </c>
      <c r="G26" s="1" t="s">
        <v>66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" s="2">
        <f>Games[[#This Row],[DaysOff]]-Games[[#This Row],[OppDaysOff]]</f>
        <v>1</v>
      </c>
      <c r="L26" s="2">
        <f>Games[[#This Row],[OppDaysOff]]-Games[[#This Row],[DaysOff]]</f>
        <v>-1</v>
      </c>
      <c r="M26" s="1">
        <f>MAX(-16, MIN(16, Games[[#This Row],[RestDiff]]*8))</f>
        <v>8</v>
      </c>
      <c r="N26" s="1">
        <f>MAX(-16, MIN(16, Games[[#This Row],[OppRestDiff]]*8))</f>
        <v>-8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1488.3266799000301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1465.0083992503066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0.43605000667639471</v>
      </c>
      <c r="R26" s="1">
        <v>60</v>
      </c>
      <c r="S26" s="1">
        <v>79</v>
      </c>
      <c r="T26" s="1">
        <v>0</v>
      </c>
      <c r="U26" s="1">
        <f>Games[[#This Row],[PointsFor]]-Games[[#This Row],[PointsAgainst]]</f>
        <v>-19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0.5502844990677217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-18.164333053574421</v>
      </c>
      <c r="AB26" s="4">
        <f>Games[[#This Row],[PreGmRate]]+Games[[#This Row],[RatingChange]]</f>
        <v>1470.1623468464556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39590</v>
      </c>
      <c r="B27" s="2">
        <v>2008</v>
      </c>
      <c r="C27" s="2">
        <f>COUNTIFS(Games[Team],Games[[#This Row],[Team]],Games[Season],Games[[#This Row],[Season]],Games[Date],"&lt;=" &amp; Games[[#This Row],[Date]])</f>
        <v>2</v>
      </c>
      <c r="D27" s="2" t="s">
        <v>23</v>
      </c>
      <c r="E27" s="2" t="s">
        <v>29</v>
      </c>
      <c r="F27" s="1" t="s">
        <v>66</v>
      </c>
      <c r="G27" s="1" t="s">
        <v>72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" s="2">
        <f>Games[[#This Row],[DaysOff]]-Games[[#This Row],[OppDaysOff]]</f>
        <v>-1</v>
      </c>
      <c r="L27" s="2">
        <f>Games[[#This Row],[OppDaysOff]]-Games[[#This Row],[DaysOff]]</f>
        <v>1</v>
      </c>
      <c r="M27" s="1">
        <f>MAX(-16, MIN(16, Games[[#This Row],[RestDiff]]*8))</f>
        <v>-8</v>
      </c>
      <c r="N27" s="1">
        <f>MAX(-16, MIN(16, Games[[#This Row],[OppRestDiff]]*8))</f>
        <v>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1465.0083992503066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1488.3266799000301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0.56394999332360518</v>
      </c>
      <c r="R27" s="1">
        <v>79</v>
      </c>
      <c r="S27" s="1">
        <v>60</v>
      </c>
      <c r="T27" s="1">
        <v>0</v>
      </c>
      <c r="U27" s="1">
        <f>Games[[#This Row],[PointsFor]]-Games[[#This Row],[PointsAgainst]]</f>
        <v>19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0.5502844990677217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18.164333053574428</v>
      </c>
      <c r="AB27" s="4">
        <f>Games[[#This Row],[PreGmRate]]+Games[[#This Row],[RatingChange]]</f>
        <v>1483.172732303881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39590</v>
      </c>
      <c r="B28" s="2">
        <v>2008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80</v>
      </c>
      <c r="G28" s="1" t="s">
        <v>44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1520.2250588036134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1566.2163128767111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0.32119405687928609</v>
      </c>
      <c r="R28" s="1">
        <v>87</v>
      </c>
      <c r="S28" s="1">
        <v>83</v>
      </c>
      <c r="T28" s="1">
        <v>0</v>
      </c>
      <c r="U28" s="1">
        <f>Games[[#This Row],[PointsFor]]-Games[[#This Row],[PointsAgainst]]</f>
        <v>4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0.29993732352693581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15.381922413810916</v>
      </c>
      <c r="AB28" s="4">
        <f>Games[[#This Row],[PreGmRate]]+Games[[#This Row],[RatingChange]]</f>
        <v>1535.6069812174244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39590</v>
      </c>
      <c r="B29" s="2">
        <v>2008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44</v>
      </c>
      <c r="G29" s="1" t="s">
        <v>80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1566.2163128767111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1520.2250588036134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0.67880594312071385</v>
      </c>
      <c r="R29" s="1">
        <v>83</v>
      </c>
      <c r="S29" s="1">
        <v>87</v>
      </c>
      <c r="T29" s="1">
        <v>0</v>
      </c>
      <c r="U29" s="1">
        <f>Games[[#This Row],[PointsFor]]-Games[[#This Row],[PointsAgainst]]</f>
        <v>-4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0.29993732352693581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-15.381922413810916</v>
      </c>
      <c r="AB29" s="4">
        <f>Games[[#This Row],[PreGmRate]]+Games[[#This Row],[RatingChange]]</f>
        <v>1550.8343904629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39591</v>
      </c>
      <c r="B30" s="2">
        <v>2008</v>
      </c>
      <c r="C30" s="2">
        <f>COUNTIFS(Games[Team],Games[[#This Row],[Team]],Games[Season],Games[[#This Row],[Season]],Games[Date],"&lt;=" &amp; Games[[#This Row],[Date]])</f>
        <v>4</v>
      </c>
      <c r="D30" s="2" t="s">
        <v>23</v>
      </c>
      <c r="E30" s="2" t="s">
        <v>29</v>
      </c>
      <c r="F30" s="1" t="s">
        <v>74</v>
      </c>
      <c r="G30" s="1" t="s">
        <v>88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" s="2">
        <f>Games[[#This Row],[DaysOff]]-Games[[#This Row],[OppDaysOff]]</f>
        <v>-4</v>
      </c>
      <c r="L30" s="2">
        <f>Games[[#This Row],[OppDaysOff]]-Games[[#This Row],[DaysOff]]</f>
        <v>4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1553.0617956812027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1481.1498372641531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0.43689058440265505</v>
      </c>
      <c r="R30" s="1">
        <v>88</v>
      </c>
      <c r="S30" s="1">
        <v>76</v>
      </c>
      <c r="T30" s="1">
        <v>0</v>
      </c>
      <c r="U30" s="1">
        <f>Games[[#This Row],[PointsFor]]-Games[[#This Row],[PointsAgainst]]</f>
        <v>12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0.43034058141339959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75.400000000000006</v>
      </c>
      <c r="Z30" s="4">
        <f>Games[[#This Row],[K]]*Games[[#This Row],[POMult]]</f>
        <v>75.400000000000006</v>
      </c>
      <c r="AA30" s="4">
        <f>(Games[[#This Row],[Keff]]*Games[[#This Row],[MOVMult]])*(Games[[#This Row],[Result]]-Games[[#This Row],[ExpectedWin%]])</f>
        <v>18.271594031387092</v>
      </c>
      <c r="AB30" s="4">
        <f>Games[[#This Row],[PreGmRate]]+Games[[#This Row],[RatingChange]]</f>
        <v>1571.3333897125899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39591</v>
      </c>
      <c r="B31" s="2">
        <v>2008</v>
      </c>
      <c r="C31" s="2">
        <f>COUNTIFS(Games[Team],Games[[#This Row],[Team]],Games[Season],Games[[#This Row],[Season]],Games[Date],"&lt;=" &amp; Games[[#This Row],[Date]])</f>
        <v>2</v>
      </c>
      <c r="D31" s="2" t="s">
        <v>23</v>
      </c>
      <c r="E31" s="2" t="s">
        <v>29</v>
      </c>
      <c r="F31" s="1" t="s">
        <v>88</v>
      </c>
      <c r="G31" s="1" t="s">
        <v>74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4</v>
      </c>
      <c r="L31" s="2">
        <f>Games[[#This Row],[OppDaysOff]]-Games[[#This Row],[DaysOff]]</f>
        <v>-4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1481.1498372641531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1553.0617956812027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0.56310941559734495</v>
      </c>
      <c r="R31" s="1">
        <v>76</v>
      </c>
      <c r="S31" s="1">
        <v>88</v>
      </c>
      <c r="T31" s="1">
        <v>0</v>
      </c>
      <c r="U31" s="1">
        <f>Games[[#This Row],[PointsFor]]-Games[[#This Row],[PointsAgainst]]</f>
        <v>-12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0.43034058141339959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75.7</v>
      </c>
      <c r="Z31" s="4">
        <f>Games[[#This Row],[K]]*Games[[#This Row],[POMult]]</f>
        <v>75.7</v>
      </c>
      <c r="AA31" s="4">
        <f>(Games[[#This Row],[Keff]]*Games[[#This Row],[MOVMult]])*(Games[[#This Row],[Result]]-Games[[#This Row],[ExpectedWin%]])</f>
        <v>-18.344292681379347</v>
      </c>
      <c r="AB31" s="4">
        <f>Games[[#This Row],[PreGmRate]]+Games[[#This Row],[RatingChange]]</f>
        <v>1462.8055445827738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39592</v>
      </c>
      <c r="B32" s="2">
        <v>2008</v>
      </c>
      <c r="C32" s="2">
        <f>COUNTIFS(Games[Team],Games[[#This Row],[Team]],Games[Season],Games[[#This Row],[Season]],Games[Date],"&lt;=" &amp; Games[[#This Row],[Date]])</f>
        <v>4</v>
      </c>
      <c r="D32" s="2" t="s">
        <v>23</v>
      </c>
      <c r="E32" s="2" t="s">
        <v>29</v>
      </c>
      <c r="F32" s="1" t="s">
        <v>45</v>
      </c>
      <c r="G32" s="1" t="s">
        <v>85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" s="2">
        <f>Games[[#This Row],[DaysOff]]-Games[[#This Row],[OppDaysOff]]</f>
        <v>-4</v>
      </c>
      <c r="L32" s="2">
        <f>Games[[#This Row],[OppDaysOff]]-Games[[#This Row],[DaysOff]]</f>
        <v>4</v>
      </c>
      <c r="M32" s="1">
        <f>MAX(-16, MIN(16, Games[[#This Row],[RestDiff]]*8))</f>
        <v>-16</v>
      </c>
      <c r="N32" s="1">
        <f>MAX(-16, MIN(16, Games[[#This Row],[OppRestDiff]]*8))</f>
        <v>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1498.7975108269673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1566.3326840095569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0.2579763150450583</v>
      </c>
      <c r="R32" s="1">
        <v>64</v>
      </c>
      <c r="S32" s="1">
        <v>87</v>
      </c>
      <c r="T32" s="1">
        <v>0</v>
      </c>
      <c r="U32" s="1">
        <f>Games[[#This Row],[PointsFor]]-Games[[#This Row],[PointsAgainst]]</f>
        <v>-23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0.5825521363800088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75.400000000000006</v>
      </c>
      <c r="Z32" s="4">
        <f>Games[[#This Row],[K]]*Games[[#This Row],[POMult]]</f>
        <v>75.400000000000006</v>
      </c>
      <c r="AA32" s="4">
        <f>(Games[[#This Row],[Keff]]*Games[[#This Row],[MOVMult]])*(Games[[#This Row],[Result]]-Games[[#This Row],[ExpectedWin%]])</f>
        <v>-11.331462871256546</v>
      </c>
      <c r="AB32" s="4">
        <f>Games[[#This Row],[PreGmRate]]+Games[[#This Row],[RatingChange]]</f>
        <v>1487.4660479557108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39592</v>
      </c>
      <c r="B33" s="2">
        <v>2008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85</v>
      </c>
      <c r="G33" s="1" t="s">
        <v>45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4</v>
      </c>
      <c r="L33" s="2">
        <f>Games[[#This Row],[OppDaysOff]]-Games[[#This Row],[DaysOff]]</f>
        <v>-4</v>
      </c>
      <c r="M33" s="1">
        <f>MAX(-16, MIN(16, Games[[#This Row],[RestDiff]]*8))</f>
        <v>16</v>
      </c>
      <c r="N33" s="1">
        <f>MAX(-16, MIN(16, Games[[#This Row],[OppRestDiff]]*8))</f>
        <v>-16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1566.3326840095569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1498.7975108269673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0.74202368495494175</v>
      </c>
      <c r="R33" s="1">
        <v>87</v>
      </c>
      <c r="S33" s="1">
        <v>64</v>
      </c>
      <c r="T33" s="1">
        <v>0</v>
      </c>
      <c r="U33" s="1">
        <f>Games[[#This Row],[PointsFor]]-Games[[#This Row],[PointsAgainst]]</f>
        <v>23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0.5825521363800088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11.354005569276284</v>
      </c>
      <c r="AB33" s="4">
        <f>Games[[#This Row],[PreGmRate]]+Games[[#This Row],[RatingChange]]</f>
        <v>1577.6866895788332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39592</v>
      </c>
      <c r="B34" s="2">
        <v>2008</v>
      </c>
      <c r="C34" s="2">
        <f>COUNTIFS(Games[Team],Games[[#This Row],[Team]],Games[Season],Games[[#This Row],[Season]],Games[Date],"&lt;=" &amp; Games[[#This Row],[Date]])</f>
        <v>4</v>
      </c>
      <c r="D34" s="2" t="s">
        <v>23</v>
      </c>
      <c r="E34" s="2" t="s">
        <v>29</v>
      </c>
      <c r="F34" s="1" t="s">
        <v>80</v>
      </c>
      <c r="G34" s="1" t="s">
        <v>83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" s="2">
        <f>Games[[#This Row],[DaysOff]]-Games[[#This Row],[OppDaysOff]]</f>
        <v>-2</v>
      </c>
      <c r="L34" s="2">
        <f>Games[[#This Row],[OppDaysOff]]-Games[[#This Row],[DaysOff]]</f>
        <v>2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1535.6069812174244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1506.8318908370943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0.3770456576110629</v>
      </c>
      <c r="R34" s="1">
        <v>72</v>
      </c>
      <c r="S34" s="1">
        <v>87</v>
      </c>
      <c r="T34" s="1">
        <v>0</v>
      </c>
      <c r="U34" s="1">
        <f>Games[[#This Row],[PointsFor]]-Games[[#This Row],[PointsAgainst]]</f>
        <v>-15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0.49107248216412536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75.400000000000006</v>
      </c>
      <c r="Z34" s="4">
        <f>Games[[#This Row],[K]]*Games[[#This Row],[POMult]]</f>
        <v>75.400000000000006</v>
      </c>
      <c r="AA34" s="4">
        <f>(Games[[#This Row],[Keff]]*Games[[#This Row],[MOVMult]])*(Games[[#This Row],[Result]]-Games[[#This Row],[ExpectedWin%]])</f>
        <v>-13.960818721709128</v>
      </c>
      <c r="AB34" s="4">
        <f>Games[[#This Row],[PreGmRate]]+Games[[#This Row],[RatingChange]]</f>
        <v>1521.6461624957153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39592</v>
      </c>
      <c r="B35" s="2">
        <v>2008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83</v>
      </c>
      <c r="G35" s="1" t="s">
        <v>80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2</v>
      </c>
      <c r="L35" s="2">
        <f>Games[[#This Row],[OppDaysOff]]-Games[[#This Row],[DaysOff]]</f>
        <v>-2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1506.8318908370943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1535.6069812174244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0.6229543423889371</v>
      </c>
      <c r="R35" s="1">
        <v>87</v>
      </c>
      <c r="S35" s="1">
        <v>72</v>
      </c>
      <c r="T35" s="1">
        <v>0</v>
      </c>
      <c r="U35" s="1">
        <f>Games[[#This Row],[PointsFor]]-Games[[#This Row],[PointsAgainst]]</f>
        <v>15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0.49107248216412536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13.988592233754968</v>
      </c>
      <c r="AB35" s="4">
        <f>Games[[#This Row],[PreGmRate]]+Games[[#This Row],[RatingChange]]</f>
        <v>1520.8204830708494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39593</v>
      </c>
      <c r="B36" s="2">
        <v>2008</v>
      </c>
      <c r="C36" s="2">
        <f>COUNTIFS(Games[Team],Games[[#This Row],[Team]],Games[Season],Games[[#This Row],[Season]],Games[Date],"&lt;=" &amp; Games[[#This Row],[Date]])</f>
        <v>2</v>
      </c>
      <c r="D36" s="2" t="s">
        <v>23</v>
      </c>
      <c r="E36" s="2" t="s">
        <v>29</v>
      </c>
      <c r="F36" s="1" t="s">
        <v>69</v>
      </c>
      <c r="G36" s="1" t="s">
        <v>88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7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6</v>
      </c>
      <c r="L36" s="2">
        <f>Games[[#This Row],[OppDaysOff]]-Games[[#This Row],[DaysOff]]</f>
        <v>-6</v>
      </c>
      <c r="M36" s="1">
        <f>MAX(-16, MIN(16, Games[[#This Row],[RestDiff]]*8))</f>
        <v>16</v>
      </c>
      <c r="N36" s="1">
        <f>MAX(-16, MIN(16, Games[[#This Row],[OppRestDiff]]*8))</f>
        <v>-16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1451.5913093455006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1462.8055445827738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0.41001813969433643</v>
      </c>
      <c r="R36" s="1">
        <v>74</v>
      </c>
      <c r="S36" s="1">
        <v>56</v>
      </c>
      <c r="T36" s="1">
        <v>0</v>
      </c>
      <c r="U36" s="1">
        <f>Games[[#This Row],[PointsFor]]-Games[[#This Row],[PointsAgainst]]</f>
        <v>18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0.54177097615025782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75.7</v>
      </c>
      <c r="Z36" s="4">
        <f>Games[[#This Row],[K]]*Games[[#This Row],[POMult]]</f>
        <v>75.7</v>
      </c>
      <c r="AA36" s="4">
        <f>(Games[[#This Row],[Keff]]*Games[[#This Row],[MOVMult]])*(Games[[#This Row],[Result]]-Games[[#This Row],[ExpectedWin%]])</f>
        <v>24.196373161513954</v>
      </c>
      <c r="AB36" s="4">
        <f>Games[[#This Row],[PreGmRate]]+Games[[#This Row],[RatingChange]]</f>
        <v>1475.7876825070146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39593</v>
      </c>
      <c r="B37" s="2">
        <v>2008</v>
      </c>
      <c r="C37" s="2">
        <f>COUNTIFS(Games[Team],Games[[#This Row],[Team]],Games[Season],Games[[#This Row],[Season]],Games[Date],"&lt;=" &amp; Games[[#This Row],[Date]])</f>
        <v>3</v>
      </c>
      <c r="D37" s="2" t="s">
        <v>23</v>
      </c>
      <c r="E37" s="2" t="s">
        <v>29</v>
      </c>
      <c r="F37" s="1" t="s">
        <v>88</v>
      </c>
      <c r="G37" s="1" t="s">
        <v>69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7" s="2">
        <f>Games[[#This Row],[DaysOff]]-Games[[#This Row],[OppDaysOff]]</f>
        <v>-6</v>
      </c>
      <c r="L37" s="2">
        <f>Games[[#This Row],[OppDaysOff]]-Games[[#This Row],[DaysOff]]</f>
        <v>6</v>
      </c>
      <c r="M37" s="1">
        <f>MAX(-16, MIN(16, Games[[#This Row],[RestDiff]]*8))</f>
        <v>-16</v>
      </c>
      <c r="N37" s="1">
        <f>MAX(-16, MIN(16, Games[[#This Row],[OppRestDiff]]*8))</f>
        <v>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1462.8055445827738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1451.5913093455006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0.58998186030566357</v>
      </c>
      <c r="R37" s="1">
        <v>56</v>
      </c>
      <c r="S37" s="1">
        <v>74</v>
      </c>
      <c r="T37" s="1">
        <v>0</v>
      </c>
      <c r="U37" s="1">
        <f>Games[[#This Row],[PointsFor]]-Games[[#This Row],[PointsAgainst]]</f>
        <v>-18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0.54177097615025782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-24.148427904258639</v>
      </c>
      <c r="AB37" s="4">
        <f>Games[[#This Row],[PreGmRate]]+Games[[#This Row],[RatingChange]]</f>
        <v>1438.6571166785152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39593</v>
      </c>
      <c r="B38" s="2">
        <v>2008</v>
      </c>
      <c r="C38" s="2">
        <f>COUNTIFS(Games[Team],Games[[#This Row],[Team]],Games[Season],Games[[#This Row],[Season]],Games[Date],"&lt;=" &amp; Games[[#This Row],[Date]])</f>
        <v>3</v>
      </c>
      <c r="D38" s="2" t="s">
        <v>23</v>
      </c>
      <c r="E38" s="2" t="s">
        <v>29</v>
      </c>
      <c r="F38" s="1" t="s">
        <v>66</v>
      </c>
      <c r="G38" s="1" t="s">
        <v>74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1</v>
      </c>
      <c r="L38" s="2">
        <f>Games[[#This Row],[OppDaysOff]]-Games[[#This Row],[DaysOff]]</f>
        <v>-1</v>
      </c>
      <c r="M38" s="1">
        <f>MAX(-16, MIN(16, Games[[#This Row],[RestDiff]]*8))</f>
        <v>8</v>
      </c>
      <c r="N38" s="1">
        <f>MAX(-16, MIN(16, Games[[#This Row],[OppRestDiff]]*8))</f>
        <v>-8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1483.172732303881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1571.3333897125899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0.28926981459019263</v>
      </c>
      <c r="R38" s="1">
        <v>62</v>
      </c>
      <c r="S38" s="1">
        <v>72</v>
      </c>
      <c r="T38" s="1">
        <v>0</v>
      </c>
      <c r="U38" s="1">
        <f>Games[[#This Row],[PointsFor]]-Games[[#This Row],[PointsAgainst]]</f>
        <v>-10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0.39417105023231552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-8.6143459789538941</v>
      </c>
      <c r="AB38" s="4">
        <f>Games[[#This Row],[PreGmRate]]+Games[[#This Row],[RatingChange]]</f>
        <v>1474.5583863249271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39593</v>
      </c>
      <c r="B39" s="2">
        <v>2008</v>
      </c>
      <c r="C39" s="2">
        <f>COUNTIFS(Games[Team],Games[[#This Row],[Team]],Games[Season],Games[[#This Row],[Season]],Games[Date],"&lt;=" &amp; Games[[#This Row],[Date]])</f>
        <v>5</v>
      </c>
      <c r="D39" s="2" t="s">
        <v>23</v>
      </c>
      <c r="E39" s="2" t="s">
        <v>29</v>
      </c>
      <c r="F39" s="1" t="s">
        <v>74</v>
      </c>
      <c r="G39" s="1" t="s">
        <v>66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-1</v>
      </c>
      <c r="L39" s="2">
        <f>Games[[#This Row],[OppDaysOff]]-Games[[#This Row],[DaysOff]]</f>
        <v>1</v>
      </c>
      <c r="M39" s="1">
        <f>MAX(-16, MIN(16, Games[[#This Row],[RestDiff]]*8))</f>
        <v>-8</v>
      </c>
      <c r="N39" s="1">
        <f>MAX(-16, MIN(16, Games[[#This Row],[OppRestDiff]]*8))</f>
        <v>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1571.3333897125899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1483.172732303881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0.71073018540980737</v>
      </c>
      <c r="R39" s="1">
        <v>72</v>
      </c>
      <c r="S39" s="1">
        <v>62</v>
      </c>
      <c r="T39" s="1">
        <v>0</v>
      </c>
      <c r="U39" s="1">
        <f>Games[[#This Row],[PointsFor]]-Games[[#This Row],[PointsAgainst]]</f>
        <v>10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0.39417105023231552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75.25</v>
      </c>
      <c r="Z39" s="4">
        <f>Games[[#This Row],[K]]*Games[[#This Row],[POMult]]</f>
        <v>75.25</v>
      </c>
      <c r="AA39" s="4">
        <f>(Games[[#This Row],[Keff]]*Games[[#This Row],[MOVMult]])*(Games[[#This Row],[Result]]-Games[[#This Row],[ExpectedWin%]])</f>
        <v>8.5801394429686368</v>
      </c>
      <c r="AB39" s="4">
        <f>Games[[#This Row],[PreGmRate]]+Games[[#This Row],[RatingChange]]</f>
        <v>1579.9135291555585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39593</v>
      </c>
      <c r="B40" s="2">
        <v>2008</v>
      </c>
      <c r="C40" s="2">
        <f>COUNTIFS(Games[Team],Games[[#This Row],[Team]],Games[Season],Games[[#This Row],[Season]],Games[Date],"&lt;=" &amp; Games[[#This Row],[Date]])</f>
        <v>2</v>
      </c>
      <c r="D40" s="2" t="s">
        <v>23</v>
      </c>
      <c r="E40" s="2" t="s">
        <v>29</v>
      </c>
      <c r="F40" s="1" t="s">
        <v>2</v>
      </c>
      <c r="G40" s="1" t="s">
        <v>72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7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" s="2">
        <f>Games[[#This Row],[DaysOff]]-Games[[#This Row],[OppDaysOff]]</f>
        <v>5</v>
      </c>
      <c r="L40" s="2">
        <f>Games[[#This Row],[OppDaysOff]]-Games[[#This Row],[DaysOff]]</f>
        <v>-5</v>
      </c>
      <c r="M40" s="1">
        <f>MAX(-16, MIN(16, Games[[#This Row],[RestDiff]]*8))</f>
        <v>16</v>
      </c>
      <c r="N40" s="1">
        <f>MAX(-16, MIN(16, Games[[#This Row],[OppRestDiff]]*8))</f>
        <v>-16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1464.5725051000327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1470.1623468464556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0.41787234335554641</v>
      </c>
      <c r="R40" s="1">
        <v>66</v>
      </c>
      <c r="S40" s="1">
        <v>69</v>
      </c>
      <c r="T40" s="1">
        <v>0</v>
      </c>
      <c r="U40" s="1">
        <f>Games[[#This Row],[PointsFor]]-Games[[#This Row],[PointsAgainst]]</f>
        <v>-3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0.28883805524938416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75.7</v>
      </c>
      <c r="Z40" s="4">
        <f>Games[[#This Row],[K]]*Games[[#This Row],[POMult]]</f>
        <v>75.7</v>
      </c>
      <c r="AA40" s="4">
        <f>(Games[[#This Row],[Keff]]*Games[[#This Row],[MOVMult]])*(Games[[#This Row],[Result]]-Games[[#This Row],[ExpectedWin%]])</f>
        <v>-9.1367958292970446</v>
      </c>
      <c r="AB40" s="4">
        <f>Games[[#This Row],[PreGmRate]]+Games[[#This Row],[RatingChange]]</f>
        <v>1455.4357092707357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39593</v>
      </c>
      <c r="B41" s="2">
        <v>2008</v>
      </c>
      <c r="C41" s="2">
        <f>COUNTIFS(Games[Team],Games[[#This Row],[Team]],Games[Season],Games[[#This Row],[Season]],Games[Date],"&lt;=" &amp; Games[[#This Row],[Date]])</f>
        <v>3</v>
      </c>
      <c r="D41" s="2" t="s">
        <v>23</v>
      </c>
      <c r="E41" s="2" t="s">
        <v>29</v>
      </c>
      <c r="F41" s="1" t="s">
        <v>72</v>
      </c>
      <c r="G41" s="1" t="s">
        <v>2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41" s="2">
        <f>Games[[#This Row],[DaysOff]]-Games[[#This Row],[OppDaysOff]]</f>
        <v>-5</v>
      </c>
      <c r="L41" s="2">
        <f>Games[[#This Row],[OppDaysOff]]-Games[[#This Row],[DaysOff]]</f>
        <v>5</v>
      </c>
      <c r="M41" s="1">
        <f>MAX(-16, MIN(16, Games[[#This Row],[RestDiff]]*8))</f>
        <v>-16</v>
      </c>
      <c r="N41" s="1">
        <f>MAX(-16, MIN(16, Games[[#This Row],[OppRestDiff]]*8))</f>
        <v>16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1470.1623468464556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1464.5725051000327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0.58212765664445365</v>
      </c>
      <c r="R41" s="1">
        <v>69</v>
      </c>
      <c r="S41" s="1">
        <v>66</v>
      </c>
      <c r="T41" s="1">
        <v>0</v>
      </c>
      <c r="U41" s="1">
        <f>Games[[#This Row],[PointsFor]]-Games[[#This Row],[PointsAgainst]]</f>
        <v>3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0.28883805524938416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9.118691214047443</v>
      </c>
      <c r="AB41" s="4">
        <f>Games[[#This Row],[PreGmRate]]+Games[[#This Row],[RatingChange]]</f>
        <v>1479.2810380605031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39595</v>
      </c>
      <c r="B42" s="2">
        <v>2008</v>
      </c>
      <c r="C42" s="2">
        <f>COUNTIFS(Games[Team],Games[[#This Row],[Team]],Games[Season],Games[[#This Row],[Season]],Games[Date],"&lt;=" &amp; Games[[#This Row],[Date]])</f>
        <v>3</v>
      </c>
      <c r="D42" s="2" t="s">
        <v>23</v>
      </c>
      <c r="E42" s="2" t="s">
        <v>29</v>
      </c>
      <c r="F42" s="1" t="s">
        <v>78</v>
      </c>
      <c r="G42" s="1" t="s">
        <v>85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" s="2">
        <f>Games[[#This Row],[DaysOff]]-Games[[#This Row],[OppDaysOff]]</f>
        <v>3</v>
      </c>
      <c r="L42" s="2">
        <f>Games[[#This Row],[OppDaysOff]]-Games[[#This Row],[DaysOff]]</f>
        <v>-3</v>
      </c>
      <c r="M42" s="1">
        <f>MAX(-16, MIN(16, Games[[#This Row],[RestDiff]]*8))</f>
        <v>16</v>
      </c>
      <c r="N42" s="1">
        <f>MAX(-16, MIN(16, Games[[#This Row],[OppRestDiff]]*8))</f>
        <v>-16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1534.369737298377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1577.6866895788332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0.36616874431902502</v>
      </c>
      <c r="R42" s="1">
        <v>75</v>
      </c>
      <c r="S42" s="1">
        <v>46</v>
      </c>
      <c r="T42" s="1">
        <v>0</v>
      </c>
      <c r="U42" s="1">
        <f>Games[[#This Row],[PointsFor]]-Games[[#This Row],[PointsAgainst]]</f>
        <v>29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0.66727598501044771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31.953145366375576</v>
      </c>
      <c r="AB42" s="4">
        <f>Games[[#This Row],[PreGmRate]]+Games[[#This Row],[RatingChange]]</f>
        <v>1566.3228826647526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39595</v>
      </c>
      <c r="B43" s="2">
        <v>2008</v>
      </c>
      <c r="C43" s="2">
        <f>COUNTIFS(Games[Team],Games[[#This Row],[Team]],Games[Season],Games[[#This Row],[Season]],Games[Date],"&lt;=" &amp; Games[[#This Row],[Date]])</f>
        <v>4</v>
      </c>
      <c r="D43" s="2" t="s">
        <v>23</v>
      </c>
      <c r="E43" s="2" t="s">
        <v>29</v>
      </c>
      <c r="F43" s="1" t="s">
        <v>85</v>
      </c>
      <c r="G43" s="1" t="s">
        <v>78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3" s="2">
        <f>Games[[#This Row],[DaysOff]]-Games[[#This Row],[OppDaysOff]]</f>
        <v>-3</v>
      </c>
      <c r="L43" s="2">
        <f>Games[[#This Row],[OppDaysOff]]-Games[[#This Row],[DaysOff]]</f>
        <v>3</v>
      </c>
      <c r="M43" s="1">
        <f>MAX(-16, MIN(16, Games[[#This Row],[RestDiff]]*8))</f>
        <v>-16</v>
      </c>
      <c r="N43" s="1">
        <f>MAX(-16, MIN(16, Games[[#This Row],[OppRestDiff]]*8))</f>
        <v>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1577.6866895788332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1534.369737298377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0.63383125568097498</v>
      </c>
      <c r="R43" s="1">
        <v>46</v>
      </c>
      <c r="S43" s="1">
        <v>75</v>
      </c>
      <c r="T43" s="1">
        <v>0</v>
      </c>
      <c r="U43" s="1">
        <f>Games[[#This Row],[PointsFor]]-Games[[#This Row],[PointsAgainst]]</f>
        <v>-29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0.66727598501044771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-31.889704310055841</v>
      </c>
      <c r="AB43" s="4">
        <f>Games[[#This Row],[PreGmRate]]+Games[[#This Row],[RatingChange]]</f>
        <v>1545.7969852687775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39595</v>
      </c>
      <c r="B44" s="2">
        <v>2008</v>
      </c>
      <c r="C44" s="2">
        <f>COUNTIFS(Games[Team],Games[[#This Row],[Team]],Games[Season],Games[[#This Row],[Season]],Games[Date],"&lt;=" &amp; Games[[#This Row],[Date]])</f>
        <v>2</v>
      </c>
      <c r="D44" s="2" t="s">
        <v>23</v>
      </c>
      <c r="E44" s="2" t="s">
        <v>29</v>
      </c>
      <c r="F44" s="1" t="s">
        <v>76</v>
      </c>
      <c r="G44" s="1" t="s">
        <v>2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8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7</v>
      </c>
      <c r="L44" s="2">
        <f>Games[[#This Row],[OppDaysOff]]-Games[[#This Row],[DaysOff]]</f>
        <v>-7</v>
      </c>
      <c r="M44" s="1">
        <f>MAX(-16, MIN(16, Games[[#This Row],[RestDiff]]*8))</f>
        <v>16</v>
      </c>
      <c r="N44" s="1">
        <f>MAX(-16, MIN(16, Games[[#This Row],[OppRestDiff]]*8))</f>
        <v>-16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1462.7882033668154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1455.4357092707357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0.43609843895284145</v>
      </c>
      <c r="R44" s="1">
        <v>98</v>
      </c>
      <c r="S44" s="1">
        <v>92</v>
      </c>
      <c r="T44" s="1">
        <v>1</v>
      </c>
      <c r="U44" s="1">
        <f>Games[[#This Row],[PointsFor]]-Games[[#This Row],[PointsAgainst]]</f>
        <v>6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0.3142273891290609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75.7</v>
      </c>
      <c r="Z44" s="4">
        <f>Games[[#This Row],[K]]*Games[[#This Row],[POMult]]</f>
        <v>75.7</v>
      </c>
      <c r="AA44" s="4">
        <f>(Games[[#This Row],[Keff]]*Games[[#This Row],[MOVMult]])*(Games[[#This Row],[Result]]-Games[[#This Row],[ExpectedWin%]])</f>
        <v>13.413533964701331</v>
      </c>
      <c r="AB44" s="4">
        <f>Games[[#This Row],[PreGmRate]]+Games[[#This Row],[RatingChange]]</f>
        <v>1476.2017373315168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39595</v>
      </c>
      <c r="B45" s="2">
        <v>2008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2</v>
      </c>
      <c r="G45" s="1" t="s">
        <v>76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45" s="2">
        <f>Games[[#This Row],[DaysOff]]-Games[[#This Row],[OppDaysOff]]</f>
        <v>-7</v>
      </c>
      <c r="L45" s="2">
        <f>Games[[#This Row],[OppDaysOff]]-Games[[#This Row],[DaysOff]]</f>
        <v>7</v>
      </c>
      <c r="M45" s="1">
        <f>MAX(-16, MIN(16, Games[[#This Row],[RestDiff]]*8))</f>
        <v>-16</v>
      </c>
      <c r="N45" s="1">
        <f>MAX(-16, MIN(16, Games[[#This Row],[OppRestDiff]]*8))</f>
        <v>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1455.4357092707357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1462.7882033668154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0.56390156104715861</v>
      </c>
      <c r="R45" s="1">
        <v>92</v>
      </c>
      <c r="S45" s="1">
        <v>98</v>
      </c>
      <c r="T45" s="1">
        <v>1</v>
      </c>
      <c r="U45" s="1">
        <f>Games[[#This Row],[PointsFor]]-Games[[#This Row],[PointsAgainst]]</f>
        <v>-6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0.3142273891290609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-13.386954967413287</v>
      </c>
      <c r="AB45" s="4">
        <f>Games[[#This Row],[PreGmRate]]+Games[[#This Row],[RatingChange]]</f>
        <v>1442.0487543033225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39595</v>
      </c>
      <c r="B46" s="2">
        <v>2008</v>
      </c>
      <c r="C46" s="2">
        <f>COUNTIFS(Games[Team],Games[[#This Row],[Team]],Games[Season],Games[[#This Row],[Season]],Games[Date],"&lt;=" &amp; Games[[#This Row],[Date]])</f>
        <v>4</v>
      </c>
      <c r="D46" s="2" t="s">
        <v>23</v>
      </c>
      <c r="E46" s="2" t="s">
        <v>29</v>
      </c>
      <c r="F46" s="1" t="s">
        <v>88</v>
      </c>
      <c r="G46" s="1" t="s">
        <v>72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1438.6571166785152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1479.2810380605031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0.3279673292586584</v>
      </c>
      <c r="R46" s="1">
        <v>74</v>
      </c>
      <c r="S46" s="1">
        <v>80</v>
      </c>
      <c r="T46" s="1">
        <v>0</v>
      </c>
      <c r="U46" s="1">
        <f>Games[[#This Row],[PointsFor]]-Games[[#This Row],[PointsAgainst]]</f>
        <v>-6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0.33977816004032935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-8.4022846309391266</v>
      </c>
      <c r="AB46" s="4">
        <f>Games[[#This Row],[PreGmRate]]+Games[[#This Row],[RatingChange]]</f>
        <v>1430.254832047576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39595</v>
      </c>
      <c r="B47" s="2">
        <v>2008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72</v>
      </c>
      <c r="G47" s="1" t="s">
        <v>88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1479.2810380605031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1438.6571166785152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0.67203267074134154</v>
      </c>
      <c r="R47" s="1">
        <v>80</v>
      </c>
      <c r="S47" s="1">
        <v>74</v>
      </c>
      <c r="T47" s="1">
        <v>0</v>
      </c>
      <c r="U47" s="1">
        <f>Games[[#This Row],[PointsFor]]-Games[[#This Row],[PointsAgainst]]</f>
        <v>6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0.33977816004032935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8.4022846309391284</v>
      </c>
      <c r="AB47" s="4">
        <f>Games[[#This Row],[PreGmRate]]+Games[[#This Row],[RatingChange]]</f>
        <v>1487.6833226914423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39597</v>
      </c>
      <c r="B48" s="2">
        <v>2008</v>
      </c>
      <c r="C48" s="2">
        <f>COUNTIFS(Games[Team],Games[[#This Row],[Team]],Games[Season],Games[[#This Row],[Season]],Games[Date],"&lt;=" &amp; Games[[#This Row],[Date]])</f>
        <v>3</v>
      </c>
      <c r="D48" s="2" t="s">
        <v>23</v>
      </c>
      <c r="E48" s="2" t="s">
        <v>29</v>
      </c>
      <c r="F48" s="1" t="s">
        <v>76</v>
      </c>
      <c r="G48" s="1" t="s">
        <v>86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8" s="2">
        <f>Games[[#This Row],[DaysOff]]-Games[[#This Row],[OppDaysOff]]</f>
        <v>-5</v>
      </c>
      <c r="L48" s="2">
        <f>Games[[#This Row],[OppDaysOff]]-Games[[#This Row],[DaysOff]]</f>
        <v>5</v>
      </c>
      <c r="M48" s="1">
        <f>MAX(-16, MIN(16, Games[[#This Row],[RestDiff]]*8))</f>
        <v>-16</v>
      </c>
      <c r="N48" s="1">
        <f>MAX(-16, MIN(16, Games[[#This Row],[OppRestDiff]]*8))</f>
        <v>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1476.2017373315168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1466.4080105091612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0.35174618632454502</v>
      </c>
      <c r="R48" s="1">
        <v>75</v>
      </c>
      <c r="S48" s="1">
        <v>69</v>
      </c>
      <c r="T48" s="1">
        <v>0</v>
      </c>
      <c r="U48" s="1">
        <f>Games[[#This Row],[PointsFor]]-Games[[#This Row],[PointsAgainst]]</f>
        <v>6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0.34843701365223551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75.55</v>
      </c>
      <c r="Z48" s="4">
        <f>Games[[#This Row],[K]]*Games[[#This Row],[POMult]]</f>
        <v>75.55</v>
      </c>
      <c r="AA48" s="4">
        <f>(Games[[#This Row],[Keff]]*Games[[#This Row],[MOVMult]])*(Games[[#This Row],[Result]]-Games[[#This Row],[ExpectedWin%]])</f>
        <v>17.064903312040279</v>
      </c>
      <c r="AB48" s="4">
        <f>Games[[#This Row],[PreGmRate]]+Games[[#This Row],[RatingChange]]</f>
        <v>1493.2666406435571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39597</v>
      </c>
      <c r="B49" s="2">
        <v>2008</v>
      </c>
      <c r="C49" s="2">
        <f>COUNTIFS(Games[Team],Games[[#This Row],[Team]],Games[Season],Games[[#This Row],[Season]],Games[Date],"&lt;=" &amp; Games[[#This Row],[Date]])</f>
        <v>3</v>
      </c>
      <c r="D49" s="2" t="s">
        <v>23</v>
      </c>
      <c r="E49" s="2" t="s">
        <v>29</v>
      </c>
      <c r="F49" s="1" t="s">
        <v>86</v>
      </c>
      <c r="G49" s="1" t="s">
        <v>76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6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5</v>
      </c>
      <c r="L49" s="2">
        <f>Games[[#This Row],[OppDaysOff]]-Games[[#This Row],[DaysOff]]</f>
        <v>-5</v>
      </c>
      <c r="M49" s="1">
        <f>MAX(-16, MIN(16, Games[[#This Row],[RestDiff]]*8))</f>
        <v>16</v>
      </c>
      <c r="N49" s="1">
        <f>MAX(-16, MIN(16, Games[[#This Row],[OppRestDiff]]*8))</f>
        <v>-16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1466.4080105091612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1476.2017373315168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0.64825381367545498</v>
      </c>
      <c r="R49" s="1">
        <v>69</v>
      </c>
      <c r="S49" s="1">
        <v>75</v>
      </c>
      <c r="T49" s="1">
        <v>0</v>
      </c>
      <c r="U49" s="1">
        <f>Games[[#This Row],[PointsFor]]-Games[[#This Row],[PointsAgainst]]</f>
        <v>-6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0.34843701365223551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-17.064903312040279</v>
      </c>
      <c r="AB49" s="4">
        <f>Games[[#This Row],[PreGmRate]]+Games[[#This Row],[RatingChange]]</f>
        <v>1449.3431071971208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39597</v>
      </c>
      <c r="B50" s="2">
        <v>2008</v>
      </c>
      <c r="C50" s="2">
        <f>COUNTIFS(Games[Team],Games[[#This Row],[Team]],Games[Season],Games[[#This Row],[Season]],Games[Date],"&lt;=" &amp; Games[[#This Row],[Date]])</f>
        <v>3</v>
      </c>
      <c r="D50" s="2" t="s">
        <v>23</v>
      </c>
      <c r="E50" s="2" t="s">
        <v>29</v>
      </c>
      <c r="F50" s="1" t="s">
        <v>69</v>
      </c>
      <c r="G50" s="1" t="s">
        <v>78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2</v>
      </c>
      <c r="L50" s="2">
        <f>Games[[#This Row],[OppDaysOff]]-Games[[#This Row],[DaysOff]]</f>
        <v>-2</v>
      </c>
      <c r="M50" s="1">
        <f>MAX(-16, MIN(16, Games[[#This Row],[RestDiff]]*8))</f>
        <v>16</v>
      </c>
      <c r="N50" s="1">
        <f>MAX(-16, MIN(16, Games[[#This Row],[OppRestDiff]]*8))</f>
        <v>-16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1475.7876825070146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1566.3228826647526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0.30565783804140251</v>
      </c>
      <c r="R50" s="1">
        <v>78</v>
      </c>
      <c r="S50" s="1">
        <v>82</v>
      </c>
      <c r="T50" s="1">
        <v>1</v>
      </c>
      <c r="U50" s="1">
        <f>Games[[#This Row],[PointsFor]]-Games[[#This Row],[PointsAgainst]]</f>
        <v>-4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0.2606262530887023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75.55</v>
      </c>
      <c r="Z50" s="4">
        <f>Games[[#This Row],[K]]*Games[[#This Row],[POMult]]</f>
        <v>75.55</v>
      </c>
      <c r="AA50" s="4">
        <f>(Games[[#This Row],[Keff]]*Games[[#This Row],[MOVMult]])*(Games[[#This Row],[Result]]-Games[[#This Row],[ExpectedWin%]])</f>
        <v>-6.0184986305750687</v>
      </c>
      <c r="AB50" s="4">
        <f>Games[[#This Row],[PreGmRate]]+Games[[#This Row],[RatingChange]]</f>
        <v>1469.7691838764395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39597</v>
      </c>
      <c r="B51" s="2">
        <v>2008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78</v>
      </c>
      <c r="G51" s="1" t="s">
        <v>69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1" s="2">
        <f>Games[[#This Row],[DaysOff]]-Games[[#This Row],[OppDaysOff]]</f>
        <v>-2</v>
      </c>
      <c r="L51" s="2">
        <f>Games[[#This Row],[OppDaysOff]]-Games[[#This Row],[DaysOff]]</f>
        <v>2</v>
      </c>
      <c r="M51" s="1">
        <f>MAX(-16, MIN(16, Games[[#This Row],[RestDiff]]*8))</f>
        <v>-16</v>
      </c>
      <c r="N51" s="1">
        <f>MAX(-16, MIN(16, Games[[#This Row],[OppRestDiff]]*8))</f>
        <v>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1566.3228826647526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1475.7876825070146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0.69434216195859755</v>
      </c>
      <c r="R51" s="1">
        <v>82</v>
      </c>
      <c r="S51" s="1">
        <v>78</v>
      </c>
      <c r="T51" s="1">
        <v>1</v>
      </c>
      <c r="U51" s="1">
        <f>Games[[#This Row],[PointsFor]]-Games[[#This Row],[PointsAgainst]]</f>
        <v>4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0.2606262530887023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6.00654926201668</v>
      </c>
      <c r="AB51" s="4">
        <f>Games[[#This Row],[PreGmRate]]+Games[[#This Row],[RatingChange]]</f>
        <v>1572.3294319267693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39598</v>
      </c>
      <c r="B52" s="2">
        <v>2008</v>
      </c>
      <c r="C52" s="2">
        <f>COUNTIFS(Games[Team],Games[[#This Row],[Team]],Games[Season],Games[[#This Row],[Season]],Games[Date],"&lt;=" &amp; Games[[#This Row],[Date]])</f>
        <v>4</v>
      </c>
      <c r="D52" s="2" t="s">
        <v>23</v>
      </c>
      <c r="E52" s="2" t="s">
        <v>29</v>
      </c>
      <c r="F52" s="1" t="s">
        <v>66</v>
      </c>
      <c r="G52" s="1" t="s">
        <v>85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4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2</v>
      </c>
      <c r="L52" s="2">
        <f>Games[[#This Row],[OppDaysOff]]-Games[[#This Row],[DaysOff]]</f>
        <v>-2</v>
      </c>
      <c r="M52" s="1">
        <f>MAX(-16, MIN(16, Games[[#This Row],[RestDiff]]*8))</f>
        <v>16</v>
      </c>
      <c r="N52" s="1">
        <f>MAX(-16, MIN(16, Games[[#This Row],[OppRestDiff]]*8))</f>
        <v>-16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1474.5583863249271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1545.7969852687775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0.32972736481717629</v>
      </c>
      <c r="R52" s="1">
        <v>84</v>
      </c>
      <c r="S52" s="1">
        <v>89</v>
      </c>
      <c r="T52" s="1">
        <v>0</v>
      </c>
      <c r="U52" s="1">
        <f>Games[[#This Row],[PointsFor]]-Games[[#This Row],[PointsAgainst]]</f>
        <v>-5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0.3131647913178896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-7.7857287051655577</v>
      </c>
      <c r="AB52" s="4">
        <f>Games[[#This Row],[PreGmRate]]+Games[[#This Row],[RatingChange]]</f>
        <v>1466.7726576197615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39598</v>
      </c>
      <c r="B53" s="2">
        <v>2008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85</v>
      </c>
      <c r="G53" s="1" t="s">
        <v>66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3" s="2">
        <f>Games[[#This Row],[DaysOff]]-Games[[#This Row],[OppDaysOff]]</f>
        <v>-2</v>
      </c>
      <c r="L53" s="2">
        <f>Games[[#This Row],[OppDaysOff]]-Games[[#This Row],[DaysOff]]</f>
        <v>2</v>
      </c>
      <c r="M53" s="1">
        <f>MAX(-16, MIN(16, Games[[#This Row],[RestDiff]]*8))</f>
        <v>-16</v>
      </c>
      <c r="N53" s="1">
        <f>MAX(-16, MIN(16, Games[[#This Row],[OppRestDiff]]*8))</f>
        <v>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1545.7969852687775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1474.5583863249271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0.67027263518282376</v>
      </c>
      <c r="R53" s="1">
        <v>89</v>
      </c>
      <c r="S53" s="1">
        <v>84</v>
      </c>
      <c r="T53" s="1">
        <v>0</v>
      </c>
      <c r="U53" s="1">
        <f>Games[[#This Row],[PointsFor]]-Games[[#This Row],[PointsAgainst]]</f>
        <v>5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0.3131647913178896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7.7702398549563414</v>
      </c>
      <c r="AB53" s="4">
        <f>Games[[#This Row],[PreGmRate]]+Games[[#This Row],[RatingChange]]</f>
        <v>1553.5672251237338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39598</v>
      </c>
      <c r="B54" s="2">
        <v>2008</v>
      </c>
      <c r="C54" s="2">
        <f>COUNTIFS(Games[Team],Games[[#This Row],[Team]],Games[Season],Games[[#This Row],[Season]],Games[Date],"&lt;=" &amp; Games[[#This Row],[Date]])</f>
        <v>4</v>
      </c>
      <c r="D54" s="2" t="s">
        <v>23</v>
      </c>
      <c r="E54" s="2" t="s">
        <v>29</v>
      </c>
      <c r="F54" s="1" t="s">
        <v>2</v>
      </c>
      <c r="G54" s="1" t="s">
        <v>45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4" s="2">
        <f>Games[[#This Row],[DaysOff]]-Games[[#This Row],[OppDaysOff]]</f>
        <v>-3</v>
      </c>
      <c r="L54" s="2">
        <f>Games[[#This Row],[OppDaysOff]]-Games[[#This Row],[DaysOff]]</f>
        <v>3</v>
      </c>
      <c r="M54" s="1">
        <f>MAX(-16, MIN(16, Games[[#This Row],[RestDiff]]*8))</f>
        <v>-16</v>
      </c>
      <c r="N54" s="1">
        <f>MAX(-16, MIN(16, Games[[#This Row],[OppRestDiff]]*8))</f>
        <v>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1442.0487543033225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1487.4660479557108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0.28308854000663553</v>
      </c>
      <c r="R54" s="1">
        <v>66</v>
      </c>
      <c r="S54" s="1">
        <v>73</v>
      </c>
      <c r="T54" s="1">
        <v>0</v>
      </c>
      <c r="U54" s="1">
        <f>Games[[#This Row],[PointsFor]]-Games[[#This Row],[PointsAgainst]]</f>
        <v>-7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0.35661027773438475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-7.6118021287891597</v>
      </c>
      <c r="AB54" s="4">
        <f>Games[[#This Row],[PreGmRate]]+Games[[#This Row],[RatingChange]]</f>
        <v>1434.4369521745334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39598</v>
      </c>
      <c r="B55" s="2">
        <v>2008</v>
      </c>
      <c r="C55" s="2">
        <f>COUNTIFS(Games[Team],Games[[#This Row],[Team]],Games[Season],Games[[#This Row],[Season]],Games[Date],"&lt;=" &amp; Games[[#This Row],[Date]])</f>
        <v>5</v>
      </c>
      <c r="D55" s="2" t="s">
        <v>23</v>
      </c>
      <c r="E55" s="2" t="s">
        <v>29</v>
      </c>
      <c r="F55" s="1" t="s">
        <v>45</v>
      </c>
      <c r="G55" s="1" t="s">
        <v>2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5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3</v>
      </c>
      <c r="L55" s="2">
        <f>Games[[#This Row],[OppDaysOff]]-Games[[#This Row],[DaysOff]]</f>
        <v>-3</v>
      </c>
      <c r="M55" s="1">
        <f>MAX(-16, MIN(16, Games[[#This Row],[RestDiff]]*8))</f>
        <v>16</v>
      </c>
      <c r="N55" s="1">
        <f>MAX(-16, MIN(16, Games[[#This Row],[OppRestDiff]]*8))</f>
        <v>-16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1487.4660479557108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1442.0487543033225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0.71691145999336447</v>
      </c>
      <c r="R55" s="1">
        <v>73</v>
      </c>
      <c r="S55" s="1">
        <v>66</v>
      </c>
      <c r="T55" s="1">
        <v>0</v>
      </c>
      <c r="U55" s="1">
        <f>Games[[#This Row],[PointsFor]]-Games[[#This Row],[PointsAgainst]]</f>
        <v>7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0.35661027773438475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7.5966592863578803</v>
      </c>
      <c r="AB55" s="4">
        <f>Games[[#This Row],[PreGmRate]]+Games[[#This Row],[RatingChange]]</f>
        <v>1495.0627072420687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39598</v>
      </c>
      <c r="B56" s="2">
        <v>2008</v>
      </c>
      <c r="C56" s="2">
        <f>COUNTIFS(Games[Team],Games[[#This Row],[Team]],Games[Season],Games[[#This Row],[Season]],Games[Date],"&lt;=" &amp; Games[[#This Row],[Date]])</f>
        <v>4</v>
      </c>
      <c r="D56" s="2" t="s">
        <v>23</v>
      </c>
      <c r="E56" s="2" t="s">
        <v>29</v>
      </c>
      <c r="F56" s="1" t="s">
        <v>83</v>
      </c>
      <c r="G56" s="1" t="s">
        <v>80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5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1520.8204830708494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1521.6461624957153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0.38029510102168929</v>
      </c>
      <c r="R56" s="1">
        <v>57</v>
      </c>
      <c r="S56" s="1">
        <v>78</v>
      </c>
      <c r="T56" s="1">
        <v>0</v>
      </c>
      <c r="U56" s="1">
        <f>Games[[#This Row],[PointsFor]]-Games[[#This Row],[PointsAgainst]]</f>
        <v>-21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0.5881715884550055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-16.865379533178618</v>
      </c>
      <c r="AB56" s="4">
        <f>Games[[#This Row],[PreGmRate]]+Games[[#This Row],[RatingChange]]</f>
        <v>1503.9551035376708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39598</v>
      </c>
      <c r="B57" s="2">
        <v>2008</v>
      </c>
      <c r="C57" s="2">
        <f>COUNTIFS(Games[Team],Games[[#This Row],[Team]],Games[Season],Games[[#This Row],[Season]],Games[Date],"&lt;=" &amp; Games[[#This Row],[Date]])</f>
        <v>5</v>
      </c>
      <c r="D57" s="2" t="s">
        <v>23</v>
      </c>
      <c r="E57" s="2" t="s">
        <v>29</v>
      </c>
      <c r="F57" s="1" t="s">
        <v>80</v>
      </c>
      <c r="G57" s="1" t="s">
        <v>83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5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1521.6461624957153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1520.8204830708494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0.61970489897831071</v>
      </c>
      <c r="R57" s="1">
        <v>78</v>
      </c>
      <c r="S57" s="1">
        <v>57</v>
      </c>
      <c r="T57" s="1">
        <v>0</v>
      </c>
      <c r="U57" s="1">
        <f>Games[[#This Row],[PointsFor]]-Games[[#This Row],[PointsAgainst]]</f>
        <v>21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0.5881715884550055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16.831827717131176</v>
      </c>
      <c r="AB57" s="4">
        <f>Games[[#This Row],[PreGmRate]]+Games[[#This Row],[RatingChange]]</f>
        <v>1538.4779902128464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39599</v>
      </c>
      <c r="B58" s="2">
        <v>2008</v>
      </c>
      <c r="C58" s="2">
        <f>COUNTIFS(Games[Team],Games[[#This Row],[Team]],Games[Season],Games[[#This Row],[Season]],Games[Date],"&lt;=" &amp; Games[[#This Row],[Date]])</f>
        <v>6</v>
      </c>
      <c r="D58" s="2" t="s">
        <v>23</v>
      </c>
      <c r="E58" s="2" t="s">
        <v>29</v>
      </c>
      <c r="F58" s="1" t="s">
        <v>74</v>
      </c>
      <c r="G58" s="1" t="s">
        <v>78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5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4</v>
      </c>
      <c r="L58" s="2">
        <f>Games[[#This Row],[OppDaysOff]]-Games[[#This Row],[DaysOff]]</f>
        <v>-4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1579.9135291555585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1572.3294319267693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0.43642632647703811</v>
      </c>
      <c r="R58" s="1">
        <v>74</v>
      </c>
      <c r="S58" s="1">
        <v>65</v>
      </c>
      <c r="T58" s="1">
        <v>0</v>
      </c>
      <c r="U58" s="1">
        <f>Games[[#This Row],[PointsFor]]-Games[[#This Row],[PointsAgainst]]</f>
        <v>9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0.40342186825303383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75.099999999999994</v>
      </c>
      <c r="Z58" s="4">
        <f>Games[[#This Row],[K]]*Games[[#This Row],[POMult]]</f>
        <v>75.099999999999994</v>
      </c>
      <c r="AA58" s="4">
        <f>(Games[[#This Row],[Keff]]*Games[[#This Row],[MOVMult]])*(Games[[#This Row],[Result]]-Games[[#This Row],[ExpectedWin%]])</f>
        <v>17.074581614741483</v>
      </c>
      <c r="AB58" s="4">
        <f>Games[[#This Row],[PreGmRate]]+Games[[#This Row],[RatingChange]]</f>
        <v>1596.9881107703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39599</v>
      </c>
      <c r="B59" s="2">
        <v>2008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78</v>
      </c>
      <c r="G59" s="1" t="s">
        <v>74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9" s="2">
        <f>Games[[#This Row],[DaysOff]]-Games[[#This Row],[OppDaysOff]]</f>
        <v>-4</v>
      </c>
      <c r="L59" s="2">
        <f>Games[[#This Row],[OppDaysOff]]-Games[[#This Row],[DaysOff]]</f>
        <v>4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1572.3294319267693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1579.9135291555585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0.56357367352296195</v>
      </c>
      <c r="R59" s="1">
        <v>65</v>
      </c>
      <c r="S59" s="1">
        <v>74</v>
      </c>
      <c r="T59" s="1">
        <v>0</v>
      </c>
      <c r="U59" s="1">
        <f>Games[[#This Row],[PointsFor]]-Games[[#This Row],[PointsAgainst]]</f>
        <v>-9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0.40342186825303383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-17.108685306382114</v>
      </c>
      <c r="AB59" s="4">
        <f>Games[[#This Row],[PreGmRate]]+Games[[#This Row],[RatingChange]]</f>
        <v>1555.2207466203872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39599</v>
      </c>
      <c r="B60" s="2">
        <v>2008</v>
      </c>
      <c r="C60" s="2">
        <f>COUNTIFS(Games[Team],Games[[#This Row],[Team]],Games[Season],Games[[#This Row],[Season]],Games[Date],"&lt;=" &amp; Games[[#This Row],[Date]])</f>
        <v>4</v>
      </c>
      <c r="D60" s="2" t="s">
        <v>23</v>
      </c>
      <c r="E60" s="2" t="s">
        <v>29</v>
      </c>
      <c r="F60" s="1" t="s">
        <v>44</v>
      </c>
      <c r="G60" s="1" t="s">
        <v>76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8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7</v>
      </c>
      <c r="L60" s="2">
        <f>Games[[#This Row],[OppDaysOff]]-Games[[#This Row],[DaysOff]]</f>
        <v>-7</v>
      </c>
      <c r="M60" s="1">
        <f>MAX(-16, MIN(16, Games[[#This Row],[RestDiff]]*8))</f>
        <v>16</v>
      </c>
      <c r="N60" s="1">
        <f>MAX(-16, MIN(16, Games[[#This Row],[OppRestDiff]]*8))</f>
        <v>-16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1550.8343904629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1493.2666406435571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0.50801195024854717</v>
      </c>
      <c r="R60" s="1">
        <v>83</v>
      </c>
      <c r="S60" s="1">
        <v>94</v>
      </c>
      <c r="T60" s="1">
        <v>0</v>
      </c>
      <c r="U60" s="1">
        <f>Games[[#This Row],[PointsFor]]-Games[[#This Row],[PointsAgainst]]</f>
        <v>-11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0.41970157423723675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75.400000000000006</v>
      </c>
      <c r="Z60" s="4">
        <f>Games[[#This Row],[K]]*Games[[#This Row],[POMult]]</f>
        <v>75.400000000000006</v>
      </c>
      <c r="AA60" s="4">
        <f>(Games[[#This Row],[Keff]]*Games[[#This Row],[MOVMult]])*(Games[[#This Row],[Result]]-Games[[#This Row],[ExpectedWin%]])</f>
        <v>-16.076291509898564</v>
      </c>
      <c r="AB60" s="4">
        <f>Games[[#This Row],[PreGmRate]]+Games[[#This Row],[RatingChange]]</f>
        <v>1534.7580989530015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39599</v>
      </c>
      <c r="B61" s="2">
        <v>2008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76</v>
      </c>
      <c r="G61" s="1" t="s">
        <v>44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61" s="2">
        <f>Games[[#This Row],[DaysOff]]-Games[[#This Row],[OppDaysOff]]</f>
        <v>-7</v>
      </c>
      <c r="L61" s="2">
        <f>Games[[#This Row],[OppDaysOff]]-Games[[#This Row],[DaysOff]]</f>
        <v>7</v>
      </c>
      <c r="M61" s="1">
        <f>MAX(-16, MIN(16, Games[[#This Row],[RestDiff]]*8))</f>
        <v>-16</v>
      </c>
      <c r="N61" s="1">
        <f>MAX(-16, MIN(16, Games[[#This Row],[OppRestDiff]]*8))</f>
        <v>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1493.2666406435571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1550.8343904629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0.49198804975145288</v>
      </c>
      <c r="R61" s="1">
        <v>94</v>
      </c>
      <c r="S61" s="1">
        <v>83</v>
      </c>
      <c r="T61" s="1">
        <v>0</v>
      </c>
      <c r="U61" s="1">
        <f>Games[[#This Row],[PointsFor]]-Games[[#This Row],[PointsAgainst]]</f>
        <v>11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0.41970157423723675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16.076291509898564</v>
      </c>
      <c r="AB61" s="4">
        <f>Games[[#This Row],[PreGmRate]]+Games[[#This Row],[RatingChange]]</f>
        <v>1509.3429321534556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39599</v>
      </c>
      <c r="B62" s="2">
        <v>2008</v>
      </c>
      <c r="C62" s="2">
        <f>COUNTIFS(Games[Team],Games[[#This Row],[Team]],Games[Season],Games[[#This Row],[Season]],Games[Date],"&lt;=" &amp; Games[[#This Row],[Date]])</f>
        <v>4</v>
      </c>
      <c r="D62" s="2" t="s">
        <v>23</v>
      </c>
      <c r="E62" s="2" t="s">
        <v>29</v>
      </c>
      <c r="F62" s="1" t="s">
        <v>69</v>
      </c>
      <c r="G62" s="1" t="s">
        <v>72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2" s="2">
        <f>Games[[#This Row],[DaysOff]]-Games[[#This Row],[OppDaysOff]]</f>
        <v>-2</v>
      </c>
      <c r="L62" s="2">
        <f>Games[[#This Row],[OppDaysOff]]-Games[[#This Row],[DaysOff]]</f>
        <v>2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1469.7691838764395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1487.6833226914423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0.31629055952986412</v>
      </c>
      <c r="R62" s="1">
        <v>70</v>
      </c>
      <c r="S62" s="1">
        <v>59</v>
      </c>
      <c r="T62" s="1">
        <v>0</v>
      </c>
      <c r="U62" s="1">
        <f>Games[[#This Row],[PointsFor]]-Games[[#This Row],[PointsAgainst]]</f>
        <v>11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0.43336648084461499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75.400000000000006</v>
      </c>
      <c r="Z62" s="4">
        <f>Games[[#This Row],[K]]*Games[[#This Row],[POMult]]</f>
        <v>75.400000000000006</v>
      </c>
      <c r="AA62" s="4">
        <f>(Games[[#This Row],[Keff]]*Games[[#This Row],[MOVMult]])*(Games[[#This Row],[Result]]-Games[[#This Row],[ExpectedWin%]])</f>
        <v>22.340775261913478</v>
      </c>
      <c r="AB62" s="4">
        <f>Games[[#This Row],[PreGmRate]]+Games[[#This Row],[RatingChange]]</f>
        <v>1492.1099591383529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39599</v>
      </c>
      <c r="B63" s="2">
        <v>2008</v>
      </c>
      <c r="C63" s="2">
        <f>COUNTIFS(Games[Team],Games[[#This Row],[Team]],Games[Season],Games[[#This Row],[Season]],Games[Date],"&lt;=" &amp; Games[[#This Row],[Date]])</f>
        <v>5</v>
      </c>
      <c r="D63" s="2" t="s">
        <v>23</v>
      </c>
      <c r="E63" s="2" t="s">
        <v>29</v>
      </c>
      <c r="F63" s="1" t="s">
        <v>72</v>
      </c>
      <c r="G63" s="1" t="s">
        <v>69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2</v>
      </c>
      <c r="L63" s="2">
        <f>Games[[#This Row],[OppDaysOff]]-Games[[#This Row],[DaysOff]]</f>
        <v>-2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1487.6833226914423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1469.7691838764395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0.68370944047013582</v>
      </c>
      <c r="R63" s="1">
        <v>59</v>
      </c>
      <c r="S63" s="1">
        <v>70</v>
      </c>
      <c r="T63" s="1">
        <v>0</v>
      </c>
      <c r="U63" s="1">
        <f>Games[[#This Row],[PointsFor]]-Games[[#This Row],[PointsAgainst]]</f>
        <v>-11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0.43336648084461499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-22.296330748792961</v>
      </c>
      <c r="AB63" s="4">
        <f>Games[[#This Row],[PreGmRate]]+Games[[#This Row],[RatingChange]]</f>
        <v>1465.3869919426493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39600</v>
      </c>
      <c r="B64" s="2">
        <v>2008</v>
      </c>
      <c r="C64" s="2">
        <f>COUNTIFS(Games[Team],Games[[#This Row],[Team]],Games[Season],Games[[#This Row],[Season]],Games[Date],"&lt;=" &amp; Games[[#This Row],[Date]])</f>
        <v>6</v>
      </c>
      <c r="D64" s="2" t="s">
        <v>23</v>
      </c>
      <c r="E64" s="2" t="s">
        <v>29</v>
      </c>
      <c r="F64" s="1" t="s">
        <v>85</v>
      </c>
      <c r="G64" s="1" t="s">
        <v>86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-1</v>
      </c>
      <c r="L64" s="2">
        <f>Games[[#This Row],[OppDaysOff]]-Games[[#This Row],[DaysOff]]</f>
        <v>1</v>
      </c>
      <c r="M64" s="1">
        <f>MAX(-16, MIN(16, Games[[#This Row],[RestDiff]]*8))</f>
        <v>-8</v>
      </c>
      <c r="N64" s="1">
        <f>MAX(-16, MIN(16, Games[[#This Row],[OppRestDiff]]*8))</f>
        <v>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1553.5672251237338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1449.3431071971208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0.50607869484764434</v>
      </c>
      <c r="R64" s="1">
        <v>75</v>
      </c>
      <c r="S64" s="1">
        <v>73</v>
      </c>
      <c r="T64" s="1">
        <v>0</v>
      </c>
      <c r="U64" s="1">
        <f>Games[[#This Row],[PointsFor]]-Games[[#This Row],[PointsAgainst]]</f>
        <v>2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0.24643738798709222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9.1412227911004447</v>
      </c>
      <c r="AB64" s="4">
        <f>Games[[#This Row],[PreGmRate]]+Games[[#This Row],[RatingChange]]</f>
        <v>1562.7084479148343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39600</v>
      </c>
      <c r="B65" s="2">
        <v>2008</v>
      </c>
      <c r="C65" s="2">
        <f>COUNTIFS(Games[Team],Games[[#This Row],[Team]],Games[Season],Games[[#This Row],[Season]],Games[Date],"&lt;=" &amp; Games[[#This Row],[Date]])</f>
        <v>4</v>
      </c>
      <c r="D65" s="2" t="s">
        <v>23</v>
      </c>
      <c r="E65" s="2" t="s">
        <v>29</v>
      </c>
      <c r="F65" s="1" t="s">
        <v>86</v>
      </c>
      <c r="G65" s="1" t="s">
        <v>85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1</v>
      </c>
      <c r="L65" s="2">
        <f>Games[[#This Row],[OppDaysOff]]-Games[[#This Row],[DaysOff]]</f>
        <v>-1</v>
      </c>
      <c r="M65" s="1">
        <f>MAX(-16, MIN(16, Games[[#This Row],[RestDiff]]*8))</f>
        <v>8</v>
      </c>
      <c r="N65" s="1">
        <f>MAX(-16, MIN(16, Games[[#This Row],[OppRestDiff]]*8))</f>
        <v>-8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1449.3431071971208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1553.5672251237338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0.49392130515235561</v>
      </c>
      <c r="R65" s="1">
        <v>73</v>
      </c>
      <c r="S65" s="1">
        <v>75</v>
      </c>
      <c r="T65" s="1">
        <v>0</v>
      </c>
      <c r="U65" s="1">
        <f>Games[[#This Row],[PointsFor]]-Games[[#This Row],[PointsAgainst]]</f>
        <v>-2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0.24643738798709222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75.400000000000006</v>
      </c>
      <c r="Z65" s="4">
        <f>Games[[#This Row],[K]]*Games[[#This Row],[POMult]]</f>
        <v>75.400000000000006</v>
      </c>
      <c r="AA65" s="4">
        <f>(Games[[#This Row],[Keff]]*Games[[#This Row],[MOVMult]])*(Games[[#This Row],[Result]]-Games[[#This Row],[ExpectedWin%]])</f>
        <v>-9.1777389939943212</v>
      </c>
      <c r="AB65" s="4">
        <f>Games[[#This Row],[PreGmRate]]+Games[[#This Row],[RatingChange]]</f>
        <v>1440.1653682031265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39600</v>
      </c>
      <c r="B66" s="2">
        <v>2008</v>
      </c>
      <c r="C66" s="2">
        <f>COUNTIFS(Games[Team],Games[[#This Row],[Team]],Games[Season],Games[[#This Row],[Season]],Games[Date],"&lt;=" &amp; Games[[#This Row],[Date]])</f>
        <v>5</v>
      </c>
      <c r="D66" s="2" t="s">
        <v>23</v>
      </c>
      <c r="E66" s="2" t="s">
        <v>29</v>
      </c>
      <c r="F66" s="1" t="s">
        <v>2</v>
      </c>
      <c r="G66" s="1" t="s">
        <v>80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1434.4369521745334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1538.4779902128464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0.25304242492742873</v>
      </c>
      <c r="R66" s="1">
        <v>63</v>
      </c>
      <c r="S66" s="1">
        <v>64</v>
      </c>
      <c r="T66" s="1">
        <v>0</v>
      </c>
      <c r="U66" s="1">
        <f>Games[[#This Row],[PointsFor]]-Games[[#This Row],[PointsAgainst]]</f>
        <v>-1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0.22469814722943043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75.25</v>
      </c>
      <c r="Z66" s="4">
        <f>Games[[#This Row],[K]]*Games[[#This Row],[POMult]]</f>
        <v>75.25</v>
      </c>
      <c r="AA66" s="4">
        <f>(Games[[#This Row],[Keff]]*Games[[#This Row],[MOVMult]])*(Games[[#This Row],[Result]]-Games[[#This Row],[ExpectedWin%]])</f>
        <v>-4.2785768448855697</v>
      </c>
      <c r="AB66" s="4">
        <f>Games[[#This Row],[PreGmRate]]+Games[[#This Row],[RatingChange]]</f>
        <v>1430.1583753296479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39600</v>
      </c>
      <c r="B67" s="2">
        <v>2008</v>
      </c>
      <c r="C67" s="2">
        <f>COUNTIFS(Games[Team],Games[[#This Row],[Team]],Games[Season],Games[[#This Row],[Season]],Games[Date],"&lt;=" &amp; Games[[#This Row],[Date]])</f>
        <v>6</v>
      </c>
      <c r="D67" s="2" t="s">
        <v>23</v>
      </c>
      <c r="E67" s="2" t="s">
        <v>29</v>
      </c>
      <c r="F67" s="1" t="s">
        <v>80</v>
      </c>
      <c r="G67" s="1" t="s">
        <v>2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1538.4779902128464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1434.4369521745334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0.74695757507257132</v>
      </c>
      <c r="R67" s="1">
        <v>64</v>
      </c>
      <c r="S67" s="1">
        <v>63</v>
      </c>
      <c r="T67" s="1">
        <v>0</v>
      </c>
      <c r="U67" s="1">
        <f>Games[[#This Row],[PointsFor]]-Games[[#This Row],[PointsAgainst]]</f>
        <v>1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0.22469814722943043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4.2700481202778233</v>
      </c>
      <c r="AB67" s="4">
        <f>Games[[#This Row],[PreGmRate]]+Games[[#This Row],[RatingChange]]</f>
        <v>1542.7480383331242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39602</v>
      </c>
      <c r="B68" s="2">
        <v>2008</v>
      </c>
      <c r="C68" s="2">
        <f>COUNTIFS(Games[Team],Games[[#This Row],[Team]],Games[Season],Games[[#This Row],[Season]],Games[Date],"&lt;=" &amp; Games[[#This Row],[Date]])</f>
        <v>5</v>
      </c>
      <c r="D68" s="2" t="s">
        <v>23</v>
      </c>
      <c r="E68" s="2" t="s">
        <v>29</v>
      </c>
      <c r="F68" s="1" t="s">
        <v>76</v>
      </c>
      <c r="G68" s="1" t="s">
        <v>88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8" s="2">
        <f>Games[[#This Row],[DaysOff]]-Games[[#This Row],[OppDaysOff]]</f>
        <v>-4</v>
      </c>
      <c r="L68" s="2">
        <f>Games[[#This Row],[OppDaysOff]]-Games[[#This Row],[DaysOff]]</f>
        <v>4</v>
      </c>
      <c r="M68" s="1">
        <f>MAX(-16, MIN(16, Games[[#This Row],[RestDiff]]*8))</f>
        <v>-16</v>
      </c>
      <c r="N68" s="1">
        <f>MAX(-16, MIN(16, Games[[#This Row],[OppRestDiff]]*8))</f>
        <v>16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1509.3429321534556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1430.254832047576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0.44707846735215334</v>
      </c>
      <c r="R68" s="1">
        <v>85</v>
      </c>
      <c r="S68" s="1">
        <v>81</v>
      </c>
      <c r="T68" s="1">
        <v>0</v>
      </c>
      <c r="U68" s="1">
        <f>Games[[#This Row],[PointsFor]]-Games[[#This Row],[PointsAgainst]]</f>
        <v>4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0.29217634176544971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12.156681949602614</v>
      </c>
      <c r="AB68" s="4">
        <f>Games[[#This Row],[PreGmRate]]+Games[[#This Row],[RatingChange]]</f>
        <v>1521.4996141030583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39602</v>
      </c>
      <c r="B69" s="2">
        <v>2008</v>
      </c>
      <c r="C69" s="2">
        <f>COUNTIFS(Games[Team],Games[[#This Row],[Team]],Games[Season],Games[[#This Row],[Season]],Games[Date],"&lt;=" &amp; Games[[#This Row],[Date]])</f>
        <v>5</v>
      </c>
      <c r="D69" s="2" t="s">
        <v>23</v>
      </c>
      <c r="E69" s="2" t="s">
        <v>29</v>
      </c>
      <c r="F69" s="1" t="s">
        <v>88</v>
      </c>
      <c r="G69" s="1" t="s">
        <v>76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6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9" s="2">
        <f>Games[[#This Row],[DaysOff]]-Games[[#This Row],[OppDaysOff]]</f>
        <v>4</v>
      </c>
      <c r="L69" s="2">
        <f>Games[[#This Row],[OppDaysOff]]-Games[[#This Row],[DaysOff]]</f>
        <v>-4</v>
      </c>
      <c r="M69" s="1">
        <f>MAX(-16, MIN(16, Games[[#This Row],[RestDiff]]*8))</f>
        <v>16</v>
      </c>
      <c r="N69" s="1">
        <f>MAX(-16, MIN(16, Games[[#This Row],[OppRestDiff]]*8))</f>
        <v>-16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1430.254832047576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1509.3429321534556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0.55292153264784671</v>
      </c>
      <c r="R69" s="1">
        <v>81</v>
      </c>
      <c r="S69" s="1">
        <v>85</v>
      </c>
      <c r="T69" s="1">
        <v>0</v>
      </c>
      <c r="U69" s="1">
        <f>Games[[#This Row],[PointsFor]]-Games[[#This Row],[PointsAgainst]]</f>
        <v>-4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0.29217634176544971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-12.156681949602614</v>
      </c>
      <c r="AB69" s="4">
        <f>Games[[#This Row],[PreGmRate]]+Games[[#This Row],[RatingChange]]</f>
        <v>1418.0981500979733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39602</v>
      </c>
      <c r="B70" s="2">
        <v>2008</v>
      </c>
      <c r="C70" s="2">
        <f>COUNTIFS(Games[Team],Games[[#This Row],[Team]],Games[Season],Games[[#This Row],[Season]],Games[Date],"&lt;=" &amp; Games[[#This Row],[Date]])</f>
        <v>5</v>
      </c>
      <c r="D70" s="2" t="s">
        <v>23</v>
      </c>
      <c r="E70" s="2" t="s">
        <v>29</v>
      </c>
      <c r="F70" s="1" t="s">
        <v>69</v>
      </c>
      <c r="G70" s="1" t="s">
        <v>86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1</v>
      </c>
      <c r="L70" s="2">
        <f>Games[[#This Row],[OppDaysOff]]-Games[[#This Row],[DaysOff]]</f>
        <v>-1</v>
      </c>
      <c r="M70" s="1">
        <f>MAX(-16, MIN(16, Games[[#This Row],[RestDiff]]*8))</f>
        <v>8</v>
      </c>
      <c r="N70" s="1">
        <f>MAX(-16, MIN(16, Games[[#This Row],[OppRestDiff]]*8))</f>
        <v>-8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1492.1099591383529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1440.1653682031265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0.47691084210363976</v>
      </c>
      <c r="R70" s="1">
        <v>81</v>
      </c>
      <c r="S70" s="1">
        <v>77</v>
      </c>
      <c r="T70" s="1">
        <v>1</v>
      </c>
      <c r="U70" s="1">
        <f>Games[[#This Row],[PointsFor]]-Games[[#This Row],[PointsAgainst]]</f>
        <v>4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0.26865993601596366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75.25</v>
      </c>
      <c r="Z70" s="4">
        <f>Games[[#This Row],[K]]*Games[[#This Row],[POMult]]</f>
        <v>75.25</v>
      </c>
      <c r="AA70" s="4">
        <f>(Games[[#This Row],[Keff]]*Games[[#This Row],[MOVMult]])*(Games[[#This Row],[Result]]-Games[[#This Row],[ExpectedWin%]])</f>
        <v>10.575115751753804</v>
      </c>
      <c r="AB70" s="4">
        <f>Games[[#This Row],[PreGmRate]]+Games[[#This Row],[RatingChange]]</f>
        <v>1502.6850748901068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39602</v>
      </c>
      <c r="B71" s="2">
        <v>2008</v>
      </c>
      <c r="C71" s="2">
        <f>COUNTIFS(Games[Team],Games[[#This Row],[Team]],Games[Season],Games[[#This Row],[Season]],Games[Date],"&lt;=" &amp; Games[[#This Row],[Date]])</f>
        <v>5</v>
      </c>
      <c r="D71" s="2" t="s">
        <v>23</v>
      </c>
      <c r="E71" s="2" t="s">
        <v>29</v>
      </c>
      <c r="F71" s="1" t="s">
        <v>86</v>
      </c>
      <c r="G71" s="1" t="s">
        <v>69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1" s="2">
        <f>Games[[#This Row],[DaysOff]]-Games[[#This Row],[OppDaysOff]]</f>
        <v>-1</v>
      </c>
      <c r="L71" s="2">
        <f>Games[[#This Row],[OppDaysOff]]-Games[[#This Row],[DaysOff]]</f>
        <v>1</v>
      </c>
      <c r="M71" s="1">
        <f>MAX(-16, MIN(16, Games[[#This Row],[RestDiff]]*8))</f>
        <v>-8</v>
      </c>
      <c r="N71" s="1">
        <f>MAX(-16, MIN(16, Games[[#This Row],[OppRestDiff]]*8))</f>
        <v>8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1440.1653682031265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1492.1099591383529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0.52308915789636024</v>
      </c>
      <c r="R71" s="1">
        <v>77</v>
      </c>
      <c r="S71" s="1">
        <v>81</v>
      </c>
      <c r="T71" s="1">
        <v>1</v>
      </c>
      <c r="U71" s="1">
        <f>Games[[#This Row],[PointsFor]]-Games[[#This Row],[PointsAgainst]]</f>
        <v>-4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0.26865993601596366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75.25</v>
      </c>
      <c r="Z71" s="4">
        <f>Games[[#This Row],[K]]*Games[[#This Row],[POMult]]</f>
        <v>75.25</v>
      </c>
      <c r="AA71" s="4">
        <f>(Games[[#This Row],[Keff]]*Games[[#This Row],[MOVMult]])*(Games[[#This Row],[Result]]-Games[[#This Row],[ExpectedWin%]])</f>
        <v>-10.575115751753804</v>
      </c>
      <c r="AB71" s="4">
        <f>Games[[#This Row],[PreGmRate]]+Games[[#This Row],[RatingChange]]</f>
        <v>1429.5902524513726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39602</v>
      </c>
      <c r="B72" s="2">
        <v>2008</v>
      </c>
      <c r="C72" s="2">
        <f>COUNTIFS(Games[Team],Games[[#This Row],[Team]],Games[Season],Games[[#This Row],[Season]],Games[Date],"&lt;=" &amp; Games[[#This Row],[Date]])</f>
        <v>5</v>
      </c>
      <c r="D72" s="2" t="s">
        <v>23</v>
      </c>
      <c r="E72" s="2" t="s">
        <v>29</v>
      </c>
      <c r="F72" s="1" t="s">
        <v>83</v>
      </c>
      <c r="G72" s="1" t="s">
        <v>2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2</v>
      </c>
      <c r="L72" s="2">
        <f>Games[[#This Row],[OppDaysOff]]-Games[[#This Row],[DaysOff]]</f>
        <v>-2</v>
      </c>
      <c r="M72" s="1">
        <f>MAX(-16, MIN(16, Games[[#This Row],[RestDiff]]*8))</f>
        <v>16</v>
      </c>
      <c r="N72" s="1">
        <f>MAX(-16, MIN(16, Games[[#This Row],[OppRestDiff]]*8))</f>
        <v>-16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1503.9551035376708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1430.1583753296479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0.53132692525261782</v>
      </c>
      <c r="R72" s="1">
        <v>72</v>
      </c>
      <c r="S72" s="1">
        <v>75</v>
      </c>
      <c r="T72" s="1">
        <v>0</v>
      </c>
      <c r="U72" s="1">
        <f>Games[[#This Row],[PointsFor]]-Games[[#This Row],[PointsAgainst]]</f>
        <v>-3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0.2733718949084803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-10.930051090008396</v>
      </c>
      <c r="AB72" s="4">
        <f>Games[[#This Row],[PreGmRate]]+Games[[#This Row],[RatingChange]]</f>
        <v>1493.0250524476623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39602</v>
      </c>
      <c r="B73" s="2">
        <v>2008</v>
      </c>
      <c r="C73" s="2">
        <f>COUNTIFS(Games[Team],Games[[#This Row],[Team]],Games[Season],Games[[#This Row],[Season]],Games[Date],"&lt;=" &amp; Games[[#This Row],[Date]])</f>
        <v>6</v>
      </c>
      <c r="D73" s="2" t="s">
        <v>23</v>
      </c>
      <c r="E73" s="2" t="s">
        <v>29</v>
      </c>
      <c r="F73" s="1" t="s">
        <v>2</v>
      </c>
      <c r="G73" s="1" t="s">
        <v>83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3" s="2">
        <f>Games[[#This Row],[DaysOff]]-Games[[#This Row],[OppDaysOff]]</f>
        <v>-2</v>
      </c>
      <c r="L73" s="2">
        <f>Games[[#This Row],[OppDaysOff]]-Games[[#This Row],[DaysOff]]</f>
        <v>2</v>
      </c>
      <c r="M73" s="1">
        <f>MAX(-16, MIN(16, Games[[#This Row],[RestDiff]]*8))</f>
        <v>-16</v>
      </c>
      <c r="N73" s="1">
        <f>MAX(-16, MIN(16, Games[[#This Row],[OppRestDiff]]*8))</f>
        <v>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1430.1583753296479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1503.9551035376708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0.46867307474738218</v>
      </c>
      <c r="R73" s="1">
        <v>75</v>
      </c>
      <c r="S73" s="1">
        <v>72</v>
      </c>
      <c r="T73" s="1">
        <v>0</v>
      </c>
      <c r="U73" s="1">
        <f>Games[[#This Row],[PointsFor]]-Games[[#This Row],[PointsAgainst]]</f>
        <v>3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0.2733718949084803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10.908263612752565</v>
      </c>
      <c r="AB73" s="4">
        <f>Games[[#This Row],[PreGmRate]]+Games[[#This Row],[RatingChange]]</f>
        <v>1441.0666389424005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39602</v>
      </c>
      <c r="B74" s="2">
        <v>2008</v>
      </c>
      <c r="C74" s="2">
        <f>COUNTIFS(Games[Team],Games[[#This Row],[Team]],Games[Season],Games[[#This Row],[Season]],Games[Date],"&lt;=" &amp; Games[[#This Row],[Date]])</f>
        <v>7</v>
      </c>
      <c r="D74" s="2" t="s">
        <v>23</v>
      </c>
      <c r="E74" s="2" t="s">
        <v>29</v>
      </c>
      <c r="F74" s="1" t="s">
        <v>80</v>
      </c>
      <c r="G74" s="1" t="s">
        <v>66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4" s="2">
        <f>Games[[#This Row],[DaysOff]]-Games[[#This Row],[OppDaysOff]]</f>
        <v>-2</v>
      </c>
      <c r="L74" s="2">
        <f>Games[[#This Row],[OppDaysOff]]-Games[[#This Row],[DaysOff]]</f>
        <v>2</v>
      </c>
      <c r="M74" s="1">
        <f>MAX(-16, MIN(16, Games[[#This Row],[RestDiff]]*8))</f>
        <v>-16</v>
      </c>
      <c r="N74" s="1">
        <f>MAX(-16, MIN(16, Games[[#This Row],[OppRestDiff]]*8))</f>
        <v>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1542.7480383331242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1466.7726576197615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0.44265340201708836</v>
      </c>
      <c r="R74" s="1">
        <v>63</v>
      </c>
      <c r="S74" s="1">
        <v>77</v>
      </c>
      <c r="T74" s="1">
        <v>0</v>
      </c>
      <c r="U74" s="1">
        <f>Games[[#This Row],[PointsFor]]-Games[[#This Row],[PointsAgainst]]</f>
        <v>-14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0.45857446239581173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-15.214066462031873</v>
      </c>
      <c r="AB74" s="4">
        <f>Games[[#This Row],[PreGmRate]]+Games[[#This Row],[RatingChange]]</f>
        <v>1527.5339718710923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39602</v>
      </c>
      <c r="B75" s="2">
        <v>2008</v>
      </c>
      <c r="C75" s="2">
        <f>COUNTIFS(Games[Team],Games[[#This Row],[Team]],Games[Season],Games[[#This Row],[Season]],Games[Date],"&lt;=" &amp; Games[[#This Row],[Date]])</f>
        <v>5</v>
      </c>
      <c r="D75" s="2" t="s">
        <v>23</v>
      </c>
      <c r="E75" s="2" t="s">
        <v>29</v>
      </c>
      <c r="F75" s="1" t="s">
        <v>66</v>
      </c>
      <c r="G75" s="1" t="s">
        <v>80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2</v>
      </c>
      <c r="L75" s="2">
        <f>Games[[#This Row],[OppDaysOff]]-Games[[#This Row],[DaysOff]]</f>
        <v>-2</v>
      </c>
      <c r="M75" s="1">
        <f>MAX(-16, MIN(16, Games[[#This Row],[RestDiff]]*8))</f>
        <v>16</v>
      </c>
      <c r="N75" s="1">
        <f>MAX(-16, MIN(16, Games[[#This Row],[OppRestDiff]]*8))</f>
        <v>-16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1466.7726576197615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1542.7480383331242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0.55734659798291164</v>
      </c>
      <c r="R75" s="1">
        <v>77</v>
      </c>
      <c r="S75" s="1">
        <v>63</v>
      </c>
      <c r="T75" s="1">
        <v>0</v>
      </c>
      <c r="U75" s="1">
        <f>Games[[#This Row],[PointsFor]]-Games[[#This Row],[PointsAgainst]]</f>
        <v>14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0.45857446239581173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75.25</v>
      </c>
      <c r="Z75" s="4">
        <f>Games[[#This Row],[K]]*Games[[#This Row],[POMult]]</f>
        <v>75.25</v>
      </c>
      <c r="AA75" s="4">
        <f>(Games[[#This Row],[Keff]]*Games[[#This Row],[MOVMult]])*(Games[[#This Row],[Result]]-Games[[#This Row],[ExpectedWin%]])</f>
        <v>15.274963325789173</v>
      </c>
      <c r="AB75" s="4">
        <f>Games[[#This Row],[PreGmRate]]+Games[[#This Row],[RatingChange]]</f>
        <v>1482.0476209455508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39602</v>
      </c>
      <c r="B76" s="2">
        <v>2008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72</v>
      </c>
      <c r="G76" s="1" t="s">
        <v>44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1465.3869919426493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1534.7580989530015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0.29258234994394</v>
      </c>
      <c r="R76" s="1">
        <v>93</v>
      </c>
      <c r="S76" s="1">
        <v>98</v>
      </c>
      <c r="T76" s="1">
        <v>0</v>
      </c>
      <c r="U76" s="1">
        <f>Games[[#This Row],[PointsFor]]-Games[[#This Row],[PointsAgainst]]</f>
        <v>-5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0.31362551767160279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-6.8912729513019411</v>
      </c>
      <c r="AB76" s="4">
        <f>Games[[#This Row],[PreGmRate]]+Games[[#This Row],[RatingChange]]</f>
        <v>1458.4957189913473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39602</v>
      </c>
      <c r="B77" s="2">
        <v>2008</v>
      </c>
      <c r="C77" s="2">
        <f>COUNTIFS(Games[Team],Games[[#This Row],[Team]],Games[Season],Games[[#This Row],[Season]],Games[Date],"&lt;=" &amp; Games[[#This Row],[Date]])</f>
        <v>5</v>
      </c>
      <c r="D77" s="2" t="s">
        <v>23</v>
      </c>
      <c r="E77" s="2" t="s">
        <v>29</v>
      </c>
      <c r="F77" s="1" t="s">
        <v>44</v>
      </c>
      <c r="G77" s="1" t="s">
        <v>72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1534.7580989530015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1465.3869919426493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0.70741765005605994</v>
      </c>
      <c r="R77" s="1">
        <v>98</v>
      </c>
      <c r="S77" s="1">
        <v>93</v>
      </c>
      <c r="T77" s="1">
        <v>0</v>
      </c>
      <c r="U77" s="1">
        <f>Games[[#This Row],[PointsFor]]-Games[[#This Row],[PointsAgainst]]</f>
        <v>5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0.31362551767160279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75.25</v>
      </c>
      <c r="Z77" s="4">
        <f>Games[[#This Row],[K]]*Games[[#This Row],[POMult]]</f>
        <v>75.25</v>
      </c>
      <c r="AA77" s="4">
        <f>(Games[[#This Row],[Keff]]*Games[[#This Row],[MOVMult]])*(Games[[#This Row],[Result]]-Games[[#This Row],[ExpectedWin%]])</f>
        <v>6.9050371449463546</v>
      </c>
      <c r="AB77" s="4">
        <f>Games[[#This Row],[PreGmRate]]+Games[[#This Row],[RatingChange]]</f>
        <v>1541.6631360979479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39603</v>
      </c>
      <c r="B78" s="2">
        <v>2008</v>
      </c>
      <c r="C78" s="2">
        <f>COUNTIFS(Games[Team],Games[[#This Row],[Team]],Games[Season],Games[[#This Row],[Season]],Games[Date],"&lt;=" &amp; Games[[#This Row],[Date]])</f>
        <v>8</v>
      </c>
      <c r="D78" s="2" t="s">
        <v>23</v>
      </c>
      <c r="E78" s="2" t="s">
        <v>29</v>
      </c>
      <c r="F78" s="1" t="s">
        <v>80</v>
      </c>
      <c r="G78" s="1" t="s">
        <v>74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8" s="2">
        <f>Games[[#This Row],[DaysOff]]-Games[[#This Row],[OppDaysOff]]</f>
        <v>-3</v>
      </c>
      <c r="L78" s="2">
        <f>Games[[#This Row],[OppDaysOff]]-Games[[#This Row],[DaysOff]]</f>
        <v>3</v>
      </c>
      <c r="M78" s="1">
        <f>MAX(-16, MIN(16, Games[[#This Row],[RestDiff]]*8))</f>
        <v>-16</v>
      </c>
      <c r="N78" s="1">
        <f>MAX(-16, MIN(16, Games[[#This Row],[OppRestDiff]]*8))</f>
        <v>16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1527.5339718710923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1596.9881107703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0.25586741219762404</v>
      </c>
      <c r="R78" s="1">
        <v>67</v>
      </c>
      <c r="S78" s="1">
        <v>77</v>
      </c>
      <c r="T78" s="1">
        <v>0</v>
      </c>
      <c r="U78" s="1">
        <f>Games[[#This Row],[PointsFor]]-Games[[#This Row],[PointsAgainst]]</f>
        <v>-10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0.39997950586780168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-7.6551607381662139</v>
      </c>
      <c r="AB78" s="4">
        <f>Games[[#This Row],[PreGmRate]]+Games[[#This Row],[RatingChange]]</f>
        <v>1519.8788111329261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39603</v>
      </c>
      <c r="B79" s="2">
        <v>2008</v>
      </c>
      <c r="C79" s="2">
        <f>COUNTIFS(Games[Team],Games[[#This Row],[Team]],Games[Season],Games[[#This Row],[Season]],Games[Date],"&lt;=" &amp; Games[[#This Row],[Date]])</f>
        <v>7</v>
      </c>
      <c r="D79" s="2" t="s">
        <v>23</v>
      </c>
      <c r="E79" s="2" t="s">
        <v>29</v>
      </c>
      <c r="F79" s="1" t="s">
        <v>74</v>
      </c>
      <c r="G79" s="1" t="s">
        <v>80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9" s="2">
        <f>Games[[#This Row],[DaysOff]]-Games[[#This Row],[OppDaysOff]]</f>
        <v>3</v>
      </c>
      <c r="L79" s="2">
        <f>Games[[#This Row],[OppDaysOff]]-Games[[#This Row],[DaysOff]]</f>
        <v>-3</v>
      </c>
      <c r="M79" s="1">
        <f>MAX(-16, MIN(16, Games[[#This Row],[RestDiff]]*8))</f>
        <v>16</v>
      </c>
      <c r="N79" s="1">
        <f>MAX(-16, MIN(16, Games[[#This Row],[OppRestDiff]]*8))</f>
        <v>-16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1596.9881107703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1527.5339718710923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0.74413258780237601</v>
      </c>
      <c r="R79" s="1">
        <v>77</v>
      </c>
      <c r="S79" s="1">
        <v>67</v>
      </c>
      <c r="T79" s="1">
        <v>0</v>
      </c>
      <c r="U79" s="1">
        <f>Games[[#This Row],[PointsFor]]-Games[[#This Row],[PointsAgainst]]</f>
        <v>10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0.39997950586780168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7.6705119963309842</v>
      </c>
      <c r="AB79" s="4">
        <f>Games[[#This Row],[PreGmRate]]+Games[[#This Row],[RatingChange]]</f>
        <v>1604.658622766631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39605</v>
      </c>
      <c r="B80" s="2">
        <v>2008</v>
      </c>
      <c r="C80" s="2">
        <f>COUNTIFS(Games[Team],Games[[#This Row],[Team]],Games[Season],Games[[#This Row],[Season]],Games[Date],"&lt;=" &amp; Games[[#This Row],[Date]])</f>
        <v>6</v>
      </c>
      <c r="D80" s="2" t="s">
        <v>23</v>
      </c>
      <c r="E80" s="2" t="s">
        <v>29</v>
      </c>
      <c r="F80" s="1" t="s">
        <v>86</v>
      </c>
      <c r="G80" s="1" t="s">
        <v>88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1429.5902524513726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1418.0981500979733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0.39714170546706856</v>
      </c>
      <c r="R80" s="1">
        <v>86</v>
      </c>
      <c r="S80" s="1">
        <v>72</v>
      </c>
      <c r="T80" s="1">
        <v>0</v>
      </c>
      <c r="U80" s="1">
        <f>Games[[#This Row],[PointsFor]]-Games[[#This Row],[PointsAgainst]]</f>
        <v>14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0.48298269803349964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21.866876434466747</v>
      </c>
      <c r="AB80" s="4">
        <f>Games[[#This Row],[PreGmRate]]+Games[[#This Row],[RatingChange]]</f>
        <v>1451.4571288858394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39605</v>
      </c>
      <c r="B81" s="2">
        <v>2008</v>
      </c>
      <c r="C81" s="2">
        <f>COUNTIFS(Games[Team],Games[[#This Row],[Team]],Games[Season],Games[[#This Row],[Season]],Games[Date],"&lt;=" &amp; Games[[#This Row],[Date]])</f>
        <v>6</v>
      </c>
      <c r="D81" s="2" t="s">
        <v>23</v>
      </c>
      <c r="E81" s="2" t="s">
        <v>29</v>
      </c>
      <c r="F81" s="1" t="s">
        <v>88</v>
      </c>
      <c r="G81" s="1" t="s">
        <v>86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1418.0981500979733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1429.5902524513726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0.60285829453293149</v>
      </c>
      <c r="R81" s="1">
        <v>72</v>
      </c>
      <c r="S81" s="1">
        <v>86</v>
      </c>
      <c r="T81" s="1">
        <v>0</v>
      </c>
      <c r="U81" s="1">
        <f>Games[[#This Row],[PointsFor]]-Games[[#This Row],[PointsAgainst]]</f>
        <v>-14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0.48298269803349964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-21.866876434466747</v>
      </c>
      <c r="AB81" s="4">
        <f>Games[[#This Row],[PreGmRate]]+Games[[#This Row],[RatingChange]]</f>
        <v>1396.2312736635065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39605</v>
      </c>
      <c r="B82" s="2">
        <v>2008</v>
      </c>
      <c r="C82" s="2">
        <f>COUNTIFS(Games[Team],Games[[#This Row],[Team]],Games[Season],Games[[#This Row],[Season]],Games[Date],"&lt;=" &amp; Games[[#This Row],[Date]])</f>
        <v>6</v>
      </c>
      <c r="D82" s="2" t="s">
        <v>23</v>
      </c>
      <c r="E82" s="2" t="s">
        <v>29</v>
      </c>
      <c r="F82" s="1" t="s">
        <v>76</v>
      </c>
      <c r="G82" s="1" t="s">
        <v>85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2" s="2">
        <f>Games[[#This Row],[DaysOff]]-Games[[#This Row],[OppDaysOff]]</f>
        <v>-2</v>
      </c>
      <c r="L82" s="2">
        <f>Games[[#This Row],[OppDaysOff]]-Games[[#This Row],[DaysOff]]</f>
        <v>2</v>
      </c>
      <c r="M82" s="1">
        <f>MAX(-16, MIN(16, Games[[#This Row],[RestDiff]]*8))</f>
        <v>-16</v>
      </c>
      <c r="N82" s="1">
        <f>MAX(-16, MIN(16, Games[[#This Row],[OppRestDiff]]*8))</f>
        <v>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1521.4996141030583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1562.7084479148343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0.28803089025749629</v>
      </c>
      <c r="R82" s="1">
        <v>77</v>
      </c>
      <c r="S82" s="1">
        <v>78</v>
      </c>
      <c r="T82" s="1">
        <v>0</v>
      </c>
      <c r="U82" s="1">
        <f>Games[[#This Row],[PointsFor]]-Games[[#This Row],[PointsAgainst]]</f>
        <v>-1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0.23607276807601796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-5.1065183415419657</v>
      </c>
      <c r="AB82" s="4">
        <f>Games[[#This Row],[PreGmRate]]+Games[[#This Row],[RatingChange]]</f>
        <v>1516.3930957615164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39605</v>
      </c>
      <c r="B83" s="2">
        <v>2008</v>
      </c>
      <c r="C83" s="2">
        <f>COUNTIFS(Games[Team],Games[[#This Row],[Team]],Games[Season],Games[[#This Row],[Season]],Games[Date],"&lt;=" &amp; Games[[#This Row],[Date]])</f>
        <v>7</v>
      </c>
      <c r="D83" s="2" t="s">
        <v>23</v>
      </c>
      <c r="E83" s="2" t="s">
        <v>29</v>
      </c>
      <c r="F83" s="1" t="s">
        <v>85</v>
      </c>
      <c r="G83" s="1" t="s">
        <v>76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2</v>
      </c>
      <c r="L83" s="2">
        <f>Games[[#This Row],[OppDaysOff]]-Games[[#This Row],[DaysOff]]</f>
        <v>-2</v>
      </c>
      <c r="M83" s="1">
        <f>MAX(-16, MIN(16, Games[[#This Row],[RestDiff]]*8))</f>
        <v>16</v>
      </c>
      <c r="N83" s="1">
        <f>MAX(-16, MIN(16, Games[[#This Row],[OppRestDiff]]*8))</f>
        <v>-16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1562.7084479148343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1521.4996141030583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0.7119691097425036</v>
      </c>
      <c r="R83" s="1">
        <v>78</v>
      </c>
      <c r="S83" s="1">
        <v>77</v>
      </c>
      <c r="T83" s="1">
        <v>0</v>
      </c>
      <c r="U83" s="1">
        <f>Games[[#This Row],[PointsFor]]-Games[[#This Row],[PointsAgainst]]</f>
        <v>1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0.23607276807601796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5.0963189041087951</v>
      </c>
      <c r="AB83" s="4">
        <f>Games[[#This Row],[PreGmRate]]+Games[[#This Row],[RatingChange]]</f>
        <v>1567.8047668189431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39605</v>
      </c>
      <c r="B84" s="2">
        <v>2008</v>
      </c>
      <c r="C84" s="2">
        <f>COUNTIFS(Games[Team],Games[[#This Row],[Team]],Games[Season],Games[[#This Row],[Season]],Games[Date],"&lt;=" &amp; Games[[#This Row],[Date]])</f>
        <v>6</v>
      </c>
      <c r="D84" s="2" t="s">
        <v>23</v>
      </c>
      <c r="E84" s="2" t="s">
        <v>29</v>
      </c>
      <c r="F84" s="1" t="s">
        <v>44</v>
      </c>
      <c r="G84" s="1" t="s">
        <v>69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1541.6631360979479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1502.6850748901068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0.4355684613296793</v>
      </c>
      <c r="R84" s="1">
        <v>85</v>
      </c>
      <c r="S84" s="1">
        <v>79</v>
      </c>
      <c r="T84" s="1">
        <v>0</v>
      </c>
      <c r="U84" s="1">
        <f>Games[[#This Row],[PointsFor]]-Games[[#This Row],[PointsAgainst]]</f>
        <v>6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0.34022952181917315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75.099999999999994</v>
      </c>
      <c r="Z84" s="4">
        <f>Games[[#This Row],[K]]*Games[[#This Row],[POMult]]</f>
        <v>75.099999999999994</v>
      </c>
      <c r="AA84" s="4">
        <f>(Games[[#This Row],[Keff]]*Games[[#This Row],[MOVMult]])*(Games[[#This Row],[Result]]-Games[[#This Row],[ExpectedWin%]])</f>
        <v>14.421924064859898</v>
      </c>
      <c r="AB84" s="4">
        <f>Games[[#This Row],[PreGmRate]]+Games[[#This Row],[RatingChange]]</f>
        <v>1556.0850601628078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39605</v>
      </c>
      <c r="B85" s="2">
        <v>2008</v>
      </c>
      <c r="C85" s="2">
        <f>COUNTIFS(Games[Team],Games[[#This Row],[Team]],Games[Season],Games[[#This Row],[Season]],Games[Date],"&lt;=" &amp; Games[[#This Row],[Date]])</f>
        <v>6</v>
      </c>
      <c r="D85" s="2" t="s">
        <v>23</v>
      </c>
      <c r="E85" s="2" t="s">
        <v>29</v>
      </c>
      <c r="F85" s="1" t="s">
        <v>69</v>
      </c>
      <c r="G85" s="1" t="s">
        <v>44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1502.6850748901068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1541.6631360979479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0.5644315386703207</v>
      </c>
      <c r="R85" s="1">
        <v>79</v>
      </c>
      <c r="S85" s="1">
        <v>85</v>
      </c>
      <c r="T85" s="1">
        <v>0</v>
      </c>
      <c r="U85" s="1">
        <f>Games[[#This Row],[PointsFor]]-Games[[#This Row],[PointsAgainst]]</f>
        <v>-6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0.34022952181917315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-14.421924064859898</v>
      </c>
      <c r="AB85" s="4">
        <f>Games[[#This Row],[PreGmRate]]+Games[[#This Row],[RatingChange]]</f>
        <v>1488.2631508252468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39605</v>
      </c>
      <c r="B86" s="2">
        <v>2008</v>
      </c>
      <c r="C86" s="2">
        <f>COUNTIFS(Games[Team],Games[[#This Row],[Team]],Games[Season],Games[[#This Row],[Season]],Games[Date],"&lt;=" &amp; Games[[#This Row],[Date]])</f>
        <v>7</v>
      </c>
      <c r="D86" s="2" t="s">
        <v>23</v>
      </c>
      <c r="E86" s="2" t="s">
        <v>29</v>
      </c>
      <c r="F86" s="1" t="s">
        <v>2</v>
      </c>
      <c r="G86" s="1" t="s">
        <v>66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1441.0666389424005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1482.0476209455508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0.32751446824681774</v>
      </c>
      <c r="R86" s="1">
        <v>73</v>
      </c>
      <c r="S86" s="1">
        <v>81</v>
      </c>
      <c r="T86" s="1">
        <v>0</v>
      </c>
      <c r="U86" s="1">
        <f>Games[[#This Row],[PointsFor]]-Games[[#This Row],[PointsAgainst]]</f>
        <v>-8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0.37549217011483876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-9.2172849260290786</v>
      </c>
      <c r="AB86" s="4">
        <f>Games[[#This Row],[PreGmRate]]+Games[[#This Row],[RatingChange]]</f>
        <v>1431.8493540163713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39605</v>
      </c>
      <c r="B87" s="2">
        <v>2008</v>
      </c>
      <c r="C87" s="2">
        <f>COUNTIFS(Games[Team],Games[[#This Row],[Team]],Games[Season],Games[[#This Row],[Season]],Games[Date],"&lt;=" &amp; Games[[#This Row],[Date]])</f>
        <v>6</v>
      </c>
      <c r="D87" s="2" t="s">
        <v>23</v>
      </c>
      <c r="E87" s="2" t="s">
        <v>29</v>
      </c>
      <c r="F87" s="1" t="s">
        <v>66</v>
      </c>
      <c r="G87" s="1" t="s">
        <v>2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1482.0476209455508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1441.0666389424005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0.67248553175318226</v>
      </c>
      <c r="R87" s="1">
        <v>81</v>
      </c>
      <c r="S87" s="1">
        <v>73</v>
      </c>
      <c r="T87" s="1">
        <v>0</v>
      </c>
      <c r="U87" s="1">
        <f>Games[[#This Row],[PointsFor]]-Games[[#This Row],[PointsAgainst]]</f>
        <v>8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0.37549217011483876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75.099999999999994</v>
      </c>
      <c r="Z87" s="4">
        <f>Games[[#This Row],[K]]*Games[[#This Row],[POMult]]</f>
        <v>75.099999999999994</v>
      </c>
      <c r="AA87" s="4">
        <f>(Games[[#This Row],[Keff]]*Games[[#This Row],[MOVMult]])*(Games[[#This Row],[Result]]-Games[[#This Row],[ExpectedWin%]])</f>
        <v>9.2357317937929775</v>
      </c>
      <c r="AB87" s="4">
        <f>Games[[#This Row],[PreGmRate]]+Games[[#This Row],[RatingChange]]</f>
        <v>1491.2833527393436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39605</v>
      </c>
      <c r="B88" s="2">
        <v>2008</v>
      </c>
      <c r="C88" s="2">
        <f>COUNTIFS(Games[Team],Games[[#This Row],[Team]],Games[Season],Games[[#This Row],[Season]],Games[Date],"&lt;=" &amp; Games[[#This Row],[Date]])</f>
        <v>8</v>
      </c>
      <c r="D88" s="2" t="s">
        <v>23</v>
      </c>
      <c r="E88" s="2" t="s">
        <v>29</v>
      </c>
      <c r="F88" s="1" t="s">
        <v>74</v>
      </c>
      <c r="G88" s="1" t="s">
        <v>45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88" s="2">
        <f>Games[[#This Row],[DaysOff]]-Games[[#This Row],[OppDaysOff]]</f>
        <v>-5</v>
      </c>
      <c r="L88" s="2">
        <f>Games[[#This Row],[OppDaysOff]]-Games[[#This Row],[DaysOff]]</f>
        <v>5</v>
      </c>
      <c r="M88" s="1">
        <f>MAX(-16, MIN(16, Games[[#This Row],[RestDiff]]*8))</f>
        <v>-16</v>
      </c>
      <c r="N88" s="1">
        <f>MAX(-16, MIN(16, Games[[#This Row],[OppRestDiff]]*8))</f>
        <v>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1604.658622766631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1495.0627072420687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0.49078482520479111</v>
      </c>
      <c r="R88" s="1">
        <v>84</v>
      </c>
      <c r="S88" s="1">
        <v>70</v>
      </c>
      <c r="T88" s="1">
        <v>0</v>
      </c>
      <c r="U88" s="1">
        <f>Games[[#This Row],[PointsFor]]-Games[[#This Row],[PointsAgainst]]</f>
        <v>14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0.4468017327364267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17.018363038076796</v>
      </c>
      <c r="AB88" s="4">
        <f>Games[[#This Row],[PreGmRate]]+Games[[#This Row],[RatingChange]]</f>
        <v>1621.6769858047078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39605</v>
      </c>
      <c r="B89" s="2">
        <v>2008</v>
      </c>
      <c r="C89" s="2">
        <f>COUNTIFS(Games[Team],Games[[#This Row],[Team]],Games[Season],Games[[#This Row],[Season]],Games[Date],"&lt;=" &amp; Games[[#This Row],[Date]])</f>
        <v>6</v>
      </c>
      <c r="D89" s="2" t="s">
        <v>23</v>
      </c>
      <c r="E89" s="2" t="s">
        <v>29</v>
      </c>
      <c r="F89" s="1" t="s">
        <v>45</v>
      </c>
      <c r="G89" s="1" t="s">
        <v>74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6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5</v>
      </c>
      <c r="L89" s="2">
        <f>Games[[#This Row],[OppDaysOff]]-Games[[#This Row],[DaysOff]]</f>
        <v>-5</v>
      </c>
      <c r="M89" s="1">
        <f>MAX(-16, MIN(16, Games[[#This Row],[RestDiff]]*8))</f>
        <v>16</v>
      </c>
      <c r="N89" s="1">
        <f>MAX(-16, MIN(16, Games[[#This Row],[OppRestDiff]]*8))</f>
        <v>-16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1495.0627072420687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1604.658622766631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0.50921517479520895</v>
      </c>
      <c r="R89" s="1">
        <v>70</v>
      </c>
      <c r="S89" s="1">
        <v>84</v>
      </c>
      <c r="T89" s="1">
        <v>0</v>
      </c>
      <c r="U89" s="1">
        <f>Games[[#This Row],[PointsFor]]-Games[[#This Row],[PointsAgainst]]</f>
        <v>-14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0.4468017327364267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75.099999999999994</v>
      </c>
      <c r="Z89" s="4">
        <f>Games[[#This Row],[K]]*Games[[#This Row],[POMult]]</f>
        <v>75.099999999999994</v>
      </c>
      <c r="AA89" s="4">
        <f>(Games[[#This Row],[Keff]]*Games[[#This Row],[MOVMult]])*(Games[[#This Row],[Result]]-Games[[#This Row],[ExpectedWin%]])</f>
        <v>-17.086618504807049</v>
      </c>
      <c r="AB89" s="4">
        <f>Games[[#This Row],[PreGmRate]]+Games[[#This Row],[RatingChange]]</f>
        <v>1477.9760887372615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39605</v>
      </c>
      <c r="B90" s="2">
        <v>2008</v>
      </c>
      <c r="C90" s="2">
        <f>COUNTIFS(Games[Team],Games[[#This Row],[Team]],Games[Season],Games[[#This Row],[Season]],Games[Date],"&lt;=" &amp; Games[[#This Row],[Date]])</f>
        <v>7</v>
      </c>
      <c r="D90" s="2" t="s">
        <v>23</v>
      </c>
      <c r="E90" s="2" t="s">
        <v>29</v>
      </c>
      <c r="F90" s="1" t="s">
        <v>72</v>
      </c>
      <c r="G90" s="1" t="s">
        <v>83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1458.4957189913473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1493.0250524476623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0.3357459986612461</v>
      </c>
      <c r="R90" s="1">
        <v>52</v>
      </c>
      <c r="S90" s="1">
        <v>63</v>
      </c>
      <c r="T90" s="1">
        <v>0</v>
      </c>
      <c r="U90" s="1">
        <f>Games[[#This Row],[PointsFor]]-Games[[#This Row],[PointsAgainst]]</f>
        <v>-11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0.42753391920746492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-10.758533059806718</v>
      </c>
      <c r="AB90" s="4">
        <f>Games[[#This Row],[PreGmRate]]+Games[[#This Row],[RatingChange]]</f>
        <v>1447.7371859315406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39605</v>
      </c>
      <c r="B91" s="2">
        <v>2008</v>
      </c>
      <c r="C91" s="2">
        <f>COUNTIFS(Games[Team],Games[[#This Row],[Team]],Games[Season],Games[[#This Row],[Season]],Games[Date],"&lt;=" &amp; Games[[#This Row],[Date]])</f>
        <v>6</v>
      </c>
      <c r="D91" s="2" t="s">
        <v>23</v>
      </c>
      <c r="E91" s="2" t="s">
        <v>29</v>
      </c>
      <c r="F91" s="1" t="s">
        <v>83</v>
      </c>
      <c r="G91" s="1" t="s">
        <v>72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1493.0250524476623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1458.4957189913473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0.66425400133875379</v>
      </c>
      <c r="R91" s="1">
        <v>63</v>
      </c>
      <c r="S91" s="1">
        <v>52</v>
      </c>
      <c r="T91" s="1">
        <v>0</v>
      </c>
      <c r="U91" s="1">
        <f>Games[[#This Row],[PointsFor]]-Games[[#This Row],[PointsAgainst]]</f>
        <v>11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0.42753391920746492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75.099999999999994</v>
      </c>
      <c r="Z91" s="4">
        <f>Games[[#This Row],[K]]*Games[[#This Row],[POMult]]</f>
        <v>75.099999999999994</v>
      </c>
      <c r="AA91" s="4">
        <f>(Games[[#This Row],[Keff]]*Games[[#This Row],[MOVMult]])*(Games[[#This Row],[Result]]-Games[[#This Row],[ExpectedWin%]])</f>
        <v>10.780064480206601</v>
      </c>
      <c r="AB91" s="4">
        <f>Games[[#This Row],[PreGmRate]]+Games[[#This Row],[RatingChange]]</f>
        <v>1503.805116927869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39606</v>
      </c>
      <c r="B92" s="2">
        <v>2008</v>
      </c>
      <c r="C92" s="2">
        <f>COUNTIFS(Games[Team],Games[[#This Row],[Team]],Games[Season],Games[[#This Row],[Season]],Games[Date],"&lt;=" &amp; Games[[#This Row],[Date]])</f>
        <v>7</v>
      </c>
      <c r="D92" s="2" t="s">
        <v>23</v>
      </c>
      <c r="E92" s="2" t="s">
        <v>29</v>
      </c>
      <c r="F92" s="1" t="s">
        <v>88</v>
      </c>
      <c r="G92" s="1" t="s">
        <v>86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1396.2312736635065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1451.4571288858394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0.30971576730510797</v>
      </c>
      <c r="R92" s="1">
        <v>70</v>
      </c>
      <c r="S92" s="1">
        <v>91</v>
      </c>
      <c r="T92" s="1">
        <v>0</v>
      </c>
      <c r="U92" s="1">
        <f>Games[[#This Row],[PointsFor]]-Games[[#This Row],[PointsAgainst]]</f>
        <v>-21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0.5626808469458926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-13.06162121296715</v>
      </c>
      <c r="AB92" s="4">
        <f>Games[[#This Row],[PreGmRate]]+Games[[#This Row],[RatingChange]]</f>
        <v>1383.1696524505394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39606</v>
      </c>
      <c r="B93" s="2">
        <v>2008</v>
      </c>
      <c r="C93" s="2">
        <f>COUNTIFS(Games[Team],Games[[#This Row],[Team]],Games[Season],Games[[#This Row],[Season]],Games[Date],"&lt;=" &amp; Games[[#This Row],[Date]])</f>
        <v>7</v>
      </c>
      <c r="D93" s="2" t="s">
        <v>23</v>
      </c>
      <c r="E93" s="2" t="s">
        <v>29</v>
      </c>
      <c r="F93" s="1" t="s">
        <v>86</v>
      </c>
      <c r="G93" s="1" t="s">
        <v>88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0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1451.4571288858394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1396.2312736635065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0.69028423269489203</v>
      </c>
      <c r="R93" s="1">
        <v>91</v>
      </c>
      <c r="S93" s="1">
        <v>70</v>
      </c>
      <c r="T93" s="1">
        <v>0</v>
      </c>
      <c r="U93" s="1">
        <f>Games[[#This Row],[PointsFor]]-Games[[#This Row],[PointsAgainst]]</f>
        <v>21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0.5626808469458926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13.06162121296715</v>
      </c>
      <c r="AB93" s="4">
        <f>Games[[#This Row],[PreGmRate]]+Games[[#This Row],[RatingChange]]</f>
        <v>1464.5187500988065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39606</v>
      </c>
      <c r="B94" s="2">
        <v>2008</v>
      </c>
      <c r="C94" s="2">
        <f>COUNTIFS(Games[Team],Games[[#This Row],[Team]],Games[Season],Games[[#This Row],[Season]],Games[Date],"&lt;=" &amp; Games[[#This Row],[Date]])</f>
        <v>8</v>
      </c>
      <c r="D94" s="2" t="s">
        <v>23</v>
      </c>
      <c r="E94" s="2" t="s">
        <v>29</v>
      </c>
      <c r="F94" s="1" t="s">
        <v>2</v>
      </c>
      <c r="G94" s="1" t="s">
        <v>78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94" s="2">
        <f>Games[[#This Row],[DaysOff]]-Games[[#This Row],[OppDaysOff]]</f>
        <v>-6</v>
      </c>
      <c r="L94" s="2">
        <f>Games[[#This Row],[OppDaysOff]]-Games[[#This Row],[DaysOff]]</f>
        <v>6</v>
      </c>
      <c r="M94" s="1">
        <f>MAX(-16, MIN(16, Games[[#This Row],[RestDiff]]*8))</f>
        <v>-16</v>
      </c>
      <c r="N94" s="1">
        <f>MAX(-16, MIN(16, Games[[#This Row],[OppRestDiff]]*8))</f>
        <v>16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1431.8493540163713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1555.2207466203872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0.2013412544591299</v>
      </c>
      <c r="R94" s="1">
        <v>75</v>
      </c>
      <c r="S94" s="1">
        <v>84</v>
      </c>
      <c r="T94" s="1">
        <v>0</v>
      </c>
      <c r="U94" s="1">
        <f>Games[[#This Row],[PointsFor]]-Games[[#This Row],[PointsAgainst]]</f>
        <v>-9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0.36812480253036794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-5.5440794735159846</v>
      </c>
      <c r="AB94" s="4">
        <f>Games[[#This Row],[PreGmRate]]+Games[[#This Row],[RatingChange]]</f>
        <v>1426.3052745428554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39606</v>
      </c>
      <c r="B95" s="2">
        <v>2008</v>
      </c>
      <c r="C95" s="2">
        <f>COUNTIFS(Games[Team],Games[[#This Row],[Team]],Games[Season],Games[[#This Row],[Season]],Games[Date],"&lt;=" &amp; Games[[#This Row],[Date]])</f>
        <v>6</v>
      </c>
      <c r="D95" s="2" t="s">
        <v>23</v>
      </c>
      <c r="E95" s="2" t="s">
        <v>29</v>
      </c>
      <c r="F95" s="1" t="s">
        <v>78</v>
      </c>
      <c r="G95" s="1" t="s">
        <v>2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6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5" s="2">
        <f>Games[[#This Row],[DaysOff]]-Games[[#This Row],[OppDaysOff]]</f>
        <v>6</v>
      </c>
      <c r="L95" s="2">
        <f>Games[[#This Row],[OppDaysOff]]-Games[[#This Row],[DaysOff]]</f>
        <v>-6</v>
      </c>
      <c r="M95" s="1">
        <f>MAX(-16, MIN(16, Games[[#This Row],[RestDiff]]*8))</f>
        <v>16</v>
      </c>
      <c r="N95" s="1">
        <f>MAX(-16, MIN(16, Games[[#This Row],[OppRestDiff]]*8))</f>
        <v>-16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1555.2207466203872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1431.8493540163713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0.79865874554087013</v>
      </c>
      <c r="R95" s="1">
        <v>84</v>
      </c>
      <c r="S95" s="1">
        <v>75</v>
      </c>
      <c r="T95" s="1">
        <v>0</v>
      </c>
      <c r="U95" s="1">
        <f>Games[[#This Row],[PointsFor]]-Games[[#This Row],[PointsAgainst]]</f>
        <v>9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0.36812480253036794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75.099999999999994</v>
      </c>
      <c r="Z95" s="4">
        <f>Games[[#This Row],[K]]*Games[[#This Row],[POMult]]</f>
        <v>75.099999999999994</v>
      </c>
      <c r="AA95" s="4">
        <f>(Games[[#This Row],[Keff]]*Games[[#This Row],[MOVMult]])*(Games[[#This Row],[Result]]-Games[[#This Row],[ExpectedWin%]])</f>
        <v>5.5663150863776787</v>
      </c>
      <c r="AB95" s="4">
        <f>Games[[#This Row],[PreGmRate]]+Games[[#This Row],[RatingChange]]</f>
        <v>1560.7870617067649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39606</v>
      </c>
      <c r="B96" s="2">
        <v>2008</v>
      </c>
      <c r="C96" s="2">
        <f>COUNTIFS(Games[Team],Games[[#This Row],[Team]],Games[Season],Games[[#This Row],[Season]],Games[Date],"&lt;=" &amp; Games[[#This Row],[Date]])</f>
        <v>9</v>
      </c>
      <c r="D96" s="2" t="s">
        <v>23</v>
      </c>
      <c r="E96" s="2" t="s">
        <v>29</v>
      </c>
      <c r="F96" s="1" t="s">
        <v>74</v>
      </c>
      <c r="G96" s="1" t="s">
        <v>80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6" s="2">
        <f>Games[[#This Row],[DaysOff]]-Games[[#This Row],[OppDaysOff]]</f>
        <v>-2</v>
      </c>
      <c r="L96" s="2">
        <f>Games[[#This Row],[OppDaysOff]]-Games[[#This Row],[DaysOff]]</f>
        <v>2</v>
      </c>
      <c r="M96" s="1">
        <f>MAX(-16, MIN(16, Games[[#This Row],[RestDiff]]*8))</f>
        <v>-16</v>
      </c>
      <c r="N96" s="1">
        <f>MAX(-16, MIN(16, Games[[#This Row],[OppRestDiff]]*8))</f>
        <v>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1621.6769858047078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1519.8788111329261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0.47957330588101732</v>
      </c>
      <c r="R96" s="1">
        <v>67</v>
      </c>
      <c r="S96" s="1">
        <v>75</v>
      </c>
      <c r="T96" s="1">
        <v>0</v>
      </c>
      <c r="U96" s="1">
        <f>Games[[#This Row],[PointsFor]]-Games[[#This Row],[PointsAgainst]]</f>
        <v>-8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0.35794998876925938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74.650000000000006</v>
      </c>
      <c r="Z96" s="4">
        <f>Games[[#This Row],[K]]*Games[[#This Row],[POMult]]</f>
        <v>74.650000000000006</v>
      </c>
      <c r="AA96" s="4">
        <f>(Games[[#This Row],[Keff]]*Games[[#This Row],[MOVMult]])*(Games[[#This Row],[Result]]-Games[[#This Row],[ExpectedWin%]])</f>
        <v>-12.814662318252056</v>
      </c>
      <c r="AB96" s="4">
        <f>Games[[#This Row],[PreGmRate]]+Games[[#This Row],[RatingChange]]</f>
        <v>1608.8623234864558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39606</v>
      </c>
      <c r="B97" s="2">
        <v>2008</v>
      </c>
      <c r="C97" s="2">
        <f>COUNTIFS(Games[Team],Games[[#This Row],[Team]],Games[Season],Games[[#This Row],[Season]],Games[Date],"&lt;=" &amp; Games[[#This Row],[Date]])</f>
        <v>9</v>
      </c>
      <c r="D97" s="2" t="s">
        <v>23</v>
      </c>
      <c r="E97" s="2" t="s">
        <v>29</v>
      </c>
      <c r="F97" s="1" t="s">
        <v>80</v>
      </c>
      <c r="G97" s="1" t="s">
        <v>74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7" s="2">
        <f>Games[[#This Row],[DaysOff]]-Games[[#This Row],[OppDaysOff]]</f>
        <v>2</v>
      </c>
      <c r="L97" s="2">
        <f>Games[[#This Row],[OppDaysOff]]-Games[[#This Row],[DaysOff]]</f>
        <v>-2</v>
      </c>
      <c r="M97" s="1">
        <f>MAX(-16, MIN(16, Games[[#This Row],[RestDiff]]*8))</f>
        <v>16</v>
      </c>
      <c r="N97" s="1">
        <f>MAX(-16, MIN(16, Games[[#This Row],[OppRestDiff]]*8))</f>
        <v>-16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1519.8788111329261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1621.6769858047078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0.52042669411898268</v>
      </c>
      <c r="R97" s="1">
        <v>75</v>
      </c>
      <c r="S97" s="1">
        <v>67</v>
      </c>
      <c r="T97" s="1">
        <v>0</v>
      </c>
      <c r="U97" s="1">
        <f>Games[[#This Row],[PointsFor]]-Games[[#This Row],[PointsAgainst]]</f>
        <v>8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0.35794998876925938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12.814662318252056</v>
      </c>
      <c r="AB97" s="4">
        <f>Games[[#This Row],[PreGmRate]]+Games[[#This Row],[RatingChange]]</f>
        <v>1532.6934734511781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39607</v>
      </c>
      <c r="B98" s="2">
        <v>2008</v>
      </c>
      <c r="C98" s="2">
        <f>COUNTIFS(Games[Team],Games[[#This Row],[Team]],Games[Season],Games[[#This Row],[Season]],Games[Date],"&lt;=" &amp; Games[[#This Row],[Date]])</f>
        <v>8</v>
      </c>
      <c r="D98" s="2" t="s">
        <v>23</v>
      </c>
      <c r="E98" s="2" t="s">
        <v>29</v>
      </c>
      <c r="F98" s="1" t="s">
        <v>72</v>
      </c>
      <c r="G98" s="1" t="s">
        <v>85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1447.7371859315406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1567.8047668189431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0.236005149494775</v>
      </c>
      <c r="R98" s="1">
        <v>79</v>
      </c>
      <c r="S98" s="1">
        <v>87</v>
      </c>
      <c r="T98" s="1">
        <v>0</v>
      </c>
      <c r="U98" s="1">
        <f>Games[[#This Row],[PointsFor]]-Games[[#This Row],[PointsAgainst]]</f>
        <v>-8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0.35299605016461127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-6.2315046421442801</v>
      </c>
      <c r="AB98" s="4">
        <f>Games[[#This Row],[PreGmRate]]+Games[[#This Row],[RatingChange]]</f>
        <v>1441.5056812893963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39607</v>
      </c>
      <c r="B99" s="2">
        <v>2008</v>
      </c>
      <c r="C99" s="2">
        <f>COUNTIFS(Games[Team],Games[[#This Row],[Team]],Games[Season],Games[[#This Row],[Season]],Games[Date],"&lt;=" &amp; Games[[#This Row],[Date]])</f>
        <v>8</v>
      </c>
      <c r="D99" s="2" t="s">
        <v>23</v>
      </c>
      <c r="E99" s="2" t="s">
        <v>29</v>
      </c>
      <c r="F99" s="1" t="s">
        <v>85</v>
      </c>
      <c r="G99" s="1" t="s">
        <v>72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1567.8047668189431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1447.7371859315406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0.76399485050522498</v>
      </c>
      <c r="R99" s="1">
        <v>87</v>
      </c>
      <c r="S99" s="1">
        <v>79</v>
      </c>
      <c r="T99" s="1">
        <v>0</v>
      </c>
      <c r="U99" s="1">
        <f>Games[[#This Row],[PointsFor]]-Games[[#This Row],[PointsAgainst]]</f>
        <v>8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0.35299605016461127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6.231504642144281</v>
      </c>
      <c r="AB99" s="4">
        <f>Games[[#This Row],[PreGmRate]]+Games[[#This Row],[RatingChange]]</f>
        <v>1574.0362714610874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39607</v>
      </c>
      <c r="B100" s="2">
        <v>2008</v>
      </c>
      <c r="C100" s="2">
        <f>COUNTIFS(Games[Team],Games[[#This Row],[Team]],Games[Season],Games[[#This Row],[Season]],Games[Date],"&lt;=" &amp; Games[[#This Row],[Date]])</f>
        <v>7</v>
      </c>
      <c r="D100" s="2" t="s">
        <v>23</v>
      </c>
      <c r="E100" s="2" t="s">
        <v>29</v>
      </c>
      <c r="F100" s="1" t="s">
        <v>83</v>
      </c>
      <c r="G100" s="1" t="s">
        <v>76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1503.805116927869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1516.3930957615164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0.36447230528026242</v>
      </c>
      <c r="R100" s="1">
        <v>78</v>
      </c>
      <c r="S100" s="1">
        <v>90</v>
      </c>
      <c r="T100" s="1">
        <v>0</v>
      </c>
      <c r="U100" s="1">
        <f>Games[[#This Row],[PointsFor]]-Games[[#This Row],[PointsAgainst]]</f>
        <v>-12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0.4513943245737384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74.95</v>
      </c>
      <c r="Z100" s="4">
        <f>Games[[#This Row],[K]]*Games[[#This Row],[POMult]]</f>
        <v>74.95</v>
      </c>
      <c r="AA100" s="4">
        <f>(Games[[#This Row],[Keff]]*Games[[#This Row],[MOVMult]])*(Games[[#This Row],[Result]]-Games[[#This Row],[ExpectedWin%]])</f>
        <v>-12.33082871858292</v>
      </c>
      <c r="AB100" s="4">
        <f>Games[[#This Row],[PreGmRate]]+Games[[#This Row],[RatingChange]]</f>
        <v>1491.474288209286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39607</v>
      </c>
      <c r="B101" s="2">
        <v>2008</v>
      </c>
      <c r="C101" s="2">
        <f>COUNTIFS(Games[Team],Games[[#This Row],[Team]],Games[Season],Games[[#This Row],[Season]],Games[Date],"&lt;=" &amp; Games[[#This Row],[Date]])</f>
        <v>7</v>
      </c>
      <c r="D101" s="2" t="s">
        <v>23</v>
      </c>
      <c r="E101" s="2" t="s">
        <v>29</v>
      </c>
      <c r="F101" s="1" t="s">
        <v>76</v>
      </c>
      <c r="G101" s="1" t="s">
        <v>83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1516.3930957615164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1503.805116927869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0.63552769471973758</v>
      </c>
      <c r="R101" s="1">
        <v>90</v>
      </c>
      <c r="S101" s="1">
        <v>78</v>
      </c>
      <c r="T101" s="1">
        <v>0</v>
      </c>
      <c r="U101" s="1">
        <f>Games[[#This Row],[PointsFor]]-Games[[#This Row],[PointsAgainst]]</f>
        <v>12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0.4513943245737384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12.33082871858292</v>
      </c>
      <c r="AB101" s="4">
        <f>Games[[#This Row],[PreGmRate]]+Games[[#This Row],[RatingChange]]</f>
        <v>1528.7239244800994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39607</v>
      </c>
      <c r="B102" s="2">
        <v>2008</v>
      </c>
      <c r="C102" s="2">
        <f>COUNTIFS(Games[Team],Games[[#This Row],[Team]],Games[Season],Games[[#This Row],[Season]],Games[Date],"&lt;=" &amp; Games[[#This Row],[Date]])</f>
        <v>7</v>
      </c>
      <c r="D102" s="2" t="s">
        <v>23</v>
      </c>
      <c r="E102" s="2" t="s">
        <v>29</v>
      </c>
      <c r="F102" s="1" t="s">
        <v>45</v>
      </c>
      <c r="G102" s="1" t="s">
        <v>66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1477.9760887372615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1491.2833527393436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0.36351376237354693</v>
      </c>
      <c r="R102" s="1">
        <v>70</v>
      </c>
      <c r="S102" s="1">
        <v>63</v>
      </c>
      <c r="T102" s="1">
        <v>0</v>
      </c>
      <c r="U102" s="1">
        <f>Games[[#This Row],[PointsFor]]-Games[[#This Row],[PointsAgainst]]</f>
        <v>7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0.36604792550209431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74.95</v>
      </c>
      <c r="Z102" s="4">
        <f>Games[[#This Row],[K]]*Games[[#This Row],[POMult]]</f>
        <v>74.95</v>
      </c>
      <c r="AA102" s="4">
        <f>(Games[[#This Row],[Keff]]*Games[[#This Row],[MOVMult]])*(Games[[#This Row],[Result]]-Games[[#This Row],[ExpectedWin%]])</f>
        <v>17.462185793690026</v>
      </c>
      <c r="AB102" s="4">
        <f>Games[[#This Row],[PreGmRate]]+Games[[#This Row],[RatingChange]]</f>
        <v>1495.4382745309515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39607</v>
      </c>
      <c r="B103" s="2">
        <v>2008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66</v>
      </c>
      <c r="G103" s="1" t="s">
        <v>45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1491.2833527393436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1477.9760887372615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0.63648623762645307</v>
      </c>
      <c r="R103" s="1">
        <v>63</v>
      </c>
      <c r="S103" s="1">
        <v>70</v>
      </c>
      <c r="T103" s="1">
        <v>0</v>
      </c>
      <c r="U103" s="1">
        <f>Games[[#This Row],[PointsFor]]-Games[[#This Row],[PointsAgainst]]</f>
        <v>-7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0.36604792550209431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-17.462185793690026</v>
      </c>
      <c r="AB103" s="4">
        <f>Games[[#This Row],[PreGmRate]]+Games[[#This Row],[RatingChange]]</f>
        <v>1473.8211669456537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39609</v>
      </c>
      <c r="B104" s="2">
        <v>2008</v>
      </c>
      <c r="C104" s="2">
        <f>COUNTIFS(Games[Team],Games[[#This Row],[Team]],Games[Season],Games[[#This Row],[Season]],Games[Date],"&lt;=" &amp; Games[[#This Row],[Date]])</f>
        <v>9</v>
      </c>
      <c r="D104" s="2" t="s">
        <v>23</v>
      </c>
      <c r="E104" s="2" t="s">
        <v>29</v>
      </c>
      <c r="F104" s="1" t="s">
        <v>85</v>
      </c>
      <c r="G104" s="1" t="s">
        <v>76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1574.0362714610874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1528.7239244800994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0.44455297017979417</v>
      </c>
      <c r="R104" s="1">
        <v>75</v>
      </c>
      <c r="S104" s="1">
        <v>66</v>
      </c>
      <c r="T104" s="1">
        <v>0</v>
      </c>
      <c r="U104" s="1">
        <f>Games[[#This Row],[PointsFor]]-Games[[#This Row],[PointsAgainst]]</f>
        <v>9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0.39119971287342331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16.220752142150804</v>
      </c>
      <c r="AB104" s="4">
        <f>Games[[#This Row],[PreGmRate]]+Games[[#This Row],[RatingChange]]</f>
        <v>1590.2570236032382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39609</v>
      </c>
      <c r="B105" s="2">
        <v>2008</v>
      </c>
      <c r="C105" s="2">
        <f>COUNTIFS(Games[Team],Games[[#This Row],[Team]],Games[Season],Games[[#This Row],[Season]],Games[Date],"&lt;=" &amp; Games[[#This Row],[Date]])</f>
        <v>8</v>
      </c>
      <c r="D105" s="2" t="s">
        <v>23</v>
      </c>
      <c r="E105" s="2" t="s">
        <v>29</v>
      </c>
      <c r="F105" s="1" t="s">
        <v>76</v>
      </c>
      <c r="G105" s="1" t="s">
        <v>85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1528.7239244800994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1574.0362714610874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0.55544702982020577</v>
      </c>
      <c r="R105" s="1">
        <v>66</v>
      </c>
      <c r="S105" s="1">
        <v>75</v>
      </c>
      <c r="T105" s="1">
        <v>0</v>
      </c>
      <c r="U105" s="1">
        <f>Games[[#This Row],[PointsFor]]-Games[[#This Row],[PointsAgainst]]</f>
        <v>-9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0.39119971287342331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-16.253345749938109</v>
      </c>
      <c r="AB105" s="4">
        <f>Games[[#This Row],[PreGmRate]]+Games[[#This Row],[RatingChange]]</f>
        <v>1512.4705787301614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39610</v>
      </c>
      <c r="B106" s="2">
        <v>2008</v>
      </c>
      <c r="C106" s="2">
        <f>COUNTIFS(Games[Team],Games[[#This Row],[Team]],Games[Season],Games[[#This Row],[Season]],Games[Date],"&lt;=" &amp; Games[[#This Row],[Date]])</f>
        <v>8</v>
      </c>
      <c r="D106" s="2" t="s">
        <v>23</v>
      </c>
      <c r="E106" s="2" t="s">
        <v>29</v>
      </c>
      <c r="F106" s="1" t="s">
        <v>66</v>
      </c>
      <c r="G106" s="1" t="s">
        <v>88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6" s="2">
        <f>Games[[#This Row],[DaysOff]]-Games[[#This Row],[OppDaysOff]]</f>
        <v>-1</v>
      </c>
      <c r="L106" s="2">
        <f>Games[[#This Row],[OppDaysOff]]-Games[[#This Row],[DaysOff]]</f>
        <v>1</v>
      </c>
      <c r="M106" s="1">
        <f>MAX(-16, MIN(16, Games[[#This Row],[RestDiff]]*8))</f>
        <v>-8</v>
      </c>
      <c r="N106" s="1">
        <f>MAX(-16, MIN(16, Games[[#This Row],[OppRestDiff]]*8))</f>
        <v>8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1473.8211669456537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1383.1696524505394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0.4865496937123619</v>
      </c>
      <c r="R106" s="1">
        <v>81</v>
      </c>
      <c r="S106" s="1">
        <v>77</v>
      </c>
      <c r="T106" s="1">
        <v>0</v>
      </c>
      <c r="U106" s="1">
        <f>Games[[#This Row],[PointsFor]]-Games[[#This Row],[PointsAgainst]]</f>
        <v>4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0.28955862809400507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74.8</v>
      </c>
      <c r="Z106" s="4">
        <f>Games[[#This Row],[K]]*Games[[#This Row],[POMult]]</f>
        <v>74.8</v>
      </c>
      <c r="AA106" s="4">
        <f>(Games[[#This Row],[Keff]]*Games[[#This Row],[MOVMult]])*(Games[[#This Row],[Result]]-Games[[#This Row],[ExpectedWin%]])</f>
        <v>11.12081267797552</v>
      </c>
      <c r="AB106" s="4">
        <f>Games[[#This Row],[PreGmRate]]+Games[[#This Row],[RatingChange]]</f>
        <v>1484.9419796236291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39610</v>
      </c>
      <c r="B107" s="2">
        <v>2008</v>
      </c>
      <c r="C107" s="2">
        <f>COUNTIFS(Games[Team],Games[[#This Row],[Team]],Games[Season],Games[[#This Row],[Season]],Games[Date],"&lt;=" &amp; Games[[#This Row],[Date]])</f>
        <v>8</v>
      </c>
      <c r="D107" s="2" t="s">
        <v>23</v>
      </c>
      <c r="E107" s="2" t="s">
        <v>29</v>
      </c>
      <c r="F107" s="1" t="s">
        <v>88</v>
      </c>
      <c r="G107" s="1" t="s">
        <v>66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1</v>
      </c>
      <c r="L107" s="2">
        <f>Games[[#This Row],[OppDaysOff]]-Games[[#This Row],[DaysOff]]</f>
        <v>-1</v>
      </c>
      <c r="M107" s="1">
        <f>MAX(-16, MIN(16, Games[[#This Row],[RestDiff]]*8))</f>
        <v>8</v>
      </c>
      <c r="N107" s="1">
        <f>MAX(-16, MIN(16, Games[[#This Row],[OppRestDiff]]*8))</f>
        <v>-8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1383.1696524505394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1473.8211669456537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0.51345030628763821</v>
      </c>
      <c r="R107" s="1">
        <v>77</v>
      </c>
      <c r="S107" s="1">
        <v>81</v>
      </c>
      <c r="T107" s="1">
        <v>0</v>
      </c>
      <c r="U107" s="1">
        <f>Games[[#This Row],[PointsFor]]-Games[[#This Row],[PointsAgainst]]</f>
        <v>-4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0.28955862809400507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-11.120812677975522</v>
      </c>
      <c r="AB107" s="4">
        <f>Games[[#This Row],[PreGmRate]]+Games[[#This Row],[RatingChange]]</f>
        <v>1372.048839772564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39610</v>
      </c>
      <c r="B108" s="2">
        <v>2008</v>
      </c>
      <c r="C108" s="2">
        <f>COUNTIFS(Games[Team],Games[[#This Row],[Team]],Games[Season],Games[[#This Row],[Season]],Games[Date],"&lt;=" &amp; Games[[#This Row],[Date]])</f>
        <v>10</v>
      </c>
      <c r="D108" s="2" t="s">
        <v>23</v>
      </c>
      <c r="E108" s="2" t="s">
        <v>29</v>
      </c>
      <c r="F108" s="1" t="s">
        <v>74</v>
      </c>
      <c r="G108" s="1" t="s">
        <v>69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8" s="2">
        <f>Games[[#This Row],[DaysOff]]-Games[[#This Row],[OppDaysOff]]</f>
        <v>-1</v>
      </c>
      <c r="L108" s="2">
        <f>Games[[#This Row],[OppDaysOff]]-Games[[#This Row],[DaysOff]]</f>
        <v>1</v>
      </c>
      <c r="M108" s="1">
        <f>MAX(-16, MIN(16, Games[[#This Row],[RestDiff]]*8))</f>
        <v>-8</v>
      </c>
      <c r="N108" s="1">
        <f>MAX(-16, MIN(16, Games[[#This Row],[OppRestDiff]]*8))</f>
        <v>8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1608.8623234864558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1488.2631508252468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0.52960990557719778</v>
      </c>
      <c r="R108" s="1">
        <v>73</v>
      </c>
      <c r="S108" s="1">
        <v>80</v>
      </c>
      <c r="T108" s="1">
        <v>0</v>
      </c>
      <c r="U108" s="1">
        <f>Games[[#This Row],[PointsFor]]-Games[[#This Row],[PointsAgainst]]</f>
        <v>-7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0.33630840922730326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-13.26936373174888</v>
      </c>
      <c r="AB108" s="4">
        <f>Games[[#This Row],[PreGmRate]]+Games[[#This Row],[RatingChange]]</f>
        <v>1595.592959754707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39610</v>
      </c>
      <c r="B109" s="2">
        <v>2008</v>
      </c>
      <c r="C109" s="2">
        <f>COUNTIFS(Games[Team],Games[[#This Row],[Team]],Games[Season],Games[[#This Row],[Season]],Games[Date],"&lt;=" &amp; Games[[#This Row],[Date]])</f>
        <v>7</v>
      </c>
      <c r="D109" s="2" t="s">
        <v>23</v>
      </c>
      <c r="E109" s="2" t="s">
        <v>29</v>
      </c>
      <c r="F109" s="1" t="s">
        <v>69</v>
      </c>
      <c r="G109" s="1" t="s">
        <v>74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9" s="2">
        <f>Games[[#This Row],[DaysOff]]-Games[[#This Row],[OppDaysOff]]</f>
        <v>1</v>
      </c>
      <c r="L109" s="2">
        <f>Games[[#This Row],[OppDaysOff]]-Games[[#This Row],[DaysOff]]</f>
        <v>-1</v>
      </c>
      <c r="M109" s="1">
        <f>MAX(-16, MIN(16, Games[[#This Row],[RestDiff]]*8))</f>
        <v>8</v>
      </c>
      <c r="N109" s="1">
        <f>MAX(-16, MIN(16, Games[[#This Row],[OppRestDiff]]*8))</f>
        <v>-8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1488.2631508252468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1608.8623234864558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0.47039009442280227</v>
      </c>
      <c r="R109" s="1">
        <v>80</v>
      </c>
      <c r="S109" s="1">
        <v>73</v>
      </c>
      <c r="T109" s="1">
        <v>0</v>
      </c>
      <c r="U109" s="1">
        <f>Games[[#This Row],[PointsFor]]-Games[[#This Row],[PointsAgainst]]</f>
        <v>7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0.33630840922730326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74.95</v>
      </c>
      <c r="Z109" s="4">
        <f>Games[[#This Row],[K]]*Games[[#This Row],[POMult]]</f>
        <v>74.95</v>
      </c>
      <c r="AA109" s="4">
        <f>(Games[[#This Row],[Keff]]*Games[[#This Row],[MOVMult]])*(Games[[#This Row],[Result]]-Games[[#This Row],[ExpectedWin%]])</f>
        <v>13.349514250933938</v>
      </c>
      <c r="AB109" s="4">
        <f>Games[[#This Row],[PreGmRate]]+Games[[#This Row],[RatingChange]]</f>
        <v>1501.6126650761807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39610</v>
      </c>
      <c r="B110" s="2">
        <v>2008</v>
      </c>
      <c r="C110" s="2">
        <f>COUNTIFS(Games[Team],Games[[#This Row],[Team]],Games[Season],Games[[#This Row],[Season]],Games[Date],"&lt;=" &amp; Games[[#This Row],[Date]])</f>
        <v>7</v>
      </c>
      <c r="D110" s="2" t="s">
        <v>23</v>
      </c>
      <c r="E110" s="2" t="s">
        <v>29</v>
      </c>
      <c r="F110" s="1" t="s">
        <v>78</v>
      </c>
      <c r="G110" s="1" t="s">
        <v>83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1</v>
      </c>
      <c r="L110" s="2">
        <f>Games[[#This Row],[OppDaysOff]]-Games[[#This Row],[DaysOff]]</f>
        <v>-1</v>
      </c>
      <c r="M110" s="1">
        <f>MAX(-16, MIN(16, Games[[#This Row],[RestDiff]]*8))</f>
        <v>8</v>
      </c>
      <c r="N110" s="1">
        <f>MAX(-16, MIN(16, Games[[#This Row],[OppRestDiff]]*8))</f>
        <v>-8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1560.7870617067649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1491.474288209286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0.50188922393792301</v>
      </c>
      <c r="R110" s="1">
        <v>53</v>
      </c>
      <c r="S110" s="1">
        <v>64</v>
      </c>
      <c r="T110" s="1">
        <v>0</v>
      </c>
      <c r="U110" s="1">
        <f>Games[[#This Row],[PointsFor]]-Games[[#This Row],[PointsAgainst]]</f>
        <v>-11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0.41581805157041224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74.95</v>
      </c>
      <c r="Z110" s="4">
        <f>Games[[#This Row],[K]]*Games[[#This Row],[POMult]]</f>
        <v>74.95</v>
      </c>
      <c r="AA110" s="4">
        <f>(Games[[#This Row],[Keff]]*Games[[#This Row],[MOVMult]])*(Games[[#This Row],[Result]]-Games[[#This Row],[ExpectedWin%]])</f>
        <v>-15.641660210193907</v>
      </c>
      <c r="AB110" s="4">
        <f>Games[[#This Row],[PreGmRate]]+Games[[#This Row],[RatingChange]]</f>
        <v>1545.1454014965709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39610</v>
      </c>
      <c r="B111" s="2">
        <v>2008</v>
      </c>
      <c r="C111" s="2">
        <f>COUNTIFS(Games[Team],Games[[#This Row],[Team]],Games[Season],Games[[#This Row],[Season]],Games[Date],"&lt;=" &amp; Games[[#This Row],[Date]])</f>
        <v>8</v>
      </c>
      <c r="D111" s="2" t="s">
        <v>23</v>
      </c>
      <c r="E111" s="2" t="s">
        <v>29</v>
      </c>
      <c r="F111" s="1" t="s">
        <v>83</v>
      </c>
      <c r="G111" s="1" t="s">
        <v>78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1" s="2">
        <f>Games[[#This Row],[DaysOff]]-Games[[#This Row],[OppDaysOff]]</f>
        <v>-1</v>
      </c>
      <c r="L111" s="2">
        <f>Games[[#This Row],[OppDaysOff]]-Games[[#This Row],[DaysOff]]</f>
        <v>1</v>
      </c>
      <c r="M111" s="1">
        <f>MAX(-16, MIN(16, Games[[#This Row],[RestDiff]]*8))</f>
        <v>-8</v>
      </c>
      <c r="N111" s="1">
        <f>MAX(-16, MIN(16, Games[[#This Row],[OppRestDiff]]*8))</f>
        <v>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1491.474288209286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1560.7870617067649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0.49811077606207693</v>
      </c>
      <c r="R111" s="1">
        <v>64</v>
      </c>
      <c r="S111" s="1">
        <v>53</v>
      </c>
      <c r="T111" s="1">
        <v>0</v>
      </c>
      <c r="U111" s="1">
        <f>Games[[#This Row],[PointsFor]]-Games[[#This Row],[PointsAgainst]]</f>
        <v>11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0.41581805157041224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74.8</v>
      </c>
      <c r="Z111" s="4">
        <f>Games[[#This Row],[K]]*Games[[#This Row],[POMult]]</f>
        <v>74.8</v>
      </c>
      <c r="AA111" s="4">
        <f>(Games[[#This Row],[Keff]]*Games[[#This Row],[MOVMult]])*(Games[[#This Row],[Result]]-Games[[#This Row],[ExpectedWin%]])</f>
        <v>15.610356020313601</v>
      </c>
      <c r="AB111" s="4">
        <f>Games[[#This Row],[PreGmRate]]+Games[[#This Row],[RatingChange]]</f>
        <v>1507.0846442295997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39610</v>
      </c>
      <c r="B112" s="2">
        <v>2008</v>
      </c>
      <c r="C112" s="2">
        <f>COUNTIFS(Games[Team],Games[[#This Row],[Team]],Games[Season],Games[[#This Row],[Season]],Games[Date],"&lt;=" &amp; Games[[#This Row],[Date]])</f>
        <v>7</v>
      </c>
      <c r="D112" s="2" t="s">
        <v>23</v>
      </c>
      <c r="E112" s="2" t="s">
        <v>29</v>
      </c>
      <c r="F112" s="1" t="s">
        <v>44</v>
      </c>
      <c r="G112" s="1" t="s">
        <v>80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2" s="2">
        <f>Games[[#This Row],[DaysOff]]-Games[[#This Row],[OppDaysOff]]</f>
        <v>1</v>
      </c>
      <c r="L112" s="2">
        <f>Games[[#This Row],[OppDaysOff]]-Games[[#This Row],[DaysOff]]</f>
        <v>-1</v>
      </c>
      <c r="M112" s="1">
        <f>MAX(-16, MIN(16, Games[[#This Row],[RestDiff]]*8))</f>
        <v>8</v>
      </c>
      <c r="N112" s="1">
        <f>MAX(-16, MIN(16, Games[[#This Row],[OppRestDiff]]*8))</f>
        <v>-8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1556.0850601628078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1532.6934734511781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0.43615377963373342</v>
      </c>
      <c r="R112" s="1">
        <v>77</v>
      </c>
      <c r="S112" s="1">
        <v>83</v>
      </c>
      <c r="T112" s="1">
        <v>0</v>
      </c>
      <c r="U112" s="1">
        <f>Games[[#This Row],[PointsFor]]-Games[[#This Row],[PointsAgainst]]</f>
        <v>-6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0.34456417543482099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74.95</v>
      </c>
      <c r="Z112" s="4">
        <f>Games[[#This Row],[K]]*Games[[#This Row],[POMult]]</f>
        <v>74.95</v>
      </c>
      <c r="AA112" s="4">
        <f>(Games[[#This Row],[Keff]]*Games[[#This Row],[MOVMult]])*(Games[[#This Row],[Result]]-Games[[#This Row],[ExpectedWin%]])</f>
        <v>-11.263708409798735</v>
      </c>
      <c r="AB112" s="4">
        <f>Games[[#This Row],[PreGmRate]]+Games[[#This Row],[RatingChange]]</f>
        <v>1544.8213517530091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39610</v>
      </c>
      <c r="B113" s="2">
        <v>2008</v>
      </c>
      <c r="C113" s="2">
        <f>COUNTIFS(Games[Team],Games[[#This Row],[Team]],Games[Season],Games[[#This Row],[Season]],Games[Date],"&lt;=" &amp; Games[[#This Row],[Date]])</f>
        <v>10</v>
      </c>
      <c r="D113" s="2" t="s">
        <v>23</v>
      </c>
      <c r="E113" s="2" t="s">
        <v>29</v>
      </c>
      <c r="F113" s="1" t="s">
        <v>80</v>
      </c>
      <c r="G113" s="1" t="s">
        <v>44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3" s="2">
        <f>Games[[#This Row],[DaysOff]]-Games[[#This Row],[OppDaysOff]]</f>
        <v>-1</v>
      </c>
      <c r="L113" s="2">
        <f>Games[[#This Row],[OppDaysOff]]-Games[[#This Row],[DaysOff]]</f>
        <v>1</v>
      </c>
      <c r="M113" s="1">
        <f>MAX(-16, MIN(16, Games[[#This Row],[RestDiff]]*8))</f>
        <v>-8</v>
      </c>
      <c r="N113" s="1">
        <f>MAX(-16, MIN(16, Games[[#This Row],[OppRestDiff]]*8))</f>
        <v>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1532.6934734511781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1556.0850601628078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0.56384622036626653</v>
      </c>
      <c r="R113" s="1">
        <v>83</v>
      </c>
      <c r="S113" s="1">
        <v>77</v>
      </c>
      <c r="T113" s="1">
        <v>0</v>
      </c>
      <c r="U113" s="1">
        <f>Games[[#This Row],[PointsFor]]-Games[[#This Row],[PointsAgainst]]</f>
        <v>6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0.34456417543482099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11.196081074449712</v>
      </c>
      <c r="AB113" s="4">
        <f>Games[[#This Row],[PreGmRate]]+Games[[#This Row],[RatingChange]]</f>
        <v>1543.8895545256278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39610</v>
      </c>
      <c r="B114" s="2">
        <v>2008</v>
      </c>
      <c r="C114" s="2">
        <f>COUNTIFS(Games[Team],Games[[#This Row],[Team]],Games[Season],Games[[#This Row],[Season]],Games[Date],"&lt;=" &amp; Games[[#This Row],[Date]])</f>
        <v>8</v>
      </c>
      <c r="D114" s="2" t="s">
        <v>23</v>
      </c>
      <c r="E114" s="2" t="s">
        <v>29</v>
      </c>
      <c r="F114" s="1" t="s">
        <v>45</v>
      </c>
      <c r="G114" s="1" t="s">
        <v>72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1495.4382745309515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1441.5056812893963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0.45683722314262043</v>
      </c>
      <c r="R114" s="1">
        <v>79</v>
      </c>
      <c r="S114" s="1">
        <v>76</v>
      </c>
      <c r="T114" s="1">
        <v>0</v>
      </c>
      <c r="U114" s="1">
        <f>Games[[#This Row],[PointsFor]]-Games[[#This Row],[PointsAgainst]]</f>
        <v>3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0.27770250745158609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74.8</v>
      </c>
      <c r="Z114" s="4">
        <f>Games[[#This Row],[K]]*Games[[#This Row],[POMult]]</f>
        <v>74.8</v>
      </c>
      <c r="AA114" s="4">
        <f>(Games[[#This Row],[Keff]]*Games[[#This Row],[MOVMult]])*(Games[[#This Row],[Result]]-Games[[#This Row],[ExpectedWin%]])</f>
        <v>11.282657348557015</v>
      </c>
      <c r="AB114" s="4">
        <f>Games[[#This Row],[PreGmRate]]+Games[[#This Row],[RatingChange]]</f>
        <v>1506.7209318795085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39610</v>
      </c>
      <c r="B115" s="2">
        <v>2008</v>
      </c>
      <c r="C115" s="2">
        <f>COUNTIFS(Games[Team],Games[[#This Row],[Team]],Games[Season],Games[[#This Row],[Season]],Games[Date],"&lt;=" &amp; Games[[#This Row],[Date]])</f>
        <v>9</v>
      </c>
      <c r="D115" s="2" t="s">
        <v>23</v>
      </c>
      <c r="E115" s="2" t="s">
        <v>29</v>
      </c>
      <c r="F115" s="1" t="s">
        <v>72</v>
      </c>
      <c r="G115" s="1" t="s">
        <v>45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1441.5056812893963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1495.4382745309515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0.54316277685737946</v>
      </c>
      <c r="R115" s="1">
        <v>76</v>
      </c>
      <c r="S115" s="1">
        <v>79</v>
      </c>
      <c r="T115" s="1">
        <v>0</v>
      </c>
      <c r="U115" s="1">
        <f>Games[[#This Row],[PointsFor]]-Games[[#This Row],[PointsAgainst]]</f>
        <v>-3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0.27770250745158609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-11.260031698793865</v>
      </c>
      <c r="AB115" s="4">
        <f>Games[[#This Row],[PreGmRate]]+Games[[#This Row],[RatingChange]]</f>
        <v>1430.2456495906024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39611</v>
      </c>
      <c r="B116" s="2">
        <v>2008</v>
      </c>
      <c r="C116" s="2">
        <f>COUNTIFS(Games[Team],Games[[#This Row],[Team]],Games[Season],Games[[#This Row],[Season]],Games[Date],"&lt;=" &amp; Games[[#This Row],[Date]])</f>
        <v>9</v>
      </c>
      <c r="D116" s="2" t="s">
        <v>23</v>
      </c>
      <c r="E116" s="2" t="s">
        <v>29</v>
      </c>
      <c r="F116" s="1" t="s">
        <v>45</v>
      </c>
      <c r="G116" s="1" t="s">
        <v>76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-1</v>
      </c>
      <c r="L116" s="2">
        <f>Games[[#This Row],[OppDaysOff]]-Games[[#This Row],[DaysOff]]</f>
        <v>1</v>
      </c>
      <c r="M116" s="1">
        <f>MAX(-16, MIN(16, Games[[#This Row],[RestDiff]]*8))</f>
        <v>-8</v>
      </c>
      <c r="N116" s="1">
        <f>MAX(-16, MIN(16, Games[[#This Row],[OppRestDiff]]*8))</f>
        <v>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1506.7209318795085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1512.4705787301614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0.35234578428492791</v>
      </c>
      <c r="R116" s="1">
        <v>82</v>
      </c>
      <c r="S116" s="1">
        <v>78</v>
      </c>
      <c r="T116" s="1">
        <v>0</v>
      </c>
      <c r="U116" s="1">
        <f>Games[[#This Row],[PointsFor]]-Games[[#This Row],[PointsAgainst]]</f>
        <v>4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0.30994766024670878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74.650000000000006</v>
      </c>
      <c r="Z116" s="4">
        <f>Games[[#This Row],[K]]*Games[[#This Row],[POMult]]</f>
        <v>74.650000000000006</v>
      </c>
      <c r="AA116" s="4">
        <f>(Games[[#This Row],[Keff]]*Games[[#This Row],[MOVMult]])*(Games[[#This Row],[Result]]-Games[[#This Row],[ExpectedWin%]])</f>
        <v>14.985159542651854</v>
      </c>
      <c r="AB116" s="4">
        <f>Games[[#This Row],[PreGmRate]]+Games[[#This Row],[RatingChange]]</f>
        <v>1521.7060914221604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39611</v>
      </c>
      <c r="B117" s="2">
        <v>2008</v>
      </c>
      <c r="C117" s="2">
        <f>COUNTIFS(Games[Team],Games[[#This Row],[Team]],Games[Season],Games[[#This Row],[Season]],Games[Date],"&lt;=" &amp; Games[[#This Row],[Date]])</f>
        <v>9</v>
      </c>
      <c r="D117" s="2" t="s">
        <v>23</v>
      </c>
      <c r="E117" s="2" t="s">
        <v>29</v>
      </c>
      <c r="F117" s="1" t="s">
        <v>76</v>
      </c>
      <c r="G117" s="1" t="s">
        <v>45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7" s="2">
        <f>Games[[#This Row],[DaysOff]]-Games[[#This Row],[OppDaysOff]]</f>
        <v>1</v>
      </c>
      <c r="L117" s="2">
        <f>Games[[#This Row],[OppDaysOff]]-Games[[#This Row],[DaysOff]]</f>
        <v>-1</v>
      </c>
      <c r="M117" s="1">
        <f>MAX(-16, MIN(16, Games[[#This Row],[RestDiff]]*8))</f>
        <v>8</v>
      </c>
      <c r="N117" s="1">
        <f>MAX(-16, MIN(16, Games[[#This Row],[OppRestDiff]]*8))</f>
        <v>-8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1512.4705787301614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1506.7209318795085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0.6476542157150722</v>
      </c>
      <c r="R117" s="1">
        <v>78</v>
      </c>
      <c r="S117" s="1">
        <v>82</v>
      </c>
      <c r="T117" s="1">
        <v>0</v>
      </c>
      <c r="U117" s="1">
        <f>Games[[#This Row],[PointsFor]]-Games[[#This Row],[PointsAgainst]]</f>
        <v>-4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0.30994766024670878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74.650000000000006</v>
      </c>
      <c r="Z117" s="4">
        <f>Games[[#This Row],[K]]*Games[[#This Row],[POMult]]</f>
        <v>74.650000000000006</v>
      </c>
      <c r="AA117" s="4">
        <f>(Games[[#This Row],[Keff]]*Games[[#This Row],[MOVMult]])*(Games[[#This Row],[Result]]-Games[[#This Row],[ExpectedWin%]])</f>
        <v>-14.985159542651857</v>
      </c>
      <c r="AB117" s="4">
        <f>Games[[#This Row],[PreGmRate]]+Games[[#This Row],[RatingChange]]</f>
        <v>1497.4854191875095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39612</v>
      </c>
      <c r="B118" s="2">
        <v>2008</v>
      </c>
      <c r="C118" s="2">
        <f>COUNTIFS(Games[Team],Games[[#This Row],[Team]],Games[Season],Games[[#This Row],[Season]],Games[Date],"&lt;=" &amp; Games[[#This Row],[Date]])</f>
        <v>8</v>
      </c>
      <c r="D118" s="2" t="s">
        <v>23</v>
      </c>
      <c r="E118" s="2" t="s">
        <v>29</v>
      </c>
      <c r="F118" s="1" t="s">
        <v>78</v>
      </c>
      <c r="G118" s="1" t="s">
        <v>88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1545.1454014965709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1372.048839772564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0.6254816136045338</v>
      </c>
      <c r="R118" s="1">
        <v>76</v>
      </c>
      <c r="S118" s="1">
        <v>67</v>
      </c>
      <c r="T118" s="1">
        <v>0</v>
      </c>
      <c r="U118" s="1">
        <f>Games[[#This Row],[PointsFor]]-Games[[#This Row],[PointsAgainst]]</f>
        <v>9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0.3547935710836132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74.8</v>
      </c>
      <c r="Z118" s="4">
        <f>Games[[#This Row],[K]]*Games[[#This Row],[POMult]]</f>
        <v>74.8</v>
      </c>
      <c r="AA118" s="4">
        <f>(Games[[#This Row],[Keff]]*Games[[#This Row],[MOVMult]])*(Games[[#This Row],[Result]]-Games[[#This Row],[ExpectedWin%]])</f>
        <v>9.9391783377798522</v>
      </c>
      <c r="AB118" s="4">
        <f>Games[[#This Row],[PreGmRate]]+Games[[#This Row],[RatingChange]]</f>
        <v>1555.0845798343507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39612</v>
      </c>
      <c r="B119" s="2">
        <v>2008</v>
      </c>
      <c r="C119" s="2">
        <f>COUNTIFS(Games[Team],Games[[#This Row],[Team]],Games[Season],Games[[#This Row],[Season]],Games[Date],"&lt;=" &amp; Games[[#This Row],[Date]])</f>
        <v>9</v>
      </c>
      <c r="D119" s="2" t="s">
        <v>23</v>
      </c>
      <c r="E119" s="2" t="s">
        <v>29</v>
      </c>
      <c r="F119" s="1" t="s">
        <v>88</v>
      </c>
      <c r="G119" s="1" t="s">
        <v>78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1372.048839772564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1545.1454014965709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0.37451838639546625</v>
      </c>
      <c r="R119" s="1">
        <v>67</v>
      </c>
      <c r="S119" s="1">
        <v>76</v>
      </c>
      <c r="T119" s="1">
        <v>0</v>
      </c>
      <c r="U119" s="1">
        <f>Games[[#This Row],[PointsFor]]-Games[[#This Row],[PointsAgainst]]</f>
        <v>-9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0.3547935710836132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74.650000000000006</v>
      </c>
      <c r="Z119" s="4">
        <f>Games[[#This Row],[K]]*Games[[#This Row],[POMult]]</f>
        <v>74.650000000000006</v>
      </c>
      <c r="AA119" s="4">
        <f>(Games[[#This Row],[Keff]]*Games[[#This Row],[MOVMult]])*(Games[[#This Row],[Result]]-Games[[#This Row],[ExpectedWin%]])</f>
        <v>-9.9192468304179968</v>
      </c>
      <c r="AB119" s="4">
        <f>Games[[#This Row],[PreGmRate]]+Games[[#This Row],[RatingChange]]</f>
        <v>1362.129592942146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39612</v>
      </c>
      <c r="B120" s="2">
        <v>2008</v>
      </c>
      <c r="C120" s="2">
        <f>COUNTIFS(Games[Team],Games[[#This Row],[Team]],Games[Season],Games[[#This Row],[Season]],Games[Date],"&lt;=" &amp; Games[[#This Row],[Date]])</f>
        <v>10</v>
      </c>
      <c r="D120" s="2" t="s">
        <v>23</v>
      </c>
      <c r="E120" s="2" t="s">
        <v>29</v>
      </c>
      <c r="F120" s="1" t="s">
        <v>72</v>
      </c>
      <c r="G120" s="1" t="s">
        <v>86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0" s="2">
        <f>Games[[#This Row],[DaysOff]]-Games[[#This Row],[OppDaysOff]]</f>
        <v>-4</v>
      </c>
      <c r="L120" s="2">
        <f>Games[[#This Row],[OppDaysOff]]-Games[[#This Row],[DaysOff]]</f>
        <v>4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1430.2456495906024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1464.5187500988065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0.29628710855552226</v>
      </c>
      <c r="R120" s="1">
        <v>64</v>
      </c>
      <c r="S120" s="1">
        <v>57</v>
      </c>
      <c r="T120" s="1">
        <v>0</v>
      </c>
      <c r="U120" s="1">
        <f>Games[[#This Row],[PointsFor]]-Games[[#This Row],[PointsAgainst]]</f>
        <v>7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0.35983009497794033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74.5</v>
      </c>
      <c r="Z120" s="4">
        <f>Games[[#This Row],[K]]*Games[[#This Row],[POMult]]</f>
        <v>74.5</v>
      </c>
      <c r="AA120" s="4">
        <f>(Games[[#This Row],[Keff]]*Games[[#This Row],[MOVMult]])*(Games[[#This Row],[Result]]-Games[[#This Row],[ExpectedWin%]])</f>
        <v>18.86467220414222</v>
      </c>
      <c r="AB120" s="4">
        <f>Games[[#This Row],[PreGmRate]]+Games[[#This Row],[RatingChange]]</f>
        <v>1449.1103217947446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39612</v>
      </c>
      <c r="B121" s="2">
        <v>2008</v>
      </c>
      <c r="C121" s="2">
        <f>COUNTIFS(Games[Team],Games[[#This Row],[Team]],Games[Season],Games[[#This Row],[Season]],Games[Date],"&lt;=" &amp; Games[[#This Row],[Date]])</f>
        <v>8</v>
      </c>
      <c r="D121" s="2" t="s">
        <v>23</v>
      </c>
      <c r="E121" s="2" t="s">
        <v>29</v>
      </c>
      <c r="F121" s="1" t="s">
        <v>86</v>
      </c>
      <c r="G121" s="1" t="s">
        <v>72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4</v>
      </c>
      <c r="L121" s="2">
        <f>Games[[#This Row],[OppDaysOff]]-Games[[#This Row],[DaysOff]]</f>
        <v>-4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1464.5187500988065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1430.2456495906024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0.70371289144447779</v>
      </c>
      <c r="R121" s="1">
        <v>57</v>
      </c>
      <c r="S121" s="1">
        <v>64</v>
      </c>
      <c r="T121" s="1">
        <v>0</v>
      </c>
      <c r="U121" s="1">
        <f>Games[[#This Row],[PointsFor]]-Games[[#This Row],[PointsAgainst]]</f>
        <v>-7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0.35983009497794033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74.8</v>
      </c>
      <c r="Z121" s="4">
        <f>Games[[#This Row],[K]]*Games[[#This Row],[POMult]]</f>
        <v>74.8</v>
      </c>
      <c r="AA121" s="4">
        <f>(Games[[#This Row],[Keff]]*Games[[#This Row],[MOVMult]])*(Games[[#This Row],[Result]]-Games[[#This Row],[ExpectedWin%]])</f>
        <v>-18.940637327111926</v>
      </c>
      <c r="AB121" s="4">
        <f>Games[[#This Row],[PreGmRate]]+Games[[#This Row],[RatingChange]]</f>
        <v>1445.5781127716946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39612</v>
      </c>
      <c r="B122" s="2">
        <v>2008</v>
      </c>
      <c r="C122" s="2">
        <f>COUNTIFS(Games[Team],Games[[#This Row],[Team]],Games[Season],Games[[#This Row],[Season]],Games[Date],"&lt;=" &amp; Games[[#This Row],[Date]])</f>
        <v>10</v>
      </c>
      <c r="D122" s="2" t="s">
        <v>23</v>
      </c>
      <c r="E122" s="2" t="s">
        <v>29</v>
      </c>
      <c r="F122" s="1" t="s">
        <v>85</v>
      </c>
      <c r="G122" s="1" t="s">
        <v>69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1</v>
      </c>
      <c r="L122" s="2">
        <f>Games[[#This Row],[OppDaysOff]]-Games[[#This Row],[DaysOff]]</f>
        <v>-1</v>
      </c>
      <c r="M122" s="1">
        <f>MAX(-16, MIN(16, Games[[#This Row],[RestDiff]]*8))</f>
        <v>8</v>
      </c>
      <c r="N122" s="1">
        <f>MAX(-16, MIN(16, Games[[#This Row],[OppRestDiff]]*8))</f>
        <v>-8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1590.2570236032382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1501.6126650761807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0.52967470471476252</v>
      </c>
      <c r="R122" s="1">
        <v>93</v>
      </c>
      <c r="S122" s="1">
        <v>98</v>
      </c>
      <c r="T122" s="1">
        <v>1</v>
      </c>
      <c r="U122" s="1">
        <f>Games[[#This Row],[PointsFor]]-Games[[#This Row],[PointsAgainst]]</f>
        <v>-5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0.27804137823385694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-10.971725626130532</v>
      </c>
      <c r="AB122" s="4">
        <f>Games[[#This Row],[PreGmRate]]+Games[[#This Row],[RatingChange]]</f>
        <v>1579.2852979771076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39612</v>
      </c>
      <c r="B123" s="2">
        <v>2008</v>
      </c>
      <c r="C123" s="2">
        <f>COUNTIFS(Games[Team],Games[[#This Row],[Team]],Games[Season],Games[[#This Row],[Season]],Games[Date],"&lt;=" &amp; Games[[#This Row],[Date]])</f>
        <v>8</v>
      </c>
      <c r="D123" s="2" t="s">
        <v>23</v>
      </c>
      <c r="E123" s="2" t="s">
        <v>29</v>
      </c>
      <c r="F123" s="1" t="s">
        <v>69</v>
      </c>
      <c r="G123" s="1" t="s">
        <v>85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-1</v>
      </c>
      <c r="L123" s="2">
        <f>Games[[#This Row],[OppDaysOff]]-Games[[#This Row],[DaysOff]]</f>
        <v>1</v>
      </c>
      <c r="M123" s="1">
        <f>MAX(-16, MIN(16, Games[[#This Row],[RestDiff]]*8))</f>
        <v>-8</v>
      </c>
      <c r="N123" s="1">
        <f>MAX(-16, MIN(16, Games[[#This Row],[OppRestDiff]]*8))</f>
        <v>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1501.6126650761807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1590.2570236032382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0.47032529528523759</v>
      </c>
      <c r="R123" s="1">
        <v>98</v>
      </c>
      <c r="S123" s="1">
        <v>93</v>
      </c>
      <c r="T123" s="1">
        <v>1</v>
      </c>
      <c r="U123" s="1">
        <f>Games[[#This Row],[PointsFor]]-Games[[#This Row],[PointsAgainst]]</f>
        <v>5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0.27804137823385694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74.8</v>
      </c>
      <c r="Z123" s="4">
        <f>Games[[#This Row],[K]]*Games[[#This Row],[POMult]]</f>
        <v>74.8</v>
      </c>
      <c r="AA123" s="4">
        <f>(Games[[#This Row],[Keff]]*Games[[#This Row],[MOVMult]])*(Games[[#This Row],[Result]]-Games[[#This Row],[ExpectedWin%]])</f>
        <v>11.015907071604879</v>
      </c>
      <c r="AB123" s="4">
        <f>Games[[#This Row],[PreGmRate]]+Games[[#This Row],[RatingChange]]</f>
        <v>1512.6285721477857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39612</v>
      </c>
      <c r="B124" s="2">
        <v>2008</v>
      </c>
      <c r="C124" s="2">
        <f>COUNTIFS(Games[Team],Games[[#This Row],[Team]],Games[Season],Games[[#This Row],[Season]],Games[Date],"&lt;=" &amp; Games[[#This Row],[Date]])</f>
        <v>11</v>
      </c>
      <c r="D124" s="2" t="s">
        <v>23</v>
      </c>
      <c r="E124" s="2" t="s">
        <v>29</v>
      </c>
      <c r="F124" s="1" t="s">
        <v>80</v>
      </c>
      <c r="G124" s="1" t="s">
        <v>83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1543.8895545256278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1507.0846442295997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0.43249549560872846</v>
      </c>
      <c r="R124" s="1">
        <v>69</v>
      </c>
      <c r="S124" s="1">
        <v>74</v>
      </c>
      <c r="T124" s="1">
        <v>0</v>
      </c>
      <c r="U124" s="1">
        <f>Games[[#This Row],[PointsFor]]-Games[[#This Row],[PointsAgainst]]</f>
        <v>-5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0.3218835624271662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74.349999999999994</v>
      </c>
      <c r="Z124" s="4">
        <f>Games[[#This Row],[K]]*Games[[#This Row],[POMult]]</f>
        <v>74.349999999999994</v>
      </c>
      <c r="AA124" s="4">
        <f>(Games[[#This Row],[Keff]]*Games[[#This Row],[MOVMult]])*(Games[[#This Row],[Result]]-Games[[#This Row],[ExpectedWin%]])</f>
        <v>-10.350500740458868</v>
      </c>
      <c r="AB124" s="4">
        <f>Games[[#This Row],[PreGmRate]]+Games[[#This Row],[RatingChange]]</f>
        <v>1533.539053785169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39612</v>
      </c>
      <c r="B125" s="2">
        <v>2008</v>
      </c>
      <c r="C125" s="2">
        <f>COUNTIFS(Games[Team],Games[[#This Row],[Team]],Games[Season],Games[[#This Row],[Season]],Games[Date],"&lt;=" &amp; Games[[#This Row],[Date]])</f>
        <v>9</v>
      </c>
      <c r="D125" s="2" t="s">
        <v>23</v>
      </c>
      <c r="E125" s="2" t="s">
        <v>29</v>
      </c>
      <c r="F125" s="1" t="s">
        <v>83</v>
      </c>
      <c r="G125" s="1" t="s">
        <v>80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1507.0846442295997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1543.8895545256278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0.56750450439127154</v>
      </c>
      <c r="R125" s="1">
        <v>74</v>
      </c>
      <c r="S125" s="1">
        <v>69</v>
      </c>
      <c r="T125" s="1">
        <v>0</v>
      </c>
      <c r="U125" s="1">
        <f>Games[[#This Row],[PointsFor]]-Games[[#This Row],[PointsAgainst]]</f>
        <v>5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0.3218835624271662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74.650000000000006</v>
      </c>
      <c r="Z125" s="4">
        <f>Games[[#This Row],[K]]*Games[[#This Row],[POMult]]</f>
        <v>74.650000000000006</v>
      </c>
      <c r="AA125" s="4">
        <f>(Games[[#This Row],[Keff]]*Games[[#This Row],[MOVMult]])*(Games[[#This Row],[Result]]-Games[[#This Row],[ExpectedWin%]])</f>
        <v>10.392264697716943</v>
      </c>
      <c r="AB125" s="4">
        <f>Games[[#This Row],[PreGmRate]]+Games[[#This Row],[RatingChange]]</f>
        <v>1517.4769089273166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39613</v>
      </c>
      <c r="B126" s="2">
        <v>2008</v>
      </c>
      <c r="C126" s="2">
        <f>COUNTIFS(Games[Team],Games[[#This Row],[Team]],Games[Season],Games[[#This Row],[Season]],Games[Date],"&lt;=" &amp; Games[[#This Row],[Date]])</f>
        <v>12</v>
      </c>
      <c r="D126" s="2" t="s">
        <v>23</v>
      </c>
      <c r="E126" s="2" t="s">
        <v>29</v>
      </c>
      <c r="F126" s="1" t="s">
        <v>80</v>
      </c>
      <c r="G126" s="1" t="s">
        <v>2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26" s="2">
        <f>Games[[#This Row],[DaysOff]]-Games[[#This Row],[OppDaysOff]]</f>
        <v>-6</v>
      </c>
      <c r="L126" s="2">
        <f>Games[[#This Row],[OppDaysOff]]-Games[[#This Row],[DaysOff]]</f>
        <v>6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1533.539053785169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1426.3052745428554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0.4873870706349468</v>
      </c>
      <c r="R126" s="1">
        <v>60</v>
      </c>
      <c r="S126" s="1">
        <v>68</v>
      </c>
      <c r="T126" s="1">
        <v>0</v>
      </c>
      <c r="U126" s="1">
        <f>Games[[#This Row],[PointsFor]]-Games[[#This Row],[PointsAgainst]]</f>
        <v>-8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0.35646159807291139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74.2</v>
      </c>
      <c r="Z126" s="4">
        <f>Games[[#This Row],[K]]*Games[[#This Row],[POMult]]</f>
        <v>74.2</v>
      </c>
      <c r="AA126" s="4">
        <f>(Games[[#This Row],[Keff]]*Games[[#This Row],[MOVMult]])*(Games[[#This Row],[Result]]-Games[[#This Row],[ExpectedWin%]])</f>
        <v>-12.89112023663272</v>
      </c>
      <c r="AB126" s="4">
        <f>Games[[#This Row],[PreGmRate]]+Games[[#This Row],[RatingChange]]</f>
        <v>1520.6479335485362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39613</v>
      </c>
      <c r="B127" s="2">
        <v>2008</v>
      </c>
      <c r="C127" s="2">
        <f>COUNTIFS(Games[Team],Games[[#This Row],[Team]],Games[Season],Games[[#This Row],[Season]],Games[Date],"&lt;=" &amp; Games[[#This Row],[Date]])</f>
        <v>9</v>
      </c>
      <c r="D127" s="2" t="s">
        <v>23</v>
      </c>
      <c r="E127" s="2" t="s">
        <v>29</v>
      </c>
      <c r="F127" s="1" t="s">
        <v>2</v>
      </c>
      <c r="G127" s="1" t="s">
        <v>80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7" s="2">
        <f>Games[[#This Row],[DaysOff]]-Games[[#This Row],[OppDaysOff]]</f>
        <v>6</v>
      </c>
      <c r="L127" s="2">
        <f>Games[[#This Row],[OppDaysOff]]-Games[[#This Row],[DaysOff]]</f>
        <v>-6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1426.3052745428554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1533.539053785169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0.5126129293650532</v>
      </c>
      <c r="R127" s="1">
        <v>68</v>
      </c>
      <c r="S127" s="1">
        <v>60</v>
      </c>
      <c r="T127" s="1">
        <v>0</v>
      </c>
      <c r="U127" s="1">
        <f>Games[[#This Row],[PointsFor]]-Games[[#This Row],[PointsAgainst]]</f>
        <v>8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0.35646159807291139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74.650000000000006</v>
      </c>
      <c r="Z127" s="4">
        <f>Games[[#This Row],[K]]*Games[[#This Row],[POMult]]</f>
        <v>74.650000000000006</v>
      </c>
      <c r="AA127" s="4">
        <f>(Games[[#This Row],[Keff]]*Games[[#This Row],[MOVMult]])*(Games[[#This Row],[Result]]-Games[[#This Row],[ExpectedWin%]])</f>
        <v>12.969300884968094</v>
      </c>
      <c r="AB127" s="4">
        <f>Games[[#This Row],[PreGmRate]]+Games[[#This Row],[RatingChange]]</f>
        <v>1439.2745754278235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39613</v>
      </c>
      <c r="B128" s="2">
        <v>2008</v>
      </c>
      <c r="C128" s="2">
        <f>COUNTIFS(Games[Team],Games[[#This Row],[Team]],Games[Season],Games[[#This Row],[Season]],Games[Date],"&lt;=" &amp; Games[[#This Row],[Date]])</f>
        <v>10</v>
      </c>
      <c r="D128" s="2" t="s">
        <v>23</v>
      </c>
      <c r="E128" s="2" t="s">
        <v>29</v>
      </c>
      <c r="F128" s="1" t="s">
        <v>76</v>
      </c>
      <c r="G128" s="1" t="s">
        <v>66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8" s="2">
        <f>Games[[#This Row],[DaysOff]]-Games[[#This Row],[OppDaysOff]]</f>
        <v>-1</v>
      </c>
      <c r="L128" s="2">
        <f>Games[[#This Row],[OppDaysOff]]-Games[[#This Row],[DaysOff]]</f>
        <v>1</v>
      </c>
      <c r="M128" s="1">
        <f>MAX(-16, MIN(16, Games[[#This Row],[RestDiff]]*8))</f>
        <v>-8</v>
      </c>
      <c r="N128" s="1">
        <f>MAX(-16, MIN(16, Games[[#This Row],[OppRestDiff]]*8))</f>
        <v>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1497.4854191875095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1484.9419796236291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0.37673249606476983</v>
      </c>
      <c r="R128" s="1">
        <v>76</v>
      </c>
      <c r="S128" s="1">
        <v>77</v>
      </c>
      <c r="T128" s="1">
        <v>0</v>
      </c>
      <c r="U128" s="1">
        <f>Games[[#This Row],[PointsFor]]-Games[[#This Row],[PointsAgainst]]</f>
        <v>-1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0.24165369717701993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-6.7823906387980157</v>
      </c>
      <c r="AB128" s="4">
        <f>Games[[#This Row],[PreGmRate]]+Games[[#This Row],[RatingChange]]</f>
        <v>1490.7030285487115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39613</v>
      </c>
      <c r="B129" s="2">
        <v>2008</v>
      </c>
      <c r="C129" s="2">
        <f>COUNTIFS(Games[Team],Games[[#This Row],[Team]],Games[Season],Games[[#This Row],[Season]],Games[Date],"&lt;=" &amp; Games[[#This Row],[Date]])</f>
        <v>9</v>
      </c>
      <c r="D129" s="2" t="s">
        <v>23</v>
      </c>
      <c r="E129" s="2" t="s">
        <v>29</v>
      </c>
      <c r="F129" s="1" t="s">
        <v>66</v>
      </c>
      <c r="G129" s="1" t="s">
        <v>76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1</v>
      </c>
      <c r="L129" s="2">
        <f>Games[[#This Row],[OppDaysOff]]-Games[[#This Row],[DaysOff]]</f>
        <v>-1</v>
      </c>
      <c r="M129" s="1">
        <f>MAX(-16, MIN(16, Games[[#This Row],[RestDiff]]*8))</f>
        <v>8</v>
      </c>
      <c r="N129" s="1">
        <f>MAX(-16, MIN(16, Games[[#This Row],[OppRestDiff]]*8))</f>
        <v>-8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1484.9419796236291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1497.4854191875095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0.62326750393523012</v>
      </c>
      <c r="R129" s="1">
        <v>77</v>
      </c>
      <c r="S129" s="1">
        <v>76</v>
      </c>
      <c r="T129" s="1">
        <v>0</v>
      </c>
      <c r="U129" s="1">
        <f>Games[[#This Row],[PointsFor]]-Games[[#This Row],[PointsAgainst]]</f>
        <v>1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0.24165369717701993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74.650000000000006</v>
      </c>
      <c r="Z129" s="4">
        <f>Games[[#This Row],[K]]*Games[[#This Row],[POMult]]</f>
        <v>74.650000000000006</v>
      </c>
      <c r="AA129" s="4">
        <f>(Games[[#This Row],[Keff]]*Games[[#This Row],[MOVMult]])*(Games[[#This Row],[Result]]-Games[[#This Row],[ExpectedWin%]])</f>
        <v>6.7960464588761349</v>
      </c>
      <c r="AB129" s="4">
        <f>Games[[#This Row],[PreGmRate]]+Games[[#This Row],[RatingChange]]</f>
        <v>1491.7380260825053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39613</v>
      </c>
      <c r="B130" s="2">
        <v>2008</v>
      </c>
      <c r="C130" s="2">
        <f>COUNTIFS(Games[Team],Games[[#This Row],[Team]],Games[Season],Games[[#This Row],[Season]],Games[Date],"&lt;=" &amp; Games[[#This Row],[Date]])</f>
        <v>11</v>
      </c>
      <c r="D130" s="2" t="s">
        <v>23</v>
      </c>
      <c r="E130" s="2" t="s">
        <v>29</v>
      </c>
      <c r="F130" s="1" t="s">
        <v>74</v>
      </c>
      <c r="G130" s="1" t="s">
        <v>44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0</v>
      </c>
      <c r="L130" s="2">
        <f>Games[[#This Row],[OppDaysOff]]-Games[[#This Row],[DaysOff]]</f>
        <v>0</v>
      </c>
      <c r="M130" s="1">
        <f>MAX(-16, MIN(16, Games[[#This Row],[RestDiff]]*8))</f>
        <v>0</v>
      </c>
      <c r="N130" s="1">
        <f>MAX(-16, MIN(16, Games[[#This Row],[OppRestDiff]]*8))</f>
        <v>0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1595.592959754707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1544.8213517530091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0.45232576724009932</v>
      </c>
      <c r="R130" s="1">
        <v>89</v>
      </c>
      <c r="S130" s="1">
        <v>79</v>
      </c>
      <c r="T130" s="1">
        <v>0</v>
      </c>
      <c r="U130" s="1">
        <f>Games[[#This Row],[PointsFor]]-Games[[#This Row],[PointsAgainst]]</f>
        <v>10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0.405953921523658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16.53027286134655</v>
      </c>
      <c r="AB130" s="4">
        <f>Games[[#This Row],[PreGmRate]]+Games[[#This Row],[RatingChange]]</f>
        <v>1612.1232326160534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39613</v>
      </c>
      <c r="B131" s="2">
        <v>2008</v>
      </c>
      <c r="C131" s="2">
        <f>COUNTIFS(Games[Team],Games[[#This Row],[Team]],Games[Season],Games[[#This Row],[Season]],Games[Date],"&lt;=" &amp; Games[[#This Row],[Date]])</f>
        <v>8</v>
      </c>
      <c r="D131" s="2" t="s">
        <v>23</v>
      </c>
      <c r="E131" s="2" t="s">
        <v>29</v>
      </c>
      <c r="F131" s="1" t="s">
        <v>44</v>
      </c>
      <c r="G131" s="1" t="s">
        <v>74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0</v>
      </c>
      <c r="L131" s="2">
        <f>Games[[#This Row],[OppDaysOff]]-Games[[#This Row],[DaysOff]]</f>
        <v>0</v>
      </c>
      <c r="M131" s="1">
        <f>MAX(-16, MIN(16, Games[[#This Row],[RestDiff]]*8))</f>
        <v>0</v>
      </c>
      <c r="N131" s="1">
        <f>MAX(-16, MIN(16, Games[[#This Row],[OppRestDiff]]*8))</f>
        <v>0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1544.8213517530091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1595.592959754707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0.54767423275990057</v>
      </c>
      <c r="R131" s="1">
        <v>79</v>
      </c>
      <c r="S131" s="1">
        <v>89</v>
      </c>
      <c r="T131" s="1">
        <v>0</v>
      </c>
      <c r="U131" s="1">
        <f>Games[[#This Row],[PointsFor]]-Games[[#This Row],[PointsAgainst]]</f>
        <v>-10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0.405953921523658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74.8</v>
      </c>
      <c r="Z131" s="4">
        <f>Games[[#This Row],[K]]*Games[[#This Row],[POMult]]</f>
        <v>74.8</v>
      </c>
      <c r="AA131" s="4">
        <f>(Games[[#This Row],[Keff]]*Games[[#This Row],[MOVMult]])*(Games[[#This Row],[Result]]-Games[[#This Row],[ExpectedWin%]])</f>
        <v>-16.630321587474402</v>
      </c>
      <c r="AB131" s="4">
        <f>Games[[#This Row],[PreGmRate]]+Games[[#This Row],[RatingChange]]</f>
        <v>1528.1910301655348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39613</v>
      </c>
      <c r="B132" s="2">
        <v>2008</v>
      </c>
      <c r="C132" s="2">
        <f>COUNTIFS(Games[Team],Games[[#This Row],[Team]],Games[Season],Games[[#This Row],[Season]],Games[Date],"&lt;=" &amp; Games[[#This Row],[Date]])</f>
        <v>9</v>
      </c>
      <c r="D132" s="2" t="s">
        <v>23</v>
      </c>
      <c r="E132" s="2" t="s">
        <v>29</v>
      </c>
      <c r="F132" s="1" t="s">
        <v>69</v>
      </c>
      <c r="G132" s="1" t="s">
        <v>45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-1</v>
      </c>
      <c r="L132" s="2">
        <f>Games[[#This Row],[OppDaysOff]]-Games[[#This Row],[DaysOff]]</f>
        <v>1</v>
      </c>
      <c r="M132" s="1">
        <f>MAX(-16, MIN(16, Games[[#This Row],[RestDiff]]*8))</f>
        <v>-8</v>
      </c>
      <c r="N132" s="1">
        <f>MAX(-16, MIN(16, Games[[#This Row],[OppRestDiff]]*8))</f>
        <v>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1512.6285721477857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1521.7060914221604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0.34798670571391405</v>
      </c>
      <c r="R132" s="1">
        <v>74</v>
      </c>
      <c r="S132" s="1">
        <v>66</v>
      </c>
      <c r="T132" s="1">
        <v>0</v>
      </c>
      <c r="U132" s="1">
        <f>Games[[#This Row],[PointsFor]]-Games[[#This Row],[PointsAgainst]]</f>
        <v>8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0.38540013735700146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74.650000000000006</v>
      </c>
      <c r="Z132" s="4">
        <f>Games[[#This Row],[K]]*Games[[#This Row],[POMult]]</f>
        <v>74.650000000000006</v>
      </c>
      <c r="AA132" s="4">
        <f>(Games[[#This Row],[Keff]]*Games[[#This Row],[MOVMult]])*(Games[[#This Row],[Result]]-Games[[#This Row],[ExpectedWin%]])</f>
        <v>18.758500883621881</v>
      </c>
      <c r="AB132" s="4">
        <f>Games[[#This Row],[PreGmRate]]+Games[[#This Row],[RatingChange]]</f>
        <v>1531.3870730314077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39613</v>
      </c>
      <c r="B133" s="2">
        <v>2008</v>
      </c>
      <c r="C133" s="2">
        <f>COUNTIFS(Games[Team],Games[[#This Row],[Team]],Games[Season],Games[[#This Row],[Season]],Games[Date],"&lt;=" &amp; Games[[#This Row],[Date]])</f>
        <v>10</v>
      </c>
      <c r="D133" s="2" t="s">
        <v>23</v>
      </c>
      <c r="E133" s="2" t="s">
        <v>29</v>
      </c>
      <c r="F133" s="1" t="s">
        <v>45</v>
      </c>
      <c r="G133" s="1" t="s">
        <v>69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3" s="2">
        <f>Games[[#This Row],[DaysOff]]-Games[[#This Row],[OppDaysOff]]</f>
        <v>1</v>
      </c>
      <c r="L133" s="2">
        <f>Games[[#This Row],[OppDaysOff]]-Games[[#This Row],[DaysOff]]</f>
        <v>-1</v>
      </c>
      <c r="M133" s="1">
        <f>MAX(-16, MIN(16, Games[[#This Row],[RestDiff]]*8))</f>
        <v>8</v>
      </c>
      <c r="N133" s="1">
        <f>MAX(-16, MIN(16, Games[[#This Row],[OppRestDiff]]*8))</f>
        <v>-8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1521.7060914221604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1512.6285721477857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0.65201329428608601</v>
      </c>
      <c r="R133" s="1">
        <v>66</v>
      </c>
      <c r="S133" s="1">
        <v>74</v>
      </c>
      <c r="T133" s="1">
        <v>0</v>
      </c>
      <c r="U133" s="1">
        <f>Games[[#This Row],[PointsFor]]-Games[[#This Row],[PointsAgainst]]</f>
        <v>-8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0.38540013735700146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74.5</v>
      </c>
      <c r="Z133" s="4">
        <f>Games[[#This Row],[K]]*Games[[#This Row],[POMult]]</f>
        <v>74.5</v>
      </c>
      <c r="AA133" s="4">
        <f>(Games[[#This Row],[Keff]]*Games[[#This Row],[MOVMult]])*(Games[[#This Row],[Result]]-Games[[#This Row],[ExpectedWin%]])</f>
        <v>-18.720807981645418</v>
      </c>
      <c r="AB133" s="4">
        <f>Games[[#This Row],[PreGmRate]]+Games[[#This Row],[RatingChange]]</f>
        <v>1502.9852834405149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39614</v>
      </c>
      <c r="B134" s="2">
        <v>2008</v>
      </c>
      <c r="C134" s="2">
        <f>COUNTIFS(Games[Team],Games[[#This Row],[Team]],Games[Season],Games[[#This Row],[Season]],Games[Date],"&lt;=" &amp; Games[[#This Row],[Date]])</f>
        <v>10</v>
      </c>
      <c r="D134" s="2" t="s">
        <v>23</v>
      </c>
      <c r="E134" s="2" t="s">
        <v>29</v>
      </c>
      <c r="F134" s="1" t="s">
        <v>83</v>
      </c>
      <c r="G134" s="1" t="s">
        <v>78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1517.4769089273166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1555.0845798343507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0.33180557081212647</v>
      </c>
      <c r="R134" s="1">
        <v>70</v>
      </c>
      <c r="S134" s="1">
        <v>60</v>
      </c>
      <c r="T134" s="1">
        <v>0</v>
      </c>
      <c r="U134" s="1">
        <f>Games[[#This Row],[PointsFor]]-Games[[#This Row],[PointsAgainst]]</f>
        <v>10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0.41027189078959903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74.5</v>
      </c>
      <c r="Z134" s="4">
        <f>Games[[#This Row],[K]]*Games[[#This Row],[POMult]]</f>
        <v>74.5</v>
      </c>
      <c r="AA134" s="4">
        <f>(Games[[#This Row],[Keff]]*Games[[#This Row],[MOVMult]])*(Games[[#This Row],[Result]]-Games[[#This Row],[ExpectedWin%]])</f>
        <v>20.423533694909935</v>
      </c>
      <c r="AB134" s="4">
        <f>Games[[#This Row],[PreGmRate]]+Games[[#This Row],[RatingChange]]</f>
        <v>1537.9004426222266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39614</v>
      </c>
      <c r="B135" s="2">
        <v>2008</v>
      </c>
      <c r="C135" s="2">
        <f>COUNTIFS(Games[Team],Games[[#This Row],[Team]],Games[Season],Games[[#This Row],[Season]],Games[Date],"&lt;=" &amp; Games[[#This Row],[Date]])</f>
        <v>9</v>
      </c>
      <c r="D135" s="2" t="s">
        <v>23</v>
      </c>
      <c r="E135" s="2" t="s">
        <v>29</v>
      </c>
      <c r="F135" s="1" t="s">
        <v>78</v>
      </c>
      <c r="G135" s="1" t="s">
        <v>83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1555.0845798343507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1517.4769089273166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0.66819442918787353</v>
      </c>
      <c r="R135" s="1">
        <v>60</v>
      </c>
      <c r="S135" s="1">
        <v>70</v>
      </c>
      <c r="T135" s="1">
        <v>0</v>
      </c>
      <c r="U135" s="1">
        <f>Games[[#This Row],[PointsFor]]-Games[[#This Row],[PointsAgainst]]</f>
        <v>-10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0.41027189078959903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74.650000000000006</v>
      </c>
      <c r="Z135" s="4">
        <f>Games[[#This Row],[K]]*Games[[#This Row],[POMult]]</f>
        <v>74.650000000000006</v>
      </c>
      <c r="AA135" s="4">
        <f>(Games[[#This Row],[Keff]]*Games[[#This Row],[MOVMult]])*(Games[[#This Row],[Result]]-Games[[#This Row],[ExpectedWin%]])</f>
        <v>-20.464654903691635</v>
      </c>
      <c r="AB135" s="4">
        <f>Games[[#This Row],[PreGmRate]]+Games[[#This Row],[RatingChange]]</f>
        <v>1534.6199249306592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39615</v>
      </c>
      <c r="B136" s="2">
        <v>2008</v>
      </c>
      <c r="C136" s="2">
        <f>COUNTIFS(Games[Team],Games[[#This Row],[Team]],Games[Season],Games[[#This Row],[Season]],Games[Date],"&lt;=" &amp; Games[[#This Row],[Date]])</f>
        <v>10</v>
      </c>
      <c r="D136" s="2" t="s">
        <v>23</v>
      </c>
      <c r="E136" s="2" t="s">
        <v>29</v>
      </c>
      <c r="F136" s="1" t="s">
        <v>88</v>
      </c>
      <c r="G136" s="1" t="s">
        <v>2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6" s="2">
        <f>Games[[#This Row],[DaysOff]]-Games[[#This Row],[OppDaysOff]]</f>
        <v>1</v>
      </c>
      <c r="L136" s="2">
        <f>Games[[#This Row],[OppDaysOff]]-Games[[#This Row],[DaysOff]]</f>
        <v>-1</v>
      </c>
      <c r="M136" s="1">
        <f>MAX(-16, MIN(16, Games[[#This Row],[RestDiff]]*8))</f>
        <v>8</v>
      </c>
      <c r="N136" s="1">
        <f>MAX(-16, MIN(16, Games[[#This Row],[OppRestDiff]]*8))</f>
        <v>-8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1362.129592942146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1439.2745754278235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0.30247880688708711</v>
      </c>
      <c r="R136" s="1">
        <v>79</v>
      </c>
      <c r="S136" s="1">
        <v>88</v>
      </c>
      <c r="T136" s="1">
        <v>0</v>
      </c>
      <c r="U136" s="1">
        <f>Games[[#This Row],[PointsFor]]-Games[[#This Row],[PointsAgainst]]</f>
        <v>-9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0.38144912226686423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74.5</v>
      </c>
      <c r="Z136" s="4">
        <f>Games[[#This Row],[K]]*Games[[#This Row],[POMult]]</f>
        <v>74.5</v>
      </c>
      <c r="AA136" s="4">
        <f>(Games[[#This Row],[Keff]]*Games[[#This Row],[MOVMult]])*(Games[[#This Row],[Result]]-Games[[#This Row],[ExpectedWin%]])</f>
        <v>-8.5958305166598752</v>
      </c>
      <c r="AB136" s="4">
        <f>Games[[#This Row],[PreGmRate]]+Games[[#This Row],[RatingChange]]</f>
        <v>1353.5337624254862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39615</v>
      </c>
      <c r="B137" s="2">
        <v>2008</v>
      </c>
      <c r="C137" s="2">
        <f>COUNTIFS(Games[Team],Games[[#This Row],[Team]],Games[Season],Games[[#This Row],[Season]],Games[Date],"&lt;=" &amp; Games[[#This Row],[Date]])</f>
        <v>10</v>
      </c>
      <c r="D137" s="2" t="s">
        <v>23</v>
      </c>
      <c r="E137" s="2" t="s">
        <v>29</v>
      </c>
      <c r="F137" s="1" t="s">
        <v>2</v>
      </c>
      <c r="G137" s="1" t="s">
        <v>88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7" s="2">
        <f>Games[[#This Row],[DaysOff]]-Games[[#This Row],[OppDaysOff]]</f>
        <v>-1</v>
      </c>
      <c r="L137" s="2">
        <f>Games[[#This Row],[OppDaysOff]]-Games[[#This Row],[DaysOff]]</f>
        <v>1</v>
      </c>
      <c r="M137" s="1">
        <f>MAX(-16, MIN(16, Games[[#This Row],[RestDiff]]*8))</f>
        <v>-8</v>
      </c>
      <c r="N137" s="1">
        <f>MAX(-16, MIN(16, Games[[#This Row],[OppRestDiff]]*8))</f>
        <v>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1439.2745754278235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1362.129592942146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0.69752119311291283</v>
      </c>
      <c r="R137" s="1">
        <v>88</v>
      </c>
      <c r="S137" s="1">
        <v>79</v>
      </c>
      <c r="T137" s="1">
        <v>0</v>
      </c>
      <c r="U137" s="1">
        <f>Games[[#This Row],[PointsFor]]-Games[[#This Row],[PointsAgainst]]</f>
        <v>9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0.38144912226686423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8.5958305166598752</v>
      </c>
      <c r="AB137" s="4">
        <f>Games[[#This Row],[PreGmRate]]+Games[[#This Row],[RatingChange]]</f>
        <v>1447.8704059444833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39615</v>
      </c>
      <c r="B138" s="2">
        <v>2008</v>
      </c>
      <c r="C138" s="2">
        <f>COUNTIFS(Games[Team],Games[[#This Row],[Team]],Games[Season],Games[[#This Row],[Season]],Games[Date],"&lt;=" &amp; Games[[#This Row],[Date]])</f>
        <v>11</v>
      </c>
      <c r="D138" s="2" t="s">
        <v>23</v>
      </c>
      <c r="E138" s="2" t="s">
        <v>29</v>
      </c>
      <c r="F138" s="1" t="s">
        <v>85</v>
      </c>
      <c r="G138" s="1" t="s">
        <v>80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1</v>
      </c>
      <c r="L138" s="2">
        <f>Games[[#This Row],[OppDaysOff]]-Games[[#This Row],[DaysOff]]</f>
        <v>-1</v>
      </c>
      <c r="M138" s="1">
        <f>MAX(-16, MIN(16, Games[[#This Row],[RestDiff]]*8))</f>
        <v>8</v>
      </c>
      <c r="N138" s="1">
        <f>MAX(-16, MIN(16, Games[[#This Row],[OppRestDiff]]*8))</f>
        <v>-8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1579.2852979771076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1520.6479335485362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0.48652934488795108</v>
      </c>
      <c r="R138" s="1">
        <v>74</v>
      </c>
      <c r="S138" s="1">
        <v>67</v>
      </c>
      <c r="T138" s="1">
        <v>0</v>
      </c>
      <c r="U138" s="1">
        <f>Games[[#This Row],[PointsFor]]-Games[[#This Row],[PointsAgainst]]</f>
        <v>7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0.35286462927010037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74.349999999999994</v>
      </c>
      <c r="Z138" s="4">
        <f>Games[[#This Row],[K]]*Games[[#This Row],[POMult]]</f>
        <v>74.349999999999994</v>
      </c>
      <c r="AA138" s="4">
        <f>(Games[[#This Row],[Keff]]*Games[[#This Row],[MOVMult]])*(Games[[#This Row],[Result]]-Games[[#This Row],[ExpectedWin%]])</f>
        <v>13.47115176575698</v>
      </c>
      <c r="AB138" s="4">
        <f>Games[[#This Row],[PreGmRate]]+Games[[#This Row],[RatingChange]]</f>
        <v>1592.7564497428646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39615</v>
      </c>
      <c r="B139" s="2">
        <v>2008</v>
      </c>
      <c r="C139" s="2">
        <f>COUNTIFS(Games[Team],Games[[#This Row],[Team]],Games[Season],Games[[#This Row],[Season]],Games[Date],"&lt;=" &amp; Games[[#This Row],[Date]])</f>
        <v>13</v>
      </c>
      <c r="D139" s="2" t="s">
        <v>23</v>
      </c>
      <c r="E139" s="2" t="s">
        <v>29</v>
      </c>
      <c r="F139" s="1" t="s">
        <v>80</v>
      </c>
      <c r="G139" s="1" t="s">
        <v>85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9" s="2">
        <f>Games[[#This Row],[DaysOff]]-Games[[#This Row],[OppDaysOff]]</f>
        <v>-1</v>
      </c>
      <c r="L139" s="2">
        <f>Games[[#This Row],[OppDaysOff]]-Games[[#This Row],[DaysOff]]</f>
        <v>1</v>
      </c>
      <c r="M139" s="1">
        <f>MAX(-16, MIN(16, Games[[#This Row],[RestDiff]]*8))</f>
        <v>-8</v>
      </c>
      <c r="N139" s="1">
        <f>MAX(-16, MIN(16, Games[[#This Row],[OppRestDiff]]*8))</f>
        <v>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1520.6479335485362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1579.2852979771076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0.51347065511204892</v>
      </c>
      <c r="R139" s="1">
        <v>67</v>
      </c>
      <c r="S139" s="1">
        <v>74</v>
      </c>
      <c r="T139" s="1">
        <v>0</v>
      </c>
      <c r="U139" s="1">
        <f>Games[[#This Row],[PointsFor]]-Games[[#This Row],[PointsAgainst]]</f>
        <v>-7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0.35286462927010037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74.05</v>
      </c>
      <c r="Z139" s="4">
        <f>Games[[#This Row],[K]]*Games[[#This Row],[POMult]]</f>
        <v>74.05</v>
      </c>
      <c r="AA139" s="4">
        <f>(Games[[#This Row],[Keff]]*Games[[#This Row],[MOVMult]])*(Games[[#This Row],[Result]]-Games[[#This Row],[ExpectedWin%]])</f>
        <v>-13.416796076049824</v>
      </c>
      <c r="AB139" s="4">
        <f>Games[[#This Row],[PreGmRate]]+Games[[#This Row],[RatingChange]]</f>
        <v>1507.2311374724864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39617</v>
      </c>
      <c r="B140" s="2">
        <v>2008</v>
      </c>
      <c r="C140" s="2">
        <f>COUNTIFS(Games[Team],Games[[#This Row],[Team]],Games[Season],Games[[#This Row],[Season]],Games[Date],"&lt;=" &amp; Games[[#This Row],[Date]])</f>
        <v>11</v>
      </c>
      <c r="D140" s="2" t="s">
        <v>23</v>
      </c>
      <c r="E140" s="2" t="s">
        <v>29</v>
      </c>
      <c r="F140" s="1" t="s">
        <v>83</v>
      </c>
      <c r="G140" s="1" t="s">
        <v>88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1</v>
      </c>
      <c r="L140" s="2">
        <f>Games[[#This Row],[OppDaysOff]]-Games[[#This Row],[DaysOff]]</f>
        <v>-1</v>
      </c>
      <c r="M140" s="1">
        <f>MAX(-16, MIN(16, Games[[#This Row],[RestDiff]]*8))</f>
        <v>8</v>
      </c>
      <c r="N140" s="1">
        <f>MAX(-16, MIN(16, Games[[#This Row],[OppRestDiff]]*8))</f>
        <v>-8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1537.9004426222266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1353.5337624254862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0.66147191267819372</v>
      </c>
      <c r="R140" s="1">
        <v>81</v>
      </c>
      <c r="S140" s="1">
        <v>66</v>
      </c>
      <c r="T140" s="1">
        <v>0</v>
      </c>
      <c r="U140" s="1">
        <f>Games[[#This Row],[PointsFor]]-Games[[#This Row],[PointsAgainst]]</f>
        <v>15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0.43587991699479578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10.970907158676237</v>
      </c>
      <c r="AB140" s="4">
        <f>Games[[#This Row],[PreGmRate]]+Games[[#This Row],[RatingChange]]</f>
        <v>1548.8713497809028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39617</v>
      </c>
      <c r="B141" s="2">
        <v>2008</v>
      </c>
      <c r="C141" s="2">
        <f>COUNTIFS(Games[Team],Games[[#This Row],[Team]],Games[Season],Games[[#This Row],[Season]],Games[Date],"&lt;=" &amp; Games[[#This Row],[Date]])</f>
        <v>11</v>
      </c>
      <c r="D141" s="2" t="s">
        <v>23</v>
      </c>
      <c r="E141" s="2" t="s">
        <v>29</v>
      </c>
      <c r="F141" s="1" t="s">
        <v>88</v>
      </c>
      <c r="G141" s="1" t="s">
        <v>83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1" s="2">
        <f>Games[[#This Row],[DaysOff]]-Games[[#This Row],[OppDaysOff]]</f>
        <v>-1</v>
      </c>
      <c r="L141" s="2">
        <f>Games[[#This Row],[OppDaysOff]]-Games[[#This Row],[DaysOff]]</f>
        <v>1</v>
      </c>
      <c r="M141" s="1">
        <f>MAX(-16, MIN(16, Games[[#This Row],[RestDiff]]*8))</f>
        <v>-8</v>
      </c>
      <c r="N141" s="1">
        <f>MAX(-16, MIN(16, Games[[#This Row],[OppRestDiff]]*8))</f>
        <v>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1353.5337624254862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1537.9004426222266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0.33852808732180623</v>
      </c>
      <c r="R141" s="1">
        <v>66</v>
      </c>
      <c r="S141" s="1">
        <v>81</v>
      </c>
      <c r="T141" s="1">
        <v>0</v>
      </c>
      <c r="U141" s="1">
        <f>Games[[#This Row],[PointsFor]]-Games[[#This Row],[PointsAgainst]]</f>
        <v>-15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0.43587991699479578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74.349999999999994</v>
      </c>
      <c r="Z141" s="4">
        <f>Games[[#This Row],[K]]*Games[[#This Row],[POMult]]</f>
        <v>74.349999999999994</v>
      </c>
      <c r="AA141" s="4">
        <f>(Games[[#This Row],[Keff]]*Games[[#This Row],[MOVMult]])*(Games[[#This Row],[Result]]-Games[[#This Row],[ExpectedWin%]])</f>
        <v>-10.970907158676235</v>
      </c>
      <c r="AB141" s="4">
        <f>Games[[#This Row],[PreGmRate]]+Games[[#This Row],[RatingChange]]</f>
        <v>1342.5628552668099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39617</v>
      </c>
      <c r="B142" s="2">
        <v>2008</v>
      </c>
      <c r="C142" s="2">
        <f>COUNTIFS(Games[Team],Games[[#This Row],[Team]],Games[Season],Games[[#This Row],[Season]],Games[Date],"&lt;=" &amp; Games[[#This Row],[Date]])</f>
        <v>11</v>
      </c>
      <c r="D142" s="2" t="s">
        <v>23</v>
      </c>
      <c r="E142" s="2" t="s">
        <v>29</v>
      </c>
      <c r="F142" s="1" t="s">
        <v>72</v>
      </c>
      <c r="G142" s="1" t="s">
        <v>2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3</v>
      </c>
      <c r="L142" s="2">
        <f>Games[[#This Row],[OppDaysOff]]-Games[[#This Row],[DaysOff]]</f>
        <v>-3</v>
      </c>
      <c r="M142" s="1">
        <f>MAX(-16, MIN(16, Games[[#This Row],[RestDiff]]*8))</f>
        <v>16</v>
      </c>
      <c r="N142" s="1">
        <f>MAX(-16, MIN(16, Games[[#This Row],[OppRestDiff]]*8))</f>
        <v>-16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1449.1103217947446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1447.8704059444833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0.42746571525992905</v>
      </c>
      <c r="R142" s="1">
        <v>67</v>
      </c>
      <c r="S142" s="1">
        <v>63</v>
      </c>
      <c r="T142" s="1">
        <v>0</v>
      </c>
      <c r="U142" s="1">
        <f>Games[[#This Row],[PointsFor]]-Games[[#This Row],[PointsAgainst]]</f>
        <v>4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0.31111127506958453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74.349999999999994</v>
      </c>
      <c r="Z142" s="4">
        <f>Games[[#This Row],[K]]*Games[[#This Row],[POMult]]</f>
        <v>74.349999999999994</v>
      </c>
      <c r="AA142" s="4">
        <f>(Games[[#This Row],[Keff]]*Games[[#This Row],[MOVMult]])*(Games[[#This Row],[Result]]-Games[[#This Row],[ExpectedWin%]])</f>
        <v>13.243361134614954</v>
      </c>
      <c r="AB142" s="4">
        <f>Games[[#This Row],[PreGmRate]]+Games[[#This Row],[RatingChange]]</f>
        <v>1462.3536829293596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39617</v>
      </c>
      <c r="B143" s="2">
        <v>2008</v>
      </c>
      <c r="C143" s="2">
        <f>COUNTIFS(Games[Team],Games[[#This Row],[Team]],Games[Season],Games[[#This Row],[Season]],Games[Date],"&lt;=" &amp; Games[[#This Row],[Date]])</f>
        <v>11</v>
      </c>
      <c r="D143" s="2" t="s">
        <v>23</v>
      </c>
      <c r="E143" s="2" t="s">
        <v>29</v>
      </c>
      <c r="F143" s="1" t="s">
        <v>2</v>
      </c>
      <c r="G143" s="1" t="s">
        <v>72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3" s="2">
        <f>Games[[#This Row],[DaysOff]]-Games[[#This Row],[OppDaysOff]]</f>
        <v>-3</v>
      </c>
      <c r="L143" s="2">
        <f>Games[[#This Row],[OppDaysOff]]-Games[[#This Row],[DaysOff]]</f>
        <v>3</v>
      </c>
      <c r="M143" s="1">
        <f>MAX(-16, MIN(16, Games[[#This Row],[RestDiff]]*8))</f>
        <v>-16</v>
      </c>
      <c r="N143" s="1">
        <f>MAX(-16, MIN(16, Games[[#This Row],[OppRestDiff]]*8))</f>
        <v>16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1447.8704059444833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1449.1103217947446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0.57253428474007095</v>
      </c>
      <c r="R143" s="1">
        <v>63</v>
      </c>
      <c r="S143" s="1">
        <v>67</v>
      </c>
      <c r="T143" s="1">
        <v>0</v>
      </c>
      <c r="U143" s="1">
        <f>Games[[#This Row],[PointsFor]]-Games[[#This Row],[PointsAgainst]]</f>
        <v>-4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0.31111127506958453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74.349999999999994</v>
      </c>
      <c r="Z143" s="4">
        <f>Games[[#This Row],[K]]*Games[[#This Row],[POMult]]</f>
        <v>74.349999999999994</v>
      </c>
      <c r="AA143" s="4">
        <f>(Games[[#This Row],[Keff]]*Games[[#This Row],[MOVMult]])*(Games[[#This Row],[Result]]-Games[[#This Row],[ExpectedWin%]])</f>
        <v>-13.243361134614954</v>
      </c>
      <c r="AB143" s="4">
        <f>Games[[#This Row],[PreGmRate]]+Games[[#This Row],[RatingChange]]</f>
        <v>1434.6270448098683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39617</v>
      </c>
      <c r="B144" s="2">
        <v>2008</v>
      </c>
      <c r="C144" s="2">
        <f>COUNTIFS(Games[Team],Games[[#This Row],[Team]],Games[Season],Games[[#This Row],[Season]],Games[Date],"&lt;=" &amp; Games[[#This Row],[Date]])</f>
        <v>10</v>
      </c>
      <c r="D144" s="2" t="s">
        <v>23</v>
      </c>
      <c r="E144" s="2" t="s">
        <v>29</v>
      </c>
      <c r="F144" s="1" t="s">
        <v>66</v>
      </c>
      <c r="G144" s="1" t="s">
        <v>78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1</v>
      </c>
      <c r="L144" s="2">
        <f>Games[[#This Row],[OppDaysOff]]-Games[[#This Row],[DaysOff]]</f>
        <v>-1</v>
      </c>
      <c r="M144" s="1">
        <f>MAX(-16, MIN(16, Games[[#This Row],[RestDiff]]*8))</f>
        <v>8</v>
      </c>
      <c r="N144" s="1">
        <f>MAX(-16, MIN(16, Games[[#This Row],[OppRestDiff]]*8))</f>
        <v>-8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1491.7380260825053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1534.6199249306592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0.34563375071453162</v>
      </c>
      <c r="R144" s="1">
        <v>69</v>
      </c>
      <c r="S144" s="1">
        <v>83</v>
      </c>
      <c r="T144" s="1">
        <v>0</v>
      </c>
      <c r="U144" s="1">
        <f>Games[[#This Row],[PointsFor]]-Games[[#This Row],[PointsAgainst]]</f>
        <v>-14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0.47078465362090555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74.5</v>
      </c>
      <c r="Z144" s="4">
        <f>Games[[#This Row],[K]]*Games[[#This Row],[POMult]]</f>
        <v>74.5</v>
      </c>
      <c r="AA144" s="4">
        <f>(Games[[#This Row],[Keff]]*Games[[#This Row],[MOVMult]])*(Games[[#This Row],[Result]]-Games[[#This Row],[ExpectedWin%]])</f>
        <v>-12.12257038793272</v>
      </c>
      <c r="AB144" s="4">
        <f>Games[[#This Row],[PreGmRate]]+Games[[#This Row],[RatingChange]]</f>
        <v>1479.6154556945726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39617</v>
      </c>
      <c r="B145" s="2">
        <v>2008</v>
      </c>
      <c r="C145" s="2">
        <f>COUNTIFS(Games[Team],Games[[#This Row],[Team]],Games[Season],Games[[#This Row],[Season]],Games[Date],"&lt;=" &amp; Games[[#This Row],[Date]])</f>
        <v>10</v>
      </c>
      <c r="D145" s="2" t="s">
        <v>23</v>
      </c>
      <c r="E145" s="2" t="s">
        <v>29</v>
      </c>
      <c r="F145" s="1" t="s">
        <v>78</v>
      </c>
      <c r="G145" s="1" t="s">
        <v>66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5" s="2">
        <f>Games[[#This Row],[DaysOff]]-Games[[#This Row],[OppDaysOff]]</f>
        <v>-1</v>
      </c>
      <c r="L145" s="2">
        <f>Games[[#This Row],[OppDaysOff]]-Games[[#This Row],[DaysOff]]</f>
        <v>1</v>
      </c>
      <c r="M145" s="1">
        <f>MAX(-16, MIN(16, Games[[#This Row],[RestDiff]]*8))</f>
        <v>-8</v>
      </c>
      <c r="N145" s="1">
        <f>MAX(-16, MIN(16, Games[[#This Row],[OppRestDiff]]*8))</f>
        <v>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1534.6199249306592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1491.7380260825053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0.65436624928546838</v>
      </c>
      <c r="R145" s="1">
        <v>83</v>
      </c>
      <c r="S145" s="1">
        <v>69</v>
      </c>
      <c r="T145" s="1">
        <v>0</v>
      </c>
      <c r="U145" s="1">
        <f>Games[[#This Row],[PointsFor]]-Games[[#This Row],[PointsAgainst]]</f>
        <v>14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0.47078465362090555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74.5</v>
      </c>
      <c r="Z145" s="4">
        <f>Games[[#This Row],[K]]*Games[[#This Row],[POMult]]</f>
        <v>74.5</v>
      </c>
      <c r="AA145" s="4">
        <f>(Games[[#This Row],[Keff]]*Games[[#This Row],[MOVMult]])*(Games[[#This Row],[Result]]-Games[[#This Row],[ExpectedWin%]])</f>
        <v>12.12257038793272</v>
      </c>
      <c r="AB145" s="4">
        <f>Games[[#This Row],[PreGmRate]]+Games[[#This Row],[RatingChange]]</f>
        <v>1546.7424953185919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39617</v>
      </c>
      <c r="B146" s="2">
        <v>2008</v>
      </c>
      <c r="C146" s="2">
        <f>COUNTIFS(Games[Team],Games[[#This Row],[Team]],Games[Season],Games[[#This Row],[Season]],Games[Date],"&lt;=" &amp; Games[[#This Row],[Date]])</f>
        <v>9</v>
      </c>
      <c r="D146" s="2" t="s">
        <v>23</v>
      </c>
      <c r="E146" s="2" t="s">
        <v>29</v>
      </c>
      <c r="F146" s="1" t="s">
        <v>86</v>
      </c>
      <c r="G146" s="1" t="s">
        <v>69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6" s="2">
        <f>Games[[#This Row],[DaysOff]]-Games[[#This Row],[OppDaysOff]]</f>
        <v>1</v>
      </c>
      <c r="L146" s="2">
        <f>Games[[#This Row],[OppDaysOff]]-Games[[#This Row],[DaysOff]]</f>
        <v>-1</v>
      </c>
      <c r="M146" s="1">
        <f>MAX(-16, MIN(16, Games[[#This Row],[RestDiff]]*8))</f>
        <v>8</v>
      </c>
      <c r="N146" s="1">
        <f>MAX(-16, MIN(16, Games[[#This Row],[OppRestDiff]]*8))</f>
        <v>-8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1445.5781127716946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1531.3870730314077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0.29206093788310472</v>
      </c>
      <c r="R146" s="1">
        <v>67</v>
      </c>
      <c r="S146" s="1">
        <v>80</v>
      </c>
      <c r="T146" s="1">
        <v>0</v>
      </c>
      <c r="U146" s="1">
        <f>Games[[#This Row],[PointsFor]]-Games[[#This Row],[PointsAgainst]]</f>
        <v>-13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0.44054173231342753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74.650000000000006</v>
      </c>
      <c r="Z146" s="4">
        <f>Games[[#This Row],[K]]*Games[[#This Row],[POMult]]</f>
        <v>74.650000000000006</v>
      </c>
      <c r="AA146" s="4">
        <f>(Games[[#This Row],[Keff]]*Games[[#This Row],[MOVMult]])*(Games[[#This Row],[Result]]-Games[[#This Row],[ExpectedWin%]])</f>
        <v>-9.6048446026774119</v>
      </c>
      <c r="AB146" s="4">
        <f>Games[[#This Row],[PreGmRate]]+Games[[#This Row],[RatingChange]]</f>
        <v>1435.9732681690173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39617</v>
      </c>
      <c r="B147" s="2">
        <v>2008</v>
      </c>
      <c r="C147" s="2">
        <f>COUNTIFS(Games[Team],Games[[#This Row],[Team]],Games[Season],Games[[#This Row],[Season]],Games[Date],"&lt;=" &amp; Games[[#This Row],[Date]])</f>
        <v>10</v>
      </c>
      <c r="D147" s="2" t="s">
        <v>23</v>
      </c>
      <c r="E147" s="2" t="s">
        <v>29</v>
      </c>
      <c r="F147" s="1" t="s">
        <v>69</v>
      </c>
      <c r="G147" s="1" t="s">
        <v>86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7" s="2">
        <f>Games[[#This Row],[DaysOff]]-Games[[#This Row],[OppDaysOff]]</f>
        <v>-1</v>
      </c>
      <c r="L147" s="2">
        <f>Games[[#This Row],[OppDaysOff]]-Games[[#This Row],[DaysOff]]</f>
        <v>1</v>
      </c>
      <c r="M147" s="1">
        <f>MAX(-16, MIN(16, Games[[#This Row],[RestDiff]]*8))</f>
        <v>-8</v>
      </c>
      <c r="N147" s="1">
        <f>MAX(-16, MIN(16, Games[[#This Row],[OppRestDiff]]*8))</f>
        <v>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1531.3870730314077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1445.5781127716946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0.70793906211689539</v>
      </c>
      <c r="R147" s="1">
        <v>80</v>
      </c>
      <c r="S147" s="1">
        <v>67</v>
      </c>
      <c r="T147" s="1">
        <v>0</v>
      </c>
      <c r="U147" s="1">
        <f>Games[[#This Row],[PointsFor]]-Games[[#This Row],[PointsAgainst]]</f>
        <v>13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0.44054173231342753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74.5</v>
      </c>
      <c r="Z147" s="4">
        <f>Games[[#This Row],[K]]*Games[[#This Row],[POMult]]</f>
        <v>74.5</v>
      </c>
      <c r="AA147" s="4">
        <f>(Games[[#This Row],[Keff]]*Games[[#This Row],[MOVMult]])*(Games[[#This Row],[Result]]-Games[[#This Row],[ExpectedWin%]])</f>
        <v>9.5855448479499916</v>
      </c>
      <c r="AB147" s="4">
        <f>Games[[#This Row],[PreGmRate]]+Games[[#This Row],[RatingChange]]</f>
        <v>1540.9726178793576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39617</v>
      </c>
      <c r="B148" s="2">
        <v>2008</v>
      </c>
      <c r="C148" s="2">
        <f>COUNTIFS(Games[Team],Games[[#This Row],[Team]],Games[Season],Games[[#This Row],[Season]],Games[Date],"&lt;=" &amp; Games[[#This Row],[Date]])</f>
        <v>12</v>
      </c>
      <c r="D148" s="2" t="s">
        <v>23</v>
      </c>
      <c r="E148" s="2" t="s">
        <v>29</v>
      </c>
      <c r="F148" s="1" t="s">
        <v>85</v>
      </c>
      <c r="G148" s="1" t="s">
        <v>44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8" s="2">
        <f>Games[[#This Row],[DaysOff]]-Games[[#This Row],[OppDaysOff]]</f>
        <v>-2</v>
      </c>
      <c r="L148" s="2">
        <f>Games[[#This Row],[OppDaysOff]]-Games[[#This Row],[DaysOff]]</f>
        <v>2</v>
      </c>
      <c r="M148" s="1">
        <f>MAX(-16, MIN(16, Games[[#This Row],[RestDiff]]*8))</f>
        <v>-16</v>
      </c>
      <c r="N148" s="1">
        <f>MAX(-16, MIN(16, Games[[#This Row],[OppRestDiff]]*8))</f>
        <v>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1592.7564497428646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1528.1910301655348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0.42651573364696915</v>
      </c>
      <c r="R148" s="1">
        <v>81</v>
      </c>
      <c r="S148" s="1">
        <v>102</v>
      </c>
      <c r="T148" s="1">
        <v>0</v>
      </c>
      <c r="U148" s="1">
        <f>Games[[#This Row],[PointsFor]]-Games[[#This Row],[PointsAgainst]]</f>
        <v>-21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0.55852511573577313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-17.675905412773979</v>
      </c>
      <c r="AB148" s="4">
        <f>Games[[#This Row],[PreGmRate]]+Games[[#This Row],[RatingChange]]</f>
        <v>1575.0805443300906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39617</v>
      </c>
      <c r="B149" s="2">
        <v>2008</v>
      </c>
      <c r="C149" s="2">
        <f>COUNTIFS(Games[Team],Games[[#This Row],[Team]],Games[Season],Games[[#This Row],[Season]],Games[Date],"&lt;=" &amp; Games[[#This Row],[Date]])</f>
        <v>9</v>
      </c>
      <c r="D149" s="2" t="s">
        <v>23</v>
      </c>
      <c r="E149" s="2" t="s">
        <v>29</v>
      </c>
      <c r="F149" s="1" t="s">
        <v>44</v>
      </c>
      <c r="G149" s="1" t="s">
        <v>85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2</v>
      </c>
      <c r="L149" s="2">
        <f>Games[[#This Row],[OppDaysOff]]-Games[[#This Row],[DaysOff]]</f>
        <v>-2</v>
      </c>
      <c r="M149" s="1">
        <f>MAX(-16, MIN(16, Games[[#This Row],[RestDiff]]*8))</f>
        <v>16</v>
      </c>
      <c r="N149" s="1">
        <f>MAX(-16, MIN(16, Games[[#This Row],[OppRestDiff]]*8))</f>
        <v>-16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1528.1910301655348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1592.7564497428646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0.57348426635303085</v>
      </c>
      <c r="R149" s="1">
        <v>102</v>
      </c>
      <c r="S149" s="1">
        <v>81</v>
      </c>
      <c r="T149" s="1">
        <v>0</v>
      </c>
      <c r="U149" s="1">
        <f>Games[[#This Row],[PointsFor]]-Games[[#This Row],[PointsAgainst]]</f>
        <v>21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0.55852511573577313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74.650000000000006</v>
      </c>
      <c r="Z149" s="4">
        <f>Games[[#This Row],[K]]*Games[[#This Row],[POMult]]</f>
        <v>74.650000000000006</v>
      </c>
      <c r="AA149" s="4">
        <f>(Games[[#This Row],[Keff]]*Games[[#This Row],[MOVMult]])*(Games[[#This Row],[Result]]-Games[[#This Row],[ExpectedWin%]])</f>
        <v>17.783104300048215</v>
      </c>
      <c r="AB149" s="4">
        <f>Games[[#This Row],[PreGmRate]]+Games[[#This Row],[RatingChange]]</f>
        <v>1545.9741344655831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39619</v>
      </c>
      <c r="B150" s="2">
        <v>2008</v>
      </c>
      <c r="C150" s="2">
        <f>COUNTIFS(Games[Team],Games[[#This Row],[Team]],Games[Season],Games[[#This Row],[Season]],Games[Date],"&lt;=" &amp; Games[[#This Row],[Date]])</f>
        <v>11</v>
      </c>
      <c r="D150" s="2" t="s">
        <v>23</v>
      </c>
      <c r="E150" s="2" t="s">
        <v>29</v>
      </c>
      <c r="F150" s="1" t="s">
        <v>76</v>
      </c>
      <c r="G150" s="1" t="s">
        <v>74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1490.7030285487115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1612.1232326160534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0.23460410978007418</v>
      </c>
      <c r="R150" s="1">
        <v>93</v>
      </c>
      <c r="S150" s="1">
        <v>98</v>
      </c>
      <c r="T150" s="1">
        <v>1</v>
      </c>
      <c r="U150" s="1">
        <f>Games[[#This Row],[PointsFor]]-Games[[#This Row],[PointsAgainst]]</f>
        <v>-5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0.27114497901220835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74.349999999999994</v>
      </c>
      <c r="Z150" s="4">
        <f>Games[[#This Row],[K]]*Games[[#This Row],[POMult]]</f>
        <v>74.349999999999994</v>
      </c>
      <c r="AA150" s="4">
        <f>(Games[[#This Row],[Keff]]*Games[[#This Row],[MOVMult]])*(Games[[#This Row],[Result]]-Games[[#This Row],[ExpectedWin%]])</f>
        <v>-4.7295318595125808</v>
      </c>
      <c r="AB150" s="4">
        <f>Games[[#This Row],[PreGmRate]]+Games[[#This Row],[RatingChange]]</f>
        <v>1485.9734966891988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39619</v>
      </c>
      <c r="B151" s="2">
        <v>2008</v>
      </c>
      <c r="C151" s="2">
        <f>COUNTIFS(Games[Team],Games[[#This Row],[Team]],Games[Season],Games[[#This Row],[Season]],Games[Date],"&lt;=" &amp; Games[[#This Row],[Date]])</f>
        <v>12</v>
      </c>
      <c r="D151" s="2" t="s">
        <v>23</v>
      </c>
      <c r="E151" s="2" t="s">
        <v>29</v>
      </c>
      <c r="F151" s="1" t="s">
        <v>74</v>
      </c>
      <c r="G151" s="1" t="s">
        <v>76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1612.1232326160534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1490.7030285487115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0.76539589021992582</v>
      </c>
      <c r="R151" s="1">
        <v>98</v>
      </c>
      <c r="S151" s="1">
        <v>93</v>
      </c>
      <c r="T151" s="1">
        <v>1</v>
      </c>
      <c r="U151" s="1">
        <f>Games[[#This Row],[PointsFor]]-Games[[#This Row],[PointsAgainst]]</f>
        <v>5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0.27114497901220835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74.2</v>
      </c>
      <c r="Z151" s="4">
        <f>Games[[#This Row],[K]]*Games[[#This Row],[POMult]]</f>
        <v>74.2</v>
      </c>
      <c r="AA151" s="4">
        <f>(Games[[#This Row],[Keff]]*Games[[#This Row],[MOVMult]])*(Games[[#This Row],[Result]]-Games[[#This Row],[ExpectedWin%]])</f>
        <v>4.7199901005492055</v>
      </c>
      <c r="AB151" s="4">
        <f>Games[[#This Row],[PreGmRate]]+Games[[#This Row],[RatingChange]]</f>
        <v>1616.8432227166027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39619</v>
      </c>
      <c r="B152" s="2">
        <v>2008</v>
      </c>
      <c r="C152" s="2">
        <f>COUNTIFS(Games[Team],Games[[#This Row],[Team]],Games[Season],Games[[#This Row],[Season]],Games[Date],"&lt;=" &amp; Games[[#This Row],[Date]])</f>
        <v>10</v>
      </c>
      <c r="D152" s="2" t="s">
        <v>23</v>
      </c>
      <c r="E152" s="2" t="s">
        <v>29</v>
      </c>
      <c r="F152" s="1" t="s">
        <v>86</v>
      </c>
      <c r="G152" s="1" t="s">
        <v>44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1435.9732681690173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1545.9741344655831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0.24661299568985484</v>
      </c>
      <c r="R152" s="1">
        <v>105</v>
      </c>
      <c r="S152" s="1">
        <v>112</v>
      </c>
      <c r="T152" s="1">
        <v>1</v>
      </c>
      <c r="U152" s="1">
        <f>Games[[#This Row],[PointsFor]]-Games[[#This Row],[PointsAgainst]]</f>
        <v>-7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0.30512632210400048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74.5</v>
      </c>
      <c r="Z152" s="4">
        <f>Games[[#This Row],[K]]*Games[[#This Row],[POMult]]</f>
        <v>74.5</v>
      </c>
      <c r="AA152" s="4">
        <f>(Games[[#This Row],[Keff]]*Games[[#This Row],[MOVMult]])*(Games[[#This Row],[Result]]-Games[[#This Row],[ExpectedWin%]])</f>
        <v>-5.6059846686631865</v>
      </c>
      <c r="AB152" s="4">
        <f>Games[[#This Row],[PreGmRate]]+Games[[#This Row],[RatingChange]]</f>
        <v>1430.367283500354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39619</v>
      </c>
      <c r="B153" s="2">
        <v>2008</v>
      </c>
      <c r="C153" s="2">
        <f>COUNTIFS(Games[Team],Games[[#This Row],[Team]],Games[Season],Games[[#This Row],[Season]],Games[Date],"&lt;=" &amp; Games[[#This Row],[Date]])</f>
        <v>10</v>
      </c>
      <c r="D153" s="2" t="s">
        <v>23</v>
      </c>
      <c r="E153" s="2" t="s">
        <v>29</v>
      </c>
      <c r="F153" s="1" t="s">
        <v>44</v>
      </c>
      <c r="G153" s="1" t="s">
        <v>86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1545.9741344655831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1435.9732681690173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0.75338700431014516</v>
      </c>
      <c r="R153" s="1">
        <v>112</v>
      </c>
      <c r="S153" s="1">
        <v>105</v>
      </c>
      <c r="T153" s="1">
        <v>1</v>
      </c>
      <c r="U153" s="1">
        <f>Games[[#This Row],[PointsFor]]-Games[[#This Row],[PointsAgainst]]</f>
        <v>7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0.30512632210400048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74.5</v>
      </c>
      <c r="Z153" s="4">
        <f>Games[[#This Row],[K]]*Games[[#This Row],[POMult]]</f>
        <v>74.5</v>
      </c>
      <c r="AA153" s="4">
        <f>(Games[[#This Row],[Keff]]*Games[[#This Row],[MOVMult]])*(Games[[#This Row],[Result]]-Games[[#This Row],[ExpectedWin%]])</f>
        <v>5.6059846686631865</v>
      </c>
      <c r="AB153" s="4">
        <f>Games[[#This Row],[PreGmRate]]+Games[[#This Row],[RatingChange]]</f>
        <v>1551.5801191342464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39619</v>
      </c>
      <c r="B154" s="2">
        <v>2008</v>
      </c>
      <c r="C154" s="2">
        <f>COUNTIFS(Games[Team],Games[[#This Row],[Team]],Games[Season],Games[[#This Row],[Season]],Games[Date],"&lt;=" &amp; Games[[#This Row],[Date]])</f>
        <v>13</v>
      </c>
      <c r="D154" s="2" t="s">
        <v>23</v>
      </c>
      <c r="E154" s="2" t="s">
        <v>29</v>
      </c>
      <c r="F154" s="1" t="s">
        <v>85</v>
      </c>
      <c r="G154" s="1" t="s">
        <v>45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4" s="2">
        <f>Games[[#This Row],[DaysOff]]-Games[[#This Row],[OppDaysOff]]</f>
        <v>-4</v>
      </c>
      <c r="L154" s="2">
        <f>Games[[#This Row],[OppDaysOff]]-Games[[#This Row],[DaysOff]]</f>
        <v>4</v>
      </c>
      <c r="M154" s="1">
        <f>MAX(-16, MIN(16, Games[[#This Row],[RestDiff]]*8))</f>
        <v>-16</v>
      </c>
      <c r="N154" s="1">
        <f>MAX(-16, MIN(16, Games[[#This Row],[OppRestDiff]]*8))</f>
        <v>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1575.0805443300906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1502.9852834405149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0.43715019258454618</v>
      </c>
      <c r="R154" s="1">
        <v>72</v>
      </c>
      <c r="S154" s="1">
        <v>56</v>
      </c>
      <c r="T154" s="1">
        <v>0</v>
      </c>
      <c r="U154" s="1">
        <f>Games[[#This Row],[PointsFor]]-Games[[#This Row],[PointsAgainst]]</f>
        <v>16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0.48844080930037359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20.357738283966139</v>
      </c>
      <c r="AB154" s="4">
        <f>Games[[#This Row],[PreGmRate]]+Games[[#This Row],[RatingChange]]</f>
        <v>1595.4382826140568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39619</v>
      </c>
      <c r="B155" s="2">
        <v>2008</v>
      </c>
      <c r="C155" s="2">
        <f>COUNTIFS(Games[Team],Games[[#This Row],[Team]],Games[Season],Games[[#This Row],[Season]],Games[Date],"&lt;=" &amp; Games[[#This Row],[Date]])</f>
        <v>11</v>
      </c>
      <c r="D155" s="2" t="s">
        <v>23</v>
      </c>
      <c r="E155" s="2" t="s">
        <v>29</v>
      </c>
      <c r="F155" s="1" t="s">
        <v>45</v>
      </c>
      <c r="G155" s="1" t="s">
        <v>85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4</v>
      </c>
      <c r="L155" s="2">
        <f>Games[[#This Row],[OppDaysOff]]-Games[[#This Row],[DaysOff]]</f>
        <v>-4</v>
      </c>
      <c r="M155" s="1">
        <f>MAX(-16, MIN(16, Games[[#This Row],[RestDiff]]*8))</f>
        <v>16</v>
      </c>
      <c r="N155" s="1">
        <f>MAX(-16, MIN(16, Games[[#This Row],[OppRestDiff]]*8))</f>
        <v>-16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1502.9852834405149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1575.0805443300906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0.56284980741545376</v>
      </c>
      <c r="R155" s="1">
        <v>56</v>
      </c>
      <c r="S155" s="1">
        <v>72</v>
      </c>
      <c r="T155" s="1">
        <v>0</v>
      </c>
      <c r="U155" s="1">
        <f>Games[[#This Row],[PointsFor]]-Games[[#This Row],[PointsAgainst]]</f>
        <v>-16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0.48844080930037359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74.349999999999994</v>
      </c>
      <c r="Z155" s="4">
        <f>Games[[#This Row],[K]]*Games[[#This Row],[POMult]]</f>
        <v>74.349999999999994</v>
      </c>
      <c r="AA155" s="4">
        <f>(Games[[#This Row],[Keff]]*Games[[#This Row],[MOVMult]])*(Games[[#This Row],[Result]]-Games[[#This Row],[ExpectedWin%]])</f>
        <v>-20.440213928600706</v>
      </c>
      <c r="AB155" s="4">
        <f>Games[[#This Row],[PreGmRate]]+Games[[#This Row],[RatingChange]]</f>
        <v>1482.5450695119141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39619</v>
      </c>
      <c r="B156" s="2">
        <v>2008</v>
      </c>
      <c r="C156" s="2">
        <f>COUNTIFS(Games[Team],Games[[#This Row],[Team]],Games[Season],Games[[#This Row],[Season]],Games[Date],"&lt;=" &amp; Games[[#This Row],[Date]])</f>
        <v>11</v>
      </c>
      <c r="D156" s="2" t="s">
        <v>23</v>
      </c>
      <c r="E156" s="2" t="s">
        <v>29</v>
      </c>
      <c r="F156" s="1" t="s">
        <v>69</v>
      </c>
      <c r="G156" s="1" t="s">
        <v>83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1540.9726178793576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1548.8713497809028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0.37074744021389194</v>
      </c>
      <c r="R156" s="1">
        <v>75</v>
      </c>
      <c r="S156" s="1">
        <v>77</v>
      </c>
      <c r="T156" s="1">
        <v>0</v>
      </c>
      <c r="U156" s="1">
        <f>Games[[#This Row],[PointsFor]]-Games[[#This Row],[PointsAgainst]]</f>
        <v>-2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0.26608984386101803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74.349999999999994</v>
      </c>
      <c r="Z156" s="4">
        <f>Games[[#This Row],[K]]*Games[[#This Row],[POMult]]</f>
        <v>74.349999999999994</v>
      </c>
      <c r="AA156" s="4">
        <f>(Games[[#This Row],[Keff]]*Games[[#This Row],[MOVMult]])*(Games[[#This Row],[Result]]-Games[[#This Row],[ExpectedWin%]])</f>
        <v>-7.3347857523680453</v>
      </c>
      <c r="AB156" s="4">
        <f>Games[[#This Row],[PreGmRate]]+Games[[#This Row],[RatingChange]]</f>
        <v>1533.6378321269895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39619</v>
      </c>
      <c r="B157" s="2">
        <v>2008</v>
      </c>
      <c r="C157" s="2">
        <f>COUNTIFS(Games[Team],Games[[#This Row],[Team]],Games[Season],Games[[#This Row],[Season]],Games[Date],"&lt;=" &amp; Games[[#This Row],[Date]])</f>
        <v>12</v>
      </c>
      <c r="D157" s="2" t="s">
        <v>23</v>
      </c>
      <c r="E157" s="2" t="s">
        <v>29</v>
      </c>
      <c r="F157" s="1" t="s">
        <v>83</v>
      </c>
      <c r="G157" s="1" t="s">
        <v>69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1548.8713497809028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1540.9726178793576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0.62925255978610806</v>
      </c>
      <c r="R157" s="1">
        <v>77</v>
      </c>
      <c r="S157" s="1">
        <v>75</v>
      </c>
      <c r="T157" s="1">
        <v>0</v>
      </c>
      <c r="U157" s="1">
        <f>Games[[#This Row],[PointsFor]]-Games[[#This Row],[PointsAgainst]]</f>
        <v>2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0.26608984386101803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74.2</v>
      </c>
      <c r="Z157" s="4">
        <f>Games[[#This Row],[K]]*Games[[#This Row],[POMult]]</f>
        <v>74.2</v>
      </c>
      <c r="AA157" s="4">
        <f>(Games[[#This Row],[Keff]]*Games[[#This Row],[MOVMult]])*(Games[[#This Row],[Result]]-Games[[#This Row],[ExpectedWin%]])</f>
        <v>7.3199879330962876</v>
      </c>
      <c r="AB157" s="4">
        <f>Games[[#This Row],[PreGmRate]]+Games[[#This Row],[RatingChange]]</f>
        <v>1556.1913377139992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39619</v>
      </c>
      <c r="B158" s="2">
        <v>2008</v>
      </c>
      <c r="C158" s="2">
        <f>COUNTIFS(Games[Team],Games[[#This Row],[Team]],Games[Season],Games[[#This Row],[Season]],Games[Date],"&lt;=" &amp; Games[[#This Row],[Date]])</f>
        <v>11</v>
      </c>
      <c r="D158" s="2" t="s">
        <v>23</v>
      </c>
      <c r="E158" s="2" t="s">
        <v>29</v>
      </c>
      <c r="F158" s="1" t="s">
        <v>78</v>
      </c>
      <c r="G158" s="1" t="s">
        <v>80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8" s="2">
        <f>Games[[#This Row],[DaysOff]]-Games[[#This Row],[OppDaysOff]]</f>
        <v>-2</v>
      </c>
      <c r="L158" s="2">
        <f>Games[[#This Row],[OppDaysOff]]-Games[[#This Row],[DaysOff]]</f>
        <v>2</v>
      </c>
      <c r="M158" s="1">
        <f>MAX(-16, MIN(16, Games[[#This Row],[RestDiff]]*8))</f>
        <v>-16</v>
      </c>
      <c r="N158" s="1">
        <f>MAX(-16, MIN(16, Games[[#This Row],[OppRestDiff]]*8))</f>
        <v>16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1546.7424953185919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1507.2311374724864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0.39166853023044146</v>
      </c>
      <c r="R158" s="1">
        <v>70</v>
      </c>
      <c r="S158" s="1">
        <v>78</v>
      </c>
      <c r="T158" s="1">
        <v>0</v>
      </c>
      <c r="U158" s="1">
        <f>Games[[#This Row],[PointsFor]]-Games[[#This Row],[PointsAgainst]]</f>
        <v>-8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0.37593737165372654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74.349999999999994</v>
      </c>
      <c r="Z158" s="4">
        <f>Games[[#This Row],[K]]*Games[[#This Row],[POMult]]</f>
        <v>74.349999999999994</v>
      </c>
      <c r="AA158" s="4">
        <f>(Games[[#This Row],[Keff]]*Games[[#This Row],[MOVMult]])*(Games[[#This Row],[Result]]-Games[[#This Row],[ExpectedWin%]])</f>
        <v>-10.94750499149397</v>
      </c>
      <c r="AB158" s="4">
        <f>Games[[#This Row],[PreGmRate]]+Games[[#This Row],[RatingChange]]</f>
        <v>1535.7949903270978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39619</v>
      </c>
      <c r="B159" s="2">
        <v>2008</v>
      </c>
      <c r="C159" s="2">
        <f>COUNTIFS(Games[Team],Games[[#This Row],[Team]],Games[Season],Games[[#This Row],[Season]],Games[Date],"&lt;=" &amp; Games[[#This Row],[Date]])</f>
        <v>14</v>
      </c>
      <c r="D159" s="2" t="s">
        <v>23</v>
      </c>
      <c r="E159" s="2" t="s">
        <v>29</v>
      </c>
      <c r="F159" s="1" t="s">
        <v>80</v>
      </c>
      <c r="G159" s="1" t="s">
        <v>78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2</v>
      </c>
      <c r="L159" s="2">
        <f>Games[[#This Row],[OppDaysOff]]-Games[[#This Row],[DaysOff]]</f>
        <v>-2</v>
      </c>
      <c r="M159" s="1">
        <f>MAX(-16, MIN(16, Games[[#This Row],[RestDiff]]*8))</f>
        <v>16</v>
      </c>
      <c r="N159" s="1">
        <f>MAX(-16, MIN(16, Games[[#This Row],[OppRestDiff]]*8))</f>
        <v>-16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1507.2311374724864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1546.7424953185919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0.60833146976955854</v>
      </c>
      <c r="R159" s="1">
        <v>78</v>
      </c>
      <c r="S159" s="1">
        <v>70</v>
      </c>
      <c r="T159" s="1">
        <v>0</v>
      </c>
      <c r="U159" s="1">
        <f>Games[[#This Row],[PointsFor]]-Games[[#This Row],[PointsAgainst]]</f>
        <v>8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0.37593737165372654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73.900000000000006</v>
      </c>
      <c r="Z159" s="4">
        <f>Games[[#This Row],[K]]*Games[[#This Row],[POMult]]</f>
        <v>73.900000000000006</v>
      </c>
      <c r="AA159" s="4">
        <f>(Games[[#This Row],[Keff]]*Games[[#This Row],[MOVMult]])*(Games[[#This Row],[Result]]-Games[[#This Row],[ExpectedWin%]])</f>
        <v>10.881245714477531</v>
      </c>
      <c r="AB159" s="4">
        <f>Games[[#This Row],[PreGmRate]]+Games[[#This Row],[RatingChange]]</f>
        <v>1518.1123831869638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39619</v>
      </c>
      <c r="B160" s="2">
        <v>2008</v>
      </c>
      <c r="C160" s="2">
        <f>COUNTIFS(Games[Team],Games[[#This Row],[Team]],Games[Season],Games[[#This Row],[Season]],Games[Date],"&lt;=" &amp; Games[[#This Row],[Date]])</f>
        <v>12</v>
      </c>
      <c r="D160" s="2" t="s">
        <v>23</v>
      </c>
      <c r="E160" s="2" t="s">
        <v>29</v>
      </c>
      <c r="F160" s="1" t="s">
        <v>88</v>
      </c>
      <c r="G160" s="1" t="s">
        <v>72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1342.5628552668099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1462.3536829293596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0.23629252046755311</v>
      </c>
      <c r="R160" s="1">
        <v>61</v>
      </c>
      <c r="S160" s="1">
        <v>72</v>
      </c>
      <c r="T160" s="1">
        <v>0</v>
      </c>
      <c r="U160" s="1">
        <f>Games[[#This Row],[PointsFor]]-Games[[#This Row],[PointsAgainst]]</f>
        <v>-11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0.39991425402155389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74.2</v>
      </c>
      <c r="Z160" s="4">
        <f>Games[[#This Row],[K]]*Games[[#This Row],[POMult]]</f>
        <v>74.2</v>
      </c>
      <c r="AA160" s="4">
        <f>(Games[[#This Row],[Keff]]*Games[[#This Row],[MOVMult]])*(Games[[#This Row],[Result]]-Games[[#This Row],[ExpectedWin%]])</f>
        <v>-7.0116586313811462</v>
      </c>
      <c r="AB160" s="4">
        <f>Games[[#This Row],[PreGmRate]]+Games[[#This Row],[RatingChange]]</f>
        <v>1335.5511966354288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39619</v>
      </c>
      <c r="B161" s="2">
        <v>2008</v>
      </c>
      <c r="C161" s="2">
        <f>COUNTIFS(Games[Team],Games[[#This Row],[Team]],Games[Season],Games[[#This Row],[Season]],Games[Date],"&lt;=" &amp; Games[[#This Row],[Date]])</f>
        <v>12</v>
      </c>
      <c r="D161" s="2" t="s">
        <v>23</v>
      </c>
      <c r="E161" s="2" t="s">
        <v>29</v>
      </c>
      <c r="F161" s="1" t="s">
        <v>72</v>
      </c>
      <c r="G161" s="1" t="s">
        <v>88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1462.3536829293596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1342.5628552668099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0.76370747953244689</v>
      </c>
      <c r="R161" s="1">
        <v>72</v>
      </c>
      <c r="S161" s="1">
        <v>61</v>
      </c>
      <c r="T161" s="1">
        <v>0</v>
      </c>
      <c r="U161" s="1">
        <f>Games[[#This Row],[PointsFor]]-Games[[#This Row],[PointsAgainst]]</f>
        <v>11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0.39991425402155389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74.2</v>
      </c>
      <c r="Z161" s="4">
        <f>Games[[#This Row],[K]]*Games[[#This Row],[POMult]]</f>
        <v>74.2</v>
      </c>
      <c r="AA161" s="4">
        <f>(Games[[#This Row],[Keff]]*Games[[#This Row],[MOVMult]])*(Games[[#This Row],[Result]]-Games[[#This Row],[ExpectedWin%]])</f>
        <v>7.0116586313811462</v>
      </c>
      <c r="AB161" s="4">
        <f>Games[[#This Row],[PreGmRate]]+Games[[#This Row],[RatingChange]]</f>
        <v>1469.3653415607407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39620</v>
      </c>
      <c r="B162" s="2">
        <v>2008</v>
      </c>
      <c r="C162" s="2">
        <f>COUNTIFS(Games[Team],Games[[#This Row],[Team]],Games[Season],Games[[#This Row],[Season]],Games[Date],"&lt;=" &amp; Games[[#This Row],[Date]])</f>
        <v>12</v>
      </c>
      <c r="D162" s="2" t="s">
        <v>23</v>
      </c>
      <c r="E162" s="2" t="s">
        <v>29</v>
      </c>
      <c r="F162" s="1" t="s">
        <v>2</v>
      </c>
      <c r="G162" s="1" t="s">
        <v>76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2" s="2">
        <f>Games[[#This Row],[DaysOff]]-Games[[#This Row],[OppDaysOff]]</f>
        <v>2</v>
      </c>
      <c r="L162" s="2">
        <f>Games[[#This Row],[OppDaysOff]]-Games[[#This Row],[DaysOff]]</f>
        <v>-2</v>
      </c>
      <c r="M162" s="1">
        <f>MAX(-16, MIN(16, Games[[#This Row],[RestDiff]]*8))</f>
        <v>16</v>
      </c>
      <c r="N162" s="1">
        <f>MAX(-16, MIN(16, Games[[#This Row],[OppRestDiff]]*8))</f>
        <v>-16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1434.6270448098683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1485.9734966891988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0.35550906731886489</v>
      </c>
      <c r="R162" s="1">
        <v>72</v>
      </c>
      <c r="S162" s="1">
        <v>65</v>
      </c>
      <c r="T162" s="1">
        <v>0</v>
      </c>
      <c r="U162" s="1">
        <f>Games[[#This Row],[PointsFor]]-Games[[#This Row],[PointsAgainst]]</f>
        <v>7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0.35492057880339284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74.2</v>
      </c>
      <c r="Z162" s="4">
        <f>Games[[#This Row],[K]]*Games[[#This Row],[POMult]]</f>
        <v>74.2</v>
      </c>
      <c r="AA162" s="4">
        <f>(Games[[#This Row],[Keff]]*Games[[#This Row],[MOVMult]])*(Games[[#This Row],[Result]]-Games[[#This Row],[ExpectedWin%]])</f>
        <v>16.97273763866594</v>
      </c>
      <c r="AB162" s="4">
        <f>Games[[#This Row],[PreGmRate]]+Games[[#This Row],[RatingChange]]</f>
        <v>1451.5997824485341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39620</v>
      </c>
      <c r="B163" s="2">
        <v>2008</v>
      </c>
      <c r="C163" s="2">
        <f>COUNTIFS(Games[Team],Games[[#This Row],[Team]],Games[Season],Games[[#This Row],[Season]],Games[Date],"&lt;=" &amp; Games[[#This Row],[Date]])</f>
        <v>12</v>
      </c>
      <c r="D163" s="2" t="s">
        <v>23</v>
      </c>
      <c r="E163" s="2" t="s">
        <v>29</v>
      </c>
      <c r="F163" s="1" t="s">
        <v>76</v>
      </c>
      <c r="G163" s="1" t="s">
        <v>2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3" s="2">
        <f>Games[[#This Row],[DaysOff]]-Games[[#This Row],[OppDaysOff]]</f>
        <v>-2</v>
      </c>
      <c r="L163" s="2">
        <f>Games[[#This Row],[OppDaysOff]]-Games[[#This Row],[DaysOff]]</f>
        <v>2</v>
      </c>
      <c r="M163" s="1">
        <f>MAX(-16, MIN(16, Games[[#This Row],[RestDiff]]*8))</f>
        <v>-16</v>
      </c>
      <c r="N163" s="1">
        <f>MAX(-16, MIN(16, Games[[#This Row],[OppRestDiff]]*8))</f>
        <v>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1485.9734966891988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1434.6270448098683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0.64449093268113511</v>
      </c>
      <c r="R163" s="1">
        <v>65</v>
      </c>
      <c r="S163" s="1">
        <v>72</v>
      </c>
      <c r="T163" s="1">
        <v>0</v>
      </c>
      <c r="U163" s="1">
        <f>Games[[#This Row],[PointsFor]]-Games[[#This Row],[PointsAgainst]]</f>
        <v>-7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0.35492057880339284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74.2</v>
      </c>
      <c r="Z163" s="4">
        <f>Games[[#This Row],[K]]*Games[[#This Row],[POMult]]</f>
        <v>74.2</v>
      </c>
      <c r="AA163" s="4">
        <f>(Games[[#This Row],[Keff]]*Games[[#This Row],[MOVMult]])*(Games[[#This Row],[Result]]-Games[[#This Row],[ExpectedWin%]])</f>
        <v>-16.97273763866594</v>
      </c>
      <c r="AB163" s="4">
        <f>Games[[#This Row],[PreGmRate]]+Games[[#This Row],[RatingChange]]</f>
        <v>1469.0007590505329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39621</v>
      </c>
      <c r="B164" s="2">
        <v>2008</v>
      </c>
      <c r="C164" s="2">
        <f>COUNTIFS(Games[Team],Games[[#This Row],[Team]],Games[Season],Games[[#This Row],[Season]],Games[Date],"&lt;=" &amp; Games[[#This Row],[Date]])</f>
        <v>13</v>
      </c>
      <c r="D164" s="2" t="s">
        <v>23</v>
      </c>
      <c r="E164" s="2" t="s">
        <v>29</v>
      </c>
      <c r="F164" s="1" t="s">
        <v>74</v>
      </c>
      <c r="G164" s="1" t="s">
        <v>88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1616.8432227166027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1335.5511966354288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0.75689005132358234</v>
      </c>
      <c r="R164" s="1">
        <v>97</v>
      </c>
      <c r="S164" s="1">
        <v>76</v>
      </c>
      <c r="T164" s="1">
        <v>0</v>
      </c>
      <c r="U164" s="1">
        <f>Games[[#This Row],[PointsFor]]-Games[[#This Row],[PointsAgainst]]</f>
        <v>21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0.47680776976394812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74.05</v>
      </c>
      <c r="Z164" s="4">
        <f>Games[[#This Row],[K]]*Games[[#This Row],[POMult]]</f>
        <v>74.05</v>
      </c>
      <c r="AA164" s="4">
        <f>(Games[[#This Row],[Keff]]*Games[[#This Row],[MOVMult]])*(Games[[#This Row],[Result]]-Games[[#This Row],[ExpectedWin%]])</f>
        <v>8.5836325558732565</v>
      </c>
      <c r="AB164" s="4">
        <f>Games[[#This Row],[PreGmRate]]+Games[[#This Row],[RatingChange]]</f>
        <v>1625.4268552724759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39621</v>
      </c>
      <c r="B165" s="2">
        <v>2008</v>
      </c>
      <c r="C165" s="2">
        <f>COUNTIFS(Games[Team],Games[[#This Row],[Team]],Games[Season],Games[[#This Row],[Season]],Games[Date],"&lt;=" &amp; Games[[#This Row],[Date]])</f>
        <v>13</v>
      </c>
      <c r="D165" s="2" t="s">
        <v>23</v>
      </c>
      <c r="E165" s="2" t="s">
        <v>29</v>
      </c>
      <c r="F165" s="1" t="s">
        <v>88</v>
      </c>
      <c r="G165" s="1" t="s">
        <v>74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1335.5511966354288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1616.8432227166027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0.24310994867641766</v>
      </c>
      <c r="R165" s="1">
        <v>76</v>
      </c>
      <c r="S165" s="1">
        <v>97</v>
      </c>
      <c r="T165" s="1">
        <v>0</v>
      </c>
      <c r="U165" s="1">
        <f>Games[[#This Row],[PointsFor]]-Games[[#This Row],[PointsAgainst]]</f>
        <v>-21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0.47680776976394812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74.05</v>
      </c>
      <c r="Z165" s="4">
        <f>Games[[#This Row],[K]]*Games[[#This Row],[POMult]]</f>
        <v>74.05</v>
      </c>
      <c r="AA165" s="4">
        <f>(Games[[#This Row],[Keff]]*Games[[#This Row],[MOVMult]])*(Games[[#This Row],[Result]]-Games[[#This Row],[ExpectedWin%]])</f>
        <v>-8.5836325558732565</v>
      </c>
      <c r="AB165" s="4">
        <f>Games[[#This Row],[PreGmRate]]+Games[[#This Row],[RatingChange]]</f>
        <v>1326.9675640795556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39621</v>
      </c>
      <c r="B166" s="2">
        <v>2008</v>
      </c>
      <c r="C166" s="2">
        <f>COUNTIFS(Games[Team],Games[[#This Row],[Team]],Games[Season],Games[[#This Row],[Season]],Games[Date],"&lt;=" &amp; Games[[#This Row],[Date]])</f>
        <v>12</v>
      </c>
      <c r="D166" s="2" t="s">
        <v>23</v>
      </c>
      <c r="E166" s="2" t="s">
        <v>29</v>
      </c>
      <c r="F166" s="1" t="s">
        <v>78</v>
      </c>
      <c r="G166" s="1" t="s">
        <v>69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1535.7949903270978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1533.6378321269895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0.38434994219296575</v>
      </c>
      <c r="R166" s="1">
        <v>63</v>
      </c>
      <c r="S166" s="1">
        <v>77</v>
      </c>
      <c r="T166" s="1">
        <v>0</v>
      </c>
      <c r="U166" s="1">
        <f>Games[[#This Row],[PointsFor]]-Games[[#This Row],[PointsAgainst]]</f>
        <v>-14</v>
      </c>
      <c r="V166" s="1">
        <f>IF(Games[[#This Row],[MOV]]&gt;0,1,IF(Games[[#This Row],[MOV]]=0,0.5,0))</f>
        <v>0</v>
      </c>
      <c r="W166" s="4">
        <f>((ABS(Games[[#This Row],[MOV]])+5)^0.6)/(12+0.01*(ABS(Games[[#This Row],[PreGmRate]]-Games[[#This Row],[OppPreGmRate]])))*IF(Games[[#This Row],[OT]]=1,0.9,1)</f>
        <v>0.48673313655345063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74.2</v>
      </c>
      <c r="Z166" s="4">
        <f>Games[[#This Row],[K]]*Games[[#This Row],[POMult]]</f>
        <v>74.2</v>
      </c>
      <c r="AA166" s="4">
        <f>(Games[[#This Row],[Keff]]*Games[[#This Row],[MOVMult]])*(Games[[#This Row],[Result]]-Games[[#This Row],[ExpectedWin%]])</f>
        <v>-13.881028285010798</v>
      </c>
      <c r="AB166" s="4">
        <f>Games[[#This Row],[PreGmRate]]+Games[[#This Row],[RatingChange]]</f>
        <v>1521.913962042087</v>
      </c>
      <c r="AC166" s="2">
        <f>IF(Games[[#This Row],[Type]]="R",IF(Games[[#This Row],[Result]]&gt;0.5,1,0),0)</f>
        <v>0</v>
      </c>
      <c r="AD166" s="2">
        <f>IF(Games[[#This Row],[Type]]="R",IF(Games[[#This Row],[Result]]&lt;0.5,1,0),0)</f>
        <v>1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39621</v>
      </c>
      <c r="B167" s="2">
        <v>2008</v>
      </c>
      <c r="C167" s="2">
        <f>COUNTIFS(Games[Team],Games[[#This Row],[Team]],Games[Season],Games[[#This Row],[Season]],Games[Date],"&lt;=" &amp; Games[[#This Row],[Date]])</f>
        <v>12</v>
      </c>
      <c r="D167" s="2" t="s">
        <v>23</v>
      </c>
      <c r="E167" s="2" t="s">
        <v>29</v>
      </c>
      <c r="F167" s="1" t="s">
        <v>69</v>
      </c>
      <c r="G167" s="1" t="s">
        <v>78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1533.6378321269895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1535.7949903270978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0.61565005780703419</v>
      </c>
      <c r="R167" s="1">
        <v>77</v>
      </c>
      <c r="S167" s="1">
        <v>63</v>
      </c>
      <c r="T167" s="1">
        <v>0</v>
      </c>
      <c r="U167" s="1">
        <f>Games[[#This Row],[PointsFor]]-Games[[#This Row],[PointsAgainst]]</f>
        <v>14</v>
      </c>
      <c r="V167" s="1">
        <f>IF(Games[[#This Row],[MOV]]&gt;0,1,IF(Games[[#This Row],[MOV]]=0,0.5,0))</f>
        <v>1</v>
      </c>
      <c r="W167" s="4">
        <f>((ABS(Games[[#This Row],[MOV]])+5)^0.6)/(12+0.01*(ABS(Games[[#This Row],[PreGmRate]]-Games[[#This Row],[OppPreGmRate]])))*IF(Games[[#This Row],[OT]]=1,0.9,1)</f>
        <v>0.48673313655345063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74.2</v>
      </c>
      <c r="Z167" s="4">
        <f>Games[[#This Row],[K]]*Games[[#This Row],[POMult]]</f>
        <v>74.2</v>
      </c>
      <c r="AA167" s="4">
        <f>(Games[[#This Row],[Keff]]*Games[[#This Row],[MOVMult]])*(Games[[#This Row],[Result]]-Games[[#This Row],[ExpectedWin%]])</f>
        <v>13.881028285010801</v>
      </c>
      <c r="AB167" s="4">
        <f>Games[[#This Row],[PreGmRate]]+Games[[#This Row],[RatingChange]]</f>
        <v>1547.5188604120003</v>
      </c>
      <c r="AC167" s="2">
        <f>IF(Games[[#This Row],[Type]]="R",IF(Games[[#This Row],[Result]]&gt;0.5,1,0),0)</f>
        <v>1</v>
      </c>
      <c r="AD167" s="2">
        <f>IF(Games[[#This Row],[Type]]="R",IF(Games[[#This Row],[Result]]&lt;0.5,1,0),0)</f>
        <v>0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39621</v>
      </c>
      <c r="B168" s="2">
        <v>2008</v>
      </c>
      <c r="C168" s="2">
        <f>COUNTIFS(Games[Team],Games[[#This Row],[Team]],Games[Season],Games[[#This Row],[Season]],Games[Date],"&lt;=" &amp; Games[[#This Row],[Date]])</f>
        <v>11</v>
      </c>
      <c r="D168" s="2" t="s">
        <v>23</v>
      </c>
      <c r="E168" s="2" t="s">
        <v>29</v>
      </c>
      <c r="F168" s="1" t="s">
        <v>44</v>
      </c>
      <c r="G168" s="1" t="s">
        <v>66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8" s="2">
        <f>Games[[#This Row],[DaysOff]]-Games[[#This Row],[OppDaysOff]]</f>
        <v>-2</v>
      </c>
      <c r="L168" s="2">
        <f>Games[[#This Row],[OppDaysOff]]-Games[[#This Row],[DaysOff]]</f>
        <v>2</v>
      </c>
      <c r="M168" s="1">
        <f>MAX(-16, MIN(16, Games[[#This Row],[RestDiff]]*8))</f>
        <v>-16</v>
      </c>
      <c r="N168" s="1">
        <f>MAX(-16, MIN(16, Games[[#This Row],[OppRestDiff]]*8))</f>
        <v>16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1551.5801191342464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1479.6154556945726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0.43696522609678423</v>
      </c>
      <c r="R168" s="1">
        <v>72</v>
      </c>
      <c r="S168" s="1">
        <v>105</v>
      </c>
      <c r="T168" s="1">
        <v>0</v>
      </c>
      <c r="U168" s="1">
        <f>Games[[#This Row],[PointsFor]]-Games[[#This Row],[PointsAgainst]]</f>
        <v>-33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0.69726057812901565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74.349999999999994</v>
      </c>
      <c r="Z168" s="4">
        <f>Games[[#This Row],[K]]*Games[[#This Row],[POMult]]</f>
        <v>74.349999999999994</v>
      </c>
      <c r="AA168" s="4">
        <f>(Games[[#This Row],[Keff]]*Games[[#This Row],[MOVMult]])*(Games[[#This Row],[Result]]-Games[[#This Row],[ExpectedWin%]])</f>
        <v>-22.652855855778146</v>
      </c>
      <c r="AB168" s="4">
        <f>Games[[#This Row],[PreGmRate]]+Games[[#This Row],[RatingChange]]</f>
        <v>1528.9272632784682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39621</v>
      </c>
      <c r="B169" s="2">
        <v>2008</v>
      </c>
      <c r="C169" s="2">
        <f>COUNTIFS(Games[Team],Games[[#This Row],[Team]],Games[Season],Games[[#This Row],[Season]],Games[Date],"&lt;=" &amp; Games[[#This Row],[Date]])</f>
        <v>11</v>
      </c>
      <c r="D169" s="2" t="s">
        <v>23</v>
      </c>
      <c r="E169" s="2" t="s">
        <v>29</v>
      </c>
      <c r="F169" s="1" t="s">
        <v>66</v>
      </c>
      <c r="G169" s="1" t="s">
        <v>44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2</v>
      </c>
      <c r="L169" s="2">
        <f>Games[[#This Row],[OppDaysOff]]-Games[[#This Row],[DaysOff]]</f>
        <v>-2</v>
      </c>
      <c r="M169" s="1">
        <f>MAX(-16, MIN(16, Games[[#This Row],[RestDiff]]*8))</f>
        <v>16</v>
      </c>
      <c r="N169" s="1">
        <f>MAX(-16, MIN(16, Games[[#This Row],[OppRestDiff]]*8))</f>
        <v>-16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1479.6154556945726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1551.5801191342464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0.56303477390321577</v>
      </c>
      <c r="R169" s="1">
        <v>105</v>
      </c>
      <c r="S169" s="1">
        <v>72</v>
      </c>
      <c r="T169" s="1">
        <v>0</v>
      </c>
      <c r="U169" s="1">
        <f>Games[[#This Row],[PointsFor]]-Games[[#This Row],[PointsAgainst]]</f>
        <v>33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0.69726057812901565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74.349999999999994</v>
      </c>
      <c r="Z169" s="4">
        <f>Games[[#This Row],[K]]*Games[[#This Row],[POMult]]</f>
        <v>74.349999999999994</v>
      </c>
      <c r="AA169" s="4">
        <f>(Games[[#This Row],[Keff]]*Games[[#This Row],[MOVMult]])*(Games[[#This Row],[Result]]-Games[[#This Row],[ExpectedWin%]])</f>
        <v>22.652855855778146</v>
      </c>
      <c r="AB169" s="4">
        <f>Games[[#This Row],[PreGmRate]]+Games[[#This Row],[RatingChange]]</f>
        <v>1502.2683115503507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39621</v>
      </c>
      <c r="B170" s="2">
        <v>2008</v>
      </c>
      <c r="C170" s="2">
        <f>COUNTIFS(Games[Team],Games[[#This Row],[Team]],Games[Season],Games[[#This Row],[Season]],Games[Date],"&lt;=" &amp; Games[[#This Row],[Date]])</f>
        <v>11</v>
      </c>
      <c r="D170" s="2" t="s">
        <v>23</v>
      </c>
      <c r="E170" s="2" t="s">
        <v>29</v>
      </c>
      <c r="F170" s="1" t="s">
        <v>86</v>
      </c>
      <c r="G170" s="1" t="s">
        <v>45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1430.367283500354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1482.5450695119141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0.31347945029204</v>
      </c>
      <c r="R170" s="1">
        <v>70</v>
      </c>
      <c r="S170" s="1">
        <v>82</v>
      </c>
      <c r="T170" s="1">
        <v>0</v>
      </c>
      <c r="U170" s="1">
        <f>Games[[#This Row],[PointsFor]]-Games[[#This Row],[PointsAgainst]]</f>
        <v>-12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0.43712269759655015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74.349999999999994</v>
      </c>
      <c r="Z170" s="4">
        <f>Games[[#This Row],[K]]*Games[[#This Row],[POMult]]</f>
        <v>74.349999999999994</v>
      </c>
      <c r="AA170" s="4">
        <f>(Games[[#This Row],[Keff]]*Games[[#This Row],[MOVMult]])*(Games[[#This Row],[Result]]-Games[[#This Row],[ExpectedWin%]])</f>
        <v>-10.188104882536232</v>
      </c>
      <c r="AB170" s="4">
        <f>Games[[#This Row],[PreGmRate]]+Games[[#This Row],[RatingChange]]</f>
        <v>1420.1791786178178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39621</v>
      </c>
      <c r="B171" s="2">
        <v>2008</v>
      </c>
      <c r="C171" s="2">
        <f>COUNTIFS(Games[Team],Games[[#This Row],[Team]],Games[Season],Games[[#This Row],[Season]],Games[Date],"&lt;=" &amp; Games[[#This Row],[Date]])</f>
        <v>12</v>
      </c>
      <c r="D171" s="2" t="s">
        <v>23</v>
      </c>
      <c r="E171" s="2" t="s">
        <v>29</v>
      </c>
      <c r="F171" s="1" t="s">
        <v>45</v>
      </c>
      <c r="G171" s="1" t="s">
        <v>86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1482.5450695119141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1430.367283500354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0.68652054970795995</v>
      </c>
      <c r="R171" s="1">
        <v>82</v>
      </c>
      <c r="S171" s="1">
        <v>70</v>
      </c>
      <c r="T171" s="1">
        <v>0</v>
      </c>
      <c r="U171" s="1">
        <f>Games[[#This Row],[PointsFor]]-Games[[#This Row],[PointsAgainst]]</f>
        <v>12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0.43712269759655015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74.2</v>
      </c>
      <c r="Z171" s="4">
        <f>Games[[#This Row],[K]]*Games[[#This Row],[POMult]]</f>
        <v>74.2</v>
      </c>
      <c r="AA171" s="4">
        <f>(Games[[#This Row],[Keff]]*Games[[#This Row],[MOVMult]])*(Games[[#This Row],[Result]]-Games[[#This Row],[ExpectedWin%]])</f>
        <v>10.167550535093323</v>
      </c>
      <c r="AB171" s="4">
        <f>Games[[#This Row],[PreGmRate]]+Games[[#This Row],[RatingChange]]</f>
        <v>1492.7126200470075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39623</v>
      </c>
      <c r="B172" s="2">
        <v>2008</v>
      </c>
      <c r="C172" s="2">
        <f>COUNTIFS(Games[Team],Games[[#This Row],[Team]],Games[Season],Games[[#This Row],[Season]],Games[Date],"&lt;=" &amp; Games[[#This Row],[Date]])</f>
        <v>14</v>
      </c>
      <c r="D172" s="2" t="s">
        <v>23</v>
      </c>
      <c r="E172" s="2" t="s">
        <v>29</v>
      </c>
      <c r="F172" s="1" t="s">
        <v>74</v>
      </c>
      <c r="G172" s="1" t="s">
        <v>85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2" s="2">
        <f>Games[[#This Row],[DaysOff]]-Games[[#This Row],[OppDaysOff]]</f>
        <v>-2</v>
      </c>
      <c r="L172" s="2">
        <f>Games[[#This Row],[OppDaysOff]]-Games[[#This Row],[DaysOff]]</f>
        <v>2</v>
      </c>
      <c r="M172" s="1">
        <f>MAX(-16, MIN(16, Games[[#This Row],[RestDiff]]*8))</f>
        <v>-16</v>
      </c>
      <c r="N172" s="1">
        <f>MAX(-16, MIN(16, Games[[#This Row],[OppRestDiff]]*8))</f>
        <v>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1625.4268552724759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1595.4382826140568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0.37868779956447834</v>
      </c>
      <c r="R172" s="1">
        <v>68</v>
      </c>
      <c r="S172" s="1">
        <v>85</v>
      </c>
      <c r="T172" s="1">
        <v>0</v>
      </c>
      <c r="U172" s="1">
        <f>Games[[#This Row],[PointsFor]]-Games[[#This Row],[PointsAgainst]]</f>
        <v>-17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0.51946050321219894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-14.537116928742027</v>
      </c>
      <c r="AB172" s="4">
        <f>Games[[#This Row],[PreGmRate]]+Games[[#This Row],[RatingChange]]</f>
        <v>1610.8897383437338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39623</v>
      </c>
      <c r="B173" s="2">
        <v>2008</v>
      </c>
      <c r="C173" s="2">
        <f>COUNTIFS(Games[Team],Games[[#This Row],[Team]],Games[Season],Games[[#This Row],[Season]],Games[Date],"&lt;=" &amp; Games[[#This Row],[Date]])</f>
        <v>14</v>
      </c>
      <c r="D173" s="2" t="s">
        <v>23</v>
      </c>
      <c r="E173" s="2" t="s">
        <v>29</v>
      </c>
      <c r="F173" s="1" t="s">
        <v>85</v>
      </c>
      <c r="G173" s="1" t="s">
        <v>74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2</v>
      </c>
      <c r="L173" s="2">
        <f>Games[[#This Row],[OppDaysOff]]-Games[[#This Row],[DaysOff]]</f>
        <v>-2</v>
      </c>
      <c r="M173" s="1">
        <f>MAX(-16, MIN(16, Games[[#This Row],[RestDiff]]*8))</f>
        <v>16</v>
      </c>
      <c r="N173" s="1">
        <f>MAX(-16, MIN(16, Games[[#This Row],[OppRestDiff]]*8))</f>
        <v>-16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1595.4382826140568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1625.4268552724759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0.6213122004355216</v>
      </c>
      <c r="R173" s="1">
        <v>85</v>
      </c>
      <c r="S173" s="1">
        <v>68</v>
      </c>
      <c r="T173" s="1">
        <v>0</v>
      </c>
      <c r="U173" s="1">
        <f>Games[[#This Row],[PointsFor]]-Games[[#This Row],[PointsAgainst]]</f>
        <v>17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0.51946050321219894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14.537116928742028</v>
      </c>
      <c r="AB173" s="4">
        <f>Games[[#This Row],[PreGmRate]]+Games[[#This Row],[RatingChange]]</f>
        <v>1609.9753995427989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39623</v>
      </c>
      <c r="B174" s="2">
        <v>2008</v>
      </c>
      <c r="C174" s="2">
        <f>COUNTIFS(Games[Team],Games[[#This Row],[Team]],Games[Season],Games[[#This Row],[Season]],Games[Date],"&lt;=" &amp; Games[[#This Row],[Date]])</f>
        <v>13</v>
      </c>
      <c r="D174" s="2" t="s">
        <v>23</v>
      </c>
      <c r="E174" s="2" t="s">
        <v>29</v>
      </c>
      <c r="F174" s="1" t="s">
        <v>45</v>
      </c>
      <c r="G174" s="1" t="s">
        <v>78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1492.7126200470075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1521.913962042087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0.3426202185027859</v>
      </c>
      <c r="R174" s="1">
        <v>73</v>
      </c>
      <c r="S174" s="1">
        <v>78</v>
      </c>
      <c r="T174" s="1">
        <v>0</v>
      </c>
      <c r="U174" s="1">
        <f>Games[[#This Row],[PointsFor]]-Games[[#This Row],[PointsAgainst]]</f>
        <v>-5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0.32387466312666202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74.05</v>
      </c>
      <c r="Z174" s="4">
        <f>Games[[#This Row],[K]]*Games[[#This Row],[POMult]]</f>
        <v>74.05</v>
      </c>
      <c r="AA174" s="4">
        <f>(Games[[#This Row],[Keff]]*Games[[#This Row],[MOVMult]])*(Games[[#This Row],[Result]]-Games[[#This Row],[ExpectedWin%]])</f>
        <v>-8.2170328811424103</v>
      </c>
      <c r="AB174" s="4">
        <f>Games[[#This Row],[PreGmRate]]+Games[[#This Row],[RatingChange]]</f>
        <v>1484.4955871658651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39623</v>
      </c>
      <c r="B175" s="2">
        <v>2008</v>
      </c>
      <c r="C175" s="2">
        <f>COUNTIFS(Games[Team],Games[[#This Row],[Team]],Games[Season],Games[[#This Row],[Season]],Games[Date],"&lt;=" &amp; Games[[#This Row],[Date]])</f>
        <v>13</v>
      </c>
      <c r="D175" s="2" t="s">
        <v>23</v>
      </c>
      <c r="E175" s="2" t="s">
        <v>29</v>
      </c>
      <c r="F175" s="1" t="s">
        <v>78</v>
      </c>
      <c r="G175" s="1" t="s">
        <v>45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1521.913962042087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1492.7126200470075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0.65737978149721421</v>
      </c>
      <c r="R175" s="1">
        <v>78</v>
      </c>
      <c r="S175" s="1">
        <v>73</v>
      </c>
      <c r="T175" s="1">
        <v>0</v>
      </c>
      <c r="U175" s="1">
        <f>Games[[#This Row],[PointsFor]]-Games[[#This Row],[PointsAgainst]]</f>
        <v>5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0.32387466312666202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74.05</v>
      </c>
      <c r="Z175" s="4">
        <f>Games[[#This Row],[K]]*Games[[#This Row],[POMult]]</f>
        <v>74.05</v>
      </c>
      <c r="AA175" s="4">
        <f>(Games[[#This Row],[Keff]]*Games[[#This Row],[MOVMult]])*(Games[[#This Row],[Result]]-Games[[#This Row],[ExpectedWin%]])</f>
        <v>8.2170328811424067</v>
      </c>
      <c r="AB175" s="4">
        <f>Games[[#This Row],[PreGmRate]]+Games[[#This Row],[RatingChange]]</f>
        <v>1530.1309949232293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39623</v>
      </c>
      <c r="B176" s="2">
        <v>2008</v>
      </c>
      <c r="C176" s="2">
        <f>COUNTIFS(Games[Team],Games[[#This Row],[Team]],Games[Season],Games[[#This Row],[Season]],Games[Date],"&lt;=" &amp; Games[[#This Row],[Date]])</f>
        <v>15</v>
      </c>
      <c r="D176" s="2" t="s">
        <v>23</v>
      </c>
      <c r="E176" s="2" t="s">
        <v>29</v>
      </c>
      <c r="F176" s="1" t="s">
        <v>80</v>
      </c>
      <c r="G176" s="1" t="s">
        <v>69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2</v>
      </c>
      <c r="L176" s="2">
        <f>Games[[#This Row],[OppDaysOff]]-Games[[#This Row],[DaysOff]]</f>
        <v>-2</v>
      </c>
      <c r="M176" s="1">
        <f>MAX(-16, MIN(16, Games[[#This Row],[RestDiff]]*8))</f>
        <v>16</v>
      </c>
      <c r="N176" s="1">
        <f>MAX(-16, MIN(16, Games[[#This Row],[OppRestDiff]]*8))</f>
        <v>-16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1518.1123831869638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1547.5188604120003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0.38494449698275518</v>
      </c>
      <c r="R176" s="1">
        <v>62</v>
      </c>
      <c r="S176" s="1">
        <v>76</v>
      </c>
      <c r="T176" s="1">
        <v>0</v>
      </c>
      <c r="U176" s="1">
        <f>Games[[#This Row],[PointsFor]]-Games[[#This Row],[PointsAgainst]]</f>
        <v>-14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0.47594488485342223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-13.511911866491927</v>
      </c>
      <c r="AB176" s="4">
        <f>Games[[#This Row],[PreGmRate]]+Games[[#This Row],[RatingChange]]</f>
        <v>1504.6004713204718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39623</v>
      </c>
      <c r="B177" s="2">
        <v>2008</v>
      </c>
      <c r="C177" s="2">
        <f>COUNTIFS(Games[Team],Games[[#This Row],[Team]],Games[Season],Games[[#This Row],[Season]],Games[Date],"&lt;=" &amp; Games[[#This Row],[Date]])</f>
        <v>13</v>
      </c>
      <c r="D177" s="2" t="s">
        <v>23</v>
      </c>
      <c r="E177" s="2" t="s">
        <v>29</v>
      </c>
      <c r="F177" s="1" t="s">
        <v>69</v>
      </c>
      <c r="G177" s="1" t="s">
        <v>80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7" s="2">
        <f>Games[[#This Row],[DaysOff]]-Games[[#This Row],[OppDaysOff]]</f>
        <v>-2</v>
      </c>
      <c r="L177" s="2">
        <f>Games[[#This Row],[OppDaysOff]]-Games[[#This Row],[DaysOff]]</f>
        <v>2</v>
      </c>
      <c r="M177" s="1">
        <f>MAX(-16, MIN(16, Games[[#This Row],[RestDiff]]*8))</f>
        <v>-16</v>
      </c>
      <c r="N177" s="1">
        <f>MAX(-16, MIN(16, Games[[#This Row],[OppRestDiff]]*8))</f>
        <v>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1547.5188604120003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1518.1123831869638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0.61505550301724488</v>
      </c>
      <c r="R177" s="1">
        <v>76</v>
      </c>
      <c r="S177" s="1">
        <v>62</v>
      </c>
      <c r="T177" s="1">
        <v>0</v>
      </c>
      <c r="U177" s="1">
        <f>Games[[#This Row],[PointsFor]]-Games[[#This Row],[PointsAgainst]]</f>
        <v>14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0.47594488485342223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74.05</v>
      </c>
      <c r="Z177" s="4">
        <f>Games[[#This Row],[K]]*Games[[#This Row],[POMult]]</f>
        <v>74.05</v>
      </c>
      <c r="AA177" s="4">
        <f>(Games[[#This Row],[Keff]]*Games[[#This Row],[MOVMult]])*(Games[[#This Row],[Result]]-Games[[#This Row],[ExpectedWin%]])</f>
        <v>13.566875575779349</v>
      </c>
      <c r="AB177" s="4">
        <f>Games[[#This Row],[PreGmRate]]+Games[[#This Row],[RatingChange]]</f>
        <v>1561.0857359877796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39623</v>
      </c>
      <c r="B178" s="2">
        <v>2008</v>
      </c>
      <c r="C178" s="2">
        <f>COUNTIFS(Games[Team],Games[[#This Row],[Team]],Games[Season],Games[[#This Row],[Season]],Games[Date],"&lt;=" &amp; Games[[#This Row],[Date]])</f>
        <v>12</v>
      </c>
      <c r="D178" s="2" t="s">
        <v>23</v>
      </c>
      <c r="E178" s="2" t="s">
        <v>29</v>
      </c>
      <c r="F178" s="1" t="s">
        <v>66</v>
      </c>
      <c r="G178" s="1" t="s">
        <v>76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8" s="2">
        <f>Games[[#This Row],[DaysOff]]-Games[[#This Row],[OppDaysOff]]</f>
        <v>-1</v>
      </c>
      <c r="L178" s="2">
        <f>Games[[#This Row],[OppDaysOff]]-Games[[#This Row],[DaysOff]]</f>
        <v>1</v>
      </c>
      <c r="M178" s="1">
        <f>MAX(-16, MIN(16, Games[[#This Row],[RestDiff]]*8))</f>
        <v>-8</v>
      </c>
      <c r="N178" s="1">
        <f>MAX(-16, MIN(16, Games[[#This Row],[OppRestDiff]]*8))</f>
        <v>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1502.2683115503507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1469.0007590505329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0.40512808259378835</v>
      </c>
      <c r="R178" s="1">
        <v>69</v>
      </c>
      <c r="S178" s="1">
        <v>91</v>
      </c>
      <c r="T178" s="1">
        <v>0</v>
      </c>
      <c r="U178" s="1">
        <f>Games[[#This Row],[PointsFor]]-Games[[#This Row],[PointsAgainst]]</f>
        <v>-22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0.58581562785769825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74.2</v>
      </c>
      <c r="Z178" s="4">
        <f>Games[[#This Row],[K]]*Games[[#This Row],[POMult]]</f>
        <v>74.2</v>
      </c>
      <c r="AA178" s="4">
        <f>(Games[[#This Row],[Keff]]*Games[[#This Row],[MOVMult]])*(Games[[#This Row],[Result]]-Games[[#This Row],[ExpectedWin%]])</f>
        <v>-17.609912865405946</v>
      </c>
      <c r="AB178" s="4">
        <f>Games[[#This Row],[PreGmRate]]+Games[[#This Row],[RatingChange]]</f>
        <v>1484.6583986849448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39623</v>
      </c>
      <c r="B179" s="2">
        <v>2008</v>
      </c>
      <c r="C179" s="2">
        <f>COUNTIFS(Games[Team],Games[[#This Row],[Team]],Games[Season],Games[[#This Row],[Season]],Games[Date],"&lt;=" &amp; Games[[#This Row],[Date]])</f>
        <v>13</v>
      </c>
      <c r="D179" s="2" t="s">
        <v>23</v>
      </c>
      <c r="E179" s="2" t="s">
        <v>29</v>
      </c>
      <c r="F179" s="1" t="s">
        <v>76</v>
      </c>
      <c r="G179" s="1" t="s">
        <v>66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1</v>
      </c>
      <c r="L179" s="2">
        <f>Games[[#This Row],[OppDaysOff]]-Games[[#This Row],[DaysOff]]</f>
        <v>-1</v>
      </c>
      <c r="M179" s="1">
        <f>MAX(-16, MIN(16, Games[[#This Row],[RestDiff]]*8))</f>
        <v>8</v>
      </c>
      <c r="N179" s="1">
        <f>MAX(-16, MIN(16, Games[[#This Row],[OppRestDiff]]*8))</f>
        <v>-8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1469.0007590505329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1502.2683115503507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0.59487191740621159</v>
      </c>
      <c r="R179" s="1">
        <v>91</v>
      </c>
      <c r="S179" s="1">
        <v>69</v>
      </c>
      <c r="T179" s="1">
        <v>0</v>
      </c>
      <c r="U179" s="1">
        <f>Games[[#This Row],[PointsFor]]-Games[[#This Row],[PointsAgainst]]</f>
        <v>22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0.58581562785769825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74.05</v>
      </c>
      <c r="Z179" s="4">
        <f>Games[[#This Row],[K]]*Games[[#This Row],[POMult]]</f>
        <v>74.05</v>
      </c>
      <c r="AA179" s="4">
        <f>(Games[[#This Row],[Keff]]*Games[[#This Row],[MOVMult]])*(Games[[#This Row],[Result]]-Games[[#This Row],[ExpectedWin%]])</f>
        <v>17.574313311095825</v>
      </c>
      <c r="AB179" s="4">
        <f>Games[[#This Row],[PreGmRate]]+Games[[#This Row],[RatingChange]]</f>
        <v>1486.5750723616288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39623</v>
      </c>
      <c r="B180" s="2">
        <v>2008</v>
      </c>
      <c r="C180" s="2">
        <f>COUNTIFS(Games[Team],Games[[#This Row],[Team]],Games[Season],Games[[#This Row],[Season]],Games[Date],"&lt;=" &amp; Games[[#This Row],[Date]])</f>
        <v>13</v>
      </c>
      <c r="D180" s="2" t="s">
        <v>23</v>
      </c>
      <c r="E180" s="2" t="s">
        <v>29</v>
      </c>
      <c r="F180" s="1" t="s">
        <v>2</v>
      </c>
      <c r="G180" s="1" t="s">
        <v>83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0" s="2">
        <f>Games[[#This Row],[DaysOff]]-Games[[#This Row],[OppDaysOff]]</f>
        <v>-1</v>
      </c>
      <c r="L180" s="2">
        <f>Games[[#This Row],[OppDaysOff]]-Games[[#This Row],[DaysOff]]</f>
        <v>1</v>
      </c>
      <c r="M180" s="1">
        <f>MAX(-16, MIN(16, Games[[#This Row],[RestDiff]]*8))</f>
        <v>-8</v>
      </c>
      <c r="N180" s="1">
        <f>MAX(-16, MIN(16, Games[[#This Row],[OppRestDiff]]*8))</f>
        <v>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1451.5997824485341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1556.1913377139992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0.23546173445875879</v>
      </c>
      <c r="R180" s="1">
        <v>82</v>
      </c>
      <c r="S180" s="1">
        <v>81</v>
      </c>
      <c r="T180" s="1">
        <v>1</v>
      </c>
      <c r="U180" s="1">
        <f>Games[[#This Row],[PointsFor]]-Games[[#This Row],[PointsAgainst]]</f>
        <v>1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0.2021429953138513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74.05</v>
      </c>
      <c r="Z180" s="4">
        <f>Games[[#This Row],[K]]*Games[[#This Row],[POMult]]</f>
        <v>74.05</v>
      </c>
      <c r="AA180" s="4">
        <f>(Games[[#This Row],[Keff]]*Games[[#This Row],[MOVMult]])*(Games[[#This Row],[Result]]-Games[[#This Row],[ExpectedWin%]])</f>
        <v>11.444135374865098</v>
      </c>
      <c r="AB180" s="4">
        <f>Games[[#This Row],[PreGmRate]]+Games[[#This Row],[RatingChange]]</f>
        <v>1463.0439178233992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39623</v>
      </c>
      <c r="B181" s="2">
        <v>2008</v>
      </c>
      <c r="C181" s="2">
        <f>COUNTIFS(Games[Team],Games[[#This Row],[Team]],Games[Season],Games[[#This Row],[Season]],Games[Date],"&lt;=" &amp; Games[[#This Row],[Date]])</f>
        <v>13</v>
      </c>
      <c r="D181" s="2" t="s">
        <v>23</v>
      </c>
      <c r="E181" s="2" t="s">
        <v>29</v>
      </c>
      <c r="F181" s="1" t="s">
        <v>83</v>
      </c>
      <c r="G181" s="1" t="s">
        <v>2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1</v>
      </c>
      <c r="L181" s="2">
        <f>Games[[#This Row],[OppDaysOff]]-Games[[#This Row],[DaysOff]]</f>
        <v>-1</v>
      </c>
      <c r="M181" s="1">
        <f>MAX(-16, MIN(16, Games[[#This Row],[RestDiff]]*8))</f>
        <v>8</v>
      </c>
      <c r="N181" s="1">
        <f>MAX(-16, MIN(16, Games[[#This Row],[OppRestDiff]]*8))</f>
        <v>-8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1556.1913377139992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1451.5997824485341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0.76453826554124116</v>
      </c>
      <c r="R181" s="1">
        <v>81</v>
      </c>
      <c r="S181" s="1">
        <v>82</v>
      </c>
      <c r="T181" s="1">
        <v>1</v>
      </c>
      <c r="U181" s="1">
        <f>Games[[#This Row],[PointsFor]]-Games[[#This Row],[PointsAgainst]]</f>
        <v>-1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0.2021429953138513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74.05</v>
      </c>
      <c r="Z181" s="4">
        <f>Games[[#This Row],[K]]*Games[[#This Row],[POMult]]</f>
        <v>74.05</v>
      </c>
      <c r="AA181" s="4">
        <f>(Games[[#This Row],[Keff]]*Games[[#This Row],[MOVMult]])*(Games[[#This Row],[Result]]-Games[[#This Row],[ExpectedWin%]])</f>
        <v>-11.444135374865098</v>
      </c>
      <c r="AB181" s="4">
        <f>Games[[#This Row],[PreGmRate]]+Games[[#This Row],[RatingChange]]</f>
        <v>1544.7472023391342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39623</v>
      </c>
      <c r="B182" s="2">
        <v>2008</v>
      </c>
      <c r="C182" s="2">
        <f>COUNTIFS(Games[Team],Games[[#This Row],[Team]],Games[Season],Games[[#This Row],[Season]],Games[Date],"&lt;=" &amp; Games[[#This Row],[Date]])</f>
        <v>12</v>
      </c>
      <c r="D182" s="2" t="s">
        <v>23</v>
      </c>
      <c r="E182" s="2" t="s">
        <v>29</v>
      </c>
      <c r="F182" s="1" t="s">
        <v>44</v>
      </c>
      <c r="G182" s="1" t="s">
        <v>72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2" s="2">
        <f>Games[[#This Row],[DaysOff]]-Games[[#This Row],[OppDaysOff]]</f>
        <v>-2</v>
      </c>
      <c r="L182" s="2">
        <f>Games[[#This Row],[OppDaysOff]]-Games[[#This Row],[DaysOff]]</f>
        <v>2</v>
      </c>
      <c r="M182" s="1">
        <f>MAX(-16, MIN(16, Games[[#This Row],[RestDiff]]*8))</f>
        <v>-16</v>
      </c>
      <c r="N182" s="1">
        <f>MAX(-16, MIN(16, Games[[#This Row],[OppRestDiff]]*8))</f>
        <v>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1528.9272632784682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1469.3653415607407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0.41948601738114716</v>
      </c>
      <c r="R182" s="1">
        <v>98</v>
      </c>
      <c r="S182" s="1">
        <v>90</v>
      </c>
      <c r="T182" s="1">
        <v>0</v>
      </c>
      <c r="U182" s="1">
        <f>Games[[#This Row],[PointsFor]]-Games[[#This Row],[PointsAgainst]]</f>
        <v>8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0.36995294472551876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74.2</v>
      </c>
      <c r="Z182" s="4">
        <f>Games[[#This Row],[K]]*Games[[#This Row],[POMult]]</f>
        <v>74.2</v>
      </c>
      <c r="AA182" s="4">
        <f>(Games[[#This Row],[Keff]]*Games[[#This Row],[MOVMult]])*(Games[[#This Row],[Result]]-Games[[#This Row],[ExpectedWin%]])</f>
        <v>15.935404013454393</v>
      </c>
      <c r="AB182" s="4">
        <f>Games[[#This Row],[PreGmRate]]+Games[[#This Row],[RatingChange]]</f>
        <v>1544.8626672919227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39623</v>
      </c>
      <c r="B183" s="2">
        <v>2008</v>
      </c>
      <c r="C183" s="2">
        <f>COUNTIFS(Games[Team],Games[[#This Row],[Team]],Games[Season],Games[[#This Row],[Season]],Games[Date],"&lt;=" &amp; Games[[#This Row],[Date]])</f>
        <v>13</v>
      </c>
      <c r="D183" s="2" t="s">
        <v>23</v>
      </c>
      <c r="E183" s="2" t="s">
        <v>29</v>
      </c>
      <c r="F183" s="1" t="s">
        <v>72</v>
      </c>
      <c r="G183" s="1" t="s">
        <v>44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2</v>
      </c>
      <c r="L183" s="2">
        <f>Games[[#This Row],[OppDaysOff]]-Games[[#This Row],[DaysOff]]</f>
        <v>-2</v>
      </c>
      <c r="M183" s="1">
        <f>MAX(-16, MIN(16, Games[[#This Row],[RestDiff]]*8))</f>
        <v>16</v>
      </c>
      <c r="N183" s="1">
        <f>MAX(-16, MIN(16, Games[[#This Row],[OppRestDiff]]*8))</f>
        <v>-16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1469.3653415607407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1528.9272632784682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0.58051398261885279</v>
      </c>
      <c r="R183" s="1">
        <v>90</v>
      </c>
      <c r="S183" s="1">
        <v>98</v>
      </c>
      <c r="T183" s="1">
        <v>0</v>
      </c>
      <c r="U183" s="1">
        <f>Games[[#This Row],[PointsFor]]-Games[[#This Row],[PointsAgainst]]</f>
        <v>-8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0.36995294472551876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74.05</v>
      </c>
      <c r="Z183" s="4">
        <f>Games[[#This Row],[K]]*Games[[#This Row],[POMult]]</f>
        <v>74.05</v>
      </c>
      <c r="AA183" s="4">
        <f>(Games[[#This Row],[Keff]]*Games[[#This Row],[MOVMult]])*(Games[[#This Row],[Result]]-Games[[#This Row],[ExpectedWin%]])</f>
        <v>-15.903189584855765</v>
      </c>
      <c r="AB183" s="4">
        <f>Games[[#This Row],[PreGmRate]]+Games[[#This Row],[RatingChange]]</f>
        <v>1453.462151975885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39625</v>
      </c>
      <c r="B184" s="2">
        <v>2008</v>
      </c>
      <c r="C184" s="2">
        <f>COUNTIFS(Games[Team],Games[[#This Row],[Team]],Games[Season],Games[[#This Row],[Season]],Games[Date],"&lt;=" &amp; Games[[#This Row],[Date]])</f>
        <v>13</v>
      </c>
      <c r="D184" s="2" t="s">
        <v>23</v>
      </c>
      <c r="E184" s="2" t="s">
        <v>29</v>
      </c>
      <c r="F184" s="1" t="s">
        <v>44</v>
      </c>
      <c r="G184" s="1" t="s">
        <v>86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4" s="2">
        <f>Games[[#This Row],[DaysOff]]-Games[[#This Row],[OppDaysOff]]</f>
        <v>-2</v>
      </c>
      <c r="L184" s="2">
        <f>Games[[#This Row],[OppDaysOff]]-Games[[#This Row],[DaysOff]]</f>
        <v>2</v>
      </c>
      <c r="M184" s="1">
        <f>MAX(-16, MIN(16, Games[[#This Row],[RestDiff]]*8))</f>
        <v>-16</v>
      </c>
      <c r="N184" s="1">
        <f>MAX(-16, MIN(16, Games[[#This Row],[OppRestDiff]]*8))</f>
        <v>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1544.8626672919227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1420.1791786178178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0.51249394337736531</v>
      </c>
      <c r="R184" s="1">
        <v>89</v>
      </c>
      <c r="S184" s="1">
        <v>79</v>
      </c>
      <c r="T184" s="1">
        <v>0</v>
      </c>
      <c r="U184" s="1">
        <f>Games[[#This Row],[PointsFor]]-Games[[#This Row],[PointsAgainst]]</f>
        <v>10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0.38330336532461867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74.05</v>
      </c>
      <c r="Z184" s="4">
        <f>Games[[#This Row],[K]]*Games[[#This Row],[POMult]]</f>
        <v>74.05</v>
      </c>
      <c r="AA184" s="4">
        <f>(Games[[#This Row],[Keff]]*Games[[#This Row],[MOVMult]])*(Games[[#This Row],[Result]]-Games[[#This Row],[ExpectedWin%]])</f>
        <v>13.837183832455638</v>
      </c>
      <c r="AB184" s="4">
        <f>Games[[#This Row],[PreGmRate]]+Games[[#This Row],[RatingChange]]</f>
        <v>1558.6998511243783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39625</v>
      </c>
      <c r="B185" s="2">
        <v>2008</v>
      </c>
      <c r="C185" s="2">
        <f>COUNTIFS(Games[Team],Games[[#This Row],[Team]],Games[Season],Games[[#This Row],[Season]],Games[Date],"&lt;=" &amp; Games[[#This Row],[Date]])</f>
        <v>12</v>
      </c>
      <c r="D185" s="2" t="s">
        <v>23</v>
      </c>
      <c r="E185" s="2" t="s">
        <v>29</v>
      </c>
      <c r="F185" s="1" t="s">
        <v>86</v>
      </c>
      <c r="G185" s="1" t="s">
        <v>44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2</v>
      </c>
      <c r="L185" s="2">
        <f>Games[[#This Row],[OppDaysOff]]-Games[[#This Row],[DaysOff]]</f>
        <v>-2</v>
      </c>
      <c r="M185" s="1">
        <f>MAX(-16, MIN(16, Games[[#This Row],[RestDiff]]*8))</f>
        <v>16</v>
      </c>
      <c r="N185" s="1">
        <f>MAX(-16, MIN(16, Games[[#This Row],[OppRestDiff]]*8))</f>
        <v>-16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1420.1791786178178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1544.8626672919227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0.48750605662263469</v>
      </c>
      <c r="R185" s="1">
        <v>79</v>
      </c>
      <c r="S185" s="1">
        <v>89</v>
      </c>
      <c r="T185" s="1">
        <v>0</v>
      </c>
      <c r="U185" s="1">
        <f>Games[[#This Row],[PointsFor]]-Games[[#This Row],[PointsAgainst]]</f>
        <v>-10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0.38330336532461867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74.2</v>
      </c>
      <c r="Z185" s="4">
        <f>Games[[#This Row],[K]]*Games[[#This Row],[POMult]]</f>
        <v>74.2</v>
      </c>
      <c r="AA185" s="4">
        <f>(Games[[#This Row],[Keff]]*Games[[#This Row],[MOVMult]])*(Games[[#This Row],[Result]]-Games[[#This Row],[ExpectedWin%]])</f>
        <v>-13.865213239273578</v>
      </c>
      <c r="AB185" s="4">
        <f>Games[[#This Row],[PreGmRate]]+Games[[#This Row],[RatingChange]]</f>
        <v>1406.3139653785443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39625</v>
      </c>
      <c r="B186" s="2">
        <v>2008</v>
      </c>
      <c r="C186" s="2">
        <f>COUNTIFS(Games[Team],Games[[#This Row],[Team]],Games[Season],Games[[#This Row],[Season]],Games[Date],"&lt;=" &amp; Games[[#This Row],[Date]])</f>
        <v>15</v>
      </c>
      <c r="D186" s="2" t="s">
        <v>23</v>
      </c>
      <c r="E186" s="2" t="s">
        <v>29</v>
      </c>
      <c r="F186" s="1" t="s">
        <v>85</v>
      </c>
      <c r="G186" s="1" t="s">
        <v>74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1609.9753995427989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1610.8897383437338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0.38017483041899813</v>
      </c>
      <c r="R186" s="1">
        <v>61</v>
      </c>
      <c r="S186" s="1">
        <v>70</v>
      </c>
      <c r="T186" s="1">
        <v>0</v>
      </c>
      <c r="U186" s="1">
        <f>Games[[#This Row],[PointsFor]]-Games[[#This Row],[PointsAgainst]]</f>
        <v>-9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0.40566243306171784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-11.373920193874012</v>
      </c>
      <c r="AB186" s="4">
        <f>Games[[#This Row],[PreGmRate]]+Games[[#This Row],[RatingChange]]</f>
        <v>1598.6014793489248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39625</v>
      </c>
      <c r="B187" s="2">
        <v>2008</v>
      </c>
      <c r="C187" s="2">
        <f>COUNTIFS(Games[Team],Games[[#This Row],[Team]],Games[Season],Games[[#This Row],[Season]],Games[Date],"&lt;=" &amp; Games[[#This Row],[Date]])</f>
        <v>15</v>
      </c>
      <c r="D187" s="2" t="s">
        <v>23</v>
      </c>
      <c r="E187" s="2" t="s">
        <v>29</v>
      </c>
      <c r="F187" s="1" t="s">
        <v>74</v>
      </c>
      <c r="G187" s="1" t="s">
        <v>85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1610.8897383437338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1609.9753995427989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0.61982516958100198</v>
      </c>
      <c r="R187" s="1">
        <v>70</v>
      </c>
      <c r="S187" s="1">
        <v>61</v>
      </c>
      <c r="T187" s="1">
        <v>0</v>
      </c>
      <c r="U187" s="1">
        <f>Games[[#This Row],[PointsFor]]-Games[[#This Row],[PointsAgainst]]</f>
        <v>9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0.40566243306171784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11.373920193874008</v>
      </c>
      <c r="AB187" s="4">
        <f>Games[[#This Row],[PreGmRate]]+Games[[#This Row],[RatingChange]]</f>
        <v>1622.2636585376079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39625</v>
      </c>
      <c r="B188" s="2">
        <v>2008</v>
      </c>
      <c r="C188" s="2">
        <f>COUNTIFS(Games[Team],Games[[#This Row],[Team]],Games[Season],Games[[#This Row],[Season]],Games[Date],"&lt;=" &amp; Games[[#This Row],[Date]])</f>
        <v>14</v>
      </c>
      <c r="D188" s="2" t="s">
        <v>23</v>
      </c>
      <c r="E188" s="2" t="s">
        <v>29</v>
      </c>
      <c r="F188" s="1" t="s">
        <v>83</v>
      </c>
      <c r="G188" s="1" t="s">
        <v>2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1544.7472023391342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1463.0439178233992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0.49669480887067058</v>
      </c>
      <c r="R188" s="1">
        <v>71</v>
      </c>
      <c r="S188" s="1">
        <v>77</v>
      </c>
      <c r="T188" s="1">
        <v>0</v>
      </c>
      <c r="U188" s="1">
        <f>Games[[#This Row],[PointsFor]]-Games[[#This Row],[PointsAgainst]]</f>
        <v>-6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0.32888806512535307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73.900000000000006</v>
      </c>
      <c r="Z188" s="4">
        <f>Games[[#This Row],[K]]*Games[[#This Row],[POMult]]</f>
        <v>73.900000000000006</v>
      </c>
      <c r="AA188" s="4">
        <f>(Games[[#This Row],[Keff]]*Games[[#This Row],[MOVMult]])*(Games[[#This Row],[Result]]-Games[[#This Row],[ExpectedWin%]])</f>
        <v>-12.072081904434134</v>
      </c>
      <c r="AB188" s="4">
        <f>Games[[#This Row],[PreGmRate]]+Games[[#This Row],[RatingChange]]</f>
        <v>1532.6751204347001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39625</v>
      </c>
      <c r="B189" s="2">
        <v>2008</v>
      </c>
      <c r="C189" s="2">
        <f>COUNTIFS(Games[Team],Games[[#This Row],[Team]],Games[Season],Games[[#This Row],[Season]],Games[Date],"&lt;=" &amp; Games[[#This Row],[Date]])</f>
        <v>14</v>
      </c>
      <c r="D189" s="2" t="s">
        <v>23</v>
      </c>
      <c r="E189" s="2" t="s">
        <v>29</v>
      </c>
      <c r="F189" s="1" t="s">
        <v>2</v>
      </c>
      <c r="G189" s="1" t="s">
        <v>83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1463.0439178233992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1544.7472023391342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0.50330519112932937</v>
      </c>
      <c r="R189" s="1">
        <v>77</v>
      </c>
      <c r="S189" s="1">
        <v>71</v>
      </c>
      <c r="T189" s="1">
        <v>0</v>
      </c>
      <c r="U189" s="1">
        <f>Games[[#This Row],[PointsFor]]-Games[[#This Row],[PointsAgainst]]</f>
        <v>6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0.32888806512535307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73.900000000000006</v>
      </c>
      <c r="Z189" s="4">
        <f>Games[[#This Row],[K]]*Games[[#This Row],[POMult]]</f>
        <v>73.900000000000006</v>
      </c>
      <c r="AA189" s="4">
        <f>(Games[[#This Row],[Keff]]*Games[[#This Row],[MOVMult]])*(Games[[#This Row],[Result]]-Games[[#This Row],[ExpectedWin%]])</f>
        <v>12.072081904434135</v>
      </c>
      <c r="AB189" s="4">
        <f>Games[[#This Row],[PreGmRate]]+Games[[#This Row],[RatingChange]]</f>
        <v>1475.1159997278332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39625</v>
      </c>
      <c r="B190" s="2">
        <v>2008</v>
      </c>
      <c r="C190" s="2">
        <f>COUNTIFS(Games[Team],Games[[#This Row],[Team]],Games[Season],Games[[#This Row],[Season]],Games[Date],"&lt;=" &amp; Games[[#This Row],[Date]])</f>
        <v>14</v>
      </c>
      <c r="D190" s="2" t="s">
        <v>23</v>
      </c>
      <c r="E190" s="2" t="s">
        <v>29</v>
      </c>
      <c r="F190" s="1" t="s">
        <v>72</v>
      </c>
      <c r="G190" s="1" t="s">
        <v>69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1453.462151975885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1561.0857359877796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0.24916435885753649</v>
      </c>
      <c r="R190" s="1">
        <v>77</v>
      </c>
      <c r="S190" s="1">
        <v>74</v>
      </c>
      <c r="T190" s="1">
        <v>1</v>
      </c>
      <c r="U190" s="1">
        <f>Games[[#This Row],[PointsFor]]-Games[[#This Row],[PointsAgainst]]</f>
        <v>3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0.23967004466612155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73.900000000000006</v>
      </c>
      <c r="Z190" s="4">
        <f>Games[[#This Row],[K]]*Games[[#This Row],[POMult]]</f>
        <v>73.900000000000006</v>
      </c>
      <c r="AA190" s="4">
        <f>(Games[[#This Row],[Keff]]*Games[[#This Row],[MOVMult]])*(Games[[#This Row],[Result]]-Games[[#This Row],[ExpectedWin%]])</f>
        <v>13.298512780900284</v>
      </c>
      <c r="AB190" s="4">
        <f>Games[[#This Row],[PreGmRate]]+Games[[#This Row],[RatingChange]]</f>
        <v>1466.7606647567852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39625</v>
      </c>
      <c r="B191" s="2">
        <v>2008</v>
      </c>
      <c r="C191" s="2">
        <f>COUNTIFS(Games[Team],Games[[#This Row],[Team]],Games[Season],Games[[#This Row],[Season]],Games[Date],"&lt;=" &amp; Games[[#This Row],[Date]])</f>
        <v>14</v>
      </c>
      <c r="D191" s="2" t="s">
        <v>23</v>
      </c>
      <c r="E191" s="2" t="s">
        <v>29</v>
      </c>
      <c r="F191" s="1" t="s">
        <v>69</v>
      </c>
      <c r="G191" s="1" t="s">
        <v>72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1561.0857359877796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1453.462151975885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0.75083564114246348</v>
      </c>
      <c r="R191" s="1">
        <v>74</v>
      </c>
      <c r="S191" s="1">
        <v>77</v>
      </c>
      <c r="T191" s="1">
        <v>1</v>
      </c>
      <c r="U191" s="1">
        <f>Games[[#This Row],[PointsFor]]-Games[[#This Row],[PointsAgainst]]</f>
        <v>-3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0.23967004466612155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73.900000000000006</v>
      </c>
      <c r="Z191" s="4">
        <f>Games[[#This Row],[K]]*Games[[#This Row],[POMult]]</f>
        <v>73.900000000000006</v>
      </c>
      <c r="AA191" s="4">
        <f>(Games[[#This Row],[Keff]]*Games[[#This Row],[MOVMult]])*(Games[[#This Row],[Result]]-Games[[#This Row],[ExpectedWin%]])</f>
        <v>-13.298512780900284</v>
      </c>
      <c r="AB191" s="4">
        <f>Games[[#This Row],[PreGmRate]]+Games[[#This Row],[RatingChange]]</f>
        <v>1547.7872232068794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39625</v>
      </c>
      <c r="B192" s="2">
        <v>2008</v>
      </c>
      <c r="C192" s="2">
        <f>COUNTIFS(Games[Team],Games[[#This Row],[Team]],Games[Season],Games[[#This Row],[Season]],Games[Date],"&lt;=" &amp; Games[[#This Row],[Date]])</f>
        <v>14</v>
      </c>
      <c r="D192" s="2" t="s">
        <v>23</v>
      </c>
      <c r="E192" s="2" t="s">
        <v>29</v>
      </c>
      <c r="F192" s="1" t="s">
        <v>45</v>
      </c>
      <c r="G192" s="1" t="s">
        <v>76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1484.4955871658651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1486.5750723616288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0.37859562639980787</v>
      </c>
      <c r="R192" s="1">
        <v>76</v>
      </c>
      <c r="S192" s="1">
        <v>80</v>
      </c>
      <c r="T192" s="1">
        <v>0</v>
      </c>
      <c r="U192" s="1">
        <f>Games[[#This Row],[PointsFor]]-Games[[#This Row],[PointsAgainst]]</f>
        <v>-4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0.31089398537052104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73.900000000000006</v>
      </c>
      <c r="Z192" s="4">
        <f>Games[[#This Row],[K]]*Games[[#This Row],[POMult]]</f>
        <v>73.900000000000006</v>
      </c>
      <c r="AA192" s="4">
        <f>(Games[[#This Row],[Keff]]*Games[[#This Row],[MOVMult]])*(Games[[#This Row],[Result]]-Games[[#This Row],[ExpectedWin%]])</f>
        <v>-8.6982593216975719</v>
      </c>
      <c r="AB192" s="4">
        <f>Games[[#This Row],[PreGmRate]]+Games[[#This Row],[RatingChange]]</f>
        <v>1475.7973278441675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39625</v>
      </c>
      <c r="B193" s="2">
        <v>2008</v>
      </c>
      <c r="C193" s="2">
        <f>COUNTIFS(Games[Team],Games[[#This Row],[Team]],Games[Season],Games[[#This Row],[Season]],Games[Date],"&lt;=" &amp; Games[[#This Row],[Date]])</f>
        <v>14</v>
      </c>
      <c r="D193" s="2" t="s">
        <v>23</v>
      </c>
      <c r="E193" s="2" t="s">
        <v>29</v>
      </c>
      <c r="F193" s="1" t="s">
        <v>76</v>
      </c>
      <c r="G193" s="1" t="s">
        <v>45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1486.5750723616288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1484.4955871658651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0.62140437360019207</v>
      </c>
      <c r="R193" s="1">
        <v>80</v>
      </c>
      <c r="S193" s="1">
        <v>76</v>
      </c>
      <c r="T193" s="1">
        <v>0</v>
      </c>
      <c r="U193" s="1">
        <f>Games[[#This Row],[PointsFor]]-Games[[#This Row],[PointsAgainst]]</f>
        <v>4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0.31089398537052104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73.900000000000006</v>
      </c>
      <c r="Z193" s="4">
        <f>Games[[#This Row],[K]]*Games[[#This Row],[POMult]]</f>
        <v>73.900000000000006</v>
      </c>
      <c r="AA193" s="4">
        <f>(Games[[#This Row],[Keff]]*Games[[#This Row],[MOVMult]])*(Games[[#This Row],[Result]]-Games[[#This Row],[ExpectedWin%]])</f>
        <v>8.6982593216975719</v>
      </c>
      <c r="AB193" s="4">
        <f>Games[[#This Row],[PreGmRate]]+Games[[#This Row],[RatingChange]]</f>
        <v>1495.2733316833264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39625</v>
      </c>
      <c r="B194" s="2">
        <v>2008</v>
      </c>
      <c r="C194" s="2">
        <f>COUNTIFS(Games[Team],Games[[#This Row],[Team]],Games[Season],Games[[#This Row],[Season]],Games[Date],"&lt;=" &amp; Games[[#This Row],[Date]])</f>
        <v>14</v>
      </c>
      <c r="D194" s="2" t="s">
        <v>23</v>
      </c>
      <c r="E194" s="2" t="s">
        <v>29</v>
      </c>
      <c r="F194" s="1" t="s">
        <v>78</v>
      </c>
      <c r="G194" s="1" t="s">
        <v>66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1530.1309949232293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1484.6583986849448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0.44478076302069208</v>
      </c>
      <c r="R194" s="1">
        <v>96</v>
      </c>
      <c r="S194" s="1">
        <v>102</v>
      </c>
      <c r="T194" s="1">
        <v>1</v>
      </c>
      <c r="U194" s="1">
        <f>Games[[#This Row],[PointsFor]]-Games[[#This Row],[PointsAgainst]]</f>
        <v>-6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0.30460985101087457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73.900000000000006</v>
      </c>
      <c r="Z194" s="4">
        <f>Games[[#This Row],[K]]*Games[[#This Row],[POMult]]</f>
        <v>73.900000000000006</v>
      </c>
      <c r="AA194" s="4">
        <f>(Games[[#This Row],[Keff]]*Games[[#This Row],[MOVMult]])*(Games[[#This Row],[Result]]-Games[[#This Row],[ExpectedWin%]])</f>
        <v>-10.012312084565849</v>
      </c>
      <c r="AB194" s="4">
        <f>Games[[#This Row],[PreGmRate]]+Games[[#This Row],[RatingChange]]</f>
        <v>1520.1186828386635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39625</v>
      </c>
      <c r="B195" s="2">
        <v>2008</v>
      </c>
      <c r="C195" s="2">
        <f>COUNTIFS(Games[Team],Games[[#This Row],[Team]],Games[Season],Games[[#This Row],[Season]],Games[Date],"&lt;=" &amp; Games[[#This Row],[Date]])</f>
        <v>13</v>
      </c>
      <c r="D195" s="2" t="s">
        <v>23</v>
      </c>
      <c r="E195" s="2" t="s">
        <v>29</v>
      </c>
      <c r="F195" s="1" t="s">
        <v>66</v>
      </c>
      <c r="G195" s="1" t="s">
        <v>78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1484.6583986849448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1530.1309949232293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0.55521923697930786</v>
      </c>
      <c r="R195" s="1">
        <v>102</v>
      </c>
      <c r="S195" s="1">
        <v>96</v>
      </c>
      <c r="T195" s="1">
        <v>1</v>
      </c>
      <c r="U195" s="1">
        <f>Games[[#This Row],[PointsFor]]-Games[[#This Row],[PointsAgainst]]</f>
        <v>6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0.30460985101087457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74.05</v>
      </c>
      <c r="Z195" s="4">
        <f>Games[[#This Row],[K]]*Games[[#This Row],[POMult]]</f>
        <v>74.05</v>
      </c>
      <c r="AA195" s="4">
        <f>(Games[[#This Row],[Keff]]*Games[[#This Row],[MOVMult]])*(Games[[#This Row],[Result]]-Games[[#This Row],[ExpectedWin%]])</f>
        <v>10.032634774859286</v>
      </c>
      <c r="AB195" s="4">
        <f>Games[[#This Row],[PreGmRate]]+Games[[#This Row],[RatingChange]]</f>
        <v>1494.6910334598042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39626</v>
      </c>
      <c r="B196" s="2">
        <v>2008</v>
      </c>
      <c r="C196" s="2">
        <f>COUNTIFS(Games[Team],Games[[#This Row],[Team]],Games[Season],Games[[#This Row],[Season]],Games[Date],"&lt;=" &amp; Games[[#This Row],[Date]])</f>
        <v>14</v>
      </c>
      <c r="D196" s="2" t="s">
        <v>23</v>
      </c>
      <c r="E196" s="2" t="s">
        <v>29</v>
      </c>
      <c r="F196" s="1" t="s">
        <v>88</v>
      </c>
      <c r="G196" s="1" t="s">
        <v>85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6" s="2">
        <f>Games[[#This Row],[DaysOff]]-Games[[#This Row],[OppDaysOff]]</f>
        <v>4</v>
      </c>
      <c r="L196" s="2">
        <f>Games[[#This Row],[OppDaysOff]]-Games[[#This Row],[DaysOff]]</f>
        <v>-4</v>
      </c>
      <c r="M196" s="1">
        <f>MAX(-16, MIN(16, Games[[#This Row],[RestDiff]]*8))</f>
        <v>16</v>
      </c>
      <c r="N196" s="1">
        <f>MAX(-16, MIN(16, Games[[#This Row],[OppRestDiff]]*8))</f>
        <v>-16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1326.9675640795556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1598.6014793489248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0.13435532227684488</v>
      </c>
      <c r="R196" s="1">
        <v>101</v>
      </c>
      <c r="S196" s="1">
        <v>109</v>
      </c>
      <c r="T196" s="1">
        <v>1</v>
      </c>
      <c r="U196" s="1">
        <f>Games[[#This Row],[PointsFor]]-Games[[#This Row],[PointsAgainst]]</f>
        <v>-8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0.28497629298417065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73.900000000000006</v>
      </c>
      <c r="Z196" s="4">
        <f>Games[[#This Row],[K]]*Games[[#This Row],[POMult]]</f>
        <v>73.900000000000006</v>
      </c>
      <c r="AA196" s="4">
        <f>(Games[[#This Row],[Keff]]*Games[[#This Row],[MOVMult]])*(Games[[#This Row],[Result]]-Games[[#This Row],[ExpectedWin%]])</f>
        <v>-2.8294892365324977</v>
      </c>
      <c r="AB196" s="4">
        <f>Games[[#This Row],[PreGmRate]]+Games[[#This Row],[RatingChange]]</f>
        <v>1324.1380748430231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39626</v>
      </c>
      <c r="B197" s="2">
        <v>2008</v>
      </c>
      <c r="C197" s="2">
        <f>COUNTIFS(Games[Team],Games[[#This Row],[Team]],Games[Season],Games[[#This Row],[Season]],Games[Date],"&lt;=" &amp; Games[[#This Row],[Date]])</f>
        <v>16</v>
      </c>
      <c r="D197" s="2" t="s">
        <v>23</v>
      </c>
      <c r="E197" s="2" t="s">
        <v>29</v>
      </c>
      <c r="F197" s="1" t="s">
        <v>85</v>
      </c>
      <c r="G197" s="1" t="s">
        <v>88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97" s="2">
        <f>Games[[#This Row],[DaysOff]]-Games[[#This Row],[OppDaysOff]]</f>
        <v>-4</v>
      </c>
      <c r="L197" s="2">
        <f>Games[[#This Row],[OppDaysOff]]-Games[[#This Row],[DaysOff]]</f>
        <v>4</v>
      </c>
      <c r="M197" s="1">
        <f>MAX(-16, MIN(16, Games[[#This Row],[RestDiff]]*8))</f>
        <v>-16</v>
      </c>
      <c r="N197" s="1">
        <f>MAX(-16, MIN(16, Games[[#This Row],[OppRestDiff]]*8))</f>
        <v>16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1598.6014793489248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1326.9675640795556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0.86564467772315501</v>
      </c>
      <c r="R197" s="1">
        <v>109</v>
      </c>
      <c r="S197" s="1">
        <v>101</v>
      </c>
      <c r="T197" s="1">
        <v>1</v>
      </c>
      <c r="U197" s="1">
        <f>Games[[#This Row],[PointsFor]]-Games[[#This Row],[PointsAgainst]]</f>
        <v>8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0.28497629298417065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73.599999999999994</v>
      </c>
      <c r="Z197" s="4">
        <f>Games[[#This Row],[K]]*Games[[#This Row],[POMult]]</f>
        <v>73.599999999999994</v>
      </c>
      <c r="AA197" s="4">
        <f>(Games[[#This Row],[Keff]]*Games[[#This Row],[MOVMult]])*(Games[[#This Row],[Result]]-Games[[#This Row],[ExpectedWin%]])</f>
        <v>2.8180028120269549</v>
      </c>
      <c r="AB197" s="4">
        <f>Games[[#This Row],[PreGmRate]]+Games[[#This Row],[RatingChange]]</f>
        <v>1601.4194821609517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39627</v>
      </c>
      <c r="B198" s="2">
        <v>2008</v>
      </c>
      <c r="C198" s="2">
        <f>COUNTIFS(Games[Team],Games[[#This Row],[Team]],Games[Season],Games[[#This Row],[Season]],Games[Date],"&lt;=" &amp; Games[[#This Row],[Date]])</f>
        <v>16</v>
      </c>
      <c r="D198" s="2" t="s">
        <v>23</v>
      </c>
      <c r="E198" s="2" t="s">
        <v>29</v>
      </c>
      <c r="F198" s="1" t="s">
        <v>74</v>
      </c>
      <c r="G198" s="1" t="s">
        <v>86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1622.2636585376079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1406.3139653785443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0.68125895550988935</v>
      </c>
      <c r="R198" s="1">
        <v>59</v>
      </c>
      <c r="S198" s="1">
        <v>76</v>
      </c>
      <c r="T198" s="1">
        <v>0</v>
      </c>
      <c r="U198" s="1">
        <f>Games[[#This Row],[PointsFor]]-Games[[#This Row],[PointsAgainst]]</f>
        <v>-17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0.45123812377324424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73.599999999999994</v>
      </c>
      <c r="Z198" s="4">
        <f>Games[[#This Row],[K]]*Games[[#This Row],[POMult]]</f>
        <v>73.599999999999994</v>
      </c>
      <c r="AA198" s="4">
        <f>(Games[[#This Row],[Keff]]*Games[[#This Row],[MOVMult]])*(Games[[#This Row],[Result]]-Games[[#This Row],[ExpectedWin%]])</f>
        <v>-22.625376948556987</v>
      </c>
      <c r="AB198" s="4">
        <f>Games[[#This Row],[PreGmRate]]+Games[[#This Row],[RatingChange]]</f>
        <v>1599.6382815890508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39627</v>
      </c>
      <c r="B199" s="2">
        <v>2008</v>
      </c>
      <c r="C199" s="2">
        <f>COUNTIFS(Games[Team],Games[[#This Row],[Team]],Games[Season],Games[[#This Row],[Season]],Games[Date],"&lt;=" &amp; Games[[#This Row],[Date]])</f>
        <v>13</v>
      </c>
      <c r="D199" s="2" t="s">
        <v>23</v>
      </c>
      <c r="E199" s="2" t="s">
        <v>29</v>
      </c>
      <c r="F199" s="1" t="s">
        <v>86</v>
      </c>
      <c r="G199" s="1" t="s">
        <v>74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1406.3139653785443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1622.2636585376079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0.31874104449011065</v>
      </c>
      <c r="R199" s="1">
        <v>76</v>
      </c>
      <c r="S199" s="1">
        <v>59</v>
      </c>
      <c r="T199" s="1">
        <v>0</v>
      </c>
      <c r="U199" s="1">
        <f>Games[[#This Row],[PointsFor]]-Games[[#This Row],[PointsAgainst]]</f>
        <v>17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0.45123812377324424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74.05</v>
      </c>
      <c r="Z199" s="4">
        <f>Games[[#This Row],[K]]*Games[[#This Row],[POMult]]</f>
        <v>74.05</v>
      </c>
      <c r="AA199" s="4">
        <f>(Games[[#This Row],[Keff]]*Games[[#This Row],[MOVMult]])*(Games[[#This Row],[Result]]-Games[[#This Row],[ExpectedWin%]])</f>
        <v>22.763711454356589</v>
      </c>
      <c r="AB199" s="4">
        <f>Games[[#This Row],[PreGmRate]]+Games[[#This Row],[RatingChange]]</f>
        <v>1429.0776768329008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39627</v>
      </c>
      <c r="B200" s="2">
        <v>2008</v>
      </c>
      <c r="C200" s="2">
        <f>COUNTIFS(Games[Team],Games[[#This Row],[Team]],Games[Season],Games[[#This Row],[Season]],Games[Date],"&lt;=" &amp; Games[[#This Row],[Date]])</f>
        <v>15</v>
      </c>
      <c r="D200" s="2" t="s">
        <v>23</v>
      </c>
      <c r="E200" s="2" t="s">
        <v>29</v>
      </c>
      <c r="F200" s="1" t="s">
        <v>78</v>
      </c>
      <c r="G200" s="1" t="s">
        <v>2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1520.1186828386635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1475.1159997278332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0.44411285194551936</v>
      </c>
      <c r="R200" s="1">
        <v>61</v>
      </c>
      <c r="S200" s="1">
        <v>75</v>
      </c>
      <c r="T200" s="1">
        <v>0</v>
      </c>
      <c r="U200" s="1">
        <f>Games[[#This Row],[PointsFor]]-Games[[#This Row],[PointsAgainst]]</f>
        <v>-14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0.46998270138573922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73.75</v>
      </c>
      <c r="Z200" s="4">
        <f>Games[[#This Row],[K]]*Games[[#This Row],[POMult]]</f>
        <v>73.75</v>
      </c>
      <c r="AA200" s="4">
        <f>(Games[[#This Row],[Keff]]*Games[[#This Row],[MOVMult]])*(Games[[#This Row],[Result]]-Games[[#This Row],[ExpectedWin%]])</f>
        <v>-15.393495143464152</v>
      </c>
      <c r="AB200" s="4">
        <f>Games[[#This Row],[PreGmRate]]+Games[[#This Row],[RatingChange]]</f>
        <v>1504.7251876951993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39627</v>
      </c>
      <c r="B201" s="2">
        <v>2008</v>
      </c>
      <c r="C201" s="2">
        <f>COUNTIFS(Games[Team],Games[[#This Row],[Team]],Games[Season],Games[[#This Row],[Season]],Games[Date],"&lt;=" &amp; Games[[#This Row],[Date]])</f>
        <v>15</v>
      </c>
      <c r="D201" s="2" t="s">
        <v>23</v>
      </c>
      <c r="E201" s="2" t="s">
        <v>29</v>
      </c>
      <c r="F201" s="1" t="s">
        <v>2</v>
      </c>
      <c r="G201" s="1" t="s">
        <v>78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1475.1159997278332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1520.1186828386635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0.55588714805448058</v>
      </c>
      <c r="R201" s="1">
        <v>75</v>
      </c>
      <c r="S201" s="1">
        <v>61</v>
      </c>
      <c r="T201" s="1">
        <v>0</v>
      </c>
      <c r="U201" s="1">
        <f>Games[[#This Row],[PointsFor]]-Games[[#This Row],[PointsAgainst]]</f>
        <v>14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0.46998270138573922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73.75</v>
      </c>
      <c r="Z201" s="4">
        <f>Games[[#This Row],[K]]*Games[[#This Row],[POMult]]</f>
        <v>73.75</v>
      </c>
      <c r="AA201" s="4">
        <f>(Games[[#This Row],[Keff]]*Games[[#This Row],[MOVMult]])*(Games[[#This Row],[Result]]-Games[[#This Row],[ExpectedWin%]])</f>
        <v>15.393495143464156</v>
      </c>
      <c r="AB201" s="4">
        <f>Games[[#This Row],[PreGmRate]]+Games[[#This Row],[RatingChange]]</f>
        <v>1490.5094948712974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39627</v>
      </c>
      <c r="B202" s="2">
        <v>2008</v>
      </c>
      <c r="C202" s="2">
        <f>COUNTIFS(Games[Team],Games[[#This Row],[Team]],Games[Season],Games[[#This Row],[Season]],Games[Date],"&lt;=" &amp; Games[[#This Row],[Date]])</f>
        <v>14</v>
      </c>
      <c r="D202" s="2" t="s">
        <v>23</v>
      </c>
      <c r="E202" s="2" t="s">
        <v>29</v>
      </c>
      <c r="F202" s="1" t="s">
        <v>66</v>
      </c>
      <c r="G202" s="1" t="s">
        <v>45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1494.6910334598042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1475.7973278441675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0.40738603943644613</v>
      </c>
      <c r="R202" s="1">
        <v>78</v>
      </c>
      <c r="S202" s="1">
        <v>82</v>
      </c>
      <c r="T202" s="1">
        <v>0</v>
      </c>
      <c r="U202" s="1">
        <f>Games[[#This Row],[PointsFor]]-Games[[#This Row],[PointsAgainst]]</f>
        <v>-4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0.30660530952196335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73.900000000000006</v>
      </c>
      <c r="Z202" s="4">
        <f>Games[[#This Row],[K]]*Games[[#This Row],[POMult]]</f>
        <v>73.900000000000006</v>
      </c>
      <c r="AA202" s="4">
        <f>(Games[[#This Row],[Keff]]*Games[[#This Row],[MOVMult]])*(Games[[#This Row],[Result]]-Games[[#This Row],[ExpectedWin%]])</f>
        <v>-9.230606808737404</v>
      </c>
      <c r="AB202" s="4">
        <f>Games[[#This Row],[PreGmRate]]+Games[[#This Row],[RatingChange]]</f>
        <v>1485.4604266510669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39627</v>
      </c>
      <c r="B203" s="2">
        <v>2008</v>
      </c>
      <c r="C203" s="2">
        <f>COUNTIFS(Games[Team],Games[[#This Row],[Team]],Games[Season],Games[[#This Row],[Season]],Games[Date],"&lt;=" &amp; Games[[#This Row],[Date]])</f>
        <v>15</v>
      </c>
      <c r="D203" s="2" t="s">
        <v>23</v>
      </c>
      <c r="E203" s="2" t="s">
        <v>29</v>
      </c>
      <c r="F203" s="1" t="s">
        <v>45</v>
      </c>
      <c r="G203" s="1" t="s">
        <v>66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1475.7973278441675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1494.6910334598042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0.59261396056355387</v>
      </c>
      <c r="R203" s="1">
        <v>82</v>
      </c>
      <c r="S203" s="1">
        <v>78</v>
      </c>
      <c r="T203" s="1">
        <v>0</v>
      </c>
      <c r="U203" s="1">
        <f>Games[[#This Row],[PointsFor]]-Games[[#This Row],[PointsAgainst]]</f>
        <v>4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0.30660530952196335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73.75</v>
      </c>
      <c r="Z203" s="4">
        <f>Games[[#This Row],[K]]*Games[[#This Row],[POMult]]</f>
        <v>73.75</v>
      </c>
      <c r="AA203" s="4">
        <f>(Games[[#This Row],[Keff]]*Games[[#This Row],[MOVMult]])*(Games[[#This Row],[Result]]-Games[[#This Row],[ExpectedWin%]])</f>
        <v>9.2118708003299528</v>
      </c>
      <c r="AB203" s="4">
        <f>Games[[#This Row],[PreGmRate]]+Games[[#This Row],[RatingChange]]</f>
        <v>1485.0091986444975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39627</v>
      </c>
      <c r="B204" s="2">
        <v>2008</v>
      </c>
      <c r="C204" s="2">
        <f>COUNTIFS(Games[Team],Games[[#This Row],[Team]],Games[Season],Games[[#This Row],[Season]],Games[Date],"&lt;=" &amp; Games[[#This Row],[Date]])</f>
        <v>15</v>
      </c>
      <c r="D204" s="2" t="s">
        <v>23</v>
      </c>
      <c r="E204" s="2" t="s">
        <v>29</v>
      </c>
      <c r="F204" s="1" t="s">
        <v>76</v>
      </c>
      <c r="G204" s="1" t="s">
        <v>83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1495.2733316833264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1532.6751204347001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0.33206838418288959</v>
      </c>
      <c r="R204" s="1">
        <v>65</v>
      </c>
      <c r="S204" s="1">
        <v>73</v>
      </c>
      <c r="T204" s="1">
        <v>0</v>
      </c>
      <c r="U204" s="1">
        <f>Games[[#This Row],[PointsFor]]-Games[[#This Row],[PointsAgainst]]</f>
        <v>-8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0.37657828381985137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73.75</v>
      </c>
      <c r="Z204" s="4">
        <f>Games[[#This Row],[K]]*Games[[#This Row],[POMult]]</f>
        <v>73.75</v>
      </c>
      <c r="AA204" s="4">
        <f>(Games[[#This Row],[Keff]]*Games[[#This Row],[MOVMult]])*(Games[[#This Row],[Result]]-Games[[#This Row],[ExpectedWin%]])</f>
        <v>-9.2224184891987431</v>
      </c>
      <c r="AB204" s="4">
        <f>Games[[#This Row],[PreGmRate]]+Games[[#This Row],[RatingChange]]</f>
        <v>1486.0509131941276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39627</v>
      </c>
      <c r="B205" s="2">
        <v>2008</v>
      </c>
      <c r="C205" s="2">
        <f>COUNTIFS(Games[Team],Games[[#This Row],[Team]],Games[Season],Games[[#This Row],[Season]],Games[Date],"&lt;=" &amp; Games[[#This Row],[Date]])</f>
        <v>15</v>
      </c>
      <c r="D205" s="2" t="s">
        <v>23</v>
      </c>
      <c r="E205" s="2" t="s">
        <v>29</v>
      </c>
      <c r="F205" s="1" t="s">
        <v>83</v>
      </c>
      <c r="G205" s="1" t="s">
        <v>76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1532.6751204347001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1495.2733316833264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0.66793161581711047</v>
      </c>
      <c r="R205" s="1">
        <v>73</v>
      </c>
      <c r="S205" s="1">
        <v>65</v>
      </c>
      <c r="T205" s="1">
        <v>0</v>
      </c>
      <c r="U205" s="1">
        <f>Games[[#This Row],[PointsFor]]-Games[[#This Row],[PointsAgainst]]</f>
        <v>8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0.37657828381985137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73.75</v>
      </c>
      <c r="Z205" s="4">
        <f>Games[[#This Row],[K]]*Games[[#This Row],[POMult]]</f>
        <v>73.75</v>
      </c>
      <c r="AA205" s="4">
        <f>(Games[[#This Row],[Keff]]*Games[[#This Row],[MOVMult]])*(Games[[#This Row],[Result]]-Games[[#This Row],[ExpectedWin%]])</f>
        <v>9.2224184891987413</v>
      </c>
      <c r="AB205" s="4">
        <f>Games[[#This Row],[PreGmRate]]+Games[[#This Row],[RatingChange]]</f>
        <v>1541.897538923899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39628</v>
      </c>
      <c r="B206" s="2">
        <v>2008</v>
      </c>
      <c r="C206" s="2">
        <f>COUNTIFS(Games[Team],Games[[#This Row],[Team]],Games[Season],Games[[#This Row],[Season]],Games[Date],"&lt;=" &amp; Games[[#This Row],[Date]])</f>
        <v>14</v>
      </c>
      <c r="D206" s="2" t="s">
        <v>23</v>
      </c>
      <c r="E206" s="2" t="s">
        <v>29</v>
      </c>
      <c r="F206" s="1" t="s">
        <v>44</v>
      </c>
      <c r="G206" s="1" t="s">
        <v>85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1</v>
      </c>
      <c r="L206" s="2">
        <f>Games[[#This Row],[OppDaysOff]]-Games[[#This Row],[DaysOff]]</f>
        <v>-1</v>
      </c>
      <c r="M206" s="1">
        <f>MAX(-16, MIN(16, Games[[#This Row],[RestDiff]]*8))</f>
        <v>8</v>
      </c>
      <c r="N206" s="1">
        <f>MAX(-16, MIN(16, Games[[#This Row],[OppRestDiff]]*8))</f>
        <v>-8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1558.6998511243783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1601.4194821609517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0.34584504497813712</v>
      </c>
      <c r="R206" s="1">
        <v>87</v>
      </c>
      <c r="S206" s="1">
        <v>80</v>
      </c>
      <c r="T206" s="1">
        <v>0</v>
      </c>
      <c r="U206" s="1">
        <f>Games[[#This Row],[PointsFor]]-Games[[#This Row],[PointsAgainst]]</f>
        <v>7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0.35738439780992981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73.900000000000006</v>
      </c>
      <c r="Z206" s="4">
        <f>Games[[#This Row],[K]]*Games[[#This Row],[POMult]]</f>
        <v>73.900000000000006</v>
      </c>
      <c r="AA206" s="4">
        <f>(Games[[#This Row],[Keff]]*Games[[#This Row],[MOVMult]])*(Games[[#This Row],[Result]]-Games[[#This Row],[ExpectedWin%]])</f>
        <v>17.276694848472907</v>
      </c>
      <c r="AB206" s="4">
        <f>Games[[#This Row],[PreGmRate]]+Games[[#This Row],[RatingChange]]</f>
        <v>1575.9765459728512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39628</v>
      </c>
      <c r="B207" s="2">
        <v>2008</v>
      </c>
      <c r="C207" s="2">
        <f>COUNTIFS(Games[Team],Games[[#This Row],[Team]],Games[Season],Games[[#This Row],[Season]],Games[Date],"&lt;=" &amp; Games[[#This Row],[Date]])</f>
        <v>17</v>
      </c>
      <c r="D207" s="2" t="s">
        <v>23</v>
      </c>
      <c r="E207" s="2" t="s">
        <v>29</v>
      </c>
      <c r="F207" s="1" t="s">
        <v>85</v>
      </c>
      <c r="G207" s="1" t="s">
        <v>44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7" s="2">
        <f>Games[[#This Row],[DaysOff]]-Games[[#This Row],[OppDaysOff]]</f>
        <v>-1</v>
      </c>
      <c r="L207" s="2">
        <f>Games[[#This Row],[OppDaysOff]]-Games[[#This Row],[DaysOff]]</f>
        <v>1</v>
      </c>
      <c r="M207" s="1">
        <f>MAX(-16, MIN(16, Games[[#This Row],[RestDiff]]*8))</f>
        <v>-8</v>
      </c>
      <c r="N207" s="1">
        <f>MAX(-16, MIN(16, Games[[#This Row],[OppRestDiff]]*8))</f>
        <v>8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1601.4194821609517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1558.6998511243783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0.65415495502186283</v>
      </c>
      <c r="R207" s="1">
        <v>80</v>
      </c>
      <c r="S207" s="1">
        <v>87</v>
      </c>
      <c r="T207" s="1">
        <v>0</v>
      </c>
      <c r="U207" s="1">
        <f>Games[[#This Row],[PointsFor]]-Games[[#This Row],[PointsAgainst]]</f>
        <v>-7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0.35738439780992981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-17.171491699869215</v>
      </c>
      <c r="AB207" s="4">
        <f>Games[[#This Row],[PreGmRate]]+Games[[#This Row],[RatingChange]]</f>
        <v>1584.2479904610825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39628</v>
      </c>
      <c r="B208" s="2">
        <v>2008</v>
      </c>
      <c r="C208" s="2">
        <f>COUNTIFS(Games[Team],Games[[#This Row],[Team]],Games[Season],Games[[#This Row],[Season]],Games[Date],"&lt;=" &amp; Games[[#This Row],[Date]])</f>
        <v>15</v>
      </c>
      <c r="D208" s="2" t="s">
        <v>23</v>
      </c>
      <c r="E208" s="2" t="s">
        <v>29</v>
      </c>
      <c r="F208" s="1" t="s">
        <v>88</v>
      </c>
      <c r="G208" s="1" t="s">
        <v>74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8" s="2">
        <f>Games[[#This Row],[DaysOff]]-Games[[#This Row],[OppDaysOff]]</f>
        <v>1</v>
      </c>
      <c r="L208" s="2">
        <f>Games[[#This Row],[OppDaysOff]]-Games[[#This Row],[DaysOff]]</f>
        <v>-1</v>
      </c>
      <c r="M208" s="1">
        <f>MAX(-16, MIN(16, Games[[#This Row],[RestDiff]]*8))</f>
        <v>8</v>
      </c>
      <c r="N208" s="1">
        <f>MAX(-16, MIN(16, Games[[#This Row],[OppRestDiff]]*8))</f>
        <v>-8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1324.1380748430231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1599.6382815890508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0.12160202546318877</v>
      </c>
      <c r="R208" s="1">
        <v>92</v>
      </c>
      <c r="S208" s="1">
        <v>100</v>
      </c>
      <c r="T208" s="1">
        <v>0</v>
      </c>
      <c r="U208" s="1">
        <f>Games[[#This Row],[PointsFor]]-Games[[#This Row],[PointsAgainst]]</f>
        <v>-8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0.31581062467706839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73.75</v>
      </c>
      <c r="Z208" s="4">
        <f>Games[[#This Row],[K]]*Games[[#This Row],[POMult]]</f>
        <v>73.75</v>
      </c>
      <c r="AA208" s="4">
        <f>(Games[[#This Row],[Keff]]*Games[[#This Row],[MOVMult]])*(Games[[#This Row],[Result]]-Games[[#This Row],[ExpectedWin%]])</f>
        <v>-2.8322368572350736</v>
      </c>
      <c r="AB208" s="4">
        <f>Games[[#This Row],[PreGmRate]]+Games[[#This Row],[RatingChange]]</f>
        <v>1321.305837985788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39628</v>
      </c>
      <c r="B209" s="2">
        <v>2008</v>
      </c>
      <c r="C209" s="2">
        <f>COUNTIFS(Games[Team],Games[[#This Row],[Team]],Games[Season],Games[[#This Row],[Season]],Games[Date],"&lt;=" &amp; Games[[#This Row],[Date]])</f>
        <v>17</v>
      </c>
      <c r="D209" s="2" t="s">
        <v>23</v>
      </c>
      <c r="E209" s="2" t="s">
        <v>29</v>
      </c>
      <c r="F209" s="1" t="s">
        <v>74</v>
      </c>
      <c r="G209" s="1" t="s">
        <v>88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-1</v>
      </c>
      <c r="L209" s="2">
        <f>Games[[#This Row],[OppDaysOff]]-Games[[#This Row],[DaysOff]]</f>
        <v>1</v>
      </c>
      <c r="M209" s="1">
        <f>MAX(-16, MIN(16, Games[[#This Row],[RestDiff]]*8))</f>
        <v>-8</v>
      </c>
      <c r="N209" s="1">
        <f>MAX(-16, MIN(16, Games[[#This Row],[OppRestDiff]]*8))</f>
        <v>8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1599.6382815890508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1324.1380748430231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0.87839797453681112</v>
      </c>
      <c r="R209" s="1">
        <v>100</v>
      </c>
      <c r="S209" s="1">
        <v>92</v>
      </c>
      <c r="T209" s="1">
        <v>0</v>
      </c>
      <c r="U209" s="1">
        <f>Games[[#This Row],[PointsFor]]-Games[[#This Row],[PointsAgainst]]</f>
        <v>8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0.31581062467706839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2.8207158937480181</v>
      </c>
      <c r="AB209" s="4">
        <f>Games[[#This Row],[PreGmRate]]+Games[[#This Row],[RatingChange]]</f>
        <v>1602.4589974827988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39628</v>
      </c>
      <c r="B210" s="2">
        <v>2008</v>
      </c>
      <c r="C210" s="2">
        <f>COUNTIFS(Games[Team],Games[[#This Row],[Team]],Games[Season],Games[[#This Row],[Season]],Games[Date],"&lt;=" &amp; Games[[#This Row],[Date]])</f>
        <v>15</v>
      </c>
      <c r="D210" s="2" t="s">
        <v>23</v>
      </c>
      <c r="E210" s="2" t="s">
        <v>29</v>
      </c>
      <c r="F210" s="1" t="s">
        <v>72</v>
      </c>
      <c r="G210" s="1" t="s">
        <v>80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-2</v>
      </c>
      <c r="L210" s="2">
        <f>Games[[#This Row],[OppDaysOff]]-Games[[#This Row],[DaysOff]]</f>
        <v>2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1466.7606647567852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1504.6004713204718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0.29202422553633955</v>
      </c>
      <c r="R210" s="1">
        <v>49</v>
      </c>
      <c r="S210" s="1">
        <v>64</v>
      </c>
      <c r="T210" s="1">
        <v>0</v>
      </c>
      <c r="U210" s="1">
        <f>Games[[#This Row],[PointsFor]]-Games[[#This Row],[PointsAgainst]]</f>
        <v>-15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0.48747635231544034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73.75</v>
      </c>
      <c r="Z210" s="4">
        <f>Games[[#This Row],[K]]*Games[[#This Row],[POMult]]</f>
        <v>73.75</v>
      </c>
      <c r="AA210" s="4">
        <f>(Games[[#This Row],[Keff]]*Games[[#This Row],[MOVMult]])*(Games[[#This Row],[Result]]-Games[[#This Row],[ExpectedWin%]])</f>
        <v>-10.498674188599475</v>
      </c>
      <c r="AB210" s="4">
        <f>Games[[#This Row],[PreGmRate]]+Games[[#This Row],[RatingChange]]</f>
        <v>1456.2619905681856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39628</v>
      </c>
      <c r="B211" s="2">
        <v>2008</v>
      </c>
      <c r="C211" s="2">
        <f>COUNTIFS(Games[Team],Games[[#This Row],[Team]],Games[Season],Games[[#This Row],[Season]],Games[Date],"&lt;=" &amp; Games[[#This Row],[Date]])</f>
        <v>16</v>
      </c>
      <c r="D211" s="2" t="s">
        <v>23</v>
      </c>
      <c r="E211" s="2" t="s">
        <v>29</v>
      </c>
      <c r="F211" s="1" t="s">
        <v>80</v>
      </c>
      <c r="G211" s="1" t="s">
        <v>72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1" s="2">
        <f>Games[[#This Row],[DaysOff]]-Games[[#This Row],[OppDaysOff]]</f>
        <v>2</v>
      </c>
      <c r="L211" s="2">
        <f>Games[[#This Row],[OppDaysOff]]-Games[[#This Row],[DaysOff]]</f>
        <v>-2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1504.6004713204718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1466.7606647567852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0.70797577446366045</v>
      </c>
      <c r="R211" s="1">
        <v>64</v>
      </c>
      <c r="S211" s="1">
        <v>49</v>
      </c>
      <c r="T211" s="1">
        <v>0</v>
      </c>
      <c r="U211" s="1">
        <f>Games[[#This Row],[PointsFor]]-Games[[#This Row],[PointsAgainst]]</f>
        <v>15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0.48747635231544034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73.599999999999994</v>
      </c>
      <c r="Z211" s="4">
        <f>Games[[#This Row],[K]]*Games[[#This Row],[POMult]]</f>
        <v>73.599999999999994</v>
      </c>
      <c r="AA211" s="4">
        <f>(Games[[#This Row],[Keff]]*Games[[#This Row],[MOVMult]])*(Games[[#This Row],[Result]]-Games[[#This Row],[ExpectedWin%]])</f>
        <v>10.477320952961644</v>
      </c>
      <c r="AB211" s="4">
        <f>Games[[#This Row],[PreGmRate]]+Games[[#This Row],[RatingChange]]</f>
        <v>1515.0777922734335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39630</v>
      </c>
      <c r="B212" s="2">
        <v>2008</v>
      </c>
      <c r="C212" s="2">
        <f>COUNTIFS(Games[Team],Games[[#This Row],[Team]],Games[Season],Games[[#This Row],[Season]],Games[Date],"&lt;=" &amp; Games[[#This Row],[Date]])</f>
        <v>15</v>
      </c>
      <c r="D212" s="2" t="s">
        <v>23</v>
      </c>
      <c r="E212" s="2" t="s">
        <v>29</v>
      </c>
      <c r="F212" s="1" t="s">
        <v>44</v>
      </c>
      <c r="G212" s="1" t="s">
        <v>88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1575.9765459728512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1321.305837985788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0.72759597609845805</v>
      </c>
      <c r="R212" s="1">
        <v>97</v>
      </c>
      <c r="S212" s="1">
        <v>79</v>
      </c>
      <c r="T212" s="1">
        <v>0</v>
      </c>
      <c r="U212" s="1">
        <f>Games[[#This Row],[PointsFor]]-Games[[#This Row],[PointsAgainst]]</f>
        <v>18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0.45109914907107707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73.75</v>
      </c>
      <c r="Z212" s="4">
        <f>Games[[#This Row],[K]]*Games[[#This Row],[POMult]]</f>
        <v>73.75</v>
      </c>
      <c r="AA212" s="4">
        <f>(Games[[#This Row],[Keff]]*Games[[#This Row],[MOVMult]])*(Games[[#This Row],[Result]]-Games[[#This Row],[ExpectedWin%]])</f>
        <v>9.0624902246823158</v>
      </c>
      <c r="AB212" s="4">
        <f>Games[[#This Row],[PreGmRate]]+Games[[#This Row],[RatingChange]]</f>
        <v>1585.0390361975335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39630</v>
      </c>
      <c r="B213" s="2">
        <v>2008</v>
      </c>
      <c r="C213" s="2">
        <f>COUNTIFS(Games[Team],Games[[#This Row],[Team]],Games[Season],Games[[#This Row],[Season]],Games[Date],"&lt;=" &amp; Games[[#This Row],[Date]])</f>
        <v>16</v>
      </c>
      <c r="D213" s="2" t="s">
        <v>23</v>
      </c>
      <c r="E213" s="2" t="s">
        <v>29</v>
      </c>
      <c r="F213" s="1" t="s">
        <v>88</v>
      </c>
      <c r="G213" s="1" t="s">
        <v>44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1321.305837985788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1575.9765459728512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0.272404023901542</v>
      </c>
      <c r="R213" s="1">
        <v>79</v>
      </c>
      <c r="S213" s="1">
        <v>97</v>
      </c>
      <c r="T213" s="1">
        <v>0</v>
      </c>
      <c r="U213" s="1">
        <f>Games[[#This Row],[PointsFor]]-Games[[#This Row],[PointsAgainst]]</f>
        <v>-18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0.45109914907107707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73.599999999999994</v>
      </c>
      <c r="Z213" s="4">
        <f>Games[[#This Row],[K]]*Games[[#This Row],[POMult]]</f>
        <v>73.599999999999994</v>
      </c>
      <c r="AA213" s="4">
        <f>(Games[[#This Row],[Keff]]*Games[[#This Row],[MOVMult]])*(Games[[#This Row],[Result]]-Games[[#This Row],[ExpectedWin%]])</f>
        <v>-9.0440580411744875</v>
      </c>
      <c r="AB213" s="4">
        <f>Games[[#This Row],[PreGmRate]]+Games[[#This Row],[RatingChange]]</f>
        <v>1312.2617799446134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39630</v>
      </c>
      <c r="B214" s="2">
        <v>2008</v>
      </c>
      <c r="C214" s="2">
        <f>COUNTIFS(Games[Team],Games[[#This Row],[Team]],Games[Season],Games[[#This Row],[Season]],Games[Date],"&lt;=" &amp; Games[[#This Row],[Date]])</f>
        <v>16</v>
      </c>
      <c r="D214" s="2" t="s">
        <v>23</v>
      </c>
      <c r="E214" s="2" t="s">
        <v>29</v>
      </c>
      <c r="F214" s="1" t="s">
        <v>2</v>
      </c>
      <c r="G214" s="1" t="s">
        <v>85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1</v>
      </c>
      <c r="L214" s="2">
        <f>Games[[#This Row],[OppDaysOff]]-Games[[#This Row],[DaysOff]]</f>
        <v>-1</v>
      </c>
      <c r="M214" s="1">
        <f>MAX(-16, MIN(16, Games[[#This Row],[RestDiff]]*8))</f>
        <v>8</v>
      </c>
      <c r="N214" s="1">
        <f>MAX(-16, MIN(16, Games[[#This Row],[OppRestDiff]]*8))</f>
        <v>-8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1490.5094948712974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1584.2479904610825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0.28271343972074559</v>
      </c>
      <c r="R214" s="1">
        <v>68</v>
      </c>
      <c r="S214" s="1">
        <v>78</v>
      </c>
      <c r="T214" s="1">
        <v>0</v>
      </c>
      <c r="U214" s="1">
        <f>Games[[#This Row],[PointsFor]]-Games[[#This Row],[PointsAgainst]]</f>
        <v>-10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0.39247161689137711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73.599999999999994</v>
      </c>
      <c r="Z214" s="4">
        <f>Games[[#This Row],[K]]*Games[[#This Row],[POMult]]</f>
        <v>73.599999999999994</v>
      </c>
      <c r="AA214" s="4">
        <f>(Games[[#This Row],[Keff]]*Games[[#This Row],[MOVMult]])*(Games[[#This Row],[Result]]-Games[[#This Row],[ExpectedWin%]])</f>
        <v>-8.166435259183519</v>
      </c>
      <c r="AB214" s="4">
        <f>Games[[#This Row],[PreGmRate]]+Games[[#This Row],[RatingChange]]</f>
        <v>1482.3430596121138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39630</v>
      </c>
      <c r="B215" s="2">
        <v>2008</v>
      </c>
      <c r="C215" s="2">
        <f>COUNTIFS(Games[Team],Games[[#This Row],[Team]],Games[Season],Games[[#This Row],[Season]],Games[Date],"&lt;=" &amp; Games[[#This Row],[Date]])</f>
        <v>18</v>
      </c>
      <c r="D215" s="2" t="s">
        <v>23</v>
      </c>
      <c r="E215" s="2" t="s">
        <v>29</v>
      </c>
      <c r="F215" s="1" t="s">
        <v>85</v>
      </c>
      <c r="G215" s="1" t="s">
        <v>2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5" s="2">
        <f>Games[[#This Row],[DaysOff]]-Games[[#This Row],[OppDaysOff]]</f>
        <v>-1</v>
      </c>
      <c r="L215" s="2">
        <f>Games[[#This Row],[OppDaysOff]]-Games[[#This Row],[DaysOff]]</f>
        <v>1</v>
      </c>
      <c r="M215" s="1">
        <f>MAX(-16, MIN(16, Games[[#This Row],[RestDiff]]*8))</f>
        <v>-8</v>
      </c>
      <c r="N215" s="1">
        <f>MAX(-16, MIN(16, Games[[#This Row],[OppRestDiff]]*8))</f>
        <v>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1584.2479904610825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1490.5094948712974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0.71728656027925441</v>
      </c>
      <c r="R215" s="1">
        <v>78</v>
      </c>
      <c r="S215" s="1">
        <v>68</v>
      </c>
      <c r="T215" s="1">
        <v>0</v>
      </c>
      <c r="U215" s="1">
        <f>Games[[#This Row],[PointsFor]]-Games[[#This Row],[PointsAgainst]]</f>
        <v>10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0.39247161689137711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73.3</v>
      </c>
      <c r="Z215" s="4">
        <f>Games[[#This Row],[K]]*Games[[#This Row],[POMult]]</f>
        <v>73.3</v>
      </c>
      <c r="AA215" s="4">
        <f>(Games[[#This Row],[Keff]]*Games[[#This Row],[MOVMult]])*(Games[[#This Row],[Result]]-Games[[#This Row],[ExpectedWin%]])</f>
        <v>8.1331481589422818</v>
      </c>
      <c r="AB215" s="4">
        <f>Games[[#This Row],[PreGmRate]]+Games[[#This Row],[RatingChange]]</f>
        <v>1592.3811386200248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39630</v>
      </c>
      <c r="B216" s="2">
        <v>2008</v>
      </c>
      <c r="C216" s="2">
        <f>COUNTIFS(Games[Team],Games[[#This Row],[Team]],Games[Season],Games[[#This Row],[Season]],Games[Date],"&lt;=" &amp; Games[[#This Row],[Date]])</f>
        <v>15</v>
      </c>
      <c r="D216" s="2" t="s">
        <v>23</v>
      </c>
      <c r="E216" s="2" t="s">
        <v>29</v>
      </c>
      <c r="F216" s="1" t="s">
        <v>66</v>
      </c>
      <c r="G216" s="1" t="s">
        <v>69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6" s="2">
        <f>Games[[#This Row],[DaysOff]]-Games[[#This Row],[OppDaysOff]]</f>
        <v>-2</v>
      </c>
      <c r="L216" s="2">
        <f>Games[[#This Row],[OppDaysOff]]-Games[[#This Row],[DaysOff]]</f>
        <v>2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1485.4604266510669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1547.7872232068794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0.26375708621636201</v>
      </c>
      <c r="R216" s="1">
        <v>89</v>
      </c>
      <c r="S216" s="1">
        <v>78</v>
      </c>
      <c r="T216" s="1">
        <v>0</v>
      </c>
      <c r="U216" s="1">
        <f>Games[[#This Row],[PointsFor]]-Games[[#This Row],[PointsAgainst]]</f>
        <v>11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0.41811927446144603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73.75</v>
      </c>
      <c r="Z216" s="4">
        <f>Games[[#This Row],[K]]*Games[[#This Row],[POMult]]</f>
        <v>73.75</v>
      </c>
      <c r="AA216" s="4">
        <f>(Games[[#This Row],[Keff]]*Games[[#This Row],[MOVMult]])*(Games[[#This Row],[Result]]-Games[[#This Row],[ExpectedWin%]])</f>
        <v>22.70300477922143</v>
      </c>
      <c r="AB216" s="4">
        <f>Games[[#This Row],[PreGmRate]]+Games[[#This Row],[RatingChange]]</f>
        <v>1508.1634314302883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39630</v>
      </c>
      <c r="B217" s="2">
        <v>2008</v>
      </c>
      <c r="C217" s="2">
        <f>COUNTIFS(Games[Team],Games[[#This Row],[Team]],Games[Season],Games[[#This Row],[Season]],Games[Date],"&lt;=" &amp; Games[[#This Row],[Date]])</f>
        <v>15</v>
      </c>
      <c r="D217" s="2" t="s">
        <v>23</v>
      </c>
      <c r="E217" s="2" t="s">
        <v>29</v>
      </c>
      <c r="F217" s="1" t="s">
        <v>69</v>
      </c>
      <c r="G217" s="1" t="s">
        <v>66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7" s="2">
        <f>Games[[#This Row],[DaysOff]]-Games[[#This Row],[OppDaysOff]]</f>
        <v>2</v>
      </c>
      <c r="L217" s="2">
        <f>Games[[#This Row],[OppDaysOff]]-Games[[#This Row],[DaysOff]]</f>
        <v>-2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1547.7872232068794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1485.4604266510669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0.73624291378363804</v>
      </c>
      <c r="R217" s="1">
        <v>78</v>
      </c>
      <c r="S217" s="1">
        <v>89</v>
      </c>
      <c r="T217" s="1">
        <v>0</v>
      </c>
      <c r="U217" s="1">
        <f>Games[[#This Row],[PointsFor]]-Games[[#This Row],[PointsAgainst]]</f>
        <v>-11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0.41811927446144603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73.75</v>
      </c>
      <c r="Z217" s="4">
        <f>Games[[#This Row],[K]]*Games[[#This Row],[POMult]]</f>
        <v>73.75</v>
      </c>
      <c r="AA217" s="4">
        <f>(Games[[#This Row],[Keff]]*Games[[#This Row],[MOVMult]])*(Games[[#This Row],[Result]]-Games[[#This Row],[ExpectedWin%]])</f>
        <v>-22.703004779221434</v>
      </c>
      <c r="AB217" s="4">
        <f>Games[[#This Row],[PreGmRate]]+Games[[#This Row],[RatingChange]]</f>
        <v>1525.084218427658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39630</v>
      </c>
      <c r="B218" s="2">
        <v>2008</v>
      </c>
      <c r="C218" s="2">
        <f>COUNTIFS(Games[Team],Games[[#This Row],[Team]],Games[Season],Games[[#This Row],[Season]],Games[Date],"&lt;=" &amp; Games[[#This Row],[Date]])</f>
        <v>14</v>
      </c>
      <c r="D218" s="2" t="s">
        <v>23</v>
      </c>
      <c r="E218" s="2" t="s">
        <v>29</v>
      </c>
      <c r="F218" s="1" t="s">
        <v>86</v>
      </c>
      <c r="G218" s="1" t="s">
        <v>76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1429.0776768329008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1486.0509131941276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0.30756941750674116</v>
      </c>
      <c r="R218" s="1">
        <v>73</v>
      </c>
      <c r="S218" s="1">
        <v>71</v>
      </c>
      <c r="T218" s="1">
        <v>0</v>
      </c>
      <c r="U218" s="1">
        <f>Games[[#This Row],[PointsFor]]-Games[[#This Row],[PointsAgainst]]</f>
        <v>2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0.25570121596386775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73.900000000000006</v>
      </c>
      <c r="Z218" s="4">
        <f>Games[[#This Row],[K]]*Games[[#This Row],[POMult]]</f>
        <v>73.900000000000006</v>
      </c>
      <c r="AA218" s="4">
        <f>(Games[[#This Row],[Keff]]*Games[[#This Row],[MOVMult]])*(Games[[#This Row],[Result]]-Games[[#This Row],[ExpectedWin%]])</f>
        <v>13.084389767451661</v>
      </c>
      <c r="AB218" s="4">
        <f>Games[[#This Row],[PreGmRate]]+Games[[#This Row],[RatingChange]]</f>
        <v>1442.1620666003525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39630</v>
      </c>
      <c r="B219" s="2">
        <v>2008</v>
      </c>
      <c r="C219" s="2">
        <f>COUNTIFS(Games[Team],Games[[#This Row],[Team]],Games[Season],Games[[#This Row],[Season]],Games[Date],"&lt;=" &amp; Games[[#This Row],[Date]])</f>
        <v>16</v>
      </c>
      <c r="D219" s="2" t="s">
        <v>23</v>
      </c>
      <c r="E219" s="2" t="s">
        <v>29</v>
      </c>
      <c r="F219" s="1" t="s">
        <v>76</v>
      </c>
      <c r="G219" s="1" t="s">
        <v>86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1486.0509131941276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1429.0776768329008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0.69243058249325884</v>
      </c>
      <c r="R219" s="1">
        <v>71</v>
      </c>
      <c r="S219" s="1">
        <v>73</v>
      </c>
      <c r="T219" s="1">
        <v>0</v>
      </c>
      <c r="U219" s="1">
        <f>Games[[#This Row],[PointsFor]]-Games[[#This Row],[PointsAgainst]]</f>
        <v>-2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0.25570121596386775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73.599999999999994</v>
      </c>
      <c r="Z219" s="4">
        <f>Games[[#This Row],[K]]*Games[[#This Row],[POMult]]</f>
        <v>73.599999999999994</v>
      </c>
      <c r="AA219" s="4">
        <f>(Games[[#This Row],[Keff]]*Games[[#This Row],[MOVMult]])*(Games[[#This Row],[Result]]-Games[[#This Row],[ExpectedWin%]])</f>
        <v>-13.03127316487743</v>
      </c>
      <c r="AB219" s="4">
        <f>Games[[#This Row],[PreGmRate]]+Games[[#This Row],[RatingChange]]</f>
        <v>1473.0196400292502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39630</v>
      </c>
      <c r="B220" s="2">
        <v>2008</v>
      </c>
      <c r="C220" s="2">
        <f>COUNTIFS(Games[Team],Games[[#This Row],[Team]],Games[Season],Games[[#This Row],[Season]],Games[Date],"&lt;=" &amp; Games[[#This Row],[Date]])</f>
        <v>16</v>
      </c>
      <c r="D220" s="2" t="s">
        <v>23</v>
      </c>
      <c r="E220" s="2" t="s">
        <v>29</v>
      </c>
      <c r="F220" s="1" t="s">
        <v>72</v>
      </c>
      <c r="G220" s="1" t="s">
        <v>45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0" s="2">
        <f>Games[[#This Row],[DaysOff]]-Games[[#This Row],[OppDaysOff]]</f>
        <v>-1</v>
      </c>
      <c r="L220" s="2">
        <f>Games[[#This Row],[OppDaysOff]]-Games[[#This Row],[DaysOff]]</f>
        <v>1</v>
      </c>
      <c r="M220" s="1">
        <f>MAX(-16, MIN(16, Games[[#This Row],[RestDiff]]*8))</f>
        <v>-8</v>
      </c>
      <c r="N220" s="1">
        <f>MAX(-16, MIN(16, Games[[#This Row],[OppRestDiff]]*8))</f>
        <v>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1456.2619905681856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1485.0091986444975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0.32275742005186259</v>
      </c>
      <c r="R220" s="1">
        <v>81</v>
      </c>
      <c r="S220" s="1">
        <v>87</v>
      </c>
      <c r="T220" s="1">
        <v>0</v>
      </c>
      <c r="U220" s="1">
        <f>Games[[#This Row],[PointsFor]]-Games[[#This Row],[PointsAgainst]]</f>
        <v>-6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0.34306235695878812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73.599999999999994</v>
      </c>
      <c r="Z220" s="4">
        <f>Games[[#This Row],[K]]*Games[[#This Row],[POMult]]</f>
        <v>73.599999999999994</v>
      </c>
      <c r="AA220" s="4">
        <f>(Games[[#This Row],[Keff]]*Games[[#This Row],[MOVMult]])*(Games[[#This Row],[Result]]-Games[[#This Row],[ExpectedWin%]])</f>
        <v>-8.1494278039212187</v>
      </c>
      <c r="AB220" s="4">
        <f>Games[[#This Row],[PreGmRate]]+Games[[#This Row],[RatingChange]]</f>
        <v>1448.1125627642643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39630</v>
      </c>
      <c r="B221" s="2">
        <v>2008</v>
      </c>
      <c r="C221" s="2">
        <f>COUNTIFS(Games[Team],Games[[#This Row],[Team]],Games[Season],Games[[#This Row],[Season]],Games[Date],"&lt;=" &amp; Games[[#This Row],[Date]])</f>
        <v>16</v>
      </c>
      <c r="D221" s="2" t="s">
        <v>23</v>
      </c>
      <c r="E221" s="2" t="s">
        <v>29</v>
      </c>
      <c r="F221" s="1" t="s">
        <v>45</v>
      </c>
      <c r="G221" s="1" t="s">
        <v>72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1</v>
      </c>
      <c r="L221" s="2">
        <f>Games[[#This Row],[OppDaysOff]]-Games[[#This Row],[DaysOff]]</f>
        <v>-1</v>
      </c>
      <c r="M221" s="1">
        <f>MAX(-16, MIN(16, Games[[#This Row],[RestDiff]]*8))</f>
        <v>8</v>
      </c>
      <c r="N221" s="1">
        <f>MAX(-16, MIN(16, Games[[#This Row],[OppRestDiff]]*8))</f>
        <v>-8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1485.0091986444975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1456.2619905681856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0.67724257994813741</v>
      </c>
      <c r="R221" s="1">
        <v>87</v>
      </c>
      <c r="S221" s="1">
        <v>81</v>
      </c>
      <c r="T221" s="1">
        <v>0</v>
      </c>
      <c r="U221" s="1">
        <f>Games[[#This Row],[PointsFor]]-Games[[#This Row],[PointsAgainst]]</f>
        <v>6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0.34306235695878812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73.599999999999994</v>
      </c>
      <c r="Z221" s="4">
        <f>Games[[#This Row],[K]]*Games[[#This Row],[POMult]]</f>
        <v>73.599999999999994</v>
      </c>
      <c r="AA221" s="4">
        <f>(Games[[#This Row],[Keff]]*Games[[#This Row],[MOVMult]])*(Games[[#This Row],[Result]]-Games[[#This Row],[ExpectedWin%]])</f>
        <v>8.1494278039212187</v>
      </c>
      <c r="AB221" s="4">
        <f>Games[[#This Row],[PreGmRate]]+Games[[#This Row],[RatingChange]]</f>
        <v>1493.1586264484188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39630</v>
      </c>
      <c r="B222" s="2">
        <v>2008</v>
      </c>
      <c r="C222" s="2">
        <f>COUNTIFS(Games[Team],Games[[#This Row],[Team]],Games[Season],Games[[#This Row],[Season]],Games[Date],"&lt;=" &amp; Games[[#This Row],[Date]])</f>
        <v>18</v>
      </c>
      <c r="D222" s="2" t="s">
        <v>23</v>
      </c>
      <c r="E222" s="2" t="s">
        <v>29</v>
      </c>
      <c r="F222" s="1" t="s">
        <v>74</v>
      </c>
      <c r="G222" s="1" t="s">
        <v>83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1602.4589974827988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1541.897538923899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0.44348590113716774</v>
      </c>
      <c r="R222" s="1">
        <v>72</v>
      </c>
      <c r="S222" s="1">
        <v>79</v>
      </c>
      <c r="T222" s="1">
        <v>1</v>
      </c>
      <c r="U222" s="1">
        <f>Games[[#This Row],[PointsFor]]-Games[[#This Row],[PointsAgainst]]</f>
        <v>-7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0.31709342180197148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-10.307919658187375</v>
      </c>
      <c r="AB222" s="4">
        <f>Games[[#This Row],[PreGmRate]]+Games[[#This Row],[RatingChange]]</f>
        <v>1592.1510778246115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39630</v>
      </c>
      <c r="B223" s="2">
        <v>2008</v>
      </c>
      <c r="C223" s="2">
        <f>COUNTIFS(Games[Team],Games[[#This Row],[Team]],Games[Season],Games[[#This Row],[Season]],Games[Date],"&lt;=" &amp; Games[[#This Row],[Date]])</f>
        <v>16</v>
      </c>
      <c r="D223" s="2" t="s">
        <v>23</v>
      </c>
      <c r="E223" s="2" t="s">
        <v>29</v>
      </c>
      <c r="F223" s="1" t="s">
        <v>83</v>
      </c>
      <c r="G223" s="1" t="s">
        <v>74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1541.897538923899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1602.4589974827988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0.55651409886283221</v>
      </c>
      <c r="R223" s="1">
        <v>79</v>
      </c>
      <c r="S223" s="1">
        <v>72</v>
      </c>
      <c r="T223" s="1">
        <v>1</v>
      </c>
      <c r="U223" s="1">
        <f>Games[[#This Row],[PointsFor]]-Games[[#This Row],[PointsAgainst]]</f>
        <v>7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0.31709342180197148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73.599999999999994</v>
      </c>
      <c r="Z223" s="4">
        <f>Games[[#This Row],[K]]*Games[[#This Row],[POMult]]</f>
        <v>73.599999999999994</v>
      </c>
      <c r="AA223" s="4">
        <f>(Games[[#This Row],[Keff]]*Games[[#This Row],[MOVMult]])*(Games[[#This Row],[Result]]-Games[[#This Row],[ExpectedWin%]])</f>
        <v>10.350107596761131</v>
      </c>
      <c r="AB223" s="4">
        <f>Games[[#This Row],[PreGmRate]]+Games[[#This Row],[RatingChange]]</f>
        <v>1552.2476465206601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39631</v>
      </c>
      <c r="B224" s="2">
        <v>2008</v>
      </c>
      <c r="C224" s="2">
        <f>COUNTIFS(Games[Team],Games[[#This Row],[Team]],Games[Season],Games[[#This Row],[Season]],Games[Date],"&lt;=" &amp; Games[[#This Row],[Date]])</f>
        <v>15</v>
      </c>
      <c r="D224" s="2" t="s">
        <v>23</v>
      </c>
      <c r="E224" s="2" t="s">
        <v>29</v>
      </c>
      <c r="F224" s="1" t="s">
        <v>86</v>
      </c>
      <c r="G224" s="1" t="s">
        <v>78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4" s="2">
        <f>Games[[#This Row],[DaysOff]]-Games[[#This Row],[OppDaysOff]]</f>
        <v>-3</v>
      </c>
      <c r="L224" s="2">
        <f>Games[[#This Row],[OppDaysOff]]-Games[[#This Row],[DaysOff]]</f>
        <v>3</v>
      </c>
      <c r="M224" s="1">
        <f>MAX(-16, MIN(16, Games[[#This Row],[RestDiff]]*8))</f>
        <v>-16</v>
      </c>
      <c r="N224" s="1">
        <f>MAX(-16, MIN(16, Games[[#This Row],[OppRestDiff]]*8))</f>
        <v>16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1442.1620666003525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1504.7251876951993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0.26349299730792181</v>
      </c>
      <c r="R224" s="1">
        <v>67</v>
      </c>
      <c r="S224" s="1">
        <v>74</v>
      </c>
      <c r="T224" s="1">
        <v>0</v>
      </c>
      <c r="U224" s="1">
        <f>Games[[#This Row],[PointsFor]]-Games[[#This Row],[PointsAgainst]]</f>
        <v>-7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0.35176744795100029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73.75</v>
      </c>
      <c r="Z224" s="4">
        <f>Games[[#This Row],[K]]*Games[[#This Row],[POMult]]</f>
        <v>73.75</v>
      </c>
      <c r="AA224" s="4">
        <f>(Games[[#This Row],[Keff]]*Games[[#This Row],[MOVMult]])*(Games[[#This Row],[Result]]-Games[[#This Row],[ExpectedWin%]])</f>
        <v>-6.8357591171775987</v>
      </c>
      <c r="AB224" s="4">
        <f>Games[[#This Row],[PreGmRate]]+Games[[#This Row],[RatingChange]]</f>
        <v>1435.326307483175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39631</v>
      </c>
      <c r="B225" s="2">
        <v>2008</v>
      </c>
      <c r="C225" s="2">
        <f>COUNTIFS(Games[Team],Games[[#This Row],[Team]],Games[Season],Games[[#This Row],[Season]],Games[Date],"&lt;=" &amp; Games[[#This Row],[Date]])</f>
        <v>16</v>
      </c>
      <c r="D225" s="2" t="s">
        <v>23</v>
      </c>
      <c r="E225" s="2" t="s">
        <v>29</v>
      </c>
      <c r="F225" s="1" t="s">
        <v>78</v>
      </c>
      <c r="G225" s="1" t="s">
        <v>86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5" s="2">
        <f>Games[[#This Row],[DaysOff]]-Games[[#This Row],[OppDaysOff]]</f>
        <v>3</v>
      </c>
      <c r="L225" s="2">
        <f>Games[[#This Row],[OppDaysOff]]-Games[[#This Row],[DaysOff]]</f>
        <v>-3</v>
      </c>
      <c r="M225" s="1">
        <f>MAX(-16, MIN(16, Games[[#This Row],[RestDiff]]*8))</f>
        <v>16</v>
      </c>
      <c r="N225" s="1">
        <f>MAX(-16, MIN(16, Games[[#This Row],[OppRestDiff]]*8))</f>
        <v>-16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1504.7251876951993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1442.1620666003525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0.73650700269207825</v>
      </c>
      <c r="R225" s="1">
        <v>74</v>
      </c>
      <c r="S225" s="1">
        <v>67</v>
      </c>
      <c r="T225" s="1">
        <v>0</v>
      </c>
      <c r="U225" s="1">
        <f>Games[[#This Row],[PointsFor]]-Games[[#This Row],[PointsAgainst]]</f>
        <v>7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0.35176744795100029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73.599999999999994</v>
      </c>
      <c r="Z225" s="4">
        <f>Games[[#This Row],[K]]*Games[[#This Row],[POMult]]</f>
        <v>73.599999999999994</v>
      </c>
      <c r="AA225" s="4">
        <f>(Games[[#This Row],[Keff]]*Games[[#This Row],[MOVMult]])*(Games[[#This Row],[Result]]-Games[[#This Row],[ExpectedWin%]])</f>
        <v>6.8218558782952021</v>
      </c>
      <c r="AB225" s="4">
        <f>Games[[#This Row],[PreGmRate]]+Games[[#This Row],[RatingChange]]</f>
        <v>1511.5470435734946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39632</v>
      </c>
      <c r="B226" s="2">
        <v>2008</v>
      </c>
      <c r="C226" s="2">
        <f>COUNTIFS(Games[Team],Games[[#This Row],[Team]],Games[Season],Games[[#This Row],[Season]],Games[Date],"&lt;=" &amp; Games[[#This Row],[Date]])</f>
        <v>17</v>
      </c>
      <c r="D226" s="2" t="s">
        <v>23</v>
      </c>
      <c r="E226" s="2" t="s">
        <v>29</v>
      </c>
      <c r="F226" s="1" t="s">
        <v>2</v>
      </c>
      <c r="G226" s="1" t="s">
        <v>88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1482.3430596121138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1312.2617799446134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0.62140680379827229</v>
      </c>
      <c r="R226" s="1">
        <v>72</v>
      </c>
      <c r="S226" s="1">
        <v>65</v>
      </c>
      <c r="T226" s="1">
        <v>0</v>
      </c>
      <c r="U226" s="1">
        <f>Games[[#This Row],[PointsFor]]-Games[[#This Row],[PointsAgainst]]</f>
        <v>7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0.32416223298253355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73.45</v>
      </c>
      <c r="Z226" s="4">
        <f>Games[[#This Row],[K]]*Games[[#This Row],[POMult]]</f>
        <v>73.45</v>
      </c>
      <c r="AA226" s="4">
        <f>(Games[[#This Row],[Keff]]*Games[[#This Row],[MOVMult]])*(Games[[#This Row],[Result]]-Games[[#This Row],[ExpectedWin%]])</f>
        <v>9.0141964858532297</v>
      </c>
      <c r="AB226" s="4">
        <f>Games[[#This Row],[PreGmRate]]+Games[[#This Row],[RatingChange]]</f>
        <v>1491.3572560979671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39632</v>
      </c>
      <c r="B227" s="2">
        <v>2008</v>
      </c>
      <c r="C227" s="2">
        <f>COUNTIFS(Games[Team],Games[[#This Row],[Team]],Games[Season],Games[[#This Row],[Season]],Games[Date],"&lt;=" &amp; Games[[#This Row],[Date]])</f>
        <v>17</v>
      </c>
      <c r="D227" s="2" t="s">
        <v>23</v>
      </c>
      <c r="E227" s="2" t="s">
        <v>29</v>
      </c>
      <c r="F227" s="1" t="s">
        <v>88</v>
      </c>
      <c r="G227" s="1" t="s">
        <v>2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1312.2617799446134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1482.3430596121138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0.37859319620172771</v>
      </c>
      <c r="R227" s="1">
        <v>65</v>
      </c>
      <c r="S227" s="1">
        <v>72</v>
      </c>
      <c r="T227" s="1">
        <v>0</v>
      </c>
      <c r="U227" s="1">
        <f>Games[[#This Row],[PointsFor]]-Games[[#This Row],[PointsAgainst]]</f>
        <v>-7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0.32416223298253355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73.45</v>
      </c>
      <c r="Z227" s="4">
        <f>Games[[#This Row],[K]]*Games[[#This Row],[POMult]]</f>
        <v>73.45</v>
      </c>
      <c r="AA227" s="4">
        <f>(Games[[#This Row],[Keff]]*Games[[#This Row],[MOVMult]])*(Games[[#This Row],[Result]]-Games[[#This Row],[ExpectedWin%]])</f>
        <v>-9.0141964858532297</v>
      </c>
      <c r="AB227" s="4">
        <f>Games[[#This Row],[PreGmRate]]+Games[[#This Row],[RatingChange]]</f>
        <v>1303.2475834587601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39632</v>
      </c>
      <c r="B228" s="2">
        <v>2008</v>
      </c>
      <c r="C228" s="2">
        <f>COUNTIFS(Games[Team],Games[[#This Row],[Team]],Games[Season],Games[[#This Row],[Season]],Games[Date],"&lt;=" &amp; Games[[#This Row],[Date]])</f>
        <v>17</v>
      </c>
      <c r="D228" s="2" t="s">
        <v>23</v>
      </c>
      <c r="E228" s="2" t="s">
        <v>29</v>
      </c>
      <c r="F228" s="1" t="s">
        <v>76</v>
      </c>
      <c r="G228" s="1" t="s">
        <v>69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1473.0196400292502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1525.084218427658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0.31361971445555192</v>
      </c>
      <c r="R228" s="1">
        <v>88</v>
      </c>
      <c r="S228" s="1">
        <v>70</v>
      </c>
      <c r="T228" s="1">
        <v>0</v>
      </c>
      <c r="U228" s="1">
        <f>Games[[#This Row],[PointsFor]]-Games[[#This Row],[PointsAgainst]]</f>
        <v>18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0.52409494675663759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73.45</v>
      </c>
      <c r="Z228" s="4">
        <f>Games[[#This Row],[K]]*Games[[#This Row],[POMult]]</f>
        <v>73.45</v>
      </c>
      <c r="AA228" s="4">
        <f>(Games[[#This Row],[Keff]]*Games[[#This Row],[MOVMult]])*(Games[[#This Row],[Result]]-Games[[#This Row],[ExpectedWin%]])</f>
        <v>26.422053859770546</v>
      </c>
      <c r="AB228" s="4">
        <f>Games[[#This Row],[PreGmRate]]+Games[[#This Row],[RatingChange]]</f>
        <v>1499.4416938890208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39632</v>
      </c>
      <c r="B229" s="2">
        <v>2008</v>
      </c>
      <c r="C229" s="2">
        <f>COUNTIFS(Games[Team],Games[[#This Row],[Team]],Games[Season],Games[[#This Row],[Season]],Games[Date],"&lt;=" &amp; Games[[#This Row],[Date]])</f>
        <v>16</v>
      </c>
      <c r="D229" s="2" t="s">
        <v>23</v>
      </c>
      <c r="E229" s="2" t="s">
        <v>29</v>
      </c>
      <c r="F229" s="1" t="s">
        <v>69</v>
      </c>
      <c r="G229" s="1" t="s">
        <v>76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1525.084218427658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1473.0196400292502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0.68638028554444808</v>
      </c>
      <c r="R229" s="1">
        <v>70</v>
      </c>
      <c r="S229" s="1">
        <v>88</v>
      </c>
      <c r="T229" s="1">
        <v>0</v>
      </c>
      <c r="U229" s="1">
        <f>Games[[#This Row],[PointsFor]]-Games[[#This Row],[PointsAgainst]]</f>
        <v>-18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0.52409494675663759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73.599999999999994</v>
      </c>
      <c r="Z229" s="4">
        <f>Games[[#This Row],[K]]*Games[[#This Row],[POMult]]</f>
        <v>73.599999999999994</v>
      </c>
      <c r="AA229" s="4">
        <f>(Games[[#This Row],[Keff]]*Games[[#This Row],[MOVMult]])*(Games[[#This Row],[Result]]-Games[[#This Row],[ExpectedWin%]])</f>
        <v>-26.476013125651626</v>
      </c>
      <c r="AB229" s="4">
        <f>Games[[#This Row],[PreGmRate]]+Games[[#This Row],[RatingChange]]</f>
        <v>1498.6082053020064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39632</v>
      </c>
      <c r="B230" s="2">
        <v>2008</v>
      </c>
      <c r="C230" s="2">
        <f>COUNTIFS(Games[Team],Games[[#This Row],[Team]],Games[Season],Games[[#This Row],[Season]],Games[Date],"&lt;=" &amp; Games[[#This Row],[Date]])</f>
        <v>17</v>
      </c>
      <c r="D230" s="2" t="s">
        <v>23</v>
      </c>
      <c r="E230" s="2" t="s">
        <v>29</v>
      </c>
      <c r="F230" s="1" t="s">
        <v>45</v>
      </c>
      <c r="G230" s="1" t="s">
        <v>83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1493.1586264484188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1552.2476465206601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0.30498165545969924</v>
      </c>
      <c r="R230" s="1">
        <v>67</v>
      </c>
      <c r="S230" s="1">
        <v>68</v>
      </c>
      <c r="T230" s="1">
        <v>0</v>
      </c>
      <c r="U230" s="1">
        <f>Games[[#This Row],[PointsFor]]-Games[[#This Row],[PointsAgainst]]</f>
        <v>-1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0.23272032436716833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73.45</v>
      </c>
      <c r="Z230" s="4">
        <f>Games[[#This Row],[K]]*Games[[#This Row],[POMult]]</f>
        <v>73.45</v>
      </c>
      <c r="AA230" s="4">
        <f>(Games[[#This Row],[Keff]]*Games[[#This Row],[MOVMult]])*(Games[[#This Row],[Result]]-Games[[#This Row],[ExpectedWin%]])</f>
        <v>-5.2131453176801328</v>
      </c>
      <c r="AB230" s="4">
        <f>Games[[#This Row],[PreGmRate]]+Games[[#This Row],[RatingChange]]</f>
        <v>1487.9454811307387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39632</v>
      </c>
      <c r="B231" s="2">
        <v>2008</v>
      </c>
      <c r="C231" s="2">
        <f>COUNTIFS(Games[Team],Games[[#This Row],[Team]],Games[Season],Games[[#This Row],[Season]],Games[Date],"&lt;=" &amp; Games[[#This Row],[Date]])</f>
        <v>17</v>
      </c>
      <c r="D231" s="2" t="s">
        <v>23</v>
      </c>
      <c r="E231" s="2" t="s">
        <v>29</v>
      </c>
      <c r="F231" s="1" t="s">
        <v>83</v>
      </c>
      <c r="G231" s="1" t="s">
        <v>45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1552.2476465206601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1493.1586264484188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0.69501834454030076</v>
      </c>
      <c r="R231" s="1">
        <v>68</v>
      </c>
      <c r="S231" s="1">
        <v>67</v>
      </c>
      <c r="T231" s="1">
        <v>0</v>
      </c>
      <c r="U231" s="1">
        <f>Games[[#This Row],[PointsFor]]-Games[[#This Row],[PointsAgainst]]</f>
        <v>1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0.23272032436716833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73.45</v>
      </c>
      <c r="Z231" s="4">
        <f>Games[[#This Row],[K]]*Games[[#This Row],[POMult]]</f>
        <v>73.45</v>
      </c>
      <c r="AA231" s="4">
        <f>(Games[[#This Row],[Keff]]*Games[[#This Row],[MOVMult]])*(Games[[#This Row],[Result]]-Games[[#This Row],[ExpectedWin%]])</f>
        <v>5.2131453176801328</v>
      </c>
      <c r="AB231" s="4">
        <f>Games[[#This Row],[PreGmRate]]+Games[[#This Row],[RatingChange]]</f>
        <v>1557.4607918383401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39632</v>
      </c>
      <c r="B232" s="2">
        <v>2008</v>
      </c>
      <c r="C232" s="2">
        <f>COUNTIFS(Games[Team],Games[[#This Row],[Team]],Games[Season],Games[[#This Row],[Season]],Games[Date],"&lt;=" &amp; Games[[#This Row],[Date]])</f>
        <v>16</v>
      </c>
      <c r="D232" s="2" t="s">
        <v>23</v>
      </c>
      <c r="E232" s="2" t="s">
        <v>29</v>
      </c>
      <c r="F232" s="1" t="s">
        <v>66</v>
      </c>
      <c r="G232" s="1" t="s">
        <v>80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2" s="2">
        <f>Games[[#This Row],[DaysOff]]-Games[[#This Row],[OppDaysOff]]</f>
        <v>-2</v>
      </c>
      <c r="L232" s="2">
        <f>Games[[#This Row],[OppDaysOff]]-Games[[#This Row],[DaysOff]]</f>
        <v>2</v>
      </c>
      <c r="M232" s="1">
        <f>MAX(-16, MIN(16, Games[[#This Row],[RestDiff]]*8))</f>
        <v>-16</v>
      </c>
      <c r="N232" s="1">
        <f>MAX(-16, MIN(16, Games[[#This Row],[OppRestDiff]]*8))</f>
        <v>16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1508.1634314302883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1515.0777922734335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0.3301399979934746</v>
      </c>
      <c r="R232" s="1">
        <v>71</v>
      </c>
      <c r="S232" s="1">
        <v>84</v>
      </c>
      <c r="T232" s="1">
        <v>0</v>
      </c>
      <c r="U232" s="1">
        <f>Games[[#This Row],[PointsFor]]-Games[[#This Row],[PointsAgainst]]</f>
        <v>-13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0.46933943712561321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73.599999999999994</v>
      </c>
      <c r="Z232" s="4">
        <f>Games[[#This Row],[K]]*Games[[#This Row],[POMult]]</f>
        <v>73.599999999999994</v>
      </c>
      <c r="AA232" s="4">
        <f>(Games[[#This Row],[Keff]]*Games[[#This Row],[MOVMult]])*(Games[[#This Row],[Result]]-Games[[#This Row],[ExpectedWin%]])</f>
        <v>-11.404152253154862</v>
      </c>
      <c r="AB232" s="4">
        <f>Games[[#This Row],[PreGmRate]]+Games[[#This Row],[RatingChange]]</f>
        <v>1496.7592791771333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39632</v>
      </c>
      <c r="B233" s="2">
        <v>2008</v>
      </c>
      <c r="C233" s="2">
        <f>COUNTIFS(Games[Team],Games[[#This Row],[Team]],Games[Season],Games[[#This Row],[Season]],Games[Date],"&lt;=" &amp; Games[[#This Row],[Date]])</f>
        <v>17</v>
      </c>
      <c r="D233" s="2" t="s">
        <v>23</v>
      </c>
      <c r="E233" s="2" t="s">
        <v>29</v>
      </c>
      <c r="F233" s="1" t="s">
        <v>80</v>
      </c>
      <c r="G233" s="1" t="s">
        <v>66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2</v>
      </c>
      <c r="L233" s="2">
        <f>Games[[#This Row],[OppDaysOff]]-Games[[#This Row],[DaysOff]]</f>
        <v>-2</v>
      </c>
      <c r="M233" s="1">
        <f>MAX(-16, MIN(16, Games[[#This Row],[RestDiff]]*8))</f>
        <v>16</v>
      </c>
      <c r="N233" s="1">
        <f>MAX(-16, MIN(16, Games[[#This Row],[OppRestDiff]]*8))</f>
        <v>-16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1515.0777922734335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1508.1634314302883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0.6698600020065254</v>
      </c>
      <c r="R233" s="1">
        <v>84</v>
      </c>
      <c r="S233" s="1">
        <v>71</v>
      </c>
      <c r="T233" s="1">
        <v>0</v>
      </c>
      <c r="U233" s="1">
        <f>Games[[#This Row],[PointsFor]]-Games[[#This Row],[PointsAgainst]]</f>
        <v>13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0.46933943712561321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73.45</v>
      </c>
      <c r="Z233" s="4">
        <f>Games[[#This Row],[K]]*Games[[#This Row],[POMult]]</f>
        <v>73.45</v>
      </c>
      <c r="AA233" s="4">
        <f>(Games[[#This Row],[Keff]]*Games[[#This Row],[MOVMult]])*(Games[[#This Row],[Result]]-Games[[#This Row],[ExpectedWin%]])</f>
        <v>11.380910095030226</v>
      </c>
      <c r="AB233" s="4">
        <f>Games[[#This Row],[PreGmRate]]+Games[[#This Row],[RatingChange]]</f>
        <v>1526.4587023684637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39634</v>
      </c>
      <c r="B234" s="2">
        <v>2008</v>
      </c>
      <c r="C234" s="2">
        <f>COUNTIFS(Games[Team],Games[[#This Row],[Team]],Games[Season],Games[[#This Row],[Season]],Games[Date],"&lt;=" &amp; Games[[#This Row],[Date]])</f>
        <v>16</v>
      </c>
      <c r="D234" s="2" t="s">
        <v>23</v>
      </c>
      <c r="E234" s="2" t="s">
        <v>29</v>
      </c>
      <c r="F234" s="1" t="s">
        <v>86</v>
      </c>
      <c r="G234" s="1" t="s">
        <v>88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1</v>
      </c>
      <c r="L234" s="2">
        <f>Games[[#This Row],[OppDaysOff]]-Games[[#This Row],[DaysOff]]</f>
        <v>-1</v>
      </c>
      <c r="M234" s="1">
        <f>MAX(-16, MIN(16, Games[[#This Row],[RestDiff]]*8))</f>
        <v>8</v>
      </c>
      <c r="N234" s="1">
        <f>MAX(-16, MIN(16, Games[[#This Row],[OppRestDiff]]*8))</f>
        <v>-8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1435.326307483175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1303.2475834587601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0.59118512581646465</v>
      </c>
      <c r="R234" s="1">
        <v>84</v>
      </c>
      <c r="S234" s="1">
        <v>91</v>
      </c>
      <c r="T234" s="1">
        <v>0</v>
      </c>
      <c r="U234" s="1">
        <f>Games[[#This Row],[PointsFor]]-Games[[#This Row],[PointsAgainst]]</f>
        <v>-7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0.33341017987495747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73.599999999999994</v>
      </c>
      <c r="Z234" s="4">
        <f>Games[[#This Row],[K]]*Games[[#This Row],[POMult]]</f>
        <v>73.599999999999994</v>
      </c>
      <c r="AA234" s="4">
        <f>(Games[[#This Row],[Keff]]*Games[[#This Row],[MOVMult]])*(Games[[#This Row],[Result]]-Games[[#This Row],[ExpectedWin%]])</f>
        <v>-14.507085440547</v>
      </c>
      <c r="AB234" s="4">
        <f>Games[[#This Row],[PreGmRate]]+Games[[#This Row],[RatingChange]]</f>
        <v>1420.8192220426281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39634</v>
      </c>
      <c r="B235" s="2">
        <v>2008</v>
      </c>
      <c r="C235" s="2">
        <f>COUNTIFS(Games[Team],Games[[#This Row],[Team]],Games[Season],Games[[#This Row],[Season]],Games[Date],"&lt;=" &amp; Games[[#This Row],[Date]])</f>
        <v>18</v>
      </c>
      <c r="D235" s="2" t="s">
        <v>23</v>
      </c>
      <c r="E235" s="2" t="s">
        <v>29</v>
      </c>
      <c r="F235" s="1" t="s">
        <v>88</v>
      </c>
      <c r="G235" s="1" t="s">
        <v>86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5" s="2">
        <f>Games[[#This Row],[DaysOff]]-Games[[#This Row],[OppDaysOff]]</f>
        <v>-1</v>
      </c>
      <c r="L235" s="2">
        <f>Games[[#This Row],[OppDaysOff]]-Games[[#This Row],[DaysOff]]</f>
        <v>1</v>
      </c>
      <c r="M235" s="1">
        <f>MAX(-16, MIN(16, Games[[#This Row],[RestDiff]]*8))</f>
        <v>-8</v>
      </c>
      <c r="N235" s="1">
        <f>MAX(-16, MIN(16, Games[[#This Row],[OppRestDiff]]*8))</f>
        <v>8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1303.2475834587601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1435.326307483175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0.4088148741835354</v>
      </c>
      <c r="R235" s="1">
        <v>91</v>
      </c>
      <c r="S235" s="1">
        <v>84</v>
      </c>
      <c r="T235" s="1">
        <v>0</v>
      </c>
      <c r="U235" s="1">
        <f>Games[[#This Row],[PointsFor]]-Games[[#This Row],[PointsAgainst]]</f>
        <v>7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0.33341017987495747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73.3</v>
      </c>
      <c r="Z235" s="4">
        <f>Games[[#This Row],[K]]*Games[[#This Row],[POMult]]</f>
        <v>73.3</v>
      </c>
      <c r="AA235" s="4">
        <f>(Games[[#This Row],[Keff]]*Games[[#This Row],[MOVMult]])*(Games[[#This Row],[Result]]-Games[[#This Row],[ExpectedWin%]])</f>
        <v>14.447953298805638</v>
      </c>
      <c r="AB235" s="4">
        <f>Games[[#This Row],[PreGmRate]]+Games[[#This Row],[RatingChange]]</f>
        <v>1317.6955367575658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39634</v>
      </c>
      <c r="B236" s="2">
        <v>2008</v>
      </c>
      <c r="C236" s="2">
        <f>COUNTIFS(Games[Team],Games[[#This Row],[Team]],Games[Season],Games[[#This Row],[Season]],Games[Date],"&lt;=" &amp; Games[[#This Row],[Date]])</f>
        <v>18</v>
      </c>
      <c r="D236" s="2" t="s">
        <v>23</v>
      </c>
      <c r="E236" s="2" t="s">
        <v>29</v>
      </c>
      <c r="F236" s="1" t="s">
        <v>45</v>
      </c>
      <c r="G236" s="1" t="s">
        <v>2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1487.9454811307387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1491.3572560979671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0.3767930321300606</v>
      </c>
      <c r="R236" s="1">
        <v>65</v>
      </c>
      <c r="S236" s="1">
        <v>73</v>
      </c>
      <c r="T236" s="1">
        <v>0</v>
      </c>
      <c r="U236" s="1">
        <f>Games[[#This Row],[PointsFor]]-Games[[#This Row],[PointsAgainst]]</f>
        <v>-8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0.3872146273591982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73.3</v>
      </c>
      <c r="Z236" s="4">
        <f>Games[[#This Row],[K]]*Games[[#This Row],[POMult]]</f>
        <v>73.3</v>
      </c>
      <c r="AA236" s="4">
        <f>(Games[[#This Row],[Keff]]*Games[[#This Row],[MOVMult]])*(Games[[#This Row],[Result]]-Games[[#This Row],[ExpectedWin%]])</f>
        <v>-10.694453399586553</v>
      </c>
      <c r="AB236" s="4">
        <f>Games[[#This Row],[PreGmRate]]+Games[[#This Row],[RatingChange]]</f>
        <v>1477.2510277311521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39634</v>
      </c>
      <c r="B237" s="2">
        <v>2008</v>
      </c>
      <c r="C237" s="2">
        <f>COUNTIFS(Games[Team],Games[[#This Row],[Team]],Games[Season],Games[[#This Row],[Season]],Games[Date],"&lt;=" &amp; Games[[#This Row],[Date]])</f>
        <v>18</v>
      </c>
      <c r="D237" s="2" t="s">
        <v>23</v>
      </c>
      <c r="E237" s="2" t="s">
        <v>29</v>
      </c>
      <c r="F237" s="1" t="s">
        <v>2</v>
      </c>
      <c r="G237" s="1" t="s">
        <v>45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1491.3572560979671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1487.9454811307387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0.62320696786993934</v>
      </c>
      <c r="R237" s="1">
        <v>73</v>
      </c>
      <c r="S237" s="1">
        <v>65</v>
      </c>
      <c r="T237" s="1">
        <v>0</v>
      </c>
      <c r="U237" s="1">
        <f>Games[[#This Row],[PointsFor]]-Games[[#This Row],[PointsAgainst]]</f>
        <v>8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0.3872146273591982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73.3</v>
      </c>
      <c r="Z237" s="4">
        <f>Games[[#This Row],[K]]*Games[[#This Row],[POMult]]</f>
        <v>73.3</v>
      </c>
      <c r="AA237" s="4">
        <f>(Games[[#This Row],[Keff]]*Games[[#This Row],[MOVMult]])*(Games[[#This Row],[Result]]-Games[[#This Row],[ExpectedWin%]])</f>
        <v>10.694453399586553</v>
      </c>
      <c r="AB237" s="4">
        <f>Games[[#This Row],[PreGmRate]]+Games[[#This Row],[RatingChange]]</f>
        <v>1502.0517094975537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39634</v>
      </c>
      <c r="B238" s="2">
        <v>2008</v>
      </c>
      <c r="C238" s="2">
        <f>COUNTIFS(Games[Team],Games[[#This Row],[Team]],Games[Season],Games[[#This Row],[Season]],Games[Date],"&lt;=" &amp; Games[[#This Row],[Date]])</f>
        <v>19</v>
      </c>
      <c r="D238" s="2" t="s">
        <v>23</v>
      </c>
      <c r="E238" s="2" t="s">
        <v>29</v>
      </c>
      <c r="F238" s="1" t="s">
        <v>85</v>
      </c>
      <c r="G238" s="1" t="s">
        <v>78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8" s="2">
        <f>Games[[#This Row],[DaysOff]]-Games[[#This Row],[OppDaysOff]]</f>
        <v>1</v>
      </c>
      <c r="L238" s="2">
        <f>Games[[#This Row],[OppDaysOff]]-Games[[#This Row],[DaysOff]]</f>
        <v>-1</v>
      </c>
      <c r="M238" s="1">
        <f>MAX(-16, MIN(16, Games[[#This Row],[RestDiff]]*8))</f>
        <v>8</v>
      </c>
      <c r="N238" s="1">
        <f>MAX(-16, MIN(16, Games[[#This Row],[OppRestDiff]]*8))</f>
        <v>-8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1592.3811386200248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1511.5470435734946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0.51846135122422599</v>
      </c>
      <c r="R238" s="1">
        <v>74</v>
      </c>
      <c r="S238" s="1">
        <v>81</v>
      </c>
      <c r="T238" s="1">
        <v>0</v>
      </c>
      <c r="U238" s="1">
        <f>Games[[#This Row],[PointsFor]]-Games[[#This Row],[PointsAgainst]]</f>
        <v>-7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0.34674951947500254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73.150000000000006</v>
      </c>
      <c r="Z238" s="4">
        <f>Games[[#This Row],[K]]*Games[[#This Row],[POMult]]</f>
        <v>73.150000000000006</v>
      </c>
      <c r="AA238" s="4">
        <f>(Games[[#This Row],[Keff]]*Games[[#This Row],[MOVMult]])*(Games[[#This Row],[Result]]-Games[[#This Row],[ExpectedWin%]])</f>
        <v>-13.150630815105851</v>
      </c>
      <c r="AB238" s="4">
        <f>Games[[#This Row],[PreGmRate]]+Games[[#This Row],[RatingChange]]</f>
        <v>1579.2305078049189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39634</v>
      </c>
      <c r="B239" s="2">
        <v>2008</v>
      </c>
      <c r="C239" s="2">
        <f>COUNTIFS(Games[Team],Games[[#This Row],[Team]],Games[Season],Games[[#This Row],[Season]],Games[Date],"&lt;=" &amp; Games[[#This Row],[Date]])</f>
        <v>17</v>
      </c>
      <c r="D239" s="2" t="s">
        <v>23</v>
      </c>
      <c r="E239" s="2" t="s">
        <v>29</v>
      </c>
      <c r="F239" s="1" t="s">
        <v>78</v>
      </c>
      <c r="G239" s="1" t="s">
        <v>85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9" s="2">
        <f>Games[[#This Row],[DaysOff]]-Games[[#This Row],[OppDaysOff]]</f>
        <v>-1</v>
      </c>
      <c r="L239" s="2">
        <f>Games[[#This Row],[OppDaysOff]]-Games[[#This Row],[DaysOff]]</f>
        <v>1</v>
      </c>
      <c r="M239" s="1">
        <f>MAX(-16, MIN(16, Games[[#This Row],[RestDiff]]*8))</f>
        <v>-8</v>
      </c>
      <c r="N239" s="1">
        <f>MAX(-16, MIN(16, Games[[#This Row],[OppRestDiff]]*8))</f>
        <v>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1511.5470435734946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1592.3811386200248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0.48153864877577407</v>
      </c>
      <c r="R239" s="1">
        <v>81</v>
      </c>
      <c r="S239" s="1">
        <v>74</v>
      </c>
      <c r="T239" s="1">
        <v>0</v>
      </c>
      <c r="U239" s="1">
        <f>Games[[#This Row],[PointsFor]]-Games[[#This Row],[PointsAgainst]]</f>
        <v>7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0.34674951947500254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73.45</v>
      </c>
      <c r="Z239" s="4">
        <f>Games[[#This Row],[K]]*Games[[#This Row],[POMult]]</f>
        <v>73.45</v>
      </c>
      <c r="AA239" s="4">
        <f>(Games[[#This Row],[Keff]]*Games[[#This Row],[MOVMult]])*(Games[[#This Row],[Result]]-Games[[#This Row],[ExpectedWin%]])</f>
        <v>13.204563682426858</v>
      </c>
      <c r="AB239" s="4">
        <f>Games[[#This Row],[PreGmRate]]+Games[[#This Row],[RatingChange]]</f>
        <v>1524.7516072559215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39634</v>
      </c>
      <c r="B240" s="2">
        <v>2008</v>
      </c>
      <c r="C240" s="2">
        <f>COUNTIFS(Games[Team],Games[[#This Row],[Team]],Games[Season],Games[[#This Row],[Season]],Games[Date],"&lt;=" &amp; Games[[#This Row],[Date]])</f>
        <v>17</v>
      </c>
      <c r="D240" s="2" t="s">
        <v>23</v>
      </c>
      <c r="E240" s="2" t="s">
        <v>29</v>
      </c>
      <c r="F240" s="1" t="s">
        <v>66</v>
      </c>
      <c r="G240" s="1" t="s">
        <v>44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0" s="2">
        <f>Games[[#This Row],[DaysOff]]-Games[[#This Row],[OppDaysOff]]</f>
        <v>-2</v>
      </c>
      <c r="L240" s="2">
        <f>Games[[#This Row],[OppDaysOff]]-Games[[#This Row],[DaysOff]]</f>
        <v>2</v>
      </c>
      <c r="M240" s="1">
        <f>MAX(-16, MIN(16, Games[[#This Row],[RestDiff]]*8))</f>
        <v>-16</v>
      </c>
      <c r="N240" s="1">
        <f>MAX(-16, MIN(16, Games[[#This Row],[OppRestDiff]]*8))</f>
        <v>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1496.7592791771333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1585.0390361975335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0.23578499676600395</v>
      </c>
      <c r="R240" s="1">
        <v>93</v>
      </c>
      <c r="S240" s="1">
        <v>83</v>
      </c>
      <c r="T240" s="1">
        <v>0</v>
      </c>
      <c r="U240" s="1">
        <f>Games[[#This Row],[PointsFor]]-Games[[#This Row],[PointsAgainst]]</f>
        <v>10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0.39413460968532499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73.45</v>
      </c>
      <c r="Z240" s="4">
        <f>Games[[#This Row],[K]]*Games[[#This Row],[POMult]]</f>
        <v>73.45</v>
      </c>
      <c r="AA240" s="4">
        <f>(Games[[#This Row],[Keff]]*Games[[#This Row],[MOVMult]])*(Games[[#This Row],[Result]]-Games[[#This Row],[ExpectedWin%]])</f>
        <v>22.123403099023818</v>
      </c>
      <c r="AB240" s="4">
        <f>Games[[#This Row],[PreGmRate]]+Games[[#This Row],[RatingChange]]</f>
        <v>1518.8826822761571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39634</v>
      </c>
      <c r="B241" s="2">
        <v>2008</v>
      </c>
      <c r="C241" s="2">
        <f>COUNTIFS(Games[Team],Games[[#This Row],[Team]],Games[Season],Games[[#This Row],[Season]],Games[Date],"&lt;=" &amp; Games[[#This Row],[Date]])</f>
        <v>16</v>
      </c>
      <c r="D241" s="2" t="s">
        <v>23</v>
      </c>
      <c r="E241" s="2" t="s">
        <v>29</v>
      </c>
      <c r="F241" s="1" t="s">
        <v>44</v>
      </c>
      <c r="G241" s="1" t="s">
        <v>66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2</v>
      </c>
      <c r="L241" s="2">
        <f>Games[[#This Row],[OppDaysOff]]-Games[[#This Row],[DaysOff]]</f>
        <v>-2</v>
      </c>
      <c r="M241" s="1">
        <f>MAX(-16, MIN(16, Games[[#This Row],[RestDiff]]*8))</f>
        <v>16</v>
      </c>
      <c r="N241" s="1">
        <f>MAX(-16, MIN(16, Games[[#This Row],[OppRestDiff]]*8))</f>
        <v>-16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1585.0390361975335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1496.7592791771333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0.76421500323399616</v>
      </c>
      <c r="R241" s="1">
        <v>83</v>
      </c>
      <c r="S241" s="1">
        <v>93</v>
      </c>
      <c r="T241" s="1">
        <v>0</v>
      </c>
      <c r="U241" s="1">
        <f>Games[[#This Row],[PointsFor]]-Games[[#This Row],[PointsAgainst]]</f>
        <v>-10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0.39413460968532499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73.599999999999994</v>
      </c>
      <c r="Z241" s="4">
        <f>Games[[#This Row],[K]]*Games[[#This Row],[POMult]]</f>
        <v>73.599999999999994</v>
      </c>
      <c r="AA241" s="4">
        <f>(Games[[#This Row],[Keff]]*Games[[#This Row],[MOVMult]])*(Games[[#This Row],[Result]]-Games[[#This Row],[ExpectedWin%]])</f>
        <v>-22.168583636326112</v>
      </c>
      <c r="AB241" s="4">
        <f>Games[[#This Row],[PreGmRate]]+Games[[#This Row],[RatingChange]]</f>
        <v>1562.8704525612075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39634</v>
      </c>
      <c r="B242" s="2">
        <v>2008</v>
      </c>
      <c r="C242" s="2">
        <f>COUNTIFS(Games[Team],Games[[#This Row],[Team]],Games[Season],Games[[#This Row],[Season]],Games[Date],"&lt;=" &amp; Games[[#This Row],[Date]])</f>
        <v>18</v>
      </c>
      <c r="D242" s="2" t="s">
        <v>23</v>
      </c>
      <c r="E242" s="2" t="s">
        <v>29</v>
      </c>
      <c r="F242" s="1" t="s">
        <v>76</v>
      </c>
      <c r="G242" s="1" t="s">
        <v>80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1499.4416938890208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1526.4587023684637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0.34545786649254601</v>
      </c>
      <c r="R242" s="1">
        <v>71</v>
      </c>
      <c r="S242" s="1">
        <v>96</v>
      </c>
      <c r="T242" s="1">
        <v>0</v>
      </c>
      <c r="U242" s="1">
        <f>Games[[#This Row],[PointsFor]]-Games[[#This Row],[PointsAgainst]]</f>
        <v>-25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0.62722328113962877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73.3</v>
      </c>
      <c r="Z242" s="4">
        <f>Games[[#This Row],[K]]*Games[[#This Row],[POMult]]</f>
        <v>73.3</v>
      </c>
      <c r="AA242" s="4">
        <f>(Games[[#This Row],[Keff]]*Games[[#This Row],[MOVMult]])*(Games[[#This Row],[Result]]-Games[[#This Row],[ExpectedWin%]])</f>
        <v>-15.882586570692474</v>
      </c>
      <c r="AB242" s="4">
        <f>Games[[#This Row],[PreGmRate]]+Games[[#This Row],[RatingChange]]</f>
        <v>1483.5591073183284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39634</v>
      </c>
      <c r="B243" s="2">
        <v>2008</v>
      </c>
      <c r="C243" s="2">
        <f>COUNTIFS(Games[Team],Games[[#This Row],[Team]],Games[Season],Games[[#This Row],[Season]],Games[Date],"&lt;=" &amp; Games[[#This Row],[Date]])</f>
        <v>18</v>
      </c>
      <c r="D243" s="2" t="s">
        <v>23</v>
      </c>
      <c r="E243" s="2" t="s">
        <v>29</v>
      </c>
      <c r="F243" s="1" t="s">
        <v>80</v>
      </c>
      <c r="G243" s="1" t="s">
        <v>76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1526.4587023684637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1499.4416938890208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0.65454213350745405</v>
      </c>
      <c r="R243" s="1">
        <v>96</v>
      </c>
      <c r="S243" s="1">
        <v>71</v>
      </c>
      <c r="T243" s="1">
        <v>0</v>
      </c>
      <c r="U243" s="1">
        <f>Games[[#This Row],[PointsFor]]-Games[[#This Row],[PointsAgainst]]</f>
        <v>25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0.62722328113962877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73.3</v>
      </c>
      <c r="Z243" s="4">
        <f>Games[[#This Row],[K]]*Games[[#This Row],[POMult]]</f>
        <v>73.3</v>
      </c>
      <c r="AA243" s="4">
        <f>(Games[[#This Row],[Keff]]*Games[[#This Row],[MOVMult]])*(Games[[#This Row],[Result]]-Games[[#This Row],[ExpectedWin%]])</f>
        <v>15.882586570692471</v>
      </c>
      <c r="AB243" s="4">
        <f>Games[[#This Row],[PreGmRate]]+Games[[#This Row],[RatingChange]]</f>
        <v>1542.3412889391561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39635</v>
      </c>
      <c r="B244" s="2">
        <v>2008</v>
      </c>
      <c r="C244" s="2">
        <f>COUNTIFS(Games[Team],Games[[#This Row],[Team]],Games[Season],Games[[#This Row],[Season]],Games[Date],"&lt;=" &amp; Games[[#This Row],[Date]])</f>
        <v>17</v>
      </c>
      <c r="D244" s="2" t="s">
        <v>23</v>
      </c>
      <c r="E244" s="2" t="s">
        <v>29</v>
      </c>
      <c r="F244" s="1" t="s">
        <v>44</v>
      </c>
      <c r="G244" s="1" t="s">
        <v>69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4" s="2">
        <f>Games[[#This Row],[DaysOff]]-Games[[#This Row],[OppDaysOff]]</f>
        <v>-2</v>
      </c>
      <c r="L244" s="2">
        <f>Games[[#This Row],[OppDaysOff]]-Games[[#This Row],[DaysOff]]</f>
        <v>2</v>
      </c>
      <c r="M244" s="1">
        <f>MAX(-16, MIN(16, Games[[#This Row],[RestDiff]]*8))</f>
        <v>-16</v>
      </c>
      <c r="N244" s="1">
        <f>MAX(-16, MIN(16, Games[[#This Row],[OppRestDiff]]*8))</f>
        <v>16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1562.8704525612075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1498.6082053020064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0.42608891242674291</v>
      </c>
      <c r="R244" s="1">
        <v>80</v>
      </c>
      <c r="S244" s="1">
        <v>91</v>
      </c>
      <c r="T244" s="1">
        <v>0</v>
      </c>
      <c r="U244" s="1">
        <f>Games[[#This Row],[PointsFor]]-Games[[#This Row],[PointsAgainst]]</f>
        <v>-11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0.41747917843262672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73.45</v>
      </c>
      <c r="Z244" s="4">
        <f>Games[[#This Row],[K]]*Games[[#This Row],[POMult]]</f>
        <v>73.45</v>
      </c>
      <c r="AA244" s="4">
        <f>(Games[[#This Row],[Keff]]*Games[[#This Row],[MOVMult]])*(Games[[#This Row],[Result]]-Games[[#This Row],[ExpectedWin%]])</f>
        <v>-13.065524646333895</v>
      </c>
      <c r="AB244" s="4">
        <f>Games[[#This Row],[PreGmRate]]+Games[[#This Row],[RatingChange]]</f>
        <v>1549.8049279148736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39635</v>
      </c>
      <c r="B245" s="2">
        <v>2008</v>
      </c>
      <c r="C245" s="2">
        <f>COUNTIFS(Games[Team],Games[[#This Row],[Team]],Games[Season],Games[[#This Row],[Season]],Games[Date],"&lt;=" &amp; Games[[#This Row],[Date]])</f>
        <v>17</v>
      </c>
      <c r="D245" s="2" t="s">
        <v>23</v>
      </c>
      <c r="E245" s="2" t="s">
        <v>29</v>
      </c>
      <c r="F245" s="1" t="s">
        <v>69</v>
      </c>
      <c r="G245" s="1" t="s">
        <v>44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5" s="2">
        <f>Games[[#This Row],[DaysOff]]-Games[[#This Row],[OppDaysOff]]</f>
        <v>2</v>
      </c>
      <c r="L245" s="2">
        <f>Games[[#This Row],[OppDaysOff]]-Games[[#This Row],[DaysOff]]</f>
        <v>-2</v>
      </c>
      <c r="M245" s="1">
        <f>MAX(-16, MIN(16, Games[[#This Row],[RestDiff]]*8))</f>
        <v>16</v>
      </c>
      <c r="N245" s="1">
        <f>MAX(-16, MIN(16, Games[[#This Row],[OppRestDiff]]*8))</f>
        <v>-16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1498.6082053020064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1562.8704525612075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0.57391108757325715</v>
      </c>
      <c r="R245" s="1">
        <v>91</v>
      </c>
      <c r="S245" s="1">
        <v>80</v>
      </c>
      <c r="T245" s="1">
        <v>0</v>
      </c>
      <c r="U245" s="1">
        <f>Games[[#This Row],[PointsFor]]-Games[[#This Row],[PointsAgainst]]</f>
        <v>11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0.41747917843262672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73.45</v>
      </c>
      <c r="Z245" s="4">
        <f>Games[[#This Row],[K]]*Games[[#This Row],[POMult]]</f>
        <v>73.45</v>
      </c>
      <c r="AA245" s="4">
        <f>(Games[[#This Row],[Keff]]*Games[[#This Row],[MOVMult]])*(Games[[#This Row],[Result]]-Games[[#This Row],[ExpectedWin%]])</f>
        <v>13.065524646333893</v>
      </c>
      <c r="AB245" s="4">
        <f>Games[[#This Row],[PreGmRate]]+Games[[#This Row],[RatingChange]]</f>
        <v>1511.6737299483402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39635</v>
      </c>
      <c r="B246" s="2">
        <v>2008</v>
      </c>
      <c r="C246" s="2">
        <f>COUNTIFS(Games[Team],Games[[#This Row],[Team]],Games[Season],Games[[#This Row],[Season]],Games[Date],"&lt;=" &amp; Games[[#This Row],[Date]])</f>
        <v>18</v>
      </c>
      <c r="D246" s="2" t="s">
        <v>23</v>
      </c>
      <c r="E246" s="2" t="s">
        <v>29</v>
      </c>
      <c r="F246" s="1" t="s">
        <v>83</v>
      </c>
      <c r="G246" s="1" t="s">
        <v>72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6" s="2">
        <f>Games[[#This Row],[DaysOff]]-Games[[#This Row],[OppDaysOff]]</f>
        <v>-2</v>
      </c>
      <c r="L246" s="2">
        <f>Games[[#This Row],[OppDaysOff]]-Games[[#This Row],[DaysOff]]</f>
        <v>2</v>
      </c>
      <c r="M246" s="1">
        <f>MAX(-16, MIN(16, Games[[#This Row],[RestDiff]]*8))</f>
        <v>-16</v>
      </c>
      <c r="N246" s="1">
        <f>MAX(-16, MIN(16, Games[[#This Row],[OppRestDiff]]*8))</f>
        <v>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1557.4607918383401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1448.1125627642643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0.49042850156945295</v>
      </c>
      <c r="R246" s="1">
        <v>83</v>
      </c>
      <c r="S246" s="1">
        <v>75</v>
      </c>
      <c r="T246" s="1">
        <v>0</v>
      </c>
      <c r="U246" s="1">
        <f>Games[[#This Row],[PointsFor]]-Games[[#This Row],[PointsAgainst]]</f>
        <v>8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0.35588595276378848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73.3</v>
      </c>
      <c r="Z246" s="4">
        <f>Games[[#This Row],[K]]*Games[[#This Row],[POMult]]</f>
        <v>73.3</v>
      </c>
      <c r="AA246" s="4">
        <f>(Games[[#This Row],[Keff]]*Games[[#This Row],[MOVMult]])*(Games[[#This Row],[Result]]-Games[[#This Row],[ExpectedWin%]])</f>
        <v>13.29290649154261</v>
      </c>
      <c r="AB246" s="4">
        <f>Games[[#This Row],[PreGmRate]]+Games[[#This Row],[RatingChange]]</f>
        <v>1570.7536983298828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39635</v>
      </c>
      <c r="B247" s="2">
        <v>2008</v>
      </c>
      <c r="C247" s="2">
        <f>COUNTIFS(Games[Team],Games[[#This Row],[Team]],Games[Season],Games[[#This Row],[Season]],Games[Date],"&lt;=" &amp; Games[[#This Row],[Date]])</f>
        <v>17</v>
      </c>
      <c r="D247" s="2" t="s">
        <v>23</v>
      </c>
      <c r="E247" s="2" t="s">
        <v>29</v>
      </c>
      <c r="F247" s="1" t="s">
        <v>72</v>
      </c>
      <c r="G247" s="1" t="s">
        <v>83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2</v>
      </c>
      <c r="L247" s="2">
        <f>Games[[#This Row],[OppDaysOff]]-Games[[#This Row],[DaysOff]]</f>
        <v>-2</v>
      </c>
      <c r="M247" s="1">
        <f>MAX(-16, MIN(16, Games[[#This Row],[RestDiff]]*8))</f>
        <v>16</v>
      </c>
      <c r="N247" s="1">
        <f>MAX(-16, MIN(16, Games[[#This Row],[OppRestDiff]]*8))</f>
        <v>-16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1448.1125627642643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1557.4607918383401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0.50957149843054705</v>
      </c>
      <c r="R247" s="1">
        <v>75</v>
      </c>
      <c r="S247" s="1">
        <v>83</v>
      </c>
      <c r="T247" s="1">
        <v>0</v>
      </c>
      <c r="U247" s="1">
        <f>Games[[#This Row],[PointsFor]]-Games[[#This Row],[PointsAgainst]]</f>
        <v>-8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0.35588595276378848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73.45</v>
      </c>
      <c r="Z247" s="4">
        <f>Games[[#This Row],[K]]*Games[[#This Row],[POMult]]</f>
        <v>73.45</v>
      </c>
      <c r="AA247" s="4">
        <f>(Games[[#This Row],[Keff]]*Games[[#This Row],[MOVMult]])*(Games[[#This Row],[Result]]-Games[[#This Row],[ExpectedWin%]])</f>
        <v>-13.320108892275643</v>
      </c>
      <c r="AB247" s="4">
        <f>Games[[#This Row],[PreGmRate]]+Games[[#This Row],[RatingChange]]</f>
        <v>1434.7924538719888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39637</v>
      </c>
      <c r="B248" s="2">
        <v>2008</v>
      </c>
      <c r="C248" s="2">
        <f>COUNTIFS(Games[Team],Games[[#This Row],[Team]],Games[Season],Games[[#This Row],[Season]],Games[Date],"&lt;=" &amp; Games[[#This Row],[Date]])</f>
        <v>20</v>
      </c>
      <c r="D248" s="2" t="s">
        <v>23</v>
      </c>
      <c r="E248" s="2" t="s">
        <v>29</v>
      </c>
      <c r="F248" s="1" t="s">
        <v>85</v>
      </c>
      <c r="G248" s="1" t="s">
        <v>74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48" s="2">
        <f>Games[[#This Row],[DaysOff]]-Games[[#This Row],[OppDaysOff]]</f>
        <v>-4</v>
      </c>
      <c r="L248" s="2">
        <f>Games[[#This Row],[OppDaysOff]]-Games[[#This Row],[DaysOff]]</f>
        <v>4</v>
      </c>
      <c r="M248" s="1">
        <f>MAX(-16, MIN(16, Games[[#This Row],[RestDiff]]*8))</f>
        <v>-16</v>
      </c>
      <c r="N248" s="1">
        <f>MAX(-16, MIN(16, Games[[#This Row],[OppRestDiff]]*8))</f>
        <v>16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1579.2305078049189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1592.1510778246115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0.32253932133632252</v>
      </c>
      <c r="R248" s="1">
        <v>82</v>
      </c>
      <c r="S248" s="1">
        <v>88</v>
      </c>
      <c r="T248" s="1">
        <v>0</v>
      </c>
      <c r="U248" s="1">
        <f>Games[[#This Row],[PointsFor]]-Games[[#This Row],[PointsAgainst]]</f>
        <v>-6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0.34753876200017453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-8.1829288996529463</v>
      </c>
      <c r="AB248" s="4">
        <f>Games[[#This Row],[PreGmRate]]+Games[[#This Row],[RatingChange]]</f>
        <v>1571.0475789052659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39637</v>
      </c>
      <c r="B249" s="2">
        <v>2008</v>
      </c>
      <c r="C249" s="2">
        <f>COUNTIFS(Games[Team],Games[[#This Row],[Team]],Games[Season],Games[[#This Row],[Season]],Games[Date],"&lt;=" &amp; Games[[#This Row],[Date]])</f>
        <v>19</v>
      </c>
      <c r="D249" s="2" t="s">
        <v>23</v>
      </c>
      <c r="E249" s="2" t="s">
        <v>29</v>
      </c>
      <c r="F249" s="1" t="s">
        <v>74</v>
      </c>
      <c r="G249" s="1" t="s">
        <v>85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6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4</v>
      </c>
      <c r="L249" s="2">
        <f>Games[[#This Row],[OppDaysOff]]-Games[[#This Row],[DaysOff]]</f>
        <v>-4</v>
      </c>
      <c r="M249" s="1">
        <f>MAX(-16, MIN(16, Games[[#This Row],[RestDiff]]*8))</f>
        <v>16</v>
      </c>
      <c r="N249" s="1">
        <f>MAX(-16, MIN(16, Games[[#This Row],[OppRestDiff]]*8))</f>
        <v>-16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1592.1510778246115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1579.2305078049189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0.67746067866367743</v>
      </c>
      <c r="R249" s="1">
        <v>88</v>
      </c>
      <c r="S249" s="1">
        <v>82</v>
      </c>
      <c r="T249" s="1">
        <v>0</v>
      </c>
      <c r="U249" s="1">
        <f>Games[[#This Row],[PointsFor]]-Games[[#This Row],[PointsAgainst]]</f>
        <v>6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0.34753876200017453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73.150000000000006</v>
      </c>
      <c r="Z249" s="4">
        <f>Games[[#This Row],[K]]*Games[[#This Row],[POMult]]</f>
        <v>73.150000000000006</v>
      </c>
      <c r="AA249" s="4">
        <f>(Games[[#This Row],[Keff]]*Games[[#This Row],[MOVMult]])*(Games[[#This Row],[Result]]-Games[[#This Row],[ExpectedWin%]])</f>
        <v>8.1997431371179879</v>
      </c>
      <c r="AB249" s="4">
        <f>Games[[#This Row],[PreGmRate]]+Games[[#This Row],[RatingChange]]</f>
        <v>1600.3508209617296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39637</v>
      </c>
      <c r="B250" s="2">
        <v>2008</v>
      </c>
      <c r="C250" s="2">
        <f>COUNTIFS(Games[Team],Games[[#This Row],[Team]],Games[Season],Games[[#This Row],[Season]],Games[Date],"&lt;=" &amp; Games[[#This Row],[Date]])</f>
        <v>19</v>
      </c>
      <c r="D250" s="2" t="s">
        <v>23</v>
      </c>
      <c r="E250" s="2" t="s">
        <v>29</v>
      </c>
      <c r="F250" s="1" t="s">
        <v>2</v>
      </c>
      <c r="G250" s="1" t="s">
        <v>44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1</v>
      </c>
      <c r="L250" s="2">
        <f>Games[[#This Row],[OppDaysOff]]-Games[[#This Row],[DaysOff]]</f>
        <v>-1</v>
      </c>
      <c r="M250" s="1">
        <f>MAX(-16, MIN(16, Games[[#This Row],[RestDiff]]*8))</f>
        <v>8</v>
      </c>
      <c r="N250" s="1">
        <f>MAX(-16, MIN(16, Games[[#This Row],[OppRestDiff]]*8))</f>
        <v>-8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1502.0517094975537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1549.8049279148736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0.33931930609645994</v>
      </c>
      <c r="R250" s="1">
        <v>94</v>
      </c>
      <c r="S250" s="1">
        <v>99</v>
      </c>
      <c r="T250" s="1">
        <v>0</v>
      </c>
      <c r="U250" s="1">
        <f>Games[[#This Row],[PointsFor]]-Games[[#This Row],[PointsAgainst]]</f>
        <v>-5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0.31905922154900623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73.150000000000006</v>
      </c>
      <c r="Z250" s="4">
        <f>Games[[#This Row],[K]]*Games[[#This Row],[POMult]]</f>
        <v>73.150000000000006</v>
      </c>
      <c r="AA250" s="4">
        <f>(Games[[#This Row],[Keff]]*Games[[#This Row],[MOVMult]])*(Games[[#This Row],[Result]]-Games[[#This Row],[ExpectedWin%]])</f>
        <v>-7.9194350602059931</v>
      </c>
      <c r="AB250" s="4">
        <f>Games[[#This Row],[PreGmRate]]+Games[[#This Row],[RatingChange]]</f>
        <v>1494.1322744373476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39637</v>
      </c>
      <c r="B251" s="2">
        <v>2008</v>
      </c>
      <c r="C251" s="2">
        <f>COUNTIFS(Games[Team],Games[[#This Row],[Team]],Games[Season],Games[[#This Row],[Season]],Games[Date],"&lt;=" &amp; Games[[#This Row],[Date]])</f>
        <v>18</v>
      </c>
      <c r="D251" s="2" t="s">
        <v>23</v>
      </c>
      <c r="E251" s="2" t="s">
        <v>29</v>
      </c>
      <c r="F251" s="1" t="s">
        <v>44</v>
      </c>
      <c r="G251" s="1" t="s">
        <v>2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-1</v>
      </c>
      <c r="L251" s="2">
        <f>Games[[#This Row],[OppDaysOff]]-Games[[#This Row],[DaysOff]]</f>
        <v>1</v>
      </c>
      <c r="M251" s="1">
        <f>MAX(-16, MIN(16, Games[[#This Row],[RestDiff]]*8))</f>
        <v>-8</v>
      </c>
      <c r="N251" s="1">
        <f>MAX(-16, MIN(16, Games[[#This Row],[OppRestDiff]]*8))</f>
        <v>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1549.8049279148736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1502.0517094975537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0.66068069390354001</v>
      </c>
      <c r="R251" s="1">
        <v>99</v>
      </c>
      <c r="S251" s="1">
        <v>94</v>
      </c>
      <c r="T251" s="1">
        <v>0</v>
      </c>
      <c r="U251" s="1">
        <f>Games[[#This Row],[PointsFor]]-Games[[#This Row],[PointsAgainst]]</f>
        <v>5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0.31905922154900623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73.3</v>
      </c>
      <c r="Z251" s="4">
        <f>Games[[#This Row],[K]]*Games[[#This Row],[POMult]]</f>
        <v>73.3</v>
      </c>
      <c r="AA251" s="4">
        <f>(Games[[#This Row],[Keff]]*Games[[#This Row],[MOVMult]])*(Games[[#This Row],[Result]]-Games[[#This Row],[ExpectedWin%]])</f>
        <v>7.9356745032549467</v>
      </c>
      <c r="AB251" s="4">
        <f>Games[[#This Row],[PreGmRate]]+Games[[#This Row],[RatingChange]]</f>
        <v>1557.7406024181284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39637</v>
      </c>
      <c r="B252" s="2">
        <v>2008</v>
      </c>
      <c r="C252" s="2">
        <f>COUNTIFS(Games[Team],Games[[#This Row],[Team]],Games[Season],Games[[#This Row],[Season]],Games[Date],"&lt;=" &amp; Games[[#This Row],[Date]])</f>
        <v>19</v>
      </c>
      <c r="D252" s="2" t="s">
        <v>23</v>
      </c>
      <c r="E252" s="2" t="s">
        <v>29</v>
      </c>
      <c r="F252" s="1" t="s">
        <v>80</v>
      </c>
      <c r="G252" s="1" t="s">
        <v>45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1542.3412889391561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1477.2510277311521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0.47281353745375859</v>
      </c>
      <c r="R252" s="1">
        <v>79</v>
      </c>
      <c r="S252" s="1">
        <v>64</v>
      </c>
      <c r="T252" s="1">
        <v>0</v>
      </c>
      <c r="U252" s="1">
        <f>Games[[#This Row],[PointsFor]]-Games[[#This Row],[PointsAgainst]]</f>
        <v>15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0.47697595354052236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73.150000000000006</v>
      </c>
      <c r="Z252" s="4">
        <f>Games[[#This Row],[K]]*Games[[#This Row],[POMult]]</f>
        <v>73.150000000000006</v>
      </c>
      <c r="AA252" s="4">
        <f>(Games[[#This Row],[Keff]]*Games[[#This Row],[MOVMult]])*(Games[[#This Row],[Result]]-Games[[#This Row],[ExpectedWin%]])</f>
        <v>18.39395268351533</v>
      </c>
      <c r="AB252" s="4">
        <f>Games[[#This Row],[PreGmRate]]+Games[[#This Row],[RatingChange]]</f>
        <v>1560.7352416226715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39637</v>
      </c>
      <c r="B253" s="2">
        <v>2008</v>
      </c>
      <c r="C253" s="2">
        <f>COUNTIFS(Games[Team],Games[[#This Row],[Team]],Games[Season],Games[[#This Row],[Season]],Games[Date],"&lt;=" &amp; Games[[#This Row],[Date]])</f>
        <v>19</v>
      </c>
      <c r="D253" s="2" t="s">
        <v>23</v>
      </c>
      <c r="E253" s="2" t="s">
        <v>29</v>
      </c>
      <c r="F253" s="1" t="s">
        <v>45</v>
      </c>
      <c r="G253" s="1" t="s">
        <v>80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1477.2510277311521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1542.3412889391561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0.52718646254624135</v>
      </c>
      <c r="R253" s="1">
        <v>64</v>
      </c>
      <c r="S253" s="1">
        <v>79</v>
      </c>
      <c r="T253" s="1">
        <v>0</v>
      </c>
      <c r="U253" s="1">
        <f>Games[[#This Row],[PointsFor]]-Games[[#This Row],[PointsAgainst]]</f>
        <v>-15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0.47697595354052236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73.150000000000006</v>
      </c>
      <c r="Z253" s="4">
        <f>Games[[#This Row],[K]]*Games[[#This Row],[POMult]]</f>
        <v>73.150000000000006</v>
      </c>
      <c r="AA253" s="4">
        <f>(Games[[#This Row],[Keff]]*Games[[#This Row],[MOVMult]])*(Games[[#This Row],[Result]]-Games[[#This Row],[ExpectedWin%]])</f>
        <v>-18.393952683515327</v>
      </c>
      <c r="AB253" s="4">
        <f>Games[[#This Row],[PreGmRate]]+Games[[#This Row],[RatingChange]]</f>
        <v>1458.8570750476367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39637</v>
      </c>
      <c r="B254" s="2">
        <v>2008</v>
      </c>
      <c r="C254" s="2">
        <f>COUNTIFS(Games[Team],Games[[#This Row],[Team]],Games[Season],Games[[#This Row],[Season]],Games[Date],"&lt;=" &amp; Games[[#This Row],[Date]])</f>
        <v>18</v>
      </c>
      <c r="D254" s="2" t="s">
        <v>23</v>
      </c>
      <c r="E254" s="2" t="s">
        <v>29</v>
      </c>
      <c r="F254" s="1" t="s">
        <v>66</v>
      </c>
      <c r="G254" s="1" t="s">
        <v>83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1</v>
      </c>
      <c r="L254" s="2">
        <f>Games[[#This Row],[OppDaysOff]]-Games[[#This Row],[DaysOff]]</f>
        <v>-1</v>
      </c>
      <c r="M254" s="1">
        <f>MAX(-16, MIN(16, Games[[#This Row],[RestDiff]]*8))</f>
        <v>8</v>
      </c>
      <c r="N254" s="1">
        <f>MAX(-16, MIN(16, Games[[#This Row],[OppRestDiff]]*8))</f>
        <v>-8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1518.8826822761571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1570.7536983298828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0.33402572412821641</v>
      </c>
      <c r="R254" s="1">
        <v>79</v>
      </c>
      <c r="S254" s="1">
        <v>83</v>
      </c>
      <c r="T254" s="1">
        <v>0</v>
      </c>
      <c r="U254" s="1">
        <f>Games[[#This Row],[PointsFor]]-Games[[#This Row],[PointsAgainst]]</f>
        <v>-4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0.29852858408906285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73.3</v>
      </c>
      <c r="Z254" s="4">
        <f>Games[[#This Row],[K]]*Games[[#This Row],[POMult]]</f>
        <v>73.3</v>
      </c>
      <c r="AA254" s="4">
        <f>(Games[[#This Row],[Keff]]*Games[[#This Row],[MOVMult]])*(Games[[#This Row],[Result]]-Games[[#This Row],[ExpectedWin%]])</f>
        <v>-7.309199400494383</v>
      </c>
      <c r="AB254" s="4">
        <f>Games[[#This Row],[PreGmRate]]+Games[[#This Row],[RatingChange]]</f>
        <v>1511.5734828756626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39637</v>
      </c>
      <c r="B255" s="2">
        <v>2008</v>
      </c>
      <c r="C255" s="2">
        <f>COUNTIFS(Games[Team],Games[[#This Row],[Team]],Games[Season],Games[[#This Row],[Season]],Games[Date],"&lt;=" &amp; Games[[#This Row],[Date]])</f>
        <v>19</v>
      </c>
      <c r="D255" s="2" t="s">
        <v>23</v>
      </c>
      <c r="E255" s="2" t="s">
        <v>29</v>
      </c>
      <c r="F255" s="1" t="s">
        <v>83</v>
      </c>
      <c r="G255" s="1" t="s">
        <v>66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5" s="2">
        <f>Games[[#This Row],[DaysOff]]-Games[[#This Row],[OppDaysOff]]</f>
        <v>-1</v>
      </c>
      <c r="L255" s="2">
        <f>Games[[#This Row],[OppDaysOff]]-Games[[#This Row],[DaysOff]]</f>
        <v>1</v>
      </c>
      <c r="M255" s="1">
        <f>MAX(-16, MIN(16, Games[[#This Row],[RestDiff]]*8))</f>
        <v>-8</v>
      </c>
      <c r="N255" s="1">
        <f>MAX(-16, MIN(16, Games[[#This Row],[OppRestDiff]]*8))</f>
        <v>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1570.7536983298828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1518.8826822761571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0.66597427587178359</v>
      </c>
      <c r="R255" s="1">
        <v>83</v>
      </c>
      <c r="S255" s="1">
        <v>79</v>
      </c>
      <c r="T255" s="1">
        <v>0</v>
      </c>
      <c r="U255" s="1">
        <f>Games[[#This Row],[PointsFor]]-Games[[#This Row],[PointsAgainst]]</f>
        <v>4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0.29852858408906285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73.150000000000006</v>
      </c>
      <c r="Z255" s="4">
        <f>Games[[#This Row],[K]]*Games[[#This Row],[POMult]]</f>
        <v>73.150000000000006</v>
      </c>
      <c r="AA255" s="4">
        <f>(Games[[#This Row],[Keff]]*Games[[#This Row],[MOVMult]])*(Games[[#This Row],[Result]]-Games[[#This Row],[ExpectedWin%]])</f>
        <v>7.2942419665233844</v>
      </c>
      <c r="AB255" s="4">
        <f>Games[[#This Row],[PreGmRate]]+Games[[#This Row],[RatingChange]]</f>
        <v>1578.0479402964063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39637</v>
      </c>
      <c r="B256" s="2">
        <v>2008</v>
      </c>
      <c r="C256" s="2">
        <f>COUNTIFS(Games[Team],Games[[#This Row],[Team]],Games[Season],Games[[#This Row],[Season]],Games[Date],"&lt;=" &amp; Games[[#This Row],[Date]])</f>
        <v>18</v>
      </c>
      <c r="D256" s="2" t="s">
        <v>23</v>
      </c>
      <c r="E256" s="2" t="s">
        <v>29</v>
      </c>
      <c r="F256" s="1" t="s">
        <v>78</v>
      </c>
      <c r="G256" s="1" t="s">
        <v>72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1</v>
      </c>
      <c r="L256" s="2">
        <f>Games[[#This Row],[OppDaysOff]]-Games[[#This Row],[DaysOff]]</f>
        <v>-1</v>
      </c>
      <c r="M256" s="1">
        <f>MAX(-16, MIN(16, Games[[#This Row],[RestDiff]]*8))</f>
        <v>8</v>
      </c>
      <c r="N256" s="1">
        <f>MAX(-16, MIN(16, Games[[#This Row],[OppRestDiff]]*8))</f>
        <v>-8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1524.7516072559215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1434.7924538719888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0.53155974945273965</v>
      </c>
      <c r="R256" s="1">
        <v>48</v>
      </c>
      <c r="S256" s="1">
        <v>50</v>
      </c>
      <c r="T256" s="1">
        <v>0</v>
      </c>
      <c r="U256" s="1">
        <f>Games[[#This Row],[PointsFor]]-Games[[#This Row],[PointsAgainst]]</f>
        <v>-2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0.24916260652785349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73.3</v>
      </c>
      <c r="Z256" s="4">
        <f>Games[[#This Row],[K]]*Games[[#This Row],[POMult]]</f>
        <v>73.3</v>
      </c>
      <c r="AA256" s="4">
        <f>(Games[[#This Row],[Keff]]*Games[[#This Row],[MOVMult]])*(Games[[#This Row],[Result]]-Games[[#This Row],[ExpectedWin%]])</f>
        <v>-9.7082047708321078</v>
      </c>
      <c r="AB256" s="4">
        <f>Games[[#This Row],[PreGmRate]]+Games[[#This Row],[RatingChange]]</f>
        <v>1515.0434024850895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39637</v>
      </c>
      <c r="B257" s="2">
        <v>2008</v>
      </c>
      <c r="C257" s="2">
        <f>COUNTIFS(Games[Team],Games[[#This Row],[Team]],Games[Season],Games[[#This Row],[Season]],Games[Date],"&lt;=" &amp; Games[[#This Row],[Date]])</f>
        <v>18</v>
      </c>
      <c r="D257" s="2" t="s">
        <v>23</v>
      </c>
      <c r="E257" s="2" t="s">
        <v>29</v>
      </c>
      <c r="F257" s="1" t="s">
        <v>72</v>
      </c>
      <c r="G257" s="1" t="s">
        <v>78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7" s="2">
        <f>Games[[#This Row],[DaysOff]]-Games[[#This Row],[OppDaysOff]]</f>
        <v>-1</v>
      </c>
      <c r="L257" s="2">
        <f>Games[[#This Row],[OppDaysOff]]-Games[[#This Row],[DaysOff]]</f>
        <v>1</v>
      </c>
      <c r="M257" s="1">
        <f>MAX(-16, MIN(16, Games[[#This Row],[RestDiff]]*8))</f>
        <v>-8</v>
      </c>
      <c r="N257" s="1">
        <f>MAX(-16, MIN(16, Games[[#This Row],[OppRestDiff]]*8))</f>
        <v>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1434.7924538719888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1524.7516072559215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0.46844025054726046</v>
      </c>
      <c r="R257" s="1">
        <v>50</v>
      </c>
      <c r="S257" s="1">
        <v>48</v>
      </c>
      <c r="T257" s="1">
        <v>0</v>
      </c>
      <c r="U257" s="1">
        <f>Games[[#This Row],[PointsFor]]-Games[[#This Row],[PointsAgainst]]</f>
        <v>2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0.24916260652785349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73.3</v>
      </c>
      <c r="Z257" s="4">
        <f>Games[[#This Row],[K]]*Games[[#This Row],[POMult]]</f>
        <v>73.3</v>
      </c>
      <c r="AA257" s="4">
        <f>(Games[[#This Row],[Keff]]*Games[[#This Row],[MOVMult]])*(Games[[#This Row],[Result]]-Games[[#This Row],[ExpectedWin%]])</f>
        <v>9.708204770832106</v>
      </c>
      <c r="AB257" s="4">
        <f>Games[[#This Row],[PreGmRate]]+Games[[#This Row],[RatingChange]]</f>
        <v>1444.5006586428208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39638</v>
      </c>
      <c r="B258" s="2">
        <v>2008</v>
      </c>
      <c r="C258" s="2">
        <f>COUNTIFS(Games[Team],Games[[#This Row],[Team]],Games[Season],Games[[#This Row],[Season]],Games[Date],"&lt;=" &amp; Games[[#This Row],[Date]])</f>
        <v>20</v>
      </c>
      <c r="D258" s="2" t="s">
        <v>23</v>
      </c>
      <c r="E258" s="2" t="s">
        <v>29</v>
      </c>
      <c r="F258" s="1" t="s">
        <v>2</v>
      </c>
      <c r="G258" s="1" t="s">
        <v>69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-2</v>
      </c>
      <c r="L258" s="2">
        <f>Games[[#This Row],[OppDaysOff]]-Games[[#This Row],[DaysOff]]</f>
        <v>2</v>
      </c>
      <c r="M258" s="1">
        <f>MAX(-16, MIN(16, Games[[#This Row],[RestDiff]]*8))</f>
        <v>-16</v>
      </c>
      <c r="N258" s="1">
        <f>MAX(-16, MIN(16, Games[[#This Row],[OppRestDiff]]*8))</f>
        <v>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1494.1322744373476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1511.6737299483402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0.3167546733183802</v>
      </c>
      <c r="R258" s="1">
        <v>74</v>
      </c>
      <c r="S258" s="1">
        <v>82</v>
      </c>
      <c r="T258" s="1">
        <v>1</v>
      </c>
      <c r="U258" s="1">
        <f>Games[[#This Row],[PointsFor]]-Games[[#This Row],[PointsAgainst]]</f>
        <v>-8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0.34444886940398683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</v>
      </c>
      <c r="Z258" s="4">
        <f>Games[[#This Row],[K]]*Games[[#This Row],[POMult]]</f>
        <v>73</v>
      </c>
      <c r="AA258" s="4">
        <f>(Games[[#This Row],[Keff]]*Games[[#This Row],[MOVMult]])*(Games[[#This Row],[Result]]-Games[[#This Row],[ExpectedWin%]])</f>
        <v>-7.9647226045150035</v>
      </c>
      <c r="AB258" s="4">
        <f>Games[[#This Row],[PreGmRate]]+Games[[#This Row],[RatingChange]]</f>
        <v>1486.1675518328327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39638</v>
      </c>
      <c r="B259" s="2">
        <v>2008</v>
      </c>
      <c r="C259" s="2">
        <f>COUNTIFS(Games[Team],Games[[#This Row],[Team]],Games[Season],Games[[#This Row],[Season]],Games[Date],"&lt;=" &amp; Games[[#This Row],[Date]])</f>
        <v>18</v>
      </c>
      <c r="D259" s="2" t="s">
        <v>23</v>
      </c>
      <c r="E259" s="2" t="s">
        <v>29</v>
      </c>
      <c r="F259" s="1" t="s">
        <v>69</v>
      </c>
      <c r="G259" s="1" t="s">
        <v>2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9" s="2">
        <f>Games[[#This Row],[DaysOff]]-Games[[#This Row],[OppDaysOff]]</f>
        <v>2</v>
      </c>
      <c r="L259" s="2">
        <f>Games[[#This Row],[OppDaysOff]]-Games[[#This Row],[DaysOff]]</f>
        <v>-2</v>
      </c>
      <c r="M259" s="1">
        <f>MAX(-16, MIN(16, Games[[#This Row],[RestDiff]]*8))</f>
        <v>16</v>
      </c>
      <c r="N259" s="1">
        <f>MAX(-16, MIN(16, Games[[#This Row],[OppRestDiff]]*8))</f>
        <v>-16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1511.6737299483402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1494.1322744373476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0.68324532668161975</v>
      </c>
      <c r="R259" s="1">
        <v>82</v>
      </c>
      <c r="S259" s="1">
        <v>74</v>
      </c>
      <c r="T259" s="1">
        <v>1</v>
      </c>
      <c r="U259" s="1">
        <f>Games[[#This Row],[PointsFor]]-Games[[#This Row],[PointsAgainst]]</f>
        <v>8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0.34444886940398683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73.3</v>
      </c>
      <c r="Z259" s="4">
        <f>Games[[#This Row],[K]]*Games[[#This Row],[POMult]]</f>
        <v>73.3</v>
      </c>
      <c r="AA259" s="4">
        <f>(Games[[#This Row],[Keff]]*Games[[#This Row],[MOVMult]])*(Games[[#This Row],[Result]]-Games[[#This Row],[ExpectedWin%]])</f>
        <v>7.9974543412458878</v>
      </c>
      <c r="AB259" s="4">
        <f>Games[[#This Row],[PreGmRate]]+Games[[#This Row],[RatingChange]]</f>
        <v>1519.6711842895861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39638</v>
      </c>
      <c r="B260" s="2">
        <v>2008</v>
      </c>
      <c r="C260" s="2">
        <f>COUNTIFS(Games[Team],Games[[#This Row],[Team]],Games[Season],Games[[#This Row],[Season]],Games[Date],"&lt;=" &amp; Games[[#This Row],[Date]])</f>
        <v>19</v>
      </c>
      <c r="D260" s="2" t="s">
        <v>23</v>
      </c>
      <c r="E260" s="2" t="s">
        <v>29</v>
      </c>
      <c r="F260" s="1" t="s">
        <v>88</v>
      </c>
      <c r="G260" s="1" t="s">
        <v>76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1317.6955367575658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1483.5591073183284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0.19180403936367391</v>
      </c>
      <c r="R260" s="1">
        <v>73</v>
      </c>
      <c r="S260" s="1">
        <v>67</v>
      </c>
      <c r="T260" s="1">
        <v>0</v>
      </c>
      <c r="U260" s="1">
        <f>Games[[#This Row],[PointsFor]]-Games[[#This Row],[PointsAgainst]]</f>
        <v>6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0.3086230004187942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73.150000000000006</v>
      </c>
      <c r="Z260" s="4">
        <f>Games[[#This Row],[K]]*Games[[#This Row],[POMult]]</f>
        <v>73.150000000000006</v>
      </c>
      <c r="AA260" s="4">
        <f>(Games[[#This Row],[Keff]]*Games[[#This Row],[MOVMult]])*(Games[[#This Row],[Result]]-Games[[#This Row],[ExpectedWin%]])</f>
        <v>18.245648127093773</v>
      </c>
      <c r="AB260" s="4">
        <f>Games[[#This Row],[PreGmRate]]+Games[[#This Row],[RatingChange]]</f>
        <v>1335.9411848846596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39638</v>
      </c>
      <c r="B261" s="2">
        <v>2008</v>
      </c>
      <c r="C261" s="2">
        <f>COUNTIFS(Games[Team],Games[[#This Row],[Team]],Games[Season],Games[[#This Row],[Season]],Games[Date],"&lt;=" &amp; Games[[#This Row],[Date]])</f>
        <v>19</v>
      </c>
      <c r="D261" s="2" t="s">
        <v>23</v>
      </c>
      <c r="E261" s="2" t="s">
        <v>29</v>
      </c>
      <c r="F261" s="1" t="s">
        <v>76</v>
      </c>
      <c r="G261" s="1" t="s">
        <v>88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1483.5591073183284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1317.6955367575658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0.80819596063632615</v>
      </c>
      <c r="R261" s="1">
        <v>67</v>
      </c>
      <c r="S261" s="1">
        <v>73</v>
      </c>
      <c r="T261" s="1">
        <v>0</v>
      </c>
      <c r="U261" s="1">
        <f>Games[[#This Row],[PointsFor]]-Games[[#This Row],[PointsAgainst]]</f>
        <v>-6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0.3086230004187942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73.150000000000006</v>
      </c>
      <c r="Z261" s="4">
        <f>Games[[#This Row],[K]]*Games[[#This Row],[POMult]]</f>
        <v>73.150000000000006</v>
      </c>
      <c r="AA261" s="4">
        <f>(Games[[#This Row],[Keff]]*Games[[#This Row],[MOVMult]])*(Games[[#This Row],[Result]]-Games[[#This Row],[ExpectedWin%]])</f>
        <v>-18.245648127093776</v>
      </c>
      <c r="AB261" s="4">
        <f>Games[[#This Row],[PreGmRate]]+Games[[#This Row],[RatingChange]]</f>
        <v>1465.3134591912346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39639</v>
      </c>
      <c r="B262" s="2">
        <v>2008</v>
      </c>
      <c r="C262" s="2">
        <f>COUNTIFS(Games[Team],Games[[#This Row],[Team]],Games[Season],Games[[#This Row],[Season]],Games[Date],"&lt;=" &amp; Games[[#This Row],[Date]])</f>
        <v>20</v>
      </c>
      <c r="D262" s="2" t="s">
        <v>23</v>
      </c>
      <c r="E262" s="2" t="s">
        <v>29</v>
      </c>
      <c r="F262" s="1" t="s">
        <v>83</v>
      </c>
      <c r="G262" s="1" t="s">
        <v>86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2" s="2">
        <f>Games[[#This Row],[DaysOff]]-Games[[#This Row],[OppDaysOff]]</f>
        <v>-3</v>
      </c>
      <c r="L262" s="2">
        <f>Games[[#This Row],[OppDaysOff]]-Games[[#This Row],[DaysOff]]</f>
        <v>3</v>
      </c>
      <c r="M262" s="1">
        <f>MAX(-16, MIN(16, Games[[#This Row],[RestDiff]]*8))</f>
        <v>-16</v>
      </c>
      <c r="N262" s="1">
        <f>MAX(-16, MIN(16, Games[[#This Row],[OppRestDiff]]*8))</f>
        <v>16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1578.0479402964063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1420.8192220426281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0.55905595473152259</v>
      </c>
      <c r="R262" s="1">
        <v>75</v>
      </c>
      <c r="S262" s="1">
        <v>67</v>
      </c>
      <c r="T262" s="1">
        <v>0</v>
      </c>
      <c r="U262" s="1">
        <f>Games[[#This Row],[PointsFor]]-Games[[#This Row],[PointsAgainst]]</f>
        <v>8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0.34333096237687827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</v>
      </c>
      <c r="Z262" s="4">
        <f>Games[[#This Row],[K]]*Games[[#This Row],[POMult]]</f>
        <v>73</v>
      </c>
      <c r="AA262" s="4">
        <f>(Games[[#This Row],[Keff]]*Games[[#This Row],[MOVMult]])*(Games[[#This Row],[Result]]-Games[[#This Row],[ExpectedWin%]])</f>
        <v>11.051451269395749</v>
      </c>
      <c r="AB262" s="4">
        <f>Games[[#This Row],[PreGmRate]]+Games[[#This Row],[RatingChange]]</f>
        <v>1589.0993915658021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39639</v>
      </c>
      <c r="B263" s="2">
        <v>2008</v>
      </c>
      <c r="C263" s="2">
        <f>COUNTIFS(Games[Team],Games[[#This Row],[Team]],Games[Season],Games[[#This Row],[Season]],Games[Date],"&lt;=" &amp; Games[[#This Row],[Date]])</f>
        <v>17</v>
      </c>
      <c r="D263" s="2" t="s">
        <v>23</v>
      </c>
      <c r="E263" s="2" t="s">
        <v>29</v>
      </c>
      <c r="F263" s="1" t="s">
        <v>86</v>
      </c>
      <c r="G263" s="1" t="s">
        <v>83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3</v>
      </c>
      <c r="L263" s="2">
        <f>Games[[#This Row],[OppDaysOff]]-Games[[#This Row],[DaysOff]]</f>
        <v>-3</v>
      </c>
      <c r="M263" s="1">
        <f>MAX(-16, MIN(16, Games[[#This Row],[RestDiff]]*8))</f>
        <v>16</v>
      </c>
      <c r="N263" s="1">
        <f>MAX(-16, MIN(16, Games[[#This Row],[OppRestDiff]]*8))</f>
        <v>-16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1420.8192220426281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1578.0479402964063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0.44094404526847752</v>
      </c>
      <c r="R263" s="1">
        <v>67</v>
      </c>
      <c r="S263" s="1">
        <v>75</v>
      </c>
      <c r="T263" s="1">
        <v>0</v>
      </c>
      <c r="U263" s="1">
        <f>Games[[#This Row],[PointsFor]]-Games[[#This Row],[PointsAgainst]]</f>
        <v>-8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0.34333096237687827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73.45</v>
      </c>
      <c r="Z263" s="4">
        <f>Games[[#This Row],[K]]*Games[[#This Row],[POMult]]</f>
        <v>73.45</v>
      </c>
      <c r="AA263" s="4">
        <f>(Games[[#This Row],[Keff]]*Games[[#This Row],[MOVMult]])*(Games[[#This Row],[Result]]-Games[[#This Row],[ExpectedWin%]])</f>
        <v>-11.119576653933123</v>
      </c>
      <c r="AB263" s="4">
        <f>Games[[#This Row],[PreGmRate]]+Games[[#This Row],[RatingChange]]</f>
        <v>1409.699645388695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39639</v>
      </c>
      <c r="B264" s="2">
        <v>2008</v>
      </c>
      <c r="C264" s="2">
        <f>COUNTIFS(Games[Team],Games[[#This Row],[Team]],Games[Season],Games[[#This Row],[Season]],Games[Date],"&lt;=" &amp; Games[[#This Row],[Date]])</f>
        <v>19</v>
      </c>
      <c r="D264" s="2" t="s">
        <v>23</v>
      </c>
      <c r="E264" s="2" t="s">
        <v>29</v>
      </c>
      <c r="F264" s="1" t="s">
        <v>69</v>
      </c>
      <c r="G264" s="1" t="s">
        <v>45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-1</v>
      </c>
      <c r="L264" s="2">
        <f>Games[[#This Row],[OppDaysOff]]-Games[[#This Row],[DaysOff]]</f>
        <v>1</v>
      </c>
      <c r="M264" s="1">
        <f>MAX(-16, MIN(16, Games[[#This Row],[RestDiff]]*8))</f>
        <v>-8</v>
      </c>
      <c r="N264" s="1">
        <f>MAX(-16, MIN(16, Games[[#This Row],[OppRestDiff]]*8))</f>
        <v>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1519.6711842895861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1458.8570750476367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0.44384487909604076</v>
      </c>
      <c r="R264" s="1">
        <v>69</v>
      </c>
      <c r="S264" s="1">
        <v>87</v>
      </c>
      <c r="T264" s="1">
        <v>0</v>
      </c>
      <c r="U264" s="1">
        <f>Games[[#This Row],[PointsFor]]-Games[[#This Row],[PointsAgainst]]</f>
        <v>-18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0.52045794359496733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73.150000000000006</v>
      </c>
      <c r="Z264" s="4">
        <f>Games[[#This Row],[K]]*Games[[#This Row],[POMult]]</f>
        <v>73.150000000000006</v>
      </c>
      <c r="AA264" s="4">
        <f>(Games[[#This Row],[Keff]]*Games[[#This Row],[MOVMult]])*(Games[[#This Row],[Result]]-Games[[#This Row],[ExpectedWin%]])</f>
        <v>-16.897839681569632</v>
      </c>
      <c r="AB264" s="4">
        <f>Games[[#This Row],[PreGmRate]]+Games[[#This Row],[RatingChange]]</f>
        <v>1502.7733446080165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39639</v>
      </c>
      <c r="B265" s="2">
        <v>2008</v>
      </c>
      <c r="C265" s="2">
        <f>COUNTIFS(Games[Team],Games[[#This Row],[Team]],Games[Season],Games[[#This Row],[Season]],Games[Date],"&lt;=" &amp; Games[[#This Row],[Date]])</f>
        <v>20</v>
      </c>
      <c r="D265" s="2" t="s">
        <v>23</v>
      </c>
      <c r="E265" s="2" t="s">
        <v>29</v>
      </c>
      <c r="F265" s="1" t="s">
        <v>45</v>
      </c>
      <c r="G265" s="1" t="s">
        <v>69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5" s="2">
        <f>Games[[#This Row],[DaysOff]]-Games[[#This Row],[OppDaysOff]]</f>
        <v>1</v>
      </c>
      <c r="L265" s="2">
        <f>Games[[#This Row],[OppDaysOff]]-Games[[#This Row],[DaysOff]]</f>
        <v>-1</v>
      </c>
      <c r="M265" s="1">
        <f>MAX(-16, MIN(16, Games[[#This Row],[RestDiff]]*8))</f>
        <v>8</v>
      </c>
      <c r="N265" s="1">
        <f>MAX(-16, MIN(16, Games[[#This Row],[OppRestDiff]]*8))</f>
        <v>-8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1458.8570750476367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1519.6711842895861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0.55615512090395913</v>
      </c>
      <c r="R265" s="1">
        <v>87</v>
      </c>
      <c r="S265" s="1">
        <v>69</v>
      </c>
      <c r="T265" s="1">
        <v>0</v>
      </c>
      <c r="U265" s="1">
        <f>Games[[#This Row],[PointsFor]]-Games[[#This Row],[PointsAgainst]]</f>
        <v>18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0.52045794359496733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</v>
      </c>
      <c r="Z265" s="4">
        <f>Games[[#This Row],[K]]*Games[[#This Row],[POMult]]</f>
        <v>73</v>
      </c>
      <c r="AA265" s="4">
        <f>(Games[[#This Row],[Keff]]*Games[[#This Row],[MOVMult]])*(Games[[#This Row],[Result]]-Games[[#This Row],[ExpectedWin%]])</f>
        <v>16.863189292612208</v>
      </c>
      <c r="AB265" s="4">
        <f>Games[[#This Row],[PreGmRate]]+Games[[#This Row],[RatingChange]]</f>
        <v>1475.7202643402488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39639</v>
      </c>
      <c r="B266" s="2">
        <v>2008</v>
      </c>
      <c r="C266" s="2">
        <f>COUNTIFS(Games[Team],Games[[#This Row],[Team]],Games[Season],Games[[#This Row],[Season]],Games[Date],"&lt;=" &amp; Games[[#This Row],[Date]])</f>
        <v>19</v>
      </c>
      <c r="D266" s="2" t="s">
        <v>23</v>
      </c>
      <c r="E266" s="2" t="s">
        <v>29</v>
      </c>
      <c r="F266" s="1" t="s">
        <v>44</v>
      </c>
      <c r="G266" s="1" t="s">
        <v>80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1557.7406024181284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1560.7352416226715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0.37735705482758436</v>
      </c>
      <c r="R266" s="1">
        <v>78</v>
      </c>
      <c r="S266" s="1">
        <v>89</v>
      </c>
      <c r="T266" s="1">
        <v>0</v>
      </c>
      <c r="U266" s="1">
        <f>Games[[#This Row],[PointsFor]]-Games[[#This Row],[PointsAgainst]]</f>
        <v>-11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0.4387410775646991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73.150000000000006</v>
      </c>
      <c r="Z266" s="4">
        <f>Games[[#This Row],[K]]*Games[[#This Row],[POMult]]</f>
        <v>73.150000000000006</v>
      </c>
      <c r="AA266" s="4">
        <f>(Games[[#This Row],[Keff]]*Games[[#This Row],[MOVMult]])*(Games[[#This Row],[Result]]-Games[[#This Row],[ExpectedWin%]])</f>
        <v>-12.110863289033034</v>
      </c>
      <c r="AB266" s="4">
        <f>Games[[#This Row],[PreGmRate]]+Games[[#This Row],[RatingChange]]</f>
        <v>1545.6297391290955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39639</v>
      </c>
      <c r="B267" s="2">
        <v>2008</v>
      </c>
      <c r="C267" s="2">
        <f>COUNTIFS(Games[Team],Games[[#This Row],[Team]],Games[Season],Games[[#This Row],[Season]],Games[Date],"&lt;=" &amp; Games[[#This Row],[Date]])</f>
        <v>20</v>
      </c>
      <c r="D267" s="2" t="s">
        <v>23</v>
      </c>
      <c r="E267" s="2" t="s">
        <v>29</v>
      </c>
      <c r="F267" s="1" t="s">
        <v>80</v>
      </c>
      <c r="G267" s="1" t="s">
        <v>44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1560.7352416226715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1557.7406024181284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0.6226429451724157</v>
      </c>
      <c r="R267" s="1">
        <v>89</v>
      </c>
      <c r="S267" s="1">
        <v>78</v>
      </c>
      <c r="T267" s="1">
        <v>0</v>
      </c>
      <c r="U267" s="1">
        <f>Games[[#This Row],[PointsFor]]-Games[[#This Row],[PointsAgainst]]</f>
        <v>11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0.4387410775646991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</v>
      </c>
      <c r="Z267" s="4">
        <f>Games[[#This Row],[K]]*Games[[#This Row],[POMult]]</f>
        <v>73</v>
      </c>
      <c r="AA267" s="4">
        <f>(Games[[#This Row],[Keff]]*Games[[#This Row],[MOVMult]])*(Games[[#This Row],[Result]]-Games[[#This Row],[ExpectedWin%]])</f>
        <v>12.086028982903779</v>
      </c>
      <c r="AB267" s="4">
        <f>Games[[#This Row],[PreGmRate]]+Games[[#This Row],[RatingChange]]</f>
        <v>1572.8212706055754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39640</v>
      </c>
      <c r="B268" s="2">
        <v>2008</v>
      </c>
      <c r="C268" s="2">
        <f>COUNTIFS(Games[Team],Games[[#This Row],[Team]],Games[Season],Games[[#This Row],[Season]],Games[Date],"&lt;=" &amp; Games[[#This Row],[Date]])</f>
        <v>19</v>
      </c>
      <c r="D268" s="2" t="s">
        <v>23</v>
      </c>
      <c r="E268" s="2" t="s">
        <v>29</v>
      </c>
      <c r="F268" s="1" t="s">
        <v>72</v>
      </c>
      <c r="G268" s="1" t="s">
        <v>74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1444.5006586428208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1600.3508209617296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0.20089844306177443</v>
      </c>
      <c r="R268" s="1">
        <v>66</v>
      </c>
      <c r="S268" s="1">
        <v>79</v>
      </c>
      <c r="T268" s="1">
        <v>0</v>
      </c>
      <c r="U268" s="1">
        <f>Games[[#This Row],[PointsFor]]-Games[[#This Row],[PointsAgainst]]</f>
        <v>-13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0.41778400189010423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73.150000000000006</v>
      </c>
      <c r="Z268" s="4">
        <f>Games[[#This Row],[K]]*Games[[#This Row],[POMult]]</f>
        <v>73.150000000000006</v>
      </c>
      <c r="AA268" s="4">
        <f>(Games[[#This Row],[Keff]]*Games[[#This Row],[MOVMult]])*(Games[[#This Row],[Result]]-Games[[#This Row],[ExpectedWin%]])</f>
        <v>-6.1396371759836503</v>
      </c>
      <c r="AB268" s="4">
        <f>Games[[#This Row],[PreGmRate]]+Games[[#This Row],[RatingChange]]</f>
        <v>1438.3610214668372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39640</v>
      </c>
      <c r="B269" s="2">
        <v>2008</v>
      </c>
      <c r="C269" s="2">
        <f>COUNTIFS(Games[Team],Games[[#This Row],[Team]],Games[Season],Games[[#This Row],[Season]],Games[Date],"&lt;=" &amp; Games[[#This Row],[Date]])</f>
        <v>20</v>
      </c>
      <c r="D269" s="2" t="s">
        <v>23</v>
      </c>
      <c r="E269" s="2" t="s">
        <v>29</v>
      </c>
      <c r="F269" s="1" t="s">
        <v>74</v>
      </c>
      <c r="G269" s="1" t="s">
        <v>72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1600.3508209617296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1444.5006586428208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0.79910155693822571</v>
      </c>
      <c r="R269" s="1">
        <v>79</v>
      </c>
      <c r="S269" s="1">
        <v>66</v>
      </c>
      <c r="T269" s="1">
        <v>0</v>
      </c>
      <c r="U269" s="1">
        <f>Games[[#This Row],[PointsFor]]-Games[[#This Row],[PointsAgainst]]</f>
        <v>13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0.41778400189010423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</v>
      </c>
      <c r="Z269" s="4">
        <f>Games[[#This Row],[K]]*Games[[#This Row],[POMult]]</f>
        <v>73</v>
      </c>
      <c r="AA269" s="4">
        <f>(Games[[#This Row],[Keff]]*Games[[#This Row],[MOVMult]])*(Games[[#This Row],[Result]]-Games[[#This Row],[ExpectedWin%]])</f>
        <v>6.1270473526562697</v>
      </c>
      <c r="AB269" s="4">
        <f>Games[[#This Row],[PreGmRate]]+Games[[#This Row],[RatingChange]]</f>
        <v>1606.4778683143859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39640</v>
      </c>
      <c r="B270" s="2">
        <v>2008</v>
      </c>
      <c r="C270" s="2">
        <f>COUNTIFS(Games[Team],Games[[#This Row],[Team]],Games[Season],Games[[#This Row],[Season]],Games[Date],"&lt;=" &amp; Games[[#This Row],[Date]])</f>
        <v>20</v>
      </c>
      <c r="D270" s="2" t="s">
        <v>23</v>
      </c>
      <c r="E270" s="2" t="s">
        <v>29</v>
      </c>
      <c r="F270" s="1" t="s">
        <v>88</v>
      </c>
      <c r="G270" s="1" t="s">
        <v>83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0" s="2">
        <f>Games[[#This Row],[DaysOff]]-Games[[#This Row],[OppDaysOff]]</f>
        <v>1</v>
      </c>
      <c r="L270" s="2">
        <f>Games[[#This Row],[OppDaysOff]]-Games[[#This Row],[DaysOff]]</f>
        <v>-1</v>
      </c>
      <c r="M270" s="1">
        <f>MAX(-16, MIN(16, Games[[#This Row],[RestDiff]]*8))</f>
        <v>8</v>
      </c>
      <c r="N270" s="1">
        <f>MAX(-16, MIN(16, Games[[#This Row],[OppRestDiff]]*8))</f>
        <v>-8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1335.9411848846596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1589.0993915658021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0.13602146177870178</v>
      </c>
      <c r="R270" s="1">
        <v>74</v>
      </c>
      <c r="S270" s="1">
        <v>82</v>
      </c>
      <c r="T270" s="1">
        <v>0</v>
      </c>
      <c r="U270" s="1">
        <f>Games[[#This Row],[PointsFor]]-Games[[#This Row],[PointsAgainst]]</f>
        <v>-8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0.32066614623321149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</v>
      </c>
      <c r="Z270" s="4">
        <f>Games[[#This Row],[K]]*Games[[#This Row],[POMult]]</f>
        <v>73</v>
      </c>
      <c r="AA270" s="4">
        <f>(Games[[#This Row],[Keff]]*Games[[#This Row],[MOVMult]])*(Games[[#This Row],[Result]]-Games[[#This Row],[ExpectedWin%]])</f>
        <v>-3.1840758906116591</v>
      </c>
      <c r="AB270" s="4">
        <f>Games[[#This Row],[PreGmRate]]+Games[[#This Row],[RatingChange]]</f>
        <v>1332.7571089940479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39640</v>
      </c>
      <c r="B271" s="2">
        <v>2008</v>
      </c>
      <c r="C271" s="2">
        <f>COUNTIFS(Games[Team],Games[[#This Row],[Team]],Games[Season],Games[[#This Row],[Season]],Games[Date],"&lt;=" &amp; Games[[#This Row],[Date]])</f>
        <v>21</v>
      </c>
      <c r="D271" s="2" t="s">
        <v>23</v>
      </c>
      <c r="E271" s="2" t="s">
        <v>29</v>
      </c>
      <c r="F271" s="1" t="s">
        <v>83</v>
      </c>
      <c r="G271" s="1" t="s">
        <v>88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-1</v>
      </c>
      <c r="L271" s="2">
        <f>Games[[#This Row],[OppDaysOff]]-Games[[#This Row],[DaysOff]]</f>
        <v>1</v>
      </c>
      <c r="M271" s="1">
        <f>MAX(-16, MIN(16, Games[[#This Row],[RestDiff]]*8))</f>
        <v>-8</v>
      </c>
      <c r="N271" s="1">
        <f>MAX(-16, MIN(16, Games[[#This Row],[OppRestDiff]]*8))</f>
        <v>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1589.0993915658021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1335.9411848846596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0.86397853822129811</v>
      </c>
      <c r="R271" s="1">
        <v>82</v>
      </c>
      <c r="S271" s="1">
        <v>74</v>
      </c>
      <c r="T271" s="1">
        <v>0</v>
      </c>
      <c r="U271" s="1">
        <f>Games[[#This Row],[PointsFor]]-Games[[#This Row],[PointsAgainst]]</f>
        <v>8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0.32066614623321149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72.849999999999994</v>
      </c>
      <c r="Z271" s="4">
        <f>Games[[#This Row],[K]]*Games[[#This Row],[POMult]]</f>
        <v>72.849999999999994</v>
      </c>
      <c r="AA271" s="4">
        <f>(Games[[#This Row],[Keff]]*Games[[#This Row],[MOVMult]])*(Games[[#This Row],[Result]]-Games[[#This Row],[ExpectedWin%]])</f>
        <v>3.1775332689186238</v>
      </c>
      <c r="AB271" s="4">
        <f>Games[[#This Row],[PreGmRate]]+Games[[#This Row],[RatingChange]]</f>
        <v>1592.2769248347206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39641</v>
      </c>
      <c r="B272" s="2">
        <v>2008</v>
      </c>
      <c r="C272" s="2">
        <f>COUNTIFS(Games[Team],Games[[#This Row],[Team]],Games[Season],Games[[#This Row],[Season]],Games[Date],"&lt;=" &amp; Games[[#This Row],[Date]])</f>
        <v>18</v>
      </c>
      <c r="D272" s="2" t="s">
        <v>23</v>
      </c>
      <c r="E272" s="2" t="s">
        <v>29</v>
      </c>
      <c r="F272" s="1" t="s">
        <v>86</v>
      </c>
      <c r="G272" s="1" t="s">
        <v>78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2" s="2">
        <f>Games[[#This Row],[DaysOff]]-Games[[#This Row],[OppDaysOff]]</f>
        <v>-2</v>
      </c>
      <c r="L272" s="2">
        <f>Games[[#This Row],[OppDaysOff]]-Games[[#This Row],[DaysOff]]</f>
        <v>2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1409.699645388695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1515.0434024850895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0.21854645761123143</v>
      </c>
      <c r="R272" s="1">
        <v>57</v>
      </c>
      <c r="S272" s="1">
        <v>66</v>
      </c>
      <c r="T272" s="1">
        <v>0</v>
      </c>
      <c r="U272" s="1">
        <f>Games[[#This Row],[PointsFor]]-Games[[#This Row],[PointsAgainst]]</f>
        <v>-9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0.3732088424434209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73.3</v>
      </c>
      <c r="Z272" s="4">
        <f>Games[[#This Row],[K]]*Games[[#This Row],[POMult]]</f>
        <v>73.3</v>
      </c>
      <c r="AA272" s="4">
        <f>(Games[[#This Row],[Keff]]*Games[[#This Row],[MOVMult]])*(Games[[#This Row],[Result]]-Games[[#This Row],[ExpectedWin%]])</f>
        <v>-5.9786023850990011</v>
      </c>
      <c r="AB272" s="4">
        <f>Games[[#This Row],[PreGmRate]]+Games[[#This Row],[RatingChange]]</f>
        <v>1403.7210430035959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39641</v>
      </c>
      <c r="B273" s="2">
        <v>2008</v>
      </c>
      <c r="C273" s="2">
        <f>COUNTIFS(Games[Team],Games[[#This Row],[Team]],Games[Season],Games[[#This Row],[Season]],Games[Date],"&lt;=" &amp; Games[[#This Row],[Date]])</f>
        <v>19</v>
      </c>
      <c r="D273" s="2" t="s">
        <v>23</v>
      </c>
      <c r="E273" s="2" t="s">
        <v>29</v>
      </c>
      <c r="F273" s="1" t="s">
        <v>78</v>
      </c>
      <c r="G273" s="1" t="s">
        <v>86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2</v>
      </c>
      <c r="L273" s="2">
        <f>Games[[#This Row],[OppDaysOff]]-Games[[#This Row],[DaysOff]]</f>
        <v>-2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1515.0434024850895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1409.699645388695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0.78145354238876863</v>
      </c>
      <c r="R273" s="1">
        <v>66</v>
      </c>
      <c r="S273" s="1">
        <v>57</v>
      </c>
      <c r="T273" s="1">
        <v>0</v>
      </c>
      <c r="U273" s="1">
        <f>Games[[#This Row],[PointsFor]]-Games[[#This Row],[PointsAgainst]]</f>
        <v>9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0.3732088424434209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73.150000000000006</v>
      </c>
      <c r="Z273" s="4">
        <f>Games[[#This Row],[K]]*Games[[#This Row],[POMult]]</f>
        <v>73.150000000000006</v>
      </c>
      <c r="AA273" s="4">
        <f>(Games[[#This Row],[Keff]]*Games[[#This Row],[MOVMult]])*(Games[[#This Row],[Result]]-Games[[#This Row],[ExpectedWin%]])</f>
        <v>5.9663678645292206</v>
      </c>
      <c r="AB273" s="4">
        <f>Games[[#This Row],[PreGmRate]]+Games[[#This Row],[RatingChange]]</f>
        <v>1521.0097703496187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39641</v>
      </c>
      <c r="B274" s="2">
        <v>2008</v>
      </c>
      <c r="C274" s="2">
        <f>COUNTIFS(Games[Team],Games[[#This Row],[Team]],Games[Season],Games[[#This Row],[Season]],Games[Date],"&lt;=" &amp; Games[[#This Row],[Date]])</f>
        <v>21</v>
      </c>
      <c r="D274" s="2" t="s">
        <v>23</v>
      </c>
      <c r="E274" s="2" t="s">
        <v>29</v>
      </c>
      <c r="F274" s="1" t="s">
        <v>2</v>
      </c>
      <c r="G274" s="1" t="s">
        <v>76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1486.1675518328327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1465.3134591912346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0.41011329011912334</v>
      </c>
      <c r="R274" s="1">
        <v>71</v>
      </c>
      <c r="S274" s="1">
        <v>85</v>
      </c>
      <c r="T274" s="1">
        <v>0</v>
      </c>
      <c r="U274" s="1">
        <f>Games[[#This Row],[PointsFor]]-Games[[#This Row],[PointsAgainst]]</f>
        <v>-14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0.47927899637446358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72.849999999999994</v>
      </c>
      <c r="Z274" s="4">
        <f>Games[[#This Row],[K]]*Games[[#This Row],[POMult]]</f>
        <v>72.849999999999994</v>
      </c>
      <c r="AA274" s="4">
        <f>(Games[[#This Row],[Keff]]*Games[[#This Row],[MOVMult]])*(Games[[#This Row],[Result]]-Games[[#This Row],[ExpectedWin%]])</f>
        <v>-14.319300281519734</v>
      </c>
      <c r="AB274" s="4">
        <f>Games[[#This Row],[PreGmRate]]+Games[[#This Row],[RatingChange]]</f>
        <v>1471.8482515513131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39641</v>
      </c>
      <c r="B275" s="2">
        <v>2008</v>
      </c>
      <c r="C275" s="2">
        <f>COUNTIFS(Games[Team],Games[[#This Row],[Team]],Games[Season],Games[[#This Row],[Season]],Games[Date],"&lt;=" &amp; Games[[#This Row],[Date]])</f>
        <v>20</v>
      </c>
      <c r="D275" s="2" t="s">
        <v>23</v>
      </c>
      <c r="E275" s="2" t="s">
        <v>29</v>
      </c>
      <c r="F275" s="1" t="s">
        <v>76</v>
      </c>
      <c r="G275" s="1" t="s">
        <v>2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1465.3134591912346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1486.1675518328327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0.58988670988087677</v>
      </c>
      <c r="R275" s="1">
        <v>85</v>
      </c>
      <c r="S275" s="1">
        <v>71</v>
      </c>
      <c r="T275" s="1">
        <v>0</v>
      </c>
      <c r="U275" s="1">
        <f>Games[[#This Row],[PointsFor]]-Games[[#This Row],[PointsAgainst]]</f>
        <v>14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0.47927899637446358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</v>
      </c>
      <c r="Z275" s="4">
        <f>Games[[#This Row],[K]]*Games[[#This Row],[POMult]]</f>
        <v>73</v>
      </c>
      <c r="AA275" s="4">
        <f>(Games[[#This Row],[Keff]]*Games[[#This Row],[MOVMult]])*(Games[[#This Row],[Result]]-Games[[#This Row],[ExpectedWin%]])</f>
        <v>14.348784084432948</v>
      </c>
      <c r="AB275" s="4">
        <f>Games[[#This Row],[PreGmRate]]+Games[[#This Row],[RatingChange]]</f>
        <v>1479.6622432756676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39641</v>
      </c>
      <c r="B276" s="2">
        <v>2008</v>
      </c>
      <c r="C276" s="2">
        <f>COUNTIFS(Games[Team],Games[[#This Row],[Team]],Games[Season],Games[[#This Row],[Season]],Games[Date],"&lt;=" &amp; Games[[#This Row],[Date]])</f>
        <v>21</v>
      </c>
      <c r="D276" s="2" t="s">
        <v>23</v>
      </c>
      <c r="E276" s="2" t="s">
        <v>29</v>
      </c>
      <c r="F276" s="1" t="s">
        <v>74</v>
      </c>
      <c r="G276" s="1" t="s">
        <v>66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6" s="2">
        <f>Games[[#This Row],[DaysOff]]-Games[[#This Row],[OppDaysOff]]</f>
        <v>-3</v>
      </c>
      <c r="L276" s="2">
        <f>Games[[#This Row],[OppDaysOff]]-Games[[#This Row],[DaysOff]]</f>
        <v>3</v>
      </c>
      <c r="M276" s="1">
        <f>MAX(-16, MIN(16, Games[[#This Row],[RestDiff]]*8))</f>
        <v>-16</v>
      </c>
      <c r="N276" s="1">
        <f>MAX(-16, MIN(16, Games[[#This Row],[OppRestDiff]]*8))</f>
        <v>16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1606.4778683143859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1511.5734828756626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0.46967822334172926</v>
      </c>
      <c r="R276" s="1">
        <v>64</v>
      </c>
      <c r="S276" s="1">
        <v>74</v>
      </c>
      <c r="T276" s="1">
        <v>0</v>
      </c>
      <c r="U276" s="1">
        <f>Games[[#This Row],[PointsFor]]-Games[[#This Row],[PointsAgainst]]</f>
        <v>-10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0.39211824819537494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72.849999999999994</v>
      </c>
      <c r="Z276" s="4">
        <f>Games[[#This Row],[K]]*Games[[#This Row],[POMult]]</f>
        <v>72.849999999999994</v>
      </c>
      <c r="AA276" s="4">
        <f>(Games[[#This Row],[Keff]]*Games[[#This Row],[MOVMult]])*(Games[[#This Row],[Result]]-Games[[#This Row],[ExpectedWin%]])</f>
        <v>-13.416740946793228</v>
      </c>
      <c r="AB276" s="4">
        <f>Games[[#This Row],[PreGmRate]]+Games[[#This Row],[RatingChange]]</f>
        <v>1593.0611273675927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39641</v>
      </c>
      <c r="B277" s="2">
        <v>2008</v>
      </c>
      <c r="C277" s="2">
        <f>COUNTIFS(Games[Team],Games[[#This Row],[Team]],Games[Season],Games[[#This Row],[Season]],Games[Date],"&lt;=" &amp; Games[[#This Row],[Date]])</f>
        <v>19</v>
      </c>
      <c r="D277" s="2" t="s">
        <v>23</v>
      </c>
      <c r="E277" s="2" t="s">
        <v>29</v>
      </c>
      <c r="F277" s="1" t="s">
        <v>66</v>
      </c>
      <c r="G277" s="1" t="s">
        <v>74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7" s="2">
        <f>Games[[#This Row],[DaysOff]]-Games[[#This Row],[OppDaysOff]]</f>
        <v>3</v>
      </c>
      <c r="L277" s="2">
        <f>Games[[#This Row],[OppDaysOff]]-Games[[#This Row],[DaysOff]]</f>
        <v>-3</v>
      </c>
      <c r="M277" s="1">
        <f>MAX(-16, MIN(16, Games[[#This Row],[RestDiff]]*8))</f>
        <v>16</v>
      </c>
      <c r="N277" s="1">
        <f>MAX(-16, MIN(16, Games[[#This Row],[OppRestDiff]]*8))</f>
        <v>-16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1511.5734828756626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1606.4778683143859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0.53032177665827074</v>
      </c>
      <c r="R277" s="1">
        <v>74</v>
      </c>
      <c r="S277" s="1">
        <v>64</v>
      </c>
      <c r="T277" s="1">
        <v>0</v>
      </c>
      <c r="U277" s="1">
        <f>Games[[#This Row],[PointsFor]]-Games[[#This Row],[PointsAgainst]]</f>
        <v>10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0.39211824819537494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73.150000000000006</v>
      </c>
      <c r="Z277" s="4">
        <f>Games[[#This Row],[K]]*Games[[#This Row],[POMult]]</f>
        <v>73.150000000000006</v>
      </c>
      <c r="AA277" s="4">
        <f>(Games[[#This Row],[Keff]]*Games[[#This Row],[MOVMult]])*(Games[[#This Row],[Result]]-Games[[#This Row],[ExpectedWin%]])</f>
        <v>13.471991767438913</v>
      </c>
      <c r="AB277" s="4">
        <f>Games[[#This Row],[PreGmRate]]+Games[[#This Row],[RatingChange]]</f>
        <v>1525.0454746431017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39641</v>
      </c>
      <c r="B278" s="2">
        <v>2008</v>
      </c>
      <c r="C278" s="2">
        <f>COUNTIFS(Games[Team],Games[[#This Row],[Team]],Games[Season],Games[[#This Row],[Season]],Games[Date],"&lt;=" &amp; Games[[#This Row],[Date]])</f>
        <v>20</v>
      </c>
      <c r="D278" s="2" t="s">
        <v>23</v>
      </c>
      <c r="E278" s="2" t="s">
        <v>29</v>
      </c>
      <c r="F278" s="1" t="s">
        <v>44</v>
      </c>
      <c r="G278" s="1" t="s">
        <v>45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1545.6297391290955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1475.7202643402488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0.47973321438244448</v>
      </c>
      <c r="R278" s="1">
        <v>97</v>
      </c>
      <c r="S278" s="1">
        <v>105</v>
      </c>
      <c r="T278" s="1">
        <v>0</v>
      </c>
      <c r="U278" s="1">
        <f>Games[[#This Row],[PointsFor]]-Games[[#This Row],[PointsAgainst]]</f>
        <v>-8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0.36693847180019418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73</v>
      </c>
      <c r="Z278" s="4">
        <f>Games[[#This Row],[K]]*Games[[#This Row],[POMult]]</f>
        <v>73</v>
      </c>
      <c r="AA278" s="4">
        <f>(Games[[#This Row],[Keff]]*Games[[#This Row],[MOVMult]])*(Games[[#This Row],[Result]]-Games[[#This Row],[ExpectedWin%]])</f>
        <v>-12.850377796682105</v>
      </c>
      <c r="AB278" s="4">
        <f>Games[[#This Row],[PreGmRate]]+Games[[#This Row],[RatingChange]]</f>
        <v>1532.7793613324134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39641</v>
      </c>
      <c r="B279" s="2">
        <v>2008</v>
      </c>
      <c r="C279" s="2">
        <f>COUNTIFS(Games[Team],Games[[#This Row],[Team]],Games[Season],Games[[#This Row],[Season]],Games[Date],"&lt;=" &amp; Games[[#This Row],[Date]])</f>
        <v>21</v>
      </c>
      <c r="D279" s="2" t="s">
        <v>23</v>
      </c>
      <c r="E279" s="2" t="s">
        <v>29</v>
      </c>
      <c r="F279" s="1" t="s">
        <v>45</v>
      </c>
      <c r="G279" s="1" t="s">
        <v>44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1475.7202643402488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1545.6297391290955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0.52026678561755546</v>
      </c>
      <c r="R279" s="1">
        <v>105</v>
      </c>
      <c r="S279" s="1">
        <v>97</v>
      </c>
      <c r="T279" s="1">
        <v>0</v>
      </c>
      <c r="U279" s="1">
        <f>Games[[#This Row],[PointsFor]]-Games[[#This Row],[PointsAgainst]]</f>
        <v>8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0.36693847180019418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72.849999999999994</v>
      </c>
      <c r="Z279" s="4">
        <f>Games[[#This Row],[K]]*Games[[#This Row],[POMult]]</f>
        <v>72.849999999999994</v>
      </c>
      <c r="AA279" s="4">
        <f>(Games[[#This Row],[Keff]]*Games[[#This Row],[MOVMult]])*(Games[[#This Row],[Result]]-Games[[#This Row],[ExpectedWin%]])</f>
        <v>12.823972910798512</v>
      </c>
      <c r="AB279" s="4">
        <f>Games[[#This Row],[PreGmRate]]+Games[[#This Row],[RatingChange]]</f>
        <v>1488.5442372510474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39641</v>
      </c>
      <c r="B280" s="2">
        <v>2008</v>
      </c>
      <c r="C280" s="2">
        <f>COUNTIFS(Games[Team],Games[[#This Row],[Team]],Games[Season],Games[[#This Row],[Season]],Games[Date],"&lt;=" &amp; Games[[#This Row],[Date]])</f>
        <v>20</v>
      </c>
      <c r="D280" s="2" t="s">
        <v>23</v>
      </c>
      <c r="E280" s="2" t="s">
        <v>29</v>
      </c>
      <c r="F280" s="1" t="s">
        <v>69</v>
      </c>
      <c r="G280" s="1" t="s">
        <v>80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1502.7733446080165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1572.8212706055754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0.2917765988971866</v>
      </c>
      <c r="R280" s="1">
        <v>52</v>
      </c>
      <c r="S280" s="1">
        <v>70</v>
      </c>
      <c r="T280" s="1">
        <v>0</v>
      </c>
      <c r="U280" s="1">
        <f>Games[[#This Row],[PointsFor]]-Games[[#This Row],[PointsAgainst]]</f>
        <v>-18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0.51667398144536369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73</v>
      </c>
      <c r="Z280" s="4">
        <f>Games[[#This Row],[K]]*Games[[#This Row],[POMult]]</f>
        <v>73</v>
      </c>
      <c r="AA280" s="4">
        <f>(Games[[#This Row],[Keff]]*Games[[#This Row],[MOVMult]])*(Games[[#This Row],[Result]]-Games[[#This Row],[ExpectedWin%]])</f>
        <v>-11.00499652427013</v>
      </c>
      <c r="AB280" s="4">
        <f>Games[[#This Row],[PreGmRate]]+Games[[#This Row],[RatingChange]]</f>
        <v>1491.7683480837463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39641</v>
      </c>
      <c r="B281" s="2">
        <v>2008</v>
      </c>
      <c r="C281" s="2">
        <f>COUNTIFS(Games[Team],Games[[#This Row],[Team]],Games[Season],Games[[#This Row],[Season]],Games[Date],"&lt;=" &amp; Games[[#This Row],[Date]])</f>
        <v>21</v>
      </c>
      <c r="D281" s="2" t="s">
        <v>23</v>
      </c>
      <c r="E281" s="2" t="s">
        <v>29</v>
      </c>
      <c r="F281" s="1" t="s">
        <v>80</v>
      </c>
      <c r="G281" s="1" t="s">
        <v>69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1572.8212706055754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1502.7733446080165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0.70822340110281345</v>
      </c>
      <c r="R281" s="1">
        <v>70</v>
      </c>
      <c r="S281" s="1">
        <v>52</v>
      </c>
      <c r="T281" s="1">
        <v>0</v>
      </c>
      <c r="U281" s="1">
        <f>Games[[#This Row],[PointsFor]]-Games[[#This Row],[PointsAgainst]]</f>
        <v>18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0.51667398144536369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72.849999999999994</v>
      </c>
      <c r="Z281" s="4">
        <f>Games[[#This Row],[K]]*Games[[#This Row],[POMult]]</f>
        <v>72.849999999999994</v>
      </c>
      <c r="AA281" s="4">
        <f>(Games[[#This Row],[Keff]]*Games[[#This Row],[MOVMult]])*(Games[[#This Row],[Result]]-Games[[#This Row],[ExpectedWin%]])</f>
        <v>10.982383517713409</v>
      </c>
      <c r="AB281" s="4">
        <f>Games[[#This Row],[PreGmRate]]+Games[[#This Row],[RatingChange]]</f>
        <v>1583.8036541232889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39642</v>
      </c>
      <c r="B282" s="2">
        <v>2008</v>
      </c>
      <c r="C282" s="2">
        <f>COUNTIFS(Games[Team],Games[[#This Row],[Team]],Games[Season],Games[[#This Row],[Season]],Games[Date],"&lt;=" &amp; Games[[#This Row],[Date]])</f>
        <v>21</v>
      </c>
      <c r="D282" s="2" t="s">
        <v>23</v>
      </c>
      <c r="E282" s="2" t="s">
        <v>29</v>
      </c>
      <c r="F282" s="1" t="s">
        <v>88</v>
      </c>
      <c r="G282" s="1" t="s">
        <v>86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2" s="2">
        <f>Games[[#This Row],[DaysOff]]-Games[[#This Row],[OppDaysOff]]</f>
        <v>1</v>
      </c>
      <c r="L282" s="2">
        <f>Games[[#This Row],[OppDaysOff]]-Games[[#This Row],[DaysOff]]</f>
        <v>-1</v>
      </c>
      <c r="M282" s="1">
        <f>MAX(-16, MIN(16, Games[[#This Row],[RestDiff]]*8))</f>
        <v>8</v>
      </c>
      <c r="N282" s="1">
        <f>MAX(-16, MIN(16, Games[[#This Row],[OppRestDiff]]*8))</f>
        <v>-8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1332.7571089940479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1403.7210430035959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0.31003820230181933</v>
      </c>
      <c r="R282" s="1">
        <v>66</v>
      </c>
      <c r="S282" s="1">
        <v>79</v>
      </c>
      <c r="T282" s="1">
        <v>0</v>
      </c>
      <c r="U282" s="1">
        <f>Games[[#This Row],[PointsFor]]-Games[[#This Row],[PointsAgainst]]</f>
        <v>-13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0.44568731780605009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72.849999999999994</v>
      </c>
      <c r="Z282" s="4">
        <f>Games[[#This Row],[K]]*Games[[#This Row],[POMult]]</f>
        <v>72.849999999999994</v>
      </c>
      <c r="AA282" s="4">
        <f>(Games[[#This Row],[Keff]]*Games[[#This Row],[MOVMult]])*(Games[[#This Row],[Result]]-Games[[#This Row],[ExpectedWin%]])</f>
        <v>-10.066419906275243</v>
      </c>
      <c r="AB282" s="4">
        <f>Games[[#This Row],[PreGmRate]]+Games[[#This Row],[RatingChange]]</f>
        <v>1322.6906890877726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39642</v>
      </c>
      <c r="B283" s="2">
        <v>2008</v>
      </c>
      <c r="C283" s="2">
        <f>COUNTIFS(Games[Team],Games[[#This Row],[Team]],Games[Season],Games[[#This Row],[Season]],Games[Date],"&lt;=" &amp; Games[[#This Row],[Date]])</f>
        <v>19</v>
      </c>
      <c r="D283" s="2" t="s">
        <v>23</v>
      </c>
      <c r="E283" s="2" t="s">
        <v>29</v>
      </c>
      <c r="F283" s="1" t="s">
        <v>86</v>
      </c>
      <c r="G283" s="1" t="s">
        <v>88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-1</v>
      </c>
      <c r="L283" s="2">
        <f>Games[[#This Row],[OppDaysOff]]-Games[[#This Row],[DaysOff]]</f>
        <v>1</v>
      </c>
      <c r="M283" s="1">
        <f>MAX(-16, MIN(16, Games[[#This Row],[RestDiff]]*8))</f>
        <v>-8</v>
      </c>
      <c r="N283" s="1">
        <f>MAX(-16, MIN(16, Games[[#This Row],[OppRestDiff]]*8))</f>
        <v>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1403.7210430035959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1332.7571089940479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0.68996179769818067</v>
      </c>
      <c r="R283" s="1">
        <v>79</v>
      </c>
      <c r="S283" s="1">
        <v>66</v>
      </c>
      <c r="T283" s="1">
        <v>0</v>
      </c>
      <c r="U283" s="1">
        <f>Games[[#This Row],[PointsFor]]-Games[[#This Row],[PointsAgainst]]</f>
        <v>13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0.44568731780605009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73.150000000000006</v>
      </c>
      <c r="Z283" s="4">
        <f>Games[[#This Row],[K]]*Games[[#This Row],[POMult]]</f>
        <v>73.150000000000006</v>
      </c>
      <c r="AA283" s="4">
        <f>(Games[[#This Row],[Keff]]*Games[[#This Row],[MOVMult]])*(Games[[#This Row],[Result]]-Games[[#This Row],[ExpectedWin%]])</f>
        <v>10.107873934715636</v>
      </c>
      <c r="AB283" s="4">
        <f>Games[[#This Row],[PreGmRate]]+Games[[#This Row],[RatingChange]]</f>
        <v>1413.8289169383115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39642</v>
      </c>
      <c r="B284" s="2">
        <v>2008</v>
      </c>
      <c r="C284" s="2">
        <f>COUNTIFS(Games[Team],Games[[#This Row],[Team]],Games[Season],Games[[#This Row],[Season]],Games[Date],"&lt;=" &amp; Games[[#This Row],[Date]])</f>
        <v>21</v>
      </c>
      <c r="D284" s="2" t="s">
        <v>23</v>
      </c>
      <c r="E284" s="2" t="s">
        <v>29</v>
      </c>
      <c r="F284" s="1" t="s">
        <v>85</v>
      </c>
      <c r="G284" s="1" t="s">
        <v>72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3</v>
      </c>
      <c r="L284" s="2">
        <f>Games[[#This Row],[OppDaysOff]]-Games[[#This Row],[DaysOff]]</f>
        <v>-3</v>
      </c>
      <c r="M284" s="1">
        <f>MAX(-16, MIN(16, Games[[#This Row],[RestDiff]]*8))</f>
        <v>16</v>
      </c>
      <c r="N284" s="1">
        <f>MAX(-16, MIN(16, Games[[#This Row],[OppRestDiff]]*8))</f>
        <v>-16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1571.0475789052659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1438.3610214668372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0.614073848349734</v>
      </c>
      <c r="R284" s="1">
        <v>64</v>
      </c>
      <c r="S284" s="1">
        <v>69</v>
      </c>
      <c r="T284" s="1">
        <v>0</v>
      </c>
      <c r="U284" s="1">
        <f>Games[[#This Row],[PointsFor]]-Games[[#This Row],[PointsAgainst]]</f>
        <v>-5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0.29872528414986294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72.849999999999994</v>
      </c>
      <c r="Z284" s="4">
        <f>Games[[#This Row],[K]]*Games[[#This Row],[POMult]]</f>
        <v>72.849999999999994</v>
      </c>
      <c r="AA284" s="4">
        <f>(Games[[#This Row],[Keff]]*Games[[#This Row],[MOVMult]])*(Games[[#This Row],[Result]]-Games[[#This Row],[ExpectedWin%]])</f>
        <v>-13.363559185395419</v>
      </c>
      <c r="AB284" s="4">
        <f>Games[[#This Row],[PreGmRate]]+Games[[#This Row],[RatingChange]]</f>
        <v>1557.6840197198705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39642</v>
      </c>
      <c r="B285" s="2">
        <v>2008</v>
      </c>
      <c r="C285" s="2">
        <f>COUNTIFS(Games[Team],Games[[#This Row],[Team]],Games[Season],Games[[#This Row],[Season]],Games[Date],"&lt;=" &amp; Games[[#This Row],[Date]])</f>
        <v>20</v>
      </c>
      <c r="D285" s="2" t="s">
        <v>23</v>
      </c>
      <c r="E285" s="2" t="s">
        <v>29</v>
      </c>
      <c r="F285" s="1" t="s">
        <v>72</v>
      </c>
      <c r="G285" s="1" t="s">
        <v>85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5" s="2">
        <f>Games[[#This Row],[DaysOff]]-Games[[#This Row],[OppDaysOff]]</f>
        <v>-3</v>
      </c>
      <c r="L285" s="2">
        <f>Games[[#This Row],[OppDaysOff]]-Games[[#This Row],[DaysOff]]</f>
        <v>3</v>
      </c>
      <c r="M285" s="1">
        <f>MAX(-16, MIN(16, Games[[#This Row],[RestDiff]]*8))</f>
        <v>-16</v>
      </c>
      <c r="N285" s="1">
        <f>MAX(-16, MIN(16, Games[[#This Row],[OppRestDiff]]*8))</f>
        <v>16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1438.3610214668372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1571.0475789052659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0.385926151650266</v>
      </c>
      <c r="R285" s="1">
        <v>69</v>
      </c>
      <c r="S285" s="1">
        <v>64</v>
      </c>
      <c r="T285" s="1">
        <v>0</v>
      </c>
      <c r="U285" s="1">
        <f>Games[[#This Row],[PointsFor]]-Games[[#This Row],[PointsAgainst]]</f>
        <v>5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0.29872528414986294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73</v>
      </c>
      <c r="Z285" s="4">
        <f>Games[[#This Row],[K]]*Games[[#This Row],[POMult]]</f>
        <v>73</v>
      </c>
      <c r="AA285" s="4">
        <f>(Games[[#This Row],[Keff]]*Games[[#This Row],[MOVMult]])*(Games[[#This Row],[Result]]-Games[[#This Row],[ExpectedWin%]])</f>
        <v>13.391075093121012</v>
      </c>
      <c r="AB285" s="4">
        <f>Games[[#This Row],[PreGmRate]]+Games[[#This Row],[RatingChange]]</f>
        <v>1451.7520965599583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39643</v>
      </c>
      <c r="B286" s="2">
        <v>2008</v>
      </c>
      <c r="C286" s="2">
        <f>COUNTIFS(Games[Team],Games[[#This Row],[Team]],Games[Season],Games[[#This Row],[Season]],Games[Date],"&lt;=" &amp; Games[[#This Row],[Date]])</f>
        <v>22</v>
      </c>
      <c r="D286" s="2" t="s">
        <v>23</v>
      </c>
      <c r="E286" s="2" t="s">
        <v>29</v>
      </c>
      <c r="F286" s="1" t="s">
        <v>83</v>
      </c>
      <c r="G286" s="1" t="s">
        <v>69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1</v>
      </c>
      <c r="L286" s="2">
        <f>Games[[#This Row],[OppDaysOff]]-Games[[#This Row],[DaysOff]]</f>
        <v>-1</v>
      </c>
      <c r="M286" s="1">
        <f>MAX(-16, MIN(16, Games[[#This Row],[RestDiff]]*8))</f>
        <v>8</v>
      </c>
      <c r="N286" s="1">
        <f>MAX(-16, MIN(16, Games[[#This Row],[OppRestDiff]]*8))</f>
        <v>-8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1592.2769248347206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1491.7683480837463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0.54664755168945756</v>
      </c>
      <c r="R286" s="1">
        <v>62</v>
      </c>
      <c r="S286" s="1">
        <v>75</v>
      </c>
      <c r="T286" s="1">
        <v>0</v>
      </c>
      <c r="U286" s="1">
        <f>Games[[#This Row],[PointsFor]]-Games[[#This Row],[PointsAgainst]]</f>
        <v>-13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0.43556229993660961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72.7</v>
      </c>
      <c r="Z286" s="4">
        <f>Games[[#This Row],[K]]*Games[[#This Row],[POMult]]</f>
        <v>72.7</v>
      </c>
      <c r="AA286" s="4">
        <f>(Games[[#This Row],[Keff]]*Games[[#This Row],[MOVMult]])*(Games[[#This Row],[Result]]-Games[[#This Row],[ExpectedWin%]])</f>
        <v>-17.309802015945536</v>
      </c>
      <c r="AB286" s="4">
        <f>Games[[#This Row],[PreGmRate]]+Games[[#This Row],[RatingChange]]</f>
        <v>1574.9671228187751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39643</v>
      </c>
      <c r="B287" s="2">
        <v>2008</v>
      </c>
      <c r="C287" s="2">
        <f>COUNTIFS(Games[Team],Games[[#This Row],[Team]],Games[Season],Games[[#This Row],[Season]],Games[Date],"&lt;=" &amp; Games[[#This Row],[Date]])</f>
        <v>21</v>
      </c>
      <c r="D287" s="2" t="s">
        <v>23</v>
      </c>
      <c r="E287" s="2" t="s">
        <v>29</v>
      </c>
      <c r="F287" s="1" t="s">
        <v>69</v>
      </c>
      <c r="G287" s="1" t="s">
        <v>83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-1</v>
      </c>
      <c r="L287" s="2">
        <f>Games[[#This Row],[OppDaysOff]]-Games[[#This Row],[DaysOff]]</f>
        <v>1</v>
      </c>
      <c r="M287" s="1">
        <f>MAX(-16, MIN(16, Games[[#This Row],[RestDiff]]*8))</f>
        <v>-8</v>
      </c>
      <c r="N287" s="1">
        <f>MAX(-16, MIN(16, Games[[#This Row],[OppRestDiff]]*8))</f>
        <v>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1491.7683480837463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1592.2769248347206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0.4533524483105425</v>
      </c>
      <c r="R287" s="1">
        <v>75</v>
      </c>
      <c r="S287" s="1">
        <v>62</v>
      </c>
      <c r="T287" s="1">
        <v>0</v>
      </c>
      <c r="U287" s="1">
        <f>Games[[#This Row],[PointsFor]]-Games[[#This Row],[PointsAgainst]]</f>
        <v>13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0.43556229993660961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72.849999999999994</v>
      </c>
      <c r="Z287" s="4">
        <f>Games[[#This Row],[K]]*Games[[#This Row],[POMult]]</f>
        <v>72.849999999999994</v>
      </c>
      <c r="AA287" s="4">
        <f>(Games[[#This Row],[Keff]]*Games[[#This Row],[MOVMult]])*(Games[[#This Row],[Result]]-Games[[#This Row],[ExpectedWin%]])</f>
        <v>17.34551687567582</v>
      </c>
      <c r="AB287" s="4">
        <f>Games[[#This Row],[PreGmRate]]+Games[[#This Row],[RatingChange]]</f>
        <v>1509.1138649594222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39644</v>
      </c>
      <c r="B288" s="2">
        <v>2008</v>
      </c>
      <c r="C288" s="2">
        <f>COUNTIFS(Games[Team],Games[[#This Row],[Team]],Games[Season],Games[[#This Row],[Season]],Games[Date],"&lt;=" &amp; Games[[#This Row],[Date]])</f>
        <v>20</v>
      </c>
      <c r="D288" s="2" t="s">
        <v>23</v>
      </c>
      <c r="E288" s="2" t="s">
        <v>29</v>
      </c>
      <c r="F288" s="1" t="s">
        <v>66</v>
      </c>
      <c r="G288" s="1" t="s">
        <v>85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1525.0454746431017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1557.6840197198705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0.35908860850520419</v>
      </c>
      <c r="R288" s="1">
        <v>77</v>
      </c>
      <c r="S288" s="1">
        <v>71</v>
      </c>
      <c r="T288" s="1">
        <v>0</v>
      </c>
      <c r="U288" s="1">
        <f>Games[[#This Row],[PointsFor]]-Games[[#This Row],[PointsAgainst]]</f>
        <v>6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0.34197933773273059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73</v>
      </c>
      <c r="Z288" s="4">
        <f>Games[[#This Row],[K]]*Games[[#This Row],[POMult]]</f>
        <v>73</v>
      </c>
      <c r="AA288" s="4">
        <f>(Games[[#This Row],[Keff]]*Games[[#This Row],[MOVMult]])*(Games[[#This Row],[Result]]-Games[[#This Row],[ExpectedWin%]])</f>
        <v>16.000027084238976</v>
      </c>
      <c r="AB288" s="4">
        <f>Games[[#This Row],[PreGmRate]]+Games[[#This Row],[RatingChange]]</f>
        <v>1541.0455017273407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39644</v>
      </c>
      <c r="B289" s="2">
        <v>2008</v>
      </c>
      <c r="C289" s="2">
        <f>COUNTIFS(Games[Team],Games[[#This Row],[Team]],Games[Season],Games[[#This Row],[Season]],Games[Date],"&lt;=" &amp; Games[[#This Row],[Date]])</f>
        <v>22</v>
      </c>
      <c r="D289" s="2" t="s">
        <v>23</v>
      </c>
      <c r="E289" s="2" t="s">
        <v>29</v>
      </c>
      <c r="F289" s="1" t="s">
        <v>85</v>
      </c>
      <c r="G289" s="1" t="s">
        <v>66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1557.6840197198705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1525.0454746431017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0.64091139149479581</v>
      </c>
      <c r="R289" s="1">
        <v>71</v>
      </c>
      <c r="S289" s="1">
        <v>77</v>
      </c>
      <c r="T289" s="1">
        <v>0</v>
      </c>
      <c r="U289" s="1">
        <f>Games[[#This Row],[PointsFor]]-Games[[#This Row],[PointsAgainst]]</f>
        <v>-6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0.34197933773273059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72.7</v>
      </c>
      <c r="Z289" s="4">
        <f>Games[[#This Row],[K]]*Games[[#This Row],[POMult]]</f>
        <v>72.7</v>
      </c>
      <c r="AA289" s="4">
        <f>(Games[[#This Row],[Keff]]*Games[[#This Row],[MOVMult]])*(Games[[#This Row],[Result]]-Games[[#This Row],[ExpectedWin%]])</f>
        <v>-15.934273548276352</v>
      </c>
      <c r="AB289" s="4">
        <f>Games[[#This Row],[PreGmRate]]+Games[[#This Row],[RatingChange]]</f>
        <v>1541.7497461715941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39644</v>
      </c>
      <c r="B290" s="2">
        <v>2008</v>
      </c>
      <c r="C290" s="2">
        <f>COUNTIFS(Games[Team],Games[[#This Row],[Team]],Games[Season],Games[[#This Row],[Season]],Games[Date],"&lt;=" &amp; Games[[#This Row],[Date]])</f>
        <v>23</v>
      </c>
      <c r="D290" s="2" t="s">
        <v>23</v>
      </c>
      <c r="E290" s="2" t="s">
        <v>29</v>
      </c>
      <c r="F290" s="1" t="s">
        <v>83</v>
      </c>
      <c r="G290" s="1" t="s">
        <v>44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-2</v>
      </c>
      <c r="L290" s="2">
        <f>Games[[#This Row],[OppDaysOff]]-Games[[#This Row],[DaysOff]]</f>
        <v>2</v>
      </c>
      <c r="M290" s="1">
        <f>MAX(-16, MIN(16, Games[[#This Row],[RestDiff]]*8))</f>
        <v>-16</v>
      </c>
      <c r="N290" s="1">
        <f>MAX(-16, MIN(16, Games[[#This Row],[OppRestDiff]]*8))</f>
        <v>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1574.9671228187751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1532.7793613324134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0.39534544123923521</v>
      </c>
      <c r="R290" s="1">
        <v>97</v>
      </c>
      <c r="S290" s="1">
        <v>87</v>
      </c>
      <c r="T290" s="1">
        <v>0</v>
      </c>
      <c r="U290" s="1">
        <f>Games[[#This Row],[PointsFor]]-Games[[#This Row],[PointsAgainst]]</f>
        <v>10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0.40875917066770706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72.55</v>
      </c>
      <c r="Z290" s="4">
        <f>Games[[#This Row],[K]]*Games[[#This Row],[POMult]]</f>
        <v>72.55</v>
      </c>
      <c r="AA290" s="4">
        <f>(Games[[#This Row],[Keff]]*Games[[#This Row],[MOVMult]])*(Games[[#This Row],[Result]]-Games[[#This Row],[ExpectedWin%]])</f>
        <v>17.93131986331262</v>
      </c>
      <c r="AB290" s="4">
        <f>Games[[#This Row],[PreGmRate]]+Games[[#This Row],[RatingChange]]</f>
        <v>1592.8984426820878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39644</v>
      </c>
      <c r="B291" s="2">
        <v>2008</v>
      </c>
      <c r="C291" s="2">
        <f>COUNTIFS(Games[Team],Games[[#This Row],[Team]],Games[Season],Games[[#This Row],[Season]],Games[Date],"&lt;=" &amp; Games[[#This Row],[Date]])</f>
        <v>21</v>
      </c>
      <c r="D291" s="2" t="s">
        <v>23</v>
      </c>
      <c r="E291" s="2" t="s">
        <v>29</v>
      </c>
      <c r="F291" s="1" t="s">
        <v>44</v>
      </c>
      <c r="G291" s="1" t="s">
        <v>83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1" s="2">
        <f>Games[[#This Row],[DaysOff]]-Games[[#This Row],[OppDaysOff]]</f>
        <v>2</v>
      </c>
      <c r="L291" s="2">
        <f>Games[[#This Row],[OppDaysOff]]-Games[[#This Row],[DaysOff]]</f>
        <v>-2</v>
      </c>
      <c r="M291" s="1">
        <f>MAX(-16, MIN(16, Games[[#This Row],[RestDiff]]*8))</f>
        <v>16</v>
      </c>
      <c r="N291" s="1">
        <f>MAX(-16, MIN(16, Games[[#This Row],[OppRestDiff]]*8))</f>
        <v>-16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1532.7793613324134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1574.9671228187751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0.60465455876076479</v>
      </c>
      <c r="R291" s="1">
        <v>87</v>
      </c>
      <c r="S291" s="1">
        <v>97</v>
      </c>
      <c r="T291" s="1">
        <v>0</v>
      </c>
      <c r="U291" s="1">
        <f>Games[[#This Row],[PointsFor]]-Games[[#This Row],[PointsAgainst]]</f>
        <v>-10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0.40875917066770706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72.849999999999994</v>
      </c>
      <c r="Z291" s="4">
        <f>Games[[#This Row],[K]]*Games[[#This Row],[POMult]]</f>
        <v>72.849999999999994</v>
      </c>
      <c r="AA291" s="4">
        <f>(Games[[#This Row],[Keff]]*Games[[#This Row],[MOVMult]])*(Games[[#This Row],[Result]]-Games[[#This Row],[ExpectedWin%]])</f>
        <v>-18.00546729210647</v>
      </c>
      <c r="AB291" s="4">
        <f>Games[[#This Row],[PreGmRate]]+Games[[#This Row],[RatingChange]]</f>
        <v>1514.7738940403069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39645</v>
      </c>
      <c r="B292" s="2">
        <v>2008</v>
      </c>
      <c r="C292" s="2">
        <f>COUNTIFS(Games[Team],Games[[#This Row],[Team]],Games[Season],Games[[#This Row],[Season]],Games[Date],"&lt;=" &amp; Games[[#This Row],[Date]])</f>
        <v>20</v>
      </c>
      <c r="D292" s="2" t="s">
        <v>23</v>
      </c>
      <c r="E292" s="2" t="s">
        <v>29</v>
      </c>
      <c r="F292" s="1" t="s">
        <v>86</v>
      </c>
      <c r="G292" s="1" t="s">
        <v>74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1413.8289169383115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1593.0611273675927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0.16695131914775763</v>
      </c>
      <c r="R292" s="1">
        <v>63</v>
      </c>
      <c r="S292" s="1">
        <v>66</v>
      </c>
      <c r="T292" s="1">
        <v>0</v>
      </c>
      <c r="U292" s="1">
        <f>Games[[#This Row],[PointsFor]]-Games[[#This Row],[PointsAgainst]]</f>
        <v>-3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0.25247396535937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73</v>
      </c>
      <c r="Z292" s="4">
        <f>Games[[#This Row],[K]]*Games[[#This Row],[POMult]]</f>
        <v>73</v>
      </c>
      <c r="AA292" s="4">
        <f>(Games[[#This Row],[Keff]]*Games[[#This Row],[MOVMult]])*(Games[[#This Row],[Result]]-Games[[#This Row],[ExpectedWin%]])</f>
        <v>-3.0770128944064825</v>
      </c>
      <c r="AB292" s="4">
        <f>Games[[#This Row],[PreGmRate]]+Games[[#This Row],[RatingChange]]</f>
        <v>1410.7519040439051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39645</v>
      </c>
      <c r="B293" s="2">
        <v>2008</v>
      </c>
      <c r="C293" s="2">
        <f>COUNTIFS(Games[Team],Games[[#This Row],[Team]],Games[Season],Games[[#This Row],[Season]],Games[Date],"&lt;=" &amp; Games[[#This Row],[Date]])</f>
        <v>22</v>
      </c>
      <c r="D293" s="2" t="s">
        <v>23</v>
      </c>
      <c r="E293" s="2" t="s">
        <v>29</v>
      </c>
      <c r="F293" s="1" t="s">
        <v>74</v>
      </c>
      <c r="G293" s="1" t="s">
        <v>86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1593.0611273675927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1413.8289169383115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0.83304868085224248</v>
      </c>
      <c r="R293" s="1">
        <v>66</v>
      </c>
      <c r="S293" s="1">
        <v>63</v>
      </c>
      <c r="T293" s="1">
        <v>0</v>
      </c>
      <c r="U293" s="1">
        <f>Games[[#This Row],[PointsFor]]-Games[[#This Row],[PointsAgainst]]</f>
        <v>3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0.25247396535937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72.7</v>
      </c>
      <c r="Z293" s="4">
        <f>Games[[#This Row],[K]]*Games[[#This Row],[POMult]]</f>
        <v>72.7</v>
      </c>
      <c r="AA293" s="4">
        <f>(Games[[#This Row],[Keff]]*Games[[#This Row],[MOVMult]])*(Games[[#This Row],[Result]]-Games[[#This Row],[ExpectedWin%]])</f>
        <v>3.0643676359363163</v>
      </c>
      <c r="AB293" s="4">
        <f>Games[[#This Row],[PreGmRate]]+Games[[#This Row],[RatingChange]]</f>
        <v>1596.1254950035291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39645</v>
      </c>
      <c r="B294" s="2">
        <v>2008</v>
      </c>
      <c r="C294" s="2">
        <f>COUNTIFS(Games[Team],Games[[#This Row],[Team]],Games[Season],Games[[#This Row],[Season]],Games[Date],"&lt;=" &amp; Games[[#This Row],[Date]])</f>
        <v>22</v>
      </c>
      <c r="D294" s="2" t="s">
        <v>23</v>
      </c>
      <c r="E294" s="2" t="s">
        <v>29</v>
      </c>
      <c r="F294" s="1" t="s">
        <v>88</v>
      </c>
      <c r="G294" s="1" t="s">
        <v>78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1322.6906890877726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1521.0097703496187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0.15222408466211534</v>
      </c>
      <c r="R294" s="1">
        <v>81</v>
      </c>
      <c r="S294" s="1">
        <v>77</v>
      </c>
      <c r="T294" s="1">
        <v>0</v>
      </c>
      <c r="U294" s="1">
        <f>Games[[#This Row],[PointsFor]]-Games[[#This Row],[PointsAgainst]]</f>
        <v>4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0.26726323547513214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72.7</v>
      </c>
      <c r="Z294" s="4">
        <f>Games[[#This Row],[K]]*Games[[#This Row],[POMult]]</f>
        <v>72.7</v>
      </c>
      <c r="AA294" s="4">
        <f>(Games[[#This Row],[Keff]]*Games[[#This Row],[MOVMult]])*(Games[[#This Row],[Result]]-Games[[#This Row],[ExpectedWin%]])</f>
        <v>16.472317588422591</v>
      </c>
      <c r="AB294" s="4">
        <f>Games[[#This Row],[PreGmRate]]+Games[[#This Row],[RatingChange]]</f>
        <v>1339.1630066761952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39645</v>
      </c>
      <c r="B295" s="2">
        <v>2008</v>
      </c>
      <c r="C295" s="2">
        <f>COUNTIFS(Games[Team],Games[[#This Row],[Team]],Games[Season],Games[[#This Row],[Season]],Games[Date],"&lt;=" &amp; Games[[#This Row],[Date]])</f>
        <v>20</v>
      </c>
      <c r="D295" s="2" t="s">
        <v>23</v>
      </c>
      <c r="E295" s="2" t="s">
        <v>29</v>
      </c>
      <c r="F295" s="1" t="s">
        <v>78</v>
      </c>
      <c r="G295" s="1" t="s">
        <v>88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1521.0097703496187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1322.6906890877726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0.84777591533788466</v>
      </c>
      <c r="R295" s="1">
        <v>77</v>
      </c>
      <c r="S295" s="1">
        <v>81</v>
      </c>
      <c r="T295" s="1">
        <v>0</v>
      </c>
      <c r="U295" s="1">
        <f>Games[[#This Row],[PointsFor]]-Games[[#This Row],[PointsAgainst]]</f>
        <v>-4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0.26726323547513214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73</v>
      </c>
      <c r="Z295" s="4">
        <f>Games[[#This Row],[K]]*Games[[#This Row],[POMult]]</f>
        <v>73</v>
      </c>
      <c r="AA295" s="4">
        <f>(Games[[#This Row],[Keff]]*Games[[#This Row],[MOVMult]])*(Games[[#This Row],[Result]]-Games[[#This Row],[ExpectedWin%]])</f>
        <v>-16.540291388649919</v>
      </c>
      <c r="AB295" s="4">
        <f>Games[[#This Row],[PreGmRate]]+Games[[#This Row],[RatingChange]]</f>
        <v>1504.4694789609689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39646</v>
      </c>
      <c r="B296" s="2">
        <v>2008</v>
      </c>
      <c r="C296" s="2">
        <f>COUNTIFS(Games[Team],Games[[#This Row],[Team]],Games[Season],Games[[#This Row],[Season]],Games[Date],"&lt;=" &amp; Games[[#This Row],[Date]])</f>
        <v>21</v>
      </c>
      <c r="D296" s="2" t="s">
        <v>23</v>
      </c>
      <c r="E296" s="2" t="s">
        <v>29</v>
      </c>
      <c r="F296" s="1" t="s">
        <v>76</v>
      </c>
      <c r="G296" s="1" t="s">
        <v>2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1479.6622432756676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1471.8482515513131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0.39208368885311351</v>
      </c>
      <c r="R296" s="1">
        <v>88</v>
      </c>
      <c r="S296" s="1">
        <v>96</v>
      </c>
      <c r="T296" s="1">
        <v>0</v>
      </c>
      <c r="U296" s="1">
        <f>Games[[#This Row],[PointsFor]]-Games[[#This Row],[PointsAgainst]]</f>
        <v>-8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0.38580331507697213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72.849999999999994</v>
      </c>
      <c r="Z296" s="4">
        <f>Games[[#This Row],[K]]*Games[[#This Row],[POMult]]</f>
        <v>72.849999999999994</v>
      </c>
      <c r="AA296" s="4">
        <f>(Games[[#This Row],[Keff]]*Games[[#This Row],[MOVMult]])*(Games[[#This Row],[Result]]-Games[[#This Row],[ExpectedWin%]])</f>
        <v>-11.019814569099093</v>
      </c>
      <c r="AB296" s="4">
        <f>Games[[#This Row],[PreGmRate]]+Games[[#This Row],[RatingChange]]</f>
        <v>1468.6424287065686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39646</v>
      </c>
      <c r="B297" s="2">
        <v>2008</v>
      </c>
      <c r="C297" s="2">
        <f>COUNTIFS(Games[Team],Games[[#This Row],[Team]],Games[Season],Games[[#This Row],[Season]],Games[Date],"&lt;=" &amp; Games[[#This Row],[Date]])</f>
        <v>22</v>
      </c>
      <c r="D297" s="2" t="s">
        <v>23</v>
      </c>
      <c r="E297" s="2" t="s">
        <v>29</v>
      </c>
      <c r="F297" s="1" t="s">
        <v>2</v>
      </c>
      <c r="G297" s="1" t="s">
        <v>76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1471.8482515513131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1479.6622432756676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0.60791631114688649</v>
      </c>
      <c r="R297" s="1">
        <v>96</v>
      </c>
      <c r="S297" s="1">
        <v>88</v>
      </c>
      <c r="T297" s="1">
        <v>0</v>
      </c>
      <c r="U297" s="1">
        <f>Games[[#This Row],[PointsFor]]-Games[[#This Row],[PointsAgainst]]</f>
        <v>8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0.38580331507697213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72.7</v>
      </c>
      <c r="Z297" s="4">
        <f>Games[[#This Row],[K]]*Games[[#This Row],[POMult]]</f>
        <v>72.7</v>
      </c>
      <c r="AA297" s="4">
        <f>(Games[[#This Row],[Keff]]*Games[[#This Row],[MOVMult]])*(Games[[#This Row],[Result]]-Games[[#This Row],[ExpectedWin%]])</f>
        <v>10.997124491057024</v>
      </c>
      <c r="AB297" s="4">
        <f>Games[[#This Row],[PreGmRate]]+Games[[#This Row],[RatingChange]]</f>
        <v>1482.8453760423702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39646</v>
      </c>
      <c r="B298" s="2">
        <v>2008</v>
      </c>
      <c r="C298" s="2">
        <f>COUNTIFS(Games[Team],Games[[#This Row],[Team]],Games[Season],Games[[#This Row],[Season]],Games[Date],"&lt;=" &amp; Games[[#This Row],[Date]])</f>
        <v>21</v>
      </c>
      <c r="D298" s="2" t="s">
        <v>23</v>
      </c>
      <c r="E298" s="2" t="s">
        <v>29</v>
      </c>
      <c r="F298" s="1" t="s">
        <v>72</v>
      </c>
      <c r="G298" s="1" t="s">
        <v>66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2</v>
      </c>
      <c r="L298" s="2">
        <f>Games[[#This Row],[OppDaysOff]]-Games[[#This Row],[DaysOff]]</f>
        <v>-2</v>
      </c>
      <c r="M298" s="1">
        <f>MAX(-16, MIN(16, Games[[#This Row],[RestDiff]]*8))</f>
        <v>16</v>
      </c>
      <c r="N298" s="1">
        <f>MAX(-16, MIN(16, Games[[#This Row],[OppRestDiff]]*8))</f>
        <v>-16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1451.7520965599583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1541.0455017273407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0.30717704372171561</v>
      </c>
      <c r="R298" s="1">
        <v>56</v>
      </c>
      <c r="S298" s="1">
        <v>77</v>
      </c>
      <c r="T298" s="1">
        <v>0</v>
      </c>
      <c r="U298" s="1">
        <f>Games[[#This Row],[PointsFor]]-Games[[#This Row],[PointsAgainst]]</f>
        <v>-21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0.5478128907618125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72.849999999999994</v>
      </c>
      <c r="Z298" s="4">
        <f>Games[[#This Row],[K]]*Games[[#This Row],[POMult]]</f>
        <v>72.849999999999994</v>
      </c>
      <c r="AA298" s="4">
        <f>(Games[[#This Row],[Keff]]*Games[[#This Row],[MOVMult]])*(Games[[#This Row],[Result]]-Games[[#This Row],[ExpectedWin%]])</f>
        <v>-12.258873402026301</v>
      </c>
      <c r="AB298" s="4">
        <f>Games[[#This Row],[PreGmRate]]+Games[[#This Row],[RatingChange]]</f>
        <v>1439.4932231579321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39646</v>
      </c>
      <c r="B299" s="2">
        <v>2008</v>
      </c>
      <c r="C299" s="2">
        <f>COUNTIFS(Games[Team],Games[[#This Row],[Team]],Games[Season],Games[[#This Row],[Season]],Games[Date],"&lt;=" &amp; Games[[#This Row],[Date]])</f>
        <v>21</v>
      </c>
      <c r="D299" s="2" t="s">
        <v>23</v>
      </c>
      <c r="E299" s="2" t="s">
        <v>29</v>
      </c>
      <c r="F299" s="1" t="s">
        <v>66</v>
      </c>
      <c r="G299" s="1" t="s">
        <v>72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9" s="2">
        <f>Games[[#This Row],[DaysOff]]-Games[[#This Row],[OppDaysOff]]</f>
        <v>-2</v>
      </c>
      <c r="L299" s="2">
        <f>Games[[#This Row],[OppDaysOff]]-Games[[#This Row],[DaysOff]]</f>
        <v>2</v>
      </c>
      <c r="M299" s="1">
        <f>MAX(-16, MIN(16, Games[[#This Row],[RestDiff]]*8))</f>
        <v>-16</v>
      </c>
      <c r="N299" s="1">
        <f>MAX(-16, MIN(16, Games[[#This Row],[OppRestDiff]]*8))</f>
        <v>16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1541.0455017273407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1451.7520965599583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0.69282295627828439</v>
      </c>
      <c r="R299" s="1">
        <v>77</v>
      </c>
      <c r="S299" s="1">
        <v>56</v>
      </c>
      <c r="T299" s="1">
        <v>0</v>
      </c>
      <c r="U299" s="1">
        <f>Games[[#This Row],[PointsFor]]-Games[[#This Row],[PointsAgainst]]</f>
        <v>21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0.5478128907618125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72.849999999999994</v>
      </c>
      <c r="Z299" s="4">
        <f>Games[[#This Row],[K]]*Games[[#This Row],[POMult]]</f>
        <v>72.849999999999994</v>
      </c>
      <c r="AA299" s="4">
        <f>(Games[[#This Row],[Keff]]*Games[[#This Row],[MOVMult]])*(Games[[#This Row],[Result]]-Games[[#This Row],[ExpectedWin%]])</f>
        <v>12.258873402026301</v>
      </c>
      <c r="AB299" s="4">
        <f>Games[[#This Row],[PreGmRate]]+Games[[#This Row],[RatingChange]]</f>
        <v>1553.3043751293669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39646</v>
      </c>
      <c r="B300" s="2">
        <v>2008</v>
      </c>
      <c r="C300" s="2">
        <f>COUNTIFS(Games[Team],Games[[#This Row],[Team]],Games[Season],Games[[#This Row],[Season]],Games[Date],"&lt;=" &amp; Games[[#This Row],[Date]])</f>
        <v>22</v>
      </c>
      <c r="D300" s="2" t="s">
        <v>23</v>
      </c>
      <c r="E300" s="2" t="s">
        <v>29</v>
      </c>
      <c r="F300" s="1" t="s">
        <v>69</v>
      </c>
      <c r="G300" s="1" t="s">
        <v>44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1</v>
      </c>
      <c r="L300" s="2">
        <f>Games[[#This Row],[OppDaysOff]]-Games[[#This Row],[DaysOff]]</f>
        <v>-1</v>
      </c>
      <c r="M300" s="1">
        <f>MAX(-16, MIN(16, Games[[#This Row],[RestDiff]]*8))</f>
        <v>8</v>
      </c>
      <c r="N300" s="1">
        <f>MAX(-16, MIN(16, Games[[#This Row],[OppRestDiff]]*8))</f>
        <v>-8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1509.1138649594222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1514.7738940403069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0.39555491089993194</v>
      </c>
      <c r="R300" s="1">
        <v>92</v>
      </c>
      <c r="S300" s="1">
        <v>99</v>
      </c>
      <c r="T300" s="1">
        <v>0</v>
      </c>
      <c r="U300" s="1">
        <f>Games[[#This Row],[PointsFor]]-Games[[#This Row],[PointsAgainst]]</f>
        <v>-7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0.36836968653854951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72.7</v>
      </c>
      <c r="Z300" s="4">
        <f>Games[[#This Row],[K]]*Games[[#This Row],[POMult]]</f>
        <v>72.7</v>
      </c>
      <c r="AA300" s="4">
        <f>(Games[[#This Row],[Keff]]*Games[[#This Row],[MOVMult]])*(Games[[#This Row],[Result]]-Games[[#This Row],[ExpectedWin%]])</f>
        <v>-10.593148881639305</v>
      </c>
      <c r="AB300" s="4">
        <f>Games[[#This Row],[PreGmRate]]+Games[[#This Row],[RatingChange]]</f>
        <v>1498.5207160777829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39646</v>
      </c>
      <c r="B301" s="2">
        <v>2008</v>
      </c>
      <c r="C301" s="2">
        <f>COUNTIFS(Games[Team],Games[[#This Row],[Team]],Games[Season],Games[[#This Row],[Season]],Games[Date],"&lt;=" &amp; Games[[#This Row],[Date]])</f>
        <v>22</v>
      </c>
      <c r="D301" s="2" t="s">
        <v>23</v>
      </c>
      <c r="E301" s="2" t="s">
        <v>29</v>
      </c>
      <c r="F301" s="1" t="s">
        <v>44</v>
      </c>
      <c r="G301" s="1" t="s">
        <v>69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1" s="2">
        <f>Games[[#This Row],[DaysOff]]-Games[[#This Row],[OppDaysOff]]</f>
        <v>-1</v>
      </c>
      <c r="L301" s="2">
        <f>Games[[#This Row],[OppDaysOff]]-Games[[#This Row],[DaysOff]]</f>
        <v>1</v>
      </c>
      <c r="M301" s="1">
        <f>MAX(-16, MIN(16, Games[[#This Row],[RestDiff]]*8))</f>
        <v>-8</v>
      </c>
      <c r="N301" s="1">
        <f>MAX(-16, MIN(16, Games[[#This Row],[OppRestDiff]]*8))</f>
        <v>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1514.7738940403069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1509.1138649594222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0.604445089100068</v>
      </c>
      <c r="R301" s="1">
        <v>99</v>
      </c>
      <c r="S301" s="1">
        <v>92</v>
      </c>
      <c r="T301" s="1">
        <v>0</v>
      </c>
      <c r="U301" s="1">
        <f>Games[[#This Row],[PointsFor]]-Games[[#This Row],[PointsAgainst]]</f>
        <v>7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0.36836968653854951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72.7</v>
      </c>
      <c r="Z301" s="4">
        <f>Games[[#This Row],[K]]*Games[[#This Row],[POMult]]</f>
        <v>72.7</v>
      </c>
      <c r="AA301" s="4">
        <f>(Games[[#This Row],[Keff]]*Games[[#This Row],[MOVMult]])*(Games[[#This Row],[Result]]-Games[[#This Row],[ExpectedWin%]])</f>
        <v>10.593148881639307</v>
      </c>
      <c r="AB301" s="4">
        <f>Games[[#This Row],[PreGmRate]]+Games[[#This Row],[RatingChange]]</f>
        <v>1525.3670429219462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39647</v>
      </c>
      <c r="B302" s="2">
        <v>2008</v>
      </c>
      <c r="C302" s="2">
        <f>COUNTIFS(Games[Team],Games[[#This Row],[Team]],Games[Season],Games[[#This Row],[Season]],Games[Date],"&lt;=" &amp; Games[[#This Row],[Date]])</f>
        <v>23</v>
      </c>
      <c r="D302" s="2" t="s">
        <v>23</v>
      </c>
      <c r="E302" s="2" t="s">
        <v>29</v>
      </c>
      <c r="F302" s="1" t="s">
        <v>85</v>
      </c>
      <c r="G302" s="1" t="s">
        <v>86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1</v>
      </c>
      <c r="L302" s="2">
        <f>Games[[#This Row],[OppDaysOff]]-Games[[#This Row],[DaysOff]]</f>
        <v>-1</v>
      </c>
      <c r="M302" s="1">
        <f>MAX(-16, MIN(16, Games[[#This Row],[RestDiff]]*8))</f>
        <v>8</v>
      </c>
      <c r="N302" s="1">
        <f>MAX(-16, MIN(16, Games[[#This Row],[OppRestDiff]]*8))</f>
        <v>-8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1541.7497461715941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1410.7519040439051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0.58968049761816677</v>
      </c>
      <c r="R302" s="1">
        <v>65</v>
      </c>
      <c r="S302" s="1">
        <v>73</v>
      </c>
      <c r="T302" s="1">
        <v>0</v>
      </c>
      <c r="U302" s="1">
        <f>Games[[#This Row],[PointsFor]]-Games[[#This Row],[PointsAgainst]]</f>
        <v>-8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0.35009721823343348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72.55</v>
      </c>
      <c r="Z302" s="4">
        <f>Games[[#This Row],[K]]*Games[[#This Row],[POMult]]</f>
        <v>72.55</v>
      </c>
      <c r="AA302" s="4">
        <f>(Games[[#This Row],[Keff]]*Games[[#This Row],[MOVMult]])*(Games[[#This Row],[Result]]-Games[[#This Row],[ExpectedWin%]])</f>
        <v>-14.977621160133586</v>
      </c>
      <c r="AB302" s="4">
        <f>Games[[#This Row],[PreGmRate]]+Games[[#This Row],[RatingChange]]</f>
        <v>1526.7721250114605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39647</v>
      </c>
      <c r="B303" s="2">
        <v>2008</v>
      </c>
      <c r="C303" s="2">
        <f>COUNTIFS(Games[Team],Games[[#This Row],[Team]],Games[Season],Games[[#This Row],[Season]],Games[Date],"&lt;=" &amp; Games[[#This Row],[Date]])</f>
        <v>21</v>
      </c>
      <c r="D303" s="2" t="s">
        <v>23</v>
      </c>
      <c r="E303" s="2" t="s">
        <v>29</v>
      </c>
      <c r="F303" s="1" t="s">
        <v>86</v>
      </c>
      <c r="G303" s="1" t="s">
        <v>85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3" s="2">
        <f>Games[[#This Row],[DaysOff]]-Games[[#This Row],[OppDaysOff]]</f>
        <v>-1</v>
      </c>
      <c r="L303" s="2">
        <f>Games[[#This Row],[OppDaysOff]]-Games[[#This Row],[DaysOff]]</f>
        <v>1</v>
      </c>
      <c r="M303" s="1">
        <f>MAX(-16, MIN(16, Games[[#This Row],[RestDiff]]*8))</f>
        <v>-8</v>
      </c>
      <c r="N303" s="1">
        <f>MAX(-16, MIN(16, Games[[#This Row],[OppRestDiff]]*8))</f>
        <v>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1410.7519040439051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1541.7497461715941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0.41031950238183329</v>
      </c>
      <c r="R303" s="1">
        <v>73</v>
      </c>
      <c r="S303" s="1">
        <v>65</v>
      </c>
      <c r="T303" s="1">
        <v>0</v>
      </c>
      <c r="U303" s="1">
        <f>Games[[#This Row],[PointsFor]]-Games[[#This Row],[PointsAgainst]]</f>
        <v>8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0.35009721823343348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72.849999999999994</v>
      </c>
      <c r="Z303" s="4">
        <f>Games[[#This Row],[K]]*Games[[#This Row],[POMult]]</f>
        <v>72.849999999999994</v>
      </c>
      <c r="AA303" s="4">
        <f>(Games[[#This Row],[Keff]]*Games[[#This Row],[MOVMult]])*(Games[[#This Row],[Result]]-Games[[#This Row],[ExpectedWin%]])</f>
        <v>15.039554810692373</v>
      </c>
      <c r="AB303" s="4">
        <f>Games[[#This Row],[PreGmRate]]+Games[[#This Row],[RatingChange]]</f>
        <v>1425.7914588545975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39647</v>
      </c>
      <c r="B304" s="2">
        <v>2008</v>
      </c>
      <c r="C304" s="2">
        <f>COUNTIFS(Games[Team],Games[[#This Row],[Team]],Games[Season],Games[[#This Row],[Season]],Games[Date],"&lt;=" &amp; Games[[#This Row],[Date]])</f>
        <v>22</v>
      </c>
      <c r="D304" s="2" t="s">
        <v>23</v>
      </c>
      <c r="E304" s="2" t="s">
        <v>29</v>
      </c>
      <c r="F304" s="1" t="s">
        <v>80</v>
      </c>
      <c r="G304" s="1" t="s">
        <v>78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4</v>
      </c>
      <c r="L304" s="2">
        <f>Games[[#This Row],[OppDaysOff]]-Games[[#This Row],[DaysOff]]</f>
        <v>-4</v>
      </c>
      <c r="M304" s="1">
        <f>MAX(-16, MIN(16, Games[[#This Row],[RestDiff]]*8))</f>
        <v>16</v>
      </c>
      <c r="N304" s="1">
        <f>MAX(-16, MIN(16, Games[[#This Row],[OppRestDiff]]*8))</f>
        <v>-16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1583.8036541232889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1504.4694789609689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0.53925608027507377</v>
      </c>
      <c r="R304" s="1">
        <v>65</v>
      </c>
      <c r="S304" s="1">
        <v>59</v>
      </c>
      <c r="T304" s="1">
        <v>0</v>
      </c>
      <c r="U304" s="1">
        <f>Games[[#This Row],[PointsFor]]-Games[[#This Row],[PointsAgainst]]</f>
        <v>6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0.32949710989758096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72.7</v>
      </c>
      <c r="Z304" s="4">
        <f>Games[[#This Row],[K]]*Games[[#This Row],[POMult]]</f>
        <v>72.7</v>
      </c>
      <c r="AA304" s="4">
        <f>(Games[[#This Row],[Keff]]*Games[[#This Row],[MOVMult]])*(Games[[#This Row],[Result]]-Games[[#This Row],[ExpectedWin%]])</f>
        <v>11.036862529528303</v>
      </c>
      <c r="AB304" s="4">
        <f>Games[[#This Row],[PreGmRate]]+Games[[#This Row],[RatingChange]]</f>
        <v>1594.8405166528171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39647</v>
      </c>
      <c r="B305" s="2">
        <v>2008</v>
      </c>
      <c r="C305" s="2">
        <f>COUNTIFS(Games[Team],Games[[#This Row],[Team]],Games[Season],Games[[#This Row],[Season]],Games[Date],"&lt;=" &amp; Games[[#This Row],[Date]])</f>
        <v>21</v>
      </c>
      <c r="D305" s="2" t="s">
        <v>23</v>
      </c>
      <c r="E305" s="2" t="s">
        <v>29</v>
      </c>
      <c r="F305" s="1" t="s">
        <v>78</v>
      </c>
      <c r="G305" s="1" t="s">
        <v>80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5" s="2">
        <f>Games[[#This Row],[DaysOff]]-Games[[#This Row],[OppDaysOff]]</f>
        <v>-4</v>
      </c>
      <c r="L305" s="2">
        <f>Games[[#This Row],[OppDaysOff]]-Games[[#This Row],[DaysOff]]</f>
        <v>4</v>
      </c>
      <c r="M305" s="1">
        <f>MAX(-16, MIN(16, Games[[#This Row],[RestDiff]]*8))</f>
        <v>-16</v>
      </c>
      <c r="N305" s="1">
        <f>MAX(-16, MIN(16, Games[[#This Row],[OppRestDiff]]*8))</f>
        <v>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1504.4694789609689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1583.8036541232889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0.46074391972492623</v>
      </c>
      <c r="R305" s="1">
        <v>59</v>
      </c>
      <c r="S305" s="1">
        <v>65</v>
      </c>
      <c r="T305" s="1">
        <v>0</v>
      </c>
      <c r="U305" s="1">
        <f>Games[[#This Row],[PointsFor]]-Games[[#This Row],[PointsAgainst]]</f>
        <v>-6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0.32949710989758096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72.849999999999994</v>
      </c>
      <c r="Z305" s="4">
        <f>Games[[#This Row],[K]]*Games[[#This Row],[POMult]]</f>
        <v>72.849999999999994</v>
      </c>
      <c r="AA305" s="4">
        <f>(Games[[#This Row],[Keff]]*Games[[#This Row],[MOVMult]])*(Games[[#This Row],[Result]]-Games[[#This Row],[ExpectedWin%]])</f>
        <v>-11.059634598021139</v>
      </c>
      <c r="AB305" s="4">
        <f>Games[[#This Row],[PreGmRate]]+Games[[#This Row],[RatingChange]]</f>
        <v>1493.4098443629478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39647</v>
      </c>
      <c r="B306" s="2">
        <v>2008</v>
      </c>
      <c r="C306" s="2">
        <f>COUNTIFS(Games[Team],Games[[#This Row],[Team]],Games[Season],Games[[#This Row],[Season]],Games[Date],"&lt;=" &amp; Games[[#This Row],[Date]])</f>
        <v>23</v>
      </c>
      <c r="D306" s="2" t="s">
        <v>23</v>
      </c>
      <c r="E306" s="2" t="s">
        <v>29</v>
      </c>
      <c r="F306" s="1" t="s">
        <v>88</v>
      </c>
      <c r="G306" s="1" t="s">
        <v>45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6" s="2">
        <f>Games[[#This Row],[DaysOff]]-Games[[#This Row],[OppDaysOff]]</f>
        <v>-4</v>
      </c>
      <c r="L306" s="2">
        <f>Games[[#This Row],[OppDaysOff]]-Games[[#This Row],[DaysOff]]</f>
        <v>4</v>
      </c>
      <c r="M306" s="1">
        <f>MAX(-16, MIN(16, Games[[#This Row],[RestDiff]]*8))</f>
        <v>-16</v>
      </c>
      <c r="N306" s="1">
        <f>MAX(-16, MIN(16, Games[[#This Row],[OppRestDiff]]*8))</f>
        <v>16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1339.1630066761952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1488.5442372510474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0.17833672933257833</v>
      </c>
      <c r="R306" s="1">
        <v>73</v>
      </c>
      <c r="S306" s="1">
        <v>77</v>
      </c>
      <c r="T306" s="1">
        <v>0</v>
      </c>
      <c r="U306" s="1">
        <f>Games[[#This Row],[PointsFor]]-Games[[#This Row],[PointsAgainst]]</f>
        <v>-4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0.27695603986239414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72.55</v>
      </c>
      <c r="Z306" s="4">
        <f>Games[[#This Row],[K]]*Games[[#This Row],[POMult]]</f>
        <v>72.55</v>
      </c>
      <c r="AA306" s="4">
        <f>(Games[[#This Row],[Keff]]*Games[[#This Row],[MOVMult]])*(Games[[#This Row],[Result]]-Games[[#This Row],[ExpectedWin%]])</f>
        <v>-3.5833485597681838</v>
      </c>
      <c r="AB306" s="4">
        <f>Games[[#This Row],[PreGmRate]]+Games[[#This Row],[RatingChange]]</f>
        <v>1335.579658116427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39647</v>
      </c>
      <c r="B307" s="2">
        <v>2008</v>
      </c>
      <c r="C307" s="2">
        <f>COUNTIFS(Games[Team],Games[[#This Row],[Team]],Games[Season],Games[[#This Row],[Season]],Games[Date],"&lt;=" &amp; Games[[#This Row],[Date]])</f>
        <v>22</v>
      </c>
      <c r="D307" s="2" t="s">
        <v>23</v>
      </c>
      <c r="E307" s="2" t="s">
        <v>29</v>
      </c>
      <c r="F307" s="1" t="s">
        <v>45</v>
      </c>
      <c r="G307" s="1" t="s">
        <v>88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4</v>
      </c>
      <c r="L307" s="2">
        <f>Games[[#This Row],[OppDaysOff]]-Games[[#This Row],[DaysOff]]</f>
        <v>-4</v>
      </c>
      <c r="M307" s="1">
        <f>MAX(-16, MIN(16, Games[[#This Row],[RestDiff]]*8))</f>
        <v>16</v>
      </c>
      <c r="N307" s="1">
        <f>MAX(-16, MIN(16, Games[[#This Row],[OppRestDiff]]*8))</f>
        <v>-16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1488.5442372510474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1339.1630066761952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0.82166327066742173</v>
      </c>
      <c r="R307" s="1">
        <v>77</v>
      </c>
      <c r="S307" s="1">
        <v>73</v>
      </c>
      <c r="T307" s="1">
        <v>0</v>
      </c>
      <c r="U307" s="1">
        <f>Games[[#This Row],[PointsFor]]-Games[[#This Row],[PointsAgainst]]</f>
        <v>4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0.27695603986239414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72.7</v>
      </c>
      <c r="Z307" s="4">
        <f>Games[[#This Row],[K]]*Games[[#This Row],[POMult]]</f>
        <v>72.7</v>
      </c>
      <c r="AA307" s="4">
        <f>(Games[[#This Row],[Keff]]*Games[[#This Row],[MOVMult]])*(Games[[#This Row],[Result]]-Games[[#This Row],[ExpectedWin%]])</f>
        <v>3.5907572749158772</v>
      </c>
      <c r="AB307" s="4">
        <f>Games[[#This Row],[PreGmRate]]+Games[[#This Row],[RatingChange]]</f>
        <v>1492.1349945259633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39647</v>
      </c>
      <c r="B308" s="2">
        <v>2008</v>
      </c>
      <c r="C308" s="2">
        <f>COUNTIFS(Games[Team],Games[[#This Row],[Team]],Games[Season],Games[[#This Row],[Season]],Games[Date],"&lt;=" &amp; Games[[#This Row],[Date]])</f>
        <v>23</v>
      </c>
      <c r="D308" s="2" t="s">
        <v>23</v>
      </c>
      <c r="E308" s="2" t="s">
        <v>29</v>
      </c>
      <c r="F308" s="1" t="s">
        <v>74</v>
      </c>
      <c r="G308" s="1" t="s">
        <v>72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8" s="2">
        <f>Games[[#This Row],[DaysOff]]-Games[[#This Row],[OppDaysOff]]</f>
        <v>1</v>
      </c>
      <c r="L308" s="2">
        <f>Games[[#This Row],[OppDaysOff]]-Games[[#This Row],[DaysOff]]</f>
        <v>-1</v>
      </c>
      <c r="M308" s="1">
        <f>MAX(-16, MIN(16, Games[[#This Row],[RestDiff]]*8))</f>
        <v>8</v>
      </c>
      <c r="N308" s="1">
        <f>MAX(-16, MIN(16, Games[[#This Row],[OppRestDiff]]*8))</f>
        <v>-8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1596.1254950035291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1439.4932231579321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0.62485531993733423</v>
      </c>
      <c r="R308" s="1">
        <v>99</v>
      </c>
      <c r="S308" s="1">
        <v>62</v>
      </c>
      <c r="T308" s="1">
        <v>0</v>
      </c>
      <c r="U308" s="1">
        <f>Games[[#This Row],[PointsFor]]-Games[[#This Row],[PointsAgainst]]</f>
        <v>37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0.69420450920002907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72.55</v>
      </c>
      <c r="Z308" s="4">
        <f>Games[[#This Row],[K]]*Games[[#This Row],[POMult]]</f>
        <v>72.55</v>
      </c>
      <c r="AA308" s="4">
        <f>(Games[[#This Row],[Keff]]*Games[[#This Row],[MOVMult]])*(Games[[#This Row],[Result]]-Games[[#This Row],[ExpectedWin%]])</f>
        <v>18.893988172813192</v>
      </c>
      <c r="AB308" s="4">
        <f>Games[[#This Row],[PreGmRate]]+Games[[#This Row],[RatingChange]]</f>
        <v>1615.0194831763422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39647</v>
      </c>
      <c r="B309" s="2">
        <v>2008</v>
      </c>
      <c r="C309" s="2">
        <f>COUNTIFS(Games[Team],Games[[#This Row],[Team]],Games[Season],Games[[#This Row],[Season]],Games[Date],"&lt;=" &amp; Games[[#This Row],[Date]])</f>
        <v>22</v>
      </c>
      <c r="D309" s="2" t="s">
        <v>23</v>
      </c>
      <c r="E309" s="2" t="s">
        <v>29</v>
      </c>
      <c r="F309" s="1" t="s">
        <v>72</v>
      </c>
      <c r="G309" s="1" t="s">
        <v>74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-1</v>
      </c>
      <c r="L309" s="2">
        <f>Games[[#This Row],[OppDaysOff]]-Games[[#This Row],[DaysOff]]</f>
        <v>1</v>
      </c>
      <c r="M309" s="1">
        <f>MAX(-16, MIN(16, Games[[#This Row],[RestDiff]]*8))</f>
        <v>-8</v>
      </c>
      <c r="N309" s="1">
        <f>MAX(-16, MIN(16, Games[[#This Row],[OppRestDiff]]*8))</f>
        <v>8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1439.4932231579321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1596.1254950035291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0.37514468006266571</v>
      </c>
      <c r="R309" s="1">
        <v>62</v>
      </c>
      <c r="S309" s="1">
        <v>99</v>
      </c>
      <c r="T309" s="1">
        <v>0</v>
      </c>
      <c r="U309" s="1">
        <f>Games[[#This Row],[PointsFor]]-Games[[#This Row],[PointsAgainst]]</f>
        <v>-37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0.69420450920002907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72.7</v>
      </c>
      <c r="Z309" s="4">
        <f>Games[[#This Row],[K]]*Games[[#This Row],[POMult]]</f>
        <v>72.7</v>
      </c>
      <c r="AA309" s="4">
        <f>(Games[[#This Row],[Keff]]*Games[[#This Row],[MOVMult]])*(Games[[#This Row],[Result]]-Games[[#This Row],[ExpectedWin%]])</f>
        <v>-18.933052242088479</v>
      </c>
      <c r="AB309" s="4">
        <f>Games[[#This Row],[PreGmRate]]+Games[[#This Row],[RatingChange]]</f>
        <v>1420.5601709158436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39648</v>
      </c>
      <c r="B310" s="2">
        <v>2008</v>
      </c>
      <c r="C310" s="2">
        <f>COUNTIFS(Games[Team],Games[[#This Row],[Team]],Games[Season],Games[[#This Row],[Season]],Games[Date],"&lt;=" &amp; Games[[#This Row],[Date]])</f>
        <v>23</v>
      </c>
      <c r="D310" s="2" t="s">
        <v>23</v>
      </c>
      <c r="E310" s="2" t="s">
        <v>29</v>
      </c>
      <c r="F310" s="1" t="s">
        <v>69</v>
      </c>
      <c r="G310" s="1" t="s">
        <v>2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1498.5207160777829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1482.8453760423702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0.40292113501027038</v>
      </c>
      <c r="R310" s="1">
        <v>72</v>
      </c>
      <c r="S310" s="1">
        <v>75</v>
      </c>
      <c r="T310" s="1">
        <v>1</v>
      </c>
      <c r="U310" s="1">
        <f>Games[[#This Row],[PointsFor]]-Games[[#This Row],[PointsAgainst]]</f>
        <v>-3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0.25779761459788714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72.55</v>
      </c>
      <c r="Z310" s="4">
        <f>Games[[#This Row],[K]]*Games[[#This Row],[POMult]]</f>
        <v>72.55</v>
      </c>
      <c r="AA310" s="4">
        <f>(Games[[#This Row],[Keff]]*Games[[#This Row],[MOVMult]])*(Games[[#This Row],[Result]]-Games[[#This Row],[ExpectedWin%]])</f>
        <v>-7.5359213974361037</v>
      </c>
      <c r="AB310" s="4">
        <f>Games[[#This Row],[PreGmRate]]+Games[[#This Row],[RatingChange]]</f>
        <v>1490.9847946803468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39648</v>
      </c>
      <c r="B311" s="2">
        <v>2008</v>
      </c>
      <c r="C311" s="2">
        <f>COUNTIFS(Games[Team],Games[[#This Row],[Team]],Games[Season],Games[[#This Row],[Season]],Games[Date],"&lt;=" &amp; Games[[#This Row],[Date]])</f>
        <v>23</v>
      </c>
      <c r="D311" s="2" t="s">
        <v>23</v>
      </c>
      <c r="E311" s="2" t="s">
        <v>29</v>
      </c>
      <c r="F311" s="1" t="s">
        <v>2</v>
      </c>
      <c r="G311" s="1" t="s">
        <v>69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1482.8453760423702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1498.5207160777829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0.59707886498972962</v>
      </c>
      <c r="R311" s="1">
        <v>75</v>
      </c>
      <c r="S311" s="1">
        <v>72</v>
      </c>
      <c r="T311" s="1">
        <v>1</v>
      </c>
      <c r="U311" s="1">
        <f>Games[[#This Row],[PointsFor]]-Games[[#This Row],[PointsAgainst]]</f>
        <v>3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0.25779761459788714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72.55</v>
      </c>
      <c r="Z311" s="4">
        <f>Games[[#This Row],[K]]*Games[[#This Row],[POMult]]</f>
        <v>72.55</v>
      </c>
      <c r="AA311" s="4">
        <f>(Games[[#This Row],[Keff]]*Games[[#This Row],[MOVMult]])*(Games[[#This Row],[Result]]-Games[[#This Row],[ExpectedWin%]])</f>
        <v>7.5359213974361037</v>
      </c>
      <c r="AB311" s="4">
        <f>Games[[#This Row],[PreGmRate]]+Games[[#This Row],[RatingChange]]</f>
        <v>1490.3812974398063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39648</v>
      </c>
      <c r="B312" s="2">
        <v>2008</v>
      </c>
      <c r="C312" s="2">
        <f>COUNTIFS(Games[Team],Games[[#This Row],[Team]],Games[Season],Games[[#This Row],[Season]],Games[Date],"&lt;=" &amp; Games[[#This Row],[Date]])</f>
        <v>22</v>
      </c>
      <c r="D312" s="2" t="s">
        <v>23</v>
      </c>
      <c r="E312" s="2" t="s">
        <v>29</v>
      </c>
      <c r="F312" s="1" t="s">
        <v>78</v>
      </c>
      <c r="G312" s="1" t="s">
        <v>66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-1</v>
      </c>
      <c r="L312" s="2">
        <f>Games[[#This Row],[OppDaysOff]]-Games[[#This Row],[DaysOff]]</f>
        <v>1</v>
      </c>
      <c r="M312" s="1">
        <f>MAX(-16, MIN(16, Games[[#This Row],[RestDiff]]*8))</f>
        <v>-8</v>
      </c>
      <c r="N312" s="1">
        <f>MAX(-16, MIN(16, Games[[#This Row],[OppRestDiff]]*8))</f>
        <v>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1493.4098443629478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1553.3043751293669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0.28487091694245692</v>
      </c>
      <c r="R312" s="1">
        <v>71</v>
      </c>
      <c r="S312" s="1">
        <v>55</v>
      </c>
      <c r="T312" s="1">
        <v>0</v>
      </c>
      <c r="U312" s="1">
        <f>Games[[#This Row],[PointsFor]]-Games[[#This Row],[PointsAgainst]]</f>
        <v>16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0.49317083578265769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72.7</v>
      </c>
      <c r="Z312" s="4">
        <f>Games[[#This Row],[K]]*Games[[#This Row],[POMult]]</f>
        <v>72.7</v>
      </c>
      <c r="AA312" s="4">
        <f>(Games[[#This Row],[Keff]]*Games[[#This Row],[MOVMult]])*(Games[[#This Row],[Result]]-Games[[#This Row],[ExpectedWin%]])</f>
        <v>25.63989471135492</v>
      </c>
      <c r="AB312" s="4">
        <f>Games[[#This Row],[PreGmRate]]+Games[[#This Row],[RatingChange]]</f>
        <v>1519.0497390743026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39648</v>
      </c>
      <c r="B313" s="2">
        <v>2008</v>
      </c>
      <c r="C313" s="2">
        <f>COUNTIFS(Games[Team],Games[[#This Row],[Team]],Games[Season],Games[[#This Row],[Season]],Games[Date],"&lt;=" &amp; Games[[#This Row],[Date]])</f>
        <v>22</v>
      </c>
      <c r="D313" s="2" t="s">
        <v>23</v>
      </c>
      <c r="E313" s="2" t="s">
        <v>29</v>
      </c>
      <c r="F313" s="1" t="s">
        <v>66</v>
      </c>
      <c r="G313" s="1" t="s">
        <v>78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3" s="2">
        <f>Games[[#This Row],[DaysOff]]-Games[[#This Row],[OppDaysOff]]</f>
        <v>1</v>
      </c>
      <c r="L313" s="2">
        <f>Games[[#This Row],[OppDaysOff]]-Games[[#This Row],[DaysOff]]</f>
        <v>-1</v>
      </c>
      <c r="M313" s="1">
        <f>MAX(-16, MIN(16, Games[[#This Row],[RestDiff]]*8))</f>
        <v>8</v>
      </c>
      <c r="N313" s="1">
        <f>MAX(-16, MIN(16, Games[[#This Row],[OppRestDiff]]*8))</f>
        <v>-8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1553.3043751293669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1493.4098443629478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0.71512908305754308</v>
      </c>
      <c r="R313" s="1">
        <v>55</v>
      </c>
      <c r="S313" s="1">
        <v>71</v>
      </c>
      <c r="T313" s="1">
        <v>0</v>
      </c>
      <c r="U313" s="1">
        <f>Games[[#This Row],[PointsFor]]-Games[[#This Row],[PointsAgainst]]</f>
        <v>-16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0.49317083578265769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72.7</v>
      </c>
      <c r="Z313" s="4">
        <f>Games[[#This Row],[K]]*Games[[#This Row],[POMult]]</f>
        <v>72.7</v>
      </c>
      <c r="AA313" s="4">
        <f>(Games[[#This Row],[Keff]]*Games[[#This Row],[MOVMult]])*(Games[[#This Row],[Result]]-Games[[#This Row],[ExpectedWin%]])</f>
        <v>-25.63989471135492</v>
      </c>
      <c r="AB313" s="4">
        <f>Games[[#This Row],[PreGmRate]]+Games[[#This Row],[RatingChange]]</f>
        <v>1527.6644804180121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39648</v>
      </c>
      <c r="B314" s="2">
        <v>2008</v>
      </c>
      <c r="C314" s="2">
        <f>COUNTIFS(Games[Team],Games[[#This Row],[Team]],Games[Season],Games[[#This Row],[Season]],Games[Date],"&lt;=" &amp; Games[[#This Row],[Date]])</f>
        <v>24</v>
      </c>
      <c r="D314" s="2" t="s">
        <v>23</v>
      </c>
      <c r="E314" s="2" t="s">
        <v>29</v>
      </c>
      <c r="F314" s="1" t="s">
        <v>88</v>
      </c>
      <c r="G314" s="1" t="s">
        <v>44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-1</v>
      </c>
      <c r="L314" s="2">
        <f>Games[[#This Row],[OppDaysOff]]-Games[[#This Row],[DaysOff]]</f>
        <v>1</v>
      </c>
      <c r="M314" s="1">
        <f>MAX(-16, MIN(16, Games[[#This Row],[RestDiff]]*8))</f>
        <v>-8</v>
      </c>
      <c r="N314" s="1">
        <f>MAX(-16, MIN(16, Games[[#This Row],[OppRestDiff]]*8))</f>
        <v>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1335.579658116427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1525.3670429219462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0.15867095025100861</v>
      </c>
      <c r="R314" s="1">
        <v>84</v>
      </c>
      <c r="S314" s="1">
        <v>110</v>
      </c>
      <c r="T314" s="1">
        <v>0</v>
      </c>
      <c r="U314" s="1">
        <f>Games[[#This Row],[PointsFor]]-Games[[#This Row],[PointsAgainst]]</f>
        <v>-26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0.56476613991573943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72.400000000000006</v>
      </c>
      <c r="Z314" s="4">
        <f>Games[[#This Row],[K]]*Games[[#This Row],[POMult]]</f>
        <v>72.400000000000006</v>
      </c>
      <c r="AA314" s="4">
        <f>(Games[[#This Row],[Keff]]*Games[[#This Row],[MOVMult]])*(Games[[#This Row],[Result]]-Games[[#This Row],[ExpectedWin%]])</f>
        <v>-6.4879073585177718</v>
      </c>
      <c r="AB314" s="4">
        <f>Games[[#This Row],[PreGmRate]]+Games[[#This Row],[RatingChange]]</f>
        <v>1329.0917507579093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39648</v>
      </c>
      <c r="B315" s="2">
        <v>2008</v>
      </c>
      <c r="C315" s="2">
        <f>COUNTIFS(Games[Team],Games[[#This Row],[Team]],Games[Season],Games[[#This Row],[Season]],Games[Date],"&lt;=" &amp; Games[[#This Row],[Date]])</f>
        <v>23</v>
      </c>
      <c r="D315" s="2" t="s">
        <v>23</v>
      </c>
      <c r="E315" s="2" t="s">
        <v>29</v>
      </c>
      <c r="F315" s="1" t="s">
        <v>44</v>
      </c>
      <c r="G315" s="1" t="s">
        <v>88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5" s="2">
        <f>Games[[#This Row],[DaysOff]]-Games[[#This Row],[OppDaysOff]]</f>
        <v>1</v>
      </c>
      <c r="L315" s="2">
        <f>Games[[#This Row],[OppDaysOff]]-Games[[#This Row],[DaysOff]]</f>
        <v>-1</v>
      </c>
      <c r="M315" s="1">
        <f>MAX(-16, MIN(16, Games[[#This Row],[RestDiff]]*8))</f>
        <v>8</v>
      </c>
      <c r="N315" s="1">
        <f>MAX(-16, MIN(16, Games[[#This Row],[OppRestDiff]]*8))</f>
        <v>-8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1525.3670429219462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1335.579658116427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0.84132904974899148</v>
      </c>
      <c r="R315" s="1">
        <v>110</v>
      </c>
      <c r="S315" s="1">
        <v>84</v>
      </c>
      <c r="T315" s="1">
        <v>0</v>
      </c>
      <c r="U315" s="1">
        <f>Games[[#This Row],[PointsFor]]-Games[[#This Row],[PointsAgainst]]</f>
        <v>26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0.56476613991573943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72.55</v>
      </c>
      <c r="Z315" s="4">
        <f>Games[[#This Row],[K]]*Games[[#This Row],[POMult]]</f>
        <v>72.55</v>
      </c>
      <c r="AA315" s="4">
        <f>(Games[[#This Row],[Keff]]*Games[[#This Row],[MOVMult]])*(Games[[#This Row],[Result]]-Games[[#This Row],[ExpectedWin%]])</f>
        <v>6.5013491555312699</v>
      </c>
      <c r="AB315" s="4">
        <f>Games[[#This Row],[PreGmRate]]+Games[[#This Row],[RatingChange]]</f>
        <v>1531.8683920774774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39648</v>
      </c>
      <c r="B316" s="2">
        <v>2008</v>
      </c>
      <c r="C316" s="2">
        <f>COUNTIFS(Games[Team],Games[[#This Row],[Team]],Games[Season],Games[[#This Row],[Season]],Games[Date],"&lt;=" &amp; Games[[#This Row],[Date]])</f>
        <v>22</v>
      </c>
      <c r="D316" s="2" t="s">
        <v>23</v>
      </c>
      <c r="E316" s="2" t="s">
        <v>29</v>
      </c>
      <c r="F316" s="1" t="s">
        <v>76</v>
      </c>
      <c r="G316" s="1" t="s">
        <v>83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6" s="2">
        <f>Games[[#This Row],[DaysOff]]-Games[[#This Row],[OppDaysOff]]</f>
        <v>-2</v>
      </c>
      <c r="L316" s="2">
        <f>Games[[#This Row],[OppDaysOff]]-Games[[#This Row],[DaysOff]]</f>
        <v>2</v>
      </c>
      <c r="M316" s="1">
        <f>MAX(-16, MIN(16, Games[[#This Row],[RestDiff]]*8))</f>
        <v>-16</v>
      </c>
      <c r="N316" s="1">
        <f>MAX(-16, MIN(16, Games[[#This Row],[OppRestDiff]]*8))</f>
        <v>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1468.6424287065686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1592.8984426820878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0.20052364442751727</v>
      </c>
      <c r="R316" s="1">
        <v>87</v>
      </c>
      <c r="S316" s="1">
        <v>74</v>
      </c>
      <c r="T316" s="1">
        <v>0</v>
      </c>
      <c r="U316" s="1">
        <f>Games[[#This Row],[PointsFor]]-Games[[#This Row],[PointsAgainst]]</f>
        <v>13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0.42775150786471172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72.7</v>
      </c>
      <c r="Z316" s="4">
        <f>Games[[#This Row],[K]]*Games[[#This Row],[POMult]]</f>
        <v>72.7</v>
      </c>
      <c r="AA316" s="4">
        <f>(Games[[#This Row],[Keff]]*Games[[#This Row],[MOVMult]])*(Games[[#This Row],[Result]]-Games[[#This Row],[ExpectedWin%]])</f>
        <v>24.861743646697423</v>
      </c>
      <c r="AB316" s="4">
        <f>Games[[#This Row],[PreGmRate]]+Games[[#This Row],[RatingChange]]</f>
        <v>1493.5041723532661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39648</v>
      </c>
      <c r="B317" s="2">
        <v>2008</v>
      </c>
      <c r="C317" s="2">
        <f>COUNTIFS(Games[Team],Games[[#This Row],[Team]],Games[Season],Games[[#This Row],[Season]],Games[Date],"&lt;=" &amp; Games[[#This Row],[Date]])</f>
        <v>24</v>
      </c>
      <c r="D317" s="2" t="s">
        <v>23</v>
      </c>
      <c r="E317" s="2" t="s">
        <v>29</v>
      </c>
      <c r="F317" s="1" t="s">
        <v>83</v>
      </c>
      <c r="G317" s="1" t="s">
        <v>76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2</v>
      </c>
      <c r="L317" s="2">
        <f>Games[[#This Row],[OppDaysOff]]-Games[[#This Row],[DaysOff]]</f>
        <v>-2</v>
      </c>
      <c r="M317" s="1">
        <f>MAX(-16, MIN(16, Games[[#This Row],[RestDiff]]*8))</f>
        <v>16</v>
      </c>
      <c r="N317" s="1">
        <f>MAX(-16, MIN(16, Games[[#This Row],[OppRestDiff]]*8))</f>
        <v>-16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1592.8984426820878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1468.6424287065686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0.79947635557248276</v>
      </c>
      <c r="R317" s="1">
        <v>74</v>
      </c>
      <c r="S317" s="1">
        <v>87</v>
      </c>
      <c r="T317" s="1">
        <v>0</v>
      </c>
      <c r="U317" s="1">
        <f>Games[[#This Row],[PointsFor]]-Games[[#This Row],[PointsAgainst]]</f>
        <v>-13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0.42775150786471172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72.400000000000006</v>
      </c>
      <c r="Z317" s="4">
        <f>Games[[#This Row],[K]]*Games[[#This Row],[POMult]]</f>
        <v>72.400000000000006</v>
      </c>
      <c r="AA317" s="4">
        <f>(Games[[#This Row],[Keff]]*Games[[#This Row],[MOVMult]])*(Games[[#This Row],[Result]]-Games[[#This Row],[ExpectedWin%]])</f>
        <v>-24.759150481717931</v>
      </c>
      <c r="AB317" s="4">
        <f>Games[[#This Row],[PreGmRate]]+Games[[#This Row],[RatingChange]]</f>
        <v>1568.1392922003699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39649</v>
      </c>
      <c r="B318" s="2">
        <v>2008</v>
      </c>
      <c r="C318" s="2">
        <f>COUNTIFS(Games[Team],Games[[#This Row],[Team]],Games[Season],Games[[#This Row],[Season]],Games[Date],"&lt;=" &amp; Games[[#This Row],[Date]])</f>
        <v>22</v>
      </c>
      <c r="D318" s="2" t="s">
        <v>23</v>
      </c>
      <c r="E318" s="2" t="s">
        <v>29</v>
      </c>
      <c r="F318" s="1" t="s">
        <v>86</v>
      </c>
      <c r="G318" s="1" t="s">
        <v>85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1425.7914588545975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1526.7721250114605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0.25638669600755415</v>
      </c>
      <c r="R318" s="1">
        <v>67</v>
      </c>
      <c r="S318" s="1">
        <v>74</v>
      </c>
      <c r="T318" s="1">
        <v>0</v>
      </c>
      <c r="U318" s="1">
        <f>Games[[#This Row],[PointsFor]]-Games[[#This Row],[PointsAgainst]]</f>
        <v>-7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0.34137986715556168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72.7</v>
      </c>
      <c r="Z318" s="4">
        <f>Games[[#This Row],[K]]*Games[[#This Row],[POMult]]</f>
        <v>72.7</v>
      </c>
      <c r="AA318" s="4">
        <f>(Games[[#This Row],[Keff]]*Games[[#This Row],[MOVMult]])*(Games[[#This Row],[Result]]-Games[[#This Row],[ExpectedWin%]])</f>
        <v>-6.3630861274493382</v>
      </c>
      <c r="AB318" s="4">
        <f>Games[[#This Row],[PreGmRate]]+Games[[#This Row],[RatingChange]]</f>
        <v>1419.4283727271481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39649</v>
      </c>
      <c r="B319" s="2">
        <v>2008</v>
      </c>
      <c r="C319" s="2">
        <f>COUNTIFS(Games[Team],Games[[#This Row],[Team]],Games[Season],Games[[#This Row],[Season]],Games[Date],"&lt;=" &amp; Games[[#This Row],[Date]])</f>
        <v>24</v>
      </c>
      <c r="D319" s="2" t="s">
        <v>23</v>
      </c>
      <c r="E319" s="2" t="s">
        <v>29</v>
      </c>
      <c r="F319" s="1" t="s">
        <v>85</v>
      </c>
      <c r="G319" s="1" t="s">
        <v>86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1526.7721250114605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1425.7914588545975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0.74361330399244585</v>
      </c>
      <c r="R319" s="1">
        <v>74</v>
      </c>
      <c r="S319" s="1">
        <v>67</v>
      </c>
      <c r="T319" s="1">
        <v>0</v>
      </c>
      <c r="U319" s="1">
        <f>Games[[#This Row],[PointsFor]]-Games[[#This Row],[PointsAgainst]]</f>
        <v>7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0.34137986715556168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72.400000000000006</v>
      </c>
      <c r="Z319" s="4">
        <f>Games[[#This Row],[K]]*Games[[#This Row],[POMult]]</f>
        <v>72.400000000000006</v>
      </c>
      <c r="AA319" s="4">
        <f>(Games[[#This Row],[Keff]]*Games[[#This Row],[MOVMult]])*(Games[[#This Row],[Result]]-Games[[#This Row],[ExpectedWin%]])</f>
        <v>6.3368285505822843</v>
      </c>
      <c r="AB319" s="4">
        <f>Games[[#This Row],[PreGmRate]]+Games[[#This Row],[RatingChange]]</f>
        <v>1533.1089535620429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39649</v>
      </c>
      <c r="B320" s="2">
        <v>2008</v>
      </c>
      <c r="C320" s="2">
        <f>COUNTIFS(Games[Team],Games[[#This Row],[Team]],Games[Season],Games[[#This Row],[Season]],Games[Date],"&lt;=" &amp; Games[[#This Row],[Date]])</f>
        <v>23</v>
      </c>
      <c r="D320" s="2" t="s">
        <v>23</v>
      </c>
      <c r="E320" s="2" t="s">
        <v>29</v>
      </c>
      <c r="F320" s="1" t="s">
        <v>45</v>
      </c>
      <c r="G320" s="1" t="s">
        <v>74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1492.1349945259633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1615.0194831763422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0.23309392562037426</v>
      </c>
      <c r="R320" s="1">
        <v>88</v>
      </c>
      <c r="S320" s="1">
        <v>85</v>
      </c>
      <c r="T320" s="1">
        <v>0</v>
      </c>
      <c r="U320" s="1">
        <f>Games[[#This Row],[PointsFor]]-Games[[#This Row],[PointsAgainst]]</f>
        <v>3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0.26322799027880933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72.55</v>
      </c>
      <c r="Z320" s="4">
        <f>Games[[#This Row],[K]]*Games[[#This Row],[POMult]]</f>
        <v>72.55</v>
      </c>
      <c r="AA320" s="4">
        <f>(Games[[#This Row],[Keff]]*Games[[#This Row],[MOVMult]])*(Games[[#This Row],[Result]]-Games[[#This Row],[ExpectedWin%]])</f>
        <v>14.645751547372674</v>
      </c>
      <c r="AB320" s="4">
        <f>Games[[#This Row],[PreGmRate]]+Games[[#This Row],[RatingChange]]</f>
        <v>1506.7807460733359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39649</v>
      </c>
      <c r="B321" s="2">
        <v>2008</v>
      </c>
      <c r="C321" s="2">
        <f>COUNTIFS(Games[Team],Games[[#This Row],[Team]],Games[Season],Games[[#This Row],[Season]],Games[Date],"&lt;=" &amp; Games[[#This Row],[Date]])</f>
        <v>24</v>
      </c>
      <c r="D321" s="2" t="s">
        <v>23</v>
      </c>
      <c r="E321" s="2" t="s">
        <v>29</v>
      </c>
      <c r="F321" s="1" t="s">
        <v>74</v>
      </c>
      <c r="G321" s="1" t="s">
        <v>45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1615.0194831763422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1492.1349945259633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0.76690607437962577</v>
      </c>
      <c r="R321" s="1">
        <v>85</v>
      </c>
      <c r="S321" s="1">
        <v>88</v>
      </c>
      <c r="T321" s="1">
        <v>0</v>
      </c>
      <c r="U321" s="1">
        <f>Games[[#This Row],[PointsFor]]-Games[[#This Row],[PointsAgainst]]</f>
        <v>-3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0.26322799027880933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72.400000000000006</v>
      </c>
      <c r="Z321" s="4">
        <f>Games[[#This Row],[K]]*Games[[#This Row],[POMult]]</f>
        <v>72.400000000000006</v>
      </c>
      <c r="AA321" s="4">
        <f>(Games[[#This Row],[Keff]]*Games[[#This Row],[MOVMult]])*(Games[[#This Row],[Result]]-Games[[#This Row],[ExpectedWin%]])</f>
        <v>-14.615470875668942</v>
      </c>
      <c r="AB321" s="4">
        <f>Games[[#This Row],[PreGmRate]]+Games[[#This Row],[RatingChange]]</f>
        <v>1600.4040123006732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39649</v>
      </c>
      <c r="B322" s="2">
        <v>2008</v>
      </c>
      <c r="C322" s="2">
        <f>COUNTIFS(Games[Team],Games[[#This Row],[Team]],Games[Season],Games[[#This Row],[Season]],Games[Date],"&lt;=" &amp; Games[[#This Row],[Date]])</f>
        <v>23</v>
      </c>
      <c r="D322" s="2" t="s">
        <v>23</v>
      </c>
      <c r="E322" s="2" t="s">
        <v>29</v>
      </c>
      <c r="F322" s="1" t="s">
        <v>80</v>
      </c>
      <c r="G322" s="1" t="s">
        <v>72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1594.8405166528171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1420.5601709158436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0.62707654857715178</v>
      </c>
      <c r="R322" s="1">
        <v>57</v>
      </c>
      <c r="S322" s="1">
        <v>89</v>
      </c>
      <c r="T322" s="1">
        <v>0</v>
      </c>
      <c r="U322" s="1">
        <f>Games[[#This Row],[PointsFor]]-Games[[#This Row],[PointsAgainst]]</f>
        <v>-32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0.63510524441034422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72.55</v>
      </c>
      <c r="Z322" s="4">
        <f>Games[[#This Row],[K]]*Games[[#This Row],[POMult]]</f>
        <v>72.55</v>
      </c>
      <c r="AA322" s="4">
        <f>(Games[[#This Row],[Keff]]*Games[[#This Row],[MOVMult]])*(Games[[#This Row],[Result]]-Games[[#This Row],[ExpectedWin%]])</f>
        <v>-28.893734317218716</v>
      </c>
      <c r="AB322" s="4">
        <f>Games[[#This Row],[PreGmRate]]+Games[[#This Row],[RatingChange]]</f>
        <v>1565.9467823355983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39649</v>
      </c>
      <c r="B323" s="2">
        <v>2008</v>
      </c>
      <c r="C323" s="2">
        <f>COUNTIFS(Games[Team],Games[[#This Row],[Team]],Games[Season],Games[[#This Row],[Season]],Games[Date],"&lt;=" &amp; Games[[#This Row],[Date]])</f>
        <v>23</v>
      </c>
      <c r="D323" s="2" t="s">
        <v>23</v>
      </c>
      <c r="E323" s="2" t="s">
        <v>29</v>
      </c>
      <c r="F323" s="1" t="s">
        <v>72</v>
      </c>
      <c r="G323" s="1" t="s">
        <v>80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1420.5601709158436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1594.8405166528171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0.37292345142284827</v>
      </c>
      <c r="R323" s="1">
        <v>89</v>
      </c>
      <c r="S323" s="1">
        <v>57</v>
      </c>
      <c r="T323" s="1">
        <v>0</v>
      </c>
      <c r="U323" s="1">
        <f>Games[[#This Row],[PointsFor]]-Games[[#This Row],[PointsAgainst]]</f>
        <v>32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0.63510524441034422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72.55</v>
      </c>
      <c r="Z323" s="4">
        <f>Games[[#This Row],[K]]*Games[[#This Row],[POMult]]</f>
        <v>72.55</v>
      </c>
      <c r="AA323" s="4">
        <f>(Games[[#This Row],[Keff]]*Games[[#This Row],[MOVMult]])*(Games[[#This Row],[Result]]-Games[[#This Row],[ExpectedWin%]])</f>
        <v>28.893734317218712</v>
      </c>
      <c r="AB323" s="4">
        <f>Games[[#This Row],[PreGmRate]]+Games[[#This Row],[RatingChange]]</f>
        <v>1449.4539052330624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39651</v>
      </c>
      <c r="B324" s="2">
        <v>2008</v>
      </c>
      <c r="C324" s="2">
        <f>COUNTIFS(Games[Team],Games[[#This Row],[Team]],Games[Season],Games[[#This Row],[Season]],Games[Date],"&lt;=" &amp; Games[[#This Row],[Date]])</f>
        <v>24</v>
      </c>
      <c r="D324" s="2" t="s">
        <v>23</v>
      </c>
      <c r="E324" s="2" t="s">
        <v>29</v>
      </c>
      <c r="F324" s="1" t="s">
        <v>45</v>
      </c>
      <c r="G324" s="1" t="s">
        <v>88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-1</v>
      </c>
      <c r="L324" s="2">
        <f>Games[[#This Row],[OppDaysOff]]-Games[[#This Row],[DaysOff]]</f>
        <v>1</v>
      </c>
      <c r="M324" s="1">
        <f>MAX(-16, MIN(16, Games[[#This Row],[RestDiff]]*8))</f>
        <v>-8</v>
      </c>
      <c r="N324" s="1">
        <f>MAX(-16, MIN(16, Games[[#This Row],[OppRestDiff]]*8))</f>
        <v>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1506.7807460733359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1329.0917507579093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0.6099765875826354</v>
      </c>
      <c r="R324" s="1">
        <v>79</v>
      </c>
      <c r="S324" s="1">
        <v>66</v>
      </c>
      <c r="T324" s="1">
        <v>0</v>
      </c>
      <c r="U324" s="1">
        <f>Games[[#This Row],[PointsFor]]-Games[[#This Row],[PointsAgainst]]</f>
        <v>13</v>
      </c>
      <c r="V324" s="1">
        <f>IF(Games[[#This Row],[MOV]]&gt;0,1,IF(Games[[#This Row],[MOV]]=0,0.5,0))</f>
        <v>1</v>
      </c>
      <c r="W324" s="4">
        <f>((ABS(Games[[#This Row],[MOV]])+5)^0.6)/(12+0.01*(ABS(Games[[#This Row],[PreGmRate]]-Games[[#This Row],[OppPreGmRate]])))*IF(Games[[#This Row],[OT]]=1,0.9,1)</f>
        <v>0.41116137873138042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72.400000000000006</v>
      </c>
      <c r="Z324" s="4">
        <f>Games[[#This Row],[K]]*Games[[#This Row],[POMult]]</f>
        <v>72.400000000000006</v>
      </c>
      <c r="AA324" s="4">
        <f>(Games[[#This Row],[Keff]]*Games[[#This Row],[MOVMult]])*(Games[[#This Row],[Result]]-Games[[#This Row],[ExpectedWin%]])</f>
        <v>11.6102496326618</v>
      </c>
      <c r="AB324" s="4">
        <f>Games[[#This Row],[PreGmRate]]+Games[[#This Row],[RatingChange]]</f>
        <v>1518.3909957059977</v>
      </c>
      <c r="AC324" s="2">
        <f>IF(Games[[#This Row],[Type]]="R",IF(Games[[#This Row],[Result]]&gt;0.5,1,0),0)</f>
        <v>1</v>
      </c>
      <c r="AD324" s="2">
        <f>IF(Games[[#This Row],[Type]]="R",IF(Games[[#This Row],[Result]]&lt;0.5,1,0),0)</f>
        <v>0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39651</v>
      </c>
      <c r="B325" s="2">
        <v>2008</v>
      </c>
      <c r="C325" s="2">
        <f>COUNTIFS(Games[Team],Games[[#This Row],[Team]],Games[Season],Games[[#This Row],[Season]],Games[Date],"&lt;=" &amp; Games[[#This Row],[Date]])</f>
        <v>25</v>
      </c>
      <c r="D325" s="2" t="s">
        <v>23</v>
      </c>
      <c r="E325" s="2" t="s">
        <v>29</v>
      </c>
      <c r="F325" s="1" t="s">
        <v>88</v>
      </c>
      <c r="G325" s="1" t="s">
        <v>45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1</v>
      </c>
      <c r="L325" s="2">
        <f>Games[[#This Row],[OppDaysOff]]-Games[[#This Row],[DaysOff]]</f>
        <v>-1</v>
      </c>
      <c r="M325" s="1">
        <f>MAX(-16, MIN(16, Games[[#This Row],[RestDiff]]*8))</f>
        <v>8</v>
      </c>
      <c r="N325" s="1">
        <f>MAX(-16, MIN(16, Games[[#This Row],[OppRestDiff]]*8))</f>
        <v>-8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1329.0917507579093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1506.7807460733359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0.39002341241736466</v>
      </c>
      <c r="R325" s="1">
        <v>66</v>
      </c>
      <c r="S325" s="1">
        <v>79</v>
      </c>
      <c r="T325" s="1">
        <v>0</v>
      </c>
      <c r="U325" s="1">
        <f>Games[[#This Row],[PointsFor]]-Games[[#This Row],[PointsAgainst]]</f>
        <v>-13</v>
      </c>
      <c r="V325" s="1">
        <f>IF(Games[[#This Row],[MOV]]&gt;0,1,IF(Games[[#This Row],[MOV]]=0,0.5,0))</f>
        <v>0</v>
      </c>
      <c r="W325" s="4">
        <f>((ABS(Games[[#This Row],[MOV]])+5)^0.6)/(12+0.01*(ABS(Games[[#This Row],[PreGmRate]]-Games[[#This Row],[OppPreGmRate]])))*IF(Games[[#This Row],[OT]]=1,0.9,1)</f>
        <v>0.41116137873138042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72.25</v>
      </c>
      <c r="Z325" s="4">
        <f>Games[[#This Row],[K]]*Games[[#This Row],[POMult]]</f>
        <v>72.25</v>
      </c>
      <c r="AA325" s="4">
        <f>(Games[[#This Row],[Keff]]*Games[[#This Row],[MOVMult]])*(Games[[#This Row],[Result]]-Games[[#This Row],[ExpectedWin%]])</f>
        <v>-11.586195248063744</v>
      </c>
      <c r="AB325" s="4">
        <f>Games[[#This Row],[PreGmRate]]+Games[[#This Row],[RatingChange]]</f>
        <v>1317.5055555098456</v>
      </c>
      <c r="AC325" s="2">
        <f>IF(Games[[#This Row],[Type]]="R",IF(Games[[#This Row],[Result]]&gt;0.5,1,0),0)</f>
        <v>0</v>
      </c>
      <c r="AD325" s="2">
        <f>IF(Games[[#This Row],[Type]]="R",IF(Games[[#This Row],[Result]]&lt;0.5,1,0),0)</f>
        <v>1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39651</v>
      </c>
      <c r="B326" s="2">
        <v>2008</v>
      </c>
      <c r="C326" s="2">
        <f>COUNTIFS(Games[Team],Games[[#This Row],[Team]],Games[Season],Games[[#This Row],[Season]],Games[Date],"&lt;=" &amp; Games[[#This Row],[Date]])</f>
        <v>23</v>
      </c>
      <c r="D326" s="2" t="s">
        <v>23</v>
      </c>
      <c r="E326" s="2" t="s">
        <v>29</v>
      </c>
      <c r="F326" s="1" t="s">
        <v>78</v>
      </c>
      <c r="G326" s="1" t="s">
        <v>86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1</v>
      </c>
      <c r="L326" s="2">
        <f>Games[[#This Row],[OppDaysOff]]-Games[[#This Row],[DaysOff]]</f>
        <v>-1</v>
      </c>
      <c r="M326" s="1">
        <f>MAX(-16, MIN(16, Games[[#This Row],[RestDiff]]*8))</f>
        <v>8</v>
      </c>
      <c r="N326" s="1">
        <f>MAX(-16, MIN(16, Games[[#This Row],[OppRestDiff]]*8))</f>
        <v>-8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1519.0497390743026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1419.4283727271481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0.54538156765234047</v>
      </c>
      <c r="R326" s="1">
        <v>60</v>
      </c>
      <c r="S326" s="1">
        <v>68</v>
      </c>
      <c r="T326" s="1">
        <v>0</v>
      </c>
      <c r="U326" s="1">
        <f>Games[[#This Row],[PointsFor]]-Games[[#This Row],[PointsAgainst]]</f>
        <v>-8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0.35854953917334609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72.55</v>
      </c>
      <c r="Z326" s="4">
        <f>Games[[#This Row],[K]]*Games[[#This Row],[POMult]]</f>
        <v>72.55</v>
      </c>
      <c r="AA326" s="4">
        <f>(Games[[#This Row],[Keff]]*Games[[#This Row],[MOVMult]])*(Games[[#This Row],[Result]]-Games[[#This Row],[ExpectedWin%]])</f>
        <v>-14.186884772753091</v>
      </c>
      <c r="AB326" s="4">
        <f>Games[[#This Row],[PreGmRate]]+Games[[#This Row],[RatingChange]]</f>
        <v>1504.8628543015495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39651</v>
      </c>
      <c r="B327" s="2">
        <v>2008</v>
      </c>
      <c r="C327" s="2">
        <f>COUNTIFS(Games[Team],Games[[#This Row],[Team]],Games[Season],Games[[#This Row],[Season]],Games[Date],"&lt;=" &amp; Games[[#This Row],[Date]])</f>
        <v>23</v>
      </c>
      <c r="D327" s="2" t="s">
        <v>23</v>
      </c>
      <c r="E327" s="2" t="s">
        <v>29</v>
      </c>
      <c r="F327" s="1" t="s">
        <v>86</v>
      </c>
      <c r="G327" s="1" t="s">
        <v>78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7" s="2">
        <f>Games[[#This Row],[DaysOff]]-Games[[#This Row],[OppDaysOff]]</f>
        <v>-1</v>
      </c>
      <c r="L327" s="2">
        <f>Games[[#This Row],[OppDaysOff]]-Games[[#This Row],[DaysOff]]</f>
        <v>1</v>
      </c>
      <c r="M327" s="1">
        <f>MAX(-16, MIN(16, Games[[#This Row],[RestDiff]]*8))</f>
        <v>-8</v>
      </c>
      <c r="N327" s="1">
        <f>MAX(-16, MIN(16, Games[[#This Row],[OppRestDiff]]*8))</f>
        <v>8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1419.4283727271481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1519.0497390743026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0.45461843234765958</v>
      </c>
      <c r="R327" s="1">
        <v>68</v>
      </c>
      <c r="S327" s="1">
        <v>60</v>
      </c>
      <c r="T327" s="1">
        <v>0</v>
      </c>
      <c r="U327" s="1">
        <f>Games[[#This Row],[PointsFor]]-Games[[#This Row],[PointsAgainst]]</f>
        <v>8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0.35854953917334609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72.55</v>
      </c>
      <c r="Z327" s="4">
        <f>Games[[#This Row],[K]]*Games[[#This Row],[POMult]]</f>
        <v>72.55</v>
      </c>
      <c r="AA327" s="4">
        <f>(Games[[#This Row],[Keff]]*Games[[#This Row],[MOVMult]])*(Games[[#This Row],[Result]]-Games[[#This Row],[ExpectedWin%]])</f>
        <v>14.186884772753087</v>
      </c>
      <c r="AB327" s="4">
        <f>Games[[#This Row],[PreGmRate]]+Games[[#This Row],[RatingChange]]</f>
        <v>1433.6152574999012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39651</v>
      </c>
      <c r="B328" s="2">
        <v>2008</v>
      </c>
      <c r="C328" s="2">
        <f>COUNTIFS(Games[Team],Games[[#This Row],[Team]],Games[Season],Games[[#This Row],[Season]],Games[Date],"&lt;=" &amp; Games[[#This Row],[Date]])</f>
        <v>24</v>
      </c>
      <c r="D328" s="2" t="s">
        <v>23</v>
      </c>
      <c r="E328" s="2" t="s">
        <v>29</v>
      </c>
      <c r="F328" s="1" t="s">
        <v>69</v>
      </c>
      <c r="G328" s="1" t="s">
        <v>74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1</v>
      </c>
      <c r="L328" s="2">
        <f>Games[[#This Row],[OppDaysOff]]-Games[[#This Row],[DaysOff]]</f>
        <v>-1</v>
      </c>
      <c r="M328" s="1">
        <f>MAX(-16, MIN(16, Games[[#This Row],[RestDiff]]*8))</f>
        <v>8</v>
      </c>
      <c r="N328" s="1">
        <f>MAX(-16, MIN(16, Games[[#This Row],[OppRestDiff]]*8))</f>
        <v>-8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1490.9847946803468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1600.4040123006732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0.26477286873362849</v>
      </c>
      <c r="R328" s="1">
        <v>84</v>
      </c>
      <c r="S328" s="1">
        <v>81</v>
      </c>
      <c r="T328" s="1">
        <v>0</v>
      </c>
      <c r="U328" s="1">
        <f>Games[[#This Row],[PointsFor]]-Games[[#This Row],[PointsAgainst]]</f>
        <v>3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0.26593486687272533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72.400000000000006</v>
      </c>
      <c r="Z328" s="4">
        <f>Games[[#This Row],[K]]*Games[[#This Row],[POMult]]</f>
        <v>72.400000000000006</v>
      </c>
      <c r="AA328" s="4">
        <f>(Games[[#This Row],[Keff]]*Games[[#This Row],[MOVMult]])*(Games[[#This Row],[Result]]-Games[[#This Row],[ExpectedWin%]])</f>
        <v>14.15583111947657</v>
      </c>
      <c r="AB328" s="4">
        <f>Games[[#This Row],[PreGmRate]]+Games[[#This Row],[RatingChange]]</f>
        <v>1505.1406257998233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39651</v>
      </c>
      <c r="B329" s="2">
        <v>2008</v>
      </c>
      <c r="C329" s="2">
        <f>COUNTIFS(Games[Team],Games[[#This Row],[Team]],Games[Season],Games[[#This Row],[Season]],Games[Date],"&lt;=" &amp; Games[[#This Row],[Date]])</f>
        <v>25</v>
      </c>
      <c r="D329" s="2" t="s">
        <v>23</v>
      </c>
      <c r="E329" s="2" t="s">
        <v>29</v>
      </c>
      <c r="F329" s="1" t="s">
        <v>74</v>
      </c>
      <c r="G329" s="1" t="s">
        <v>69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9" s="2">
        <f>Games[[#This Row],[DaysOff]]-Games[[#This Row],[OppDaysOff]]</f>
        <v>-1</v>
      </c>
      <c r="L329" s="2">
        <f>Games[[#This Row],[OppDaysOff]]-Games[[#This Row],[DaysOff]]</f>
        <v>1</v>
      </c>
      <c r="M329" s="1">
        <f>MAX(-16, MIN(16, Games[[#This Row],[RestDiff]]*8))</f>
        <v>-8</v>
      </c>
      <c r="N329" s="1">
        <f>MAX(-16, MIN(16, Games[[#This Row],[OppRestDiff]]*8))</f>
        <v>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1600.4040123006732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1490.9847946803468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0.73522713126637163</v>
      </c>
      <c r="R329" s="1">
        <v>81</v>
      </c>
      <c r="S329" s="1">
        <v>84</v>
      </c>
      <c r="T329" s="1">
        <v>0</v>
      </c>
      <c r="U329" s="1">
        <f>Games[[#This Row],[PointsFor]]-Games[[#This Row],[PointsAgainst]]</f>
        <v>-3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0.26593486687272533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72.25</v>
      </c>
      <c r="Z329" s="4">
        <f>Games[[#This Row],[K]]*Games[[#This Row],[POMult]]</f>
        <v>72.25</v>
      </c>
      <c r="AA329" s="4">
        <f>(Games[[#This Row],[Keff]]*Games[[#This Row],[MOVMult]])*(Games[[#This Row],[Result]]-Games[[#This Row],[ExpectedWin%]])</f>
        <v>-14.126502740085391</v>
      </c>
      <c r="AB329" s="4">
        <f>Games[[#This Row],[PreGmRate]]+Games[[#This Row],[RatingChange]]</f>
        <v>1586.2775095605878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39651</v>
      </c>
      <c r="B330" s="2">
        <v>2008</v>
      </c>
      <c r="C330" s="2">
        <f>COUNTIFS(Games[Team],Games[[#This Row],[Team]],Games[Season],Games[[#This Row],[Season]],Games[Date],"&lt;=" &amp; Games[[#This Row],[Date]])</f>
        <v>24</v>
      </c>
      <c r="D330" s="2" t="s">
        <v>23</v>
      </c>
      <c r="E330" s="2" t="s">
        <v>29</v>
      </c>
      <c r="F330" s="1" t="s">
        <v>44</v>
      </c>
      <c r="G330" s="1" t="s">
        <v>2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1531.8683920774774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1490.3812974398063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0.43912253665086021</v>
      </c>
      <c r="R330" s="1">
        <v>92</v>
      </c>
      <c r="S330" s="1">
        <v>94</v>
      </c>
      <c r="T330" s="1">
        <v>0</v>
      </c>
      <c r="U330" s="1">
        <f>Games[[#This Row],[PointsFor]]-Games[[#This Row],[PointsAgainst]]</f>
        <v>-2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0.25889079826915756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72.400000000000006</v>
      </c>
      <c r="Z330" s="4">
        <f>Games[[#This Row],[K]]*Games[[#This Row],[POMult]]</f>
        <v>72.400000000000006</v>
      </c>
      <c r="AA330" s="4">
        <f>(Games[[#This Row],[Keff]]*Games[[#This Row],[MOVMult]])*(Games[[#This Row],[Result]]-Games[[#This Row],[ExpectedWin%]])</f>
        <v>-8.2307783653299467</v>
      </c>
      <c r="AB330" s="4">
        <f>Games[[#This Row],[PreGmRate]]+Games[[#This Row],[RatingChange]]</f>
        <v>1523.6376137121474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39651</v>
      </c>
      <c r="B331" s="2">
        <v>2008</v>
      </c>
      <c r="C331" s="2">
        <f>COUNTIFS(Games[Team],Games[[#This Row],[Team]],Games[Season],Games[[#This Row],[Season]],Games[Date],"&lt;=" &amp; Games[[#This Row],[Date]])</f>
        <v>24</v>
      </c>
      <c r="D331" s="2" t="s">
        <v>23</v>
      </c>
      <c r="E331" s="2" t="s">
        <v>29</v>
      </c>
      <c r="F331" s="1" t="s">
        <v>2</v>
      </c>
      <c r="G331" s="1" t="s">
        <v>44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1490.3812974398063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1531.8683920774774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0.56087746334913979</v>
      </c>
      <c r="R331" s="1">
        <v>94</v>
      </c>
      <c r="S331" s="1">
        <v>92</v>
      </c>
      <c r="T331" s="1">
        <v>0</v>
      </c>
      <c r="U331" s="1">
        <f>Games[[#This Row],[PointsFor]]-Games[[#This Row],[PointsAgainst]]</f>
        <v>2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0.25889079826915756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72.400000000000006</v>
      </c>
      <c r="Z331" s="4">
        <f>Games[[#This Row],[K]]*Games[[#This Row],[POMult]]</f>
        <v>72.400000000000006</v>
      </c>
      <c r="AA331" s="4">
        <f>(Games[[#This Row],[Keff]]*Games[[#This Row],[MOVMult]])*(Games[[#This Row],[Result]]-Games[[#This Row],[ExpectedWin%]])</f>
        <v>8.2307783653299467</v>
      </c>
      <c r="AB331" s="4">
        <f>Games[[#This Row],[PreGmRate]]+Games[[#This Row],[RatingChange]]</f>
        <v>1498.6120758051363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39651</v>
      </c>
      <c r="B332" s="2">
        <v>2008</v>
      </c>
      <c r="C332" s="2">
        <f>COUNTIFS(Games[Team],Games[[#This Row],[Team]],Games[Season],Games[[#This Row],[Season]],Games[Date],"&lt;=" &amp; Games[[#This Row],[Date]])</f>
        <v>24</v>
      </c>
      <c r="D332" s="2" t="s">
        <v>23</v>
      </c>
      <c r="E332" s="2" t="s">
        <v>29</v>
      </c>
      <c r="F332" s="1" t="s">
        <v>80</v>
      </c>
      <c r="G332" s="1" t="s">
        <v>76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-1</v>
      </c>
      <c r="L332" s="2">
        <f>Games[[#This Row],[OppDaysOff]]-Games[[#This Row],[DaysOff]]</f>
        <v>1</v>
      </c>
      <c r="M332" s="1">
        <f>MAX(-16, MIN(16, Games[[#This Row],[RestDiff]]*8))</f>
        <v>-8</v>
      </c>
      <c r="N332" s="1">
        <f>MAX(-16, MIN(16, Games[[#This Row],[OppRestDiff]]*8))</f>
        <v>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1565.9467823355983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1493.5041723532661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0.46042468399768866</v>
      </c>
      <c r="R332" s="1">
        <v>76</v>
      </c>
      <c r="S332" s="1">
        <v>73</v>
      </c>
      <c r="T332" s="1">
        <v>0</v>
      </c>
      <c r="U332" s="1">
        <f>Games[[#This Row],[PointsFor]]-Games[[#This Row],[PointsAgainst]]</f>
        <v>3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0.27366281401350168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72.400000000000006</v>
      </c>
      <c r="Z332" s="4">
        <f>Games[[#This Row],[K]]*Games[[#This Row],[POMult]]</f>
        <v>72.400000000000006</v>
      </c>
      <c r="AA332" s="4">
        <f>(Games[[#This Row],[Keff]]*Games[[#This Row],[MOVMult]])*(Games[[#This Row],[Result]]-Games[[#This Row],[ExpectedWin%]])</f>
        <v>10.690707032897786</v>
      </c>
      <c r="AB332" s="4">
        <f>Games[[#This Row],[PreGmRate]]+Games[[#This Row],[RatingChange]]</f>
        <v>1576.6374893684961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39651</v>
      </c>
      <c r="B333" s="2">
        <v>2008</v>
      </c>
      <c r="C333" s="2">
        <f>COUNTIFS(Games[Team],Games[[#This Row],[Team]],Games[Season],Games[[#This Row],[Season]],Games[Date],"&lt;=" &amp; Games[[#This Row],[Date]])</f>
        <v>23</v>
      </c>
      <c r="D333" s="2" t="s">
        <v>23</v>
      </c>
      <c r="E333" s="2" t="s">
        <v>29</v>
      </c>
      <c r="F333" s="1" t="s">
        <v>76</v>
      </c>
      <c r="G333" s="1" t="s">
        <v>80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1</v>
      </c>
      <c r="L333" s="2">
        <f>Games[[#This Row],[OppDaysOff]]-Games[[#This Row],[DaysOff]]</f>
        <v>-1</v>
      </c>
      <c r="M333" s="1">
        <f>MAX(-16, MIN(16, Games[[#This Row],[RestDiff]]*8))</f>
        <v>8</v>
      </c>
      <c r="N333" s="1">
        <f>MAX(-16, MIN(16, Games[[#This Row],[OppRestDiff]]*8))</f>
        <v>-8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1493.5041723532661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1565.9467823355983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0.53957531600231134</v>
      </c>
      <c r="R333" s="1">
        <v>73</v>
      </c>
      <c r="S333" s="1">
        <v>76</v>
      </c>
      <c r="T333" s="1">
        <v>0</v>
      </c>
      <c r="U333" s="1">
        <f>Games[[#This Row],[PointsFor]]-Games[[#This Row],[PointsAgainst]]</f>
        <v>-3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0.27366281401350168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72.55</v>
      </c>
      <c r="Z333" s="4">
        <f>Games[[#This Row],[K]]*Games[[#This Row],[POMult]]</f>
        <v>72.55</v>
      </c>
      <c r="AA333" s="4">
        <f>(Games[[#This Row],[Keff]]*Games[[#This Row],[MOVMult]])*(Games[[#This Row],[Result]]-Games[[#This Row],[ExpectedWin%]])</f>
        <v>-10.712856287800196</v>
      </c>
      <c r="AB333" s="4">
        <f>Games[[#This Row],[PreGmRate]]+Games[[#This Row],[RatingChange]]</f>
        <v>1482.7913160654659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39652</v>
      </c>
      <c r="B334" s="2">
        <v>2008</v>
      </c>
      <c r="C334" s="2">
        <f>COUNTIFS(Games[Team],Games[[#This Row],[Team]],Games[Season],Games[[#This Row],[Season]],Games[Date],"&lt;=" &amp; Games[[#This Row],[Date]])</f>
        <v>23</v>
      </c>
      <c r="D334" s="2" t="s">
        <v>23</v>
      </c>
      <c r="E334" s="2" t="s">
        <v>29</v>
      </c>
      <c r="F334" s="1" t="s">
        <v>66</v>
      </c>
      <c r="G334" s="1" t="s">
        <v>72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1527.6644804180121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1449.4539052330624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0.51468996999157934</v>
      </c>
      <c r="R334" s="1">
        <v>80</v>
      </c>
      <c r="S334" s="1">
        <v>73</v>
      </c>
      <c r="T334" s="1">
        <v>0</v>
      </c>
      <c r="U334" s="1">
        <f>Games[[#This Row],[PointsFor]]-Games[[#This Row],[PointsAgainst]]</f>
        <v>7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0.34746122087146808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72.55</v>
      </c>
      <c r="Z334" s="4">
        <f>Games[[#This Row],[K]]*Games[[#This Row],[POMult]]</f>
        <v>72.55</v>
      </c>
      <c r="AA334" s="4">
        <f>(Games[[#This Row],[Keff]]*Games[[#This Row],[MOVMult]])*(Games[[#This Row],[Result]]-Games[[#This Row],[ExpectedWin%]])</f>
        <v>12.233846446548757</v>
      </c>
      <c r="AB334" s="4">
        <f>Games[[#This Row],[PreGmRate]]+Games[[#This Row],[RatingChange]]</f>
        <v>1539.8983268645609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39652</v>
      </c>
      <c r="B335" s="2">
        <v>2008</v>
      </c>
      <c r="C335" s="2">
        <f>COUNTIFS(Games[Team],Games[[#This Row],[Team]],Games[Season],Games[[#This Row],[Season]],Games[Date],"&lt;=" &amp; Games[[#This Row],[Date]])</f>
        <v>24</v>
      </c>
      <c r="D335" s="2" t="s">
        <v>23</v>
      </c>
      <c r="E335" s="2" t="s">
        <v>29</v>
      </c>
      <c r="F335" s="1" t="s">
        <v>72</v>
      </c>
      <c r="G335" s="1" t="s">
        <v>66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1449.4539052330624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1527.6644804180121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0.4853100300084206</v>
      </c>
      <c r="R335" s="1">
        <v>73</v>
      </c>
      <c r="S335" s="1">
        <v>80</v>
      </c>
      <c r="T335" s="1">
        <v>0</v>
      </c>
      <c r="U335" s="1">
        <f>Games[[#This Row],[PointsFor]]-Games[[#This Row],[PointsAgainst]]</f>
        <v>-7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0.34746122087146808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72.400000000000006</v>
      </c>
      <c r="Z335" s="4">
        <f>Games[[#This Row],[K]]*Games[[#This Row],[POMult]]</f>
        <v>72.400000000000006</v>
      </c>
      <c r="AA335" s="4">
        <f>(Games[[#This Row],[Keff]]*Games[[#This Row],[MOVMult]])*(Games[[#This Row],[Result]]-Games[[#This Row],[ExpectedWin%]])</f>
        <v>-12.208552484219572</v>
      </c>
      <c r="AB335" s="4">
        <f>Games[[#This Row],[PreGmRate]]+Games[[#This Row],[RatingChange]]</f>
        <v>1437.2453527488428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39653</v>
      </c>
      <c r="B336" s="2">
        <v>2008</v>
      </c>
      <c r="C336" s="2">
        <f>COUNTIFS(Games[Team],Games[[#This Row],[Team]],Games[Season],Games[[#This Row],[Season]],Games[Date],"&lt;=" &amp; Games[[#This Row],[Date]])</f>
        <v>25</v>
      </c>
      <c r="D336" s="2" t="s">
        <v>23</v>
      </c>
      <c r="E336" s="2" t="s">
        <v>29</v>
      </c>
      <c r="F336" s="1" t="s">
        <v>69</v>
      </c>
      <c r="G336" s="1" t="s">
        <v>85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6" s="2">
        <f>Games[[#This Row],[DaysOff]]-Games[[#This Row],[OppDaysOff]]</f>
        <v>-2</v>
      </c>
      <c r="L336" s="2">
        <f>Games[[#This Row],[OppDaysOff]]-Games[[#This Row],[DaysOff]]</f>
        <v>2</v>
      </c>
      <c r="M336" s="1">
        <f>MAX(-16, MIN(16, Games[[#This Row],[RestDiff]]*8))</f>
        <v>-16</v>
      </c>
      <c r="N336" s="1">
        <f>MAX(-16, MIN(16, Games[[#This Row],[OppRestDiff]]*8))</f>
        <v>16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1505.1406257998233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1533.1089535620429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0.30390979775006705</v>
      </c>
      <c r="R336" s="1">
        <v>61</v>
      </c>
      <c r="S336" s="1">
        <v>87</v>
      </c>
      <c r="T336" s="1">
        <v>0</v>
      </c>
      <c r="U336" s="1">
        <f>Games[[#This Row],[PointsFor]]-Games[[#This Row],[PointsAgainst]]</f>
        <v>-26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0.63918982181777428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72.25</v>
      </c>
      <c r="Z336" s="4">
        <f>Games[[#This Row],[K]]*Games[[#This Row],[POMult]]</f>
        <v>72.25</v>
      </c>
      <c r="AA336" s="4">
        <f>(Games[[#This Row],[Keff]]*Games[[#This Row],[MOVMult]])*(Games[[#This Row],[Result]]-Games[[#This Row],[ExpectedWin%]])</f>
        <v>-14.034999574391099</v>
      </c>
      <c r="AB336" s="4">
        <f>Games[[#This Row],[PreGmRate]]+Games[[#This Row],[RatingChange]]</f>
        <v>1491.1056262254322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39653</v>
      </c>
      <c r="B337" s="2">
        <v>2008</v>
      </c>
      <c r="C337" s="2">
        <f>COUNTIFS(Games[Team],Games[[#This Row],[Team]],Games[Season],Games[[#This Row],[Season]],Games[Date],"&lt;=" &amp; Games[[#This Row],[Date]])</f>
        <v>25</v>
      </c>
      <c r="D337" s="2" t="s">
        <v>23</v>
      </c>
      <c r="E337" s="2" t="s">
        <v>29</v>
      </c>
      <c r="F337" s="1" t="s">
        <v>85</v>
      </c>
      <c r="G337" s="1" t="s">
        <v>69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2</v>
      </c>
      <c r="L337" s="2">
        <f>Games[[#This Row],[OppDaysOff]]-Games[[#This Row],[DaysOff]]</f>
        <v>-2</v>
      </c>
      <c r="M337" s="1">
        <f>MAX(-16, MIN(16, Games[[#This Row],[RestDiff]]*8))</f>
        <v>16</v>
      </c>
      <c r="N337" s="1">
        <f>MAX(-16, MIN(16, Games[[#This Row],[OppRestDiff]]*8))</f>
        <v>-16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1533.1089535620429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1505.1406257998233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0.69609020224993301</v>
      </c>
      <c r="R337" s="1">
        <v>87</v>
      </c>
      <c r="S337" s="1">
        <v>61</v>
      </c>
      <c r="T337" s="1">
        <v>0</v>
      </c>
      <c r="U337" s="1">
        <f>Games[[#This Row],[PointsFor]]-Games[[#This Row],[PointsAgainst]]</f>
        <v>26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0.63918982181777428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72.25</v>
      </c>
      <c r="Z337" s="4">
        <f>Games[[#This Row],[K]]*Games[[#This Row],[POMult]]</f>
        <v>72.25</v>
      </c>
      <c r="AA337" s="4">
        <f>(Games[[#This Row],[Keff]]*Games[[#This Row],[MOVMult]])*(Games[[#This Row],[Result]]-Games[[#This Row],[ExpectedWin%]])</f>
        <v>14.034999574391097</v>
      </c>
      <c r="AB337" s="4">
        <f>Games[[#This Row],[PreGmRate]]+Games[[#This Row],[RatingChange]]</f>
        <v>1547.143953136434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39653</v>
      </c>
      <c r="B338" s="2">
        <v>2008</v>
      </c>
      <c r="C338" s="2">
        <f>COUNTIFS(Games[Team],Games[[#This Row],[Team]],Games[Season],Games[[#This Row],[Season]],Games[Date],"&lt;=" &amp; Games[[#This Row],[Date]])</f>
        <v>26</v>
      </c>
      <c r="D338" s="2" t="s">
        <v>23</v>
      </c>
      <c r="E338" s="2" t="s">
        <v>29</v>
      </c>
      <c r="F338" s="1" t="s">
        <v>74</v>
      </c>
      <c r="G338" s="1" t="s">
        <v>2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1586.2775095605878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1498.6120758051363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0.50527478750659849</v>
      </c>
      <c r="R338" s="1">
        <v>61</v>
      </c>
      <c r="S338" s="1">
        <v>79</v>
      </c>
      <c r="T338" s="1">
        <v>0</v>
      </c>
      <c r="U338" s="1">
        <f>Games[[#This Row],[PointsFor]]-Games[[#This Row],[PointsAgainst]]</f>
        <v>-18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0.50960498072685601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72.099999999999994</v>
      </c>
      <c r="Z338" s="4">
        <f>Games[[#This Row],[K]]*Games[[#This Row],[POMult]]</f>
        <v>72.099999999999994</v>
      </c>
      <c r="AA338" s="4">
        <f>(Games[[#This Row],[Keff]]*Games[[#This Row],[MOVMult]])*(Games[[#This Row],[Result]]-Games[[#This Row],[ExpectedWin%]])</f>
        <v>-18.565068535967683</v>
      </c>
      <c r="AB338" s="4">
        <f>Games[[#This Row],[PreGmRate]]+Games[[#This Row],[RatingChange]]</f>
        <v>1567.7124410246201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39653</v>
      </c>
      <c r="B339" s="2">
        <v>2008</v>
      </c>
      <c r="C339" s="2">
        <f>COUNTIFS(Games[Team],Games[[#This Row],[Team]],Games[Season],Games[[#This Row],[Season]],Games[Date],"&lt;=" &amp; Games[[#This Row],[Date]])</f>
        <v>25</v>
      </c>
      <c r="D339" s="2" t="s">
        <v>23</v>
      </c>
      <c r="E339" s="2" t="s">
        <v>29</v>
      </c>
      <c r="F339" s="1" t="s">
        <v>2</v>
      </c>
      <c r="G339" s="1" t="s">
        <v>74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1498.6120758051363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1586.2775095605878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0.4947252124934014</v>
      </c>
      <c r="R339" s="1">
        <v>79</v>
      </c>
      <c r="S339" s="1">
        <v>61</v>
      </c>
      <c r="T339" s="1">
        <v>0</v>
      </c>
      <c r="U339" s="1">
        <f>Games[[#This Row],[PointsFor]]-Games[[#This Row],[PointsAgainst]]</f>
        <v>18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0.50960498072685601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72.25</v>
      </c>
      <c r="Z339" s="4">
        <f>Games[[#This Row],[K]]*Games[[#This Row],[POMult]]</f>
        <v>72.25</v>
      </c>
      <c r="AA339" s="4">
        <f>(Games[[#This Row],[Keff]]*Games[[#This Row],[MOVMult]])*(Games[[#This Row],[Result]]-Games[[#This Row],[ExpectedWin%]])</f>
        <v>18.603692118220049</v>
      </c>
      <c r="AB339" s="4">
        <f>Games[[#This Row],[PreGmRate]]+Games[[#This Row],[RatingChange]]</f>
        <v>1517.2157679233565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39653</v>
      </c>
      <c r="B340" s="2">
        <v>2008</v>
      </c>
      <c r="C340" s="2">
        <f>COUNTIFS(Games[Team],Games[[#This Row],[Team]],Games[Season],Games[[#This Row],[Season]],Games[Date],"&lt;=" &amp; Games[[#This Row],[Date]])</f>
        <v>24</v>
      </c>
      <c r="D340" s="2" t="s">
        <v>23</v>
      </c>
      <c r="E340" s="2" t="s">
        <v>29</v>
      </c>
      <c r="F340" s="1" t="s">
        <v>76</v>
      </c>
      <c r="G340" s="1" t="s">
        <v>78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1482.7913160654659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1504.8628543015495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0.35192305883175146</v>
      </c>
      <c r="R340" s="1">
        <v>84</v>
      </c>
      <c r="S340" s="1">
        <v>80</v>
      </c>
      <c r="T340" s="1">
        <v>1</v>
      </c>
      <c r="U340" s="1">
        <f>Games[[#This Row],[PointsFor]]-Games[[#This Row],[PointsAgainst]]</f>
        <v>4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0.27522722129808169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72.400000000000006</v>
      </c>
      <c r="Z340" s="4">
        <f>Games[[#This Row],[K]]*Games[[#This Row],[POMult]]</f>
        <v>72.400000000000006</v>
      </c>
      <c r="AA340" s="4">
        <f>(Games[[#This Row],[Keff]]*Games[[#This Row],[MOVMult]])*(Games[[#This Row],[Result]]-Games[[#This Row],[ExpectedWin%]])</f>
        <v>12.913873297049054</v>
      </c>
      <c r="AB340" s="4">
        <f>Games[[#This Row],[PreGmRate]]+Games[[#This Row],[RatingChange]]</f>
        <v>1495.7051893625151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39653</v>
      </c>
      <c r="B341" s="2">
        <v>2008</v>
      </c>
      <c r="C341" s="2">
        <f>COUNTIFS(Games[Team],Games[[#This Row],[Team]],Games[Season],Games[[#This Row],[Season]],Games[Date],"&lt;=" &amp; Games[[#This Row],[Date]])</f>
        <v>24</v>
      </c>
      <c r="D341" s="2" t="s">
        <v>23</v>
      </c>
      <c r="E341" s="2" t="s">
        <v>29</v>
      </c>
      <c r="F341" s="1" t="s">
        <v>78</v>
      </c>
      <c r="G341" s="1" t="s">
        <v>76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1504.8628543015495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1482.7913160654659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0.64807694116824843</v>
      </c>
      <c r="R341" s="1">
        <v>80</v>
      </c>
      <c r="S341" s="1">
        <v>84</v>
      </c>
      <c r="T341" s="1">
        <v>1</v>
      </c>
      <c r="U341" s="1">
        <f>Games[[#This Row],[PointsFor]]-Games[[#This Row],[PointsAgainst]]</f>
        <v>-4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0.27522722129808169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72.400000000000006</v>
      </c>
      <c r="Z341" s="4">
        <f>Games[[#This Row],[K]]*Games[[#This Row],[POMult]]</f>
        <v>72.400000000000006</v>
      </c>
      <c r="AA341" s="4">
        <f>(Games[[#This Row],[Keff]]*Games[[#This Row],[MOVMult]])*(Games[[#This Row],[Result]]-Games[[#This Row],[ExpectedWin%]])</f>
        <v>-12.913873297049053</v>
      </c>
      <c r="AB341" s="4">
        <f>Games[[#This Row],[PreGmRate]]+Games[[#This Row],[RatingChange]]</f>
        <v>1491.9489810045004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39653</v>
      </c>
      <c r="B342" s="2">
        <v>2008</v>
      </c>
      <c r="C342" s="2">
        <f>COUNTIFS(Games[Team],Games[[#This Row],[Team]],Games[Season],Games[[#This Row],[Season]],Games[Date],"&lt;=" &amp; Games[[#This Row],[Date]])</f>
        <v>25</v>
      </c>
      <c r="D342" s="2" t="s">
        <v>23</v>
      </c>
      <c r="E342" s="2" t="s">
        <v>29</v>
      </c>
      <c r="F342" s="1" t="s">
        <v>44</v>
      </c>
      <c r="G342" s="1" t="s">
        <v>45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1523.6376137121474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1518.3909957059977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0.38856672936228576</v>
      </c>
      <c r="R342" s="1">
        <v>74</v>
      </c>
      <c r="S342" s="1">
        <v>83</v>
      </c>
      <c r="T342" s="1">
        <v>0</v>
      </c>
      <c r="U342" s="1">
        <f>Games[[#This Row],[PointsFor]]-Games[[#This Row],[PointsAgainst]]</f>
        <v>-9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0.40420427263476932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72.25</v>
      </c>
      <c r="Z342" s="4">
        <f>Games[[#This Row],[K]]*Games[[#This Row],[POMult]]</f>
        <v>72.25</v>
      </c>
      <c r="AA342" s="4">
        <f>(Games[[#This Row],[Keff]]*Games[[#This Row],[MOVMult]])*(Games[[#This Row],[Result]]-Games[[#This Row],[ExpectedWin%]])</f>
        <v>-11.347609002313675</v>
      </c>
      <c r="AB342" s="4">
        <f>Games[[#This Row],[PreGmRate]]+Games[[#This Row],[RatingChange]]</f>
        <v>1512.2900047098337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39653</v>
      </c>
      <c r="B343" s="2">
        <v>2008</v>
      </c>
      <c r="C343" s="2">
        <f>COUNTIFS(Games[Team],Games[[#This Row],[Team]],Games[Season],Games[[#This Row],[Season]],Games[Date],"&lt;=" &amp; Games[[#This Row],[Date]])</f>
        <v>25</v>
      </c>
      <c r="D343" s="2" t="s">
        <v>23</v>
      </c>
      <c r="E343" s="2" t="s">
        <v>29</v>
      </c>
      <c r="F343" s="1" t="s">
        <v>45</v>
      </c>
      <c r="G343" s="1" t="s">
        <v>44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1518.3909957059977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1523.6376137121474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0.61143327063771424</v>
      </c>
      <c r="R343" s="1">
        <v>83</v>
      </c>
      <c r="S343" s="1">
        <v>74</v>
      </c>
      <c r="T343" s="1">
        <v>0</v>
      </c>
      <c r="U343" s="1">
        <f>Games[[#This Row],[PointsFor]]-Games[[#This Row],[PointsAgainst]]</f>
        <v>9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0.40420427263476932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72.25</v>
      </c>
      <c r="Z343" s="4">
        <f>Games[[#This Row],[K]]*Games[[#This Row],[POMult]]</f>
        <v>72.25</v>
      </c>
      <c r="AA343" s="4">
        <f>(Games[[#This Row],[Keff]]*Games[[#This Row],[MOVMult]])*(Games[[#This Row],[Result]]-Games[[#This Row],[ExpectedWin%]])</f>
        <v>11.347609002313675</v>
      </c>
      <c r="AB343" s="4">
        <f>Games[[#This Row],[PreGmRate]]+Games[[#This Row],[RatingChange]]</f>
        <v>1529.7386047083114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39653</v>
      </c>
      <c r="B344" s="2">
        <v>2008</v>
      </c>
      <c r="C344" s="2">
        <f>COUNTIFS(Games[Team],Games[[#This Row],[Team]],Games[Season],Games[[#This Row],[Season]],Games[Date],"&lt;=" &amp; Games[[#This Row],[Date]])</f>
        <v>24</v>
      </c>
      <c r="D344" s="2" t="s">
        <v>23</v>
      </c>
      <c r="E344" s="2" t="s">
        <v>29</v>
      </c>
      <c r="F344" s="1" t="s">
        <v>86</v>
      </c>
      <c r="G344" s="1" t="s">
        <v>83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4" s="2">
        <f>Games[[#This Row],[DaysOff]]-Games[[#This Row],[OppDaysOff]]</f>
        <v>-3</v>
      </c>
      <c r="L344" s="2">
        <f>Games[[#This Row],[OppDaysOff]]-Games[[#This Row],[DaysOff]]</f>
        <v>3</v>
      </c>
      <c r="M344" s="1">
        <f>MAX(-16, MIN(16, Games[[#This Row],[RestDiff]]*8))</f>
        <v>-16</v>
      </c>
      <c r="N344" s="1">
        <f>MAX(-16, MIN(16, Games[[#This Row],[OppRestDiff]]*8))</f>
        <v>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1433.6152574999012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1568.1392922003699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0.19121537159337904</v>
      </c>
      <c r="R344" s="1">
        <v>67</v>
      </c>
      <c r="S344" s="1">
        <v>78</v>
      </c>
      <c r="T344" s="1">
        <v>0</v>
      </c>
      <c r="U344" s="1">
        <f>Games[[#This Row],[PointsFor]]-Games[[#This Row],[PointsAgainst]]</f>
        <v>-11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0.39549918216918595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72.400000000000006</v>
      </c>
      <c r="Z344" s="4">
        <f>Games[[#This Row],[K]]*Games[[#This Row],[POMult]]</f>
        <v>72.400000000000006</v>
      </c>
      <c r="AA344" s="4">
        <f>(Games[[#This Row],[Keff]]*Games[[#This Row],[MOVMult]])*(Games[[#This Row],[Result]]-Games[[#This Row],[ExpectedWin%]])</f>
        <v>-5.4752878712351487</v>
      </c>
      <c r="AB344" s="4">
        <f>Games[[#This Row],[PreGmRate]]+Games[[#This Row],[RatingChange]]</f>
        <v>1428.139969628666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39653</v>
      </c>
      <c r="B345" s="2">
        <v>2008</v>
      </c>
      <c r="C345" s="2">
        <f>COUNTIFS(Games[Team],Games[[#This Row],[Team]],Games[Season],Games[[#This Row],[Season]],Games[Date],"&lt;=" &amp; Games[[#This Row],[Date]])</f>
        <v>25</v>
      </c>
      <c r="D345" s="2" t="s">
        <v>23</v>
      </c>
      <c r="E345" s="2" t="s">
        <v>29</v>
      </c>
      <c r="F345" s="1" t="s">
        <v>83</v>
      </c>
      <c r="G345" s="1" t="s">
        <v>86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3</v>
      </c>
      <c r="L345" s="2">
        <f>Games[[#This Row],[OppDaysOff]]-Games[[#This Row],[DaysOff]]</f>
        <v>-3</v>
      </c>
      <c r="M345" s="1">
        <f>MAX(-16, MIN(16, Games[[#This Row],[RestDiff]]*8))</f>
        <v>16</v>
      </c>
      <c r="N345" s="1">
        <f>MAX(-16, MIN(16, Games[[#This Row],[OppRestDiff]]*8))</f>
        <v>-16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1568.1392922003699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1433.6152574999012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0.80878462840662102</v>
      </c>
      <c r="R345" s="1">
        <v>78</v>
      </c>
      <c r="S345" s="1">
        <v>67</v>
      </c>
      <c r="T345" s="1">
        <v>0</v>
      </c>
      <c r="U345" s="1">
        <f>Games[[#This Row],[PointsFor]]-Games[[#This Row],[PointsAgainst]]</f>
        <v>11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0.39549918216918595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72.25</v>
      </c>
      <c r="Z345" s="4">
        <f>Games[[#This Row],[K]]*Games[[#This Row],[POMult]]</f>
        <v>72.25</v>
      </c>
      <c r="AA345" s="4">
        <f>(Games[[#This Row],[Keff]]*Games[[#This Row],[MOVMult]])*(Games[[#This Row],[Result]]-Games[[#This Row],[ExpectedWin%]])</f>
        <v>5.4639440427726429</v>
      </c>
      <c r="AB345" s="4">
        <f>Games[[#This Row],[PreGmRate]]+Games[[#This Row],[RatingChange]]</f>
        <v>1573.6032362431426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39654</v>
      </c>
      <c r="B346" s="2">
        <v>2008</v>
      </c>
      <c r="C346" s="2">
        <f>COUNTIFS(Games[Team],Games[[#This Row],[Team]],Games[Season],Games[[#This Row],[Season]],Games[Date],"&lt;=" &amp; Games[[#This Row],[Date]])</f>
        <v>25</v>
      </c>
      <c r="D346" s="2" t="s">
        <v>23</v>
      </c>
      <c r="E346" s="2" t="s">
        <v>29</v>
      </c>
      <c r="F346" s="1" t="s">
        <v>72</v>
      </c>
      <c r="G346" s="1" t="s">
        <v>88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6" s="2">
        <f>Games[[#This Row],[DaysOff]]-Games[[#This Row],[OppDaysOff]]</f>
        <v>-1</v>
      </c>
      <c r="L346" s="2">
        <f>Games[[#This Row],[OppDaysOff]]-Games[[#This Row],[DaysOff]]</f>
        <v>1</v>
      </c>
      <c r="M346" s="1">
        <f>MAX(-16, MIN(16, Games[[#This Row],[RestDiff]]*8))</f>
        <v>-8</v>
      </c>
      <c r="N346" s="1">
        <f>MAX(-16, MIN(16, Games[[#This Row],[OppRestDiff]]*8))</f>
        <v>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1437.2453527488428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1317.5055555098456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0.52837732412785521</v>
      </c>
      <c r="R346" s="1">
        <v>81</v>
      </c>
      <c r="S346" s="1">
        <v>75</v>
      </c>
      <c r="T346" s="1">
        <v>0</v>
      </c>
      <c r="U346" s="1">
        <f>Games[[#This Row],[PointsFor]]-Games[[#This Row],[PointsAgainst]]</f>
        <v>6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0.31940910942526662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72.25</v>
      </c>
      <c r="Z346" s="4">
        <f>Games[[#This Row],[K]]*Games[[#This Row],[POMult]]</f>
        <v>72.25</v>
      </c>
      <c r="AA346" s="4">
        <f>(Games[[#This Row],[Keff]]*Games[[#This Row],[MOVMult]])*(Games[[#This Row],[Result]]-Games[[#This Row],[ExpectedWin%]])</f>
        <v>10.883781824447242</v>
      </c>
      <c r="AB346" s="4">
        <f>Games[[#This Row],[PreGmRate]]+Games[[#This Row],[RatingChange]]</f>
        <v>1448.12913457329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39654</v>
      </c>
      <c r="B347" s="2">
        <v>2008</v>
      </c>
      <c r="C347" s="2">
        <f>COUNTIFS(Games[Team],Games[[#This Row],[Team]],Games[Season],Games[[#This Row],[Season]],Games[Date],"&lt;=" &amp; Games[[#This Row],[Date]])</f>
        <v>26</v>
      </c>
      <c r="D347" s="2" t="s">
        <v>23</v>
      </c>
      <c r="E347" s="2" t="s">
        <v>29</v>
      </c>
      <c r="F347" s="1" t="s">
        <v>88</v>
      </c>
      <c r="G347" s="1" t="s">
        <v>72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1</v>
      </c>
      <c r="L347" s="2">
        <f>Games[[#This Row],[OppDaysOff]]-Games[[#This Row],[DaysOff]]</f>
        <v>-1</v>
      </c>
      <c r="M347" s="1">
        <f>MAX(-16, MIN(16, Games[[#This Row],[RestDiff]]*8))</f>
        <v>8</v>
      </c>
      <c r="N347" s="1">
        <f>MAX(-16, MIN(16, Games[[#This Row],[OppRestDiff]]*8))</f>
        <v>-8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1317.5055555098456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1437.2453527488428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0.47162267587214474</v>
      </c>
      <c r="R347" s="1">
        <v>75</v>
      </c>
      <c r="S347" s="1">
        <v>81</v>
      </c>
      <c r="T347" s="1">
        <v>0</v>
      </c>
      <c r="U347" s="1">
        <f>Games[[#This Row],[PointsFor]]-Games[[#This Row],[PointsAgainst]]</f>
        <v>-6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0.31940910942526662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72.099999999999994</v>
      </c>
      <c r="Z347" s="4">
        <f>Games[[#This Row],[K]]*Games[[#This Row],[POMult]]</f>
        <v>72.099999999999994</v>
      </c>
      <c r="AA347" s="4">
        <f>(Games[[#This Row],[Keff]]*Games[[#This Row],[MOVMult]])*(Games[[#This Row],[Result]]-Games[[#This Row],[ExpectedWin%]])</f>
        <v>-10.861185737614479</v>
      </c>
      <c r="AB347" s="4">
        <f>Games[[#This Row],[PreGmRate]]+Games[[#This Row],[RatingChange]]</f>
        <v>1306.6443697722311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39654</v>
      </c>
      <c r="B348" s="2">
        <v>2008</v>
      </c>
      <c r="C348" s="2">
        <f>COUNTIFS(Games[Team],Games[[#This Row],[Team]],Games[Season],Games[[#This Row],[Season]],Games[Date],"&lt;=" &amp; Games[[#This Row],[Date]])</f>
        <v>26</v>
      </c>
      <c r="D348" s="2" t="s">
        <v>23</v>
      </c>
      <c r="E348" s="2" t="s">
        <v>29</v>
      </c>
      <c r="F348" s="1" t="s">
        <v>83</v>
      </c>
      <c r="G348" s="1" t="s">
        <v>76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1573.6032362431426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1495.7051893625151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0.49121948634189022</v>
      </c>
      <c r="R348" s="1">
        <v>68</v>
      </c>
      <c r="S348" s="1">
        <v>78</v>
      </c>
      <c r="T348" s="1">
        <v>0</v>
      </c>
      <c r="U348" s="1">
        <f>Games[[#This Row],[PointsFor]]-Games[[#This Row],[PointsAgainst]]</f>
        <v>-10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0.39733657973590419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72.099999999999994</v>
      </c>
      <c r="Z348" s="4">
        <f>Games[[#This Row],[K]]*Games[[#This Row],[POMult]]</f>
        <v>72.099999999999994</v>
      </c>
      <c r="AA348" s="4">
        <f>(Games[[#This Row],[Keff]]*Games[[#This Row],[MOVMult]])*(Games[[#This Row],[Result]]-Games[[#This Row],[ExpectedWin%]])</f>
        <v>-14.072439830455705</v>
      </c>
      <c r="AB348" s="4">
        <f>Games[[#This Row],[PreGmRate]]+Games[[#This Row],[RatingChange]]</f>
        <v>1559.5307964126869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39654</v>
      </c>
      <c r="B349" s="2">
        <v>2008</v>
      </c>
      <c r="C349" s="2">
        <f>COUNTIFS(Games[Team],Games[[#This Row],[Team]],Games[Season],Games[[#This Row],[Season]],Games[Date],"&lt;=" &amp; Games[[#This Row],[Date]])</f>
        <v>25</v>
      </c>
      <c r="D349" s="2" t="s">
        <v>23</v>
      </c>
      <c r="E349" s="2" t="s">
        <v>29</v>
      </c>
      <c r="F349" s="1" t="s">
        <v>76</v>
      </c>
      <c r="G349" s="1" t="s">
        <v>83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1495.7051893625151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1573.6032362431426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0.50878051365810983</v>
      </c>
      <c r="R349" s="1">
        <v>78</v>
      </c>
      <c r="S349" s="1">
        <v>68</v>
      </c>
      <c r="T349" s="1">
        <v>0</v>
      </c>
      <c r="U349" s="1">
        <f>Games[[#This Row],[PointsFor]]-Games[[#This Row],[PointsAgainst]]</f>
        <v>10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0.39733657973590419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72.25</v>
      </c>
      <c r="Z349" s="4">
        <f>Games[[#This Row],[K]]*Games[[#This Row],[POMult]]</f>
        <v>72.25</v>
      </c>
      <c r="AA349" s="4">
        <f>(Games[[#This Row],[Keff]]*Games[[#This Row],[MOVMult]])*(Games[[#This Row],[Result]]-Games[[#This Row],[ExpectedWin%]])</f>
        <v>14.101716751046112</v>
      </c>
      <c r="AB349" s="4">
        <f>Games[[#This Row],[PreGmRate]]+Games[[#This Row],[RatingChange]]</f>
        <v>1509.8069061135611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39654</v>
      </c>
      <c r="B350" s="2">
        <v>2008</v>
      </c>
      <c r="C350" s="2">
        <f>COUNTIFS(Games[Team],Games[[#This Row],[Team]],Games[Season],Games[[#This Row],[Season]],Games[Date],"&lt;=" &amp; Games[[#This Row],[Date]])</f>
        <v>26</v>
      </c>
      <c r="D350" s="2" t="s">
        <v>23</v>
      </c>
      <c r="E350" s="2" t="s">
        <v>29</v>
      </c>
      <c r="F350" s="1" t="s">
        <v>69</v>
      </c>
      <c r="G350" s="1" t="s">
        <v>66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-1</v>
      </c>
      <c r="L350" s="2">
        <f>Games[[#This Row],[OppDaysOff]]-Games[[#This Row],[DaysOff]]</f>
        <v>1</v>
      </c>
      <c r="M350" s="1">
        <f>MAX(-16, MIN(16, Games[[#This Row],[RestDiff]]*8))</f>
        <v>-8</v>
      </c>
      <c r="N350" s="1">
        <f>MAX(-16, MIN(16, Games[[#This Row],[OppRestDiff]]*8))</f>
        <v>8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1491.1056262254322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1539.8983268645609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0.29806700592757751</v>
      </c>
      <c r="R350" s="1">
        <v>68</v>
      </c>
      <c r="S350" s="1">
        <v>69</v>
      </c>
      <c r="T350" s="1">
        <v>0</v>
      </c>
      <c r="U350" s="1">
        <f>Games[[#This Row],[PointsFor]]-Games[[#This Row],[PointsAgainst]]</f>
        <v>-1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0.23463910784262876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72.099999999999994</v>
      </c>
      <c r="Z350" s="4">
        <f>Games[[#This Row],[K]]*Games[[#This Row],[POMult]]</f>
        <v>72.099999999999994</v>
      </c>
      <c r="AA350" s="4">
        <f>(Games[[#This Row],[Keff]]*Games[[#This Row],[MOVMult]])*(Games[[#This Row],[Result]]-Games[[#This Row],[ExpectedWin%]])</f>
        <v>-5.0425425147030802</v>
      </c>
      <c r="AB350" s="4">
        <f>Games[[#This Row],[PreGmRate]]+Games[[#This Row],[RatingChange]]</f>
        <v>1486.0630837107292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39654</v>
      </c>
      <c r="B351" s="2">
        <v>2008</v>
      </c>
      <c r="C351" s="2">
        <f>COUNTIFS(Games[Team],Games[[#This Row],[Team]],Games[Season],Games[[#This Row],[Season]],Games[Date],"&lt;=" &amp; Games[[#This Row],[Date]])</f>
        <v>24</v>
      </c>
      <c r="D351" s="2" t="s">
        <v>23</v>
      </c>
      <c r="E351" s="2" t="s">
        <v>29</v>
      </c>
      <c r="F351" s="1" t="s">
        <v>66</v>
      </c>
      <c r="G351" s="1" t="s">
        <v>69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1" s="2">
        <f>Games[[#This Row],[DaysOff]]-Games[[#This Row],[OppDaysOff]]</f>
        <v>1</v>
      </c>
      <c r="L351" s="2">
        <f>Games[[#This Row],[OppDaysOff]]-Games[[#This Row],[DaysOff]]</f>
        <v>-1</v>
      </c>
      <c r="M351" s="1">
        <f>MAX(-16, MIN(16, Games[[#This Row],[RestDiff]]*8))</f>
        <v>8</v>
      </c>
      <c r="N351" s="1">
        <f>MAX(-16, MIN(16, Games[[#This Row],[OppRestDiff]]*8))</f>
        <v>-8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1539.8983268645609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1491.1056262254322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0.70193299407242238</v>
      </c>
      <c r="R351" s="1">
        <v>69</v>
      </c>
      <c r="S351" s="1">
        <v>68</v>
      </c>
      <c r="T351" s="1">
        <v>0</v>
      </c>
      <c r="U351" s="1">
        <f>Games[[#This Row],[PointsFor]]-Games[[#This Row],[PointsAgainst]]</f>
        <v>1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0.23463910784262876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72.400000000000006</v>
      </c>
      <c r="Z351" s="4">
        <f>Games[[#This Row],[K]]*Games[[#This Row],[POMult]]</f>
        <v>72.400000000000006</v>
      </c>
      <c r="AA351" s="4">
        <f>(Games[[#This Row],[Keff]]*Games[[#This Row],[MOVMult]])*(Games[[#This Row],[Result]]-Games[[#This Row],[ExpectedWin%]])</f>
        <v>5.0635239676075336</v>
      </c>
      <c r="AB351" s="4">
        <f>Games[[#This Row],[PreGmRate]]+Games[[#This Row],[RatingChange]]</f>
        <v>1544.9618508321685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39654</v>
      </c>
      <c r="B352" s="2">
        <v>2008</v>
      </c>
      <c r="C352" s="2">
        <f>COUNTIFS(Games[Team],Games[[#This Row],[Team]],Games[Season],Games[[#This Row],[Season]],Games[Date],"&lt;=" &amp; Games[[#This Row],[Date]])</f>
        <v>25</v>
      </c>
      <c r="D352" s="2" t="s">
        <v>23</v>
      </c>
      <c r="E352" s="2" t="s">
        <v>29</v>
      </c>
      <c r="F352" s="1" t="s">
        <v>80</v>
      </c>
      <c r="G352" s="1" t="s">
        <v>44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2" s="2">
        <f>Games[[#This Row],[DaysOff]]-Games[[#This Row],[OppDaysOff]]</f>
        <v>2</v>
      </c>
      <c r="L352" s="2">
        <f>Games[[#This Row],[OppDaysOff]]-Games[[#This Row],[DaysOff]]</f>
        <v>-2</v>
      </c>
      <c r="M352" s="1">
        <f>MAX(-16, MIN(16, Games[[#This Row],[RestDiff]]*8))</f>
        <v>16</v>
      </c>
      <c r="N352" s="1">
        <f>MAX(-16, MIN(16, Games[[#This Row],[OppRestDiff]]*8))</f>
        <v>-16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1576.6374893684961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1512.2900047098337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0.51776198156787145</v>
      </c>
      <c r="R352" s="1">
        <v>80</v>
      </c>
      <c r="S352" s="1">
        <v>94</v>
      </c>
      <c r="T352" s="1">
        <v>0</v>
      </c>
      <c r="U352" s="1">
        <f>Games[[#This Row],[PointsFor]]-Games[[#This Row],[PointsAgainst]]</f>
        <v>-14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0.46279186010235934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72.25</v>
      </c>
      <c r="Z352" s="4">
        <f>Games[[#This Row],[K]]*Games[[#This Row],[POMult]]</f>
        <v>72.25</v>
      </c>
      <c r="AA352" s="4">
        <f>(Games[[#This Row],[Keff]]*Games[[#This Row],[MOVMult]])*(Games[[#This Row],[Result]]-Games[[#This Row],[ExpectedWin%]])</f>
        <v>-17.312258206520688</v>
      </c>
      <c r="AB352" s="4">
        <f>Games[[#This Row],[PreGmRate]]+Games[[#This Row],[RatingChange]]</f>
        <v>1559.3252311619754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39654</v>
      </c>
      <c r="B353" s="2">
        <v>2008</v>
      </c>
      <c r="C353" s="2">
        <f>COUNTIFS(Games[Team],Games[[#This Row],[Team]],Games[Season],Games[[#This Row],[Season]],Games[Date],"&lt;=" &amp; Games[[#This Row],[Date]])</f>
        <v>26</v>
      </c>
      <c r="D353" s="2" t="s">
        <v>23</v>
      </c>
      <c r="E353" s="2" t="s">
        <v>29</v>
      </c>
      <c r="F353" s="1" t="s">
        <v>44</v>
      </c>
      <c r="G353" s="1" t="s">
        <v>80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3" s="2">
        <f>Games[[#This Row],[DaysOff]]-Games[[#This Row],[OppDaysOff]]</f>
        <v>-2</v>
      </c>
      <c r="L353" s="2">
        <f>Games[[#This Row],[OppDaysOff]]-Games[[#This Row],[DaysOff]]</f>
        <v>2</v>
      </c>
      <c r="M353" s="1">
        <f>MAX(-16, MIN(16, Games[[#This Row],[RestDiff]]*8))</f>
        <v>-16</v>
      </c>
      <c r="N353" s="1">
        <f>MAX(-16, MIN(16, Games[[#This Row],[OppRestDiff]]*8))</f>
        <v>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1512.2900047098337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1576.6374893684961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0.48223801843212855</v>
      </c>
      <c r="R353" s="1">
        <v>94</v>
      </c>
      <c r="S353" s="1">
        <v>80</v>
      </c>
      <c r="T353" s="1">
        <v>0</v>
      </c>
      <c r="U353" s="1">
        <f>Games[[#This Row],[PointsFor]]-Games[[#This Row],[PointsAgainst]]</f>
        <v>14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0.46279186010235934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72.099999999999994</v>
      </c>
      <c r="Z353" s="4">
        <f>Games[[#This Row],[K]]*Games[[#This Row],[POMult]]</f>
        <v>72.099999999999994</v>
      </c>
      <c r="AA353" s="4">
        <f>(Games[[#This Row],[Keff]]*Games[[#This Row],[MOVMult]])*(Games[[#This Row],[Result]]-Games[[#This Row],[ExpectedWin%]])</f>
        <v>17.276315801939674</v>
      </c>
      <c r="AB353" s="4">
        <f>Games[[#This Row],[PreGmRate]]+Games[[#This Row],[RatingChange]]</f>
        <v>1529.5663205117735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39655</v>
      </c>
      <c r="B354" s="2">
        <v>2008</v>
      </c>
      <c r="C354" s="2">
        <f>COUNTIFS(Games[Team],Games[[#This Row],[Team]],Games[Season],Games[[#This Row],[Season]],Games[Date],"&lt;=" &amp; Games[[#This Row],[Date]])</f>
        <v>25</v>
      </c>
      <c r="D354" s="2" t="s">
        <v>23</v>
      </c>
      <c r="E354" s="2" t="s">
        <v>29</v>
      </c>
      <c r="F354" s="1" t="s">
        <v>86</v>
      </c>
      <c r="G354" s="1" t="s">
        <v>2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1428.139969628666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1517.2157679233565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0.26966864396709006</v>
      </c>
      <c r="R354" s="1">
        <v>65</v>
      </c>
      <c r="S354" s="1">
        <v>79</v>
      </c>
      <c r="T354" s="1">
        <v>0</v>
      </c>
      <c r="U354" s="1">
        <f>Games[[#This Row],[PointsFor]]-Games[[#This Row],[PointsAgainst]]</f>
        <v>-14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0.45391413368786038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72.25</v>
      </c>
      <c r="Z354" s="4">
        <f>Games[[#This Row],[K]]*Games[[#This Row],[POMult]]</f>
        <v>72.25</v>
      </c>
      <c r="AA354" s="4">
        <f>(Games[[#This Row],[Keff]]*Games[[#This Row],[MOVMult]])*(Games[[#This Row],[Result]]-Games[[#This Row],[ExpectedWin%]])</f>
        <v>-8.8438630436826013</v>
      </c>
      <c r="AB354" s="4">
        <f>Games[[#This Row],[PreGmRate]]+Games[[#This Row],[RatingChange]]</f>
        <v>1419.2961065849834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39655</v>
      </c>
      <c r="B355" s="2">
        <v>2008</v>
      </c>
      <c r="C355" s="2">
        <f>COUNTIFS(Games[Team],Games[[#This Row],[Team]],Games[Season],Games[[#This Row],[Season]],Games[Date],"&lt;=" &amp; Games[[#This Row],[Date]])</f>
        <v>26</v>
      </c>
      <c r="D355" s="2" t="s">
        <v>23</v>
      </c>
      <c r="E355" s="2" t="s">
        <v>29</v>
      </c>
      <c r="F355" s="1" t="s">
        <v>2</v>
      </c>
      <c r="G355" s="1" t="s">
        <v>86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1517.2157679233565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1428.139969628666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0.73033135603291</v>
      </c>
      <c r="R355" s="1">
        <v>79</v>
      </c>
      <c r="S355" s="1">
        <v>65</v>
      </c>
      <c r="T355" s="1">
        <v>0</v>
      </c>
      <c r="U355" s="1">
        <f>Games[[#This Row],[PointsFor]]-Games[[#This Row],[PointsAgainst]]</f>
        <v>14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0.45391413368786038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72.099999999999994</v>
      </c>
      <c r="Z355" s="4">
        <f>Games[[#This Row],[K]]*Games[[#This Row],[POMult]]</f>
        <v>72.099999999999994</v>
      </c>
      <c r="AA355" s="4">
        <f>(Games[[#This Row],[Keff]]*Games[[#This Row],[MOVMult]])*(Games[[#This Row],[Result]]-Games[[#This Row],[ExpectedWin%]])</f>
        <v>8.8255020823462313</v>
      </c>
      <c r="AB355" s="4">
        <f>Games[[#This Row],[PreGmRate]]+Games[[#This Row],[RatingChange]]</f>
        <v>1526.0412700057027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39655</v>
      </c>
      <c r="B356" s="2">
        <v>2008</v>
      </c>
      <c r="C356" s="2">
        <f>COUNTIFS(Games[Team],Games[[#This Row],[Team]],Games[Season],Games[[#This Row],[Season]],Games[Date],"&lt;=" &amp; Games[[#This Row],[Date]])</f>
        <v>25</v>
      </c>
      <c r="D356" s="2" t="s">
        <v>23</v>
      </c>
      <c r="E356" s="2" t="s">
        <v>29</v>
      </c>
      <c r="F356" s="1" t="s">
        <v>78</v>
      </c>
      <c r="G356" s="1" t="s">
        <v>45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1491.9489810045004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1529.7386047083114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0.33157339102156319</v>
      </c>
      <c r="R356" s="1">
        <v>62</v>
      </c>
      <c r="S356" s="1">
        <v>70</v>
      </c>
      <c r="T356" s="1">
        <v>0</v>
      </c>
      <c r="U356" s="1">
        <f>Games[[#This Row],[PointsFor]]-Games[[#This Row],[PointsAgainst]]</f>
        <v>-8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0.37646029105436257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72.25</v>
      </c>
      <c r="Z356" s="4">
        <f>Games[[#This Row],[K]]*Games[[#This Row],[POMult]]</f>
        <v>72.25</v>
      </c>
      <c r="AA356" s="4">
        <f>(Games[[#This Row],[Keff]]*Games[[#This Row],[MOVMult]])*(Games[[#This Row],[Result]]-Games[[#This Row],[ExpectedWin%]])</f>
        <v>-9.0185495546923597</v>
      </c>
      <c r="AB356" s="4">
        <f>Games[[#This Row],[PreGmRate]]+Games[[#This Row],[RatingChange]]</f>
        <v>1482.9304314498081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39655</v>
      </c>
      <c r="B357" s="2">
        <v>2008</v>
      </c>
      <c r="C357" s="2">
        <f>COUNTIFS(Games[Team],Games[[#This Row],[Team]],Games[Season],Games[[#This Row],[Season]],Games[Date],"&lt;=" &amp; Games[[#This Row],[Date]])</f>
        <v>26</v>
      </c>
      <c r="D357" s="2" t="s">
        <v>23</v>
      </c>
      <c r="E357" s="2" t="s">
        <v>29</v>
      </c>
      <c r="F357" s="1" t="s">
        <v>45</v>
      </c>
      <c r="G357" s="1" t="s">
        <v>78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1529.7386047083114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1491.9489810045004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0.66842660897843686</v>
      </c>
      <c r="R357" s="1">
        <v>70</v>
      </c>
      <c r="S357" s="1">
        <v>62</v>
      </c>
      <c r="T357" s="1">
        <v>0</v>
      </c>
      <c r="U357" s="1">
        <f>Games[[#This Row],[PointsFor]]-Games[[#This Row],[PointsAgainst]]</f>
        <v>8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0.37646029105436257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72.099999999999994</v>
      </c>
      <c r="Z357" s="4">
        <f>Games[[#This Row],[K]]*Games[[#This Row],[POMult]]</f>
        <v>72.099999999999994</v>
      </c>
      <c r="AA357" s="4">
        <f>(Games[[#This Row],[Keff]]*Games[[#This Row],[MOVMult]])*(Games[[#This Row],[Result]]-Games[[#This Row],[ExpectedWin%]])</f>
        <v>8.9998259223988786</v>
      </c>
      <c r="AB357" s="4">
        <f>Games[[#This Row],[PreGmRate]]+Games[[#This Row],[RatingChange]]</f>
        <v>1538.7384306307104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39656</v>
      </c>
      <c r="B358" s="2">
        <v>2008</v>
      </c>
      <c r="C358" s="2">
        <f>COUNTIFS(Games[Team],Games[[#This Row],[Team]],Games[Season],Games[[#This Row],[Season]],Games[Date],"&lt;=" &amp; Games[[#This Row],[Date]])</f>
        <v>25</v>
      </c>
      <c r="D358" s="2" t="s">
        <v>23</v>
      </c>
      <c r="E358" s="2" t="s">
        <v>29</v>
      </c>
      <c r="F358" s="1" t="s">
        <v>66</v>
      </c>
      <c r="G358" s="1" t="s">
        <v>88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1544.9618508321685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1306.6443697722311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0.70854394206517313</v>
      </c>
      <c r="R358" s="1">
        <v>86</v>
      </c>
      <c r="S358" s="1">
        <v>76</v>
      </c>
      <c r="T358" s="1">
        <v>0</v>
      </c>
      <c r="U358" s="1">
        <f>Games[[#This Row],[PointsFor]]-Games[[#This Row],[PointsAgainst]]</f>
        <v>10</v>
      </c>
      <c r="V358" s="1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0.3530205576202558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72.25</v>
      </c>
      <c r="Z358" s="4">
        <f>Games[[#This Row],[K]]*Games[[#This Row],[POMult]]</f>
        <v>72.25</v>
      </c>
      <c r="AA358" s="4">
        <f>(Games[[#This Row],[Keff]]*Games[[#This Row],[MOVMult]])*(Games[[#This Row],[Result]]-Games[[#This Row],[ExpectedWin%]])</f>
        <v>7.4338010617881878</v>
      </c>
      <c r="AB358" s="4">
        <f>Games[[#This Row],[PreGmRate]]+Games[[#This Row],[RatingChange]]</f>
        <v>1552.3956518939567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39656</v>
      </c>
      <c r="B359" s="2">
        <v>2008</v>
      </c>
      <c r="C359" s="2">
        <f>COUNTIFS(Games[Team],Games[[#This Row],[Team]],Games[Season],Games[[#This Row],[Season]],Games[Date],"&lt;=" &amp; Games[[#This Row],[Date]])</f>
        <v>27</v>
      </c>
      <c r="D359" s="2" t="s">
        <v>23</v>
      </c>
      <c r="E359" s="2" t="s">
        <v>29</v>
      </c>
      <c r="F359" s="1" t="s">
        <v>88</v>
      </c>
      <c r="G359" s="1" t="s">
        <v>66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1306.6443697722311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1544.9618508321685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0.29145605793482676</v>
      </c>
      <c r="R359" s="1">
        <v>76</v>
      </c>
      <c r="S359" s="1">
        <v>86</v>
      </c>
      <c r="T359" s="1">
        <v>0</v>
      </c>
      <c r="U359" s="1">
        <f>Games[[#This Row],[PointsFor]]-Games[[#This Row],[PointsAgainst]]</f>
        <v>-10</v>
      </c>
      <c r="V359" s="1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0.3530205576202558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71.95</v>
      </c>
      <c r="Z359" s="4">
        <f>Games[[#This Row],[K]]*Games[[#This Row],[POMult]]</f>
        <v>71.95</v>
      </c>
      <c r="AA359" s="4">
        <f>(Games[[#This Row],[Keff]]*Games[[#This Row],[MOVMult]])*(Games[[#This Row],[Result]]-Games[[#This Row],[ExpectedWin%]])</f>
        <v>-7.4029340677599995</v>
      </c>
      <c r="AB359" s="4">
        <f>Games[[#This Row],[PreGmRate]]+Games[[#This Row],[RatingChange]]</f>
        <v>1299.2414357044711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39656</v>
      </c>
      <c r="B360" s="2">
        <v>2008</v>
      </c>
      <c r="C360" s="2">
        <f>COUNTIFS(Games[Team],Games[[#This Row],[Team]],Games[Season],Games[[#This Row],[Season]],Games[Date],"&lt;=" &amp; Games[[#This Row],[Date]])</f>
        <v>27</v>
      </c>
      <c r="D360" s="2" t="s">
        <v>23</v>
      </c>
      <c r="E360" s="2" t="s">
        <v>29</v>
      </c>
      <c r="F360" s="1" t="s">
        <v>83</v>
      </c>
      <c r="G360" s="1" t="s">
        <v>74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0" s="2">
        <f>Games[[#This Row],[DaysOff]]-Games[[#This Row],[OppDaysOff]]</f>
        <v>-1</v>
      </c>
      <c r="L360" s="2">
        <f>Games[[#This Row],[OppDaysOff]]-Games[[#This Row],[DaysOff]]</f>
        <v>1</v>
      </c>
      <c r="M360" s="1">
        <f>MAX(-16, MIN(16, Games[[#This Row],[RestDiff]]*8))</f>
        <v>-8</v>
      </c>
      <c r="N360" s="1">
        <f>MAX(-16, MIN(16, Games[[#This Row],[OppRestDiff]]*8))</f>
        <v>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1559.5307964126869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1567.7124410246201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0.34915771863523948</v>
      </c>
      <c r="R360" s="1">
        <v>76</v>
      </c>
      <c r="S360" s="1">
        <v>64</v>
      </c>
      <c r="T360" s="1">
        <v>0</v>
      </c>
      <c r="U360" s="1">
        <f>Games[[#This Row],[PointsFor]]-Games[[#This Row],[PointsAgainst]]</f>
        <v>12</v>
      </c>
      <c r="V360" s="1">
        <f>IF(Games[[#This Row],[MOV]]&gt;0,1,IF(Games[[#This Row],[MOV]]=0,0.5,0))</f>
        <v>1</v>
      </c>
      <c r="W360" s="4">
        <f>((ABS(Games[[#This Row],[MOV]])+5)^0.6)/(12+0.01*(ABS(Games[[#This Row],[PreGmRate]]-Games[[#This Row],[OppPreGmRate]])))*IF(Games[[#This Row],[OT]]=1,0.9,1)</f>
        <v>0.45304059545421982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71.95</v>
      </c>
      <c r="Z360" s="4">
        <f>Games[[#This Row],[K]]*Games[[#This Row],[POMult]]</f>
        <v>71.95</v>
      </c>
      <c r="AA360" s="4">
        <f>(Games[[#This Row],[Keff]]*Games[[#This Row],[MOVMult]])*(Games[[#This Row],[Result]]-Games[[#This Row],[ExpectedWin%]])</f>
        <v>21.215031279396914</v>
      </c>
      <c r="AB360" s="4">
        <f>Games[[#This Row],[PreGmRate]]+Games[[#This Row],[RatingChange]]</f>
        <v>1580.7458276920838</v>
      </c>
      <c r="AC360" s="2">
        <f>IF(Games[[#This Row],[Type]]="R",IF(Games[[#This Row],[Result]]&gt;0.5,1,0),0)</f>
        <v>1</v>
      </c>
      <c r="AD360" s="2">
        <f>IF(Games[[#This Row],[Type]]="R",IF(Games[[#This Row],[Result]]&lt;0.5,1,0),0)</f>
        <v>0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39656</v>
      </c>
      <c r="B361" s="2">
        <v>2008</v>
      </c>
      <c r="C361" s="2">
        <f>COUNTIFS(Games[Team],Games[[#This Row],[Team]],Games[Season],Games[[#This Row],[Season]],Games[Date],"&lt;=" &amp; Games[[#This Row],[Date]])</f>
        <v>27</v>
      </c>
      <c r="D361" s="2" t="s">
        <v>23</v>
      </c>
      <c r="E361" s="2" t="s">
        <v>29</v>
      </c>
      <c r="F361" s="1" t="s">
        <v>74</v>
      </c>
      <c r="G361" s="1" t="s">
        <v>83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1</v>
      </c>
      <c r="L361" s="2">
        <f>Games[[#This Row],[OppDaysOff]]-Games[[#This Row],[DaysOff]]</f>
        <v>-1</v>
      </c>
      <c r="M361" s="1">
        <f>MAX(-16, MIN(16, Games[[#This Row],[RestDiff]]*8))</f>
        <v>8</v>
      </c>
      <c r="N361" s="1">
        <f>MAX(-16, MIN(16, Games[[#This Row],[OppRestDiff]]*8))</f>
        <v>-8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1567.7124410246201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1559.5307964126869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0.65084228136476063</v>
      </c>
      <c r="R361" s="1">
        <v>64</v>
      </c>
      <c r="S361" s="1">
        <v>76</v>
      </c>
      <c r="T361" s="1">
        <v>0</v>
      </c>
      <c r="U361" s="1">
        <f>Games[[#This Row],[PointsFor]]-Games[[#This Row],[PointsAgainst]]</f>
        <v>-12</v>
      </c>
      <c r="V361" s="1">
        <f>IF(Games[[#This Row],[MOV]]&gt;0,1,IF(Games[[#This Row],[MOV]]=0,0.5,0))</f>
        <v>0</v>
      </c>
      <c r="W361" s="4">
        <f>((ABS(Games[[#This Row],[MOV]])+5)^0.6)/(12+0.01*(ABS(Games[[#This Row],[PreGmRate]]-Games[[#This Row],[OppPreGmRate]])))*IF(Games[[#This Row],[OT]]=1,0.9,1)</f>
        <v>0.45304059545421982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71.95</v>
      </c>
      <c r="Z361" s="4">
        <f>Games[[#This Row],[K]]*Games[[#This Row],[POMult]]</f>
        <v>71.95</v>
      </c>
      <c r="AA361" s="4">
        <f>(Games[[#This Row],[Keff]]*Games[[#This Row],[MOVMult]])*(Games[[#This Row],[Result]]-Games[[#This Row],[ExpectedWin%]])</f>
        <v>-21.215031279396918</v>
      </c>
      <c r="AB361" s="4">
        <f>Games[[#This Row],[PreGmRate]]+Games[[#This Row],[RatingChange]]</f>
        <v>1546.4974097452232</v>
      </c>
      <c r="AC361" s="2">
        <f>IF(Games[[#This Row],[Type]]="R",IF(Games[[#This Row],[Result]]&gt;0.5,1,0),0)</f>
        <v>0</v>
      </c>
      <c r="AD361" s="2">
        <f>IF(Games[[#This Row],[Type]]="R",IF(Games[[#This Row],[Result]]&lt;0.5,1,0),0)</f>
        <v>1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39656</v>
      </c>
      <c r="B362" s="2">
        <v>2008</v>
      </c>
      <c r="C362" s="2">
        <f>COUNTIFS(Games[Team],Games[[#This Row],[Team]],Games[Season],Games[[#This Row],[Season]],Games[Date],"&lt;=" &amp; Games[[#This Row],[Date]])</f>
        <v>27</v>
      </c>
      <c r="D362" s="2" t="s">
        <v>23</v>
      </c>
      <c r="E362" s="2" t="s">
        <v>29</v>
      </c>
      <c r="F362" s="1" t="s">
        <v>69</v>
      </c>
      <c r="G362" s="1" t="s">
        <v>76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1486.0630837107292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1509.8069061135611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0.34973066741377629</v>
      </c>
      <c r="R362" s="1">
        <v>92</v>
      </c>
      <c r="S362" s="1">
        <v>84</v>
      </c>
      <c r="T362" s="1">
        <v>1</v>
      </c>
      <c r="U362" s="1">
        <f>Games[[#This Row],[PointsFor]]-Games[[#This Row],[PointsAgainst]]</f>
        <v>8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0.34270308060047083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71.95</v>
      </c>
      <c r="Z362" s="4">
        <f>Games[[#This Row],[K]]*Games[[#This Row],[POMult]]</f>
        <v>71.95</v>
      </c>
      <c r="AA362" s="4">
        <f>(Games[[#This Row],[Keff]]*Games[[#This Row],[MOVMult]])*(Games[[#This Row],[Result]]-Games[[#This Row],[ExpectedWin%]])</f>
        <v>16.034007386631526</v>
      </c>
      <c r="AB362" s="4">
        <f>Games[[#This Row],[PreGmRate]]+Games[[#This Row],[RatingChange]]</f>
        <v>1502.0970910973608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39656</v>
      </c>
      <c r="B363" s="2">
        <v>2008</v>
      </c>
      <c r="C363" s="2">
        <f>COUNTIFS(Games[Team],Games[[#This Row],[Team]],Games[Season],Games[[#This Row],[Season]],Games[Date],"&lt;=" &amp; Games[[#This Row],[Date]])</f>
        <v>26</v>
      </c>
      <c r="D363" s="2" t="s">
        <v>23</v>
      </c>
      <c r="E363" s="2" t="s">
        <v>29</v>
      </c>
      <c r="F363" s="1" t="s">
        <v>76</v>
      </c>
      <c r="G363" s="1" t="s">
        <v>69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1509.8069061135611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1486.0630837107292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0.65026933258622366</v>
      </c>
      <c r="R363" s="1">
        <v>84</v>
      </c>
      <c r="S363" s="1">
        <v>92</v>
      </c>
      <c r="T363" s="1">
        <v>1</v>
      </c>
      <c r="U363" s="1">
        <f>Games[[#This Row],[PointsFor]]-Games[[#This Row],[PointsAgainst]]</f>
        <v>-8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0.34270308060047083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72.099999999999994</v>
      </c>
      <c r="Z363" s="4">
        <f>Games[[#This Row],[K]]*Games[[#This Row],[POMult]]</f>
        <v>72.099999999999994</v>
      </c>
      <c r="AA363" s="4">
        <f>(Games[[#This Row],[Keff]]*Games[[#This Row],[MOVMult]])*(Games[[#This Row],[Result]]-Games[[#This Row],[ExpectedWin%]])</f>
        <v>-16.06743478215612</v>
      </c>
      <c r="AB363" s="4">
        <f>Games[[#This Row],[PreGmRate]]+Games[[#This Row],[RatingChange]]</f>
        <v>1493.739471331405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39656</v>
      </c>
      <c r="B364" s="2">
        <v>2008</v>
      </c>
      <c r="C364" s="2">
        <f>COUNTIFS(Games[Team],Games[[#This Row],[Team]],Games[Season],Games[[#This Row],[Season]],Games[Date],"&lt;=" &amp; Games[[#This Row],[Date]])</f>
        <v>26</v>
      </c>
      <c r="D364" s="2" t="s">
        <v>23</v>
      </c>
      <c r="E364" s="2" t="s">
        <v>29</v>
      </c>
      <c r="F364" s="1" t="s">
        <v>78</v>
      </c>
      <c r="G364" s="1" t="s">
        <v>44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-1</v>
      </c>
      <c r="L364" s="2">
        <f>Games[[#This Row],[OppDaysOff]]-Games[[#This Row],[DaysOff]]</f>
        <v>1</v>
      </c>
      <c r="M364" s="1">
        <f>MAX(-16, MIN(16, Games[[#This Row],[RestDiff]]*8))</f>
        <v>-8</v>
      </c>
      <c r="N364" s="1">
        <f>MAX(-16, MIN(16, Games[[#This Row],[OppRestDiff]]*8))</f>
        <v>8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1482.9304314498081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1529.5663205117735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0.30067113237502446</v>
      </c>
      <c r="R364" s="1">
        <v>88</v>
      </c>
      <c r="S364" s="1">
        <v>84</v>
      </c>
      <c r="T364" s="1">
        <v>0</v>
      </c>
      <c r="U364" s="1">
        <f>Games[[#This Row],[PointsFor]]-Games[[#This Row],[PointsAgainst]]</f>
        <v>4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0.29978222604024446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72.099999999999994</v>
      </c>
      <c r="Z364" s="4">
        <f>Games[[#This Row],[K]]*Games[[#This Row],[POMult]]</f>
        <v>72.099999999999994</v>
      </c>
      <c r="AA364" s="4">
        <f>(Games[[#This Row],[Keff]]*Games[[#This Row],[MOVMult]])*(Games[[#This Row],[Result]]-Games[[#This Row],[ExpectedWin%]])</f>
        <v>15.115502892766022</v>
      </c>
      <c r="AB364" s="4">
        <f>Games[[#This Row],[PreGmRate]]+Games[[#This Row],[RatingChange]]</f>
        <v>1498.0459343425741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39656</v>
      </c>
      <c r="B365" s="2">
        <v>2008</v>
      </c>
      <c r="C365" s="2">
        <f>COUNTIFS(Games[Team],Games[[#This Row],[Team]],Games[Season],Games[[#This Row],[Season]],Games[Date],"&lt;=" &amp; Games[[#This Row],[Date]])</f>
        <v>27</v>
      </c>
      <c r="D365" s="2" t="s">
        <v>23</v>
      </c>
      <c r="E365" s="2" t="s">
        <v>29</v>
      </c>
      <c r="F365" s="1" t="s">
        <v>44</v>
      </c>
      <c r="G365" s="1" t="s">
        <v>78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5" s="2">
        <f>Games[[#This Row],[DaysOff]]-Games[[#This Row],[OppDaysOff]]</f>
        <v>1</v>
      </c>
      <c r="L365" s="2">
        <f>Games[[#This Row],[OppDaysOff]]-Games[[#This Row],[DaysOff]]</f>
        <v>-1</v>
      </c>
      <c r="M365" s="1">
        <f>MAX(-16, MIN(16, Games[[#This Row],[RestDiff]]*8))</f>
        <v>8</v>
      </c>
      <c r="N365" s="1">
        <f>MAX(-16, MIN(16, Games[[#This Row],[OppRestDiff]]*8))</f>
        <v>-8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1529.5663205117735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1482.9304314498081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0.69932886762497559</v>
      </c>
      <c r="R365" s="1">
        <v>84</v>
      </c>
      <c r="S365" s="1">
        <v>88</v>
      </c>
      <c r="T365" s="1">
        <v>0</v>
      </c>
      <c r="U365" s="1">
        <f>Games[[#This Row],[PointsFor]]-Games[[#This Row],[PointsAgainst]]</f>
        <v>-4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0.29978222604024446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71.95</v>
      </c>
      <c r="Z365" s="4">
        <f>Games[[#This Row],[K]]*Games[[#This Row],[POMult]]</f>
        <v>71.95</v>
      </c>
      <c r="AA365" s="4">
        <f>(Games[[#This Row],[Keff]]*Games[[#This Row],[MOVMult]])*(Games[[#This Row],[Result]]-Games[[#This Row],[ExpectedWin%]])</f>
        <v>-15.084055938065401</v>
      </c>
      <c r="AB365" s="4">
        <f>Games[[#This Row],[PreGmRate]]+Games[[#This Row],[RatingChange]]</f>
        <v>1514.4822645737081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39656</v>
      </c>
      <c r="B366" s="2">
        <v>2008</v>
      </c>
      <c r="C366" s="2">
        <f>COUNTIFS(Games[Team],Games[[#This Row],[Team]],Games[Season],Games[[#This Row],[Season]],Games[Date],"&lt;=" &amp; Games[[#This Row],[Date]])</f>
        <v>27</v>
      </c>
      <c r="D366" s="2" t="s">
        <v>23</v>
      </c>
      <c r="E366" s="2" t="s">
        <v>29</v>
      </c>
      <c r="F366" s="1" t="s">
        <v>45</v>
      </c>
      <c r="G366" s="1" t="s">
        <v>80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-1</v>
      </c>
      <c r="L366" s="2">
        <f>Games[[#This Row],[OppDaysOff]]-Games[[#This Row],[DaysOff]]</f>
        <v>1</v>
      </c>
      <c r="M366" s="1">
        <f>MAX(-16, MIN(16, Games[[#This Row],[RestDiff]]*8))</f>
        <v>-8</v>
      </c>
      <c r="N366" s="1">
        <f>MAX(-16, MIN(16, Games[[#This Row],[OppRestDiff]]*8))</f>
        <v>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1538.7384306307104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1559.3252311619754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0.33310976135172271</v>
      </c>
      <c r="R366" s="1">
        <v>71</v>
      </c>
      <c r="S366" s="1">
        <v>77</v>
      </c>
      <c r="T366" s="1">
        <v>0</v>
      </c>
      <c r="U366" s="1">
        <f>Games[[#This Row],[PointsFor]]-Games[[#This Row],[PointsAgainst]]</f>
        <v>-6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0.34535594938902703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71.95</v>
      </c>
      <c r="Z366" s="4">
        <f>Games[[#This Row],[K]]*Games[[#This Row],[POMult]]</f>
        <v>71.95</v>
      </c>
      <c r="AA366" s="4">
        <f>(Games[[#This Row],[Keff]]*Games[[#This Row],[MOVMult]])*(Games[[#This Row],[Result]]-Games[[#This Row],[ExpectedWin%]])</f>
        <v>-8.2772314556369828</v>
      </c>
      <c r="AB366" s="4">
        <f>Games[[#This Row],[PreGmRate]]+Games[[#This Row],[RatingChange]]</f>
        <v>1530.4611991750733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39656</v>
      </c>
      <c r="B367" s="2">
        <v>2008</v>
      </c>
      <c r="C367" s="2">
        <f>COUNTIFS(Games[Team],Games[[#This Row],[Team]],Games[Season],Games[[#This Row],[Season]],Games[Date],"&lt;=" &amp; Games[[#This Row],[Date]])</f>
        <v>26</v>
      </c>
      <c r="D367" s="2" t="s">
        <v>23</v>
      </c>
      <c r="E367" s="2" t="s">
        <v>29</v>
      </c>
      <c r="F367" s="1" t="s">
        <v>80</v>
      </c>
      <c r="G367" s="1" t="s">
        <v>45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7" s="2">
        <f>Games[[#This Row],[DaysOff]]-Games[[#This Row],[OppDaysOff]]</f>
        <v>1</v>
      </c>
      <c r="L367" s="2">
        <f>Games[[#This Row],[OppDaysOff]]-Games[[#This Row],[DaysOff]]</f>
        <v>-1</v>
      </c>
      <c r="M367" s="1">
        <f>MAX(-16, MIN(16, Games[[#This Row],[RestDiff]]*8))</f>
        <v>8</v>
      </c>
      <c r="N367" s="1">
        <f>MAX(-16, MIN(16, Games[[#This Row],[OppRestDiff]]*8))</f>
        <v>-8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1559.3252311619754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1538.7384306307104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0.66689023864827723</v>
      </c>
      <c r="R367" s="1">
        <v>77</v>
      </c>
      <c r="S367" s="1">
        <v>71</v>
      </c>
      <c r="T367" s="1">
        <v>0</v>
      </c>
      <c r="U367" s="1">
        <f>Games[[#This Row],[PointsFor]]-Games[[#This Row],[PointsAgainst]]</f>
        <v>6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0.34535594938902703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72.099999999999994</v>
      </c>
      <c r="Z367" s="4">
        <f>Games[[#This Row],[K]]*Games[[#This Row],[POMult]]</f>
        <v>72.099999999999994</v>
      </c>
      <c r="AA367" s="4">
        <f>(Games[[#This Row],[Keff]]*Games[[#This Row],[MOVMult]])*(Games[[#This Row],[Result]]-Games[[#This Row],[ExpectedWin%]])</f>
        <v>8.2944876713193416</v>
      </c>
      <c r="AB367" s="4">
        <f>Games[[#This Row],[PreGmRate]]+Games[[#This Row],[RatingChange]]</f>
        <v>1567.6197188332947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39656</v>
      </c>
      <c r="B368" s="2">
        <v>2008</v>
      </c>
      <c r="C368" s="2">
        <f>COUNTIFS(Games[Team],Games[[#This Row],[Team]],Games[Season],Games[[#This Row],[Season]],Games[Date],"&lt;=" &amp; Games[[#This Row],[Date]])</f>
        <v>26</v>
      </c>
      <c r="D368" s="2" t="s">
        <v>23</v>
      </c>
      <c r="E368" s="2" t="s">
        <v>29</v>
      </c>
      <c r="F368" s="1" t="s">
        <v>85</v>
      </c>
      <c r="G368" s="1" t="s">
        <v>72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1</v>
      </c>
      <c r="L368" s="2">
        <f>Games[[#This Row],[OppDaysOff]]-Games[[#This Row],[DaysOff]]</f>
        <v>-1</v>
      </c>
      <c r="M368" s="1">
        <f>MAX(-16, MIN(16, Games[[#This Row],[RestDiff]]*8))</f>
        <v>8</v>
      </c>
      <c r="N368" s="1">
        <f>MAX(-16, MIN(16, Games[[#This Row],[OppRestDiff]]*8))</f>
        <v>-8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1547.143953136434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1448.12913457329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0.54451572975022666</v>
      </c>
      <c r="R368" s="1">
        <v>82</v>
      </c>
      <c r="S368" s="1">
        <v>60</v>
      </c>
      <c r="T368" s="1">
        <v>0</v>
      </c>
      <c r="U368" s="1">
        <f>Games[[#This Row],[PointsFor]]-Games[[#This Row],[PointsAgainst]]</f>
        <v>22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0.55616563818982256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72.099999999999994</v>
      </c>
      <c r="Z368" s="4">
        <f>Games[[#This Row],[K]]*Games[[#This Row],[POMult]]</f>
        <v>72.099999999999994</v>
      </c>
      <c r="AA368" s="4">
        <f>(Games[[#This Row],[Keff]]*Games[[#This Row],[MOVMult]])*(Games[[#This Row],[Result]]-Games[[#This Row],[ExpectedWin%]])</f>
        <v>18.264710859105026</v>
      </c>
      <c r="AB368" s="4">
        <f>Games[[#This Row],[PreGmRate]]+Games[[#This Row],[RatingChange]]</f>
        <v>1565.408663995539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39656</v>
      </c>
      <c r="B369" s="2">
        <v>2008</v>
      </c>
      <c r="C369" s="2">
        <f>COUNTIFS(Games[Team],Games[[#This Row],[Team]],Games[Season],Games[[#This Row],[Season]],Games[Date],"&lt;=" &amp; Games[[#This Row],[Date]])</f>
        <v>26</v>
      </c>
      <c r="D369" s="2" t="s">
        <v>23</v>
      </c>
      <c r="E369" s="2" t="s">
        <v>29</v>
      </c>
      <c r="F369" s="1" t="s">
        <v>72</v>
      </c>
      <c r="G369" s="1" t="s">
        <v>85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9" s="2">
        <f>Games[[#This Row],[DaysOff]]-Games[[#This Row],[OppDaysOff]]</f>
        <v>-1</v>
      </c>
      <c r="L369" s="2">
        <f>Games[[#This Row],[OppDaysOff]]-Games[[#This Row],[DaysOff]]</f>
        <v>1</v>
      </c>
      <c r="M369" s="1">
        <f>MAX(-16, MIN(16, Games[[#This Row],[RestDiff]]*8))</f>
        <v>-8</v>
      </c>
      <c r="N369" s="1">
        <f>MAX(-16, MIN(16, Games[[#This Row],[OppRestDiff]]*8))</f>
        <v>8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1448.12913457329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1547.143953136434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0.45548427024977345</v>
      </c>
      <c r="R369" s="1">
        <v>60</v>
      </c>
      <c r="S369" s="1">
        <v>82</v>
      </c>
      <c r="T369" s="1">
        <v>0</v>
      </c>
      <c r="U369" s="1">
        <f>Games[[#This Row],[PointsFor]]-Games[[#This Row],[PointsAgainst]]</f>
        <v>-22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0.55616563818982256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72.099999999999994</v>
      </c>
      <c r="Z369" s="4">
        <f>Games[[#This Row],[K]]*Games[[#This Row],[POMult]]</f>
        <v>72.099999999999994</v>
      </c>
      <c r="AA369" s="4">
        <f>(Games[[#This Row],[Keff]]*Games[[#This Row],[MOVMult]])*(Games[[#This Row],[Result]]-Games[[#This Row],[ExpectedWin%]])</f>
        <v>-18.26471085910503</v>
      </c>
      <c r="AB369" s="4">
        <f>Games[[#This Row],[PreGmRate]]+Games[[#This Row],[RatingChange]]</f>
        <v>1429.864423714185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39688</v>
      </c>
      <c r="B370" s="2">
        <v>2008</v>
      </c>
      <c r="C370" s="2">
        <f>COUNTIFS(Games[Team],Games[[#This Row],[Team]],Games[Season],Games[[#This Row],[Season]],Games[Date],"&lt;=" &amp; Games[[#This Row],[Date]])</f>
        <v>27</v>
      </c>
      <c r="D370" s="2" t="s">
        <v>23</v>
      </c>
      <c r="E370" s="2" t="s">
        <v>29</v>
      </c>
      <c r="F370" s="1" t="s">
        <v>85</v>
      </c>
      <c r="G370" s="1" t="s">
        <v>78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1565.408663995539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1498.0459343425741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0.47607532743312631</v>
      </c>
      <c r="R370" s="1">
        <v>84</v>
      </c>
      <c r="S370" s="1">
        <v>58</v>
      </c>
      <c r="T370" s="1">
        <v>0</v>
      </c>
      <c r="U370" s="1">
        <f>Games[[#This Row],[PointsFor]]-Games[[#This Row],[PointsAgainst]]</f>
        <v>26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0.61932139730440849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71.95</v>
      </c>
      <c r="Z370" s="4">
        <f>Games[[#This Row],[K]]*Games[[#This Row],[POMult]]</f>
        <v>71.95</v>
      </c>
      <c r="AA370" s="4">
        <f>(Games[[#This Row],[Keff]]*Games[[#This Row],[MOVMult]])*(Games[[#This Row],[Result]]-Games[[#This Row],[ExpectedWin%]])</f>
        <v>23.346174853323888</v>
      </c>
      <c r="AB370" s="4">
        <f>Games[[#This Row],[PreGmRate]]+Games[[#This Row],[RatingChange]]</f>
        <v>1588.7548388488628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39688</v>
      </c>
      <c r="B371" s="2">
        <v>2008</v>
      </c>
      <c r="C371" s="2">
        <f>COUNTIFS(Games[Team],Games[[#This Row],[Team]],Games[Season],Games[[#This Row],[Season]],Games[Date],"&lt;=" &amp; Games[[#This Row],[Date]])</f>
        <v>27</v>
      </c>
      <c r="D371" s="2" t="s">
        <v>23</v>
      </c>
      <c r="E371" s="2" t="s">
        <v>29</v>
      </c>
      <c r="F371" s="1" t="s">
        <v>78</v>
      </c>
      <c r="G371" s="1" t="s">
        <v>85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1498.0459343425741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1565.408663995539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0.52392467256687381</v>
      </c>
      <c r="R371" s="1">
        <v>58</v>
      </c>
      <c r="S371" s="1">
        <v>84</v>
      </c>
      <c r="T371" s="1">
        <v>0</v>
      </c>
      <c r="U371" s="1">
        <f>Games[[#This Row],[PointsFor]]-Games[[#This Row],[PointsAgainst]]</f>
        <v>-26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0.61932139730440849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71.95</v>
      </c>
      <c r="Z371" s="4">
        <f>Games[[#This Row],[K]]*Games[[#This Row],[POMult]]</f>
        <v>71.95</v>
      </c>
      <c r="AA371" s="4">
        <f>(Games[[#This Row],[Keff]]*Games[[#This Row],[MOVMult]])*(Games[[#This Row],[Result]]-Games[[#This Row],[ExpectedWin%]])</f>
        <v>-23.346174853323895</v>
      </c>
      <c r="AB371" s="4">
        <f>Games[[#This Row],[PreGmRate]]+Games[[#This Row],[RatingChange]]</f>
        <v>1474.6997594892503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39688</v>
      </c>
      <c r="B372" s="2">
        <v>2008</v>
      </c>
      <c r="C372" s="2">
        <f>COUNTIFS(Games[Team],Games[[#This Row],[Team]],Games[Season],Games[[#This Row],[Season]],Games[Date],"&lt;=" &amp; Games[[#This Row],[Date]])</f>
        <v>28</v>
      </c>
      <c r="D372" s="2" t="s">
        <v>23</v>
      </c>
      <c r="E372" s="2" t="s">
        <v>29</v>
      </c>
      <c r="F372" s="1" t="s">
        <v>45</v>
      </c>
      <c r="G372" s="1" t="s">
        <v>69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1530.4611991750733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1502.0970910973608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0.42061093798329124</v>
      </c>
      <c r="R372" s="1">
        <v>63</v>
      </c>
      <c r="S372" s="1">
        <v>78</v>
      </c>
      <c r="T372" s="1">
        <v>0</v>
      </c>
      <c r="U372" s="1">
        <f>Games[[#This Row],[PointsFor]]-Games[[#This Row],[PointsAgainst]]</f>
        <v>-15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0.49123678369177892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71.8</v>
      </c>
      <c r="Z372" s="4">
        <f>Games[[#This Row],[K]]*Games[[#This Row],[POMult]]</f>
        <v>71.8</v>
      </c>
      <c r="AA372" s="4">
        <f>(Games[[#This Row],[Keff]]*Games[[#This Row],[MOVMult]])*(Games[[#This Row],[Result]]-Games[[#This Row],[ExpectedWin%]])</f>
        <v>-14.83528472108349</v>
      </c>
      <c r="AB372" s="4">
        <f>Games[[#This Row],[PreGmRate]]+Games[[#This Row],[RatingChange]]</f>
        <v>1515.6259144539897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39688</v>
      </c>
      <c r="B373" s="2">
        <v>2008</v>
      </c>
      <c r="C373" s="2">
        <f>COUNTIFS(Games[Team],Games[[#This Row],[Team]],Games[Season],Games[[#This Row],[Season]],Games[Date],"&lt;=" &amp; Games[[#This Row],[Date]])</f>
        <v>28</v>
      </c>
      <c r="D373" s="2" t="s">
        <v>23</v>
      </c>
      <c r="E373" s="2" t="s">
        <v>29</v>
      </c>
      <c r="F373" s="1" t="s">
        <v>69</v>
      </c>
      <c r="G373" s="1" t="s">
        <v>45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1502.0970910973608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1530.4611991750733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0.57938906201670881</v>
      </c>
      <c r="R373" s="1">
        <v>78</v>
      </c>
      <c r="S373" s="1">
        <v>63</v>
      </c>
      <c r="T373" s="1">
        <v>0</v>
      </c>
      <c r="U373" s="1">
        <f>Games[[#This Row],[PointsFor]]-Games[[#This Row],[PointsAgainst]]</f>
        <v>15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0.49123678369177892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71.8</v>
      </c>
      <c r="Z373" s="4">
        <f>Games[[#This Row],[K]]*Games[[#This Row],[POMult]]</f>
        <v>71.8</v>
      </c>
      <c r="AA373" s="4">
        <f>(Games[[#This Row],[Keff]]*Games[[#This Row],[MOVMult]])*(Games[[#This Row],[Result]]-Games[[#This Row],[ExpectedWin%]])</f>
        <v>14.835284721083488</v>
      </c>
      <c r="AB373" s="4">
        <f>Games[[#This Row],[PreGmRate]]+Games[[#This Row],[RatingChange]]</f>
        <v>1516.9323758184444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39688</v>
      </c>
      <c r="B374" s="2">
        <v>2008</v>
      </c>
      <c r="C374" s="2">
        <f>COUNTIFS(Games[Team],Games[[#This Row],[Team]],Games[Season],Games[[#This Row],[Season]],Games[Date],"&lt;=" &amp; Games[[#This Row],[Date]])</f>
        <v>26</v>
      </c>
      <c r="D374" s="2" t="s">
        <v>23</v>
      </c>
      <c r="E374" s="2" t="s">
        <v>29</v>
      </c>
      <c r="F374" s="1" t="s">
        <v>86</v>
      </c>
      <c r="G374" s="1" t="s">
        <v>66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32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4" s="2">
        <f>Games[[#This Row],[DaysOff]]-Games[[#This Row],[OppDaysOff]]</f>
        <v>1</v>
      </c>
      <c r="L374" s="2">
        <f>Games[[#This Row],[OppDaysOff]]-Games[[#This Row],[DaysOff]]</f>
        <v>-1</v>
      </c>
      <c r="M374" s="1">
        <f>MAX(-16, MIN(16, Games[[#This Row],[RestDiff]]*8))</f>
        <v>8</v>
      </c>
      <c r="N374" s="1">
        <f>MAX(-16, MIN(16, Games[[#This Row],[OppRestDiff]]*8))</f>
        <v>-8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1419.2961065849834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1552.3956518939567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0.23909964170988179</v>
      </c>
      <c r="R374" s="1">
        <v>69</v>
      </c>
      <c r="S374" s="1">
        <v>60</v>
      </c>
      <c r="T374" s="1">
        <v>0</v>
      </c>
      <c r="U374" s="1">
        <f>Games[[#This Row],[PointsFor]]-Games[[#This Row],[PointsAgainst]]</f>
        <v>9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0.36543845078259374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72.099999999999994</v>
      </c>
      <c r="Z374" s="4">
        <f>Games[[#This Row],[K]]*Games[[#This Row],[POMult]]</f>
        <v>72.099999999999994</v>
      </c>
      <c r="AA374" s="4">
        <f>(Games[[#This Row],[Keff]]*Games[[#This Row],[MOVMult]])*(Games[[#This Row],[Result]]-Games[[#This Row],[ExpectedWin%]])</f>
        <v>20.04828809042256</v>
      </c>
      <c r="AB374" s="4">
        <f>Games[[#This Row],[PreGmRate]]+Games[[#This Row],[RatingChange]]</f>
        <v>1439.344394675406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39688</v>
      </c>
      <c r="B375" s="2">
        <v>2008</v>
      </c>
      <c r="C375" s="2">
        <f>COUNTIFS(Games[Team],Games[[#This Row],[Team]],Games[Season],Games[[#This Row],[Season]],Games[Date],"&lt;=" &amp; Games[[#This Row],[Date]])</f>
        <v>26</v>
      </c>
      <c r="D375" s="2" t="s">
        <v>23</v>
      </c>
      <c r="E375" s="2" t="s">
        <v>29</v>
      </c>
      <c r="F375" s="1" t="s">
        <v>66</v>
      </c>
      <c r="G375" s="1" t="s">
        <v>86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32</v>
      </c>
      <c r="K375" s="2">
        <f>Games[[#This Row],[DaysOff]]-Games[[#This Row],[OppDaysOff]]</f>
        <v>-1</v>
      </c>
      <c r="L375" s="2">
        <f>Games[[#This Row],[OppDaysOff]]-Games[[#This Row],[DaysOff]]</f>
        <v>1</v>
      </c>
      <c r="M375" s="1">
        <f>MAX(-16, MIN(16, Games[[#This Row],[RestDiff]]*8))</f>
        <v>-8</v>
      </c>
      <c r="N375" s="1">
        <f>MAX(-16, MIN(16, Games[[#This Row],[OppRestDiff]]*8))</f>
        <v>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1552.3956518939567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1419.2961065849834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0.76090035829011826</v>
      </c>
      <c r="R375" s="1">
        <v>60</v>
      </c>
      <c r="S375" s="1">
        <v>69</v>
      </c>
      <c r="T375" s="1">
        <v>0</v>
      </c>
      <c r="U375" s="1">
        <f>Games[[#This Row],[PointsFor]]-Games[[#This Row],[PointsAgainst]]</f>
        <v>-9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0.36543845078259374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72.099999999999994</v>
      </c>
      <c r="Z375" s="4">
        <f>Games[[#This Row],[K]]*Games[[#This Row],[POMult]]</f>
        <v>72.099999999999994</v>
      </c>
      <c r="AA375" s="4">
        <f>(Games[[#This Row],[Keff]]*Games[[#This Row],[MOVMult]])*(Games[[#This Row],[Result]]-Games[[#This Row],[ExpectedWin%]])</f>
        <v>-20.04828809042256</v>
      </c>
      <c r="AB375" s="4">
        <f>Games[[#This Row],[PreGmRate]]+Games[[#This Row],[RatingChange]]</f>
        <v>1532.3473638035341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39688</v>
      </c>
      <c r="B376" s="2">
        <v>2008</v>
      </c>
      <c r="C376" s="2">
        <f>COUNTIFS(Games[Team],Games[[#This Row],[Team]],Games[Season],Games[[#This Row],[Season]],Games[Date],"&lt;=" &amp; Games[[#This Row],[Date]])</f>
        <v>28</v>
      </c>
      <c r="D376" s="2" t="s">
        <v>23</v>
      </c>
      <c r="E376" s="2" t="s">
        <v>29</v>
      </c>
      <c r="F376" s="1" t="s">
        <v>83</v>
      </c>
      <c r="G376" s="1" t="s">
        <v>44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1580.7458276920838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1514.4822645737081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0.47449736545874288</v>
      </c>
      <c r="R376" s="1">
        <v>77</v>
      </c>
      <c r="S376" s="1">
        <v>55</v>
      </c>
      <c r="T376" s="1">
        <v>0</v>
      </c>
      <c r="U376" s="1">
        <f>Games[[#This Row],[PointsFor]]-Games[[#This Row],[PointsAgainst]]</f>
        <v>22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0.57055057622049599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71.8</v>
      </c>
      <c r="Z376" s="4">
        <f>Games[[#This Row],[K]]*Games[[#This Row],[POMult]]</f>
        <v>71.8</v>
      </c>
      <c r="AA376" s="4">
        <f>(Games[[#This Row],[Keff]]*Games[[#This Row],[MOVMult]])*(Games[[#This Row],[Result]]-Games[[#This Row],[ExpectedWin%]])</f>
        <v>21.52749466170043</v>
      </c>
      <c r="AB376" s="4">
        <f>Games[[#This Row],[PreGmRate]]+Games[[#This Row],[RatingChange]]</f>
        <v>1602.2733223537844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39688</v>
      </c>
      <c r="B377" s="2">
        <v>2008</v>
      </c>
      <c r="C377" s="2">
        <f>COUNTIFS(Games[Team],Games[[#This Row],[Team]],Games[Season],Games[[#This Row],[Season]],Games[Date],"&lt;=" &amp; Games[[#This Row],[Date]])</f>
        <v>28</v>
      </c>
      <c r="D377" s="2" t="s">
        <v>23</v>
      </c>
      <c r="E377" s="2" t="s">
        <v>29</v>
      </c>
      <c r="F377" s="1" t="s">
        <v>44</v>
      </c>
      <c r="G377" s="1" t="s">
        <v>83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1514.4822645737081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1580.7458276920838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0.52550263454125723</v>
      </c>
      <c r="R377" s="1">
        <v>55</v>
      </c>
      <c r="S377" s="1">
        <v>77</v>
      </c>
      <c r="T377" s="1">
        <v>0</v>
      </c>
      <c r="U377" s="1">
        <f>Games[[#This Row],[PointsFor]]-Games[[#This Row],[PointsAgainst]]</f>
        <v>-22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0.57055057622049599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71.8</v>
      </c>
      <c r="Z377" s="4">
        <f>Games[[#This Row],[K]]*Games[[#This Row],[POMult]]</f>
        <v>71.8</v>
      </c>
      <c r="AA377" s="4">
        <f>(Games[[#This Row],[Keff]]*Games[[#This Row],[MOVMult]])*(Games[[#This Row],[Result]]-Games[[#This Row],[ExpectedWin%]])</f>
        <v>-21.527494661700437</v>
      </c>
      <c r="AB377" s="4">
        <f>Games[[#This Row],[PreGmRate]]+Games[[#This Row],[RatingChange]]</f>
        <v>1492.9547699120076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39688</v>
      </c>
      <c r="B378" s="2">
        <v>2008</v>
      </c>
      <c r="C378" s="2">
        <f>COUNTIFS(Games[Team],Games[[#This Row],[Team]],Games[Season],Games[[#This Row],[Season]],Games[Date],"&lt;=" &amp; Games[[#This Row],[Date]])</f>
        <v>27</v>
      </c>
      <c r="D378" s="2" t="s">
        <v>23</v>
      </c>
      <c r="E378" s="2" t="s">
        <v>29</v>
      </c>
      <c r="F378" s="1" t="s">
        <v>2</v>
      </c>
      <c r="G378" s="1" t="s">
        <v>80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32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78" s="2">
        <f>Games[[#This Row],[DaysOff]]-Games[[#This Row],[OppDaysOff]]</f>
        <v>1</v>
      </c>
      <c r="L378" s="2">
        <f>Games[[#This Row],[OppDaysOff]]-Games[[#This Row],[DaysOff]]</f>
        <v>-1</v>
      </c>
      <c r="M378" s="1">
        <f>MAX(-16, MIN(16, Games[[#This Row],[RestDiff]]*8))</f>
        <v>8</v>
      </c>
      <c r="N378" s="1">
        <f>MAX(-16, MIN(16, Games[[#This Row],[OppRestDiff]]*8))</f>
        <v>-8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1526.0412700057027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1567.6197188332947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0.34733273119591207</v>
      </c>
      <c r="R378" s="1">
        <v>49</v>
      </c>
      <c r="S378" s="1">
        <v>66</v>
      </c>
      <c r="T378" s="1">
        <v>0</v>
      </c>
      <c r="U378" s="1">
        <f>Games[[#This Row],[PointsFor]]-Games[[#This Row],[PointsAgainst]]</f>
        <v>-17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0.51461144763082134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71.95</v>
      </c>
      <c r="Z378" s="4">
        <f>Games[[#This Row],[K]]*Games[[#This Row],[POMult]]</f>
        <v>71.95</v>
      </c>
      <c r="AA378" s="4">
        <f>(Games[[#This Row],[Keff]]*Games[[#This Row],[MOVMult]])*(Games[[#This Row],[Result]]-Games[[#This Row],[ExpectedWin%]])</f>
        <v>-12.860443701960744</v>
      </c>
      <c r="AB378" s="4">
        <f>Games[[#This Row],[PreGmRate]]+Games[[#This Row],[RatingChange]]</f>
        <v>1513.1808263037419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39688</v>
      </c>
      <c r="B379" s="2">
        <v>2008</v>
      </c>
      <c r="C379" s="2">
        <f>COUNTIFS(Games[Team],Games[[#This Row],[Team]],Games[Season],Games[[#This Row],[Season]],Games[Date],"&lt;=" &amp; Games[[#This Row],[Date]])</f>
        <v>27</v>
      </c>
      <c r="D379" s="2" t="s">
        <v>23</v>
      </c>
      <c r="E379" s="2" t="s">
        <v>29</v>
      </c>
      <c r="F379" s="1" t="s">
        <v>80</v>
      </c>
      <c r="G379" s="1" t="s">
        <v>2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32</v>
      </c>
      <c r="K379" s="2">
        <f>Games[[#This Row],[DaysOff]]-Games[[#This Row],[OppDaysOff]]</f>
        <v>-1</v>
      </c>
      <c r="L379" s="2">
        <f>Games[[#This Row],[OppDaysOff]]-Games[[#This Row],[DaysOff]]</f>
        <v>1</v>
      </c>
      <c r="M379" s="1">
        <f>MAX(-16, MIN(16, Games[[#This Row],[RestDiff]]*8))</f>
        <v>-8</v>
      </c>
      <c r="N379" s="1">
        <f>MAX(-16, MIN(16, Games[[#This Row],[OppRestDiff]]*8))</f>
        <v>8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1567.6197188332947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1526.0412700057027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0.6526672688040881</v>
      </c>
      <c r="R379" s="1">
        <v>66</v>
      </c>
      <c r="S379" s="1">
        <v>49</v>
      </c>
      <c r="T379" s="1">
        <v>0</v>
      </c>
      <c r="U379" s="1">
        <f>Games[[#This Row],[PointsFor]]-Games[[#This Row],[PointsAgainst]]</f>
        <v>17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0.51461144763082134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71.95</v>
      </c>
      <c r="Z379" s="4">
        <f>Games[[#This Row],[K]]*Games[[#This Row],[POMult]]</f>
        <v>71.95</v>
      </c>
      <c r="AA379" s="4">
        <f>(Games[[#This Row],[Keff]]*Games[[#This Row],[MOVMult]])*(Games[[#This Row],[Result]]-Games[[#This Row],[ExpectedWin%]])</f>
        <v>12.860443701960738</v>
      </c>
      <c r="AB379" s="4">
        <f>Games[[#This Row],[PreGmRate]]+Games[[#This Row],[RatingChange]]</f>
        <v>1580.4801625352554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39689</v>
      </c>
      <c r="B380" s="2">
        <v>2008</v>
      </c>
      <c r="C380" s="2">
        <f>COUNTIFS(Games[Team],Games[[#This Row],[Team]],Games[Season],Games[[#This Row],[Season]],Games[Date],"&lt;=" &amp; Games[[#This Row],[Date]])</f>
        <v>28</v>
      </c>
      <c r="D380" s="2" t="s">
        <v>23</v>
      </c>
      <c r="E380" s="2" t="s">
        <v>29</v>
      </c>
      <c r="F380" s="1" t="s">
        <v>85</v>
      </c>
      <c r="G380" s="1" t="s">
        <v>88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32</v>
      </c>
      <c r="K380" s="2">
        <f>Games[[#This Row],[DaysOff]]-Games[[#This Row],[OppDaysOff]]</f>
        <v>-32</v>
      </c>
      <c r="L380" s="2">
        <f>Games[[#This Row],[OppDaysOff]]-Games[[#This Row],[DaysOff]]</f>
        <v>32</v>
      </c>
      <c r="M380" s="1">
        <f>MAX(-16, MIN(16, Games[[#This Row],[RestDiff]]*8))</f>
        <v>-16</v>
      </c>
      <c r="N380" s="1">
        <f>MAX(-16, MIN(16, Games[[#This Row],[OppRestDiff]]*8))</f>
        <v>16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1588.7548388488628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1299.2414357044711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0.73082718977798788</v>
      </c>
      <c r="R380" s="1">
        <v>98</v>
      </c>
      <c r="S380" s="1">
        <v>72</v>
      </c>
      <c r="T380" s="1">
        <v>0</v>
      </c>
      <c r="U380" s="1">
        <f>Games[[#This Row],[PointsFor]]-Games[[#This Row],[PointsAgainst]]</f>
        <v>26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0.52695387296499241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71.8</v>
      </c>
      <c r="Z380" s="4">
        <f>Games[[#This Row],[K]]*Games[[#This Row],[POMult]]</f>
        <v>71.8</v>
      </c>
      <c r="AA380" s="4">
        <f>(Games[[#This Row],[Keff]]*Games[[#This Row],[MOVMult]])*(Games[[#This Row],[Result]]-Games[[#This Row],[ExpectedWin%]])</f>
        <v>10.184230817753262</v>
      </c>
      <c r="AB380" s="4">
        <f>Games[[#This Row],[PreGmRate]]+Games[[#This Row],[RatingChange]]</f>
        <v>1598.9390696666162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39689</v>
      </c>
      <c r="B381" s="2">
        <v>2008</v>
      </c>
      <c r="C381" s="2">
        <f>COUNTIFS(Games[Team],Games[[#This Row],[Team]],Games[Season],Games[[#This Row],[Season]],Games[Date],"&lt;=" &amp; Games[[#This Row],[Date]])</f>
        <v>28</v>
      </c>
      <c r="D381" s="2" t="s">
        <v>23</v>
      </c>
      <c r="E381" s="2" t="s">
        <v>29</v>
      </c>
      <c r="F381" s="1" t="s">
        <v>88</v>
      </c>
      <c r="G381" s="1" t="s">
        <v>85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32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1" s="2">
        <f>Games[[#This Row],[DaysOff]]-Games[[#This Row],[OppDaysOff]]</f>
        <v>32</v>
      </c>
      <c r="L381" s="2">
        <f>Games[[#This Row],[OppDaysOff]]-Games[[#This Row],[DaysOff]]</f>
        <v>-32</v>
      </c>
      <c r="M381" s="1">
        <f>MAX(-16, MIN(16, Games[[#This Row],[RestDiff]]*8))</f>
        <v>16</v>
      </c>
      <c r="N381" s="1">
        <f>MAX(-16, MIN(16, Games[[#This Row],[OppRestDiff]]*8))</f>
        <v>-16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1299.2414357044711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1588.7548388488628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0.26917281022201217</v>
      </c>
      <c r="R381" s="1">
        <v>72</v>
      </c>
      <c r="S381" s="1">
        <v>98</v>
      </c>
      <c r="T381" s="1">
        <v>0</v>
      </c>
      <c r="U381" s="1">
        <f>Games[[#This Row],[PointsFor]]-Games[[#This Row],[PointsAgainst]]</f>
        <v>-26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0.52695387296499241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71.8</v>
      </c>
      <c r="Z381" s="4">
        <f>Games[[#This Row],[K]]*Games[[#This Row],[POMult]]</f>
        <v>71.8</v>
      </c>
      <c r="AA381" s="4">
        <f>(Games[[#This Row],[Keff]]*Games[[#This Row],[MOVMult]])*(Games[[#This Row],[Result]]-Games[[#This Row],[ExpectedWin%]])</f>
        <v>-10.184230817753264</v>
      </c>
      <c r="AB381" s="4">
        <f>Games[[#This Row],[PreGmRate]]+Games[[#This Row],[RatingChange]]</f>
        <v>1289.0572048867177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39689</v>
      </c>
      <c r="B382" s="2">
        <v>2008</v>
      </c>
      <c r="C382" s="2">
        <f>COUNTIFS(Games[Team],Games[[#This Row],[Team]],Games[Season],Games[[#This Row],[Season]],Games[Date],"&lt;=" &amp; Games[[#This Row],[Date]])</f>
        <v>27</v>
      </c>
      <c r="D382" s="2" t="s">
        <v>23</v>
      </c>
      <c r="E382" s="2" t="s">
        <v>29</v>
      </c>
      <c r="F382" s="1" t="s">
        <v>66</v>
      </c>
      <c r="G382" s="1" t="s">
        <v>74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32</v>
      </c>
      <c r="K382" s="2">
        <f>Games[[#This Row],[DaysOff]]-Games[[#This Row],[OppDaysOff]]</f>
        <v>-32</v>
      </c>
      <c r="L382" s="2">
        <f>Games[[#This Row],[OppDaysOff]]-Games[[#This Row],[DaysOff]]</f>
        <v>32</v>
      </c>
      <c r="M382" s="1">
        <f>MAX(-16, MIN(16, Games[[#This Row],[RestDiff]]*8))</f>
        <v>-16</v>
      </c>
      <c r="N382" s="1">
        <f>MAX(-16, MIN(16, Games[[#This Row],[OppRestDiff]]*8))</f>
        <v>16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1532.3473638035341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1546.4974097452232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0.32099479414436688</v>
      </c>
      <c r="R382" s="1">
        <v>69</v>
      </c>
      <c r="S382" s="1">
        <v>83</v>
      </c>
      <c r="T382" s="1">
        <v>0</v>
      </c>
      <c r="U382" s="1">
        <f>Games[[#This Row],[PointsFor]]-Games[[#This Row],[PointsAgainst]]</f>
        <v>-14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0.48192538162538029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71.95</v>
      </c>
      <c r="Z382" s="4">
        <f>Games[[#This Row],[K]]*Games[[#This Row],[POMult]]</f>
        <v>71.95</v>
      </c>
      <c r="AA382" s="4">
        <f>(Games[[#This Row],[Keff]]*Games[[#This Row],[MOVMult]])*(Games[[#This Row],[Result]]-Games[[#This Row],[ExpectedWin%]])</f>
        <v>-11.130344007147087</v>
      </c>
      <c r="AB382" s="4">
        <f>Games[[#This Row],[PreGmRate]]+Games[[#This Row],[RatingChange]]</f>
        <v>1521.2170197963869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39689</v>
      </c>
      <c r="B383" s="2">
        <v>2008</v>
      </c>
      <c r="C383" s="2">
        <f>COUNTIFS(Games[Team],Games[[#This Row],[Team]],Games[Season],Games[[#This Row],[Season]],Games[Date],"&lt;=" &amp; Games[[#This Row],[Date]])</f>
        <v>28</v>
      </c>
      <c r="D383" s="2" t="s">
        <v>23</v>
      </c>
      <c r="E383" s="2" t="s">
        <v>29</v>
      </c>
      <c r="F383" s="1" t="s">
        <v>74</v>
      </c>
      <c r="G383" s="1" t="s">
        <v>66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32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3" s="2">
        <f>Games[[#This Row],[DaysOff]]-Games[[#This Row],[OppDaysOff]]</f>
        <v>32</v>
      </c>
      <c r="L383" s="2">
        <f>Games[[#This Row],[OppDaysOff]]-Games[[#This Row],[DaysOff]]</f>
        <v>-32</v>
      </c>
      <c r="M383" s="1">
        <f>MAX(-16, MIN(16, Games[[#This Row],[RestDiff]]*8))</f>
        <v>16</v>
      </c>
      <c r="N383" s="1">
        <f>MAX(-16, MIN(16, Games[[#This Row],[OppRestDiff]]*8))</f>
        <v>-16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1546.4974097452232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1532.3473638035341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0.67900520585563306</v>
      </c>
      <c r="R383" s="1">
        <v>83</v>
      </c>
      <c r="S383" s="1">
        <v>69</v>
      </c>
      <c r="T383" s="1">
        <v>0</v>
      </c>
      <c r="U383" s="1">
        <f>Games[[#This Row],[PointsFor]]-Games[[#This Row],[PointsAgainst]]</f>
        <v>14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0.48192538162538029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71.8</v>
      </c>
      <c r="Z383" s="4">
        <f>Games[[#This Row],[K]]*Games[[#This Row],[POMult]]</f>
        <v>71.8</v>
      </c>
      <c r="AA383" s="4">
        <f>(Games[[#This Row],[Keff]]*Games[[#This Row],[MOVMult]])*(Games[[#This Row],[Result]]-Games[[#This Row],[ExpectedWin%]])</f>
        <v>11.10713967634692</v>
      </c>
      <c r="AB383" s="4">
        <f>Games[[#This Row],[PreGmRate]]+Games[[#This Row],[RatingChange]]</f>
        <v>1557.60454942157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39689</v>
      </c>
      <c r="B384" s="2">
        <v>2008</v>
      </c>
      <c r="C384" s="2">
        <f>COUNTIFS(Games[Team],Games[[#This Row],[Team]],Games[Season],Games[[#This Row],[Season]],Games[Date],"&lt;=" &amp; Games[[#This Row],[Date]])</f>
        <v>27</v>
      </c>
      <c r="D384" s="2" t="s">
        <v>23</v>
      </c>
      <c r="E384" s="2" t="s">
        <v>29</v>
      </c>
      <c r="F384" s="1" t="s">
        <v>86</v>
      </c>
      <c r="G384" s="1" t="s">
        <v>72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32</v>
      </c>
      <c r="K384" s="2">
        <f>Games[[#This Row],[DaysOff]]-Games[[#This Row],[OppDaysOff]]</f>
        <v>-32</v>
      </c>
      <c r="L384" s="2">
        <f>Games[[#This Row],[OppDaysOff]]-Games[[#This Row],[DaysOff]]</f>
        <v>32</v>
      </c>
      <c r="M384" s="1">
        <f>MAX(-16, MIN(16, Games[[#This Row],[RestDiff]]*8))</f>
        <v>-16</v>
      </c>
      <c r="N384" s="1">
        <f>MAX(-16, MIN(16, Games[[#This Row],[OppRestDiff]]*8))</f>
        <v>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1439.344394675406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1429.864423714185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0.35133446284781938</v>
      </c>
      <c r="R384" s="1">
        <v>79</v>
      </c>
      <c r="S384" s="1">
        <v>75</v>
      </c>
      <c r="T384" s="1">
        <v>0</v>
      </c>
      <c r="U384" s="1">
        <f>Games[[#This Row],[PointsFor]]-Games[[#This Row],[PointsAgainst]]</f>
        <v>4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0.30899170788884245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71.95</v>
      </c>
      <c r="Z384" s="4">
        <f>Games[[#This Row],[K]]*Games[[#This Row],[POMult]]</f>
        <v>71.95</v>
      </c>
      <c r="AA384" s="4">
        <f>(Games[[#This Row],[Keff]]*Games[[#This Row],[MOVMult]])*(Games[[#This Row],[Result]]-Games[[#This Row],[ExpectedWin%]])</f>
        <v>14.421101982867903</v>
      </c>
      <c r="AB384" s="4">
        <f>Games[[#This Row],[PreGmRate]]+Games[[#This Row],[RatingChange]]</f>
        <v>1453.7654966582738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39689</v>
      </c>
      <c r="B385" s="2">
        <v>2008</v>
      </c>
      <c r="C385" s="2">
        <f>COUNTIFS(Games[Team],Games[[#This Row],[Team]],Games[Season],Games[[#This Row],[Season]],Games[Date],"&lt;=" &amp; Games[[#This Row],[Date]])</f>
        <v>27</v>
      </c>
      <c r="D385" s="2" t="s">
        <v>23</v>
      </c>
      <c r="E385" s="2" t="s">
        <v>29</v>
      </c>
      <c r="F385" s="1" t="s">
        <v>72</v>
      </c>
      <c r="G385" s="1" t="s">
        <v>86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32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5" s="2">
        <f>Games[[#This Row],[DaysOff]]-Games[[#This Row],[OppDaysOff]]</f>
        <v>32</v>
      </c>
      <c r="L385" s="2">
        <f>Games[[#This Row],[OppDaysOff]]-Games[[#This Row],[DaysOff]]</f>
        <v>-32</v>
      </c>
      <c r="M385" s="1">
        <f>MAX(-16, MIN(16, Games[[#This Row],[RestDiff]]*8))</f>
        <v>16</v>
      </c>
      <c r="N385" s="1">
        <f>MAX(-16, MIN(16, Games[[#This Row],[OppRestDiff]]*8))</f>
        <v>-16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1429.864423714185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1439.344394675406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0.64866553715218067</v>
      </c>
      <c r="R385" s="1">
        <v>75</v>
      </c>
      <c r="S385" s="1">
        <v>79</v>
      </c>
      <c r="T385" s="1">
        <v>0</v>
      </c>
      <c r="U385" s="1">
        <f>Games[[#This Row],[PointsFor]]-Games[[#This Row],[PointsAgainst]]</f>
        <v>-4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0.30899170788884245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71.95</v>
      </c>
      <c r="Z385" s="4">
        <f>Games[[#This Row],[K]]*Games[[#This Row],[POMult]]</f>
        <v>71.95</v>
      </c>
      <c r="AA385" s="4">
        <f>(Games[[#This Row],[Keff]]*Games[[#This Row],[MOVMult]])*(Games[[#This Row],[Result]]-Games[[#This Row],[ExpectedWin%]])</f>
        <v>-14.421101982867905</v>
      </c>
      <c r="AB385" s="4">
        <f>Games[[#This Row],[PreGmRate]]+Games[[#This Row],[RatingChange]]</f>
        <v>1415.4433217313172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39690</v>
      </c>
      <c r="B386" s="2">
        <v>2008</v>
      </c>
      <c r="C386" s="2">
        <f>COUNTIFS(Games[Team],Games[[#This Row],[Team]],Games[Season],Games[[#This Row],[Season]],Games[Date],"&lt;=" &amp; Games[[#This Row],[Date]])</f>
        <v>29</v>
      </c>
      <c r="D386" s="2" t="s">
        <v>23</v>
      </c>
      <c r="E386" s="2" t="s">
        <v>29</v>
      </c>
      <c r="F386" s="1" t="s">
        <v>88</v>
      </c>
      <c r="G386" s="1" t="s">
        <v>78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-1</v>
      </c>
      <c r="L386" s="2">
        <f>Games[[#This Row],[OppDaysOff]]-Games[[#This Row],[DaysOff]]</f>
        <v>1</v>
      </c>
      <c r="M386" s="1">
        <f>MAX(-16, MIN(16, Games[[#This Row],[RestDiff]]*8))</f>
        <v>-8</v>
      </c>
      <c r="N386" s="1">
        <f>MAX(-16, MIN(16, Games[[#This Row],[OppRestDiff]]*8))</f>
        <v>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1289.0572048867177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1474.6997594892503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0.16188206877177966</v>
      </c>
      <c r="R386" s="1">
        <v>72</v>
      </c>
      <c r="S386" s="1">
        <v>87</v>
      </c>
      <c r="T386" s="1">
        <v>0</v>
      </c>
      <c r="U386" s="1">
        <f>Games[[#This Row],[PointsFor]]-Games[[#This Row],[PointsAgainst]]</f>
        <v>-15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0.43547856671275859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71.650000000000006</v>
      </c>
      <c r="Z386" s="4">
        <f>Games[[#This Row],[K]]*Games[[#This Row],[POMult]]</f>
        <v>71.650000000000006</v>
      </c>
      <c r="AA386" s="4">
        <f>(Games[[#This Row],[Keff]]*Games[[#This Row],[MOVMult]])*(Games[[#This Row],[Result]]-Games[[#This Row],[ExpectedWin%]])</f>
        <v>-5.051050672586789</v>
      </c>
      <c r="AB386" s="4">
        <f>Games[[#This Row],[PreGmRate]]+Games[[#This Row],[RatingChange]]</f>
        <v>1284.0061542141309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39690</v>
      </c>
      <c r="B387" s="2">
        <v>2008</v>
      </c>
      <c r="C387" s="2">
        <f>COUNTIFS(Games[Team],Games[[#This Row],[Team]],Games[Season],Games[[#This Row],[Season]],Games[Date],"&lt;=" &amp; Games[[#This Row],[Date]])</f>
        <v>28</v>
      </c>
      <c r="D387" s="2" t="s">
        <v>23</v>
      </c>
      <c r="E387" s="2" t="s">
        <v>29</v>
      </c>
      <c r="F387" s="1" t="s">
        <v>78</v>
      </c>
      <c r="G387" s="1" t="s">
        <v>88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7" s="2">
        <f>Games[[#This Row],[DaysOff]]-Games[[#This Row],[OppDaysOff]]</f>
        <v>1</v>
      </c>
      <c r="L387" s="2">
        <f>Games[[#This Row],[OppDaysOff]]-Games[[#This Row],[DaysOff]]</f>
        <v>-1</v>
      </c>
      <c r="M387" s="1">
        <f>MAX(-16, MIN(16, Games[[#This Row],[RestDiff]]*8))</f>
        <v>8</v>
      </c>
      <c r="N387" s="1">
        <f>MAX(-16, MIN(16, Games[[#This Row],[OppRestDiff]]*8))</f>
        <v>-8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1474.6997594892503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1289.0572048867177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0.83811793122822043</v>
      </c>
      <c r="R387" s="1">
        <v>87</v>
      </c>
      <c r="S387" s="1">
        <v>72</v>
      </c>
      <c r="T387" s="1">
        <v>0</v>
      </c>
      <c r="U387" s="1">
        <f>Games[[#This Row],[PointsFor]]-Games[[#This Row],[PointsAgainst]]</f>
        <v>15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0.43547856671275859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71.8</v>
      </c>
      <c r="Z387" s="4">
        <f>Games[[#This Row],[K]]*Games[[#This Row],[POMult]]</f>
        <v>71.8</v>
      </c>
      <c r="AA387" s="4">
        <f>(Games[[#This Row],[Keff]]*Games[[#This Row],[MOVMult]])*(Games[[#This Row],[Result]]-Games[[#This Row],[ExpectedWin%]])</f>
        <v>5.0616250982795705</v>
      </c>
      <c r="AB387" s="4">
        <f>Games[[#This Row],[PreGmRate]]+Games[[#This Row],[RatingChange]]</f>
        <v>1479.7613845875298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39690</v>
      </c>
      <c r="B388" s="2">
        <v>2008</v>
      </c>
      <c r="C388" s="2">
        <f>COUNTIFS(Games[Team],Games[[#This Row],[Team]],Games[Season],Games[[#This Row],[Season]],Games[Date],"&lt;=" &amp; Games[[#This Row],[Date]])</f>
        <v>29</v>
      </c>
      <c r="D388" s="2" t="s">
        <v>23</v>
      </c>
      <c r="E388" s="2" t="s">
        <v>29</v>
      </c>
      <c r="F388" s="1" t="s">
        <v>83</v>
      </c>
      <c r="G388" s="1" t="s">
        <v>69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1602.2733223537844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1516.9323758184444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0.50192976760720198</v>
      </c>
      <c r="R388" s="1">
        <v>53</v>
      </c>
      <c r="S388" s="1">
        <v>58</v>
      </c>
      <c r="T388" s="1">
        <v>0</v>
      </c>
      <c r="U388" s="1">
        <f>Games[[#This Row],[PointsFor]]-Games[[#This Row],[PointsAgainst]]</f>
        <v>-5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0.3097288479189918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71.650000000000006</v>
      </c>
      <c r="Z388" s="4">
        <f>Games[[#This Row],[K]]*Games[[#This Row],[POMult]]</f>
        <v>71.650000000000006</v>
      </c>
      <c r="AA388" s="4">
        <f>(Games[[#This Row],[Keff]]*Games[[#This Row],[MOVMult]])*(Games[[#This Row],[Result]]-Games[[#This Row],[ExpectedWin%]])</f>
        <v>-11.138861518290241</v>
      </c>
      <c r="AB388" s="4">
        <f>Games[[#This Row],[PreGmRate]]+Games[[#This Row],[RatingChange]]</f>
        <v>1591.1344608354941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39690</v>
      </c>
      <c r="B389" s="2">
        <v>2008</v>
      </c>
      <c r="C389" s="2">
        <f>COUNTIFS(Games[Team],Games[[#This Row],[Team]],Games[Season],Games[[#This Row],[Season]],Games[Date],"&lt;=" &amp; Games[[#This Row],[Date]])</f>
        <v>29</v>
      </c>
      <c r="D389" s="2" t="s">
        <v>23</v>
      </c>
      <c r="E389" s="2" t="s">
        <v>29</v>
      </c>
      <c r="F389" s="1" t="s">
        <v>69</v>
      </c>
      <c r="G389" s="1" t="s">
        <v>83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1516.9323758184444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1602.2733223537844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0.49807023239279802</v>
      </c>
      <c r="R389" s="1">
        <v>58</v>
      </c>
      <c r="S389" s="1">
        <v>53</v>
      </c>
      <c r="T389" s="1">
        <v>0</v>
      </c>
      <c r="U389" s="1">
        <f>Games[[#This Row],[PointsFor]]-Games[[#This Row],[PointsAgainst]]</f>
        <v>5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0.3097288479189918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71.650000000000006</v>
      </c>
      <c r="Z389" s="4">
        <f>Games[[#This Row],[K]]*Games[[#This Row],[POMult]]</f>
        <v>71.650000000000006</v>
      </c>
      <c r="AA389" s="4">
        <f>(Games[[#This Row],[Keff]]*Games[[#This Row],[MOVMult]])*(Games[[#This Row],[Result]]-Games[[#This Row],[ExpectedWin%]])</f>
        <v>11.138861518290241</v>
      </c>
      <c r="AB389" s="4">
        <f>Games[[#This Row],[PreGmRate]]+Games[[#This Row],[RatingChange]]</f>
        <v>1528.0712373367346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39690</v>
      </c>
      <c r="B390" s="2">
        <v>2008</v>
      </c>
      <c r="C390" s="2">
        <f>COUNTIFS(Games[Team],Games[[#This Row],[Team]],Games[Season],Games[[#This Row],[Season]],Games[Date],"&lt;=" &amp; Games[[#This Row],[Date]])</f>
        <v>28</v>
      </c>
      <c r="D390" s="2" t="s">
        <v>23</v>
      </c>
      <c r="E390" s="2" t="s">
        <v>29</v>
      </c>
      <c r="F390" s="1" t="s">
        <v>72</v>
      </c>
      <c r="G390" s="1" t="s">
        <v>76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33</v>
      </c>
      <c r="K390" s="2">
        <f>Games[[#This Row],[DaysOff]]-Games[[#This Row],[OppDaysOff]]</f>
        <v>-33</v>
      </c>
      <c r="L390" s="2">
        <f>Games[[#This Row],[OppDaysOff]]-Games[[#This Row],[DaysOff]]</f>
        <v>33</v>
      </c>
      <c r="M390" s="1">
        <f>MAX(-16, MIN(16, Games[[#This Row],[RestDiff]]*8))</f>
        <v>-16</v>
      </c>
      <c r="N390" s="1">
        <f>MAX(-16, MIN(16, Games[[#This Row],[OppRestDiff]]*8))</f>
        <v>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1415.4433217313172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1493.739471331405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0.24629731969711108</v>
      </c>
      <c r="R390" s="1">
        <v>78</v>
      </c>
      <c r="S390" s="1">
        <v>92</v>
      </c>
      <c r="T390" s="1">
        <v>0</v>
      </c>
      <c r="U390" s="1">
        <f>Games[[#This Row],[PointsFor]]-Games[[#This Row],[PointsAgainst]]</f>
        <v>-14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0.45774191248559898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71.8</v>
      </c>
      <c r="Z390" s="4">
        <f>Games[[#This Row],[K]]*Games[[#This Row],[POMult]]</f>
        <v>71.8</v>
      </c>
      <c r="AA390" s="4">
        <f>(Games[[#This Row],[Keff]]*Games[[#This Row],[MOVMult]])*(Games[[#This Row],[Result]]-Games[[#This Row],[ExpectedWin%]])</f>
        <v>-8.0947755221611004</v>
      </c>
      <c r="AB390" s="4">
        <f>Games[[#This Row],[PreGmRate]]+Games[[#This Row],[RatingChange]]</f>
        <v>1407.348546209156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39690</v>
      </c>
      <c r="B391" s="2">
        <v>2008</v>
      </c>
      <c r="C391" s="2">
        <f>COUNTIFS(Games[Team],Games[[#This Row],[Team]],Games[Season],Games[[#This Row],[Season]],Games[Date],"&lt;=" &amp; Games[[#This Row],[Date]])</f>
        <v>27</v>
      </c>
      <c r="D391" s="2" t="s">
        <v>23</v>
      </c>
      <c r="E391" s="2" t="s">
        <v>29</v>
      </c>
      <c r="F391" s="1" t="s">
        <v>76</v>
      </c>
      <c r="G391" s="1" t="s">
        <v>72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33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1" s="2">
        <f>Games[[#This Row],[DaysOff]]-Games[[#This Row],[OppDaysOff]]</f>
        <v>33</v>
      </c>
      <c r="L391" s="2">
        <f>Games[[#This Row],[OppDaysOff]]-Games[[#This Row],[DaysOff]]</f>
        <v>-33</v>
      </c>
      <c r="M391" s="1">
        <f>MAX(-16, MIN(16, Games[[#This Row],[RestDiff]]*8))</f>
        <v>16</v>
      </c>
      <c r="N391" s="1">
        <f>MAX(-16, MIN(16, Games[[#This Row],[OppRestDiff]]*8))</f>
        <v>-16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1493.739471331405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1415.4433217313172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0.75370268030288889</v>
      </c>
      <c r="R391" s="1">
        <v>92</v>
      </c>
      <c r="S391" s="1">
        <v>78</v>
      </c>
      <c r="T391" s="1">
        <v>0</v>
      </c>
      <c r="U391" s="1">
        <f>Games[[#This Row],[PointsFor]]-Games[[#This Row],[PointsAgainst]]</f>
        <v>14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0.45774191248559898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71.95</v>
      </c>
      <c r="Z391" s="4">
        <f>Games[[#This Row],[K]]*Games[[#This Row],[POMult]]</f>
        <v>71.95</v>
      </c>
      <c r="AA391" s="4">
        <f>(Games[[#This Row],[Keff]]*Games[[#This Row],[MOVMult]])*(Games[[#This Row],[Result]]-Games[[#This Row],[ExpectedWin%]])</f>
        <v>8.1116866130848386</v>
      </c>
      <c r="AB391" s="4">
        <f>Games[[#This Row],[PreGmRate]]+Games[[#This Row],[RatingChange]]</f>
        <v>1501.8511579444898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39690</v>
      </c>
      <c r="B392" s="2">
        <v>2008</v>
      </c>
      <c r="C392" s="2">
        <f>COUNTIFS(Games[Team],Games[[#This Row],[Team]],Games[Season],Games[[#This Row],[Season]],Games[Date],"&lt;=" &amp; Games[[#This Row],[Date]])</f>
        <v>28</v>
      </c>
      <c r="D392" s="2" t="s">
        <v>23</v>
      </c>
      <c r="E392" s="2" t="s">
        <v>29</v>
      </c>
      <c r="F392" s="1" t="s">
        <v>2</v>
      </c>
      <c r="G392" s="1" t="s">
        <v>45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1513.1808263037419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1515.6259144539897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0.37810062755925788</v>
      </c>
      <c r="R392" s="1">
        <v>65</v>
      </c>
      <c r="S392" s="1">
        <v>80</v>
      </c>
      <c r="T392" s="1">
        <v>0</v>
      </c>
      <c r="U392" s="1">
        <f>Games[[#This Row],[PointsFor]]-Games[[#This Row],[PointsAgainst]]</f>
        <v>-15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0.50182552168163375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71.8</v>
      </c>
      <c r="Z392" s="4">
        <f>Games[[#This Row],[K]]*Games[[#This Row],[POMult]]</f>
        <v>71.8</v>
      </c>
      <c r="AA392" s="4">
        <f>(Games[[#This Row],[Keff]]*Games[[#This Row],[MOVMult]])*(Games[[#This Row],[Result]]-Games[[#This Row],[ExpectedWin%]])</f>
        <v>-13.623371107526976</v>
      </c>
      <c r="AB392" s="4">
        <f>Games[[#This Row],[PreGmRate]]+Games[[#This Row],[RatingChange]]</f>
        <v>1499.557455196215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39690</v>
      </c>
      <c r="B393" s="2">
        <v>2008</v>
      </c>
      <c r="C393" s="2">
        <f>COUNTIFS(Games[Team],Games[[#This Row],[Team]],Games[Season],Games[[#This Row],[Season]],Games[Date],"&lt;=" &amp; Games[[#This Row],[Date]])</f>
        <v>29</v>
      </c>
      <c r="D393" s="2" t="s">
        <v>23</v>
      </c>
      <c r="E393" s="2" t="s">
        <v>29</v>
      </c>
      <c r="F393" s="1" t="s">
        <v>45</v>
      </c>
      <c r="G393" s="1" t="s">
        <v>2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1515.6259144539897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1513.1808263037419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0.621899372440742</v>
      </c>
      <c r="R393" s="1">
        <v>80</v>
      </c>
      <c r="S393" s="1">
        <v>65</v>
      </c>
      <c r="T393" s="1">
        <v>0</v>
      </c>
      <c r="U393" s="1">
        <f>Games[[#This Row],[PointsFor]]-Games[[#This Row],[PointsAgainst]]</f>
        <v>15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0.50182552168163375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71.650000000000006</v>
      </c>
      <c r="Z393" s="4">
        <f>Games[[#This Row],[K]]*Games[[#This Row],[POMult]]</f>
        <v>71.650000000000006</v>
      </c>
      <c r="AA393" s="4">
        <f>(Games[[#This Row],[Keff]]*Games[[#This Row],[MOVMult]])*(Games[[#This Row],[Result]]-Games[[#This Row],[ExpectedWin%]])</f>
        <v>13.594910025826023</v>
      </c>
      <c r="AB393" s="4">
        <f>Games[[#This Row],[PreGmRate]]+Games[[#This Row],[RatingChange]]</f>
        <v>1529.2208244798157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39691</v>
      </c>
      <c r="B394" s="2">
        <v>2008</v>
      </c>
      <c r="C394" s="2">
        <f>COUNTIFS(Games[Team],Games[[#This Row],[Team]],Games[Season],Games[[#This Row],[Season]],Games[Date],"&lt;=" &amp; Games[[#This Row],[Date]])</f>
        <v>29</v>
      </c>
      <c r="D394" s="2" t="s">
        <v>23</v>
      </c>
      <c r="E394" s="2" t="s">
        <v>29</v>
      </c>
      <c r="F394" s="1" t="s">
        <v>74</v>
      </c>
      <c r="G394" s="1" t="s">
        <v>86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1557.60454942157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1453.7654966582738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0.52851970189607345</v>
      </c>
      <c r="R394" s="1">
        <v>81</v>
      </c>
      <c r="S394" s="1">
        <v>82</v>
      </c>
      <c r="T394" s="1">
        <v>1</v>
      </c>
      <c r="U394" s="1">
        <f>Games[[#This Row],[PointsFor]]-Games[[#This Row],[PointsAgainst]]</f>
        <v>-1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0.20225966087118924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71.650000000000006</v>
      </c>
      <c r="Z394" s="4">
        <f>Games[[#This Row],[K]]*Games[[#This Row],[POMult]]</f>
        <v>71.650000000000006</v>
      </c>
      <c r="AA394" s="4">
        <f>(Games[[#This Row],[Keff]]*Games[[#This Row],[MOVMult]])*(Games[[#This Row],[Result]]-Games[[#This Row],[ExpectedWin%]])</f>
        <v>-7.659257152701179</v>
      </c>
      <c r="AB394" s="4">
        <f>Games[[#This Row],[PreGmRate]]+Games[[#This Row],[RatingChange]]</f>
        <v>1549.9452922688688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39691</v>
      </c>
      <c r="B395" s="2">
        <v>2008</v>
      </c>
      <c r="C395" s="2">
        <f>COUNTIFS(Games[Team],Games[[#This Row],[Team]],Games[Season],Games[[#This Row],[Season]],Games[Date],"&lt;=" &amp; Games[[#This Row],[Date]])</f>
        <v>28</v>
      </c>
      <c r="D395" s="2" t="s">
        <v>23</v>
      </c>
      <c r="E395" s="2" t="s">
        <v>29</v>
      </c>
      <c r="F395" s="1" t="s">
        <v>86</v>
      </c>
      <c r="G395" s="1" t="s">
        <v>74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1453.7654966582738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1557.60454942157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0.4714802981039265</v>
      </c>
      <c r="R395" s="1">
        <v>82</v>
      </c>
      <c r="S395" s="1">
        <v>81</v>
      </c>
      <c r="T395" s="1">
        <v>1</v>
      </c>
      <c r="U395" s="1">
        <f>Games[[#This Row],[PointsFor]]-Games[[#This Row],[PointsAgainst]]</f>
        <v>1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0.20225966087118924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71.8</v>
      </c>
      <c r="Z395" s="4">
        <f>Games[[#This Row],[K]]*Games[[#This Row],[POMult]]</f>
        <v>71.8</v>
      </c>
      <c r="AA395" s="4">
        <f>(Games[[#This Row],[Keff]]*Games[[#This Row],[MOVMult]])*(Games[[#This Row],[Result]]-Games[[#This Row],[ExpectedWin%]])</f>
        <v>7.6752918850515641</v>
      </c>
      <c r="AB395" s="4">
        <f>Games[[#This Row],[PreGmRate]]+Games[[#This Row],[RatingChange]]</f>
        <v>1461.4407885433254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39691</v>
      </c>
      <c r="B396" s="2">
        <v>2008</v>
      </c>
      <c r="C396" s="2">
        <f>COUNTIFS(Games[Team],Games[[#This Row],[Team]],Games[Season],Games[[#This Row],[Season]],Games[Date],"&lt;=" &amp; Games[[#This Row],[Date]])</f>
        <v>28</v>
      </c>
      <c r="D396" s="2" t="s">
        <v>23</v>
      </c>
      <c r="E396" s="2" t="s">
        <v>29</v>
      </c>
      <c r="F396" s="1" t="s">
        <v>80</v>
      </c>
      <c r="G396" s="1" t="s">
        <v>85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1</v>
      </c>
      <c r="L396" s="2">
        <f>Games[[#This Row],[OppDaysOff]]-Games[[#This Row],[DaysOff]]</f>
        <v>-1</v>
      </c>
      <c r="M396" s="1">
        <f>MAX(-16, MIN(16, Games[[#This Row],[RestDiff]]*8))</f>
        <v>8</v>
      </c>
      <c r="N396" s="1">
        <f>MAX(-16, MIN(16, Games[[#This Row],[OppRestDiff]]*8))</f>
        <v>-8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1580.4801625352554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1598.9390696666162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0.37808192267497187</v>
      </c>
      <c r="R396" s="1">
        <v>76</v>
      </c>
      <c r="S396" s="1">
        <v>80</v>
      </c>
      <c r="T396" s="1">
        <v>0</v>
      </c>
      <c r="U396" s="1">
        <f>Games[[#This Row],[PointsFor]]-Games[[#This Row],[PointsAgainst]]</f>
        <v>-4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0.30671471946847112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71.8</v>
      </c>
      <c r="Z396" s="4">
        <f>Games[[#This Row],[K]]*Games[[#This Row],[POMult]]</f>
        <v>71.8</v>
      </c>
      <c r="AA396" s="4">
        <f>(Games[[#This Row],[Keff]]*Games[[#This Row],[MOVMult]])*(Games[[#This Row],[Result]]-Games[[#This Row],[ExpectedWin%]])</f>
        <v>-8.3261642829836298</v>
      </c>
      <c r="AB396" s="4">
        <f>Games[[#This Row],[PreGmRate]]+Games[[#This Row],[RatingChange]]</f>
        <v>1572.1539982522718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39691</v>
      </c>
      <c r="B397" s="2">
        <v>2008</v>
      </c>
      <c r="C397" s="2">
        <f>COUNTIFS(Games[Team],Games[[#This Row],[Team]],Games[Season],Games[[#This Row],[Season]],Games[Date],"&lt;=" &amp; Games[[#This Row],[Date]])</f>
        <v>29</v>
      </c>
      <c r="D397" s="2" t="s">
        <v>23</v>
      </c>
      <c r="E397" s="2" t="s">
        <v>29</v>
      </c>
      <c r="F397" s="1" t="s">
        <v>85</v>
      </c>
      <c r="G397" s="1" t="s">
        <v>80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7" s="2">
        <f>Games[[#This Row],[DaysOff]]-Games[[#This Row],[OppDaysOff]]</f>
        <v>-1</v>
      </c>
      <c r="L397" s="2">
        <f>Games[[#This Row],[OppDaysOff]]-Games[[#This Row],[DaysOff]]</f>
        <v>1</v>
      </c>
      <c r="M397" s="1">
        <f>MAX(-16, MIN(16, Games[[#This Row],[RestDiff]]*8))</f>
        <v>-8</v>
      </c>
      <c r="N397" s="1">
        <f>MAX(-16, MIN(16, Games[[#This Row],[OppRestDiff]]*8))</f>
        <v>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1598.9390696666162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1580.4801625352554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0.62191807732502813</v>
      </c>
      <c r="R397" s="1">
        <v>80</v>
      </c>
      <c r="S397" s="1">
        <v>76</v>
      </c>
      <c r="T397" s="1">
        <v>0</v>
      </c>
      <c r="U397" s="1">
        <f>Games[[#This Row],[PointsFor]]-Games[[#This Row],[PointsAgainst]]</f>
        <v>4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0.30671471946847112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71.650000000000006</v>
      </c>
      <c r="Z397" s="4">
        <f>Games[[#This Row],[K]]*Games[[#This Row],[POMult]]</f>
        <v>71.650000000000006</v>
      </c>
      <c r="AA397" s="4">
        <f>(Games[[#This Row],[Keff]]*Games[[#This Row],[MOVMult]])*(Games[[#This Row],[Result]]-Games[[#This Row],[ExpectedWin%]])</f>
        <v>8.3087697893562282</v>
      </c>
      <c r="AB397" s="4">
        <f>Games[[#This Row],[PreGmRate]]+Games[[#This Row],[RatingChange]]</f>
        <v>1607.2478394559723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39692</v>
      </c>
      <c r="B398" s="2">
        <v>2008</v>
      </c>
      <c r="C398" s="2">
        <f>COUNTIFS(Games[Team],Games[[#This Row],[Team]],Games[Season],Games[[#This Row],[Season]],Games[Date],"&lt;=" &amp; Games[[#This Row],[Date]])</f>
        <v>28</v>
      </c>
      <c r="D398" s="2" t="s">
        <v>23</v>
      </c>
      <c r="E398" s="2" t="s">
        <v>29</v>
      </c>
      <c r="F398" s="1" t="s">
        <v>76</v>
      </c>
      <c r="G398" s="1" t="s">
        <v>69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1501.8511579444898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1528.0712373367346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0.34649590942274383</v>
      </c>
      <c r="R398" s="1">
        <v>58</v>
      </c>
      <c r="S398" s="1">
        <v>82</v>
      </c>
      <c r="T398" s="1">
        <v>0</v>
      </c>
      <c r="U398" s="1">
        <f>Games[[#This Row],[PointsFor]]-Games[[#This Row],[PointsAgainst]]</f>
        <v>-24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0.61499328710351031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71.8</v>
      </c>
      <c r="Z398" s="4">
        <f>Games[[#This Row],[K]]*Games[[#This Row],[POMult]]</f>
        <v>71.8</v>
      </c>
      <c r="AA398" s="4">
        <f>(Games[[#This Row],[Keff]]*Games[[#This Row],[MOVMult]])*(Games[[#This Row],[Result]]-Games[[#This Row],[ExpectedWin%]])</f>
        <v>-15.300052866213802</v>
      </c>
      <c r="AB398" s="4">
        <f>Games[[#This Row],[PreGmRate]]+Games[[#This Row],[RatingChange]]</f>
        <v>1486.5511050782761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39692</v>
      </c>
      <c r="B399" s="2">
        <v>2008</v>
      </c>
      <c r="C399" s="2">
        <f>COUNTIFS(Games[Team],Games[[#This Row],[Team]],Games[Season],Games[[#This Row],[Season]],Games[Date],"&lt;=" &amp; Games[[#This Row],[Date]])</f>
        <v>30</v>
      </c>
      <c r="D399" s="2" t="s">
        <v>23</v>
      </c>
      <c r="E399" s="2" t="s">
        <v>29</v>
      </c>
      <c r="F399" s="1" t="s">
        <v>69</v>
      </c>
      <c r="G399" s="1" t="s">
        <v>76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1528.0712373367346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1501.8511579444898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0.65350409057725622</v>
      </c>
      <c r="R399" s="1">
        <v>82</v>
      </c>
      <c r="S399" s="1">
        <v>58</v>
      </c>
      <c r="T399" s="1">
        <v>0</v>
      </c>
      <c r="U399" s="1">
        <f>Games[[#This Row],[PointsFor]]-Games[[#This Row],[PointsAgainst]]</f>
        <v>24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0.61499328710351031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71.5</v>
      </c>
      <c r="Z399" s="4">
        <f>Games[[#This Row],[K]]*Games[[#This Row],[POMult]]</f>
        <v>71.5</v>
      </c>
      <c r="AA399" s="4">
        <f>(Games[[#This Row],[Keff]]*Games[[#This Row],[MOVMult]])*(Games[[#This Row],[Result]]-Games[[#This Row],[ExpectedWin%]])</f>
        <v>15.236125068722655</v>
      </c>
      <c r="AB399" s="4">
        <f>Games[[#This Row],[PreGmRate]]+Games[[#This Row],[RatingChange]]</f>
        <v>1543.3073624054573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39693</v>
      </c>
      <c r="B400" s="2">
        <v>2008</v>
      </c>
      <c r="C400" s="2">
        <f>COUNTIFS(Games[Team],Games[[#This Row],[Team]],Games[Season],Games[[#This Row],[Season]],Games[Date],"&lt;=" &amp; Games[[#This Row],[Date]])</f>
        <v>29</v>
      </c>
      <c r="D400" s="2" t="s">
        <v>23</v>
      </c>
      <c r="E400" s="2" t="s">
        <v>29</v>
      </c>
      <c r="F400" s="1" t="s">
        <v>80</v>
      </c>
      <c r="G400" s="1" t="s">
        <v>88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0" s="2">
        <f>Games[[#This Row],[DaysOff]]-Games[[#This Row],[OppDaysOff]]</f>
        <v>-1</v>
      </c>
      <c r="L400" s="2">
        <f>Games[[#This Row],[OppDaysOff]]-Games[[#This Row],[DaysOff]]</f>
        <v>1</v>
      </c>
      <c r="M400" s="1">
        <f>MAX(-16, MIN(16, Games[[#This Row],[RestDiff]]*8))</f>
        <v>-8</v>
      </c>
      <c r="N400" s="1">
        <f>MAX(-16, MIN(16, Games[[#This Row],[OppRestDiff]]*8))</f>
        <v>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1572.1539982522718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1284.0061542141309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0.74707376665699288</v>
      </c>
      <c r="R400" s="1">
        <v>83</v>
      </c>
      <c r="S400" s="1">
        <v>69</v>
      </c>
      <c r="T400" s="1">
        <v>0</v>
      </c>
      <c r="U400" s="1">
        <f>Games[[#This Row],[PointsFor]]-Games[[#This Row],[PointsAgainst]]</f>
        <v>14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0.39319327483830618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71.650000000000006</v>
      </c>
      <c r="Z400" s="4">
        <f>Games[[#This Row],[K]]*Games[[#This Row],[POMult]]</f>
        <v>71.650000000000006</v>
      </c>
      <c r="AA400" s="4">
        <f>(Games[[#This Row],[Keff]]*Games[[#This Row],[MOVMult]])*(Games[[#This Row],[Result]]-Games[[#This Row],[ExpectedWin%]])</f>
        <v>7.1255132537138994</v>
      </c>
      <c r="AB400" s="4">
        <f>Games[[#This Row],[PreGmRate]]+Games[[#This Row],[RatingChange]]</f>
        <v>1579.2795115059857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39693</v>
      </c>
      <c r="B401" s="2">
        <v>2008</v>
      </c>
      <c r="C401" s="2">
        <f>COUNTIFS(Games[Team],Games[[#This Row],[Team]],Games[Season],Games[[#This Row],[Season]],Games[Date],"&lt;=" &amp; Games[[#This Row],[Date]])</f>
        <v>30</v>
      </c>
      <c r="D401" s="2" t="s">
        <v>23</v>
      </c>
      <c r="E401" s="2" t="s">
        <v>29</v>
      </c>
      <c r="F401" s="1" t="s">
        <v>88</v>
      </c>
      <c r="G401" s="1" t="s">
        <v>80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1</v>
      </c>
      <c r="L401" s="2">
        <f>Games[[#This Row],[OppDaysOff]]-Games[[#This Row],[DaysOff]]</f>
        <v>-1</v>
      </c>
      <c r="M401" s="1">
        <f>MAX(-16, MIN(16, Games[[#This Row],[RestDiff]]*8))</f>
        <v>8</v>
      </c>
      <c r="N401" s="1">
        <f>MAX(-16, MIN(16, Games[[#This Row],[OppRestDiff]]*8))</f>
        <v>-8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1284.0061542141309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1572.1539982522718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0.25292623334300718</v>
      </c>
      <c r="R401" s="1">
        <v>69</v>
      </c>
      <c r="S401" s="1">
        <v>83</v>
      </c>
      <c r="T401" s="1">
        <v>0</v>
      </c>
      <c r="U401" s="1">
        <f>Games[[#This Row],[PointsFor]]-Games[[#This Row],[PointsAgainst]]</f>
        <v>-14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0.39319327483830618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71.5</v>
      </c>
      <c r="Z401" s="4">
        <f>Games[[#This Row],[K]]*Games[[#This Row],[POMult]]</f>
        <v>71.5</v>
      </c>
      <c r="AA401" s="4">
        <f>(Games[[#This Row],[Keff]]*Games[[#This Row],[MOVMult]])*(Games[[#This Row],[Result]]-Games[[#This Row],[ExpectedWin%]])</f>
        <v>-7.1105959196168023</v>
      </c>
      <c r="AB401" s="4">
        <f>Games[[#This Row],[PreGmRate]]+Games[[#This Row],[RatingChange]]</f>
        <v>1276.8955582945141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39693</v>
      </c>
      <c r="B402" s="2">
        <v>2008</v>
      </c>
      <c r="C402" s="2">
        <f>COUNTIFS(Games[Team],Games[[#This Row],[Team]],Games[Season],Games[[#This Row],[Season]],Games[Date],"&lt;=" &amp; Games[[#This Row],[Date]])</f>
        <v>28</v>
      </c>
      <c r="D402" s="2" t="s">
        <v>23</v>
      </c>
      <c r="E402" s="2" t="s">
        <v>29</v>
      </c>
      <c r="F402" s="1" t="s">
        <v>66</v>
      </c>
      <c r="G402" s="1" t="s">
        <v>2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2" s="2">
        <f>Games[[#This Row],[DaysOff]]-Games[[#This Row],[OppDaysOff]]</f>
        <v>1</v>
      </c>
      <c r="L402" s="2">
        <f>Games[[#This Row],[OppDaysOff]]-Games[[#This Row],[DaysOff]]</f>
        <v>-1</v>
      </c>
      <c r="M402" s="1">
        <f>MAX(-16, MIN(16, Games[[#This Row],[RestDiff]]*8))</f>
        <v>8</v>
      </c>
      <c r="N402" s="1">
        <f>MAX(-16, MIN(16, Games[[#This Row],[OppRestDiff]]*8))</f>
        <v>-8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1521.2170197963869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1499.557455196215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0.43370342198153478</v>
      </c>
      <c r="R402" s="1">
        <v>90</v>
      </c>
      <c r="S402" s="1">
        <v>87</v>
      </c>
      <c r="T402" s="1">
        <v>1</v>
      </c>
      <c r="U402" s="1">
        <f>Games[[#This Row],[PointsFor]]-Games[[#This Row],[PointsAgainst]]</f>
        <v>3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0.25653480876988388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71.8</v>
      </c>
      <c r="Z402" s="4">
        <f>Games[[#This Row],[K]]*Games[[#This Row],[POMult]]</f>
        <v>71.8</v>
      </c>
      <c r="AA402" s="4">
        <f>(Games[[#This Row],[Keff]]*Games[[#This Row],[MOVMult]])*(Games[[#This Row],[Result]]-Games[[#This Row],[ExpectedWin%]])</f>
        <v>10.430729516258674</v>
      </c>
      <c r="AB402" s="4">
        <f>Games[[#This Row],[PreGmRate]]+Games[[#This Row],[RatingChange]]</f>
        <v>1531.6477493126456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39693</v>
      </c>
      <c r="B403" s="2">
        <v>2008</v>
      </c>
      <c r="C403" s="2">
        <f>COUNTIFS(Games[Team],Games[[#This Row],[Team]],Games[Season],Games[[#This Row],[Season]],Games[Date],"&lt;=" &amp; Games[[#This Row],[Date]])</f>
        <v>29</v>
      </c>
      <c r="D403" s="2" t="s">
        <v>23</v>
      </c>
      <c r="E403" s="2" t="s">
        <v>29</v>
      </c>
      <c r="F403" s="1" t="s">
        <v>2</v>
      </c>
      <c r="G403" s="1" t="s">
        <v>66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3" s="2">
        <f>Games[[#This Row],[DaysOff]]-Games[[#This Row],[OppDaysOff]]</f>
        <v>-1</v>
      </c>
      <c r="L403" s="2">
        <f>Games[[#This Row],[OppDaysOff]]-Games[[#This Row],[DaysOff]]</f>
        <v>1</v>
      </c>
      <c r="M403" s="1">
        <f>MAX(-16, MIN(16, Games[[#This Row],[RestDiff]]*8))</f>
        <v>-8</v>
      </c>
      <c r="N403" s="1">
        <f>MAX(-16, MIN(16, Games[[#This Row],[OppRestDiff]]*8))</f>
        <v>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1499.557455196215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1521.2170197963869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0.56629657801846522</v>
      </c>
      <c r="R403" s="1">
        <v>87</v>
      </c>
      <c r="S403" s="1">
        <v>90</v>
      </c>
      <c r="T403" s="1">
        <v>1</v>
      </c>
      <c r="U403" s="1">
        <f>Games[[#This Row],[PointsFor]]-Games[[#This Row],[PointsAgainst]]</f>
        <v>-3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0.25653480876988388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71.650000000000006</v>
      </c>
      <c r="Z403" s="4">
        <f>Games[[#This Row],[K]]*Games[[#This Row],[POMult]]</f>
        <v>71.650000000000006</v>
      </c>
      <c r="AA403" s="4">
        <f>(Games[[#This Row],[Keff]]*Games[[#This Row],[MOVMult]])*(Games[[#This Row],[Result]]-Games[[#This Row],[ExpectedWin%]])</f>
        <v>-10.408938298606323</v>
      </c>
      <c r="AB403" s="4">
        <f>Games[[#This Row],[PreGmRate]]+Games[[#This Row],[RatingChange]]</f>
        <v>1489.1485168976087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39693</v>
      </c>
      <c r="B404" s="2">
        <v>2008</v>
      </c>
      <c r="C404" s="2">
        <f>COUNTIFS(Games[Team],Games[[#This Row],[Team]],Games[Season],Games[[#This Row],[Season]],Games[Date],"&lt;=" &amp; Games[[#This Row],[Date]])</f>
        <v>29</v>
      </c>
      <c r="D404" s="2" t="s">
        <v>23</v>
      </c>
      <c r="E404" s="2" t="s">
        <v>29</v>
      </c>
      <c r="F404" s="1" t="s">
        <v>78</v>
      </c>
      <c r="G404" s="1" t="s">
        <v>72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1479.7613845875298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1407.348546209156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0.48333091363739106</v>
      </c>
      <c r="R404" s="1">
        <v>79</v>
      </c>
      <c r="S404" s="1">
        <v>68</v>
      </c>
      <c r="T404" s="1">
        <v>0</v>
      </c>
      <c r="U404" s="1">
        <f>Games[[#This Row],[PointsFor]]-Games[[#This Row],[PointsAgainst]]</f>
        <v>11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0.41480496611604156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71.650000000000006</v>
      </c>
      <c r="Z404" s="4">
        <f>Games[[#This Row],[K]]*Games[[#This Row],[POMult]]</f>
        <v>71.650000000000006</v>
      </c>
      <c r="AA404" s="4">
        <f>(Games[[#This Row],[Keff]]*Games[[#This Row],[MOVMult]])*(Games[[#This Row],[Result]]-Games[[#This Row],[ExpectedWin%]])</f>
        <v>15.35580609005142</v>
      </c>
      <c r="AB404" s="4">
        <f>Games[[#This Row],[PreGmRate]]+Games[[#This Row],[RatingChange]]</f>
        <v>1495.1171906775812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39693</v>
      </c>
      <c r="B405" s="2">
        <v>2008</v>
      </c>
      <c r="C405" s="2">
        <f>COUNTIFS(Games[Team],Games[[#This Row],[Team]],Games[Season],Games[[#This Row],[Season]],Games[Date],"&lt;=" &amp; Games[[#This Row],[Date]])</f>
        <v>29</v>
      </c>
      <c r="D405" s="2" t="s">
        <v>23</v>
      </c>
      <c r="E405" s="2" t="s">
        <v>29</v>
      </c>
      <c r="F405" s="1" t="s">
        <v>72</v>
      </c>
      <c r="G405" s="1" t="s">
        <v>78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1407.348546209156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1479.7613845875298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0.51666908636260889</v>
      </c>
      <c r="R405" s="1">
        <v>68</v>
      </c>
      <c r="S405" s="1">
        <v>79</v>
      </c>
      <c r="T405" s="1">
        <v>0</v>
      </c>
      <c r="U405" s="1">
        <f>Games[[#This Row],[PointsFor]]-Games[[#This Row],[PointsAgainst]]</f>
        <v>-11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0.41480496611604156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71.650000000000006</v>
      </c>
      <c r="Z405" s="4">
        <f>Games[[#This Row],[K]]*Games[[#This Row],[POMult]]</f>
        <v>71.650000000000006</v>
      </c>
      <c r="AA405" s="4">
        <f>(Games[[#This Row],[Keff]]*Games[[#This Row],[MOVMult]])*(Games[[#This Row],[Result]]-Games[[#This Row],[ExpectedWin%]])</f>
        <v>-15.35580609005142</v>
      </c>
      <c r="AB405" s="4">
        <f>Games[[#This Row],[PreGmRate]]+Games[[#This Row],[RatingChange]]</f>
        <v>1391.9927401191046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39694</v>
      </c>
      <c r="B406" s="2">
        <v>2008</v>
      </c>
      <c r="C406" s="2">
        <f>COUNTIFS(Games[Team],Games[[#This Row],[Team]],Games[Season],Games[[#This Row],[Season]],Games[Date],"&lt;=" &amp; Games[[#This Row],[Date]])</f>
        <v>29</v>
      </c>
      <c r="D406" s="2" t="s">
        <v>23</v>
      </c>
      <c r="E406" s="2" t="s">
        <v>29</v>
      </c>
      <c r="F406" s="1" t="s">
        <v>76</v>
      </c>
      <c r="G406" s="1" t="s">
        <v>44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6" s="2">
        <f>Games[[#This Row],[DaysOff]]-Games[[#This Row],[OppDaysOff]]</f>
        <v>-4</v>
      </c>
      <c r="L406" s="2">
        <f>Games[[#This Row],[OppDaysOff]]-Games[[#This Row],[DaysOff]]</f>
        <v>4</v>
      </c>
      <c r="M406" s="1">
        <f>MAX(-16, MIN(16, Games[[#This Row],[RestDiff]]*8))</f>
        <v>-16</v>
      </c>
      <c r="N406" s="1">
        <f>MAX(-16, MIN(16, Games[[#This Row],[OppRestDiff]]*8))</f>
        <v>16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1486.5511050782761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1492.9547699120076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0.33079045255052131</v>
      </c>
      <c r="R406" s="1">
        <v>96</v>
      </c>
      <c r="S406" s="1">
        <v>103</v>
      </c>
      <c r="T406" s="1">
        <v>0</v>
      </c>
      <c r="U406" s="1">
        <f>Games[[#This Row],[PointsFor]]-Games[[#This Row],[PointsAgainst]]</f>
        <v>-7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0.36814262085799826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71.650000000000006</v>
      </c>
      <c r="Z406" s="4">
        <f>Games[[#This Row],[K]]*Games[[#This Row],[POMult]]</f>
        <v>71.650000000000006</v>
      </c>
      <c r="AA406" s="4">
        <f>(Games[[#This Row],[Keff]]*Games[[#This Row],[MOVMult]])*(Games[[#This Row],[Result]]-Games[[#This Row],[ExpectedWin%]])</f>
        <v>-8.7253982968312975</v>
      </c>
      <c r="AB406" s="4">
        <f>Games[[#This Row],[PreGmRate]]+Games[[#This Row],[RatingChange]]</f>
        <v>1477.8257067814448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39694</v>
      </c>
      <c r="B407" s="2">
        <v>2008</v>
      </c>
      <c r="C407" s="2">
        <f>COUNTIFS(Games[Team],Games[[#This Row],[Team]],Games[Season],Games[[#This Row],[Season]],Games[Date],"&lt;=" &amp; Games[[#This Row],[Date]])</f>
        <v>29</v>
      </c>
      <c r="D407" s="2" t="s">
        <v>23</v>
      </c>
      <c r="E407" s="2" t="s">
        <v>29</v>
      </c>
      <c r="F407" s="1" t="s">
        <v>44</v>
      </c>
      <c r="G407" s="1" t="s">
        <v>76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4</v>
      </c>
      <c r="L407" s="2">
        <f>Games[[#This Row],[OppDaysOff]]-Games[[#This Row],[DaysOff]]</f>
        <v>-4</v>
      </c>
      <c r="M407" s="1">
        <f>MAX(-16, MIN(16, Games[[#This Row],[RestDiff]]*8))</f>
        <v>16</v>
      </c>
      <c r="N407" s="1">
        <f>MAX(-16, MIN(16, Games[[#This Row],[OppRestDiff]]*8))</f>
        <v>-16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1492.9547699120076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1486.5511050782761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0.66920954744947869</v>
      </c>
      <c r="R407" s="1">
        <v>103</v>
      </c>
      <c r="S407" s="1">
        <v>96</v>
      </c>
      <c r="T407" s="1">
        <v>0</v>
      </c>
      <c r="U407" s="1">
        <f>Games[[#This Row],[PointsFor]]-Games[[#This Row],[PointsAgainst]]</f>
        <v>7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0.36814262085799826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71.650000000000006</v>
      </c>
      <c r="Z407" s="4">
        <f>Games[[#This Row],[K]]*Games[[#This Row],[POMult]]</f>
        <v>71.650000000000006</v>
      </c>
      <c r="AA407" s="4">
        <f>(Games[[#This Row],[Keff]]*Games[[#This Row],[MOVMult]])*(Games[[#This Row],[Result]]-Games[[#This Row],[ExpectedWin%]])</f>
        <v>8.7253982968312975</v>
      </c>
      <c r="AB407" s="4">
        <f>Games[[#This Row],[PreGmRate]]+Games[[#This Row],[RatingChange]]</f>
        <v>1501.6801682088389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39695</v>
      </c>
      <c r="B408" s="2">
        <v>2008</v>
      </c>
      <c r="C408" s="2">
        <f>COUNTIFS(Games[Team],Games[[#This Row],[Team]],Games[Season],Games[[#This Row],[Season]],Games[Date],"&lt;=" &amp; Games[[#This Row],[Date]])</f>
        <v>30</v>
      </c>
      <c r="D408" s="2" t="s">
        <v>23</v>
      </c>
      <c r="E408" s="2" t="s">
        <v>29</v>
      </c>
      <c r="F408" s="1" t="s">
        <v>80</v>
      </c>
      <c r="G408" s="1" t="s">
        <v>86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8" s="2">
        <f>Games[[#This Row],[DaysOff]]-Games[[#This Row],[OppDaysOff]]</f>
        <v>-2</v>
      </c>
      <c r="L408" s="2">
        <f>Games[[#This Row],[OppDaysOff]]-Games[[#This Row],[DaysOff]]</f>
        <v>2</v>
      </c>
      <c r="M408" s="1">
        <f>MAX(-16, MIN(16, Games[[#This Row],[RestDiff]]*8))</f>
        <v>-16</v>
      </c>
      <c r="N408" s="1">
        <f>MAX(-16, MIN(16, Games[[#This Row],[OppRestDiff]]*8))</f>
        <v>16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1579.2795115059857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1461.4407885433254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0.50264611034833129</v>
      </c>
      <c r="R408" s="1">
        <v>70</v>
      </c>
      <c r="S408" s="1">
        <v>62</v>
      </c>
      <c r="T408" s="1">
        <v>0</v>
      </c>
      <c r="U408" s="1">
        <f>Games[[#This Row],[PointsFor]]-Games[[#This Row],[PointsAgainst]]</f>
        <v>8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0.3535930716590498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71.5</v>
      </c>
      <c r="Z408" s="4">
        <f>Games[[#This Row],[K]]*Games[[#This Row],[POMult]]</f>
        <v>71.5</v>
      </c>
      <c r="AA408" s="4">
        <f>(Games[[#This Row],[Keff]]*Games[[#This Row],[MOVMult]])*(Games[[#This Row],[Result]]-Games[[#This Row],[ExpectedWin%]])</f>
        <v>12.574053602360939</v>
      </c>
      <c r="AB408" s="4">
        <f>Games[[#This Row],[PreGmRate]]+Games[[#This Row],[RatingChange]]</f>
        <v>1591.8535651083466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39695</v>
      </c>
      <c r="B409" s="2">
        <v>2008</v>
      </c>
      <c r="C409" s="2">
        <f>COUNTIFS(Games[Team],Games[[#This Row],[Team]],Games[Season],Games[[#This Row],[Season]],Games[Date],"&lt;=" &amp; Games[[#This Row],[Date]])</f>
        <v>29</v>
      </c>
      <c r="D409" s="2" t="s">
        <v>23</v>
      </c>
      <c r="E409" s="2" t="s">
        <v>29</v>
      </c>
      <c r="F409" s="1" t="s">
        <v>86</v>
      </c>
      <c r="G409" s="1" t="s">
        <v>80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2</v>
      </c>
      <c r="L409" s="2">
        <f>Games[[#This Row],[OppDaysOff]]-Games[[#This Row],[DaysOff]]</f>
        <v>-2</v>
      </c>
      <c r="M409" s="1">
        <f>MAX(-16, MIN(16, Games[[#This Row],[RestDiff]]*8))</f>
        <v>16</v>
      </c>
      <c r="N409" s="1">
        <f>MAX(-16, MIN(16, Games[[#This Row],[OppRestDiff]]*8))</f>
        <v>-16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1461.4407885433254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1579.2795115059857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0.49735388965166877</v>
      </c>
      <c r="R409" s="1">
        <v>62</v>
      </c>
      <c r="S409" s="1">
        <v>70</v>
      </c>
      <c r="T409" s="1">
        <v>0</v>
      </c>
      <c r="U409" s="1">
        <f>Games[[#This Row],[PointsFor]]-Games[[#This Row],[PointsAgainst]]</f>
        <v>-8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0.3535930716590498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71.650000000000006</v>
      </c>
      <c r="Z409" s="4">
        <f>Games[[#This Row],[K]]*Games[[#This Row],[POMult]]</f>
        <v>71.650000000000006</v>
      </c>
      <c r="AA409" s="4">
        <f>(Games[[#This Row],[Keff]]*Games[[#This Row],[MOVMult]])*(Games[[#This Row],[Result]]-Games[[#This Row],[ExpectedWin%]])</f>
        <v>-12.600432735792468</v>
      </c>
      <c r="AB409" s="4">
        <f>Games[[#This Row],[PreGmRate]]+Games[[#This Row],[RatingChange]]</f>
        <v>1448.8403558075329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39696</v>
      </c>
      <c r="B410" s="2">
        <v>2008</v>
      </c>
      <c r="C410" s="2">
        <f>COUNTIFS(Games[Team],Games[[#This Row],[Team]],Games[Season],Games[[#This Row],[Season]],Games[Date],"&lt;=" &amp; Games[[#This Row],[Date]])</f>
        <v>30</v>
      </c>
      <c r="D410" s="2" t="s">
        <v>23</v>
      </c>
      <c r="E410" s="2" t="s">
        <v>29</v>
      </c>
      <c r="F410" s="1" t="s">
        <v>86</v>
      </c>
      <c r="G410" s="1" t="s">
        <v>85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0" s="2">
        <f>Games[[#This Row],[DaysOff]]-Games[[#This Row],[OppDaysOff]]</f>
        <v>-4</v>
      </c>
      <c r="L410" s="2">
        <f>Games[[#This Row],[OppDaysOff]]-Games[[#This Row],[DaysOff]]</f>
        <v>4</v>
      </c>
      <c r="M410" s="1">
        <f>MAX(-16, MIN(16, Games[[#This Row],[RestDiff]]*8))</f>
        <v>-16</v>
      </c>
      <c r="N410" s="1">
        <f>MAX(-16, MIN(16, Games[[#This Row],[OppRestDiff]]*8))</f>
        <v>16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1448.8403558075329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1607.2478394559723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0.17084980846994274</v>
      </c>
      <c r="R410" s="1">
        <v>75</v>
      </c>
      <c r="S410" s="1">
        <v>80</v>
      </c>
      <c r="T410" s="1">
        <v>0</v>
      </c>
      <c r="U410" s="1">
        <f>Games[[#This Row],[PointsFor]]-Games[[#This Row],[PointsAgainst]]</f>
        <v>-5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0.29306903513535765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71.5</v>
      </c>
      <c r="Z410" s="4">
        <f>Games[[#This Row],[K]]*Games[[#This Row],[POMult]]</f>
        <v>71.5</v>
      </c>
      <c r="AA410" s="4">
        <f>(Games[[#This Row],[Keff]]*Games[[#This Row],[MOVMult]])*(Games[[#This Row],[Result]]-Games[[#This Row],[ExpectedWin%]])</f>
        <v>-3.5800613792762941</v>
      </c>
      <c r="AB410" s="4">
        <f>Games[[#This Row],[PreGmRate]]+Games[[#This Row],[RatingChange]]</f>
        <v>1445.2602944282567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39696</v>
      </c>
      <c r="B411" s="2">
        <v>2008</v>
      </c>
      <c r="C411" s="2">
        <f>COUNTIFS(Games[Team],Games[[#This Row],[Team]],Games[Season],Games[[#This Row],[Season]],Games[Date],"&lt;=" &amp; Games[[#This Row],[Date]])</f>
        <v>30</v>
      </c>
      <c r="D411" s="2" t="s">
        <v>23</v>
      </c>
      <c r="E411" s="2" t="s">
        <v>29</v>
      </c>
      <c r="F411" s="1" t="s">
        <v>85</v>
      </c>
      <c r="G411" s="1" t="s">
        <v>86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1" s="2">
        <f>Games[[#This Row],[DaysOff]]-Games[[#This Row],[OppDaysOff]]</f>
        <v>4</v>
      </c>
      <c r="L411" s="2">
        <f>Games[[#This Row],[OppDaysOff]]-Games[[#This Row],[DaysOff]]</f>
        <v>-4</v>
      </c>
      <c r="M411" s="1">
        <f>MAX(-16, MIN(16, Games[[#This Row],[RestDiff]]*8))</f>
        <v>16</v>
      </c>
      <c r="N411" s="1">
        <f>MAX(-16, MIN(16, Games[[#This Row],[OppRestDiff]]*8))</f>
        <v>-16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1607.2478394559723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1448.8403558075329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0.8291501915300572</v>
      </c>
      <c r="R411" s="1">
        <v>80</v>
      </c>
      <c r="S411" s="1">
        <v>75</v>
      </c>
      <c r="T411" s="1">
        <v>0</v>
      </c>
      <c r="U411" s="1">
        <f>Games[[#This Row],[PointsFor]]-Games[[#This Row],[PointsAgainst]]</f>
        <v>5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0.29306903513535765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71.5</v>
      </c>
      <c r="Z411" s="4">
        <f>Games[[#This Row],[K]]*Games[[#This Row],[POMult]]</f>
        <v>71.5</v>
      </c>
      <c r="AA411" s="4">
        <f>(Games[[#This Row],[Keff]]*Games[[#This Row],[MOVMult]])*(Games[[#This Row],[Result]]-Games[[#This Row],[ExpectedWin%]])</f>
        <v>3.5800613792762954</v>
      </c>
      <c r="AB411" s="4">
        <f>Games[[#This Row],[PreGmRate]]+Games[[#This Row],[RatingChange]]</f>
        <v>1610.8279008352486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39696</v>
      </c>
      <c r="B412" s="2">
        <v>2008</v>
      </c>
      <c r="C412" s="2">
        <f>COUNTIFS(Games[Team],Games[[#This Row],[Team]],Games[Season],Games[[#This Row],[Season]],Games[Date],"&lt;=" &amp; Games[[#This Row],[Date]])</f>
        <v>30</v>
      </c>
      <c r="D412" s="2" t="s">
        <v>23</v>
      </c>
      <c r="E412" s="2" t="s">
        <v>29</v>
      </c>
      <c r="F412" s="1" t="s">
        <v>78</v>
      </c>
      <c r="G412" s="1" t="s">
        <v>74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2" s="2">
        <f>Games[[#This Row],[DaysOff]]-Games[[#This Row],[OppDaysOff]]</f>
        <v>-2</v>
      </c>
      <c r="L412" s="2">
        <f>Games[[#This Row],[OppDaysOff]]-Games[[#This Row],[DaysOff]]</f>
        <v>2</v>
      </c>
      <c r="M412" s="1">
        <f>MAX(-16, MIN(16, Games[[#This Row],[RestDiff]]*8))</f>
        <v>-16</v>
      </c>
      <c r="N412" s="1">
        <f>MAX(-16, MIN(16, Games[[#This Row],[OppRestDiff]]*8))</f>
        <v>16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1495.1171906775812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1549.9452922688688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0.27222448564261786</v>
      </c>
      <c r="R412" s="1">
        <v>68</v>
      </c>
      <c r="S412" s="1">
        <v>90</v>
      </c>
      <c r="T412" s="1">
        <v>0</v>
      </c>
      <c r="U412" s="1">
        <f>Games[[#This Row],[PointsFor]]-Games[[#This Row],[PointsAgainst]]</f>
        <v>-22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0.5757501004862926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71.5</v>
      </c>
      <c r="Z412" s="4">
        <f>Games[[#This Row],[K]]*Games[[#This Row],[POMult]]</f>
        <v>71.5</v>
      </c>
      <c r="AA412" s="4">
        <f>(Games[[#This Row],[Keff]]*Games[[#This Row],[MOVMult]])*(Games[[#This Row],[Result]]-Games[[#This Row],[ExpectedWin%]])</f>
        <v>-11.206429159895009</v>
      </c>
      <c r="AB412" s="4">
        <f>Games[[#This Row],[PreGmRate]]+Games[[#This Row],[RatingChange]]</f>
        <v>1483.9107615176863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39696</v>
      </c>
      <c r="B413" s="2">
        <v>2008</v>
      </c>
      <c r="C413" s="2">
        <f>COUNTIFS(Games[Team],Games[[#This Row],[Team]],Games[Season],Games[[#This Row],[Season]],Games[Date],"&lt;=" &amp; Games[[#This Row],[Date]])</f>
        <v>30</v>
      </c>
      <c r="D413" s="2" t="s">
        <v>23</v>
      </c>
      <c r="E413" s="2" t="s">
        <v>29</v>
      </c>
      <c r="F413" s="1" t="s">
        <v>74</v>
      </c>
      <c r="G413" s="1" t="s">
        <v>78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2</v>
      </c>
      <c r="L413" s="2">
        <f>Games[[#This Row],[OppDaysOff]]-Games[[#This Row],[DaysOff]]</f>
        <v>-2</v>
      </c>
      <c r="M413" s="1">
        <f>MAX(-16, MIN(16, Games[[#This Row],[RestDiff]]*8))</f>
        <v>16</v>
      </c>
      <c r="N413" s="1">
        <f>MAX(-16, MIN(16, Games[[#This Row],[OppRestDiff]]*8))</f>
        <v>-16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1549.9452922688688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1495.1171906775812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0.72777551435738219</v>
      </c>
      <c r="R413" s="1">
        <v>90</v>
      </c>
      <c r="S413" s="1">
        <v>68</v>
      </c>
      <c r="T413" s="1">
        <v>0</v>
      </c>
      <c r="U413" s="1">
        <f>Games[[#This Row],[PointsFor]]-Games[[#This Row],[PointsAgainst]]</f>
        <v>22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0.5757501004862926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71.5</v>
      </c>
      <c r="Z413" s="4">
        <f>Games[[#This Row],[K]]*Games[[#This Row],[POMult]]</f>
        <v>71.5</v>
      </c>
      <c r="AA413" s="4">
        <f>(Games[[#This Row],[Keff]]*Games[[#This Row],[MOVMult]])*(Games[[#This Row],[Result]]-Games[[#This Row],[ExpectedWin%]])</f>
        <v>11.206429159895006</v>
      </c>
      <c r="AB413" s="4">
        <f>Games[[#This Row],[PreGmRate]]+Games[[#This Row],[RatingChange]]</f>
        <v>1561.1517214287637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39696</v>
      </c>
      <c r="B414" s="2">
        <v>2008</v>
      </c>
      <c r="C414" s="2">
        <f>COUNTIFS(Games[Team],Games[[#This Row],[Team]],Games[Season],Games[[#This Row],[Season]],Games[Date],"&lt;=" &amp; Games[[#This Row],[Date]])</f>
        <v>31</v>
      </c>
      <c r="D414" s="2" t="s">
        <v>23</v>
      </c>
      <c r="E414" s="2" t="s">
        <v>29</v>
      </c>
      <c r="F414" s="1" t="s">
        <v>88</v>
      </c>
      <c r="G414" s="1" t="s">
        <v>66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1276.8955582945141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1531.6477493126456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0.12455179204128659</v>
      </c>
      <c r="R414" s="1">
        <v>71</v>
      </c>
      <c r="S414" s="1">
        <v>82</v>
      </c>
      <c r="T414" s="1">
        <v>0</v>
      </c>
      <c r="U414" s="1">
        <f>Games[[#This Row],[PointsFor]]-Games[[#This Row],[PointsAgainst]]</f>
        <v>-11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0.36281310835474062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71.349999999999994</v>
      </c>
      <c r="Z414" s="4">
        <f>Games[[#This Row],[K]]*Games[[#This Row],[POMult]]</f>
        <v>71.349999999999994</v>
      </c>
      <c r="AA414" s="4">
        <f>(Games[[#This Row],[Keff]]*Games[[#This Row],[MOVMult]])*(Games[[#This Row],[Result]]-Games[[#This Row],[ExpectedWin%]])</f>
        <v>-3.2242367783249009</v>
      </c>
      <c r="AB414" s="4">
        <f>Games[[#This Row],[PreGmRate]]+Games[[#This Row],[RatingChange]]</f>
        <v>1273.6713215161892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39696</v>
      </c>
      <c r="B415" s="2">
        <v>2008</v>
      </c>
      <c r="C415" s="2">
        <f>COUNTIFS(Games[Team],Games[[#This Row],[Team]],Games[Season],Games[[#This Row],[Season]],Games[Date],"&lt;=" &amp; Games[[#This Row],[Date]])</f>
        <v>29</v>
      </c>
      <c r="D415" s="2" t="s">
        <v>23</v>
      </c>
      <c r="E415" s="2" t="s">
        <v>29</v>
      </c>
      <c r="F415" s="1" t="s">
        <v>66</v>
      </c>
      <c r="G415" s="1" t="s">
        <v>88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1531.6477493126456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1276.8955582945141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0.87544820795871348</v>
      </c>
      <c r="R415" s="1">
        <v>82</v>
      </c>
      <c r="S415" s="1">
        <v>71</v>
      </c>
      <c r="T415" s="1">
        <v>0</v>
      </c>
      <c r="U415" s="1">
        <f>Games[[#This Row],[PointsFor]]-Games[[#This Row],[PointsAgainst]]</f>
        <v>11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0.36281310835474062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71.650000000000006</v>
      </c>
      <c r="Z415" s="4">
        <f>Games[[#This Row],[K]]*Games[[#This Row],[POMult]]</f>
        <v>71.650000000000006</v>
      </c>
      <c r="AA415" s="4">
        <f>(Games[[#This Row],[Keff]]*Games[[#This Row],[MOVMult]])*(Games[[#This Row],[Result]]-Games[[#This Row],[ExpectedWin%]])</f>
        <v>3.237793485171395</v>
      </c>
      <c r="AB415" s="4">
        <f>Games[[#This Row],[PreGmRate]]+Games[[#This Row],[RatingChange]]</f>
        <v>1534.8855427978169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39696</v>
      </c>
      <c r="B416" s="2">
        <v>2008</v>
      </c>
      <c r="C416" s="2">
        <f>COUNTIFS(Games[Team],Games[[#This Row],[Team]],Games[Season],Games[[#This Row],[Season]],Games[Date],"&lt;=" &amp; Games[[#This Row],[Date]])</f>
        <v>30</v>
      </c>
      <c r="D416" s="2" t="s">
        <v>23</v>
      </c>
      <c r="E416" s="2" t="s">
        <v>29</v>
      </c>
      <c r="F416" s="1" t="s">
        <v>45</v>
      </c>
      <c r="G416" s="1" t="s">
        <v>44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6" s="2">
        <f>Games[[#This Row],[DaysOff]]-Games[[#This Row],[OppDaysOff]]</f>
        <v>4</v>
      </c>
      <c r="L416" s="2">
        <f>Games[[#This Row],[OppDaysOff]]-Games[[#This Row],[DaysOff]]</f>
        <v>-4</v>
      </c>
      <c r="M416" s="1">
        <f>MAX(-16, MIN(16, Games[[#This Row],[RestDiff]]*8))</f>
        <v>16</v>
      </c>
      <c r="N416" s="1">
        <f>MAX(-16, MIN(16, Games[[#This Row],[OppRestDiff]]*8))</f>
        <v>-16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1529.2208244798157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1501.6801682088389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0.46485821120037168</v>
      </c>
      <c r="R416" s="1">
        <v>69</v>
      </c>
      <c r="S416" s="1">
        <v>81</v>
      </c>
      <c r="T416" s="1">
        <v>0</v>
      </c>
      <c r="U416" s="1">
        <f>Games[[#This Row],[PointsFor]]-Games[[#This Row],[PointsAgainst]]</f>
        <v>-12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0.44589588857659912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71.5</v>
      </c>
      <c r="Z416" s="4">
        <f>Games[[#This Row],[K]]*Games[[#This Row],[POMult]]</f>
        <v>71.5</v>
      </c>
      <c r="AA416" s="4">
        <f>(Games[[#This Row],[Keff]]*Games[[#This Row],[MOVMult]])*(Games[[#This Row],[Result]]-Games[[#This Row],[ExpectedWin%]])</f>
        <v>-14.820403107890245</v>
      </c>
      <c r="AB416" s="4">
        <f>Games[[#This Row],[PreGmRate]]+Games[[#This Row],[RatingChange]]</f>
        <v>1514.4004213719254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39696</v>
      </c>
      <c r="B417" s="2">
        <v>2008</v>
      </c>
      <c r="C417" s="2">
        <f>COUNTIFS(Games[Team],Games[[#This Row],[Team]],Games[Season],Games[[#This Row],[Season]],Games[Date],"&lt;=" &amp; Games[[#This Row],[Date]])</f>
        <v>30</v>
      </c>
      <c r="D417" s="2" t="s">
        <v>23</v>
      </c>
      <c r="E417" s="2" t="s">
        <v>29</v>
      </c>
      <c r="F417" s="1" t="s">
        <v>44</v>
      </c>
      <c r="G417" s="1" t="s">
        <v>45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7" s="2">
        <f>Games[[#This Row],[DaysOff]]-Games[[#This Row],[OppDaysOff]]</f>
        <v>-4</v>
      </c>
      <c r="L417" s="2">
        <f>Games[[#This Row],[OppDaysOff]]-Games[[#This Row],[DaysOff]]</f>
        <v>4</v>
      </c>
      <c r="M417" s="1">
        <f>MAX(-16, MIN(16, Games[[#This Row],[RestDiff]]*8))</f>
        <v>-16</v>
      </c>
      <c r="N417" s="1">
        <f>MAX(-16, MIN(16, Games[[#This Row],[OppRestDiff]]*8))</f>
        <v>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1501.6801682088389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1529.2208244798157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0.53514178879962826</v>
      </c>
      <c r="R417" s="1">
        <v>81</v>
      </c>
      <c r="S417" s="1">
        <v>69</v>
      </c>
      <c r="T417" s="1">
        <v>0</v>
      </c>
      <c r="U417" s="1">
        <f>Games[[#This Row],[PointsFor]]-Games[[#This Row],[PointsAgainst]]</f>
        <v>12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0.44589588857659912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71.5</v>
      </c>
      <c r="Z417" s="4">
        <f>Games[[#This Row],[K]]*Games[[#This Row],[POMult]]</f>
        <v>71.5</v>
      </c>
      <c r="AA417" s="4">
        <f>(Games[[#This Row],[Keff]]*Games[[#This Row],[MOVMult]])*(Games[[#This Row],[Result]]-Games[[#This Row],[ExpectedWin%]])</f>
        <v>14.820403107890247</v>
      </c>
      <c r="AB417" s="4">
        <f>Games[[#This Row],[PreGmRate]]+Games[[#This Row],[RatingChange]]</f>
        <v>1516.5005713167293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39696</v>
      </c>
      <c r="B418" s="2">
        <v>2008</v>
      </c>
      <c r="C418" s="2">
        <f>COUNTIFS(Games[Team],Games[[#This Row],[Team]],Games[Season],Games[[#This Row],[Season]],Games[Date],"&lt;=" &amp; Games[[#This Row],[Date]])</f>
        <v>31</v>
      </c>
      <c r="D418" s="2" t="s">
        <v>23</v>
      </c>
      <c r="E418" s="2" t="s">
        <v>29</v>
      </c>
      <c r="F418" s="1" t="s">
        <v>69</v>
      </c>
      <c r="G418" s="1" t="s">
        <v>83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8" s="2">
        <f>Games[[#This Row],[DaysOff]]-Games[[#This Row],[OppDaysOff]]</f>
        <v>-2</v>
      </c>
      <c r="L418" s="2">
        <f>Games[[#This Row],[OppDaysOff]]-Games[[#This Row],[DaysOff]]</f>
        <v>2</v>
      </c>
      <c r="M418" s="1">
        <f>MAX(-16, MIN(16, Games[[#This Row],[RestDiff]]*8))</f>
        <v>-16</v>
      </c>
      <c r="N418" s="1">
        <f>MAX(-16, MIN(16, Games[[#This Row],[OppRestDiff]]*8))</f>
        <v>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1543.3073624054573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1591.1344608354941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0.2802817262081726</v>
      </c>
      <c r="R418" s="1">
        <v>58</v>
      </c>
      <c r="S418" s="1">
        <v>76</v>
      </c>
      <c r="T418" s="1">
        <v>0</v>
      </c>
      <c r="U418" s="1">
        <f>Games[[#This Row],[PointsFor]]-Games[[#This Row],[PointsAgainst]]</f>
        <v>-18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0.52587471403465225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71.349999999999994</v>
      </c>
      <c r="Z418" s="4">
        <f>Games[[#This Row],[K]]*Games[[#This Row],[POMult]]</f>
        <v>71.349999999999994</v>
      </c>
      <c r="AA418" s="4">
        <f>(Games[[#This Row],[Keff]]*Games[[#This Row],[MOVMult]])*(Games[[#This Row],[Result]]-Games[[#This Row],[ExpectedWin%]])</f>
        <v>-10.516495731355764</v>
      </c>
      <c r="AB418" s="4">
        <f>Games[[#This Row],[PreGmRate]]+Games[[#This Row],[RatingChange]]</f>
        <v>1532.7908666741016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39696</v>
      </c>
      <c r="B419" s="2">
        <v>2008</v>
      </c>
      <c r="C419" s="2">
        <f>COUNTIFS(Games[Team],Games[[#This Row],[Team]],Games[Season],Games[[#This Row],[Season]],Games[Date],"&lt;=" &amp; Games[[#This Row],[Date]])</f>
        <v>30</v>
      </c>
      <c r="D419" s="2" t="s">
        <v>23</v>
      </c>
      <c r="E419" s="2" t="s">
        <v>29</v>
      </c>
      <c r="F419" s="1" t="s">
        <v>83</v>
      </c>
      <c r="G419" s="1" t="s">
        <v>69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9" s="2">
        <f>Games[[#This Row],[DaysOff]]-Games[[#This Row],[OppDaysOff]]</f>
        <v>2</v>
      </c>
      <c r="L419" s="2">
        <f>Games[[#This Row],[OppDaysOff]]-Games[[#This Row],[DaysOff]]</f>
        <v>-2</v>
      </c>
      <c r="M419" s="1">
        <f>MAX(-16, MIN(16, Games[[#This Row],[RestDiff]]*8))</f>
        <v>16</v>
      </c>
      <c r="N419" s="1">
        <f>MAX(-16, MIN(16, Games[[#This Row],[OppRestDiff]]*8))</f>
        <v>-16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1591.1344608354941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1543.3073624054573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0.71971827379182729</v>
      </c>
      <c r="R419" s="1">
        <v>76</v>
      </c>
      <c r="S419" s="1">
        <v>58</v>
      </c>
      <c r="T419" s="1">
        <v>0</v>
      </c>
      <c r="U419" s="1">
        <f>Games[[#This Row],[PointsFor]]-Games[[#This Row],[PointsAgainst]]</f>
        <v>18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0.52587471403465225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71.5</v>
      </c>
      <c r="Z419" s="4">
        <f>Games[[#This Row],[K]]*Games[[#This Row],[POMult]]</f>
        <v>71.5</v>
      </c>
      <c r="AA419" s="4">
        <f>(Games[[#This Row],[Keff]]*Games[[#This Row],[MOVMult]])*(Games[[#This Row],[Result]]-Games[[#This Row],[ExpectedWin%]])</f>
        <v>10.538604692248599</v>
      </c>
      <c r="AB419" s="4">
        <f>Games[[#This Row],[PreGmRate]]+Games[[#This Row],[RatingChange]]</f>
        <v>1601.6730655277427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39697</v>
      </c>
      <c r="B420" s="2">
        <v>2008</v>
      </c>
      <c r="C420" s="2">
        <f>COUNTIFS(Games[Team],Games[[#This Row],[Team]],Games[Season],Games[[#This Row],[Season]],Games[Date],"&lt;=" &amp; Games[[#This Row],[Date]])</f>
        <v>32</v>
      </c>
      <c r="D420" s="2" t="s">
        <v>23</v>
      </c>
      <c r="E420" s="2" t="s">
        <v>29</v>
      </c>
      <c r="F420" s="1" t="s">
        <v>69</v>
      </c>
      <c r="G420" s="1" t="s">
        <v>2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0" s="2">
        <f>Games[[#This Row],[DaysOff]]-Games[[#This Row],[OppDaysOff]]</f>
        <v>-3</v>
      </c>
      <c r="L420" s="2">
        <f>Games[[#This Row],[OppDaysOff]]-Games[[#This Row],[DaysOff]]</f>
        <v>3</v>
      </c>
      <c r="M420" s="1">
        <f>MAX(-16, MIN(16, Games[[#This Row],[RestDiff]]*8))</f>
        <v>-16</v>
      </c>
      <c r="N420" s="1">
        <f>MAX(-16, MIN(16, Games[[#This Row],[OppRestDiff]]*8))</f>
        <v>16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1532.7908666741016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1489.1485168976087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0.39734879687309305</v>
      </c>
      <c r="R420" s="1">
        <v>84</v>
      </c>
      <c r="S420" s="1">
        <v>66</v>
      </c>
      <c r="T420" s="1">
        <v>0</v>
      </c>
      <c r="U420" s="1">
        <f>Games[[#This Row],[PointsFor]]-Games[[#This Row],[PointsAgainst]]</f>
        <v>18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0.52764423684149842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71.2</v>
      </c>
      <c r="Z420" s="4">
        <f>Games[[#This Row],[K]]*Games[[#This Row],[POMult]]</f>
        <v>71.2</v>
      </c>
      <c r="AA420" s="4">
        <f>(Games[[#This Row],[Keff]]*Games[[#This Row],[MOVMult]])*(Games[[#This Row],[Result]]-Games[[#This Row],[ExpectedWin%]])</f>
        <v>22.640562911872145</v>
      </c>
      <c r="AB420" s="4">
        <f>Games[[#This Row],[PreGmRate]]+Games[[#This Row],[RatingChange]]</f>
        <v>1555.4314295859738</v>
      </c>
      <c r="AC420" s="2">
        <f>IF(Games[[#This Row],[Type]]="R",IF(Games[[#This Row],[Result]]&gt;0.5,1,0),0)</f>
        <v>1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39697</v>
      </c>
      <c r="B421" s="2">
        <v>2008</v>
      </c>
      <c r="C421" s="2">
        <f>COUNTIFS(Games[Team],Games[[#This Row],[Team]],Games[Season],Games[[#This Row],[Season]],Games[Date],"&lt;=" &amp; Games[[#This Row],[Date]])</f>
        <v>30</v>
      </c>
      <c r="D421" s="2" t="s">
        <v>23</v>
      </c>
      <c r="E421" s="2" t="s">
        <v>29</v>
      </c>
      <c r="F421" s="1" t="s">
        <v>2</v>
      </c>
      <c r="G421" s="1" t="s">
        <v>69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1" s="2">
        <f>Games[[#This Row],[DaysOff]]-Games[[#This Row],[OppDaysOff]]</f>
        <v>3</v>
      </c>
      <c r="L421" s="2">
        <f>Games[[#This Row],[OppDaysOff]]-Games[[#This Row],[DaysOff]]</f>
        <v>-3</v>
      </c>
      <c r="M421" s="1">
        <f>MAX(-16, MIN(16, Games[[#This Row],[RestDiff]]*8))</f>
        <v>16</v>
      </c>
      <c r="N421" s="1">
        <f>MAX(-16, MIN(16, Games[[#This Row],[OppRestDiff]]*8))</f>
        <v>-16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1489.1485168976087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1532.7908666741016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0.6026512031269069</v>
      </c>
      <c r="R421" s="1">
        <v>66</v>
      </c>
      <c r="S421" s="1">
        <v>84</v>
      </c>
      <c r="T421" s="1">
        <v>0</v>
      </c>
      <c r="U421" s="1">
        <f>Games[[#This Row],[PointsFor]]-Games[[#This Row],[PointsAgainst]]</f>
        <v>-18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0.52764423684149842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71.5</v>
      </c>
      <c r="Z421" s="4">
        <f>Games[[#This Row],[K]]*Games[[#This Row],[POMult]]</f>
        <v>71.5</v>
      </c>
      <c r="AA421" s="4">
        <f>(Games[[#This Row],[Keff]]*Games[[#This Row],[MOVMult]])*(Games[[#This Row],[Result]]-Games[[#This Row],[ExpectedWin%]])</f>
        <v>-22.735958542118794</v>
      </c>
      <c r="AB421" s="4">
        <f>Games[[#This Row],[PreGmRate]]+Games[[#This Row],[RatingChange]]</f>
        <v>1466.4125583554899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1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39697</v>
      </c>
      <c r="B422" s="2">
        <v>2008</v>
      </c>
      <c r="C422" s="2">
        <f>COUNTIFS(Games[Team],Games[[#This Row],[Team]],Games[Season],Games[[#This Row],[Season]],Games[Date],"&lt;=" &amp; Games[[#This Row],[Date]])</f>
        <v>30</v>
      </c>
      <c r="D422" s="2" t="s">
        <v>23</v>
      </c>
      <c r="E422" s="2" t="s">
        <v>29</v>
      </c>
      <c r="F422" s="1" t="s">
        <v>76</v>
      </c>
      <c r="G422" s="1" t="s">
        <v>80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1</v>
      </c>
      <c r="L422" s="2">
        <f>Games[[#This Row],[OppDaysOff]]-Games[[#This Row],[DaysOff]]</f>
        <v>-1</v>
      </c>
      <c r="M422" s="1">
        <f>MAX(-16, MIN(16, Games[[#This Row],[RestDiff]]*8))</f>
        <v>8</v>
      </c>
      <c r="N422" s="1">
        <f>MAX(-16, MIN(16, Games[[#This Row],[OppRestDiff]]*8))</f>
        <v>-8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1477.8257067814448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1591.8535651083466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0.25964075266394893</v>
      </c>
      <c r="R422" s="1">
        <v>88</v>
      </c>
      <c r="S422" s="1">
        <v>96</v>
      </c>
      <c r="T422" s="1">
        <v>0</v>
      </c>
      <c r="U422" s="1">
        <f>Games[[#This Row],[PointsFor]]-Games[[#This Row],[PointsAgainst]]</f>
        <v>-8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0.3546185410383294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71.5</v>
      </c>
      <c r="Z422" s="4">
        <f>Games[[#This Row],[K]]*Games[[#This Row],[POMult]]</f>
        <v>71.5</v>
      </c>
      <c r="AA422" s="4">
        <f>(Games[[#This Row],[Keff]]*Games[[#This Row],[MOVMult]])*(Games[[#This Row],[Result]]-Games[[#This Row],[ExpectedWin%]])</f>
        <v>-6.5832498806205058</v>
      </c>
      <c r="AB422" s="4">
        <f>Games[[#This Row],[PreGmRate]]+Games[[#This Row],[RatingChange]]</f>
        <v>1471.2424569008242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1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39697</v>
      </c>
      <c r="B423" s="2">
        <v>2008</v>
      </c>
      <c r="C423" s="2">
        <f>COUNTIFS(Games[Team],Games[[#This Row],[Team]],Games[Season],Games[[#This Row],[Season]],Games[Date],"&lt;=" &amp; Games[[#This Row],[Date]])</f>
        <v>31</v>
      </c>
      <c r="D423" s="2" t="s">
        <v>23</v>
      </c>
      <c r="E423" s="2" t="s">
        <v>29</v>
      </c>
      <c r="F423" s="1" t="s">
        <v>80</v>
      </c>
      <c r="G423" s="1" t="s">
        <v>76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3" s="2">
        <f>Games[[#This Row],[DaysOff]]-Games[[#This Row],[OppDaysOff]]</f>
        <v>-1</v>
      </c>
      <c r="L423" s="2">
        <f>Games[[#This Row],[OppDaysOff]]-Games[[#This Row],[DaysOff]]</f>
        <v>1</v>
      </c>
      <c r="M423" s="1">
        <f>MAX(-16, MIN(16, Games[[#This Row],[RestDiff]]*8))</f>
        <v>-8</v>
      </c>
      <c r="N423" s="1">
        <f>MAX(-16, MIN(16, Games[[#This Row],[OppRestDiff]]*8))</f>
        <v>8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1591.8535651083466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1477.8257067814448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0.74035924733605107</v>
      </c>
      <c r="R423" s="1">
        <v>96</v>
      </c>
      <c r="S423" s="1">
        <v>88</v>
      </c>
      <c r="T423" s="1">
        <v>0</v>
      </c>
      <c r="U423" s="1">
        <f>Games[[#This Row],[PointsFor]]-Games[[#This Row],[PointsAgainst]]</f>
        <v>8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0.3546185410383294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71.349999999999994</v>
      </c>
      <c r="Z423" s="4">
        <f>Games[[#This Row],[K]]*Games[[#This Row],[POMult]]</f>
        <v>71.349999999999994</v>
      </c>
      <c r="AA423" s="4">
        <f>(Games[[#This Row],[Keff]]*Games[[#This Row],[MOVMult]])*(Games[[#This Row],[Result]]-Games[[#This Row],[ExpectedWin%]])</f>
        <v>6.5694388668849379</v>
      </c>
      <c r="AB423" s="4">
        <f>Games[[#This Row],[PreGmRate]]+Games[[#This Row],[RatingChange]]</f>
        <v>1598.4230039752315</v>
      </c>
      <c r="AC423" s="2">
        <f>IF(Games[[#This Row],[Type]]="R",IF(Games[[#This Row],[Result]]&gt;0.5,1,0),0)</f>
        <v>1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39697</v>
      </c>
      <c r="B424" s="2">
        <v>2008</v>
      </c>
      <c r="C424" s="2">
        <f>COUNTIFS(Games[Team],Games[[#This Row],[Team]],Games[Season],Games[[#This Row],[Season]],Games[Date],"&lt;=" &amp; Games[[#This Row],[Date]])</f>
        <v>31</v>
      </c>
      <c r="D424" s="2" t="s">
        <v>23</v>
      </c>
      <c r="E424" s="2" t="s">
        <v>29</v>
      </c>
      <c r="F424" s="1" t="s">
        <v>74</v>
      </c>
      <c r="G424" s="1" t="s">
        <v>72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4" s="2">
        <f>Games[[#This Row],[DaysOff]]-Games[[#This Row],[OppDaysOff]]</f>
        <v>-3</v>
      </c>
      <c r="L424" s="2">
        <f>Games[[#This Row],[OppDaysOff]]-Games[[#This Row],[DaysOff]]</f>
        <v>3</v>
      </c>
      <c r="M424" s="1">
        <f>MAX(-16, MIN(16, Games[[#This Row],[RestDiff]]*8))</f>
        <v>-16</v>
      </c>
      <c r="N424" s="1">
        <f>MAX(-16, MIN(16, Games[[#This Row],[OppRestDiff]]*8))</f>
        <v>16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1561.1517214287637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1391.9927401191046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0.57591048680868773</v>
      </c>
      <c r="R424" s="1">
        <v>84</v>
      </c>
      <c r="S424" s="1">
        <v>69</v>
      </c>
      <c r="T424" s="1">
        <v>0</v>
      </c>
      <c r="U424" s="1">
        <f>Games[[#This Row],[PointsFor]]-Games[[#This Row],[PointsAgainst]]</f>
        <v>15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0.44072137851903903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71.349999999999994</v>
      </c>
      <c r="Z424" s="4">
        <f>Games[[#This Row],[K]]*Games[[#This Row],[POMult]]</f>
        <v>71.349999999999994</v>
      </c>
      <c r="AA424" s="4">
        <f>(Games[[#This Row],[Keff]]*Games[[#This Row],[MOVMult]])*(Games[[#This Row],[Result]]-Games[[#This Row],[ExpectedWin%]])</f>
        <v>13.335694215913374</v>
      </c>
      <c r="AB424" s="4">
        <f>Games[[#This Row],[PreGmRate]]+Games[[#This Row],[RatingChange]]</f>
        <v>1574.4874156446772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39697</v>
      </c>
      <c r="B425" s="2">
        <v>2008</v>
      </c>
      <c r="C425" s="2">
        <f>COUNTIFS(Games[Team],Games[[#This Row],[Team]],Games[Season],Games[[#This Row],[Season]],Games[Date],"&lt;=" &amp; Games[[#This Row],[Date]])</f>
        <v>30</v>
      </c>
      <c r="D425" s="2" t="s">
        <v>23</v>
      </c>
      <c r="E425" s="2" t="s">
        <v>29</v>
      </c>
      <c r="F425" s="1" t="s">
        <v>72</v>
      </c>
      <c r="G425" s="1" t="s">
        <v>74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5" s="2">
        <f>Games[[#This Row],[DaysOff]]-Games[[#This Row],[OppDaysOff]]</f>
        <v>3</v>
      </c>
      <c r="L425" s="2">
        <f>Games[[#This Row],[OppDaysOff]]-Games[[#This Row],[DaysOff]]</f>
        <v>-3</v>
      </c>
      <c r="M425" s="1">
        <f>MAX(-16, MIN(16, Games[[#This Row],[RestDiff]]*8))</f>
        <v>16</v>
      </c>
      <c r="N425" s="1">
        <f>MAX(-16, MIN(16, Games[[#This Row],[OppRestDiff]]*8))</f>
        <v>-16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1391.9927401191046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1561.1517214287637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0.42408951319131227</v>
      </c>
      <c r="R425" s="1">
        <v>69</v>
      </c>
      <c r="S425" s="1">
        <v>84</v>
      </c>
      <c r="T425" s="1">
        <v>0</v>
      </c>
      <c r="U425" s="1">
        <f>Games[[#This Row],[PointsFor]]-Games[[#This Row],[PointsAgainst]]</f>
        <v>-15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0.44072137851903903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71.5</v>
      </c>
      <c r="Z425" s="4">
        <f>Games[[#This Row],[K]]*Games[[#This Row],[POMult]]</f>
        <v>71.5</v>
      </c>
      <c r="AA425" s="4">
        <f>(Games[[#This Row],[Keff]]*Games[[#This Row],[MOVMult]])*(Games[[#This Row],[Result]]-Games[[#This Row],[ExpectedWin%]])</f>
        <v>-13.363730013143748</v>
      </c>
      <c r="AB425" s="4">
        <f>Games[[#This Row],[PreGmRate]]+Games[[#This Row],[RatingChange]]</f>
        <v>1378.6290101059608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39698</v>
      </c>
      <c r="B426" s="2">
        <v>2008</v>
      </c>
      <c r="C426" s="2">
        <f>COUNTIFS(Games[Team],Games[[#This Row],[Team]],Games[Season],Games[[#This Row],[Season]],Games[Date],"&lt;=" &amp; Games[[#This Row],[Date]])</f>
        <v>31</v>
      </c>
      <c r="D426" s="2" t="s">
        <v>23</v>
      </c>
      <c r="E426" s="2" t="s">
        <v>29</v>
      </c>
      <c r="F426" s="1" t="s">
        <v>83</v>
      </c>
      <c r="G426" s="1" t="s">
        <v>85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1601.6730655277427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1610.8279008352486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0.36906214240804386</v>
      </c>
      <c r="R426" s="1">
        <v>85</v>
      </c>
      <c r="S426" s="1">
        <v>73</v>
      </c>
      <c r="T426" s="1">
        <v>0</v>
      </c>
      <c r="U426" s="1">
        <f>Games[[#This Row],[PointsFor]]-Games[[#This Row],[PointsAgainst]]</f>
        <v>12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0.45267596482186534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71.349999999999994</v>
      </c>
      <c r="Z426" s="4">
        <f>Games[[#This Row],[K]]*Games[[#This Row],[POMult]]</f>
        <v>71.349999999999994</v>
      </c>
      <c r="AA426" s="4">
        <f>(Games[[#This Row],[Keff]]*Games[[#This Row],[MOVMult]])*(Games[[#This Row],[Result]]-Games[[#This Row],[ExpectedWin%]])</f>
        <v>20.37830228459347</v>
      </c>
      <c r="AB426" s="4">
        <f>Games[[#This Row],[PreGmRate]]+Games[[#This Row],[RatingChange]]</f>
        <v>1622.0513678123361</v>
      </c>
      <c r="AC426" s="2">
        <f>IF(Games[[#This Row],[Type]]="R",IF(Games[[#This Row],[Result]]&gt;0.5,1,0),0)</f>
        <v>1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39698</v>
      </c>
      <c r="B427" s="2">
        <v>2008</v>
      </c>
      <c r="C427" s="2">
        <f>COUNTIFS(Games[Team],Games[[#This Row],[Team]],Games[Season],Games[[#This Row],[Season]],Games[Date],"&lt;=" &amp; Games[[#This Row],[Date]])</f>
        <v>31</v>
      </c>
      <c r="D427" s="2" t="s">
        <v>23</v>
      </c>
      <c r="E427" s="2" t="s">
        <v>29</v>
      </c>
      <c r="F427" s="1" t="s">
        <v>85</v>
      </c>
      <c r="G427" s="1" t="s">
        <v>83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1610.8279008352486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1601.6730655277427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0.6309378575919562</v>
      </c>
      <c r="R427" s="1">
        <v>73</v>
      </c>
      <c r="S427" s="1">
        <v>85</v>
      </c>
      <c r="T427" s="1">
        <v>0</v>
      </c>
      <c r="U427" s="1">
        <f>Games[[#This Row],[PointsFor]]-Games[[#This Row],[PointsAgainst]]</f>
        <v>-12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0.45267596482186534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71.349999999999994</v>
      </c>
      <c r="Z427" s="4">
        <f>Games[[#This Row],[K]]*Games[[#This Row],[POMult]]</f>
        <v>71.349999999999994</v>
      </c>
      <c r="AA427" s="4">
        <f>(Games[[#This Row],[Keff]]*Games[[#This Row],[MOVMult]])*(Games[[#This Row],[Result]]-Games[[#This Row],[ExpectedWin%]])</f>
        <v>-20.37830228459347</v>
      </c>
      <c r="AB427" s="4">
        <f>Games[[#This Row],[PreGmRate]]+Games[[#This Row],[RatingChange]]</f>
        <v>1590.4495985506551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1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39698</v>
      </c>
      <c r="B428" s="2">
        <v>2008</v>
      </c>
      <c r="C428" s="2">
        <f>COUNTIFS(Games[Team],Games[[#This Row],[Team]],Games[Season],Games[[#This Row],[Season]],Games[Date],"&lt;=" &amp; Games[[#This Row],[Date]])</f>
        <v>31</v>
      </c>
      <c r="D428" s="2" t="s">
        <v>23</v>
      </c>
      <c r="E428" s="2" t="s">
        <v>29</v>
      </c>
      <c r="F428" s="1" t="s">
        <v>86</v>
      </c>
      <c r="G428" s="1" t="s">
        <v>66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1445.2602944282567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1534.8855427978169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0.26904617501103917</v>
      </c>
      <c r="R428" s="1">
        <v>61</v>
      </c>
      <c r="S428" s="1">
        <v>69</v>
      </c>
      <c r="T428" s="1">
        <v>0</v>
      </c>
      <c r="U428" s="1">
        <f>Games[[#This Row],[PointsFor]]-Games[[#This Row],[PointsAgainst]]</f>
        <v>-8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0.36132872134190247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71.349999999999994</v>
      </c>
      <c r="Z428" s="4">
        <f>Games[[#This Row],[K]]*Games[[#This Row],[POMult]]</f>
        <v>71.349999999999994</v>
      </c>
      <c r="AA428" s="4">
        <f>(Games[[#This Row],[Keff]]*Games[[#This Row],[MOVMult]])*(Games[[#This Row],[Result]]-Games[[#This Row],[ExpectedWin%]])</f>
        <v>-6.9362267769449959</v>
      </c>
      <c r="AB428" s="4">
        <f>Games[[#This Row],[PreGmRate]]+Games[[#This Row],[RatingChange]]</f>
        <v>1438.3240676513117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39698</v>
      </c>
      <c r="B429" s="2">
        <v>2008</v>
      </c>
      <c r="C429" s="2">
        <f>COUNTIFS(Games[Team],Games[[#This Row],[Team]],Games[Season],Games[[#This Row],[Season]],Games[Date],"&lt;=" &amp; Games[[#This Row],[Date]])</f>
        <v>30</v>
      </c>
      <c r="D429" s="2" t="s">
        <v>23</v>
      </c>
      <c r="E429" s="2" t="s">
        <v>29</v>
      </c>
      <c r="F429" s="1" t="s">
        <v>66</v>
      </c>
      <c r="G429" s="1" t="s">
        <v>86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1534.8855427978169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1445.2602944282567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0.73095382498896089</v>
      </c>
      <c r="R429" s="1">
        <v>69</v>
      </c>
      <c r="S429" s="1">
        <v>61</v>
      </c>
      <c r="T429" s="1">
        <v>0</v>
      </c>
      <c r="U429" s="1">
        <f>Games[[#This Row],[PointsFor]]-Games[[#This Row],[PointsAgainst]]</f>
        <v>8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0.36132872134190247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71.5</v>
      </c>
      <c r="Z429" s="4">
        <f>Games[[#This Row],[K]]*Games[[#This Row],[POMult]]</f>
        <v>71.5</v>
      </c>
      <c r="AA429" s="4">
        <f>(Games[[#This Row],[Keff]]*Games[[#This Row],[MOVMult]])*(Games[[#This Row],[Result]]-Games[[#This Row],[ExpectedWin%]])</f>
        <v>6.9508088935047958</v>
      </c>
      <c r="AB429" s="4">
        <f>Games[[#This Row],[PreGmRate]]+Games[[#This Row],[RatingChange]]</f>
        <v>1541.8363516913216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39698</v>
      </c>
      <c r="B430" s="2">
        <v>2008</v>
      </c>
      <c r="C430" s="2">
        <f>COUNTIFS(Games[Team],Games[[#This Row],[Team]],Games[Season],Games[[#This Row],[Season]],Games[Date],"&lt;=" &amp; Games[[#This Row],[Date]])</f>
        <v>31</v>
      </c>
      <c r="D430" s="2" t="s">
        <v>23</v>
      </c>
      <c r="E430" s="2" t="s">
        <v>29</v>
      </c>
      <c r="F430" s="1" t="s">
        <v>2</v>
      </c>
      <c r="G430" s="1" t="s">
        <v>44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-1</v>
      </c>
      <c r="L430" s="2">
        <f>Games[[#This Row],[OppDaysOff]]-Games[[#This Row],[DaysOff]]</f>
        <v>1</v>
      </c>
      <c r="M430" s="1">
        <f>MAX(-16, MIN(16, Games[[#This Row],[RestDiff]]*8))</f>
        <v>-8</v>
      </c>
      <c r="N430" s="1">
        <f>MAX(-16, MIN(16, Games[[#This Row],[OppRestDiff]]*8))</f>
        <v>8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1466.4125583554899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1516.5005713167293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0.2965093041227998</v>
      </c>
      <c r="R430" s="1">
        <v>74</v>
      </c>
      <c r="S430" s="1">
        <v>99</v>
      </c>
      <c r="T430" s="1">
        <v>0</v>
      </c>
      <c r="U430" s="1">
        <f>Games[[#This Row],[PointsFor]]-Games[[#This Row],[PointsAgainst]]</f>
        <v>-25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0.61564755928626824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71.349999999999994</v>
      </c>
      <c r="Z430" s="4">
        <f>Games[[#This Row],[K]]*Games[[#This Row],[POMult]]</f>
        <v>71.349999999999994</v>
      </c>
      <c r="AA430" s="4">
        <f>(Games[[#This Row],[Keff]]*Games[[#This Row],[MOVMult]])*(Games[[#This Row],[Result]]-Games[[#This Row],[ExpectedWin%]])</f>
        <v>-13.024602116895984</v>
      </c>
      <c r="AB430" s="4">
        <f>Games[[#This Row],[PreGmRate]]+Games[[#This Row],[RatingChange]]</f>
        <v>1453.3879562385939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1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39698</v>
      </c>
      <c r="B431" s="2">
        <v>2008</v>
      </c>
      <c r="C431" s="2">
        <f>COUNTIFS(Games[Team],Games[[#This Row],[Team]],Games[Season],Games[[#This Row],[Season]],Games[Date],"&lt;=" &amp; Games[[#This Row],[Date]])</f>
        <v>31</v>
      </c>
      <c r="D431" s="2" t="s">
        <v>23</v>
      </c>
      <c r="E431" s="2" t="s">
        <v>29</v>
      </c>
      <c r="F431" s="1" t="s">
        <v>44</v>
      </c>
      <c r="G431" s="1" t="s">
        <v>2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1" s="2">
        <f>Games[[#This Row],[DaysOff]]-Games[[#This Row],[OppDaysOff]]</f>
        <v>1</v>
      </c>
      <c r="L431" s="2">
        <f>Games[[#This Row],[OppDaysOff]]-Games[[#This Row],[DaysOff]]</f>
        <v>-1</v>
      </c>
      <c r="M431" s="1">
        <f>MAX(-16, MIN(16, Games[[#This Row],[RestDiff]]*8))</f>
        <v>8</v>
      </c>
      <c r="N431" s="1">
        <f>MAX(-16, MIN(16, Games[[#This Row],[OppRestDiff]]*8))</f>
        <v>-8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1516.5005713167293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1466.4125583554899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0.70349069587720015</v>
      </c>
      <c r="R431" s="1">
        <v>99</v>
      </c>
      <c r="S431" s="1">
        <v>74</v>
      </c>
      <c r="T431" s="1">
        <v>0</v>
      </c>
      <c r="U431" s="1">
        <f>Games[[#This Row],[PointsFor]]-Games[[#This Row],[PointsAgainst]]</f>
        <v>25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0.61564755928626824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71.349999999999994</v>
      </c>
      <c r="Z431" s="4">
        <f>Games[[#This Row],[K]]*Games[[#This Row],[POMult]]</f>
        <v>71.349999999999994</v>
      </c>
      <c r="AA431" s="4">
        <f>(Games[[#This Row],[Keff]]*Games[[#This Row],[MOVMult]])*(Games[[#This Row],[Result]]-Games[[#This Row],[ExpectedWin%]])</f>
        <v>13.024602116895986</v>
      </c>
      <c r="AB431" s="4">
        <f>Games[[#This Row],[PreGmRate]]+Games[[#This Row],[RatingChange]]</f>
        <v>1529.5251734336252</v>
      </c>
      <c r="AC431" s="2">
        <f>IF(Games[[#This Row],[Type]]="R",IF(Games[[#This Row],[Result]]&gt;0.5,1,0),0)</f>
        <v>1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39698</v>
      </c>
      <c r="B432" s="2">
        <v>2008</v>
      </c>
      <c r="C432" s="2">
        <f>COUNTIFS(Games[Team],Games[[#This Row],[Team]],Games[Season],Games[[#This Row],[Season]],Games[Date],"&lt;=" &amp; Games[[#This Row],[Date]])</f>
        <v>31</v>
      </c>
      <c r="D432" s="2" t="s">
        <v>23</v>
      </c>
      <c r="E432" s="2" t="s">
        <v>29</v>
      </c>
      <c r="F432" s="1" t="s">
        <v>76</v>
      </c>
      <c r="G432" s="1" t="s">
        <v>45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-1</v>
      </c>
      <c r="L432" s="2">
        <f>Games[[#This Row],[OppDaysOff]]-Games[[#This Row],[DaysOff]]</f>
        <v>1</v>
      </c>
      <c r="M432" s="1">
        <f>MAX(-16, MIN(16, Games[[#This Row],[RestDiff]]*8))</f>
        <v>-8</v>
      </c>
      <c r="N432" s="1">
        <f>MAX(-16, MIN(16, Games[[#This Row],[OppRestDiff]]*8))</f>
        <v>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1471.2424569008242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1514.4004213719254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0.30489753704995154</v>
      </c>
      <c r="R432" s="1">
        <v>71</v>
      </c>
      <c r="S432" s="1">
        <v>78</v>
      </c>
      <c r="T432" s="1">
        <v>0</v>
      </c>
      <c r="U432" s="1">
        <f>Games[[#This Row],[PointsFor]]-Games[[#This Row],[PointsAgainst]]</f>
        <v>-7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0.35725838523951181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71.349999999999994</v>
      </c>
      <c r="Z432" s="4">
        <f>Games[[#This Row],[K]]*Games[[#This Row],[POMult]]</f>
        <v>71.349999999999994</v>
      </c>
      <c r="AA432" s="4">
        <f>(Games[[#This Row],[Keff]]*Games[[#This Row],[MOVMult]])*(Games[[#This Row],[Result]]-Games[[#This Row],[ExpectedWin%]])</f>
        <v>-7.7719558448603525</v>
      </c>
      <c r="AB432" s="4">
        <f>Games[[#This Row],[PreGmRate]]+Games[[#This Row],[RatingChange]]</f>
        <v>1463.470501055964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1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39698</v>
      </c>
      <c r="B433" s="2">
        <v>2008</v>
      </c>
      <c r="C433" s="2">
        <f>COUNTIFS(Games[Team],Games[[#This Row],[Team]],Games[Season],Games[[#This Row],[Season]],Games[Date],"&lt;=" &amp; Games[[#This Row],[Date]])</f>
        <v>31</v>
      </c>
      <c r="D433" s="2" t="s">
        <v>23</v>
      </c>
      <c r="E433" s="2" t="s">
        <v>29</v>
      </c>
      <c r="F433" s="1" t="s">
        <v>45</v>
      </c>
      <c r="G433" s="1" t="s">
        <v>76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3" s="2">
        <f>Games[[#This Row],[DaysOff]]-Games[[#This Row],[OppDaysOff]]</f>
        <v>1</v>
      </c>
      <c r="L433" s="2">
        <f>Games[[#This Row],[OppDaysOff]]-Games[[#This Row],[DaysOff]]</f>
        <v>-1</v>
      </c>
      <c r="M433" s="1">
        <f>MAX(-16, MIN(16, Games[[#This Row],[RestDiff]]*8))</f>
        <v>8</v>
      </c>
      <c r="N433" s="1">
        <f>MAX(-16, MIN(16, Games[[#This Row],[OppRestDiff]]*8))</f>
        <v>-8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1514.4004213719254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1471.2424569008242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0.69510246295004841</v>
      </c>
      <c r="R433" s="1">
        <v>78</v>
      </c>
      <c r="S433" s="1">
        <v>71</v>
      </c>
      <c r="T433" s="1">
        <v>0</v>
      </c>
      <c r="U433" s="1">
        <f>Games[[#This Row],[PointsFor]]-Games[[#This Row],[PointsAgainst]]</f>
        <v>7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0.35725838523951181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71.349999999999994</v>
      </c>
      <c r="Z433" s="4">
        <f>Games[[#This Row],[K]]*Games[[#This Row],[POMult]]</f>
        <v>71.349999999999994</v>
      </c>
      <c r="AA433" s="4">
        <f>(Games[[#This Row],[Keff]]*Games[[#This Row],[MOVMult]])*(Games[[#This Row],[Result]]-Games[[#This Row],[ExpectedWin%]])</f>
        <v>7.7719558448603543</v>
      </c>
      <c r="AB433" s="4">
        <f>Games[[#This Row],[PreGmRate]]+Games[[#This Row],[RatingChange]]</f>
        <v>1522.1723772167857</v>
      </c>
      <c r="AC433" s="2">
        <f>IF(Games[[#This Row],[Type]]="R",IF(Games[[#This Row],[Result]]&gt;0.5,1,0),0)</f>
        <v>1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39699</v>
      </c>
      <c r="B434" s="2">
        <v>2008</v>
      </c>
      <c r="C434" s="2">
        <f>COUNTIFS(Games[Team],Games[[#This Row],[Team]],Games[Season],Games[[#This Row],[Season]],Games[Date],"&lt;=" &amp; Games[[#This Row],[Date]])</f>
        <v>31</v>
      </c>
      <c r="D434" s="2" t="s">
        <v>23</v>
      </c>
      <c r="E434" s="2" t="s">
        <v>29</v>
      </c>
      <c r="F434" s="1" t="s">
        <v>78</v>
      </c>
      <c r="G434" s="1" t="s">
        <v>88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1483.9107615176863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1273.6713215161892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0.67407907419669733</v>
      </c>
      <c r="R434" s="1">
        <v>81</v>
      </c>
      <c r="S434" s="1">
        <v>77</v>
      </c>
      <c r="T434" s="1">
        <v>0</v>
      </c>
      <c r="U434" s="1">
        <f>Games[[#This Row],[PointsFor]]-Games[[#This Row],[PointsAgainst]]</f>
        <v>4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0.26500413425131442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71.349999999999994</v>
      </c>
      <c r="Z434" s="4">
        <f>Games[[#This Row],[K]]*Games[[#This Row],[POMult]]</f>
        <v>71.349999999999994</v>
      </c>
      <c r="AA434" s="4">
        <f>(Games[[#This Row],[Keff]]*Games[[#This Row],[MOVMult]])*(Games[[#This Row],[Result]]-Games[[#This Row],[ExpectedWin%]])</f>
        <v>6.1625275246311793</v>
      </c>
      <c r="AB434" s="4">
        <f>Games[[#This Row],[PreGmRate]]+Games[[#This Row],[RatingChange]]</f>
        <v>1490.0732890423176</v>
      </c>
      <c r="AC434" s="2">
        <f>IF(Games[[#This Row],[Type]]="R",IF(Games[[#This Row],[Result]]&gt;0.5,1,0),0)</f>
        <v>1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39699</v>
      </c>
      <c r="B435" s="2">
        <v>2008</v>
      </c>
      <c r="C435" s="2">
        <f>COUNTIFS(Games[Team],Games[[#This Row],[Team]],Games[Season],Games[[#This Row],[Season]],Games[Date],"&lt;=" &amp; Games[[#This Row],[Date]])</f>
        <v>32</v>
      </c>
      <c r="D435" s="2" t="s">
        <v>23</v>
      </c>
      <c r="E435" s="2" t="s">
        <v>29</v>
      </c>
      <c r="F435" s="1" t="s">
        <v>88</v>
      </c>
      <c r="G435" s="1" t="s">
        <v>78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1273.6713215161892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1483.9107615176863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0.32592092580330267</v>
      </c>
      <c r="R435" s="1">
        <v>77</v>
      </c>
      <c r="S435" s="1">
        <v>81</v>
      </c>
      <c r="T435" s="1">
        <v>0</v>
      </c>
      <c r="U435" s="1">
        <f>Games[[#This Row],[PointsFor]]-Games[[#This Row],[PointsAgainst]]</f>
        <v>-4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0.26500413425131442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71.2</v>
      </c>
      <c r="Z435" s="4">
        <f>Games[[#This Row],[K]]*Games[[#This Row],[POMult]]</f>
        <v>71.2</v>
      </c>
      <c r="AA435" s="4">
        <f>(Games[[#This Row],[Keff]]*Games[[#This Row],[MOVMult]])*(Games[[#This Row],[Result]]-Games[[#This Row],[ExpectedWin%]])</f>
        <v>-6.1495719657146468</v>
      </c>
      <c r="AB435" s="4">
        <f>Games[[#This Row],[PreGmRate]]+Games[[#This Row],[RatingChange]]</f>
        <v>1267.5217495504746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1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39700</v>
      </c>
      <c r="B436" s="2">
        <v>2008</v>
      </c>
      <c r="C436" s="2">
        <f>COUNTIFS(Games[Team],Games[[#This Row],[Team]],Games[Season],Games[[#This Row],[Season]],Games[Date],"&lt;=" &amp; Games[[#This Row],[Date]])</f>
        <v>31</v>
      </c>
      <c r="D436" s="2" t="s">
        <v>23</v>
      </c>
      <c r="E436" s="2" t="s">
        <v>29</v>
      </c>
      <c r="F436" s="1" t="s">
        <v>72</v>
      </c>
      <c r="G436" s="1" t="s">
        <v>86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1</v>
      </c>
      <c r="L436" s="2">
        <f>Games[[#This Row],[OppDaysOff]]-Games[[#This Row],[DaysOff]]</f>
        <v>-1</v>
      </c>
      <c r="M436" s="1">
        <f>MAX(-16, MIN(16, Games[[#This Row],[RestDiff]]*8))</f>
        <v>8</v>
      </c>
      <c r="N436" s="1">
        <f>MAX(-16, MIN(16, Games[[#This Row],[OppRestDiff]]*8))</f>
        <v>-8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1378.6290101059608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1438.3240676513117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0.3240827353251024</v>
      </c>
      <c r="R436" s="1">
        <v>59</v>
      </c>
      <c r="S436" s="1">
        <v>78</v>
      </c>
      <c r="T436" s="1">
        <v>0</v>
      </c>
      <c r="U436" s="1">
        <f>Games[[#This Row],[PointsFor]]-Games[[#This Row],[PointsAgainst]]</f>
        <v>-19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0.53439368777033125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71.349999999999994</v>
      </c>
      <c r="Z436" s="4">
        <f>Games[[#This Row],[K]]*Games[[#This Row],[POMult]]</f>
        <v>71.349999999999994</v>
      </c>
      <c r="AA436" s="4">
        <f>(Games[[#This Row],[Keff]]*Games[[#This Row],[MOVMult]])*(Games[[#This Row],[Result]]-Games[[#This Row],[ExpectedWin%]])</f>
        <v>-12.356947252014091</v>
      </c>
      <c r="AB436" s="4">
        <f>Games[[#This Row],[PreGmRate]]+Games[[#This Row],[RatingChange]]</f>
        <v>1366.2720628539466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39700</v>
      </c>
      <c r="B437" s="2">
        <v>2008</v>
      </c>
      <c r="C437" s="2">
        <f>COUNTIFS(Games[Team],Games[[#This Row],[Team]],Games[Season],Games[[#This Row],[Season]],Games[Date],"&lt;=" &amp; Games[[#This Row],[Date]])</f>
        <v>32</v>
      </c>
      <c r="D437" s="2" t="s">
        <v>23</v>
      </c>
      <c r="E437" s="2" t="s">
        <v>29</v>
      </c>
      <c r="F437" s="1" t="s">
        <v>86</v>
      </c>
      <c r="G437" s="1" t="s">
        <v>72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-1</v>
      </c>
      <c r="L437" s="2">
        <f>Games[[#This Row],[OppDaysOff]]-Games[[#This Row],[DaysOff]]</f>
        <v>1</v>
      </c>
      <c r="M437" s="1">
        <f>MAX(-16, MIN(16, Games[[#This Row],[RestDiff]]*8))</f>
        <v>-8</v>
      </c>
      <c r="N437" s="1">
        <f>MAX(-16, MIN(16, Games[[#This Row],[OppRestDiff]]*8))</f>
        <v>8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1438.3240676513117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1378.6290101059608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0.67591726467489766</v>
      </c>
      <c r="R437" s="1">
        <v>78</v>
      </c>
      <c r="S437" s="1">
        <v>59</v>
      </c>
      <c r="T437" s="1">
        <v>0</v>
      </c>
      <c r="U437" s="1">
        <f>Games[[#This Row],[PointsFor]]-Games[[#This Row],[PointsAgainst]]</f>
        <v>19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0.53439368777033125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71.2</v>
      </c>
      <c r="Z437" s="4">
        <f>Games[[#This Row],[K]]*Games[[#This Row],[POMult]]</f>
        <v>71.2</v>
      </c>
      <c r="AA437" s="4">
        <f>(Games[[#This Row],[Keff]]*Games[[#This Row],[MOVMult]])*(Games[[#This Row],[Result]]-Games[[#This Row],[ExpectedWin%]])</f>
        <v>12.330969086803128</v>
      </c>
      <c r="AB437" s="4">
        <f>Games[[#This Row],[PreGmRate]]+Games[[#This Row],[RatingChange]]</f>
        <v>1450.6550367381149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39700</v>
      </c>
      <c r="B438" s="2">
        <v>2008</v>
      </c>
      <c r="C438" s="2">
        <f>COUNTIFS(Games[Team],Games[[#This Row],[Team]],Games[Season],Games[[#This Row],[Season]],Games[Date],"&lt;=" &amp; Games[[#This Row],[Date]])</f>
        <v>32</v>
      </c>
      <c r="D438" s="2" t="s">
        <v>23</v>
      </c>
      <c r="E438" s="2" t="s">
        <v>29</v>
      </c>
      <c r="F438" s="1" t="s">
        <v>44</v>
      </c>
      <c r="G438" s="1" t="s">
        <v>74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-1</v>
      </c>
      <c r="L438" s="2">
        <f>Games[[#This Row],[OppDaysOff]]-Games[[#This Row],[DaysOff]]</f>
        <v>1</v>
      </c>
      <c r="M438" s="1">
        <f>MAX(-16, MIN(16, Games[[#This Row],[RestDiff]]*8))</f>
        <v>-8</v>
      </c>
      <c r="N438" s="1">
        <f>MAX(-16, MIN(16, Games[[#This Row],[OppRestDiff]]*8))</f>
        <v>8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1529.5251734336252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1574.4874156446772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0.30270079643996012</v>
      </c>
      <c r="R438" s="1">
        <v>78</v>
      </c>
      <c r="S438" s="1">
        <v>89</v>
      </c>
      <c r="T438" s="1">
        <v>0</v>
      </c>
      <c r="U438" s="1">
        <f>Games[[#This Row],[PointsFor]]-Games[[#This Row],[PointsAgainst]]</f>
        <v>-11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0.42395114198144651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71.2</v>
      </c>
      <c r="Z438" s="4">
        <f>Games[[#This Row],[K]]*Games[[#This Row],[POMult]]</f>
        <v>71.2</v>
      </c>
      <c r="AA438" s="4">
        <f>(Games[[#This Row],[Keff]]*Games[[#This Row],[MOVMult]])*(Games[[#This Row],[Result]]-Games[[#This Row],[ExpectedWin%]])</f>
        <v>-9.1371208010543103</v>
      </c>
      <c r="AB438" s="4">
        <f>Games[[#This Row],[PreGmRate]]+Games[[#This Row],[RatingChange]]</f>
        <v>1520.3880526325709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39700</v>
      </c>
      <c r="B439" s="2">
        <v>2008</v>
      </c>
      <c r="C439" s="2">
        <f>COUNTIFS(Games[Team],Games[[#This Row],[Team]],Games[Season],Games[[#This Row],[Season]],Games[Date],"&lt;=" &amp; Games[[#This Row],[Date]])</f>
        <v>32</v>
      </c>
      <c r="D439" s="2" t="s">
        <v>23</v>
      </c>
      <c r="E439" s="2" t="s">
        <v>29</v>
      </c>
      <c r="F439" s="1" t="s">
        <v>74</v>
      </c>
      <c r="G439" s="1" t="s">
        <v>44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1</v>
      </c>
      <c r="L439" s="2">
        <f>Games[[#This Row],[OppDaysOff]]-Games[[#This Row],[DaysOff]]</f>
        <v>-1</v>
      </c>
      <c r="M439" s="1">
        <f>MAX(-16, MIN(16, Games[[#This Row],[RestDiff]]*8))</f>
        <v>8</v>
      </c>
      <c r="N439" s="1">
        <f>MAX(-16, MIN(16, Games[[#This Row],[OppRestDiff]]*8))</f>
        <v>-8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1574.4874156446772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1529.5251734336252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0.69729920356003983</v>
      </c>
      <c r="R439" s="1">
        <v>89</v>
      </c>
      <c r="S439" s="1">
        <v>78</v>
      </c>
      <c r="T439" s="1">
        <v>0</v>
      </c>
      <c r="U439" s="1">
        <f>Games[[#This Row],[PointsFor]]-Games[[#This Row],[PointsAgainst]]</f>
        <v>11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0.42395114198144651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71.2</v>
      </c>
      <c r="Z439" s="4">
        <f>Games[[#This Row],[K]]*Games[[#This Row],[POMult]]</f>
        <v>71.2</v>
      </c>
      <c r="AA439" s="4">
        <f>(Games[[#This Row],[Keff]]*Games[[#This Row],[MOVMult]])*(Games[[#This Row],[Result]]-Games[[#This Row],[ExpectedWin%]])</f>
        <v>9.1371208010543121</v>
      </c>
      <c r="AB439" s="4">
        <f>Games[[#This Row],[PreGmRate]]+Games[[#This Row],[RatingChange]]</f>
        <v>1583.6245364457316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39700</v>
      </c>
      <c r="B440" s="2">
        <v>2008</v>
      </c>
      <c r="C440" s="2">
        <f>COUNTIFS(Games[Team],Games[[#This Row],[Team]],Games[Season],Games[[#This Row],[Season]],Games[Date],"&lt;=" &amp; Games[[#This Row],[Date]])</f>
        <v>32</v>
      </c>
      <c r="D440" s="2" t="s">
        <v>23</v>
      </c>
      <c r="E440" s="2" t="s">
        <v>29</v>
      </c>
      <c r="F440" s="1" t="s">
        <v>85</v>
      </c>
      <c r="G440" s="1" t="s">
        <v>2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1590.4495985506551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1453.3879562385939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0.57577362774996454</v>
      </c>
      <c r="R440" s="1">
        <v>68</v>
      </c>
      <c r="S440" s="1">
        <v>75</v>
      </c>
      <c r="T440" s="1">
        <v>0</v>
      </c>
      <c r="U440" s="1">
        <f>Games[[#This Row],[PointsFor]]-Games[[#This Row],[PointsAgainst]]</f>
        <v>-7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0.33216763754929957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71.2</v>
      </c>
      <c r="Z440" s="4">
        <f>Games[[#This Row],[K]]*Games[[#This Row],[POMult]]</f>
        <v>71.2</v>
      </c>
      <c r="AA440" s="4">
        <f>(Games[[#This Row],[Keff]]*Games[[#This Row],[MOVMult]])*(Games[[#This Row],[Result]]-Games[[#This Row],[ExpectedWin%]])</f>
        <v>-13.617239637334164</v>
      </c>
      <c r="AB440" s="4">
        <f>Games[[#This Row],[PreGmRate]]+Games[[#This Row],[RatingChange]]</f>
        <v>1576.8323589133208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39700</v>
      </c>
      <c r="B441" s="2">
        <v>2008</v>
      </c>
      <c r="C441" s="2">
        <f>COUNTIFS(Games[Team],Games[[#This Row],[Team]],Games[Season],Games[[#This Row],[Season]],Games[Date],"&lt;=" &amp; Games[[#This Row],[Date]])</f>
        <v>32</v>
      </c>
      <c r="D441" s="2" t="s">
        <v>23</v>
      </c>
      <c r="E441" s="2" t="s">
        <v>29</v>
      </c>
      <c r="F441" s="1" t="s">
        <v>2</v>
      </c>
      <c r="G441" s="1" t="s">
        <v>85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1453.3879562385939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1590.4495985506551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0.42422637225003557</v>
      </c>
      <c r="R441" s="1">
        <v>75</v>
      </c>
      <c r="S441" s="1">
        <v>68</v>
      </c>
      <c r="T441" s="1">
        <v>0</v>
      </c>
      <c r="U441" s="1">
        <f>Games[[#This Row],[PointsFor]]-Games[[#This Row],[PointsAgainst]]</f>
        <v>7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0.33216763754929957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71.2</v>
      </c>
      <c r="Z441" s="4">
        <f>Games[[#This Row],[K]]*Games[[#This Row],[POMult]]</f>
        <v>71.2</v>
      </c>
      <c r="AA441" s="4">
        <f>(Games[[#This Row],[Keff]]*Games[[#This Row],[MOVMult]])*(Games[[#This Row],[Result]]-Games[[#This Row],[ExpectedWin%]])</f>
        <v>13.617239637334162</v>
      </c>
      <c r="AB441" s="4">
        <f>Games[[#This Row],[PreGmRate]]+Games[[#This Row],[RatingChange]]</f>
        <v>1467.0051958759282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39700</v>
      </c>
      <c r="B442" s="2">
        <v>2008</v>
      </c>
      <c r="C442" s="2">
        <f>COUNTIFS(Games[Team],Games[[#This Row],[Team]],Games[Season],Games[[#This Row],[Season]],Games[Date],"&lt;=" &amp; Games[[#This Row],[Date]])</f>
        <v>32</v>
      </c>
      <c r="D442" s="2" t="s">
        <v>23</v>
      </c>
      <c r="E442" s="2" t="s">
        <v>29</v>
      </c>
      <c r="F442" s="1" t="s">
        <v>78</v>
      </c>
      <c r="G442" s="1" t="s">
        <v>76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-1</v>
      </c>
      <c r="L442" s="2">
        <f>Games[[#This Row],[OppDaysOff]]-Games[[#This Row],[DaysOff]]</f>
        <v>1</v>
      </c>
      <c r="M442" s="1">
        <f>MAX(-16, MIN(16, Games[[#This Row],[RestDiff]]*8))</f>
        <v>-8</v>
      </c>
      <c r="N442" s="1">
        <f>MAX(-16, MIN(16, Games[[#This Row],[OppRestDiff]]*8))</f>
        <v>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1490.0732890423176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1463.470501055964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0.39591668830864085</v>
      </c>
      <c r="R442" s="1">
        <v>76</v>
      </c>
      <c r="S442" s="1">
        <v>86</v>
      </c>
      <c r="T442" s="1">
        <v>0</v>
      </c>
      <c r="U442" s="1">
        <f>Games[[#This Row],[PointsFor]]-Games[[#This Row],[PointsAgainst]]</f>
        <v>-10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0.41395278420351161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71.2</v>
      </c>
      <c r="Z442" s="4">
        <f>Games[[#This Row],[K]]*Games[[#This Row],[POMult]]</f>
        <v>71.2</v>
      </c>
      <c r="AA442" s="4">
        <f>(Games[[#This Row],[Keff]]*Games[[#This Row],[MOVMult]])*(Games[[#This Row],[Result]]-Games[[#This Row],[ExpectedWin%]])</f>
        <v>-11.669026059185301</v>
      </c>
      <c r="AB442" s="4">
        <f>Games[[#This Row],[PreGmRate]]+Games[[#This Row],[RatingChange]]</f>
        <v>1478.4042629831322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39700</v>
      </c>
      <c r="B443" s="2">
        <v>2008</v>
      </c>
      <c r="C443" s="2">
        <f>COUNTIFS(Games[Team],Games[[#This Row],[Team]],Games[Season],Games[[#This Row],[Season]],Games[Date],"&lt;=" &amp; Games[[#This Row],[Date]])</f>
        <v>32</v>
      </c>
      <c r="D443" s="2" t="s">
        <v>23</v>
      </c>
      <c r="E443" s="2" t="s">
        <v>29</v>
      </c>
      <c r="F443" s="1" t="s">
        <v>76</v>
      </c>
      <c r="G443" s="1" t="s">
        <v>78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3" s="2">
        <f>Games[[#This Row],[DaysOff]]-Games[[#This Row],[OppDaysOff]]</f>
        <v>1</v>
      </c>
      <c r="L443" s="2">
        <f>Games[[#This Row],[OppDaysOff]]-Games[[#This Row],[DaysOff]]</f>
        <v>-1</v>
      </c>
      <c r="M443" s="1">
        <f>MAX(-16, MIN(16, Games[[#This Row],[RestDiff]]*8))</f>
        <v>8</v>
      </c>
      <c r="N443" s="1">
        <f>MAX(-16, MIN(16, Games[[#This Row],[OppRestDiff]]*8))</f>
        <v>-8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1463.470501055964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1490.0732890423176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0.6040833116913592</v>
      </c>
      <c r="R443" s="1">
        <v>86</v>
      </c>
      <c r="S443" s="1">
        <v>76</v>
      </c>
      <c r="T443" s="1">
        <v>0</v>
      </c>
      <c r="U443" s="1">
        <f>Games[[#This Row],[PointsFor]]-Games[[#This Row],[PointsAgainst]]</f>
        <v>10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0.41395278420351161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71.2</v>
      </c>
      <c r="Z443" s="4">
        <f>Games[[#This Row],[K]]*Games[[#This Row],[POMult]]</f>
        <v>71.2</v>
      </c>
      <c r="AA443" s="4">
        <f>(Games[[#This Row],[Keff]]*Games[[#This Row],[MOVMult]])*(Games[[#This Row],[Result]]-Games[[#This Row],[ExpectedWin%]])</f>
        <v>11.669026059185299</v>
      </c>
      <c r="AB443" s="4">
        <f>Games[[#This Row],[PreGmRate]]+Games[[#This Row],[RatingChange]]</f>
        <v>1475.1395271151493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39700</v>
      </c>
      <c r="B444" s="2">
        <v>2008</v>
      </c>
      <c r="C444" s="2">
        <f>COUNTIFS(Games[Team],Games[[#This Row],[Team]],Games[Season],Games[[#This Row],[Season]],Games[Date],"&lt;=" &amp; Games[[#This Row],[Date]])</f>
        <v>32</v>
      </c>
      <c r="D444" s="2" t="s">
        <v>23</v>
      </c>
      <c r="E444" s="2" t="s">
        <v>29</v>
      </c>
      <c r="F444" s="1" t="s">
        <v>83</v>
      </c>
      <c r="G444" s="1" t="s">
        <v>66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1622.0513678123361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1541.8363516913216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0.49455318581461466</v>
      </c>
      <c r="R444" s="1">
        <v>82</v>
      </c>
      <c r="S444" s="1">
        <v>76</v>
      </c>
      <c r="T444" s="1">
        <v>0</v>
      </c>
      <c r="U444" s="1">
        <f>Games[[#This Row],[PointsFor]]-Games[[#This Row],[PointsAgainst]]</f>
        <v>6</v>
      </c>
      <c r="V444" s="1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0.3292704022379187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4" s="9">
        <f>MAX(kmin, kmax - 0.15 * MIN(Games[[#This Row],[GamesPlayed]], 82))</f>
        <v>71.2</v>
      </c>
      <c r="Z444" s="4">
        <f>Games[[#This Row],[K]]*Games[[#This Row],[POMult]]</f>
        <v>71.2</v>
      </c>
      <c r="AA444" s="4">
        <f>(Games[[#This Row],[Keff]]*Games[[#This Row],[MOVMult]])*(Games[[#This Row],[Result]]-Games[[#This Row],[ExpectedWin%]])</f>
        <v>11.849721718148784</v>
      </c>
      <c r="AB444" s="4">
        <f>Games[[#This Row],[PreGmRate]]+Games[[#This Row],[RatingChange]]</f>
        <v>1633.901089530485</v>
      </c>
      <c r="AC444" s="2">
        <f>IF(Games[[#This Row],[Type]]="R",IF(Games[[#This Row],[Result]]&gt;0.5,1,0),0)</f>
        <v>1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39700</v>
      </c>
      <c r="B445" s="2">
        <v>2008</v>
      </c>
      <c r="C445" s="2">
        <f>COUNTIFS(Games[Team],Games[[#This Row],[Team]],Games[Season],Games[[#This Row],[Season]],Games[Date],"&lt;=" &amp; Games[[#This Row],[Date]])</f>
        <v>31</v>
      </c>
      <c r="D445" s="2" t="s">
        <v>23</v>
      </c>
      <c r="E445" s="2" t="s">
        <v>29</v>
      </c>
      <c r="F445" s="1" t="s">
        <v>66</v>
      </c>
      <c r="G445" s="1" t="s">
        <v>83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1541.8363516913216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1622.0513678123361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0.50544681418538528</v>
      </c>
      <c r="R445" s="1">
        <v>76</v>
      </c>
      <c r="S445" s="1">
        <v>82</v>
      </c>
      <c r="T445" s="1">
        <v>0</v>
      </c>
      <c r="U445" s="1">
        <f>Games[[#This Row],[PointsFor]]-Games[[#This Row],[PointsAgainst]]</f>
        <v>-6</v>
      </c>
      <c r="V445" s="1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0.3292704022379187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5" s="9">
        <f>MAX(kmin, kmax - 0.15 * MIN(Games[[#This Row],[GamesPlayed]], 82))</f>
        <v>71.349999999999994</v>
      </c>
      <c r="Z445" s="4">
        <f>Games[[#This Row],[K]]*Games[[#This Row],[POMult]]</f>
        <v>71.349999999999994</v>
      </c>
      <c r="AA445" s="4">
        <f>(Games[[#This Row],[Keff]]*Games[[#This Row],[MOVMult]])*(Games[[#This Row],[Result]]-Games[[#This Row],[ExpectedWin%]])</f>
        <v>-11.874686019521285</v>
      </c>
      <c r="AB445" s="4">
        <f>Games[[#This Row],[PreGmRate]]+Games[[#This Row],[RatingChange]]</f>
        <v>1529.9616656718003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1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39700</v>
      </c>
      <c r="B446" s="2">
        <v>2008</v>
      </c>
      <c r="C446" s="2">
        <f>COUNTIFS(Games[Team],Games[[#This Row],[Team]],Games[Season],Games[[#This Row],[Season]],Games[Date],"&lt;=" &amp; Games[[#This Row],[Date]])</f>
        <v>32</v>
      </c>
      <c r="D446" s="2" t="s">
        <v>23</v>
      </c>
      <c r="E446" s="2" t="s">
        <v>29</v>
      </c>
      <c r="F446" s="1" t="s">
        <v>80</v>
      </c>
      <c r="G446" s="1" t="s">
        <v>45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6" s="2">
        <f>Games[[#This Row],[DaysOff]]-Games[[#This Row],[OppDaysOff]]</f>
        <v>1</v>
      </c>
      <c r="L446" s="2">
        <f>Games[[#This Row],[OppDaysOff]]-Games[[#This Row],[DaysOff]]</f>
        <v>-1</v>
      </c>
      <c r="M446" s="1">
        <f>MAX(-16, MIN(16, Games[[#This Row],[RestDiff]]*8))</f>
        <v>8</v>
      </c>
      <c r="N446" s="1">
        <f>MAX(-16, MIN(16, Games[[#This Row],[OppRestDiff]]*8))</f>
        <v>-8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1598.4230039752315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1522.1723772167857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0.51187137490562262</v>
      </c>
      <c r="R446" s="1">
        <v>74</v>
      </c>
      <c r="S446" s="1">
        <v>77</v>
      </c>
      <c r="T446" s="1">
        <v>0</v>
      </c>
      <c r="U446" s="1">
        <f>Games[[#This Row],[PointsFor]]-Games[[#This Row],[PointsAgainst]]</f>
        <v>-3</v>
      </c>
      <c r="V446" s="1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0.27284627174122972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6" s="9">
        <f>MAX(kmin, kmax - 0.15 * MIN(Games[[#This Row],[GamesPlayed]], 82))</f>
        <v>71.2</v>
      </c>
      <c r="Z446" s="4">
        <f>Games[[#This Row],[K]]*Games[[#This Row],[POMult]]</f>
        <v>71.2</v>
      </c>
      <c r="AA446" s="4">
        <f>(Games[[#This Row],[Keff]]*Games[[#This Row],[MOVMult]])*(Games[[#This Row],[Result]]-Games[[#This Row],[ExpectedWin%]])</f>
        <v>-9.9439483732888139</v>
      </c>
      <c r="AB446" s="4">
        <f>Games[[#This Row],[PreGmRate]]+Games[[#This Row],[RatingChange]]</f>
        <v>1588.4790556019427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1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39700</v>
      </c>
      <c r="B447" s="2">
        <v>2008</v>
      </c>
      <c r="C447" s="2">
        <f>COUNTIFS(Games[Team],Games[[#This Row],[Team]],Games[Season],Games[[#This Row],[Season]],Games[Date],"&lt;=" &amp; Games[[#This Row],[Date]])</f>
        <v>32</v>
      </c>
      <c r="D447" s="2" t="s">
        <v>23</v>
      </c>
      <c r="E447" s="2" t="s">
        <v>29</v>
      </c>
      <c r="F447" s="1" t="s">
        <v>45</v>
      </c>
      <c r="G447" s="1" t="s">
        <v>80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7" s="2">
        <f>Games[[#This Row],[DaysOff]]-Games[[#This Row],[OppDaysOff]]</f>
        <v>-1</v>
      </c>
      <c r="L447" s="2">
        <f>Games[[#This Row],[OppDaysOff]]-Games[[#This Row],[DaysOff]]</f>
        <v>1</v>
      </c>
      <c r="M447" s="1">
        <f>MAX(-16, MIN(16, Games[[#This Row],[RestDiff]]*8))</f>
        <v>-8</v>
      </c>
      <c r="N447" s="1">
        <f>MAX(-16, MIN(16, Games[[#This Row],[OppRestDiff]]*8))</f>
        <v>8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1522.1723772167857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1598.4230039752315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0.48812862509437738</v>
      </c>
      <c r="R447" s="1">
        <v>77</v>
      </c>
      <c r="S447" s="1">
        <v>74</v>
      </c>
      <c r="T447" s="1">
        <v>0</v>
      </c>
      <c r="U447" s="1">
        <f>Games[[#This Row],[PointsFor]]-Games[[#This Row],[PointsAgainst]]</f>
        <v>3</v>
      </c>
      <c r="V447" s="1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0.27284627174122972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7" s="9">
        <f>MAX(kmin, kmax - 0.15 * MIN(Games[[#This Row],[GamesPlayed]], 82))</f>
        <v>71.2</v>
      </c>
      <c r="Z447" s="4">
        <f>Games[[#This Row],[K]]*Games[[#This Row],[POMult]]</f>
        <v>71.2</v>
      </c>
      <c r="AA447" s="4">
        <f>(Games[[#This Row],[Keff]]*Games[[#This Row],[MOVMult]])*(Games[[#This Row],[Result]]-Games[[#This Row],[ExpectedWin%]])</f>
        <v>9.9439483732888139</v>
      </c>
      <c r="AB447" s="4">
        <f>Games[[#This Row],[PreGmRate]]+Games[[#This Row],[RatingChange]]</f>
        <v>1532.1163255900744</v>
      </c>
      <c r="AC447" s="2">
        <f>IF(Games[[#This Row],[Type]]="R",IF(Games[[#This Row],[Result]]&gt;0.5,1,0),0)</f>
        <v>1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39702</v>
      </c>
      <c r="B448" s="2">
        <v>2008</v>
      </c>
      <c r="C448" s="2">
        <f>COUNTIFS(Games[Team],Games[[#This Row],[Team]],Games[Season],Games[[#This Row],[Season]],Games[Date],"&lt;=" &amp; Games[[#This Row],[Date]])</f>
        <v>32</v>
      </c>
      <c r="D448" s="2" t="s">
        <v>23</v>
      </c>
      <c r="E448" s="2" t="s">
        <v>29</v>
      </c>
      <c r="F448" s="1" t="s">
        <v>72</v>
      </c>
      <c r="G448" s="1" t="s">
        <v>74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">
        <f>MAX(-16, MIN(16, Games[[#This Row],[RestDiff]]*8))</f>
        <v>0</v>
      </c>
      <c r="N448" s="1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1366.2720628539466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1583.6245364457316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0.14998428908401554</v>
      </c>
      <c r="R448" s="1">
        <v>66</v>
      </c>
      <c r="S448" s="1">
        <v>78</v>
      </c>
      <c r="T448" s="1">
        <v>0</v>
      </c>
      <c r="U448" s="1">
        <f>Games[[#This Row],[PointsFor]]-Games[[#This Row],[PointsAgainst]]</f>
        <v>-12</v>
      </c>
      <c r="V448" s="1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0.38618151933990552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8" s="9">
        <f>MAX(kmin, kmax - 0.15 * MIN(Games[[#This Row],[GamesPlayed]], 82))</f>
        <v>71.2</v>
      </c>
      <c r="Z448" s="4">
        <f>Games[[#This Row],[K]]*Games[[#This Row],[POMult]]</f>
        <v>71.2</v>
      </c>
      <c r="AA448" s="4">
        <f>(Games[[#This Row],[Keff]]*Games[[#This Row],[MOVMult]])*(Games[[#This Row],[Result]]-Games[[#This Row],[ExpectedWin%]])</f>
        <v>-4.1239866372533482</v>
      </c>
      <c r="AB448" s="4">
        <f>Games[[#This Row],[PreGmRate]]+Games[[#This Row],[RatingChange]]</f>
        <v>1362.1480762166932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1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39702</v>
      </c>
      <c r="B449" s="2">
        <v>2008</v>
      </c>
      <c r="C449" s="2">
        <f>COUNTIFS(Games[Team],Games[[#This Row],[Team]],Games[Season],Games[[#This Row],[Season]],Games[Date],"&lt;=" &amp; Games[[#This Row],[Date]])</f>
        <v>33</v>
      </c>
      <c r="D449" s="2" t="s">
        <v>23</v>
      </c>
      <c r="E449" s="2" t="s">
        <v>29</v>
      </c>
      <c r="F449" s="1" t="s">
        <v>74</v>
      </c>
      <c r="G449" s="1" t="s">
        <v>72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">
        <f>MAX(-16, MIN(16, Games[[#This Row],[RestDiff]]*8))</f>
        <v>0</v>
      </c>
      <c r="N449" s="1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1583.6245364457316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1366.2720628539466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0.85001571091598449</v>
      </c>
      <c r="R449" s="1">
        <v>78</v>
      </c>
      <c r="S449" s="1">
        <v>66</v>
      </c>
      <c r="T449" s="1">
        <v>0</v>
      </c>
      <c r="U449" s="1">
        <f>Games[[#This Row],[PointsFor]]-Games[[#This Row],[PointsAgainst]]</f>
        <v>12</v>
      </c>
      <c r="V449" s="1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0.38618151933990552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9" s="9">
        <f>MAX(kmin, kmax - 0.15 * MIN(Games[[#This Row],[GamesPlayed]], 82))</f>
        <v>71.05</v>
      </c>
      <c r="Z449" s="4">
        <f>Games[[#This Row],[K]]*Games[[#This Row],[POMult]]</f>
        <v>71.05</v>
      </c>
      <c r="AA449" s="4">
        <f>(Games[[#This Row],[Keff]]*Games[[#This Row],[MOVMult]])*(Games[[#This Row],[Result]]-Games[[#This Row],[ExpectedWin%]])</f>
        <v>4.1152984631580098</v>
      </c>
      <c r="AB449" s="4">
        <f>Games[[#This Row],[PreGmRate]]+Games[[#This Row],[RatingChange]]</f>
        <v>1587.7398349088896</v>
      </c>
      <c r="AC449" s="2">
        <f>IF(Games[[#This Row],[Type]]="R",IF(Games[[#This Row],[Result]]&gt;0.5,1,0),0)</f>
        <v>1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39702</v>
      </c>
      <c r="B450" s="2">
        <v>2008</v>
      </c>
      <c r="C450" s="2">
        <f>COUNTIFS(Games[Team],Games[[#This Row],[Team]],Games[Season],Games[[#This Row],[Season]],Games[Date],"&lt;=" &amp; Games[[#This Row],[Date]])</f>
        <v>32</v>
      </c>
      <c r="D450" s="2" t="s">
        <v>23</v>
      </c>
      <c r="E450" s="2" t="s">
        <v>29</v>
      </c>
      <c r="F450" s="1" t="s">
        <v>66</v>
      </c>
      <c r="G450" s="1" t="s">
        <v>78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">
        <f>MAX(-16, MIN(16, Games[[#This Row],[RestDiff]]*8))</f>
        <v>0</v>
      </c>
      <c r="N450" s="1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1529.9616656718003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1478.4042629831322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0.45344657556306545</v>
      </c>
      <c r="R450" s="1">
        <v>59</v>
      </c>
      <c r="S450" s="1">
        <v>74</v>
      </c>
      <c r="T450" s="1">
        <v>0</v>
      </c>
      <c r="U450" s="1">
        <f>Games[[#This Row],[PointsFor]]-Games[[#This Row],[PointsAgainst]]</f>
        <v>-15</v>
      </c>
      <c r="V450" s="1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0.4821334062330816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0" s="9">
        <f>MAX(kmin, kmax - 0.15 * MIN(Games[[#This Row],[GamesPlayed]], 82))</f>
        <v>71.2</v>
      </c>
      <c r="Z450" s="4">
        <f>Games[[#This Row],[K]]*Games[[#This Row],[POMult]]</f>
        <v>71.2</v>
      </c>
      <c r="AA450" s="4">
        <f>(Games[[#This Row],[Keff]]*Games[[#This Row],[MOVMult]])*(Games[[#This Row],[Result]]-Games[[#This Row],[ExpectedWin%]])</f>
        <v>-15.565868031891439</v>
      </c>
      <c r="AB450" s="4">
        <f>Games[[#This Row],[PreGmRate]]+Games[[#This Row],[RatingChange]]</f>
        <v>1514.395797639909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1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39702</v>
      </c>
      <c r="B451" s="2">
        <v>2008</v>
      </c>
      <c r="C451" s="2">
        <f>COUNTIFS(Games[Team],Games[[#This Row],[Team]],Games[Season],Games[[#This Row],[Season]],Games[Date],"&lt;=" &amp; Games[[#This Row],[Date]])</f>
        <v>33</v>
      </c>
      <c r="D451" s="2" t="s">
        <v>23</v>
      </c>
      <c r="E451" s="2" t="s">
        <v>29</v>
      </c>
      <c r="F451" s="1" t="s">
        <v>78</v>
      </c>
      <c r="G451" s="1" t="s">
        <v>66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">
        <f>MAX(-16, MIN(16, Games[[#This Row],[RestDiff]]*8))</f>
        <v>0</v>
      </c>
      <c r="N451" s="1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1478.4042629831322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1529.9616656718003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0.54655342443693455</v>
      </c>
      <c r="R451" s="1">
        <v>74</v>
      </c>
      <c r="S451" s="1">
        <v>59</v>
      </c>
      <c r="T451" s="1">
        <v>0</v>
      </c>
      <c r="U451" s="1">
        <f>Games[[#This Row],[PointsFor]]-Games[[#This Row],[PointsAgainst]]</f>
        <v>15</v>
      </c>
      <c r="V451" s="1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0.4821334062330816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1" s="9">
        <f>MAX(kmin, kmax - 0.15 * MIN(Games[[#This Row],[GamesPlayed]], 82))</f>
        <v>71.05</v>
      </c>
      <c r="Z451" s="4">
        <f>Games[[#This Row],[K]]*Games[[#This Row],[POMult]]</f>
        <v>71.05</v>
      </c>
      <c r="AA451" s="4">
        <f>(Games[[#This Row],[Keff]]*Games[[#This Row],[MOVMult]])*(Games[[#This Row],[Result]]-Games[[#This Row],[ExpectedWin%]])</f>
        <v>15.533074770588295</v>
      </c>
      <c r="AB451" s="4">
        <f>Games[[#This Row],[PreGmRate]]+Games[[#This Row],[RatingChange]]</f>
        <v>1493.9373377537204</v>
      </c>
      <c r="AC451" s="2">
        <f>IF(Games[[#This Row],[Type]]="R",IF(Games[[#This Row],[Result]]&gt;0.5,1,0),0)</f>
        <v>1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39702</v>
      </c>
      <c r="B452" s="2">
        <v>2008</v>
      </c>
      <c r="C452" s="2">
        <f>COUNTIFS(Games[Team],Games[[#This Row],[Team]],Games[Season],Games[[#This Row],[Season]],Games[Date],"&lt;=" &amp; Games[[#This Row],[Date]])</f>
        <v>33</v>
      </c>
      <c r="D452" s="2" t="s">
        <v>23</v>
      </c>
      <c r="E452" s="2" t="s">
        <v>29</v>
      </c>
      <c r="F452" s="1" t="s">
        <v>88</v>
      </c>
      <c r="G452" s="1" t="s">
        <v>69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52" s="2">
        <f>Games[[#This Row],[DaysOff]]-Games[[#This Row],[OppDaysOff]]</f>
        <v>-2</v>
      </c>
      <c r="L452" s="2">
        <f>Games[[#This Row],[OppDaysOff]]-Games[[#This Row],[DaysOff]]</f>
        <v>2</v>
      </c>
      <c r="M452" s="1">
        <f>MAX(-16, MIN(16, Games[[#This Row],[RestDiff]]*8))</f>
        <v>-16</v>
      </c>
      <c r="N452" s="1">
        <f>MAX(-16, MIN(16, Games[[#This Row],[OppRestDiff]]*8))</f>
        <v>16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1267.5217495504746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1555.4314295859738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8.9066142666852269E-2</v>
      </c>
      <c r="R452" s="1">
        <v>83</v>
      </c>
      <c r="S452" s="1">
        <v>72</v>
      </c>
      <c r="T452" s="1">
        <v>0</v>
      </c>
      <c r="U452" s="1">
        <f>Games[[#This Row],[PointsFor]]-Games[[#This Row],[PointsAgainst]]</f>
        <v>11</v>
      </c>
      <c r="V452" s="1">
        <f>IF(Games[[#This Row],[MOV]]&gt;0,1,IF(Games[[#This Row],[MOV]]=0,0.5,0))</f>
        <v>1</v>
      </c>
      <c r="W452" s="4">
        <f>((ABS(Games[[#This Row],[MOV]])+5)^0.6)/(12+0.01*(ABS(Games[[#This Row],[PreGmRate]]-Games[[#This Row],[OppPreGmRate]])))*IF(Games[[#This Row],[OT]]=1,0.9,1)</f>
        <v>0.35472795922435635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2" s="9">
        <f>MAX(kmin, kmax - 0.15 * MIN(Games[[#This Row],[GamesPlayed]], 82))</f>
        <v>71.05</v>
      </c>
      <c r="Z452" s="4">
        <f>Games[[#This Row],[K]]*Games[[#This Row],[POMult]]</f>
        <v>71.05</v>
      </c>
      <c r="AA452" s="4">
        <f>(Games[[#This Row],[Keff]]*Games[[#This Row],[MOVMult]])*(Games[[#This Row],[Result]]-Games[[#This Row],[ExpectedWin%]])</f>
        <v>22.958649967621259</v>
      </c>
      <c r="AB452" s="4">
        <f>Games[[#This Row],[PreGmRate]]+Games[[#This Row],[RatingChange]]</f>
        <v>1290.480399518096</v>
      </c>
      <c r="AC452" s="2">
        <f>IF(Games[[#This Row],[Type]]="R",IF(Games[[#This Row],[Result]]&gt;0.5,1,0),0)</f>
        <v>1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39702</v>
      </c>
      <c r="B453" s="2">
        <v>2008</v>
      </c>
      <c r="C453" s="2">
        <f>COUNTIFS(Games[Team],Games[[#This Row],[Team]],Games[Season],Games[[#This Row],[Season]],Games[Date],"&lt;=" &amp; Games[[#This Row],[Date]])</f>
        <v>33</v>
      </c>
      <c r="D453" s="2" t="s">
        <v>23</v>
      </c>
      <c r="E453" s="2" t="s">
        <v>29</v>
      </c>
      <c r="F453" s="1" t="s">
        <v>69</v>
      </c>
      <c r="G453" s="1" t="s">
        <v>88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3" s="2">
        <f>Games[[#This Row],[DaysOff]]-Games[[#This Row],[OppDaysOff]]</f>
        <v>2</v>
      </c>
      <c r="L453" s="2">
        <f>Games[[#This Row],[OppDaysOff]]-Games[[#This Row],[DaysOff]]</f>
        <v>-2</v>
      </c>
      <c r="M453" s="1">
        <f>MAX(-16, MIN(16, Games[[#This Row],[RestDiff]]*8))</f>
        <v>16</v>
      </c>
      <c r="N453" s="1">
        <f>MAX(-16, MIN(16, Games[[#This Row],[OppRestDiff]]*8))</f>
        <v>-16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1555.4314295859738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1267.5217495504746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0.9109338573331478</v>
      </c>
      <c r="R453" s="1">
        <v>72</v>
      </c>
      <c r="S453" s="1">
        <v>83</v>
      </c>
      <c r="T453" s="1">
        <v>0</v>
      </c>
      <c r="U453" s="1">
        <f>Games[[#This Row],[PointsFor]]-Games[[#This Row],[PointsAgainst]]</f>
        <v>-11</v>
      </c>
      <c r="V453" s="1">
        <f>IF(Games[[#This Row],[MOV]]&gt;0,1,IF(Games[[#This Row],[MOV]]=0,0.5,0))</f>
        <v>0</v>
      </c>
      <c r="W453" s="4">
        <f>((ABS(Games[[#This Row],[MOV]])+5)^0.6)/(12+0.01*(ABS(Games[[#This Row],[PreGmRate]]-Games[[#This Row],[OppPreGmRate]])))*IF(Games[[#This Row],[OT]]=1,0.9,1)</f>
        <v>0.35472795922435635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3" s="9">
        <f>MAX(kmin, kmax - 0.15 * MIN(Games[[#This Row],[GamesPlayed]], 82))</f>
        <v>71.05</v>
      </c>
      <c r="Z453" s="4">
        <f>Games[[#This Row],[K]]*Games[[#This Row],[POMult]]</f>
        <v>71.05</v>
      </c>
      <c r="AA453" s="4">
        <f>(Games[[#This Row],[Keff]]*Games[[#This Row],[MOVMult]])*(Games[[#This Row],[Result]]-Games[[#This Row],[ExpectedWin%]])</f>
        <v>-22.958649967621259</v>
      </c>
      <c r="AB453" s="4">
        <f>Games[[#This Row],[PreGmRate]]+Games[[#This Row],[RatingChange]]</f>
        <v>1532.4727796183524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1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39702</v>
      </c>
      <c r="B454" s="2">
        <v>2008</v>
      </c>
      <c r="C454" s="2">
        <f>COUNTIFS(Games[Team],Games[[#This Row],[Team]],Games[Season],Games[[#This Row],[Season]],Games[Date],"&lt;=" &amp; Games[[#This Row],[Date]])</f>
        <v>33</v>
      </c>
      <c r="D454" s="2" t="s">
        <v>23</v>
      </c>
      <c r="E454" s="2" t="s">
        <v>29</v>
      </c>
      <c r="F454" s="1" t="s">
        <v>85</v>
      </c>
      <c r="G454" s="1" t="s">
        <v>83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1576.8323589133208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1633.901089530485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0.30745235808101307</v>
      </c>
      <c r="R454" s="1">
        <v>74</v>
      </c>
      <c r="S454" s="1">
        <v>78</v>
      </c>
      <c r="T454" s="1">
        <v>0</v>
      </c>
      <c r="U454" s="1">
        <f>Games[[#This Row],[PointsFor]]-Games[[#This Row],[PointsAgainst]]</f>
        <v>-4</v>
      </c>
      <c r="V454" s="1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0.29729423123998627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4" s="9">
        <f>MAX(kmin, kmax - 0.15 * MIN(Games[[#This Row],[GamesPlayed]], 82))</f>
        <v>71.05</v>
      </c>
      <c r="Z454" s="4">
        <f>Games[[#This Row],[K]]*Games[[#This Row],[POMult]]</f>
        <v>71.05</v>
      </c>
      <c r="AA454" s="4">
        <f>(Games[[#This Row],[Keff]]*Games[[#This Row],[MOVMult]])*(Games[[#This Row],[Result]]-Games[[#This Row],[ExpectedWin%]])</f>
        <v>-6.4942408737636494</v>
      </c>
      <c r="AB454" s="4">
        <f>Games[[#This Row],[PreGmRate]]+Games[[#This Row],[RatingChange]]</f>
        <v>1570.3381180395572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1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39702</v>
      </c>
      <c r="B455" s="2">
        <v>2008</v>
      </c>
      <c r="C455" s="2">
        <f>COUNTIFS(Games[Team],Games[[#This Row],[Team]],Games[Season],Games[[#This Row],[Season]],Games[Date],"&lt;=" &amp; Games[[#This Row],[Date]])</f>
        <v>33</v>
      </c>
      <c r="D455" s="2" t="s">
        <v>23</v>
      </c>
      <c r="E455" s="2" t="s">
        <v>29</v>
      </c>
      <c r="F455" s="1" t="s">
        <v>83</v>
      </c>
      <c r="G455" s="1" t="s">
        <v>85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1633.901089530485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1576.8323589133208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0.69254764191898688</v>
      </c>
      <c r="R455" s="1">
        <v>78</v>
      </c>
      <c r="S455" s="1">
        <v>74</v>
      </c>
      <c r="T455" s="1">
        <v>0</v>
      </c>
      <c r="U455" s="1">
        <f>Games[[#This Row],[PointsFor]]-Games[[#This Row],[PointsAgainst]]</f>
        <v>4</v>
      </c>
      <c r="V455" s="1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0.29729423123998627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5" s="9">
        <f>MAX(kmin, kmax - 0.15 * MIN(Games[[#This Row],[GamesPlayed]], 82))</f>
        <v>71.05</v>
      </c>
      <c r="Z455" s="4">
        <f>Games[[#This Row],[K]]*Games[[#This Row],[POMult]]</f>
        <v>71.05</v>
      </c>
      <c r="AA455" s="4">
        <f>(Games[[#This Row],[Keff]]*Games[[#This Row],[MOVMult]])*(Games[[#This Row],[Result]]-Games[[#This Row],[ExpectedWin%]])</f>
        <v>6.4942408737636512</v>
      </c>
      <c r="AB455" s="4">
        <f>Games[[#This Row],[PreGmRate]]+Games[[#This Row],[RatingChange]]</f>
        <v>1640.3953304042486</v>
      </c>
      <c r="AC455" s="2">
        <f>IF(Games[[#This Row],[Type]]="R",IF(Games[[#This Row],[Result]]&gt;0.5,1,0),0)</f>
        <v>1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39703</v>
      </c>
      <c r="B456" s="2">
        <v>2008</v>
      </c>
      <c r="C456" s="2">
        <f>COUNTIFS(Games[Team],Games[[#This Row],[Team]],Games[Season],Games[[#This Row],[Season]],Games[Date],"&lt;=" &amp; Games[[#This Row],[Date]])</f>
        <v>33</v>
      </c>
      <c r="D456" s="2" t="s">
        <v>23</v>
      </c>
      <c r="E456" s="2" t="s">
        <v>29</v>
      </c>
      <c r="F456" s="1" t="s">
        <v>66</v>
      </c>
      <c r="G456" s="1" t="s">
        <v>86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6" s="2">
        <f>Games[[#This Row],[DaysOff]]-Games[[#This Row],[OppDaysOff]]</f>
        <v>-2</v>
      </c>
      <c r="L456" s="2">
        <f>Games[[#This Row],[OppDaysOff]]-Games[[#This Row],[DaysOff]]</f>
        <v>2</v>
      </c>
      <c r="M456" s="1">
        <f>MAX(-16, MIN(16, Games[[#This Row],[RestDiff]]*8))</f>
        <v>-16</v>
      </c>
      <c r="N456" s="1">
        <f>MAX(-16, MIN(16, Games[[#This Row],[OppRestDiff]]*8))</f>
        <v>16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1514.395797639909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1450.6550367381149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0.42535499563783374</v>
      </c>
      <c r="R456" s="1">
        <v>69</v>
      </c>
      <c r="S456" s="1">
        <v>62</v>
      </c>
      <c r="T456" s="1">
        <v>0</v>
      </c>
      <c r="U456" s="1">
        <f>Games[[#This Row],[PointsFor]]-Games[[#This Row],[PointsAgainst]]</f>
        <v>7</v>
      </c>
      <c r="V456" s="1">
        <f>IF(Games[[#This Row],[MOV]]&gt;0,1,IF(Games[[#This Row],[MOV]]=0,0.5,0))</f>
        <v>1</v>
      </c>
      <c r="W456" s="4">
        <f>((ABS(Games[[#This Row],[MOV]])+5)^0.6)/(12+0.01*(ABS(Games[[#This Row],[PreGmRate]]-Games[[#This Row],[OppPreGmRate]])))*IF(Games[[#This Row],[OT]]=1,0.9,1)</f>
        <v>0.3514396470583554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6" s="9">
        <f>MAX(kmin, kmax - 0.15 * MIN(Games[[#This Row],[GamesPlayed]], 82))</f>
        <v>71.05</v>
      </c>
      <c r="Z456" s="4">
        <f>Games[[#This Row],[K]]*Games[[#This Row],[POMult]]</f>
        <v>71.05</v>
      </c>
      <c r="AA456" s="4">
        <f>(Games[[#This Row],[Keff]]*Games[[#This Row],[MOVMult]])*(Games[[#This Row],[Result]]-Games[[#This Row],[ExpectedWin%]])</f>
        <v>14.348763315574807</v>
      </c>
      <c r="AB456" s="4">
        <f>Games[[#This Row],[PreGmRate]]+Games[[#This Row],[RatingChange]]</f>
        <v>1528.7445609554838</v>
      </c>
      <c r="AC456" s="2">
        <f>IF(Games[[#This Row],[Type]]="R",IF(Games[[#This Row],[Result]]&gt;0.5,1,0),0)</f>
        <v>1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39703</v>
      </c>
      <c r="B457" s="2">
        <v>2008</v>
      </c>
      <c r="C457" s="2">
        <f>COUNTIFS(Games[Team],Games[[#This Row],[Team]],Games[Season],Games[[#This Row],[Season]],Games[Date],"&lt;=" &amp; Games[[#This Row],[Date]])</f>
        <v>33</v>
      </c>
      <c r="D457" s="2" t="s">
        <v>23</v>
      </c>
      <c r="E457" s="2" t="s">
        <v>29</v>
      </c>
      <c r="F457" s="1" t="s">
        <v>86</v>
      </c>
      <c r="G457" s="1" t="s">
        <v>66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7" s="2">
        <f>Games[[#This Row],[DaysOff]]-Games[[#This Row],[OppDaysOff]]</f>
        <v>2</v>
      </c>
      <c r="L457" s="2">
        <f>Games[[#This Row],[OppDaysOff]]-Games[[#This Row],[DaysOff]]</f>
        <v>-2</v>
      </c>
      <c r="M457" s="1">
        <f>MAX(-16, MIN(16, Games[[#This Row],[RestDiff]]*8))</f>
        <v>16</v>
      </c>
      <c r="N457" s="1">
        <f>MAX(-16, MIN(16, Games[[#This Row],[OppRestDiff]]*8))</f>
        <v>-16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1450.6550367381149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1514.395797639909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0.57464500436216626</v>
      </c>
      <c r="R457" s="1">
        <v>62</v>
      </c>
      <c r="S457" s="1">
        <v>69</v>
      </c>
      <c r="T457" s="1">
        <v>0</v>
      </c>
      <c r="U457" s="1">
        <f>Games[[#This Row],[PointsFor]]-Games[[#This Row],[PointsAgainst]]</f>
        <v>-7</v>
      </c>
      <c r="V457" s="1">
        <f>IF(Games[[#This Row],[MOV]]&gt;0,1,IF(Games[[#This Row],[MOV]]=0,0.5,0))</f>
        <v>0</v>
      </c>
      <c r="W457" s="4">
        <f>((ABS(Games[[#This Row],[MOV]])+5)^0.6)/(12+0.01*(ABS(Games[[#This Row],[PreGmRate]]-Games[[#This Row],[OppPreGmRate]])))*IF(Games[[#This Row],[OT]]=1,0.9,1)</f>
        <v>0.3514396470583554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7" s="9">
        <f>MAX(kmin, kmax - 0.15 * MIN(Games[[#This Row],[GamesPlayed]], 82))</f>
        <v>71.05</v>
      </c>
      <c r="Z457" s="4">
        <f>Games[[#This Row],[K]]*Games[[#This Row],[POMult]]</f>
        <v>71.05</v>
      </c>
      <c r="AA457" s="4">
        <f>(Games[[#This Row],[Keff]]*Games[[#This Row],[MOVMult]])*(Games[[#This Row],[Result]]-Games[[#This Row],[ExpectedWin%]])</f>
        <v>-14.348763315574807</v>
      </c>
      <c r="AB457" s="4">
        <f>Games[[#This Row],[PreGmRate]]+Games[[#This Row],[RatingChange]]</f>
        <v>1436.30627342254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1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39703</v>
      </c>
      <c r="B458" s="2">
        <v>2008</v>
      </c>
      <c r="C458" s="2">
        <f>COUNTIFS(Games[Team],Games[[#This Row],[Team]],Games[Season],Games[[#This Row],[Season]],Games[Date],"&lt;=" &amp; Games[[#This Row],[Date]])</f>
        <v>33</v>
      </c>
      <c r="D458" s="2" t="s">
        <v>23</v>
      </c>
      <c r="E458" s="2" t="s">
        <v>29</v>
      </c>
      <c r="F458" s="1" t="s">
        <v>44</v>
      </c>
      <c r="G458" s="1" t="s">
        <v>76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1520.3880526325709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1475.1395271151493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0.44446225504084702</v>
      </c>
      <c r="R458" s="1">
        <v>96</v>
      </c>
      <c r="S458" s="1">
        <v>87</v>
      </c>
      <c r="T458" s="1">
        <v>0</v>
      </c>
      <c r="U458" s="1">
        <f>Games[[#This Row],[PointsFor]]-Games[[#This Row],[PointsAgainst]]</f>
        <v>9</v>
      </c>
      <c r="V458" s="1">
        <f>IF(Games[[#This Row],[MOV]]&gt;0,1,IF(Games[[#This Row],[MOV]]=0,0.5,0))</f>
        <v>1</v>
      </c>
      <c r="W458" s="4">
        <f>((ABS(Games[[#This Row],[MOV]])+5)^0.6)/(12+0.01*(ABS(Games[[#This Row],[PreGmRate]]-Games[[#This Row],[OppPreGmRate]])))*IF(Games[[#This Row],[OT]]=1,0.9,1)</f>
        <v>0.39121976263675229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8" s="9">
        <f>MAX(kmin, kmax - 0.15 * MIN(Games[[#This Row],[GamesPlayed]], 82))</f>
        <v>71.05</v>
      </c>
      <c r="Z458" s="4">
        <f>Games[[#This Row],[K]]*Games[[#This Row],[POMult]]</f>
        <v>71.05</v>
      </c>
      <c r="AA458" s="4">
        <f>(Games[[#This Row],[Keff]]*Games[[#This Row],[MOVMult]])*(Games[[#This Row],[Result]]-Games[[#This Row],[ExpectedWin%]])</f>
        <v>15.441818342261962</v>
      </c>
      <c r="AB458" s="4">
        <f>Games[[#This Row],[PreGmRate]]+Games[[#This Row],[RatingChange]]</f>
        <v>1535.8298709748328</v>
      </c>
      <c r="AC458" s="2">
        <f>IF(Games[[#This Row],[Type]]="R",IF(Games[[#This Row],[Result]]&gt;0.5,1,0),0)</f>
        <v>1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39703</v>
      </c>
      <c r="B459" s="2">
        <v>2008</v>
      </c>
      <c r="C459" s="2">
        <f>COUNTIFS(Games[Team],Games[[#This Row],[Team]],Games[Season],Games[[#This Row],[Season]],Games[Date],"&lt;=" &amp; Games[[#This Row],[Date]])</f>
        <v>33</v>
      </c>
      <c r="D459" s="2" t="s">
        <v>23</v>
      </c>
      <c r="E459" s="2" t="s">
        <v>29</v>
      </c>
      <c r="F459" s="1" t="s">
        <v>76</v>
      </c>
      <c r="G459" s="1" t="s">
        <v>44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1475.1395271151493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1520.3880526325709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0.55553774495915287</v>
      </c>
      <c r="R459" s="1">
        <v>87</v>
      </c>
      <c r="S459" s="1">
        <v>96</v>
      </c>
      <c r="T459" s="1">
        <v>0</v>
      </c>
      <c r="U459" s="1">
        <f>Games[[#This Row],[PointsFor]]-Games[[#This Row],[PointsAgainst]]</f>
        <v>-9</v>
      </c>
      <c r="V459" s="1">
        <f>IF(Games[[#This Row],[MOV]]&gt;0,1,IF(Games[[#This Row],[MOV]]=0,0.5,0))</f>
        <v>0</v>
      </c>
      <c r="W459" s="4">
        <f>((ABS(Games[[#This Row],[MOV]])+5)^0.6)/(12+0.01*(ABS(Games[[#This Row],[PreGmRate]]-Games[[#This Row],[OppPreGmRate]])))*IF(Games[[#This Row],[OT]]=1,0.9,1)</f>
        <v>0.39121976263675229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9" s="9">
        <f>MAX(kmin, kmax - 0.15 * MIN(Games[[#This Row],[GamesPlayed]], 82))</f>
        <v>71.05</v>
      </c>
      <c r="Z459" s="4">
        <f>Games[[#This Row],[K]]*Games[[#This Row],[POMult]]</f>
        <v>71.05</v>
      </c>
      <c r="AA459" s="4">
        <f>(Games[[#This Row],[Keff]]*Games[[#This Row],[MOVMult]])*(Games[[#This Row],[Result]]-Games[[#This Row],[ExpectedWin%]])</f>
        <v>-15.441818342261959</v>
      </c>
      <c r="AB459" s="4">
        <f>Games[[#This Row],[PreGmRate]]+Games[[#This Row],[RatingChange]]</f>
        <v>1459.6977087728874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1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39703</v>
      </c>
      <c r="B460" s="2">
        <v>2008</v>
      </c>
      <c r="C460" s="2">
        <f>COUNTIFS(Games[Team],Games[[#This Row],[Team]],Games[Season],Games[[#This Row],[Season]],Games[Date],"&lt;=" &amp; Games[[#This Row],[Date]])</f>
        <v>34</v>
      </c>
      <c r="D460" s="2" t="s">
        <v>23</v>
      </c>
      <c r="E460" s="2" t="s">
        <v>29</v>
      </c>
      <c r="F460" s="1" t="s">
        <v>88</v>
      </c>
      <c r="G460" s="1" t="s">
        <v>80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0" s="2">
        <f>Games[[#This Row],[DaysOff]]-Games[[#This Row],[OppDaysOff]]</f>
        <v>-2</v>
      </c>
      <c r="L460" s="2">
        <f>Games[[#This Row],[OppDaysOff]]-Games[[#This Row],[DaysOff]]</f>
        <v>2</v>
      </c>
      <c r="M460" s="1">
        <f>MAX(-16, MIN(16, Games[[#This Row],[RestDiff]]*8))</f>
        <v>-16</v>
      </c>
      <c r="N460" s="1">
        <f>MAX(-16, MIN(16, Games[[#This Row],[OppRestDiff]]*8))</f>
        <v>16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1290.480399518096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1588.4790556019427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8.4465271542279549E-2</v>
      </c>
      <c r="R460" s="1">
        <v>72</v>
      </c>
      <c r="S460" s="1">
        <v>77</v>
      </c>
      <c r="T460" s="1">
        <v>0</v>
      </c>
      <c r="U460" s="1">
        <f>Games[[#This Row],[PointsFor]]-Games[[#This Row],[PointsAgainst]]</f>
        <v>-5</v>
      </c>
      <c r="V460" s="1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0.26575936429359132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0" s="9">
        <f>MAX(kmin, kmax - 0.15 * MIN(Games[[#This Row],[GamesPlayed]], 82))</f>
        <v>70.900000000000006</v>
      </c>
      <c r="Z460" s="4">
        <f>Games[[#This Row],[K]]*Games[[#This Row],[POMult]]</f>
        <v>70.900000000000006</v>
      </c>
      <c r="AA460" s="4">
        <f>(Games[[#This Row],[Keff]]*Games[[#This Row],[MOVMult]])*(Games[[#This Row],[Result]]-Games[[#This Row],[ExpectedWin%]])</f>
        <v>-1.5915232740802905</v>
      </c>
      <c r="AB460" s="4">
        <f>Games[[#This Row],[PreGmRate]]+Games[[#This Row],[RatingChange]]</f>
        <v>1288.8888762440156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1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39703</v>
      </c>
      <c r="B461" s="2">
        <v>2008</v>
      </c>
      <c r="C461" s="2">
        <f>COUNTIFS(Games[Team],Games[[#This Row],[Team]],Games[Season],Games[[#This Row],[Season]],Games[Date],"&lt;=" &amp; Games[[#This Row],[Date]])</f>
        <v>33</v>
      </c>
      <c r="D461" s="2" t="s">
        <v>23</v>
      </c>
      <c r="E461" s="2" t="s">
        <v>29</v>
      </c>
      <c r="F461" s="1" t="s">
        <v>80</v>
      </c>
      <c r="G461" s="1" t="s">
        <v>88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1" s="2">
        <f>Games[[#This Row],[DaysOff]]-Games[[#This Row],[OppDaysOff]]</f>
        <v>2</v>
      </c>
      <c r="L461" s="2">
        <f>Games[[#This Row],[OppDaysOff]]-Games[[#This Row],[DaysOff]]</f>
        <v>-2</v>
      </c>
      <c r="M461" s="1">
        <f>MAX(-16, MIN(16, Games[[#This Row],[RestDiff]]*8))</f>
        <v>16</v>
      </c>
      <c r="N461" s="1">
        <f>MAX(-16, MIN(16, Games[[#This Row],[OppRestDiff]]*8))</f>
        <v>-16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1588.4790556019427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1290.480399518096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0.91553472845772044</v>
      </c>
      <c r="R461" s="1">
        <v>77</v>
      </c>
      <c r="S461" s="1">
        <v>72</v>
      </c>
      <c r="T461" s="1">
        <v>0</v>
      </c>
      <c r="U461" s="1">
        <f>Games[[#This Row],[PointsFor]]-Games[[#This Row],[PointsAgainst]]</f>
        <v>5</v>
      </c>
      <c r="V461" s="1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0.26575936429359132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1" s="9">
        <f>MAX(kmin, kmax - 0.15 * MIN(Games[[#This Row],[GamesPlayed]], 82))</f>
        <v>71.05</v>
      </c>
      <c r="Z461" s="4">
        <f>Games[[#This Row],[K]]*Games[[#This Row],[POMult]]</f>
        <v>71.05</v>
      </c>
      <c r="AA461" s="4">
        <f>(Games[[#This Row],[Keff]]*Games[[#This Row],[MOVMult]])*(Games[[#This Row],[Result]]-Games[[#This Row],[ExpectedWin%]])</f>
        <v>1.5948903896107849</v>
      </c>
      <c r="AB461" s="4">
        <f>Games[[#This Row],[PreGmRate]]+Games[[#This Row],[RatingChange]]</f>
        <v>1590.0739459915535</v>
      </c>
      <c r="AC461" s="2">
        <f>IF(Games[[#This Row],[Type]]="R",IF(Games[[#This Row],[Result]]&gt;0.5,1,0),0)</f>
        <v>1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39704</v>
      </c>
      <c r="B462" s="2">
        <v>2008</v>
      </c>
      <c r="C462" s="2">
        <f>COUNTIFS(Games[Team],Games[[#This Row],[Team]],Games[Season],Games[[#This Row],[Season]],Games[Date],"&lt;=" &amp; Games[[#This Row],[Date]])</f>
        <v>33</v>
      </c>
      <c r="D462" s="2" t="s">
        <v>23</v>
      </c>
      <c r="E462" s="2" t="s">
        <v>29</v>
      </c>
      <c r="F462" s="1" t="s">
        <v>72</v>
      </c>
      <c r="G462" s="1" t="s">
        <v>85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">
        <f>MAX(-16, MIN(16, Games[[#This Row],[RestDiff]]*8))</f>
        <v>0</v>
      </c>
      <c r="N462" s="1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1362.1480762166932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1570.3381180395572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0.15683331854266225</v>
      </c>
      <c r="R462" s="1">
        <v>81</v>
      </c>
      <c r="S462" s="1">
        <v>87</v>
      </c>
      <c r="T462" s="1">
        <v>0</v>
      </c>
      <c r="U462" s="1">
        <f>Games[[#This Row],[PointsFor]]-Games[[#This Row],[PointsAgainst]]</f>
        <v>-6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0.29934660861791201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2" s="9">
        <f>MAX(kmin, kmax - 0.15 * MIN(Games[[#This Row],[GamesPlayed]], 82))</f>
        <v>71.05</v>
      </c>
      <c r="Z462" s="4">
        <f>Games[[#This Row],[K]]*Games[[#This Row],[POMult]]</f>
        <v>71.05</v>
      </c>
      <c r="AA462" s="4">
        <f>(Games[[#This Row],[Keff]]*Games[[#This Row],[MOVMult]])*(Games[[#This Row],[Result]]-Games[[#This Row],[ExpectedWin%]])</f>
        <v>-3.3356214398079449</v>
      </c>
      <c r="AB462" s="4">
        <f>Games[[#This Row],[PreGmRate]]+Games[[#This Row],[RatingChange]]</f>
        <v>1358.8124547768853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39704</v>
      </c>
      <c r="B463" s="2">
        <v>2008</v>
      </c>
      <c r="C463" s="2">
        <f>COUNTIFS(Games[Team],Games[[#This Row],[Team]],Games[Season],Games[[#This Row],[Season]],Games[Date],"&lt;=" &amp; Games[[#This Row],[Date]])</f>
        <v>34</v>
      </c>
      <c r="D463" s="2" t="s">
        <v>23</v>
      </c>
      <c r="E463" s="2" t="s">
        <v>29</v>
      </c>
      <c r="F463" s="1" t="s">
        <v>85</v>
      </c>
      <c r="G463" s="1" t="s">
        <v>72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">
        <f>MAX(-16, MIN(16, Games[[#This Row],[RestDiff]]*8))</f>
        <v>0</v>
      </c>
      <c r="N463" s="1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1570.3381180395572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1362.1480762166932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0.84316668145733764</v>
      </c>
      <c r="R463" s="1">
        <v>87</v>
      </c>
      <c r="S463" s="1">
        <v>81</v>
      </c>
      <c r="T463" s="1">
        <v>0</v>
      </c>
      <c r="U463" s="1">
        <f>Games[[#This Row],[PointsFor]]-Games[[#This Row],[PointsAgainst]]</f>
        <v>6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0.29934660861791201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3" s="9">
        <f>MAX(kmin, kmax - 0.15 * MIN(Games[[#This Row],[GamesPlayed]], 82))</f>
        <v>70.900000000000006</v>
      </c>
      <c r="Z463" s="4">
        <f>Games[[#This Row],[K]]*Games[[#This Row],[POMult]]</f>
        <v>70.900000000000006</v>
      </c>
      <c r="AA463" s="4">
        <f>(Games[[#This Row],[Keff]]*Games[[#This Row],[MOVMult]])*(Games[[#This Row],[Result]]-Games[[#This Row],[ExpectedWin%]])</f>
        <v>3.3285793115043423</v>
      </c>
      <c r="AB463" s="4">
        <f>Games[[#This Row],[PreGmRate]]+Games[[#This Row],[RatingChange]]</f>
        <v>1573.6666973510617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39704</v>
      </c>
      <c r="B464" s="2">
        <v>2008</v>
      </c>
      <c r="C464" s="2">
        <f>COUNTIFS(Games[Team],Games[[#This Row],[Team]],Games[Season],Games[[#This Row],[Season]],Games[Date],"&lt;=" &amp; Games[[#This Row],[Date]])</f>
        <v>33</v>
      </c>
      <c r="D464" s="2" t="s">
        <v>23</v>
      </c>
      <c r="E464" s="2" t="s">
        <v>29</v>
      </c>
      <c r="F464" s="1" t="s">
        <v>45</v>
      </c>
      <c r="G464" s="1" t="s">
        <v>83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2</v>
      </c>
      <c r="L464" s="2">
        <f>Games[[#This Row],[OppDaysOff]]-Games[[#This Row],[DaysOff]]</f>
        <v>-2</v>
      </c>
      <c r="M464" s="1">
        <f>MAX(-16, MIN(16, Games[[#This Row],[RestDiff]]*8))</f>
        <v>16</v>
      </c>
      <c r="N464" s="1">
        <f>MAX(-16, MIN(16, Games[[#This Row],[OppRestDiff]]*8))</f>
        <v>-16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1532.1163255900744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1640.3953304042486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0.28442025760448481</v>
      </c>
      <c r="R464" s="1">
        <v>69</v>
      </c>
      <c r="S464" s="1">
        <v>77</v>
      </c>
      <c r="T464" s="1">
        <v>0</v>
      </c>
      <c r="U464" s="1">
        <f>Games[[#This Row],[PointsFor]]-Games[[#This Row],[PointsAgainst]]</f>
        <v>-8</v>
      </c>
      <c r="V464" s="1">
        <f>IF(Games[[#This Row],[MOV]]&gt;0,1,IF(Games[[#This Row],[MOV]]=0,0.5,0))</f>
        <v>0</v>
      </c>
      <c r="W464" s="4">
        <f>((ABS(Games[[#This Row],[MOV]])+5)^0.6)/(12+0.01*(ABS(Games[[#This Row],[PreGmRate]]-Games[[#This Row],[OppPreGmRate]])))*IF(Games[[#This Row],[OT]]=1,0.9,1)</f>
        <v>0.35617680960170528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4" s="9">
        <f>MAX(kmin, kmax - 0.15 * MIN(Games[[#This Row],[GamesPlayed]], 82))</f>
        <v>71.05</v>
      </c>
      <c r="Z464" s="4">
        <f>Games[[#This Row],[K]]*Games[[#This Row],[POMult]]</f>
        <v>71.05</v>
      </c>
      <c r="AA464" s="4">
        <f>(Games[[#This Row],[Keff]]*Games[[#This Row],[MOVMult]])*(Games[[#This Row],[Result]]-Games[[#This Row],[ExpectedWin%]])</f>
        <v>-7.1976420907128826</v>
      </c>
      <c r="AB464" s="4">
        <f>Games[[#This Row],[PreGmRate]]+Games[[#This Row],[RatingChange]]</f>
        <v>1524.9186834993616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1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39704</v>
      </c>
      <c r="B465" s="2">
        <v>2008</v>
      </c>
      <c r="C465" s="2">
        <f>COUNTIFS(Games[Team],Games[[#This Row],[Team]],Games[Season],Games[[#This Row],[Season]],Games[Date],"&lt;=" &amp; Games[[#This Row],[Date]])</f>
        <v>34</v>
      </c>
      <c r="D465" s="2" t="s">
        <v>23</v>
      </c>
      <c r="E465" s="2" t="s">
        <v>29</v>
      </c>
      <c r="F465" s="1" t="s">
        <v>83</v>
      </c>
      <c r="G465" s="1" t="s">
        <v>45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5" s="2">
        <f>Games[[#This Row],[DaysOff]]-Games[[#This Row],[OppDaysOff]]</f>
        <v>-2</v>
      </c>
      <c r="L465" s="2">
        <f>Games[[#This Row],[OppDaysOff]]-Games[[#This Row],[DaysOff]]</f>
        <v>2</v>
      </c>
      <c r="M465" s="1">
        <f>MAX(-16, MIN(16, Games[[#This Row],[RestDiff]]*8))</f>
        <v>-16</v>
      </c>
      <c r="N465" s="1">
        <f>MAX(-16, MIN(16, Games[[#This Row],[OppRestDiff]]*8))</f>
        <v>16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1640.3953304042486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1532.1163255900744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0.71557974239551525</v>
      </c>
      <c r="R465" s="1">
        <v>77</v>
      </c>
      <c r="S465" s="1">
        <v>69</v>
      </c>
      <c r="T465" s="1">
        <v>0</v>
      </c>
      <c r="U465" s="1">
        <f>Games[[#This Row],[PointsFor]]-Games[[#This Row],[PointsAgainst]]</f>
        <v>8</v>
      </c>
      <c r="V465" s="1">
        <f>IF(Games[[#This Row],[MOV]]&gt;0,1,IF(Games[[#This Row],[MOV]]=0,0.5,0))</f>
        <v>1</v>
      </c>
      <c r="W465" s="4">
        <f>((ABS(Games[[#This Row],[MOV]])+5)^0.6)/(12+0.01*(ABS(Games[[#This Row],[PreGmRate]]-Games[[#This Row],[OppPreGmRate]])))*IF(Games[[#This Row],[OT]]=1,0.9,1)</f>
        <v>0.35617680960170528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5" s="9">
        <f>MAX(kmin, kmax - 0.15 * MIN(Games[[#This Row],[GamesPlayed]], 82))</f>
        <v>70.900000000000006</v>
      </c>
      <c r="Z465" s="4">
        <f>Games[[#This Row],[K]]*Games[[#This Row],[POMult]]</f>
        <v>70.900000000000006</v>
      </c>
      <c r="AA465" s="4">
        <f>(Games[[#This Row],[Keff]]*Games[[#This Row],[MOVMult]])*(Games[[#This Row],[Result]]-Games[[#This Row],[ExpectedWin%]])</f>
        <v>7.1824465057219324</v>
      </c>
      <c r="AB465" s="4">
        <f>Games[[#This Row],[PreGmRate]]+Games[[#This Row],[RatingChange]]</f>
        <v>1647.5777769099705</v>
      </c>
      <c r="AC465" s="2">
        <f>IF(Games[[#This Row],[Type]]="R",IF(Games[[#This Row],[Result]]&gt;0.5,1,0),0)</f>
        <v>1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39705</v>
      </c>
      <c r="B466" s="2">
        <v>2008</v>
      </c>
      <c r="C466" s="2">
        <f>COUNTIFS(Games[Team],Games[[#This Row],[Team]],Games[Season],Games[[#This Row],[Season]],Games[Date],"&lt;=" &amp; Games[[#This Row],[Date]])</f>
        <v>33</v>
      </c>
      <c r="D466" s="2" t="s">
        <v>23</v>
      </c>
      <c r="E466" s="2" t="s">
        <v>29</v>
      </c>
      <c r="F466" s="1" t="s">
        <v>2</v>
      </c>
      <c r="G466" s="1" t="s">
        <v>86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3</v>
      </c>
      <c r="L466" s="2">
        <f>Games[[#This Row],[OppDaysOff]]-Games[[#This Row],[DaysOff]]</f>
        <v>-3</v>
      </c>
      <c r="M466" s="1">
        <f>MAX(-16, MIN(16, Games[[#This Row],[RestDiff]]*8))</f>
        <v>16</v>
      </c>
      <c r="N466" s="1">
        <f>MAX(-16, MIN(16, Games[[#This Row],[OppRestDiff]]*8))</f>
        <v>-16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1467.0051958759282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1436.30627342254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0.46938363635944641</v>
      </c>
      <c r="R466" s="1">
        <v>79</v>
      </c>
      <c r="S466" s="1">
        <v>76</v>
      </c>
      <c r="T466" s="1">
        <v>0</v>
      </c>
      <c r="U466" s="1">
        <f>Games[[#This Row],[PointsFor]]-Games[[#This Row],[PointsAgainst]]</f>
        <v>3</v>
      </c>
      <c r="V466" s="1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0.28294509645322147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6" s="9">
        <f>MAX(kmin, kmax - 0.15 * MIN(Games[[#This Row],[GamesPlayed]], 82))</f>
        <v>71.05</v>
      </c>
      <c r="Z466" s="4">
        <f>Games[[#This Row],[K]]*Games[[#This Row],[POMult]]</f>
        <v>71.05</v>
      </c>
      <c r="AA466" s="4">
        <f>(Games[[#This Row],[Keff]]*Games[[#This Row],[MOVMult]])*(Games[[#This Row],[Result]]-Games[[#This Row],[ExpectedWin%]])</f>
        <v>10.667112936394817</v>
      </c>
      <c r="AB466" s="4">
        <f>Games[[#This Row],[PreGmRate]]+Games[[#This Row],[RatingChange]]</f>
        <v>1477.6723088123231</v>
      </c>
      <c r="AC466" s="2">
        <f>IF(Games[[#This Row],[Type]]="R",IF(Games[[#This Row],[Result]]&gt;0.5,1,0),0)</f>
        <v>1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39705</v>
      </c>
      <c r="B467" s="2">
        <v>2008</v>
      </c>
      <c r="C467" s="2">
        <f>COUNTIFS(Games[Team],Games[[#This Row],[Team]],Games[Season],Games[[#This Row],[Season]],Games[Date],"&lt;=" &amp; Games[[#This Row],[Date]])</f>
        <v>34</v>
      </c>
      <c r="D467" s="2" t="s">
        <v>23</v>
      </c>
      <c r="E467" s="2" t="s">
        <v>29</v>
      </c>
      <c r="F467" s="1" t="s">
        <v>86</v>
      </c>
      <c r="G467" s="1" t="s">
        <v>2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7" s="2">
        <f>Games[[#This Row],[DaysOff]]-Games[[#This Row],[OppDaysOff]]</f>
        <v>-3</v>
      </c>
      <c r="L467" s="2">
        <f>Games[[#This Row],[OppDaysOff]]-Games[[#This Row],[DaysOff]]</f>
        <v>3</v>
      </c>
      <c r="M467" s="1">
        <f>MAX(-16, MIN(16, Games[[#This Row],[RestDiff]]*8))</f>
        <v>-16</v>
      </c>
      <c r="N467" s="1">
        <f>MAX(-16, MIN(16, Games[[#This Row],[OppRestDiff]]*8))</f>
        <v>16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1436.30627342254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1467.0051958759282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0.53061636364055365</v>
      </c>
      <c r="R467" s="1">
        <v>76</v>
      </c>
      <c r="S467" s="1">
        <v>79</v>
      </c>
      <c r="T467" s="1">
        <v>0</v>
      </c>
      <c r="U467" s="1">
        <f>Games[[#This Row],[PointsFor]]-Games[[#This Row],[PointsAgainst]]</f>
        <v>-3</v>
      </c>
      <c r="V467" s="1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0.28294509645322147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7" s="9">
        <f>MAX(kmin, kmax - 0.15 * MIN(Games[[#This Row],[GamesPlayed]], 82))</f>
        <v>70.900000000000006</v>
      </c>
      <c r="Z467" s="4">
        <f>Games[[#This Row],[K]]*Games[[#This Row],[POMult]]</f>
        <v>70.900000000000006</v>
      </c>
      <c r="AA467" s="4">
        <f>(Games[[#This Row],[Keff]]*Games[[#This Row],[MOVMult]])*(Games[[#This Row],[Result]]-Games[[#This Row],[ExpectedWin%]])</f>
        <v>-10.644592641666328</v>
      </c>
      <c r="AB467" s="4">
        <f>Games[[#This Row],[PreGmRate]]+Games[[#This Row],[RatingChange]]</f>
        <v>1425.6616807808737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1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39705</v>
      </c>
      <c r="B468" s="2">
        <v>2008</v>
      </c>
      <c r="C468" s="2">
        <f>COUNTIFS(Games[Team],Games[[#This Row],[Team]],Games[Season],Games[[#This Row],[Season]],Games[Date],"&lt;=" &amp; Games[[#This Row],[Date]])</f>
        <v>34</v>
      </c>
      <c r="D468" s="2" t="s">
        <v>23</v>
      </c>
      <c r="E468" s="2" t="s">
        <v>29</v>
      </c>
      <c r="F468" s="1" t="s">
        <v>44</v>
      </c>
      <c r="G468" s="1" t="s">
        <v>78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8" s="2">
        <f>Games[[#This Row],[DaysOff]]-Games[[#This Row],[OppDaysOff]]</f>
        <v>-1</v>
      </c>
      <c r="L468" s="2">
        <f>Games[[#This Row],[OppDaysOff]]-Games[[#This Row],[DaysOff]]</f>
        <v>1</v>
      </c>
      <c r="M468" s="1">
        <f>MAX(-16, MIN(16, Games[[#This Row],[RestDiff]]*8))</f>
        <v>-8</v>
      </c>
      <c r="N468" s="1">
        <f>MAX(-16, MIN(16, Games[[#This Row],[OppRestDiff]]*8))</f>
        <v>8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1535.8298709748328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1493.9373377537204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0.41714769678195546</v>
      </c>
      <c r="R468" s="1">
        <v>89</v>
      </c>
      <c r="S468" s="1">
        <v>103</v>
      </c>
      <c r="T468" s="1">
        <v>0</v>
      </c>
      <c r="U468" s="1">
        <f>Games[[#This Row],[PointsFor]]-Games[[#This Row],[PointsAgainst]]</f>
        <v>-14</v>
      </c>
      <c r="V468" s="1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0.47115970874167601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8" s="9">
        <f>MAX(kmin, kmax - 0.15 * MIN(Games[[#This Row],[GamesPlayed]], 82))</f>
        <v>70.900000000000006</v>
      </c>
      <c r="Z468" s="4">
        <f>Games[[#This Row],[K]]*Games[[#This Row],[POMult]]</f>
        <v>70.900000000000006</v>
      </c>
      <c r="AA468" s="4">
        <f>(Games[[#This Row],[Keff]]*Games[[#This Row],[MOVMult]])*(Games[[#This Row],[Result]]-Games[[#This Row],[ExpectedWin%]])</f>
        <v>-13.934911980849542</v>
      </c>
      <c r="AB468" s="4">
        <f>Games[[#This Row],[PreGmRate]]+Games[[#This Row],[RatingChange]]</f>
        <v>1521.8949589939832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1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39705</v>
      </c>
      <c r="B469" s="2">
        <v>2008</v>
      </c>
      <c r="C469" s="2">
        <f>COUNTIFS(Games[Team],Games[[#This Row],[Team]],Games[Season],Games[[#This Row],[Season]],Games[Date],"&lt;=" &amp; Games[[#This Row],[Date]])</f>
        <v>34</v>
      </c>
      <c r="D469" s="2" t="s">
        <v>23</v>
      </c>
      <c r="E469" s="2" t="s">
        <v>29</v>
      </c>
      <c r="F469" s="1" t="s">
        <v>78</v>
      </c>
      <c r="G469" s="1" t="s">
        <v>44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1</v>
      </c>
      <c r="L469" s="2">
        <f>Games[[#This Row],[OppDaysOff]]-Games[[#This Row],[DaysOff]]</f>
        <v>-1</v>
      </c>
      <c r="M469" s="1">
        <f>MAX(-16, MIN(16, Games[[#This Row],[RestDiff]]*8))</f>
        <v>8</v>
      </c>
      <c r="N469" s="1">
        <f>MAX(-16, MIN(16, Games[[#This Row],[OppRestDiff]]*8))</f>
        <v>-8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1493.9373377537204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1535.8298709748328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0.58285230321804449</v>
      </c>
      <c r="R469" s="1">
        <v>103</v>
      </c>
      <c r="S469" s="1">
        <v>89</v>
      </c>
      <c r="T469" s="1">
        <v>0</v>
      </c>
      <c r="U469" s="1">
        <f>Games[[#This Row],[PointsFor]]-Games[[#This Row],[PointsAgainst]]</f>
        <v>14</v>
      </c>
      <c r="V469" s="1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0.47115970874167601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9" s="9">
        <f>MAX(kmin, kmax - 0.15 * MIN(Games[[#This Row],[GamesPlayed]], 82))</f>
        <v>70.900000000000006</v>
      </c>
      <c r="Z469" s="4">
        <f>Games[[#This Row],[K]]*Games[[#This Row],[POMult]]</f>
        <v>70.900000000000006</v>
      </c>
      <c r="AA469" s="4">
        <f>(Games[[#This Row],[Keff]]*Games[[#This Row],[MOVMult]])*(Games[[#This Row],[Result]]-Games[[#This Row],[ExpectedWin%]])</f>
        <v>13.934911980849543</v>
      </c>
      <c r="AB469" s="4">
        <f>Games[[#This Row],[PreGmRate]]+Games[[#This Row],[RatingChange]]</f>
        <v>1507.87224973457</v>
      </c>
      <c r="AC469" s="2">
        <f>IF(Games[[#This Row],[Type]]="R",IF(Games[[#This Row],[Result]]&gt;0.5,1,0),0)</f>
        <v>1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39705</v>
      </c>
      <c r="B470" s="2">
        <v>2008</v>
      </c>
      <c r="C470" s="2">
        <f>COUNTIFS(Games[Team],Games[[#This Row],[Team]],Games[Season],Games[[#This Row],[Season]],Games[Date],"&lt;=" &amp; Games[[#This Row],[Date]])</f>
        <v>34</v>
      </c>
      <c r="D470" s="2" t="s">
        <v>23</v>
      </c>
      <c r="E470" s="2" t="s">
        <v>29</v>
      </c>
      <c r="F470" s="1" t="s">
        <v>80</v>
      </c>
      <c r="G470" s="1" t="s">
        <v>69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0" s="2">
        <f>Games[[#This Row],[DaysOff]]-Games[[#This Row],[OppDaysOff]]</f>
        <v>-1</v>
      </c>
      <c r="L470" s="2">
        <f>Games[[#This Row],[OppDaysOff]]-Games[[#This Row],[DaysOff]]</f>
        <v>1</v>
      </c>
      <c r="M470" s="1">
        <f>MAX(-16, MIN(16, Games[[#This Row],[RestDiff]]*8))</f>
        <v>-8</v>
      </c>
      <c r="N470" s="1">
        <f>MAX(-16, MIN(16, Games[[#This Row],[OppRestDiff]]*8))</f>
        <v>8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1590.0739459915535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1532.4727796183524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0.43928427194723946</v>
      </c>
      <c r="R470" s="1">
        <v>48</v>
      </c>
      <c r="S470" s="1">
        <v>65</v>
      </c>
      <c r="T470" s="1">
        <v>0</v>
      </c>
      <c r="U470" s="1">
        <f>Games[[#This Row],[PointsFor]]-Games[[#This Row],[PointsAgainst]]</f>
        <v>-17</v>
      </c>
      <c r="V470" s="1">
        <f>IF(Games[[#This Row],[MOV]]&gt;0,1,IF(Games[[#This Row],[MOV]]=0,0.5,0))</f>
        <v>0</v>
      </c>
      <c r="W470" s="4">
        <f>((ABS(Games[[#This Row],[MOV]])+5)^0.6)/(12+0.01*(ABS(Games[[#This Row],[PreGmRate]]-Games[[#This Row],[OppPreGmRate]])))*IF(Games[[#This Row],[OT]]=1,0.9,1)</f>
        <v>0.50805493822895365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0" s="9">
        <f>MAX(kmin, kmax - 0.15 * MIN(Games[[#This Row],[GamesPlayed]], 82))</f>
        <v>70.900000000000006</v>
      </c>
      <c r="Z470" s="4">
        <f>Games[[#This Row],[K]]*Games[[#This Row],[POMult]]</f>
        <v>70.900000000000006</v>
      </c>
      <c r="AA470" s="4">
        <f>(Games[[#This Row],[Keff]]*Games[[#This Row],[MOVMult]])*(Games[[#This Row],[Result]]-Games[[#This Row],[ExpectedWin%]])</f>
        <v>-15.82350054472159</v>
      </c>
      <c r="AB470" s="4">
        <f>Games[[#This Row],[PreGmRate]]+Games[[#This Row],[RatingChange]]</f>
        <v>1574.2504454468319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1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39705</v>
      </c>
      <c r="B471" s="2">
        <v>2008</v>
      </c>
      <c r="C471" s="2">
        <f>COUNTIFS(Games[Team],Games[[#This Row],[Team]],Games[Season],Games[[#This Row],[Season]],Games[Date],"&lt;=" &amp; Games[[#This Row],[Date]])</f>
        <v>34</v>
      </c>
      <c r="D471" s="2" t="s">
        <v>23</v>
      </c>
      <c r="E471" s="2" t="s">
        <v>29</v>
      </c>
      <c r="F471" s="1" t="s">
        <v>69</v>
      </c>
      <c r="G471" s="1" t="s">
        <v>80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1</v>
      </c>
      <c r="L471" s="2">
        <f>Games[[#This Row],[OppDaysOff]]-Games[[#This Row],[DaysOff]]</f>
        <v>-1</v>
      </c>
      <c r="M471" s="1">
        <f>MAX(-16, MIN(16, Games[[#This Row],[RestDiff]]*8))</f>
        <v>8</v>
      </c>
      <c r="N471" s="1">
        <f>MAX(-16, MIN(16, Games[[#This Row],[OppRestDiff]]*8))</f>
        <v>-8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1532.4727796183524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1590.0739459915535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0.56071572805276049</v>
      </c>
      <c r="R471" s="1">
        <v>65</v>
      </c>
      <c r="S471" s="1">
        <v>48</v>
      </c>
      <c r="T471" s="1">
        <v>0</v>
      </c>
      <c r="U471" s="1">
        <f>Games[[#This Row],[PointsFor]]-Games[[#This Row],[PointsAgainst]]</f>
        <v>17</v>
      </c>
      <c r="V471" s="1">
        <f>IF(Games[[#This Row],[MOV]]&gt;0,1,IF(Games[[#This Row],[MOV]]=0,0.5,0))</f>
        <v>1</v>
      </c>
      <c r="W471" s="4">
        <f>((ABS(Games[[#This Row],[MOV]])+5)^0.6)/(12+0.01*(ABS(Games[[#This Row],[PreGmRate]]-Games[[#This Row],[OppPreGmRate]])))*IF(Games[[#This Row],[OT]]=1,0.9,1)</f>
        <v>0.50805493822895365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1" s="9">
        <f>MAX(kmin, kmax - 0.15 * MIN(Games[[#This Row],[GamesPlayed]], 82))</f>
        <v>70.900000000000006</v>
      </c>
      <c r="Z471" s="4">
        <f>Games[[#This Row],[K]]*Games[[#This Row],[POMult]]</f>
        <v>70.900000000000006</v>
      </c>
      <c r="AA471" s="4">
        <f>(Games[[#This Row],[Keff]]*Games[[#This Row],[MOVMult]])*(Games[[#This Row],[Result]]-Games[[#This Row],[ExpectedWin%]])</f>
        <v>15.823500544721592</v>
      </c>
      <c r="AB471" s="4">
        <f>Games[[#This Row],[PreGmRate]]+Games[[#This Row],[RatingChange]]</f>
        <v>1548.296280163074</v>
      </c>
      <c r="AC471" s="2">
        <f>IF(Games[[#This Row],[Type]]="R",IF(Games[[#This Row],[Result]]&gt;0.5,1,0),0)</f>
        <v>1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39705</v>
      </c>
      <c r="B472" s="2">
        <v>2008</v>
      </c>
      <c r="C472" s="2">
        <f>COUNTIFS(Games[Team],Games[[#This Row],[Team]],Games[Season],Games[[#This Row],[Season]],Games[Date],"&lt;=" &amp; Games[[#This Row],[Date]])</f>
        <v>34</v>
      </c>
      <c r="D472" s="2" t="s">
        <v>23</v>
      </c>
      <c r="E472" s="2" t="s">
        <v>29</v>
      </c>
      <c r="F472" s="1" t="s">
        <v>74</v>
      </c>
      <c r="G472" s="1" t="s">
        <v>66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1</v>
      </c>
      <c r="L472" s="2">
        <f>Games[[#This Row],[OppDaysOff]]-Games[[#This Row],[DaysOff]]</f>
        <v>-1</v>
      </c>
      <c r="M472" s="1">
        <f>MAX(-16, MIN(16, Games[[#This Row],[RestDiff]]*8))</f>
        <v>8</v>
      </c>
      <c r="N472" s="1">
        <f>MAX(-16, MIN(16, Games[[#This Row],[OppRestDiff]]*8))</f>
        <v>-8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1587.7398349088896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1528.7445609554838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0.48704405834355435</v>
      </c>
      <c r="R472" s="1">
        <v>61</v>
      </c>
      <c r="S472" s="1">
        <v>59</v>
      </c>
      <c r="T472" s="1">
        <v>0</v>
      </c>
      <c r="U472" s="1">
        <f>Games[[#This Row],[PointsFor]]-Games[[#This Row],[PointsAgainst]]</f>
        <v>2</v>
      </c>
      <c r="V472" s="1">
        <f>IF(Games[[#This Row],[MOV]]&gt;0,1,IF(Games[[#This Row],[MOV]]=0,0.5,0))</f>
        <v>1</v>
      </c>
      <c r="W472" s="4">
        <f>((ABS(Games[[#This Row],[MOV]])+5)^0.6)/(12+0.01*(ABS(Games[[#This Row],[PreGmRate]]-Games[[#This Row],[OppPreGmRate]])))*IF(Games[[#This Row],[OT]]=1,0.9,1)</f>
        <v>0.25529054129197543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2" s="9">
        <f>MAX(kmin, kmax - 0.15 * MIN(Games[[#This Row],[GamesPlayed]], 82))</f>
        <v>70.900000000000006</v>
      </c>
      <c r="Z472" s="4">
        <f>Games[[#This Row],[K]]*Games[[#This Row],[POMult]]</f>
        <v>70.900000000000006</v>
      </c>
      <c r="AA472" s="4">
        <f>(Games[[#This Row],[Keff]]*Games[[#This Row],[MOVMult]])*(Games[[#This Row],[Result]]-Games[[#This Row],[ExpectedWin%]])</f>
        <v>9.2845535203125973</v>
      </c>
      <c r="AB472" s="4">
        <f>Games[[#This Row],[PreGmRate]]+Games[[#This Row],[RatingChange]]</f>
        <v>1597.0243884292022</v>
      </c>
      <c r="AC472" s="2">
        <f>IF(Games[[#This Row],[Type]]="R",IF(Games[[#This Row],[Result]]&gt;0.5,1,0),0)</f>
        <v>1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39705</v>
      </c>
      <c r="B473" s="2">
        <v>2008</v>
      </c>
      <c r="C473" s="2">
        <f>COUNTIFS(Games[Team],Games[[#This Row],[Team]],Games[Season],Games[[#This Row],[Season]],Games[Date],"&lt;=" &amp; Games[[#This Row],[Date]])</f>
        <v>34</v>
      </c>
      <c r="D473" s="2" t="s">
        <v>23</v>
      </c>
      <c r="E473" s="2" t="s">
        <v>29</v>
      </c>
      <c r="F473" s="1" t="s">
        <v>66</v>
      </c>
      <c r="G473" s="1" t="s">
        <v>74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3" s="2">
        <f>Games[[#This Row],[DaysOff]]-Games[[#This Row],[OppDaysOff]]</f>
        <v>-1</v>
      </c>
      <c r="L473" s="2">
        <f>Games[[#This Row],[OppDaysOff]]-Games[[#This Row],[DaysOff]]</f>
        <v>1</v>
      </c>
      <c r="M473" s="1">
        <f>MAX(-16, MIN(16, Games[[#This Row],[RestDiff]]*8))</f>
        <v>-8</v>
      </c>
      <c r="N473" s="1">
        <f>MAX(-16, MIN(16, Games[[#This Row],[OppRestDiff]]*8))</f>
        <v>8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1528.7445609554838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1587.7398349088896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0.51295594165644565</v>
      </c>
      <c r="R473" s="1">
        <v>59</v>
      </c>
      <c r="S473" s="1">
        <v>61</v>
      </c>
      <c r="T473" s="1">
        <v>0</v>
      </c>
      <c r="U473" s="1">
        <f>Games[[#This Row],[PointsFor]]-Games[[#This Row],[PointsAgainst]]</f>
        <v>-2</v>
      </c>
      <c r="V473" s="1">
        <f>IF(Games[[#This Row],[MOV]]&gt;0,1,IF(Games[[#This Row],[MOV]]=0,0.5,0))</f>
        <v>0</v>
      </c>
      <c r="W473" s="4">
        <f>((ABS(Games[[#This Row],[MOV]])+5)^0.6)/(12+0.01*(ABS(Games[[#This Row],[PreGmRate]]-Games[[#This Row],[OppPreGmRate]])))*IF(Games[[#This Row],[OT]]=1,0.9,1)</f>
        <v>0.25529054129197543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3" s="9">
        <f>MAX(kmin, kmax - 0.15 * MIN(Games[[#This Row],[GamesPlayed]], 82))</f>
        <v>70.900000000000006</v>
      </c>
      <c r="Z473" s="4">
        <f>Games[[#This Row],[K]]*Games[[#This Row],[POMult]]</f>
        <v>70.900000000000006</v>
      </c>
      <c r="AA473" s="4">
        <f>(Games[[#This Row],[Keff]]*Games[[#This Row],[MOVMult]])*(Games[[#This Row],[Result]]-Games[[#This Row],[ExpectedWin%]])</f>
        <v>-9.2845535203125973</v>
      </c>
      <c r="AB473" s="4">
        <f>Games[[#This Row],[PreGmRate]]+Games[[#This Row],[RatingChange]]</f>
        <v>1519.4600074351713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1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39705</v>
      </c>
      <c r="B474" s="2">
        <v>2008</v>
      </c>
      <c r="C474" s="2">
        <f>COUNTIFS(Games[Team],Games[[#This Row],[Team]],Games[Season],Games[[#This Row],[Season]],Games[Date],"&lt;=" &amp; Games[[#This Row],[Date]])</f>
        <v>34</v>
      </c>
      <c r="D474" s="2" t="s">
        <v>23</v>
      </c>
      <c r="E474" s="2" t="s">
        <v>29</v>
      </c>
      <c r="F474" s="1" t="s">
        <v>76</v>
      </c>
      <c r="G474" s="1" t="s">
        <v>72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4" s="2">
        <f>Games[[#This Row],[DaysOff]]-Games[[#This Row],[OppDaysOff]]</f>
        <v>1</v>
      </c>
      <c r="L474" s="2">
        <f>Games[[#This Row],[OppDaysOff]]-Games[[#This Row],[DaysOff]]</f>
        <v>-1</v>
      </c>
      <c r="M474" s="1">
        <f>MAX(-16, MIN(16, Games[[#This Row],[RestDiff]]*8))</f>
        <v>8</v>
      </c>
      <c r="N474" s="1">
        <f>MAX(-16, MIN(16, Games[[#This Row],[OppRestDiff]]*8))</f>
        <v>-8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1459.6977087728874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1358.8124547768853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0.54718486099236463</v>
      </c>
      <c r="R474" s="1">
        <v>96</v>
      </c>
      <c r="S474" s="1">
        <v>70</v>
      </c>
      <c r="T474" s="1">
        <v>0</v>
      </c>
      <c r="U474" s="1">
        <f>Games[[#This Row],[PointsFor]]-Games[[#This Row],[PointsAgainst]]</f>
        <v>26</v>
      </c>
      <c r="V474" s="1">
        <f>IF(Games[[#This Row],[MOV]]&gt;0,1,IF(Games[[#This Row],[MOV]]=0,0.5,0))</f>
        <v>1</v>
      </c>
      <c r="W474" s="4">
        <f>((ABS(Games[[#This Row],[MOV]])+5)^0.6)/(12+0.01*(ABS(Games[[#This Row],[PreGmRate]]-Games[[#This Row],[OppPreGmRate]])))*IF(Games[[#This Row],[OT]]=1,0.9,1)</f>
        <v>0.60336209839351107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4" s="9">
        <f>MAX(kmin, kmax - 0.15 * MIN(Games[[#This Row],[GamesPlayed]], 82))</f>
        <v>70.900000000000006</v>
      </c>
      <c r="Z474" s="4">
        <f>Games[[#This Row],[K]]*Games[[#This Row],[POMult]]</f>
        <v>70.900000000000006</v>
      </c>
      <c r="AA474" s="4">
        <f>(Games[[#This Row],[Keff]]*Games[[#This Row],[MOVMult]])*(Games[[#This Row],[Result]]-Games[[#This Row],[ExpectedWin%]])</f>
        <v>19.370694815130136</v>
      </c>
      <c r="AB474" s="4">
        <f>Games[[#This Row],[PreGmRate]]+Games[[#This Row],[RatingChange]]</f>
        <v>1479.0684035880174</v>
      </c>
      <c r="AC474" s="2">
        <f>IF(Games[[#This Row],[Type]]="R",IF(Games[[#This Row],[Result]]&gt;0.5,1,0),0)</f>
        <v>1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39705</v>
      </c>
      <c r="B475" s="2">
        <v>2008</v>
      </c>
      <c r="C475" s="2">
        <f>COUNTIFS(Games[Team],Games[[#This Row],[Team]],Games[Season],Games[[#This Row],[Season]],Games[Date],"&lt;=" &amp; Games[[#This Row],[Date]])</f>
        <v>34</v>
      </c>
      <c r="D475" s="2" t="s">
        <v>23</v>
      </c>
      <c r="E475" s="2" t="s">
        <v>29</v>
      </c>
      <c r="F475" s="1" t="s">
        <v>72</v>
      </c>
      <c r="G475" s="1" t="s">
        <v>76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-1</v>
      </c>
      <c r="L475" s="2">
        <f>Games[[#This Row],[OppDaysOff]]-Games[[#This Row],[DaysOff]]</f>
        <v>1</v>
      </c>
      <c r="M475" s="1">
        <f>MAX(-16, MIN(16, Games[[#This Row],[RestDiff]]*8))</f>
        <v>-8</v>
      </c>
      <c r="N475" s="1">
        <f>MAX(-16, MIN(16, Games[[#This Row],[OppRestDiff]]*8))</f>
        <v>8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1358.8124547768853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1459.6977087728874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0.45281513900763548</v>
      </c>
      <c r="R475" s="1">
        <v>70</v>
      </c>
      <c r="S475" s="1">
        <v>96</v>
      </c>
      <c r="T475" s="1">
        <v>0</v>
      </c>
      <c r="U475" s="1">
        <f>Games[[#This Row],[PointsFor]]-Games[[#This Row],[PointsAgainst]]</f>
        <v>-26</v>
      </c>
      <c r="V475" s="1">
        <f>IF(Games[[#This Row],[MOV]]&gt;0,1,IF(Games[[#This Row],[MOV]]=0,0.5,0))</f>
        <v>0</v>
      </c>
      <c r="W475" s="4">
        <f>((ABS(Games[[#This Row],[MOV]])+5)^0.6)/(12+0.01*(ABS(Games[[#This Row],[PreGmRate]]-Games[[#This Row],[OppPreGmRate]])))*IF(Games[[#This Row],[OT]]=1,0.9,1)</f>
        <v>0.60336209839351107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5" s="9">
        <f>MAX(kmin, kmax - 0.15 * MIN(Games[[#This Row],[GamesPlayed]], 82))</f>
        <v>70.900000000000006</v>
      </c>
      <c r="Z475" s="4">
        <f>Games[[#This Row],[K]]*Games[[#This Row],[POMult]]</f>
        <v>70.900000000000006</v>
      </c>
      <c r="AA475" s="4">
        <f>(Games[[#This Row],[Keff]]*Games[[#This Row],[MOVMult]])*(Games[[#This Row],[Result]]-Games[[#This Row],[ExpectedWin%]])</f>
        <v>-19.370694815130143</v>
      </c>
      <c r="AB475" s="4">
        <f>Games[[#This Row],[PreGmRate]]+Games[[#This Row],[RatingChange]]</f>
        <v>1339.4417599617552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1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39706</v>
      </c>
      <c r="B476" s="2">
        <v>2008</v>
      </c>
      <c r="C476" s="2">
        <f>COUNTIFS(Games[Team],Games[[#This Row],[Team]],Games[Season],Games[[#This Row],[Season]],Games[Date],"&lt;=" &amp; Games[[#This Row],[Date]])</f>
        <v>34</v>
      </c>
      <c r="D476" s="2" t="s">
        <v>23</v>
      </c>
      <c r="E476" s="2" t="s">
        <v>29</v>
      </c>
      <c r="F476" s="1" t="s">
        <v>45</v>
      </c>
      <c r="G476" s="1" t="s">
        <v>2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6" s="2">
        <f>Games[[#This Row],[DaysOff]]-Games[[#This Row],[OppDaysOff]]</f>
        <v>1</v>
      </c>
      <c r="L476" s="2">
        <f>Games[[#This Row],[OppDaysOff]]-Games[[#This Row],[DaysOff]]</f>
        <v>-1</v>
      </c>
      <c r="M476" s="1">
        <f>MAX(-16, MIN(16, Games[[#This Row],[RestDiff]]*8))</f>
        <v>8</v>
      </c>
      <c r="N476" s="1">
        <f>MAX(-16, MIN(16, Games[[#This Row],[OppRestDiff]]*8))</f>
        <v>-8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1524.9186834993616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1477.6723088123231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0.47016860455108084</v>
      </c>
      <c r="R476" s="1">
        <v>81</v>
      </c>
      <c r="S476" s="1">
        <v>90</v>
      </c>
      <c r="T476" s="1">
        <v>0</v>
      </c>
      <c r="U476" s="1">
        <f>Games[[#This Row],[PointsFor]]-Games[[#This Row],[PointsAgainst]]</f>
        <v>-9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0.39059310370730238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6" s="9">
        <f>MAX(kmin, kmax - 0.15 * MIN(Games[[#This Row],[GamesPlayed]], 82))</f>
        <v>70.900000000000006</v>
      </c>
      <c r="Z476" s="4">
        <f>Games[[#This Row],[K]]*Games[[#This Row],[POMult]]</f>
        <v>70.900000000000006</v>
      </c>
      <c r="AA476" s="4">
        <f>(Games[[#This Row],[Keff]]*Games[[#This Row],[MOVMult]])*(Games[[#This Row],[Result]]-Games[[#This Row],[ExpectedWin%]])</f>
        <v>-13.020403169279263</v>
      </c>
      <c r="AB476" s="4">
        <f>Games[[#This Row],[PreGmRate]]+Games[[#This Row],[RatingChange]]</f>
        <v>1511.8982803300823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1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39706</v>
      </c>
      <c r="B477" s="2">
        <v>2008</v>
      </c>
      <c r="C477" s="2">
        <f>COUNTIFS(Games[Team],Games[[#This Row],[Team]],Games[Season],Games[[#This Row],[Season]],Games[Date],"&lt;=" &amp; Games[[#This Row],[Date]])</f>
        <v>34</v>
      </c>
      <c r="D477" s="2" t="s">
        <v>23</v>
      </c>
      <c r="E477" s="2" t="s">
        <v>29</v>
      </c>
      <c r="F477" s="1" t="s">
        <v>2</v>
      </c>
      <c r="G477" s="1" t="s">
        <v>45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-1</v>
      </c>
      <c r="L477" s="2">
        <f>Games[[#This Row],[OppDaysOff]]-Games[[#This Row],[DaysOff]]</f>
        <v>1</v>
      </c>
      <c r="M477" s="1">
        <f>MAX(-16, MIN(16, Games[[#This Row],[RestDiff]]*8))</f>
        <v>-8</v>
      </c>
      <c r="N477" s="1">
        <f>MAX(-16, MIN(16, Games[[#This Row],[OppRestDiff]]*8))</f>
        <v>8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1477.6723088123231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1524.9186834993616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0.52983139544891911</v>
      </c>
      <c r="R477" s="1">
        <v>90</v>
      </c>
      <c r="S477" s="1">
        <v>81</v>
      </c>
      <c r="T477" s="1">
        <v>0</v>
      </c>
      <c r="U477" s="1">
        <f>Games[[#This Row],[PointsFor]]-Games[[#This Row],[PointsAgainst]]</f>
        <v>9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0.39059310370730238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7" s="9">
        <f>MAX(kmin, kmax - 0.15 * MIN(Games[[#This Row],[GamesPlayed]], 82))</f>
        <v>70.900000000000006</v>
      </c>
      <c r="Z477" s="4">
        <f>Games[[#This Row],[K]]*Games[[#This Row],[POMult]]</f>
        <v>70.900000000000006</v>
      </c>
      <c r="AA477" s="4">
        <f>(Games[[#This Row],[Keff]]*Games[[#This Row],[MOVMult]])*(Games[[#This Row],[Result]]-Games[[#This Row],[ExpectedWin%]])</f>
        <v>13.020403169279264</v>
      </c>
      <c r="AB477" s="4">
        <f>Games[[#This Row],[PreGmRate]]+Games[[#This Row],[RatingChange]]</f>
        <v>1490.6927119816023</v>
      </c>
      <c r="AC477" s="2">
        <f>IF(Games[[#This Row],[Type]]="R",IF(Games[[#This Row],[Result]]&gt;0.5,1,0),0)</f>
        <v>1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39709</v>
      </c>
      <c r="B478" s="2">
        <v>2008</v>
      </c>
      <c r="C478" s="2">
        <f>COUNTIFS(Games[Team],Games[[#This Row],[Team]],Games[Season],Games[[#This Row],[Season]],Games[Date],"&lt;=" &amp; Games[[#This Row],[Date]])</f>
        <v>35</v>
      </c>
      <c r="D478" s="2" t="s">
        <v>46</v>
      </c>
      <c r="E478" s="2">
        <v>1</v>
      </c>
      <c r="F478" s="1" t="s">
        <v>85</v>
      </c>
      <c r="G478" s="1" t="s">
        <v>66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8" s="2">
        <f>Games[[#This Row],[DaysOff]]-Games[[#This Row],[OppDaysOff]]</f>
        <v>1</v>
      </c>
      <c r="L478" s="2">
        <f>Games[[#This Row],[OppDaysOff]]-Games[[#This Row],[DaysOff]]</f>
        <v>-1</v>
      </c>
      <c r="M478" s="16">
        <f>MAX(-16, MIN(16, Games[[#This Row],[RestDiff]]*8))</f>
        <v>8</v>
      </c>
      <c r="N478" s="16">
        <f>MAX(-16, MIN(16, Games[[#This Row],[OppRestDiff]]*8))</f>
        <v>-8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1573.6666973510617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1519.4600074351713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0.48016025329355116</v>
      </c>
      <c r="R478" s="1">
        <v>63</v>
      </c>
      <c r="S478" s="1">
        <v>72</v>
      </c>
      <c r="T478" s="1">
        <v>0</v>
      </c>
      <c r="U478" s="16">
        <f>Games[[#This Row],[PointsFor]]-Games[[#This Row],[PointsAgainst]]</f>
        <v>-9</v>
      </c>
      <c r="V478" s="16">
        <f>IF(Games[[#This Row],[MOV]]&gt;0,1,IF(Games[[#This Row],[MOV]]=0,0.5,0))</f>
        <v>0</v>
      </c>
      <c r="W478" s="4">
        <f>((ABS(Games[[#This Row],[MOV]])+5)^0.6)/(12+0.01*(ABS(Games[[#This Row],[PreGmRate]]-Games[[#This Row],[OppPreGmRate]])))*IF(Games[[#This Row],[OT]]=1,0.9,1)</f>
        <v>0.38842547762949797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78" s="9">
        <f>MAX(kmin, kmax - 0.15 * MIN(Games[[#This Row],[GamesPlayed]], 82))</f>
        <v>70.75</v>
      </c>
      <c r="Z478" s="4">
        <f>Games[[#This Row],[K]]*Games[[#This Row],[POMult]]</f>
        <v>77.825000000000003</v>
      </c>
      <c r="AA478" s="4">
        <f>(Games[[#This Row],[Keff]]*Games[[#This Row],[MOVMult]])*(Games[[#This Row],[Result]]-Games[[#This Row],[ExpectedWin%]])</f>
        <v>-14.514866473239628</v>
      </c>
      <c r="AB478" s="4">
        <f>Games[[#This Row],[PreGmRate]]+Games[[#This Row],[RatingChange]]</f>
        <v>1559.151830877822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1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39709</v>
      </c>
      <c r="B479" s="2">
        <v>2008</v>
      </c>
      <c r="C479" s="2">
        <f>COUNTIFS(Games[Team],Games[[#This Row],[Team]],Games[Season],Games[[#This Row],[Season]],Games[Date],"&lt;=" &amp; Games[[#This Row],[Date]])</f>
        <v>35</v>
      </c>
      <c r="D479" s="2" t="s">
        <v>46</v>
      </c>
      <c r="E479" s="2">
        <v>1</v>
      </c>
      <c r="F479" s="1" t="s">
        <v>66</v>
      </c>
      <c r="G479" s="1" t="s">
        <v>85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79" s="2">
        <f>Games[[#This Row],[DaysOff]]-Games[[#This Row],[OppDaysOff]]</f>
        <v>-1</v>
      </c>
      <c r="L479" s="2">
        <f>Games[[#This Row],[OppDaysOff]]-Games[[#This Row],[DaysOff]]</f>
        <v>1</v>
      </c>
      <c r="M479" s="16">
        <f>MAX(-16, MIN(16, Games[[#This Row],[RestDiff]]*8))</f>
        <v>-8</v>
      </c>
      <c r="N479" s="16">
        <f>MAX(-16, MIN(16, Games[[#This Row],[OppRestDiff]]*8))</f>
        <v>8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1519.4600074351713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1573.6666973510617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0.51983974670644895</v>
      </c>
      <c r="R479" s="1">
        <v>72</v>
      </c>
      <c r="S479" s="1">
        <v>63</v>
      </c>
      <c r="T479" s="1">
        <v>0</v>
      </c>
      <c r="U479" s="16">
        <f>Games[[#This Row],[PointsFor]]-Games[[#This Row],[PointsAgainst]]</f>
        <v>9</v>
      </c>
      <c r="V479" s="16">
        <f>IF(Games[[#This Row],[MOV]]&gt;0,1,IF(Games[[#This Row],[MOV]]=0,0.5,0))</f>
        <v>1</v>
      </c>
      <c r="W479" s="4">
        <f>((ABS(Games[[#This Row],[MOV]])+5)^0.6)/(12+0.01*(ABS(Games[[#This Row],[PreGmRate]]-Games[[#This Row],[OppPreGmRate]])))*IF(Games[[#This Row],[OT]]=1,0.9,1)</f>
        <v>0.38842547762949797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79" s="9">
        <f>MAX(kmin, kmax - 0.15 * MIN(Games[[#This Row],[GamesPlayed]], 82))</f>
        <v>70.75</v>
      </c>
      <c r="Z479" s="4">
        <f>Games[[#This Row],[K]]*Games[[#This Row],[POMult]]</f>
        <v>77.825000000000003</v>
      </c>
      <c r="AA479" s="4">
        <f>(Games[[#This Row],[Keff]]*Games[[#This Row],[MOVMult]])*(Games[[#This Row],[Result]]-Games[[#This Row],[ExpectedWin%]])</f>
        <v>14.514866473239625</v>
      </c>
      <c r="AB479" s="4">
        <f>Games[[#This Row],[PreGmRate]]+Games[[#This Row],[RatingChange]]</f>
        <v>1533.9748739084109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1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39709</v>
      </c>
      <c r="B480" s="2">
        <v>2008</v>
      </c>
      <c r="C480" s="2">
        <f>COUNTIFS(Games[Team],Games[[#This Row],[Team]],Games[Season],Games[[#This Row],[Season]],Games[Date],"&lt;=" &amp; Games[[#This Row],[Date]])</f>
        <v>35</v>
      </c>
      <c r="D480" s="2" t="s">
        <v>46</v>
      </c>
      <c r="E480" s="2">
        <v>1</v>
      </c>
      <c r="F480" s="1" t="s">
        <v>83</v>
      </c>
      <c r="G480" s="1" t="s">
        <v>45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0" s="2">
        <f>Games[[#This Row],[DaysOff]]-Games[[#This Row],[OppDaysOff]]</f>
        <v>2</v>
      </c>
      <c r="L480" s="2">
        <f>Games[[#This Row],[OppDaysOff]]-Games[[#This Row],[DaysOff]]</f>
        <v>-2</v>
      </c>
      <c r="M480" s="16">
        <f>MAX(-16, MIN(16, Games[[#This Row],[RestDiff]]*8))</f>
        <v>16</v>
      </c>
      <c r="N480" s="16">
        <f>MAX(-16, MIN(16, Games[[#This Row],[OppRestDiff]]*8))</f>
        <v>-16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1647.5777769099705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1511.8982803300823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0.61814872972716195</v>
      </c>
      <c r="R480" s="1">
        <v>85</v>
      </c>
      <c r="S480" s="1">
        <v>78</v>
      </c>
      <c r="T480" s="1">
        <v>0</v>
      </c>
      <c r="U480" s="16">
        <f>Games[[#This Row],[PointsFor]]-Games[[#This Row],[PointsAgainst]]</f>
        <v>7</v>
      </c>
      <c r="V480" s="16">
        <f>IF(Games[[#This Row],[MOV]]&gt;0,1,IF(Games[[#This Row],[MOV]]=0,0.5,0))</f>
        <v>1</v>
      </c>
      <c r="W480" s="4">
        <f>((ABS(Games[[#This Row],[MOV]])+5)^0.6)/(12+0.01*(ABS(Games[[#This Row],[PreGmRate]]-Games[[#This Row],[OppPreGmRate]])))*IF(Games[[#This Row],[OT]]=1,0.9,1)</f>
        <v>0.33251136078813071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0" s="9">
        <f>MAX(kmin, kmax - 0.15 * MIN(Games[[#This Row],[GamesPlayed]], 82))</f>
        <v>70.75</v>
      </c>
      <c r="Z480" s="4">
        <f>Games[[#This Row],[K]]*Games[[#This Row],[POMult]]</f>
        <v>77.825000000000003</v>
      </c>
      <c r="AA480" s="4">
        <f>(Games[[#This Row],[Keff]]*Games[[#This Row],[MOVMult]])*(Games[[#This Row],[Result]]-Games[[#This Row],[ExpectedWin%]])</f>
        <v>9.8814313388116251</v>
      </c>
      <c r="AB480" s="4">
        <f>Games[[#This Row],[PreGmRate]]+Games[[#This Row],[RatingChange]]</f>
        <v>1657.459208248782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1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39709</v>
      </c>
      <c r="B481" s="2">
        <v>2008</v>
      </c>
      <c r="C481" s="2">
        <f>COUNTIFS(Games[Team],Games[[#This Row],[Team]],Games[Season],Games[[#This Row],[Season]],Games[Date],"&lt;=" &amp; Games[[#This Row],[Date]])</f>
        <v>35</v>
      </c>
      <c r="D481" s="2" t="s">
        <v>46</v>
      </c>
      <c r="E481" s="2">
        <v>1</v>
      </c>
      <c r="F481" s="1" t="s">
        <v>45</v>
      </c>
      <c r="G481" s="1" t="s">
        <v>83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1" s="2">
        <f>Games[[#This Row],[DaysOff]]-Games[[#This Row],[OppDaysOff]]</f>
        <v>-2</v>
      </c>
      <c r="L481" s="2">
        <f>Games[[#This Row],[OppDaysOff]]-Games[[#This Row],[DaysOff]]</f>
        <v>2</v>
      </c>
      <c r="M481" s="16">
        <f>MAX(-16, MIN(16, Games[[#This Row],[RestDiff]]*8))</f>
        <v>-16</v>
      </c>
      <c r="N481" s="16">
        <f>MAX(-16, MIN(16, Games[[#This Row],[OppRestDiff]]*8))</f>
        <v>16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1511.8982803300823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1647.5777769099705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0.38185127027283799</v>
      </c>
      <c r="R481" s="1">
        <v>78</v>
      </c>
      <c r="S481" s="1">
        <v>85</v>
      </c>
      <c r="T481" s="1">
        <v>0</v>
      </c>
      <c r="U481" s="16">
        <f>Games[[#This Row],[PointsFor]]-Games[[#This Row],[PointsAgainst]]</f>
        <v>-7</v>
      </c>
      <c r="V481" s="16">
        <f>IF(Games[[#This Row],[MOV]]&gt;0,1,IF(Games[[#This Row],[MOV]]=0,0.5,0))</f>
        <v>0</v>
      </c>
      <c r="W481" s="4">
        <f>((ABS(Games[[#This Row],[MOV]])+5)^0.6)/(12+0.01*(ABS(Games[[#This Row],[PreGmRate]]-Games[[#This Row],[OppPreGmRate]])))*IF(Games[[#This Row],[OT]]=1,0.9,1)</f>
        <v>0.33251136078813071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1" s="9">
        <f>MAX(kmin, kmax - 0.15 * MIN(Games[[#This Row],[GamesPlayed]], 82))</f>
        <v>70.75</v>
      </c>
      <c r="Z481" s="4">
        <f>Games[[#This Row],[K]]*Games[[#This Row],[POMult]]</f>
        <v>77.825000000000003</v>
      </c>
      <c r="AA481" s="4">
        <f>(Games[[#This Row],[Keff]]*Games[[#This Row],[MOVMult]])*(Games[[#This Row],[Result]]-Games[[#This Row],[ExpectedWin%]])</f>
        <v>-9.8814313388116251</v>
      </c>
      <c r="AB481" s="4">
        <f>Games[[#This Row],[PreGmRate]]+Games[[#This Row],[RatingChange]]</f>
        <v>1502.0168489912708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1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39710</v>
      </c>
      <c r="B482" s="2">
        <v>2008</v>
      </c>
      <c r="C482" s="2">
        <f>COUNTIFS(Games[Team],Games[[#This Row],[Team]],Games[Season],Games[[#This Row],[Season]],Games[Date],"&lt;=" &amp; Games[[#This Row],[Date]])</f>
        <v>35</v>
      </c>
      <c r="D482" s="2" t="s">
        <v>46</v>
      </c>
      <c r="E482" s="2">
        <v>1</v>
      </c>
      <c r="F482" s="1" t="s">
        <v>74</v>
      </c>
      <c r="G482" s="1" t="s">
        <v>78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2" s="2">
        <f>Games[[#This Row],[DaysOff]]-Games[[#This Row],[OppDaysOff]]</f>
        <v>0</v>
      </c>
      <c r="L482" s="2">
        <f>Games[[#This Row],[OppDaysOff]]-Games[[#This Row],[DaysOff]]</f>
        <v>0</v>
      </c>
      <c r="M482" s="16">
        <f>MAX(-16, MIN(16, Games[[#This Row],[RestDiff]]*8))</f>
        <v>0</v>
      </c>
      <c r="N482" s="16">
        <f>MAX(-16, MIN(16, Games[[#This Row],[OppRestDiff]]*8))</f>
        <v>0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1597.0243884292022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1507.87224973457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0.50741398015869899</v>
      </c>
      <c r="R482" s="1">
        <v>81</v>
      </c>
      <c r="S482" s="1">
        <v>72</v>
      </c>
      <c r="T482" s="1">
        <v>0</v>
      </c>
      <c r="U482" s="16">
        <f>Games[[#This Row],[PointsFor]]-Games[[#This Row],[PointsAgainst]]</f>
        <v>9</v>
      </c>
      <c r="V482" s="16">
        <f>IF(Games[[#This Row],[MOV]]&gt;0,1,IF(Games[[#This Row],[MOV]]=0,0.5,0))</f>
        <v>1</v>
      </c>
      <c r="W482" s="4">
        <f>((ABS(Games[[#This Row],[MOV]])+5)^0.6)/(12+0.01*(ABS(Games[[#This Row],[PreGmRate]]-Games[[#This Row],[OppPreGmRate]])))*IF(Games[[#This Row],[OT]]=1,0.9,1)</f>
        <v>0.37789630715734224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2" s="9">
        <f>MAX(kmin, kmax - 0.15 * MIN(Games[[#This Row],[GamesPlayed]], 82))</f>
        <v>70.75</v>
      </c>
      <c r="Z482" s="4">
        <f>Games[[#This Row],[K]]*Games[[#This Row],[POMult]]</f>
        <v>77.825000000000003</v>
      </c>
      <c r="AA482" s="4">
        <f>(Games[[#This Row],[Keff]]*Games[[#This Row],[MOVMult]])*(Games[[#This Row],[Result]]-Games[[#This Row],[ExpectedWin%]])</f>
        <v>14.486846526093467</v>
      </c>
      <c r="AB482" s="4">
        <f>Games[[#This Row],[PreGmRate]]+Games[[#This Row],[RatingChange]]</f>
        <v>1611.5112349552955</v>
      </c>
      <c r="AC482" s="2">
        <f>IF(Games[[#This Row],[Type]]="R",IF(Games[[#This Row],[Result]]&gt;0.5,1,0),0)</f>
        <v>0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1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39710</v>
      </c>
      <c r="B483" s="2">
        <v>2008</v>
      </c>
      <c r="C483" s="2">
        <f>COUNTIFS(Games[Team],Games[[#This Row],[Team]],Games[Season],Games[[#This Row],[Season]],Games[Date],"&lt;=" &amp; Games[[#This Row],[Date]])</f>
        <v>35</v>
      </c>
      <c r="D483" s="2" t="s">
        <v>46</v>
      </c>
      <c r="E483" s="2">
        <v>1</v>
      </c>
      <c r="F483" s="1" t="s">
        <v>78</v>
      </c>
      <c r="G483" s="1" t="s">
        <v>74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3" s="2">
        <f>Games[[#This Row],[DaysOff]]-Games[[#This Row],[OppDaysOff]]</f>
        <v>0</v>
      </c>
      <c r="L483" s="2">
        <f>Games[[#This Row],[OppDaysOff]]-Games[[#This Row],[DaysOff]]</f>
        <v>0</v>
      </c>
      <c r="M483" s="16">
        <f>MAX(-16, MIN(16, Games[[#This Row],[RestDiff]]*8))</f>
        <v>0</v>
      </c>
      <c r="N483" s="16">
        <f>MAX(-16, MIN(16, Games[[#This Row],[OppRestDiff]]*8))</f>
        <v>0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1507.87224973457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1597.0243884292022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0.49258601984130101</v>
      </c>
      <c r="R483" s="1">
        <v>72</v>
      </c>
      <c r="S483" s="1">
        <v>81</v>
      </c>
      <c r="T483" s="1">
        <v>0</v>
      </c>
      <c r="U483" s="16">
        <f>Games[[#This Row],[PointsFor]]-Games[[#This Row],[PointsAgainst]]</f>
        <v>-9</v>
      </c>
      <c r="V483" s="16">
        <f>IF(Games[[#This Row],[MOV]]&gt;0,1,IF(Games[[#This Row],[MOV]]=0,0.5,0))</f>
        <v>0</v>
      </c>
      <c r="W483" s="4">
        <f>((ABS(Games[[#This Row],[MOV]])+5)^0.6)/(12+0.01*(ABS(Games[[#This Row],[PreGmRate]]-Games[[#This Row],[OppPreGmRate]])))*IF(Games[[#This Row],[OT]]=1,0.9,1)</f>
        <v>0.37789630715734224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3" s="9">
        <f>MAX(kmin, kmax - 0.15 * MIN(Games[[#This Row],[GamesPlayed]], 82))</f>
        <v>70.75</v>
      </c>
      <c r="Z483" s="4">
        <f>Games[[#This Row],[K]]*Games[[#This Row],[POMult]]</f>
        <v>77.825000000000003</v>
      </c>
      <c r="AA483" s="4">
        <f>(Games[[#This Row],[Keff]]*Games[[#This Row],[MOVMult]])*(Games[[#This Row],[Result]]-Games[[#This Row],[ExpectedWin%]])</f>
        <v>-14.486846526093467</v>
      </c>
      <c r="AB483" s="4">
        <f>Games[[#This Row],[PreGmRate]]+Games[[#This Row],[RatingChange]]</f>
        <v>1493.3854032084766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0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1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39710</v>
      </c>
      <c r="B484" s="2">
        <v>2008</v>
      </c>
      <c r="C484" s="2">
        <f>COUNTIFS(Games[Team],Games[[#This Row],[Team]],Games[Season],Games[[#This Row],[Season]],Games[Date],"&lt;=" &amp; Games[[#This Row],[Date]])</f>
        <v>35</v>
      </c>
      <c r="D484" s="2" t="s">
        <v>46</v>
      </c>
      <c r="E484" s="2">
        <v>1</v>
      </c>
      <c r="F484" s="1" t="s">
        <v>80</v>
      </c>
      <c r="G484" s="1" t="s">
        <v>69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6">
        <f>MAX(-16, MIN(16, Games[[#This Row],[RestDiff]]*8))</f>
        <v>0</v>
      </c>
      <c r="N484" s="16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1574.2504454468319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1548.296280163074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0.41723395957752191</v>
      </c>
      <c r="R484" s="1">
        <v>69</v>
      </c>
      <c r="S484" s="1">
        <v>77</v>
      </c>
      <c r="T484" s="1">
        <v>0</v>
      </c>
      <c r="U484" s="16">
        <f>Games[[#This Row],[PointsFor]]-Games[[#This Row],[PointsAgainst]]</f>
        <v>-8</v>
      </c>
      <c r="V484" s="16">
        <f>IF(Games[[#This Row],[MOV]]&gt;0,1,IF(Games[[#This Row],[MOV]]=0,0.5,0))</f>
        <v>0</v>
      </c>
      <c r="W484" s="4">
        <f>((ABS(Games[[#This Row],[MOV]])+5)^0.6)/(12+0.01*(ABS(Games[[#This Row],[PreGmRate]]-Games[[#This Row],[OppPreGmRate]])))*IF(Games[[#This Row],[OT]]=1,0.9,1)</f>
        <v>0.38009466846238232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4" s="9">
        <f>MAX(kmin, kmax - 0.15 * MIN(Games[[#This Row],[GamesPlayed]], 82))</f>
        <v>70.75</v>
      </c>
      <c r="Z484" s="4">
        <f>Games[[#This Row],[K]]*Games[[#This Row],[POMult]]</f>
        <v>77.825000000000003</v>
      </c>
      <c r="AA484" s="4">
        <f>(Games[[#This Row],[Keff]]*Games[[#This Row],[MOVMult]])*(Games[[#This Row],[Result]]-Games[[#This Row],[ExpectedWin%]])</f>
        <v>-12.342142505256536</v>
      </c>
      <c r="AB484" s="4">
        <f>Games[[#This Row],[PreGmRate]]+Games[[#This Row],[RatingChange]]</f>
        <v>1561.9083029415754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1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39710</v>
      </c>
      <c r="B485" s="2">
        <v>2008</v>
      </c>
      <c r="C485" s="2">
        <f>COUNTIFS(Games[Team],Games[[#This Row],[Team]],Games[Season],Games[[#This Row],[Season]],Games[Date],"&lt;=" &amp; Games[[#This Row],[Date]])</f>
        <v>35</v>
      </c>
      <c r="D485" s="2" t="s">
        <v>46</v>
      </c>
      <c r="E485" s="2">
        <v>1</v>
      </c>
      <c r="F485" s="1" t="s">
        <v>69</v>
      </c>
      <c r="G485" s="1" t="s">
        <v>80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6">
        <f>MAX(-16, MIN(16, Games[[#This Row],[RestDiff]]*8))</f>
        <v>0</v>
      </c>
      <c r="N485" s="16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1548.296280163074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1574.2504454468319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0.58276604042247815</v>
      </c>
      <c r="R485" s="1">
        <v>77</v>
      </c>
      <c r="S485" s="1">
        <v>69</v>
      </c>
      <c r="T485" s="1">
        <v>0</v>
      </c>
      <c r="U485" s="16">
        <f>Games[[#This Row],[PointsFor]]-Games[[#This Row],[PointsAgainst]]</f>
        <v>8</v>
      </c>
      <c r="V485" s="16">
        <f>IF(Games[[#This Row],[MOV]]&gt;0,1,IF(Games[[#This Row],[MOV]]=0,0.5,0))</f>
        <v>1</v>
      </c>
      <c r="W485" s="4">
        <f>((ABS(Games[[#This Row],[MOV]])+5)^0.6)/(12+0.01*(ABS(Games[[#This Row],[PreGmRate]]-Games[[#This Row],[OppPreGmRate]])))*IF(Games[[#This Row],[OT]]=1,0.9,1)</f>
        <v>0.38009466846238232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5" s="9">
        <f>MAX(kmin, kmax - 0.15 * MIN(Games[[#This Row],[GamesPlayed]], 82))</f>
        <v>70.75</v>
      </c>
      <c r="Z485" s="4">
        <f>Games[[#This Row],[K]]*Games[[#This Row],[POMult]]</f>
        <v>77.825000000000003</v>
      </c>
      <c r="AA485" s="4">
        <f>(Games[[#This Row],[Keff]]*Games[[#This Row],[MOVMult]])*(Games[[#This Row],[Result]]-Games[[#This Row],[ExpectedWin%]])</f>
        <v>12.342142505256534</v>
      </c>
      <c r="AB485" s="4">
        <f>Games[[#This Row],[PreGmRate]]+Games[[#This Row],[RatingChange]]</f>
        <v>1560.6384226683306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1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39711</v>
      </c>
      <c r="B486" s="2">
        <v>2008</v>
      </c>
      <c r="C486" s="2">
        <f>COUNTIFS(Games[Team],Games[[#This Row],[Team]],Games[Season],Games[[#This Row],[Season]],Games[Date],"&lt;=" &amp; Games[[#This Row],[Date]])</f>
        <v>36</v>
      </c>
      <c r="D486" s="2" t="s">
        <v>46</v>
      </c>
      <c r="E486" s="2">
        <v>1</v>
      </c>
      <c r="F486" s="1" t="s">
        <v>66</v>
      </c>
      <c r="G486" s="1" t="s">
        <v>85</v>
      </c>
      <c r="H486" s="1" t="s">
        <v>16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6">
        <f>MAX(-16, MIN(16, Games[[#This Row],[RestDiff]]*8))</f>
        <v>0</v>
      </c>
      <c r="N486" s="16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1533.9748739084109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1559.151830877822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0.34785684193090483</v>
      </c>
      <c r="R486" s="1">
        <v>70</v>
      </c>
      <c r="S486" s="1">
        <v>73</v>
      </c>
      <c r="T486" s="1">
        <v>0</v>
      </c>
      <c r="U486" s="16">
        <f>Games[[#This Row],[PointsFor]]-Games[[#This Row],[PointsAgainst]]</f>
        <v>-3</v>
      </c>
      <c r="V486" s="16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0.28422035146645647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6" s="9">
        <f>MAX(kmin, kmax - 0.15 * MIN(Games[[#This Row],[GamesPlayed]], 82))</f>
        <v>70.599999999999994</v>
      </c>
      <c r="Z486" s="4">
        <f>Games[[#This Row],[K]]*Games[[#This Row],[POMult]]</f>
        <v>77.66</v>
      </c>
      <c r="AA486" s="4">
        <f>(Games[[#This Row],[Keff]]*Games[[#This Row],[MOVMult]])*(Games[[#This Row],[Result]]-Games[[#This Row],[ExpectedWin%]])</f>
        <v>-7.6780884042248134</v>
      </c>
      <c r="AB486" s="4">
        <f>Games[[#This Row],[PreGmRate]]+Games[[#This Row],[RatingChange]]</f>
        <v>1526.2967855041861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0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1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39711</v>
      </c>
      <c r="B487" s="2">
        <v>2008</v>
      </c>
      <c r="C487" s="2">
        <f>COUNTIFS(Games[Team],Games[[#This Row],[Team]],Games[Season],Games[[#This Row],[Season]],Games[Date],"&lt;=" &amp; Games[[#This Row],[Date]])</f>
        <v>36</v>
      </c>
      <c r="D487" s="2" t="s">
        <v>46</v>
      </c>
      <c r="E487" s="2">
        <v>1</v>
      </c>
      <c r="F487" s="1" t="s">
        <v>85</v>
      </c>
      <c r="G487" s="1" t="s">
        <v>66</v>
      </c>
      <c r="H487" s="1" t="s">
        <v>15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6">
        <f>MAX(-16, MIN(16, Games[[#This Row],[RestDiff]]*8))</f>
        <v>0</v>
      </c>
      <c r="N487" s="16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1559.151830877822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1533.9748739084109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0.65214315806909517</v>
      </c>
      <c r="R487" s="1">
        <v>73</v>
      </c>
      <c r="S487" s="1">
        <v>70</v>
      </c>
      <c r="T487" s="1">
        <v>0</v>
      </c>
      <c r="U487" s="16">
        <f>Games[[#This Row],[PointsFor]]-Games[[#This Row],[PointsAgainst]]</f>
        <v>3</v>
      </c>
      <c r="V487" s="16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0.28422035146645647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7" s="9">
        <f>MAX(kmin, kmax - 0.15 * MIN(Games[[#This Row],[GamesPlayed]], 82))</f>
        <v>70.599999999999994</v>
      </c>
      <c r="Z487" s="4">
        <f>Games[[#This Row],[K]]*Games[[#This Row],[POMult]]</f>
        <v>77.66</v>
      </c>
      <c r="AA487" s="4">
        <f>(Games[[#This Row],[Keff]]*Games[[#This Row],[MOVMult]])*(Games[[#This Row],[Result]]-Games[[#This Row],[ExpectedWin%]])</f>
        <v>7.6780884042248134</v>
      </c>
      <c r="AB487" s="4">
        <f>Games[[#This Row],[PreGmRate]]+Games[[#This Row],[RatingChange]]</f>
        <v>1566.8299192820468</v>
      </c>
      <c r="AC487" s="2">
        <f>IF(Games[[#This Row],[Type]]="R",IF(Games[[#This Row],[Result]]&gt;0.5,1,0),0)</f>
        <v>0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1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39711</v>
      </c>
      <c r="B488" s="2">
        <v>2008</v>
      </c>
      <c r="C488" s="2">
        <f>COUNTIFS(Games[Team],Games[[#This Row],[Team]],Games[Season],Games[[#This Row],[Season]],Games[Date],"&lt;=" &amp; Games[[#This Row],[Date]])</f>
        <v>36</v>
      </c>
      <c r="D488" s="2" t="s">
        <v>46</v>
      </c>
      <c r="E488" s="2">
        <v>1</v>
      </c>
      <c r="F488" s="1" t="s">
        <v>45</v>
      </c>
      <c r="G488" s="1" t="s">
        <v>83</v>
      </c>
      <c r="H488" s="1" t="s">
        <v>16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6">
        <f>MAX(-16, MIN(16, Games[[#This Row],[RestDiff]]*8))</f>
        <v>0</v>
      </c>
      <c r="N488" s="16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1502.0168489912708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1657.459208248782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0.20127557175026969</v>
      </c>
      <c r="R488" s="1">
        <v>84</v>
      </c>
      <c r="S488" s="1">
        <v>67</v>
      </c>
      <c r="T488" s="1">
        <v>0</v>
      </c>
      <c r="U488" s="16">
        <f>Games[[#This Row],[PointsFor]]-Games[[#This Row],[PointsAgainst]]</f>
        <v>17</v>
      </c>
      <c r="V488" s="16">
        <f>IF(Games[[#This Row],[MOV]]&gt;0,1,IF(Games[[#This Row],[MOV]]=0,0.5,0))</f>
        <v>1</v>
      </c>
      <c r="W488" s="4">
        <f>((ABS(Games[[#This Row],[MOV]])+5)^0.6)/(12+0.01*(ABS(Games[[#This Row],[PreGmRate]]-Games[[#This Row],[OppPreGmRate]])))*IF(Games[[#This Row],[OT]]=1,0.9,1)</f>
        <v>0.47138152244879838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8" s="9">
        <f>MAX(kmin, kmax - 0.15 * MIN(Games[[#This Row],[GamesPlayed]], 82))</f>
        <v>70.599999999999994</v>
      </c>
      <c r="Z488" s="4">
        <f>Games[[#This Row],[K]]*Games[[#This Row],[POMult]]</f>
        <v>77.66</v>
      </c>
      <c r="AA488" s="4">
        <f>(Games[[#This Row],[Keff]]*Games[[#This Row],[MOVMult]])*(Games[[#This Row],[Result]]-Games[[#This Row],[ExpectedWin%]])</f>
        <v>29.239295747839666</v>
      </c>
      <c r="AB488" s="4">
        <f>Games[[#This Row],[PreGmRate]]+Games[[#This Row],[RatingChange]]</f>
        <v>1531.2561447391104</v>
      </c>
      <c r="AC488" s="2">
        <f>IF(Games[[#This Row],[Type]]="R",IF(Games[[#This Row],[Result]]&gt;0.5,1,0),0)</f>
        <v>0</v>
      </c>
      <c r="AD488" s="2">
        <f>IF(Games[[#This Row],[Type]]="R",IF(Games[[#This Row],[Result]]&lt;0.5,1,0),0)</f>
        <v>0</v>
      </c>
      <c r="AE488" s="2">
        <f>IF(AND(Games[[#This Row],[Type]]="P",Games[[#This Row],[Round]]=1),IF(Games[[#This Row],[Result]]&gt;0.5,1,0),0)</f>
        <v>1</v>
      </c>
      <c r="AF488" s="2">
        <f>IF(AND(Games[[#This Row],[Type]]="P",Games[[#This Row],[Round]]=1),IF(Games[[#This Row],[Result]]&lt;0.5,1,0),0)</f>
        <v>0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39711</v>
      </c>
      <c r="B489" s="2">
        <v>2008</v>
      </c>
      <c r="C489" s="2">
        <f>COUNTIFS(Games[Team],Games[[#This Row],[Team]],Games[Season],Games[[#This Row],[Season]],Games[Date],"&lt;=" &amp; Games[[#This Row],[Date]])</f>
        <v>36</v>
      </c>
      <c r="D489" s="2" t="s">
        <v>46</v>
      </c>
      <c r="E489" s="2">
        <v>1</v>
      </c>
      <c r="F489" s="1" t="s">
        <v>83</v>
      </c>
      <c r="G489" s="1" t="s">
        <v>45</v>
      </c>
      <c r="H489" s="1" t="s">
        <v>15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6">
        <f>MAX(-16, MIN(16, Games[[#This Row],[RestDiff]]*8))</f>
        <v>0</v>
      </c>
      <c r="N489" s="16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1657.459208248782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1502.0168489912708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0.79872442824973022</v>
      </c>
      <c r="R489" s="1">
        <v>67</v>
      </c>
      <c r="S489" s="1">
        <v>84</v>
      </c>
      <c r="T489" s="1">
        <v>0</v>
      </c>
      <c r="U489" s="16">
        <f>Games[[#This Row],[PointsFor]]-Games[[#This Row],[PointsAgainst]]</f>
        <v>-17</v>
      </c>
      <c r="V489" s="16">
        <f>IF(Games[[#This Row],[MOV]]&gt;0,1,IF(Games[[#This Row],[MOV]]=0,0.5,0))</f>
        <v>0</v>
      </c>
      <c r="W489" s="4">
        <f>((ABS(Games[[#This Row],[MOV]])+5)^0.6)/(12+0.01*(ABS(Games[[#This Row],[PreGmRate]]-Games[[#This Row],[OppPreGmRate]])))*IF(Games[[#This Row],[OT]]=1,0.9,1)</f>
        <v>0.47138152244879838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9" s="9">
        <f>MAX(kmin, kmax - 0.15 * MIN(Games[[#This Row],[GamesPlayed]], 82))</f>
        <v>70.599999999999994</v>
      </c>
      <c r="Z489" s="4">
        <f>Games[[#This Row],[K]]*Games[[#This Row],[POMult]]</f>
        <v>77.66</v>
      </c>
      <c r="AA489" s="4">
        <f>(Games[[#This Row],[Keff]]*Games[[#This Row],[MOVMult]])*(Games[[#This Row],[Result]]-Games[[#This Row],[ExpectedWin%]])</f>
        <v>-29.239295747839662</v>
      </c>
      <c r="AB489" s="4">
        <f>Games[[#This Row],[PreGmRate]]+Games[[#This Row],[RatingChange]]</f>
        <v>1628.2199125009424</v>
      </c>
      <c r="AC489" s="2">
        <f>IF(Games[[#This Row],[Type]]="R",IF(Games[[#This Row],[Result]]&gt;0.5,1,0),0)</f>
        <v>0</v>
      </c>
      <c r="AD489" s="2">
        <f>IF(Games[[#This Row],[Type]]="R",IF(Games[[#This Row],[Result]]&lt;0.5,1,0),0)</f>
        <v>0</v>
      </c>
      <c r="AE489" s="2">
        <f>IF(AND(Games[[#This Row],[Type]]="P",Games[[#This Row],[Round]]=1),IF(Games[[#This Row],[Result]]&gt;0.5,1,0),0)</f>
        <v>0</v>
      </c>
      <c r="AF489" s="2">
        <f>IF(AND(Games[[#This Row],[Type]]="P",Games[[#This Row],[Round]]=1),IF(Games[[#This Row],[Result]]&lt;0.5,1,0),0)</f>
        <v>1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39712</v>
      </c>
      <c r="B490" s="2">
        <v>2008</v>
      </c>
      <c r="C490" s="2">
        <f>COUNTIFS(Games[Team],Games[[#This Row],[Team]],Games[Season],Games[[#This Row],[Season]],Games[Date],"&lt;=" &amp; Games[[#This Row],[Date]])</f>
        <v>36</v>
      </c>
      <c r="D490" s="2" t="s">
        <v>46</v>
      </c>
      <c r="E490" s="2">
        <v>1</v>
      </c>
      <c r="F490" s="1" t="s">
        <v>78</v>
      </c>
      <c r="G490" s="1" t="s">
        <v>74</v>
      </c>
      <c r="H490" s="1" t="s">
        <v>16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0" s="2">
        <f>Games[[#This Row],[DaysOff]]-Games[[#This Row],[OppDaysOff]]</f>
        <v>0</v>
      </c>
      <c r="L490" s="2">
        <f>Games[[#This Row],[OppDaysOff]]-Games[[#This Row],[DaysOff]]</f>
        <v>0</v>
      </c>
      <c r="M490" s="16">
        <f>MAX(-16, MIN(16, Games[[#This Row],[RestDiff]]*8))</f>
        <v>0</v>
      </c>
      <c r="N490" s="16">
        <f>MAX(-16, MIN(16, Games[[#This Row],[OppRestDiff]]*8))</f>
        <v>0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1493.3854032084766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1611.5112349552955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0.23802649064946879</v>
      </c>
      <c r="R490" s="1">
        <v>89</v>
      </c>
      <c r="S490" s="1">
        <v>82</v>
      </c>
      <c r="T490" s="1">
        <v>1</v>
      </c>
      <c r="U490" s="16">
        <f>Games[[#This Row],[PointsFor]]-Games[[#This Row],[PointsAgainst]]</f>
        <v>7</v>
      </c>
      <c r="V490" s="16">
        <f>IF(Games[[#This Row],[MOV]]&gt;0,1,IF(Games[[#This Row],[MOV]]=0,0.5,0))</f>
        <v>1</v>
      </c>
      <c r="W490" s="4">
        <f>((ABS(Games[[#This Row],[MOV]])+5)^0.6)/(12+0.01*(ABS(Games[[#This Row],[PreGmRate]]-Games[[#This Row],[OppPreGmRate]])))*IF(Games[[#This Row],[OT]]=1,0.9,1)</f>
        <v>0.30324551469901068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0" s="9">
        <f>MAX(kmin, kmax - 0.15 * MIN(Games[[#This Row],[GamesPlayed]], 82))</f>
        <v>70.599999999999994</v>
      </c>
      <c r="Z490" s="4">
        <f>Games[[#This Row],[K]]*Games[[#This Row],[POMult]]</f>
        <v>77.66</v>
      </c>
      <c r="AA490" s="4">
        <f>(Games[[#This Row],[Keff]]*Games[[#This Row],[MOVMult]])*(Games[[#This Row],[Result]]-Games[[#This Row],[ExpectedWin%]])</f>
        <v>17.944511707670831</v>
      </c>
      <c r="AB490" s="4">
        <f>Games[[#This Row],[PreGmRate]]+Games[[#This Row],[RatingChange]]</f>
        <v>1511.3299149161476</v>
      </c>
      <c r="AC490" s="2">
        <f>IF(Games[[#This Row],[Type]]="R",IF(Games[[#This Row],[Result]]&gt;0.5,1,0),0)</f>
        <v>0</v>
      </c>
      <c r="AD490" s="2">
        <f>IF(Games[[#This Row],[Type]]="R",IF(Games[[#This Row],[Result]]&lt;0.5,1,0),0)</f>
        <v>0</v>
      </c>
      <c r="AE490" s="2">
        <f>IF(AND(Games[[#This Row],[Type]]="P",Games[[#This Row],[Round]]=1),IF(Games[[#This Row],[Result]]&gt;0.5,1,0),0)</f>
        <v>1</v>
      </c>
      <c r="AF490" s="2">
        <f>IF(AND(Games[[#This Row],[Type]]="P",Games[[#This Row],[Round]]=1),IF(Games[[#This Row],[Result]]&lt;0.5,1,0),0)</f>
        <v>0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39712</v>
      </c>
      <c r="B491" s="2">
        <v>2008</v>
      </c>
      <c r="C491" s="2">
        <f>COUNTIFS(Games[Team],Games[[#This Row],[Team]],Games[Season],Games[[#This Row],[Season]],Games[Date],"&lt;=" &amp; Games[[#This Row],[Date]])</f>
        <v>36</v>
      </c>
      <c r="D491" s="2" t="s">
        <v>46</v>
      </c>
      <c r="E491" s="2">
        <v>1</v>
      </c>
      <c r="F491" s="1" t="s">
        <v>74</v>
      </c>
      <c r="G491" s="1" t="s">
        <v>78</v>
      </c>
      <c r="H491" s="1" t="s">
        <v>15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1" s="2">
        <f>Games[[#This Row],[DaysOff]]-Games[[#This Row],[OppDaysOff]]</f>
        <v>0</v>
      </c>
      <c r="L491" s="2">
        <f>Games[[#This Row],[OppDaysOff]]-Games[[#This Row],[DaysOff]]</f>
        <v>0</v>
      </c>
      <c r="M491" s="16">
        <f>MAX(-16, MIN(16, Games[[#This Row],[RestDiff]]*8))</f>
        <v>0</v>
      </c>
      <c r="N491" s="16">
        <f>MAX(-16, MIN(16, Games[[#This Row],[OppRestDiff]]*8))</f>
        <v>0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1611.5112349552955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1493.3854032084766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0.76197350935053132</v>
      </c>
      <c r="R491" s="1">
        <v>82</v>
      </c>
      <c r="S491" s="1">
        <v>89</v>
      </c>
      <c r="T491" s="1">
        <v>1</v>
      </c>
      <c r="U491" s="16">
        <f>Games[[#This Row],[PointsFor]]-Games[[#This Row],[PointsAgainst]]</f>
        <v>-7</v>
      </c>
      <c r="V491" s="16">
        <f>IF(Games[[#This Row],[MOV]]&gt;0,1,IF(Games[[#This Row],[MOV]]=0,0.5,0))</f>
        <v>0</v>
      </c>
      <c r="W491" s="4">
        <f>((ABS(Games[[#This Row],[MOV]])+5)^0.6)/(12+0.01*(ABS(Games[[#This Row],[PreGmRate]]-Games[[#This Row],[OppPreGmRate]])))*IF(Games[[#This Row],[OT]]=1,0.9,1)</f>
        <v>0.30324551469901068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1" s="9">
        <f>MAX(kmin, kmax - 0.15 * MIN(Games[[#This Row],[GamesPlayed]], 82))</f>
        <v>70.599999999999994</v>
      </c>
      <c r="Z491" s="4">
        <f>Games[[#This Row],[K]]*Games[[#This Row],[POMult]]</f>
        <v>77.66</v>
      </c>
      <c r="AA491" s="4">
        <f>(Games[[#This Row],[Keff]]*Games[[#This Row],[MOVMult]])*(Games[[#This Row],[Result]]-Games[[#This Row],[ExpectedWin%]])</f>
        <v>-17.944511707670834</v>
      </c>
      <c r="AB491" s="4">
        <f>Games[[#This Row],[PreGmRate]]+Games[[#This Row],[RatingChange]]</f>
        <v>1593.5667232476246</v>
      </c>
      <c r="AC491" s="2">
        <f>IF(Games[[#This Row],[Type]]="R",IF(Games[[#This Row],[Result]]&gt;0.5,1,0),0)</f>
        <v>0</v>
      </c>
      <c r="AD491" s="2">
        <f>IF(Games[[#This Row],[Type]]="R",IF(Games[[#This Row],[Result]]&lt;0.5,1,0),0)</f>
        <v>0</v>
      </c>
      <c r="AE491" s="2">
        <f>IF(AND(Games[[#This Row],[Type]]="P",Games[[#This Row],[Round]]=1),IF(Games[[#This Row],[Result]]&gt;0.5,1,0),0)</f>
        <v>0</v>
      </c>
      <c r="AF491" s="2">
        <f>IF(AND(Games[[#This Row],[Type]]="P",Games[[#This Row],[Round]]=1),IF(Games[[#This Row],[Result]]&lt;0.5,1,0),0)</f>
        <v>1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39712</v>
      </c>
      <c r="B492" s="2">
        <v>2008</v>
      </c>
      <c r="C492" s="2">
        <f>COUNTIFS(Games[Team],Games[[#This Row],[Team]],Games[Season],Games[[#This Row],[Season]],Games[Date],"&lt;=" &amp; Games[[#This Row],[Date]])</f>
        <v>36</v>
      </c>
      <c r="D492" s="2" t="s">
        <v>46</v>
      </c>
      <c r="E492" s="2">
        <v>1</v>
      </c>
      <c r="F492" s="1" t="s">
        <v>69</v>
      </c>
      <c r="G492" s="1" t="s">
        <v>80</v>
      </c>
      <c r="H492" s="1" t="s">
        <v>16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2" s="2">
        <f>Games[[#This Row],[DaysOff]]-Games[[#This Row],[OppDaysOff]]</f>
        <v>0</v>
      </c>
      <c r="L492" s="2">
        <f>Games[[#This Row],[OppDaysOff]]-Games[[#This Row],[DaysOff]]</f>
        <v>0</v>
      </c>
      <c r="M492" s="16">
        <f>MAX(-16, MIN(16, Games[[#This Row],[RestDiff]]*8))</f>
        <v>0</v>
      </c>
      <c r="N492" s="16">
        <f>MAX(-16, MIN(16, Games[[#This Row],[OppRestDiff]]*8))</f>
        <v>0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1560.6384226683306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1561.9083029415754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0.37969266963222364</v>
      </c>
      <c r="R492" s="1">
        <v>50</v>
      </c>
      <c r="S492" s="1">
        <v>64</v>
      </c>
      <c r="T492" s="1">
        <v>0</v>
      </c>
      <c r="U492" s="16">
        <f>Games[[#This Row],[PointsFor]]-Games[[#This Row],[PointsAgainst]]</f>
        <v>-14</v>
      </c>
      <c r="V492" s="16">
        <f>IF(Games[[#This Row],[MOV]]&gt;0,1,IF(Games[[#This Row],[MOV]]=0,0.5,0))</f>
        <v>0</v>
      </c>
      <c r="W492" s="4">
        <f>((ABS(Games[[#This Row],[MOV]])+5)^0.6)/(12+0.01*(ABS(Games[[#This Row],[PreGmRate]]-Games[[#This Row],[OppPreGmRate]])))*IF(Games[[#This Row],[OT]]=1,0.9,1)</f>
        <v>0.48709264574903516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2" s="9">
        <f>MAX(kmin, kmax - 0.15 * MIN(Games[[#This Row],[GamesPlayed]], 82))</f>
        <v>70.599999999999994</v>
      </c>
      <c r="Z492" s="4">
        <f>Games[[#This Row],[K]]*Games[[#This Row],[POMult]]</f>
        <v>77.66</v>
      </c>
      <c r="AA492" s="4">
        <f>(Games[[#This Row],[Keff]]*Games[[#This Row],[MOVMult]])*(Games[[#This Row],[Result]]-Games[[#This Row],[ExpectedWin%]])</f>
        <v>-14.362868075380876</v>
      </c>
      <c r="AB492" s="4">
        <f>Games[[#This Row],[PreGmRate]]+Games[[#This Row],[RatingChange]]</f>
        <v>1546.2755545929497</v>
      </c>
      <c r="AC492" s="2">
        <f>IF(Games[[#This Row],[Type]]="R",IF(Games[[#This Row],[Result]]&gt;0.5,1,0),0)</f>
        <v>0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1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39712</v>
      </c>
      <c r="B493" s="2">
        <v>2008</v>
      </c>
      <c r="C493" s="2">
        <f>COUNTIFS(Games[Team],Games[[#This Row],[Team]],Games[Season],Games[[#This Row],[Season]],Games[Date],"&lt;=" &amp; Games[[#This Row],[Date]])</f>
        <v>36</v>
      </c>
      <c r="D493" s="2" t="s">
        <v>46</v>
      </c>
      <c r="E493" s="2">
        <v>1</v>
      </c>
      <c r="F493" s="1" t="s">
        <v>80</v>
      </c>
      <c r="G493" s="1" t="s">
        <v>69</v>
      </c>
      <c r="H493" s="1" t="s">
        <v>15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3" s="2">
        <f>Games[[#This Row],[DaysOff]]-Games[[#This Row],[OppDaysOff]]</f>
        <v>0</v>
      </c>
      <c r="L493" s="2">
        <f>Games[[#This Row],[OppDaysOff]]-Games[[#This Row],[DaysOff]]</f>
        <v>0</v>
      </c>
      <c r="M493" s="16">
        <f>MAX(-16, MIN(16, Games[[#This Row],[RestDiff]]*8))</f>
        <v>0</v>
      </c>
      <c r="N493" s="16">
        <f>MAX(-16, MIN(16, Games[[#This Row],[OppRestDiff]]*8))</f>
        <v>0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1561.9083029415754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1560.6384226683306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0.6203073303677763</v>
      </c>
      <c r="R493" s="1">
        <v>64</v>
      </c>
      <c r="S493" s="1">
        <v>50</v>
      </c>
      <c r="T493" s="1">
        <v>0</v>
      </c>
      <c r="U493" s="16">
        <f>Games[[#This Row],[PointsFor]]-Games[[#This Row],[PointsAgainst]]</f>
        <v>14</v>
      </c>
      <c r="V493" s="16">
        <f>IF(Games[[#This Row],[MOV]]&gt;0,1,IF(Games[[#This Row],[MOV]]=0,0.5,0))</f>
        <v>1</v>
      </c>
      <c r="W493" s="4">
        <f>((ABS(Games[[#This Row],[MOV]])+5)^0.6)/(12+0.01*(ABS(Games[[#This Row],[PreGmRate]]-Games[[#This Row],[OppPreGmRate]])))*IF(Games[[#This Row],[OT]]=1,0.9,1)</f>
        <v>0.48709264574903516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3" s="9">
        <f>MAX(kmin, kmax - 0.15 * MIN(Games[[#This Row],[GamesPlayed]], 82))</f>
        <v>70.599999999999994</v>
      </c>
      <c r="Z493" s="4">
        <f>Games[[#This Row],[K]]*Games[[#This Row],[POMult]]</f>
        <v>77.66</v>
      </c>
      <c r="AA493" s="4">
        <f>(Games[[#This Row],[Keff]]*Games[[#This Row],[MOVMult]])*(Games[[#This Row],[Result]]-Games[[#This Row],[ExpectedWin%]])</f>
        <v>14.362868075380877</v>
      </c>
      <c r="AB493" s="4">
        <f>Games[[#This Row],[PreGmRate]]+Games[[#This Row],[RatingChange]]</f>
        <v>1576.2711710169563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0</v>
      </c>
      <c r="AE493" s="2">
        <f>IF(AND(Games[[#This Row],[Type]]="P",Games[[#This Row],[Round]]=1),IF(Games[[#This Row],[Result]]&gt;0.5,1,0),0)</f>
        <v>1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39713</v>
      </c>
      <c r="B494" s="2">
        <v>2008</v>
      </c>
      <c r="C494" s="2">
        <f>COUNTIFS(Games[Team],Games[[#This Row],[Team]],Games[Season],Games[[#This Row],[Season]],Games[Date],"&lt;=" &amp; Games[[#This Row],[Date]])</f>
        <v>37</v>
      </c>
      <c r="D494" s="2" t="s">
        <v>46</v>
      </c>
      <c r="E494" s="2">
        <v>1</v>
      </c>
      <c r="F494" s="1" t="s">
        <v>66</v>
      </c>
      <c r="G494" s="1" t="s">
        <v>85</v>
      </c>
      <c r="H494" s="1" t="s">
        <v>16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4" s="2">
        <f>Games[[#This Row],[DaysOff]]-Games[[#This Row],[OppDaysOff]]</f>
        <v>0</v>
      </c>
      <c r="L494" s="2">
        <f>Games[[#This Row],[OppDaysOff]]-Games[[#This Row],[DaysOff]]</f>
        <v>0</v>
      </c>
      <c r="M494" s="16">
        <f>MAX(-16, MIN(16, Games[[#This Row],[RestDiff]]*8))</f>
        <v>0</v>
      </c>
      <c r="N494" s="16">
        <f>MAX(-16, MIN(16, Games[[#This Row],[OppRestDiff]]*8))</f>
        <v>0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1526.2967855041861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1566.8299192820468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0.32808252654814873</v>
      </c>
      <c r="R494" s="1">
        <v>66</v>
      </c>
      <c r="S494" s="1">
        <v>62</v>
      </c>
      <c r="T494" s="1">
        <v>0</v>
      </c>
      <c r="U494" s="16">
        <f>Games[[#This Row],[PointsFor]]-Games[[#This Row],[PointsAgainst]]</f>
        <v>4</v>
      </c>
      <c r="V494" s="16">
        <f>IF(Games[[#This Row],[MOV]]&gt;0,1,IF(Games[[#This Row],[MOV]]=0,0.5,0))</f>
        <v>1</v>
      </c>
      <c r="W494" s="4">
        <f>((ABS(Games[[#This Row],[MOV]])+5)^0.6)/(12+0.01*(ABS(Games[[#This Row],[PreGmRate]]-Games[[#This Row],[OppPreGmRate]])))*IF(Games[[#This Row],[OT]]=1,0.9,1)</f>
        <v>0.30125699323044136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4" s="9">
        <f>MAX(kmin, kmax - 0.15 * MIN(Games[[#This Row],[GamesPlayed]], 82))</f>
        <v>70.45</v>
      </c>
      <c r="Z494" s="4">
        <f>Games[[#This Row],[K]]*Games[[#This Row],[POMult]]</f>
        <v>77.495000000000005</v>
      </c>
      <c r="AA494" s="4">
        <f>(Games[[#This Row],[Keff]]*Games[[#This Row],[MOVMult]])*(Games[[#This Row],[Result]]-Games[[#This Row],[ExpectedWin%]])</f>
        <v>15.686525326521465</v>
      </c>
      <c r="AB494" s="4">
        <f>Games[[#This Row],[PreGmRate]]+Games[[#This Row],[RatingChange]]</f>
        <v>1541.9833108307075</v>
      </c>
      <c r="AC494" s="2">
        <f>IF(Games[[#This Row],[Type]]="R",IF(Games[[#This Row],[Result]]&gt;0.5,1,0),0)</f>
        <v>0</v>
      </c>
      <c r="AD494" s="2">
        <f>IF(Games[[#This Row],[Type]]="R",IF(Games[[#This Row],[Result]]&lt;0.5,1,0),0)</f>
        <v>0</v>
      </c>
      <c r="AE494" s="2">
        <f>IF(AND(Games[[#This Row],[Type]]="P",Games[[#This Row],[Round]]=1),IF(Games[[#This Row],[Result]]&gt;0.5,1,0),0)</f>
        <v>1</v>
      </c>
      <c r="AF494" s="2">
        <f>IF(AND(Games[[#This Row],[Type]]="P",Games[[#This Row],[Round]]=1),IF(Games[[#This Row],[Result]]&lt;0.5,1,0),0)</f>
        <v>0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39713</v>
      </c>
      <c r="B495" s="2">
        <v>2008</v>
      </c>
      <c r="C495" s="2">
        <f>COUNTIFS(Games[Team],Games[[#This Row],[Team]],Games[Season],Games[[#This Row],[Season]],Games[Date],"&lt;=" &amp; Games[[#This Row],[Date]])</f>
        <v>37</v>
      </c>
      <c r="D495" s="2" t="s">
        <v>46</v>
      </c>
      <c r="E495" s="2">
        <v>1</v>
      </c>
      <c r="F495" s="1" t="s">
        <v>85</v>
      </c>
      <c r="G495" s="1" t="s">
        <v>66</v>
      </c>
      <c r="H495" s="1" t="s">
        <v>15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5" s="2">
        <f>Games[[#This Row],[DaysOff]]-Games[[#This Row],[OppDaysOff]]</f>
        <v>0</v>
      </c>
      <c r="L495" s="2">
        <f>Games[[#This Row],[OppDaysOff]]-Games[[#This Row],[DaysOff]]</f>
        <v>0</v>
      </c>
      <c r="M495" s="16">
        <f>MAX(-16, MIN(16, Games[[#This Row],[RestDiff]]*8))</f>
        <v>0</v>
      </c>
      <c r="N495" s="16">
        <f>MAX(-16, MIN(16, Games[[#This Row],[OppRestDiff]]*8))</f>
        <v>0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1566.8299192820468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1526.2967855041861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0.67191747345185127</v>
      </c>
      <c r="R495" s="1">
        <v>62</v>
      </c>
      <c r="S495" s="1">
        <v>66</v>
      </c>
      <c r="T495" s="1">
        <v>0</v>
      </c>
      <c r="U495" s="16">
        <f>Games[[#This Row],[PointsFor]]-Games[[#This Row],[PointsAgainst]]</f>
        <v>-4</v>
      </c>
      <c r="V495" s="16">
        <f>IF(Games[[#This Row],[MOV]]&gt;0,1,IF(Games[[#This Row],[MOV]]=0,0.5,0))</f>
        <v>0</v>
      </c>
      <c r="W495" s="4">
        <f>((ABS(Games[[#This Row],[MOV]])+5)^0.6)/(12+0.01*(ABS(Games[[#This Row],[PreGmRate]]-Games[[#This Row],[OppPreGmRate]])))*IF(Games[[#This Row],[OT]]=1,0.9,1)</f>
        <v>0.30125699323044136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5" s="9">
        <f>MAX(kmin, kmax - 0.15 * MIN(Games[[#This Row],[GamesPlayed]], 82))</f>
        <v>70.45</v>
      </c>
      <c r="Z495" s="4">
        <f>Games[[#This Row],[K]]*Games[[#This Row],[POMult]]</f>
        <v>77.495000000000005</v>
      </c>
      <c r="AA495" s="4">
        <f>(Games[[#This Row],[Keff]]*Games[[#This Row],[MOVMult]])*(Games[[#This Row],[Result]]-Games[[#This Row],[ExpectedWin%]])</f>
        <v>-15.686525326521465</v>
      </c>
      <c r="AB495" s="4">
        <f>Games[[#This Row],[PreGmRate]]+Games[[#This Row],[RatingChange]]</f>
        <v>1551.1433939555254</v>
      </c>
      <c r="AC495" s="2">
        <f>IF(Games[[#This Row],[Type]]="R",IF(Games[[#This Row],[Result]]&gt;0.5,1,0),0)</f>
        <v>0</v>
      </c>
      <c r="AD495" s="2">
        <f>IF(Games[[#This Row],[Type]]="R",IF(Games[[#This Row],[Result]]&lt;0.5,1,0),0)</f>
        <v>0</v>
      </c>
      <c r="AE495" s="2">
        <f>IF(AND(Games[[#This Row],[Type]]="P",Games[[#This Row],[Round]]=1),IF(Games[[#This Row],[Result]]&gt;0.5,1,0),0)</f>
        <v>0</v>
      </c>
      <c r="AF495" s="2">
        <f>IF(AND(Games[[#This Row],[Type]]="P",Games[[#This Row],[Round]]=1),IF(Games[[#This Row],[Result]]&lt;0.5,1,0),0)</f>
        <v>1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39713</v>
      </c>
      <c r="B496" s="2">
        <v>2008</v>
      </c>
      <c r="C496" s="2">
        <f>COUNTIFS(Games[Team],Games[[#This Row],[Team]],Games[Season],Games[[#This Row],[Season]],Games[Date],"&lt;=" &amp; Games[[#This Row],[Date]])</f>
        <v>37</v>
      </c>
      <c r="D496" s="2" t="s">
        <v>46</v>
      </c>
      <c r="E496" s="2">
        <v>1</v>
      </c>
      <c r="F496" s="1" t="s">
        <v>45</v>
      </c>
      <c r="G496" s="1" t="s">
        <v>83</v>
      </c>
      <c r="H496" s="1" t="s">
        <v>16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6" s="2">
        <f>Games[[#This Row],[DaysOff]]-Games[[#This Row],[OppDaysOff]]</f>
        <v>0</v>
      </c>
      <c r="L496" s="2">
        <f>Games[[#This Row],[OppDaysOff]]-Games[[#This Row],[DaysOff]]</f>
        <v>0</v>
      </c>
      <c r="M496" s="16">
        <f>MAX(-16, MIN(16, Games[[#This Row],[RestDiff]]*8))</f>
        <v>0</v>
      </c>
      <c r="N496" s="16">
        <f>MAX(-16, MIN(16, Games[[#This Row],[OppRestDiff]]*8))</f>
        <v>0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1531.2561447391104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1628.2199125009424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0.26081995457886742</v>
      </c>
      <c r="R496" s="1">
        <v>81</v>
      </c>
      <c r="S496" s="1">
        <v>86</v>
      </c>
      <c r="T496" s="1">
        <v>1</v>
      </c>
      <c r="U496" s="16">
        <f>Games[[#This Row],[PointsFor]]-Games[[#This Row],[PointsAgainst]]</f>
        <v>-5</v>
      </c>
      <c r="V496" s="16">
        <f>IF(Games[[#This Row],[MOV]]&gt;0,1,IF(Games[[#This Row],[MOV]]=0,0.5,0))</f>
        <v>0</v>
      </c>
      <c r="W496" s="4">
        <f>((ABS(Games[[#This Row],[MOV]])+5)^0.6)/(12+0.01*(ABS(Games[[#This Row],[PreGmRate]]-Games[[#This Row],[OppPreGmRate]])))*IF(Games[[#This Row],[OT]]=1,0.9,1)</f>
        <v>0.27625787427852283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6" s="9">
        <f>MAX(kmin, kmax - 0.15 * MIN(Games[[#This Row],[GamesPlayed]], 82))</f>
        <v>70.45</v>
      </c>
      <c r="Z496" s="4">
        <f>Games[[#This Row],[K]]*Games[[#This Row],[POMult]]</f>
        <v>77.495000000000005</v>
      </c>
      <c r="AA496" s="4">
        <f>(Games[[#This Row],[Keff]]*Games[[#This Row],[MOVMult]])*(Games[[#This Row],[Result]]-Games[[#This Row],[ExpectedWin%]])</f>
        <v>-5.5837911143257495</v>
      </c>
      <c r="AB496" s="4">
        <f>Games[[#This Row],[PreGmRate]]+Games[[#This Row],[RatingChange]]</f>
        <v>1525.6723536247846</v>
      </c>
      <c r="AC496" s="2">
        <f>IF(Games[[#This Row],[Type]]="R",IF(Games[[#This Row],[Result]]&gt;0.5,1,0),0)</f>
        <v>0</v>
      </c>
      <c r="AD496" s="2">
        <f>IF(Games[[#This Row],[Type]]="R",IF(Games[[#This Row],[Result]]&lt;0.5,1,0),0)</f>
        <v>0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1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39713</v>
      </c>
      <c r="B497" s="2">
        <v>2008</v>
      </c>
      <c r="C497" s="2">
        <f>COUNTIFS(Games[Team],Games[[#This Row],[Team]],Games[Season],Games[[#This Row],[Season]],Games[Date],"&lt;=" &amp; Games[[#This Row],[Date]])</f>
        <v>37</v>
      </c>
      <c r="D497" s="2" t="s">
        <v>46</v>
      </c>
      <c r="E497" s="2">
        <v>1</v>
      </c>
      <c r="F497" s="1" t="s">
        <v>83</v>
      </c>
      <c r="G497" s="1" t="s">
        <v>45</v>
      </c>
      <c r="H497" s="1" t="s">
        <v>15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7" s="2">
        <f>Games[[#This Row],[DaysOff]]-Games[[#This Row],[OppDaysOff]]</f>
        <v>0</v>
      </c>
      <c r="L497" s="2">
        <f>Games[[#This Row],[OppDaysOff]]-Games[[#This Row],[DaysOff]]</f>
        <v>0</v>
      </c>
      <c r="M497" s="16">
        <f>MAX(-16, MIN(16, Games[[#This Row],[RestDiff]]*8))</f>
        <v>0</v>
      </c>
      <c r="N497" s="16">
        <f>MAX(-16, MIN(16, Games[[#This Row],[OppRestDiff]]*8))</f>
        <v>0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1628.2199125009424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1531.2561447391104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0.73918004542113258</v>
      </c>
      <c r="R497" s="1">
        <v>86</v>
      </c>
      <c r="S497" s="1">
        <v>81</v>
      </c>
      <c r="T497" s="1">
        <v>1</v>
      </c>
      <c r="U497" s="16">
        <f>Games[[#This Row],[PointsFor]]-Games[[#This Row],[PointsAgainst]]</f>
        <v>5</v>
      </c>
      <c r="V497" s="16">
        <f>IF(Games[[#This Row],[MOV]]&gt;0,1,IF(Games[[#This Row],[MOV]]=0,0.5,0))</f>
        <v>1</v>
      </c>
      <c r="W497" s="4">
        <f>((ABS(Games[[#This Row],[MOV]])+5)^0.6)/(12+0.01*(ABS(Games[[#This Row],[PreGmRate]]-Games[[#This Row],[OppPreGmRate]])))*IF(Games[[#This Row],[OT]]=1,0.9,1)</f>
        <v>0.27625787427852283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7" s="9">
        <f>MAX(kmin, kmax - 0.15 * MIN(Games[[#This Row],[GamesPlayed]], 82))</f>
        <v>70.45</v>
      </c>
      <c r="Z497" s="4">
        <f>Games[[#This Row],[K]]*Games[[#This Row],[POMult]]</f>
        <v>77.495000000000005</v>
      </c>
      <c r="AA497" s="4">
        <f>(Games[[#This Row],[Keff]]*Games[[#This Row],[MOVMult]])*(Games[[#This Row],[Result]]-Games[[#This Row],[ExpectedWin%]])</f>
        <v>5.5837911143257495</v>
      </c>
      <c r="AB497" s="4">
        <f>Games[[#This Row],[PreGmRate]]+Games[[#This Row],[RatingChange]]</f>
        <v>1633.8037036152682</v>
      </c>
      <c r="AC497" s="2">
        <f>IF(Games[[#This Row],[Type]]="R",IF(Games[[#This Row],[Result]]&gt;0.5,1,0),0)</f>
        <v>0</v>
      </c>
      <c r="AD497" s="2">
        <f>IF(Games[[#This Row],[Type]]="R",IF(Games[[#This Row],[Result]]&lt;0.5,1,0),0)</f>
        <v>0</v>
      </c>
      <c r="AE497" s="2">
        <f>IF(AND(Games[[#This Row],[Type]]="P",Games[[#This Row],[Round]]=1),IF(Games[[#This Row],[Result]]&gt;0.5,1,0),0)</f>
        <v>1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39714</v>
      </c>
      <c r="B498" s="2">
        <v>2008</v>
      </c>
      <c r="C498" s="2">
        <f>COUNTIFS(Games[Team],Games[[#This Row],[Team]],Games[Season],Games[[#This Row],[Season]],Games[Date],"&lt;=" &amp; Games[[#This Row],[Date]])</f>
        <v>37</v>
      </c>
      <c r="D498" s="2" t="s">
        <v>46</v>
      </c>
      <c r="E498" s="2">
        <v>1</v>
      </c>
      <c r="F498" s="1" t="s">
        <v>78</v>
      </c>
      <c r="G498" s="1" t="s">
        <v>74</v>
      </c>
      <c r="H498" s="1" t="s">
        <v>16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8" s="2">
        <f>Games[[#This Row],[DaysOff]]-Games[[#This Row],[OppDaysOff]]</f>
        <v>0</v>
      </c>
      <c r="L498" s="2">
        <f>Games[[#This Row],[OppDaysOff]]-Games[[#This Row],[DaysOff]]</f>
        <v>0</v>
      </c>
      <c r="M498" s="16">
        <f>MAX(-16, MIN(16, Games[[#This Row],[RestDiff]]*8))</f>
        <v>0</v>
      </c>
      <c r="N498" s="16">
        <f>MAX(-16, MIN(16, Games[[#This Row],[OppRestDiff]]*8))</f>
        <v>0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1511.3299149161476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1593.5667232476246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0.2774920795385003</v>
      </c>
      <c r="R498" s="1">
        <v>61</v>
      </c>
      <c r="S498" s="1">
        <v>80</v>
      </c>
      <c r="T498" s="1">
        <v>0</v>
      </c>
      <c r="U498" s="16">
        <f>Games[[#This Row],[PointsFor]]-Games[[#This Row],[PointsAgainst]]</f>
        <v>-19</v>
      </c>
      <c r="V498" s="16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0.52499903519669866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8" s="9">
        <f>MAX(kmin, kmax - 0.15 * MIN(Games[[#This Row],[GamesPlayed]], 82))</f>
        <v>70.45</v>
      </c>
      <c r="Z498" s="4">
        <f>Games[[#This Row],[K]]*Games[[#This Row],[POMult]]</f>
        <v>77.495000000000005</v>
      </c>
      <c r="AA498" s="4">
        <f>(Games[[#This Row],[Keff]]*Games[[#This Row],[MOVMult]])*(Games[[#This Row],[Result]]-Games[[#This Row],[ExpectedWin%]])</f>
        <v>-11.2897098221438</v>
      </c>
      <c r="AB498" s="4">
        <f>Games[[#This Row],[PreGmRate]]+Games[[#This Row],[RatingChange]]</f>
        <v>1500.0402050940038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0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1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39714</v>
      </c>
      <c r="B499" s="2">
        <v>2008</v>
      </c>
      <c r="C499" s="2">
        <f>COUNTIFS(Games[Team],Games[[#This Row],[Team]],Games[Season],Games[[#This Row],[Season]],Games[Date],"&lt;=" &amp; Games[[#This Row],[Date]])</f>
        <v>37</v>
      </c>
      <c r="D499" s="2" t="s">
        <v>46</v>
      </c>
      <c r="E499" s="2">
        <v>1</v>
      </c>
      <c r="F499" s="1" t="s">
        <v>74</v>
      </c>
      <c r="G499" s="1" t="s">
        <v>78</v>
      </c>
      <c r="H499" s="1" t="s">
        <v>15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9" s="2">
        <f>Games[[#This Row],[DaysOff]]-Games[[#This Row],[OppDaysOff]]</f>
        <v>0</v>
      </c>
      <c r="L499" s="2">
        <f>Games[[#This Row],[OppDaysOff]]-Games[[#This Row],[DaysOff]]</f>
        <v>0</v>
      </c>
      <c r="M499" s="16">
        <f>MAX(-16, MIN(16, Games[[#This Row],[RestDiff]]*8))</f>
        <v>0</v>
      </c>
      <c r="N499" s="16">
        <f>MAX(-16, MIN(16, Games[[#This Row],[OppRestDiff]]*8))</f>
        <v>0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1593.5667232476246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1511.3299149161476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0.7225079204614997</v>
      </c>
      <c r="R499" s="1">
        <v>80</v>
      </c>
      <c r="S499" s="1">
        <v>61</v>
      </c>
      <c r="T499" s="1">
        <v>0</v>
      </c>
      <c r="U499" s="16">
        <f>Games[[#This Row],[PointsFor]]-Games[[#This Row],[PointsAgainst]]</f>
        <v>19</v>
      </c>
      <c r="V499" s="16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0.52499903519669866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9" s="9">
        <f>MAX(kmin, kmax - 0.15 * MIN(Games[[#This Row],[GamesPlayed]], 82))</f>
        <v>70.45</v>
      </c>
      <c r="Z499" s="4">
        <f>Games[[#This Row],[K]]*Games[[#This Row],[POMult]]</f>
        <v>77.495000000000005</v>
      </c>
      <c r="AA499" s="4">
        <f>(Games[[#This Row],[Keff]]*Games[[#This Row],[MOVMult]])*(Games[[#This Row],[Result]]-Games[[#This Row],[ExpectedWin%]])</f>
        <v>11.2897098221438</v>
      </c>
      <c r="AB499" s="4">
        <f>Games[[#This Row],[PreGmRate]]+Games[[#This Row],[RatingChange]]</f>
        <v>1604.8564330697684</v>
      </c>
      <c r="AC499" s="2">
        <f>IF(Games[[#This Row],[Type]]="R",IF(Games[[#This Row],[Result]]&gt;0.5,1,0),0)</f>
        <v>0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1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39714</v>
      </c>
      <c r="B500" s="2">
        <v>2008</v>
      </c>
      <c r="C500" s="2">
        <f>COUNTIFS(Games[Team],Games[[#This Row],[Team]],Games[Season],Games[[#This Row],[Season]],Games[Date],"&lt;=" &amp; Games[[#This Row],[Date]])</f>
        <v>37</v>
      </c>
      <c r="D500" s="2" t="s">
        <v>46</v>
      </c>
      <c r="E500" s="2">
        <v>1</v>
      </c>
      <c r="F500" s="1" t="s">
        <v>69</v>
      </c>
      <c r="G500" s="1" t="s">
        <v>80</v>
      </c>
      <c r="H500" s="1" t="s">
        <v>16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0" s="2">
        <f>Games[[#This Row],[DaysOff]]-Games[[#This Row],[OppDaysOff]]</f>
        <v>0</v>
      </c>
      <c r="L500" s="2">
        <f>Games[[#This Row],[OppDaysOff]]-Games[[#This Row],[DaysOff]]</f>
        <v>0</v>
      </c>
      <c r="M500" s="16">
        <f>MAX(-16, MIN(16, Games[[#This Row],[RestDiff]]*8))</f>
        <v>0</v>
      </c>
      <c r="N500" s="16">
        <f>MAX(-16, MIN(16, Games[[#This Row],[OppRestDiff]]*8))</f>
        <v>0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1546.2755545929497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1576.2711710169563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0.34159115433016957</v>
      </c>
      <c r="R500" s="1">
        <v>71</v>
      </c>
      <c r="S500" s="1">
        <v>64</v>
      </c>
      <c r="T500" s="1">
        <v>0</v>
      </c>
      <c r="U500" s="16">
        <f>Games[[#This Row],[PointsFor]]-Games[[#This Row],[PointsAgainst]]</f>
        <v>7</v>
      </c>
      <c r="V500" s="16">
        <f>IF(Games[[#This Row],[MOV]]&gt;0,1,IF(Games[[#This Row],[MOV]]=0,0.5,0))</f>
        <v>1</v>
      </c>
      <c r="W500" s="4">
        <f>((ABS(Games[[#This Row],[MOV]])+5)^0.6)/(12+0.01*(ABS(Games[[#This Row],[PreGmRate]]-Games[[#This Row],[OppPreGmRate]])))*IF(Games[[#This Row],[OT]]=1,0.9,1)</f>
        <v>0.36108145513218082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00" s="9">
        <f>MAX(kmin, kmax - 0.15 * MIN(Games[[#This Row],[GamesPlayed]], 82))</f>
        <v>70.45</v>
      </c>
      <c r="Z500" s="4">
        <f>Games[[#This Row],[K]]*Games[[#This Row],[POMult]]</f>
        <v>77.495000000000005</v>
      </c>
      <c r="AA500" s="4">
        <f>(Games[[#This Row],[Keff]]*Games[[#This Row],[MOVMult]])*(Games[[#This Row],[Result]]-Games[[#This Row],[ExpectedWin%]])</f>
        <v>18.423601169022714</v>
      </c>
      <c r="AB500" s="4">
        <f>Games[[#This Row],[PreGmRate]]+Games[[#This Row],[RatingChange]]</f>
        <v>1564.6991557619724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0</v>
      </c>
      <c r="AE500" s="2">
        <f>IF(AND(Games[[#This Row],[Type]]="P",Games[[#This Row],[Round]]=1),IF(Games[[#This Row],[Result]]&gt;0.5,1,0),0)</f>
        <v>1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0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39714</v>
      </c>
      <c r="B501" s="2">
        <v>2008</v>
      </c>
      <c r="C501" s="2">
        <f>COUNTIFS(Games[Team],Games[[#This Row],[Team]],Games[Season],Games[[#This Row],[Season]],Games[Date],"&lt;=" &amp; Games[[#This Row],[Date]])</f>
        <v>37</v>
      </c>
      <c r="D501" s="2" t="s">
        <v>46</v>
      </c>
      <c r="E501" s="2">
        <v>1</v>
      </c>
      <c r="F501" s="1" t="s">
        <v>80</v>
      </c>
      <c r="G501" s="1" t="s">
        <v>69</v>
      </c>
      <c r="H501" s="1" t="s">
        <v>15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1" s="2">
        <f>Games[[#This Row],[DaysOff]]-Games[[#This Row],[OppDaysOff]]</f>
        <v>0</v>
      </c>
      <c r="L501" s="2">
        <f>Games[[#This Row],[OppDaysOff]]-Games[[#This Row],[DaysOff]]</f>
        <v>0</v>
      </c>
      <c r="M501" s="16">
        <f>MAX(-16, MIN(16, Games[[#This Row],[RestDiff]]*8))</f>
        <v>0</v>
      </c>
      <c r="N501" s="16">
        <f>MAX(-16, MIN(16, Games[[#This Row],[OppRestDiff]]*8))</f>
        <v>0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1576.2711710169563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1546.2755545929497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0.65840884566983038</v>
      </c>
      <c r="R501" s="1">
        <v>64</v>
      </c>
      <c r="S501" s="1">
        <v>71</v>
      </c>
      <c r="T501" s="1">
        <v>0</v>
      </c>
      <c r="U501" s="16">
        <f>Games[[#This Row],[PointsFor]]-Games[[#This Row],[PointsAgainst]]</f>
        <v>-7</v>
      </c>
      <c r="V501" s="16">
        <f>IF(Games[[#This Row],[MOV]]&gt;0,1,IF(Games[[#This Row],[MOV]]=0,0.5,0))</f>
        <v>0</v>
      </c>
      <c r="W501" s="4">
        <f>((ABS(Games[[#This Row],[MOV]])+5)^0.6)/(12+0.01*(ABS(Games[[#This Row],[PreGmRate]]-Games[[#This Row],[OppPreGmRate]])))*IF(Games[[#This Row],[OT]]=1,0.9,1)</f>
        <v>0.36108145513218082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01" s="9">
        <f>MAX(kmin, kmax - 0.15 * MIN(Games[[#This Row],[GamesPlayed]], 82))</f>
        <v>70.45</v>
      </c>
      <c r="Z501" s="4">
        <f>Games[[#This Row],[K]]*Games[[#This Row],[POMult]]</f>
        <v>77.495000000000005</v>
      </c>
      <c r="AA501" s="4">
        <f>(Games[[#This Row],[Keff]]*Games[[#This Row],[MOVMult]])*(Games[[#This Row],[Result]]-Games[[#This Row],[ExpectedWin%]])</f>
        <v>-18.42360116902271</v>
      </c>
      <c r="AB501" s="4">
        <f>Games[[#This Row],[PreGmRate]]+Games[[#This Row],[RatingChange]]</f>
        <v>1557.8475698479335</v>
      </c>
      <c r="AC501" s="2">
        <f>IF(Games[[#This Row],[Type]]="R",IF(Games[[#This Row],[Result]]&gt;0.5,1,0),0)</f>
        <v>0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1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0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39716</v>
      </c>
      <c r="B502" s="2">
        <v>2008</v>
      </c>
      <c r="C502" s="2">
        <f>COUNTIFS(Games[Team],Games[[#This Row],[Team]],Games[Season],Games[[#This Row],[Season]],Games[Date],"&lt;=" &amp; Games[[#This Row],[Date]])</f>
        <v>38</v>
      </c>
      <c r="D502" s="2" t="s">
        <v>46</v>
      </c>
      <c r="E502" s="2">
        <v>2</v>
      </c>
      <c r="F502" s="1" t="s">
        <v>83</v>
      </c>
      <c r="G502" s="1" t="s">
        <v>69</v>
      </c>
      <c r="H502" s="1" t="s">
        <v>16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2" s="2">
        <f>Games[[#This Row],[DaysOff]]-Games[[#This Row],[OppDaysOff]]</f>
        <v>1</v>
      </c>
      <c r="L502" s="2">
        <f>Games[[#This Row],[OppDaysOff]]-Games[[#This Row],[DaysOff]]</f>
        <v>-1</v>
      </c>
      <c r="M502" s="16">
        <f>MAX(-16, MIN(16, Games[[#This Row],[RestDiff]]*8))</f>
        <v>8</v>
      </c>
      <c r="N502" s="16">
        <f>MAX(-16, MIN(16, Games[[#This Row],[OppRestDiff]]*8))</f>
        <v>-8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1633.8037036152682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1564.6991557619724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0.50158956678321109</v>
      </c>
      <c r="R502" s="1">
        <v>70</v>
      </c>
      <c r="S502" s="1">
        <v>85</v>
      </c>
      <c r="T502" s="1">
        <v>0</v>
      </c>
      <c r="U502" s="16">
        <f>Games[[#This Row],[PointsFor]]-Games[[#This Row],[PointsAgainst]]</f>
        <v>-15</v>
      </c>
      <c r="V502" s="16">
        <f>IF(Games[[#This Row],[MOV]]&gt;0,1,IF(Games[[#This Row],[MOV]]=0,0.5,0))</f>
        <v>0</v>
      </c>
      <c r="W502" s="4">
        <f>((ABS(Games[[#This Row],[MOV]])+5)^0.6)/(12+0.01*(ABS(Games[[#This Row],[PreGmRate]]-Games[[#This Row],[OppPreGmRate]])))*IF(Games[[#This Row],[OT]]=1,0.9,1)</f>
        <v>0.47546723764815413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2" s="9">
        <f>MAX(kmin, kmax - 0.15 * MIN(Games[[#This Row],[GamesPlayed]], 82))</f>
        <v>70.3</v>
      </c>
      <c r="Z502" s="4">
        <f>Games[[#This Row],[K]]*Games[[#This Row],[POMult]]</f>
        <v>84.36</v>
      </c>
      <c r="AA502" s="4">
        <f>(Games[[#This Row],[Keff]]*Games[[#This Row],[MOVMult]])*(Games[[#This Row],[Result]]-Games[[#This Row],[ExpectedWin%]])</f>
        <v>-20.118966269200563</v>
      </c>
      <c r="AB502" s="4">
        <f>Games[[#This Row],[PreGmRate]]+Games[[#This Row],[RatingChange]]</f>
        <v>1613.6847373460675</v>
      </c>
      <c r="AC502" s="2">
        <f>IF(Games[[#This Row],[Type]]="R",IF(Games[[#This Row],[Result]]&gt;0.5,1,0),0)</f>
        <v>0</v>
      </c>
      <c r="AD502" s="2">
        <f>IF(Games[[#This Row],[Type]]="R",IF(Games[[#This Row],[Result]]&lt;0.5,1,0),0)</f>
        <v>0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1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39716</v>
      </c>
      <c r="B503" s="2">
        <v>2008</v>
      </c>
      <c r="C503" s="2">
        <f>COUNTIFS(Games[Team],Games[[#This Row],[Team]],Games[Season],Games[[#This Row],[Season]],Games[Date],"&lt;=" &amp; Games[[#This Row],[Date]])</f>
        <v>38</v>
      </c>
      <c r="D503" s="2" t="s">
        <v>46</v>
      </c>
      <c r="E503" s="2">
        <v>2</v>
      </c>
      <c r="F503" s="1" t="s">
        <v>69</v>
      </c>
      <c r="G503" s="1" t="s">
        <v>83</v>
      </c>
      <c r="H503" s="1" t="s">
        <v>15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3" s="2">
        <f>Games[[#This Row],[DaysOff]]-Games[[#This Row],[OppDaysOff]]</f>
        <v>-1</v>
      </c>
      <c r="L503" s="2">
        <f>Games[[#This Row],[OppDaysOff]]-Games[[#This Row],[DaysOff]]</f>
        <v>1</v>
      </c>
      <c r="M503" s="16">
        <f>MAX(-16, MIN(16, Games[[#This Row],[RestDiff]]*8))</f>
        <v>-8</v>
      </c>
      <c r="N503" s="16">
        <f>MAX(-16, MIN(16, Games[[#This Row],[OppRestDiff]]*8))</f>
        <v>8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1564.6991557619724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1633.8037036152682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0.49841043321678885</v>
      </c>
      <c r="R503" s="1">
        <v>85</v>
      </c>
      <c r="S503" s="1">
        <v>70</v>
      </c>
      <c r="T503" s="1">
        <v>0</v>
      </c>
      <c r="U503" s="16">
        <f>Games[[#This Row],[PointsFor]]-Games[[#This Row],[PointsAgainst]]</f>
        <v>15</v>
      </c>
      <c r="V503" s="16">
        <f>IF(Games[[#This Row],[MOV]]&gt;0,1,IF(Games[[#This Row],[MOV]]=0,0.5,0))</f>
        <v>1</v>
      </c>
      <c r="W503" s="4">
        <f>((ABS(Games[[#This Row],[MOV]])+5)^0.6)/(12+0.01*(ABS(Games[[#This Row],[PreGmRate]]-Games[[#This Row],[OppPreGmRate]])))*IF(Games[[#This Row],[OT]]=1,0.9,1)</f>
        <v>0.47546723764815413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3" s="9">
        <f>MAX(kmin, kmax - 0.15 * MIN(Games[[#This Row],[GamesPlayed]], 82))</f>
        <v>70.3</v>
      </c>
      <c r="Z503" s="4">
        <f>Games[[#This Row],[K]]*Games[[#This Row],[POMult]]</f>
        <v>84.36</v>
      </c>
      <c r="AA503" s="4">
        <f>(Games[[#This Row],[Keff]]*Games[[#This Row],[MOVMult]])*(Games[[#This Row],[Result]]-Games[[#This Row],[ExpectedWin%]])</f>
        <v>20.118966269200563</v>
      </c>
      <c r="AB503" s="4">
        <f>Games[[#This Row],[PreGmRate]]+Games[[#This Row],[RatingChange]]</f>
        <v>1584.8181220311731</v>
      </c>
      <c r="AC503" s="2">
        <f>IF(Games[[#This Row],[Type]]="R",IF(Games[[#This Row],[Result]]&gt;0.5,1,0),0)</f>
        <v>0</v>
      </c>
      <c r="AD503" s="2">
        <f>IF(Games[[#This Row],[Type]]="R",IF(Games[[#This Row],[Result]]&lt;0.5,1,0),0)</f>
        <v>0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1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39717</v>
      </c>
      <c r="B504" s="2">
        <v>2008</v>
      </c>
      <c r="C504" s="2">
        <f>COUNTIFS(Games[Team],Games[[#This Row],[Team]],Games[Season],Games[[#This Row],[Season]],Games[Date],"&lt;=" &amp; Games[[#This Row],[Date]])</f>
        <v>38</v>
      </c>
      <c r="D504" s="2" t="s">
        <v>46</v>
      </c>
      <c r="E504" s="2">
        <v>2</v>
      </c>
      <c r="F504" s="1" t="s">
        <v>74</v>
      </c>
      <c r="G504" s="1" t="s">
        <v>66</v>
      </c>
      <c r="H504" s="1" t="s">
        <v>16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4" s="2">
        <f>Games[[#This Row],[DaysOff]]-Games[[#This Row],[OppDaysOff]]</f>
        <v>-1</v>
      </c>
      <c r="L504" s="2">
        <f>Games[[#This Row],[OppDaysOff]]-Games[[#This Row],[DaysOff]]</f>
        <v>1</v>
      </c>
      <c r="M504" s="16">
        <f>MAX(-16, MIN(16, Games[[#This Row],[RestDiff]]*8))</f>
        <v>-8</v>
      </c>
      <c r="N504" s="16">
        <f>MAX(-16, MIN(16, Games[[#This Row],[OppRestDiff]]*8))</f>
        <v>8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1604.8564330697684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1541.9833108307075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0.4467725752907093</v>
      </c>
      <c r="R504" s="1">
        <v>56</v>
      </c>
      <c r="S504" s="1">
        <v>60</v>
      </c>
      <c r="T504" s="1">
        <v>0</v>
      </c>
      <c r="U504" s="16">
        <f>Games[[#This Row],[PointsFor]]-Games[[#This Row],[PointsAgainst]]</f>
        <v>-4</v>
      </c>
      <c r="V504" s="16">
        <f>IF(Games[[#This Row],[MOV]]&gt;0,1,IF(Games[[#This Row],[MOV]]=0,0.5,0))</f>
        <v>0</v>
      </c>
      <c r="W504" s="4">
        <f>((ABS(Games[[#This Row],[MOV]])+5)^0.6)/(12+0.01*(ABS(Games[[#This Row],[PreGmRate]]-Games[[#This Row],[OppPreGmRate]])))*IF(Games[[#This Row],[OT]]=1,0.9,1)</f>
        <v>0.2959278135732708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4" s="9">
        <f>MAX(kmin, kmax - 0.15 * MIN(Games[[#This Row],[GamesPlayed]], 82))</f>
        <v>70.3</v>
      </c>
      <c r="Z504" s="4">
        <f>Games[[#This Row],[K]]*Games[[#This Row],[POMult]]</f>
        <v>84.36</v>
      </c>
      <c r="AA504" s="4">
        <f>(Games[[#This Row],[Keff]]*Games[[#This Row],[MOVMult]])*(Games[[#This Row],[Result]]-Games[[#This Row],[ExpectedWin%]])</f>
        <v>-11.153440710396746</v>
      </c>
      <c r="AB504" s="4">
        <f>Games[[#This Row],[PreGmRate]]+Games[[#This Row],[RatingChange]]</f>
        <v>1593.7029923593716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0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0</v>
      </c>
      <c r="AH504" s="2">
        <f>IF(AND(Games[[#This Row],[Type]]="P",Games[[#This Row],[Round]]=2),IF(Games[[#This Row],[Result]]&lt;0.5,1,0),0)</f>
        <v>1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39717</v>
      </c>
      <c r="B505" s="2">
        <v>2008</v>
      </c>
      <c r="C505" s="2">
        <f>COUNTIFS(Games[Team],Games[[#This Row],[Team]],Games[Season],Games[[#This Row],[Season]],Games[Date],"&lt;=" &amp; Games[[#This Row],[Date]])</f>
        <v>38</v>
      </c>
      <c r="D505" s="2" t="s">
        <v>46</v>
      </c>
      <c r="E505" s="2">
        <v>2</v>
      </c>
      <c r="F505" s="1" t="s">
        <v>66</v>
      </c>
      <c r="G505" s="1" t="s">
        <v>74</v>
      </c>
      <c r="H505" s="1" t="s">
        <v>15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5" s="2">
        <f>Games[[#This Row],[DaysOff]]-Games[[#This Row],[OppDaysOff]]</f>
        <v>1</v>
      </c>
      <c r="L505" s="2">
        <f>Games[[#This Row],[OppDaysOff]]-Games[[#This Row],[DaysOff]]</f>
        <v>-1</v>
      </c>
      <c r="M505" s="16">
        <f>MAX(-16, MIN(16, Games[[#This Row],[RestDiff]]*8))</f>
        <v>8</v>
      </c>
      <c r="N505" s="16">
        <f>MAX(-16, MIN(16, Games[[#This Row],[OppRestDiff]]*8))</f>
        <v>-8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1541.9833108307075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1604.8564330697684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0.55322742470929065</v>
      </c>
      <c r="R505" s="1">
        <v>60</v>
      </c>
      <c r="S505" s="1">
        <v>56</v>
      </c>
      <c r="T505" s="1">
        <v>0</v>
      </c>
      <c r="U505" s="16">
        <f>Games[[#This Row],[PointsFor]]-Games[[#This Row],[PointsAgainst]]</f>
        <v>4</v>
      </c>
      <c r="V505" s="16">
        <f>IF(Games[[#This Row],[MOV]]&gt;0,1,IF(Games[[#This Row],[MOV]]=0,0.5,0))</f>
        <v>1</v>
      </c>
      <c r="W505" s="4">
        <f>((ABS(Games[[#This Row],[MOV]])+5)^0.6)/(12+0.01*(ABS(Games[[#This Row],[PreGmRate]]-Games[[#This Row],[OppPreGmRate]])))*IF(Games[[#This Row],[OT]]=1,0.9,1)</f>
        <v>0.2959278135732708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5" s="9">
        <f>MAX(kmin, kmax - 0.15 * MIN(Games[[#This Row],[GamesPlayed]], 82))</f>
        <v>70.3</v>
      </c>
      <c r="Z505" s="4">
        <f>Games[[#This Row],[K]]*Games[[#This Row],[POMult]]</f>
        <v>84.36</v>
      </c>
      <c r="AA505" s="4">
        <f>(Games[[#This Row],[Keff]]*Games[[#This Row],[MOVMult]])*(Games[[#This Row],[Result]]-Games[[#This Row],[ExpectedWin%]])</f>
        <v>11.153440710396747</v>
      </c>
      <c r="AB505" s="4">
        <f>Games[[#This Row],[PreGmRate]]+Games[[#This Row],[RatingChange]]</f>
        <v>1553.1367515411043</v>
      </c>
      <c r="AC505" s="2">
        <f>IF(Games[[#This Row],[Type]]="R",IF(Games[[#This Row],[Result]]&gt;0.5,1,0),0)</f>
        <v>0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1</v>
      </c>
      <c r="AH505" s="2">
        <f>IF(AND(Games[[#This Row],[Type]]="P",Games[[#This Row],[Round]]=2),IF(Games[[#This Row],[Result]]&lt;0.5,1,0),0)</f>
        <v>0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39718</v>
      </c>
      <c r="B506" s="2">
        <v>2008</v>
      </c>
      <c r="C506" s="2">
        <f>COUNTIFS(Games[Team],Games[[#This Row],[Team]],Games[Season],Games[[#This Row],[Season]],Games[Date],"&lt;=" &amp; Games[[#This Row],[Date]])</f>
        <v>39</v>
      </c>
      <c r="D506" s="2" t="s">
        <v>46</v>
      </c>
      <c r="E506" s="2">
        <v>2</v>
      </c>
      <c r="F506" s="1" t="s">
        <v>69</v>
      </c>
      <c r="G506" s="1" t="s">
        <v>83</v>
      </c>
      <c r="H506" s="1" t="s">
        <v>16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6" s="2">
        <f>Games[[#This Row],[DaysOff]]-Games[[#This Row],[OppDaysOff]]</f>
        <v>0</v>
      </c>
      <c r="L506" s="2">
        <f>Games[[#This Row],[OppDaysOff]]-Games[[#This Row],[DaysOff]]</f>
        <v>0</v>
      </c>
      <c r="M506" s="16">
        <f>MAX(-16, MIN(16, Games[[#This Row],[RestDiff]]*8))</f>
        <v>0</v>
      </c>
      <c r="N506" s="16">
        <f>MAX(-16, MIN(16, Games[[#This Row],[OppRestDiff]]*8))</f>
        <v>0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1584.8181220311731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1613.6847373460675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0.34305433565119892</v>
      </c>
      <c r="R506" s="1">
        <v>66</v>
      </c>
      <c r="S506" s="1">
        <v>67</v>
      </c>
      <c r="T506" s="1">
        <v>0</v>
      </c>
      <c r="U506" s="16">
        <f>Games[[#This Row],[PointsFor]]-Games[[#This Row],[PointsAgainst]]</f>
        <v>-1</v>
      </c>
      <c r="V506" s="16">
        <f>IF(Games[[#This Row],[MOV]]&gt;0,1,IF(Games[[#This Row],[MOV]]=0,0.5,0))</f>
        <v>0</v>
      </c>
      <c r="W506" s="4">
        <f>((ABS(Games[[#This Row],[MOV]])+5)^0.6)/(12+0.01*(ABS(Games[[#This Row],[PreGmRate]]-Games[[#This Row],[OppPreGmRate]])))*IF(Games[[#This Row],[OT]]=1,0.9,1)</f>
        <v>0.23844378348846876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6" s="9">
        <f>MAX(kmin, kmax - 0.15 * MIN(Games[[#This Row],[GamesPlayed]], 82))</f>
        <v>70.150000000000006</v>
      </c>
      <c r="Z506" s="4">
        <f>Games[[#This Row],[K]]*Games[[#This Row],[POMult]]</f>
        <v>84.18</v>
      </c>
      <c r="AA506" s="4">
        <f>(Games[[#This Row],[Keff]]*Games[[#This Row],[MOVMult]])*(Games[[#This Row],[Result]]-Games[[#This Row],[ExpectedWin%]])</f>
        <v>-6.885854444995041</v>
      </c>
      <c r="AB506" s="4">
        <f>Games[[#This Row],[PreGmRate]]+Games[[#This Row],[RatingChange]]</f>
        <v>1577.9322675861781</v>
      </c>
      <c r="AC506" s="2">
        <f>IF(Games[[#This Row],[Type]]="R",IF(Games[[#This Row],[Result]]&gt;0.5,1,0),0)</f>
        <v>0</v>
      </c>
      <c r="AD506" s="2">
        <f>IF(Games[[#This Row],[Type]]="R",IF(Games[[#This Row],[Result]]&lt;0.5,1,0),0)</f>
        <v>0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1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39718</v>
      </c>
      <c r="B507" s="2">
        <v>2008</v>
      </c>
      <c r="C507" s="2">
        <f>COUNTIFS(Games[Team],Games[[#This Row],[Team]],Games[Season],Games[[#This Row],[Season]],Games[Date],"&lt;=" &amp; Games[[#This Row],[Date]])</f>
        <v>39</v>
      </c>
      <c r="D507" s="2" t="s">
        <v>46</v>
      </c>
      <c r="E507" s="2">
        <v>2</v>
      </c>
      <c r="F507" s="1" t="s">
        <v>83</v>
      </c>
      <c r="G507" s="1" t="s">
        <v>69</v>
      </c>
      <c r="H507" s="1" t="s">
        <v>15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0</v>
      </c>
      <c r="L507" s="2">
        <f>Games[[#This Row],[OppDaysOff]]-Games[[#This Row],[DaysOff]]</f>
        <v>0</v>
      </c>
      <c r="M507" s="16">
        <f>MAX(-16, MIN(16, Games[[#This Row],[RestDiff]]*8))</f>
        <v>0</v>
      </c>
      <c r="N507" s="16">
        <f>MAX(-16, MIN(16, Games[[#This Row],[OppRestDiff]]*8))</f>
        <v>0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1613.6847373460675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1584.8181220311731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0.65694566434880119</v>
      </c>
      <c r="R507" s="1">
        <v>67</v>
      </c>
      <c r="S507" s="1">
        <v>66</v>
      </c>
      <c r="T507" s="1">
        <v>0</v>
      </c>
      <c r="U507" s="16">
        <f>Games[[#This Row],[PointsFor]]-Games[[#This Row],[PointsAgainst]]</f>
        <v>1</v>
      </c>
      <c r="V507" s="16">
        <f>IF(Games[[#This Row],[MOV]]&gt;0,1,IF(Games[[#This Row],[MOV]]=0,0.5,0))</f>
        <v>1</v>
      </c>
      <c r="W507" s="4">
        <f>((ABS(Games[[#This Row],[MOV]])+5)^0.6)/(12+0.01*(ABS(Games[[#This Row],[PreGmRate]]-Games[[#This Row],[OppPreGmRate]])))*IF(Games[[#This Row],[OT]]=1,0.9,1)</f>
        <v>0.23844378348846876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7" s="9">
        <f>MAX(kmin, kmax - 0.15 * MIN(Games[[#This Row],[GamesPlayed]], 82))</f>
        <v>70.150000000000006</v>
      </c>
      <c r="Z507" s="4">
        <f>Games[[#This Row],[K]]*Games[[#This Row],[POMult]]</f>
        <v>84.18</v>
      </c>
      <c r="AA507" s="4">
        <f>(Games[[#This Row],[Keff]]*Games[[#This Row],[MOVMult]])*(Games[[#This Row],[Result]]-Games[[#This Row],[ExpectedWin%]])</f>
        <v>6.8858544449950383</v>
      </c>
      <c r="AB507" s="4">
        <f>Games[[#This Row],[PreGmRate]]+Games[[#This Row],[RatingChange]]</f>
        <v>1620.5705917910625</v>
      </c>
      <c r="AC507" s="2">
        <f>IF(Games[[#This Row],[Type]]="R",IF(Games[[#This Row],[Result]]&gt;0.5,1,0),0)</f>
        <v>0</v>
      </c>
      <c r="AD507" s="2">
        <f>IF(Games[[#This Row],[Type]]="R",IF(Games[[#This Row],[Result]]&lt;0.5,1,0),0)</f>
        <v>0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1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39719</v>
      </c>
      <c r="B508" s="2">
        <v>2008</v>
      </c>
      <c r="C508" s="2">
        <f>COUNTIFS(Games[Team],Games[[#This Row],[Team]],Games[Season],Games[[#This Row],[Season]],Games[Date],"&lt;=" &amp; Games[[#This Row],[Date]])</f>
        <v>39</v>
      </c>
      <c r="D508" s="2" t="s">
        <v>46</v>
      </c>
      <c r="E508" s="2">
        <v>2</v>
      </c>
      <c r="F508" s="1" t="s">
        <v>66</v>
      </c>
      <c r="G508" s="1" t="s">
        <v>74</v>
      </c>
      <c r="H508" s="1" t="s">
        <v>16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8" s="2">
        <f>Games[[#This Row],[DaysOff]]-Games[[#This Row],[OppDaysOff]]</f>
        <v>0</v>
      </c>
      <c r="L508" s="2">
        <f>Games[[#This Row],[OppDaysOff]]-Games[[#This Row],[DaysOff]]</f>
        <v>0</v>
      </c>
      <c r="M508" s="16">
        <f>MAX(-16, MIN(16, Games[[#This Row],[RestDiff]]*8))</f>
        <v>0</v>
      </c>
      <c r="N508" s="16">
        <f>MAX(-16, MIN(16, Games[[#This Row],[OppRestDiff]]*8))</f>
        <v>0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1553.1367515411043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1593.7029923593716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0.32804051575683651</v>
      </c>
      <c r="R508" s="1">
        <v>55</v>
      </c>
      <c r="S508" s="1">
        <v>64</v>
      </c>
      <c r="T508" s="1">
        <v>0</v>
      </c>
      <c r="U508" s="16">
        <f>Games[[#This Row],[PointsFor]]-Games[[#This Row],[PointsAgainst]]</f>
        <v>-9</v>
      </c>
      <c r="V508" s="16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0.39269634828637673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8" s="9">
        <f>MAX(kmin, kmax - 0.15 * MIN(Games[[#This Row],[GamesPlayed]], 82))</f>
        <v>70.150000000000006</v>
      </c>
      <c r="Z508" s="4">
        <f>Games[[#This Row],[K]]*Games[[#This Row],[POMult]]</f>
        <v>84.18</v>
      </c>
      <c r="AA508" s="4">
        <f>(Games[[#This Row],[Keff]]*Games[[#This Row],[MOVMult]])*(Games[[#This Row],[Result]]-Games[[#This Row],[ExpectedWin%]])</f>
        <v>-10.844093916998887</v>
      </c>
      <c r="AB508" s="4">
        <f>Games[[#This Row],[PreGmRate]]+Games[[#This Row],[RatingChange]]</f>
        <v>1542.2926576241055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0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1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39719</v>
      </c>
      <c r="B509" s="2">
        <v>2008</v>
      </c>
      <c r="C509" s="2">
        <f>COUNTIFS(Games[Team],Games[[#This Row],[Team]],Games[Season],Games[[#This Row],[Season]],Games[Date],"&lt;=" &amp; Games[[#This Row],[Date]])</f>
        <v>39</v>
      </c>
      <c r="D509" s="2" t="s">
        <v>46</v>
      </c>
      <c r="E509" s="2">
        <v>2</v>
      </c>
      <c r="F509" s="1" t="s">
        <v>74</v>
      </c>
      <c r="G509" s="1" t="s">
        <v>66</v>
      </c>
      <c r="H509" s="1" t="s">
        <v>15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9" s="2">
        <f>Games[[#This Row],[DaysOff]]-Games[[#This Row],[OppDaysOff]]</f>
        <v>0</v>
      </c>
      <c r="L509" s="2">
        <f>Games[[#This Row],[OppDaysOff]]-Games[[#This Row],[DaysOff]]</f>
        <v>0</v>
      </c>
      <c r="M509" s="16">
        <f>MAX(-16, MIN(16, Games[[#This Row],[RestDiff]]*8))</f>
        <v>0</v>
      </c>
      <c r="N509" s="16">
        <f>MAX(-16, MIN(16, Games[[#This Row],[OppRestDiff]]*8))</f>
        <v>0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1593.7029923593716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1553.1367515411043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0.67195948424316343</v>
      </c>
      <c r="R509" s="1">
        <v>64</v>
      </c>
      <c r="S509" s="1">
        <v>55</v>
      </c>
      <c r="T509" s="1">
        <v>0</v>
      </c>
      <c r="U509" s="16">
        <f>Games[[#This Row],[PointsFor]]-Games[[#This Row],[PointsAgainst]]</f>
        <v>9</v>
      </c>
      <c r="V509" s="16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0.39269634828637673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9" s="9">
        <f>MAX(kmin, kmax - 0.15 * MIN(Games[[#This Row],[GamesPlayed]], 82))</f>
        <v>70.150000000000006</v>
      </c>
      <c r="Z509" s="4">
        <f>Games[[#This Row],[K]]*Games[[#This Row],[POMult]]</f>
        <v>84.18</v>
      </c>
      <c r="AA509" s="4">
        <f>(Games[[#This Row],[Keff]]*Games[[#This Row],[MOVMult]])*(Games[[#This Row],[Result]]-Games[[#This Row],[ExpectedWin%]])</f>
        <v>10.844093916998888</v>
      </c>
      <c r="AB509" s="4">
        <f>Games[[#This Row],[PreGmRate]]+Games[[#This Row],[RatingChange]]</f>
        <v>1604.5470862763705</v>
      </c>
      <c r="AC509" s="2">
        <f>IF(Games[[#This Row],[Type]]="R",IF(Games[[#This Row],[Result]]&gt;0.5,1,0),0)</f>
        <v>0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1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39719</v>
      </c>
      <c r="B510" s="2">
        <v>2008</v>
      </c>
      <c r="C510" s="2">
        <f>COUNTIFS(Games[Team],Games[[#This Row],[Team]],Games[Season],Games[[#This Row],[Season]],Games[Date],"&lt;=" &amp; Games[[#This Row],[Date]])</f>
        <v>40</v>
      </c>
      <c r="D510" s="2" t="s">
        <v>46</v>
      </c>
      <c r="E510" s="2">
        <v>2</v>
      </c>
      <c r="F510" s="1" t="s">
        <v>69</v>
      </c>
      <c r="G510" s="1" t="s">
        <v>83</v>
      </c>
      <c r="H510" s="1" t="s">
        <v>16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0" s="2">
        <f>Games[[#This Row],[DaysOff]]-Games[[#This Row],[OppDaysOff]]</f>
        <v>0</v>
      </c>
      <c r="L510" s="2">
        <f>Games[[#This Row],[OppDaysOff]]-Games[[#This Row],[DaysOff]]</f>
        <v>0</v>
      </c>
      <c r="M510" s="16">
        <f>MAX(-16, MIN(16, Games[[#This Row],[RestDiff]]*8))</f>
        <v>0</v>
      </c>
      <c r="N510" s="16">
        <f>MAX(-16, MIN(16, Games[[#This Row],[OppRestDiff]]*8))</f>
        <v>0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1577.9322675861781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1620.5705917910625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0.32541666887244641</v>
      </c>
      <c r="R510" s="1">
        <v>72</v>
      </c>
      <c r="S510" s="1">
        <v>76</v>
      </c>
      <c r="T510" s="1">
        <v>0</v>
      </c>
      <c r="U510" s="16">
        <f>Games[[#This Row],[PointsFor]]-Games[[#This Row],[PointsAgainst]]</f>
        <v>-4</v>
      </c>
      <c r="V510" s="16">
        <f>IF(Games[[#This Row],[MOV]]&gt;0,1,IF(Games[[#This Row],[MOV]]=0,0.5,0))</f>
        <v>0</v>
      </c>
      <c r="W510" s="4">
        <f>((ABS(Games[[#This Row],[MOV]])+5)^0.6)/(12+0.01*(ABS(Games[[#This Row],[PreGmRate]]-Games[[#This Row],[OppPreGmRate]])))*IF(Games[[#This Row],[OT]]=1,0.9,1)</f>
        <v>0.3007466248264824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10" s="9">
        <f>MAX(kmin, kmax - 0.15 * MIN(Games[[#This Row],[GamesPlayed]], 82))</f>
        <v>70</v>
      </c>
      <c r="Z510" s="4">
        <f>Games[[#This Row],[K]]*Games[[#This Row],[POMult]]</f>
        <v>84</v>
      </c>
      <c r="AA510" s="4">
        <f>(Games[[#This Row],[Keff]]*Games[[#This Row],[MOVMult]])*(Games[[#This Row],[Result]]-Games[[#This Row],[ExpectedWin%]])</f>
        <v>-8.2209090453558851</v>
      </c>
      <c r="AB510" s="4">
        <f>Games[[#This Row],[PreGmRate]]+Games[[#This Row],[RatingChange]]</f>
        <v>1569.7113585408222</v>
      </c>
      <c r="AC510" s="2">
        <f>IF(Games[[#This Row],[Type]]="R",IF(Games[[#This Row],[Result]]&gt;0.5,1,0),0)</f>
        <v>0</v>
      </c>
      <c r="AD510" s="2">
        <f>IF(Games[[#This Row],[Type]]="R",IF(Games[[#This Row],[Result]]&lt;0.5,1,0),0)</f>
        <v>0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1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0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39719</v>
      </c>
      <c r="B511" s="2">
        <v>2008</v>
      </c>
      <c r="C511" s="2">
        <f>COUNTIFS(Games[Team],Games[[#This Row],[Team]],Games[Season],Games[[#This Row],[Season]],Games[Date],"&lt;=" &amp; Games[[#This Row],[Date]])</f>
        <v>40</v>
      </c>
      <c r="D511" s="2" t="s">
        <v>46</v>
      </c>
      <c r="E511" s="2">
        <v>2</v>
      </c>
      <c r="F511" s="1" t="s">
        <v>83</v>
      </c>
      <c r="G511" s="1" t="s">
        <v>69</v>
      </c>
      <c r="H511" s="1" t="s">
        <v>15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1" s="2">
        <f>Games[[#This Row],[DaysOff]]-Games[[#This Row],[OppDaysOff]]</f>
        <v>0</v>
      </c>
      <c r="L511" s="2">
        <f>Games[[#This Row],[OppDaysOff]]-Games[[#This Row],[DaysOff]]</f>
        <v>0</v>
      </c>
      <c r="M511" s="16">
        <f>MAX(-16, MIN(16, Games[[#This Row],[RestDiff]]*8))</f>
        <v>0</v>
      </c>
      <c r="N511" s="16">
        <f>MAX(-16, MIN(16, Games[[#This Row],[OppRestDiff]]*8))</f>
        <v>0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1620.5705917910625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1577.9322675861781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0.67458333112755353</v>
      </c>
      <c r="R511" s="1">
        <v>76</v>
      </c>
      <c r="S511" s="1">
        <v>72</v>
      </c>
      <c r="T511" s="1">
        <v>0</v>
      </c>
      <c r="U511" s="16">
        <f>Games[[#This Row],[PointsFor]]-Games[[#This Row],[PointsAgainst]]</f>
        <v>4</v>
      </c>
      <c r="V511" s="16">
        <f>IF(Games[[#This Row],[MOV]]&gt;0,1,IF(Games[[#This Row],[MOV]]=0,0.5,0))</f>
        <v>1</v>
      </c>
      <c r="W511" s="4">
        <f>((ABS(Games[[#This Row],[MOV]])+5)^0.6)/(12+0.01*(ABS(Games[[#This Row],[PreGmRate]]-Games[[#This Row],[OppPreGmRate]])))*IF(Games[[#This Row],[OT]]=1,0.9,1)</f>
        <v>0.3007466248264824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11" s="9">
        <f>MAX(kmin, kmax - 0.15 * MIN(Games[[#This Row],[GamesPlayed]], 82))</f>
        <v>70</v>
      </c>
      <c r="Z511" s="4">
        <f>Games[[#This Row],[K]]*Games[[#This Row],[POMult]]</f>
        <v>84</v>
      </c>
      <c r="AA511" s="4">
        <f>(Games[[#This Row],[Keff]]*Games[[#This Row],[MOVMult]])*(Games[[#This Row],[Result]]-Games[[#This Row],[ExpectedWin%]])</f>
        <v>8.2209090453558868</v>
      </c>
      <c r="AB511" s="4">
        <f>Games[[#This Row],[PreGmRate]]+Games[[#This Row],[RatingChange]]</f>
        <v>1628.7915008364184</v>
      </c>
      <c r="AC511" s="2">
        <f>IF(Games[[#This Row],[Type]]="R",IF(Games[[#This Row],[Result]]&gt;0.5,1,0),0)</f>
        <v>0</v>
      </c>
      <c r="AD511" s="2">
        <f>IF(Games[[#This Row],[Type]]="R",IF(Games[[#This Row],[Result]]&lt;0.5,1,0),0)</f>
        <v>0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1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0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39720</v>
      </c>
      <c r="B512" s="2">
        <v>2008</v>
      </c>
      <c r="C512" s="2">
        <f>COUNTIFS(Games[Team],Games[[#This Row],[Team]],Games[Season],Games[[#This Row],[Season]],Games[Date],"&lt;=" &amp; Games[[#This Row],[Date]])</f>
        <v>40</v>
      </c>
      <c r="D512" s="2" t="s">
        <v>46</v>
      </c>
      <c r="E512" s="2">
        <v>2</v>
      </c>
      <c r="F512" s="1" t="s">
        <v>66</v>
      </c>
      <c r="G512" s="1" t="s">
        <v>74</v>
      </c>
      <c r="H512" s="1" t="s">
        <v>16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2" s="2">
        <f>Games[[#This Row],[DaysOff]]-Games[[#This Row],[OppDaysOff]]</f>
        <v>0</v>
      </c>
      <c r="L512" s="2">
        <f>Games[[#This Row],[OppDaysOff]]-Games[[#This Row],[DaysOff]]</f>
        <v>0</v>
      </c>
      <c r="M512" s="16">
        <f>MAX(-16, MIN(16, Games[[#This Row],[RestDiff]]*8))</f>
        <v>0</v>
      </c>
      <c r="N512" s="16">
        <f>MAX(-16, MIN(16, Games[[#This Row],[OppRestDiff]]*8))</f>
        <v>0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1542.2926576241055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1604.5470862763705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0.3011330540215113</v>
      </c>
      <c r="R512" s="1">
        <v>73</v>
      </c>
      <c r="S512" s="1">
        <v>75</v>
      </c>
      <c r="T512" s="1">
        <v>0</v>
      </c>
      <c r="U512" s="16">
        <f>Games[[#This Row],[PointsFor]]-Games[[#This Row],[PointsAgainst]]</f>
        <v>-2</v>
      </c>
      <c r="V512" s="16">
        <f>IF(Games[[#This Row],[MOV]]&gt;0,1,IF(Games[[#This Row],[MOV]]=0,0.5,0))</f>
        <v>0</v>
      </c>
      <c r="W512" s="4">
        <f>((ABS(Games[[#This Row],[MOV]])+5)^0.6)/(12+0.01*(ABS(Games[[#This Row],[PreGmRate]]-Games[[#This Row],[OppPreGmRate]])))*IF(Games[[#This Row],[OT]]=1,0.9,1)</f>
        <v>0.25463137833057908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12" s="9">
        <f>MAX(kmin, kmax - 0.15 * MIN(Games[[#This Row],[GamesPlayed]], 82))</f>
        <v>70</v>
      </c>
      <c r="Z512" s="4">
        <f>Games[[#This Row],[K]]*Games[[#This Row],[POMult]]</f>
        <v>84</v>
      </c>
      <c r="AA512" s="4">
        <f>(Games[[#This Row],[Keff]]*Games[[#This Row],[MOVMult]])*(Games[[#This Row],[Result]]-Games[[#This Row],[ExpectedWin%]])</f>
        <v>-6.4409456669371092</v>
      </c>
      <c r="AB512" s="4">
        <f>Games[[#This Row],[PreGmRate]]+Games[[#This Row],[RatingChange]]</f>
        <v>1535.8517119571684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0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1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39720</v>
      </c>
      <c r="B513" s="2">
        <v>2008</v>
      </c>
      <c r="C513" s="2">
        <f>COUNTIFS(Games[Team],Games[[#This Row],[Team]],Games[Season],Games[[#This Row],[Season]],Games[Date],"&lt;=" &amp; Games[[#This Row],[Date]])</f>
        <v>40</v>
      </c>
      <c r="D513" s="2" t="s">
        <v>46</v>
      </c>
      <c r="E513" s="2">
        <v>2</v>
      </c>
      <c r="F513" s="1" t="s">
        <v>74</v>
      </c>
      <c r="G513" s="1" t="s">
        <v>66</v>
      </c>
      <c r="H513" s="1" t="s">
        <v>15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3" s="2">
        <f>Games[[#This Row],[DaysOff]]-Games[[#This Row],[OppDaysOff]]</f>
        <v>0</v>
      </c>
      <c r="L513" s="2">
        <f>Games[[#This Row],[OppDaysOff]]-Games[[#This Row],[DaysOff]]</f>
        <v>0</v>
      </c>
      <c r="M513" s="16">
        <f>MAX(-16, MIN(16, Games[[#This Row],[RestDiff]]*8))</f>
        <v>0</v>
      </c>
      <c r="N513" s="16">
        <f>MAX(-16, MIN(16, Games[[#This Row],[OppRestDiff]]*8))</f>
        <v>0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1604.5470862763705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1542.2926576241055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0.69886694597848875</v>
      </c>
      <c r="R513" s="1">
        <v>75</v>
      </c>
      <c r="S513" s="1">
        <v>73</v>
      </c>
      <c r="T513" s="1">
        <v>0</v>
      </c>
      <c r="U513" s="16">
        <f>Games[[#This Row],[PointsFor]]-Games[[#This Row],[PointsAgainst]]</f>
        <v>2</v>
      </c>
      <c r="V513" s="16">
        <f>IF(Games[[#This Row],[MOV]]&gt;0,1,IF(Games[[#This Row],[MOV]]=0,0.5,0))</f>
        <v>1</v>
      </c>
      <c r="W513" s="4">
        <f>((ABS(Games[[#This Row],[MOV]])+5)^0.6)/(12+0.01*(ABS(Games[[#This Row],[PreGmRate]]-Games[[#This Row],[OppPreGmRate]])))*IF(Games[[#This Row],[OT]]=1,0.9,1)</f>
        <v>0.25463137833057908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13" s="9">
        <f>MAX(kmin, kmax - 0.15 * MIN(Games[[#This Row],[GamesPlayed]], 82))</f>
        <v>70</v>
      </c>
      <c r="Z513" s="4">
        <f>Games[[#This Row],[K]]*Games[[#This Row],[POMult]]</f>
        <v>84</v>
      </c>
      <c r="AA513" s="4">
        <f>(Games[[#This Row],[Keff]]*Games[[#This Row],[MOVMult]])*(Games[[#This Row],[Result]]-Games[[#This Row],[ExpectedWin%]])</f>
        <v>6.4409456669371083</v>
      </c>
      <c r="AB513" s="4">
        <f>Games[[#This Row],[PreGmRate]]+Games[[#This Row],[RatingChange]]</f>
        <v>1610.9880319433075</v>
      </c>
      <c r="AC513" s="2">
        <f>IF(Games[[#This Row],[Type]]="R",IF(Games[[#This Row],[Result]]&gt;0.5,1,0),0)</f>
        <v>0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1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39722</v>
      </c>
      <c r="B514" s="2">
        <v>2008</v>
      </c>
      <c r="C514" s="2">
        <f>COUNTIFS(Games[Team],Games[[#This Row],[Team]],Games[Season],Games[[#This Row],[Season]],Games[Date],"&lt;=" &amp; Games[[#This Row],[Date]])</f>
        <v>41</v>
      </c>
      <c r="D514" s="2" t="s">
        <v>46</v>
      </c>
      <c r="E514" s="2">
        <v>3</v>
      </c>
      <c r="F514" s="1" t="s">
        <v>74</v>
      </c>
      <c r="G514" s="1" t="s">
        <v>83</v>
      </c>
      <c r="H514" s="1" t="s">
        <v>16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4" s="2">
        <f>Games[[#This Row],[DaysOff]]-Games[[#This Row],[OppDaysOff]]</f>
        <v>-1</v>
      </c>
      <c r="L514" s="2">
        <f>Games[[#This Row],[OppDaysOff]]-Games[[#This Row],[DaysOff]]</f>
        <v>1</v>
      </c>
      <c r="M514" s="16">
        <f>MAX(-16, MIN(16, Games[[#This Row],[RestDiff]]*8))</f>
        <v>-8</v>
      </c>
      <c r="N514" s="16">
        <f>MAX(-16, MIN(16, Games[[#This Row],[OppRestDiff]]*8))</f>
        <v>8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1610.9880319433075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1628.7915008364184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0.33667850942219768</v>
      </c>
      <c r="R514" s="1">
        <v>77</v>
      </c>
      <c r="S514" s="1">
        <v>69</v>
      </c>
      <c r="T514" s="1">
        <v>0</v>
      </c>
      <c r="U514" s="16">
        <f>Games[[#This Row],[PointsFor]]-Games[[#This Row],[PointsAgainst]]</f>
        <v>8</v>
      </c>
      <c r="V514" s="16">
        <f>IF(Games[[#This Row],[MOV]]&gt;0,1,IF(Games[[#This Row],[MOV]]=0,0.5,0))</f>
        <v>1</v>
      </c>
      <c r="W514" s="4">
        <f>((ABS(Games[[#This Row],[MOV]])+5)^0.6)/(12+0.01*(ABS(Games[[#This Row],[PreGmRate]]-Games[[#This Row],[OppPreGmRate]])))*IF(Games[[#This Row],[OT]]=1,0.9,1)</f>
        <v>0.38263862265653181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4" s="9">
        <f>MAX(kmin, kmax - 0.15 * MIN(Games[[#This Row],[GamesPlayed]], 82))</f>
        <v>69.849999999999994</v>
      </c>
      <c r="Z514" s="4">
        <f>Games[[#This Row],[K]]*Games[[#This Row],[POMult]]</f>
        <v>94.297499999999999</v>
      </c>
      <c r="AA514" s="4">
        <f>(Games[[#This Row],[Keff]]*Games[[#This Row],[MOVMult]])*(Games[[#This Row],[Result]]-Games[[#This Row],[ExpectedWin%]])</f>
        <v>23.933876819523899</v>
      </c>
      <c r="AB514" s="4">
        <f>Games[[#This Row],[PreGmRate]]+Games[[#This Row],[RatingChange]]</f>
        <v>1634.9219087628314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0</v>
      </c>
      <c r="AG514" s="2">
        <f>IF(AND(Games[[#This Row],[Type]]="P",Games[[#This Row],[Round]]=2),IF(Games[[#This Row],[Result]]&gt;0.5,1,0),0)</f>
        <v>0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1</v>
      </c>
      <c r="AJ514" s="2">
        <f>IF(AND(Games[[#This Row],[Type]]="P",Games[[#This Row],[Round]]=3),IF(Games[[#This Row],[Result]]&lt;0.5,1,0),0)</f>
        <v>0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39722</v>
      </c>
      <c r="B515" s="2">
        <v>2008</v>
      </c>
      <c r="C515" s="2">
        <f>COUNTIFS(Games[Team],Games[[#This Row],[Team]],Games[Season],Games[[#This Row],[Season]],Games[Date],"&lt;=" &amp; Games[[#This Row],[Date]])</f>
        <v>41</v>
      </c>
      <c r="D515" s="2" t="s">
        <v>46</v>
      </c>
      <c r="E515" s="2">
        <v>3</v>
      </c>
      <c r="F515" s="1" t="s">
        <v>83</v>
      </c>
      <c r="G515" s="1" t="s">
        <v>74</v>
      </c>
      <c r="H515" s="1" t="s">
        <v>15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1</v>
      </c>
      <c r="L515" s="2">
        <f>Games[[#This Row],[OppDaysOff]]-Games[[#This Row],[DaysOff]]</f>
        <v>-1</v>
      </c>
      <c r="M515" s="16">
        <f>MAX(-16, MIN(16, Games[[#This Row],[RestDiff]]*8))</f>
        <v>8</v>
      </c>
      <c r="N515" s="16">
        <f>MAX(-16, MIN(16, Games[[#This Row],[OppRestDiff]]*8))</f>
        <v>-8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1628.7915008364184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1610.9880319433075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0.66332149057780232</v>
      </c>
      <c r="R515" s="1">
        <v>69</v>
      </c>
      <c r="S515" s="1">
        <v>77</v>
      </c>
      <c r="T515" s="1">
        <v>0</v>
      </c>
      <c r="U515" s="16">
        <f>Games[[#This Row],[PointsFor]]-Games[[#This Row],[PointsAgainst]]</f>
        <v>-8</v>
      </c>
      <c r="V515" s="16">
        <f>IF(Games[[#This Row],[MOV]]&gt;0,1,IF(Games[[#This Row],[MOV]]=0,0.5,0))</f>
        <v>0</v>
      </c>
      <c r="W515" s="4">
        <f>((ABS(Games[[#This Row],[MOV]])+5)^0.6)/(12+0.01*(ABS(Games[[#This Row],[PreGmRate]]-Games[[#This Row],[OppPreGmRate]])))*IF(Games[[#This Row],[OT]]=1,0.9,1)</f>
        <v>0.38263862265653181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5" s="9">
        <f>MAX(kmin, kmax - 0.15 * MIN(Games[[#This Row],[GamesPlayed]], 82))</f>
        <v>69.849999999999994</v>
      </c>
      <c r="Z515" s="4">
        <f>Games[[#This Row],[K]]*Games[[#This Row],[POMult]]</f>
        <v>94.297499999999999</v>
      </c>
      <c r="AA515" s="4">
        <f>(Games[[#This Row],[Keff]]*Games[[#This Row],[MOVMult]])*(Games[[#This Row],[Result]]-Games[[#This Row],[ExpectedWin%]])</f>
        <v>-23.933876819523899</v>
      </c>
      <c r="AB515" s="4">
        <f>Games[[#This Row],[PreGmRate]]+Games[[#This Row],[RatingChange]]</f>
        <v>1604.8576240168945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0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0</v>
      </c>
      <c r="AI515" s="2">
        <f>IF(AND(Games[[#This Row],[Type]]="P",Games[[#This Row],[Round]]=3),IF(Games[[#This Row],[Result]]&gt;0.5,1,0),0)</f>
        <v>0</v>
      </c>
      <c r="AJ515" s="2">
        <f>IF(AND(Games[[#This Row],[Type]]="P",Games[[#This Row],[Round]]=3),IF(Games[[#This Row],[Result]]&lt;0.5,1,0),0)</f>
        <v>1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  <row r="516" spans="1:38" x14ac:dyDescent="0.35">
      <c r="A516" s="10">
        <v>39724</v>
      </c>
      <c r="B516" s="2">
        <v>2008</v>
      </c>
      <c r="C516" s="2">
        <f>COUNTIFS(Games[Team],Games[[#This Row],[Team]],Games[Season],Games[[#This Row],[Season]],Games[Date],"&lt;=" &amp; Games[[#This Row],[Date]])</f>
        <v>42</v>
      </c>
      <c r="D516" s="2" t="s">
        <v>46</v>
      </c>
      <c r="E516" s="2">
        <v>3</v>
      </c>
      <c r="F516" s="1" t="s">
        <v>74</v>
      </c>
      <c r="G516" s="1" t="s">
        <v>83</v>
      </c>
      <c r="H516" s="1" t="s">
        <v>16</v>
      </c>
      <c r="I516" s="2" cm="1">
        <f t="array" ref="I5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6" s="2" cm="1">
        <f t="array" ref="J5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6" s="2">
        <f>Games[[#This Row],[DaysOff]]-Games[[#This Row],[OppDaysOff]]</f>
        <v>0</v>
      </c>
      <c r="L516" s="2">
        <f>Games[[#This Row],[OppDaysOff]]-Games[[#This Row],[DaysOff]]</f>
        <v>0</v>
      </c>
      <c r="M516" s="16">
        <f>MAX(-16, MIN(16, Games[[#This Row],[RestDiff]]*8))</f>
        <v>0</v>
      </c>
      <c r="N516" s="16">
        <f>MAX(-16, MIN(16, Games[[#This Row],[OppRestDiff]]*8))</f>
        <v>0</v>
      </c>
      <c r="O516" s="4" cm="1">
        <f t="array" ref="O5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1634.9219087628314</v>
      </c>
      <c r="P516" s="4" cm="1">
        <f t="array" ref="P5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1604.8576240168945</v>
      </c>
      <c r="Q516" s="4">
        <f>1/(1+10^(((Games[[#This Row],[OppPreGmRate]]+IF(Games[[#This Row],[HomeAway]]="A",HCA,0)+Games[[#This Row],[OppRestAdj]])-(Games[[#This Row],[PreGmRate]]+IF(Games[[#This Row],[HomeAway]]="H",HCA,0)+Games[[#This Row],[RestAdj]]))/400))</f>
        <v>0.42299784062036772</v>
      </c>
      <c r="R516" s="1">
        <v>69</v>
      </c>
      <c r="S516" s="1">
        <v>61</v>
      </c>
      <c r="T516" s="1">
        <v>0</v>
      </c>
      <c r="U516" s="16">
        <f>Games[[#This Row],[PointsFor]]-Games[[#This Row],[PointsAgainst]]</f>
        <v>8</v>
      </c>
      <c r="V516" s="16">
        <f>IF(Games[[#This Row],[MOV]]&gt;0,1,IF(Games[[#This Row],[MOV]]=0,0.5,0))</f>
        <v>1</v>
      </c>
      <c r="W516" s="4">
        <f>((ABS(Games[[#This Row],[MOV]])+5)^0.6)/(12+0.01*(ABS(Games[[#This Row],[PreGmRate]]-Games[[#This Row],[OppPreGmRate]])))*IF(Games[[#This Row],[OT]]=1,0.9,1)</f>
        <v>0.37882462549496099</v>
      </c>
      <c r="X516" s="7" cm="1">
        <f t="array" ref="X5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6" s="9">
        <f>MAX(kmin, kmax - 0.15 * MIN(Games[[#This Row],[GamesPlayed]], 82))</f>
        <v>69.7</v>
      </c>
      <c r="Z516" s="4">
        <f>Games[[#This Row],[K]]*Games[[#This Row],[POMult]]</f>
        <v>94.095000000000013</v>
      </c>
      <c r="AA516" s="4">
        <f>(Games[[#This Row],[Keff]]*Games[[#This Row],[MOVMult]])*(Games[[#This Row],[Result]]-Games[[#This Row],[ExpectedWin%]])</f>
        <v>20.567532281615659</v>
      </c>
      <c r="AB516" s="4">
        <f>Games[[#This Row],[PreGmRate]]+Games[[#This Row],[RatingChange]]</f>
        <v>1655.4894410444472</v>
      </c>
      <c r="AC516" s="2">
        <f>IF(Games[[#This Row],[Type]]="R",IF(Games[[#This Row],[Result]]&gt;0.5,1,0),0)</f>
        <v>0</v>
      </c>
      <c r="AD516" s="2">
        <f>IF(Games[[#This Row],[Type]]="R",IF(Games[[#This Row],[Result]]&lt;0.5,1,0),0)</f>
        <v>0</v>
      </c>
      <c r="AE516" s="2">
        <f>IF(AND(Games[[#This Row],[Type]]="P",Games[[#This Row],[Round]]=1),IF(Games[[#This Row],[Result]]&gt;0.5,1,0),0)</f>
        <v>0</v>
      </c>
      <c r="AF516" s="2">
        <f>IF(AND(Games[[#This Row],[Type]]="P",Games[[#This Row],[Round]]=1),IF(Games[[#This Row],[Result]]&lt;0.5,1,0),0)</f>
        <v>0</v>
      </c>
      <c r="AG516" s="2">
        <f>IF(AND(Games[[#This Row],[Type]]="P",Games[[#This Row],[Round]]=2),IF(Games[[#This Row],[Result]]&gt;0.5,1,0),0)</f>
        <v>0</v>
      </c>
      <c r="AH516" s="2">
        <f>IF(AND(Games[[#This Row],[Type]]="P",Games[[#This Row],[Round]]=2),IF(Games[[#This Row],[Result]]&lt;0.5,1,0),0)</f>
        <v>0</v>
      </c>
      <c r="AI516" s="2">
        <f>IF(AND(Games[[#This Row],[Type]]="P",Games[[#This Row],[Round]]=3),IF(Games[[#This Row],[Result]]&gt;0.5,1,0),0)</f>
        <v>1</v>
      </c>
      <c r="AJ516" s="2">
        <f>IF(AND(Games[[#This Row],[Type]]="P",Games[[#This Row],[Round]]=3),IF(Games[[#This Row],[Result]]&lt;0.5,1,0),0)</f>
        <v>0</v>
      </c>
      <c r="AK516" s="2">
        <f>IF(AND(Games[[#This Row],[Type]]="P",Games[[#This Row],[Round]]=4),IF(Games[[#This Row],[Result]]&gt;0.5,1,0),0)</f>
        <v>0</v>
      </c>
      <c r="AL516" s="2">
        <f>IF(AND(Games[[#This Row],[Type]]="P",Games[[#This Row],[Round]]=4),IF(Games[[#This Row],[Result]]&lt;0.5,1,0),0)</f>
        <v>0</v>
      </c>
    </row>
    <row r="517" spans="1:38" x14ac:dyDescent="0.35">
      <c r="A517" s="10">
        <v>39724</v>
      </c>
      <c r="B517" s="2">
        <v>2008</v>
      </c>
      <c r="C517" s="2">
        <f>COUNTIFS(Games[Team],Games[[#This Row],[Team]],Games[Season],Games[[#This Row],[Season]],Games[Date],"&lt;=" &amp; Games[[#This Row],[Date]])</f>
        <v>42</v>
      </c>
      <c r="D517" s="2" t="s">
        <v>46</v>
      </c>
      <c r="E517" s="2">
        <v>3</v>
      </c>
      <c r="F517" s="1" t="s">
        <v>83</v>
      </c>
      <c r="G517" s="1" t="s">
        <v>74</v>
      </c>
      <c r="H517" s="1" t="s">
        <v>15</v>
      </c>
      <c r="I517" s="2" cm="1">
        <f t="array" ref="I5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7" s="2" cm="1">
        <f t="array" ref="J5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7" s="2">
        <f>Games[[#This Row],[DaysOff]]-Games[[#This Row],[OppDaysOff]]</f>
        <v>0</v>
      </c>
      <c r="L517" s="2">
        <f>Games[[#This Row],[OppDaysOff]]-Games[[#This Row],[DaysOff]]</f>
        <v>0</v>
      </c>
      <c r="M517" s="16">
        <f>MAX(-16, MIN(16, Games[[#This Row],[RestDiff]]*8))</f>
        <v>0</v>
      </c>
      <c r="N517" s="16">
        <f>MAX(-16, MIN(16, Games[[#This Row],[OppRestDiff]]*8))</f>
        <v>0</v>
      </c>
      <c r="O517" s="4" cm="1">
        <f t="array" ref="O5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1604.8576240168945</v>
      </c>
      <c r="P517" s="4" cm="1">
        <f t="array" ref="P5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1634.9219087628314</v>
      </c>
      <c r="Q517" s="4">
        <f>1/(1+10^(((Games[[#This Row],[OppPreGmRate]]+IF(Games[[#This Row],[HomeAway]]="A",HCA,0)+Games[[#This Row],[OppRestAdj]])-(Games[[#This Row],[PreGmRate]]+IF(Games[[#This Row],[HomeAway]]="H",HCA,0)+Games[[#This Row],[RestAdj]]))/400))</f>
        <v>0.5770021593796324</v>
      </c>
      <c r="R517" s="1">
        <v>61</v>
      </c>
      <c r="S517" s="1">
        <v>69</v>
      </c>
      <c r="T517" s="1">
        <v>0</v>
      </c>
      <c r="U517" s="16">
        <f>Games[[#This Row],[PointsFor]]-Games[[#This Row],[PointsAgainst]]</f>
        <v>-8</v>
      </c>
      <c r="V517" s="16">
        <f>IF(Games[[#This Row],[MOV]]&gt;0,1,IF(Games[[#This Row],[MOV]]=0,0.5,0))</f>
        <v>0</v>
      </c>
      <c r="W517" s="4">
        <f>((ABS(Games[[#This Row],[MOV]])+5)^0.6)/(12+0.01*(ABS(Games[[#This Row],[PreGmRate]]-Games[[#This Row],[OppPreGmRate]])))*IF(Games[[#This Row],[OT]]=1,0.9,1)</f>
        <v>0.37882462549496099</v>
      </c>
      <c r="X517" s="7" cm="1">
        <f t="array" ref="X5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7" s="9">
        <f>MAX(kmin, kmax - 0.15 * MIN(Games[[#This Row],[GamesPlayed]], 82))</f>
        <v>69.7</v>
      </c>
      <c r="Z517" s="4">
        <f>Games[[#This Row],[K]]*Games[[#This Row],[POMult]]</f>
        <v>94.095000000000013</v>
      </c>
      <c r="AA517" s="4">
        <f>(Games[[#This Row],[Keff]]*Games[[#This Row],[MOVMult]])*(Games[[#This Row],[Result]]-Games[[#This Row],[ExpectedWin%]])</f>
        <v>-20.567532281615662</v>
      </c>
      <c r="AB517" s="4">
        <f>Games[[#This Row],[PreGmRate]]+Games[[#This Row],[RatingChange]]</f>
        <v>1584.2900917352788</v>
      </c>
      <c r="AC517" s="2">
        <f>IF(Games[[#This Row],[Type]]="R",IF(Games[[#This Row],[Result]]&gt;0.5,1,0),0)</f>
        <v>0</v>
      </c>
      <c r="AD517" s="2">
        <f>IF(Games[[#This Row],[Type]]="R",IF(Games[[#This Row],[Result]]&lt;0.5,1,0),0)</f>
        <v>0</v>
      </c>
      <c r="AE517" s="2">
        <f>IF(AND(Games[[#This Row],[Type]]="P",Games[[#This Row],[Round]]=1),IF(Games[[#This Row],[Result]]&gt;0.5,1,0),0)</f>
        <v>0</v>
      </c>
      <c r="AF517" s="2">
        <f>IF(AND(Games[[#This Row],[Type]]="P",Games[[#This Row],[Round]]=1),IF(Games[[#This Row],[Result]]&lt;0.5,1,0),0)</f>
        <v>0</v>
      </c>
      <c r="AG517" s="2">
        <f>IF(AND(Games[[#This Row],[Type]]="P",Games[[#This Row],[Round]]=2),IF(Games[[#This Row],[Result]]&gt;0.5,1,0),0)</f>
        <v>0</v>
      </c>
      <c r="AH517" s="2">
        <f>IF(AND(Games[[#This Row],[Type]]="P",Games[[#This Row],[Round]]=2),IF(Games[[#This Row],[Result]]&lt;0.5,1,0),0)</f>
        <v>0</v>
      </c>
      <c r="AI517" s="2">
        <f>IF(AND(Games[[#This Row],[Type]]="P",Games[[#This Row],[Round]]=3),IF(Games[[#This Row],[Result]]&gt;0.5,1,0),0)</f>
        <v>0</v>
      </c>
      <c r="AJ517" s="2">
        <f>IF(AND(Games[[#This Row],[Type]]="P",Games[[#This Row],[Round]]=3),IF(Games[[#This Row],[Result]]&lt;0.5,1,0),0)</f>
        <v>1</v>
      </c>
      <c r="AK517" s="2">
        <f>IF(AND(Games[[#This Row],[Type]]="P",Games[[#This Row],[Round]]=4),IF(Games[[#This Row],[Result]]&gt;0.5,1,0),0)</f>
        <v>0</v>
      </c>
      <c r="AL517" s="2">
        <f>IF(AND(Games[[#This Row],[Type]]="P",Games[[#This Row],[Round]]=4),IF(Games[[#This Row],[Result]]&lt;0.5,1,0),0)</f>
        <v>0</v>
      </c>
    </row>
    <row r="518" spans="1:38" x14ac:dyDescent="0.35">
      <c r="A518" s="10">
        <v>39726</v>
      </c>
      <c r="B518" s="2">
        <v>2008</v>
      </c>
      <c r="C518" s="2">
        <f>COUNTIFS(Games[Team],Games[[#This Row],[Team]],Games[Season],Games[[#This Row],[Season]],Games[Date],"&lt;=" &amp; Games[[#This Row],[Date]])</f>
        <v>43</v>
      </c>
      <c r="D518" s="2" t="s">
        <v>46</v>
      </c>
      <c r="E518" s="2">
        <v>3</v>
      </c>
      <c r="F518" s="1" t="s">
        <v>83</v>
      </c>
      <c r="G518" s="1" t="s">
        <v>74</v>
      </c>
      <c r="H518" s="1" t="s">
        <v>16</v>
      </c>
      <c r="I518" s="2" cm="1">
        <f t="array" ref="I5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8" s="2" cm="1">
        <f t="array" ref="J5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8" s="2">
        <f>Games[[#This Row],[DaysOff]]-Games[[#This Row],[OppDaysOff]]</f>
        <v>0</v>
      </c>
      <c r="L518" s="2">
        <f>Games[[#This Row],[OppDaysOff]]-Games[[#This Row],[DaysOff]]</f>
        <v>0</v>
      </c>
      <c r="M518" s="16">
        <f>MAX(-16, MIN(16, Games[[#This Row],[RestDiff]]*8))</f>
        <v>0</v>
      </c>
      <c r="N518" s="16">
        <f>MAX(-16, MIN(16, Games[[#This Row],[OppRestDiff]]*8))</f>
        <v>0</v>
      </c>
      <c r="O518" s="4" cm="1">
        <f t="array" ref="O5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1584.2900917352788</v>
      </c>
      <c r="P518" s="4" cm="1">
        <f t="array" ref="P5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1655.4894410444472</v>
      </c>
      <c r="Q518" s="4">
        <f>1/(1+10^(((Games[[#This Row],[OppPreGmRate]]+IF(Games[[#This Row],[HomeAway]]="A",HCA,0)+Games[[#This Row],[OppRestAdj]])-(Games[[#This Row],[PreGmRate]]+IF(Games[[#This Row],[HomeAway]]="H",HCA,0)+Games[[#This Row],[RestAdj]]))/400))</f>
        <v>0.29040883578218196</v>
      </c>
      <c r="R518" s="1">
        <v>60</v>
      </c>
      <c r="S518" s="1">
        <v>76</v>
      </c>
      <c r="T518" s="1">
        <v>0</v>
      </c>
      <c r="U518" s="16">
        <f>Games[[#This Row],[PointsFor]]-Games[[#This Row],[PointsAgainst]]</f>
        <v>-16</v>
      </c>
      <c r="V518" s="16">
        <f>IF(Games[[#This Row],[MOV]]&gt;0,1,IF(Games[[#This Row],[MOV]]=0,0.5,0))</f>
        <v>0</v>
      </c>
      <c r="W518" s="4">
        <f>((ABS(Games[[#This Row],[MOV]])+5)^0.6)/(12+0.01*(ABS(Games[[#This Row],[PreGmRate]]-Games[[#This Row],[OppPreGmRate]])))*IF(Games[[#This Row],[OT]]=1,0.9,1)</f>
        <v>0.48878505096288982</v>
      </c>
      <c r="X518" s="7" cm="1">
        <f t="array" ref="X5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8" s="9">
        <f>MAX(kmin, kmax - 0.15 * MIN(Games[[#This Row],[GamesPlayed]], 82))</f>
        <v>69.55</v>
      </c>
      <c r="Z518" s="4">
        <f>Games[[#This Row],[K]]*Games[[#This Row],[POMult]]</f>
        <v>93.892499999999998</v>
      </c>
      <c r="AA518" s="4">
        <f>(Games[[#This Row],[Keff]]*Games[[#This Row],[MOVMult]])*(Games[[#This Row],[Result]]-Games[[#This Row],[ExpectedWin%]])</f>
        <v>-13.327805418207756</v>
      </c>
      <c r="AB518" s="4">
        <f>Games[[#This Row],[PreGmRate]]+Games[[#This Row],[RatingChange]]</f>
        <v>1570.9622863170709</v>
      </c>
      <c r="AC518" s="2">
        <f>IF(Games[[#This Row],[Type]]="R",IF(Games[[#This Row],[Result]]&gt;0.5,1,0),0)</f>
        <v>0</v>
      </c>
      <c r="AD518" s="2">
        <f>IF(Games[[#This Row],[Type]]="R",IF(Games[[#This Row],[Result]]&lt;0.5,1,0),0)</f>
        <v>0</v>
      </c>
      <c r="AE518" s="2">
        <f>IF(AND(Games[[#This Row],[Type]]="P",Games[[#This Row],[Round]]=1),IF(Games[[#This Row],[Result]]&gt;0.5,1,0),0)</f>
        <v>0</v>
      </c>
      <c r="AF518" s="2">
        <f>IF(AND(Games[[#This Row],[Type]]="P",Games[[#This Row],[Round]]=1),IF(Games[[#This Row],[Result]]&lt;0.5,1,0),0)</f>
        <v>0</v>
      </c>
      <c r="AG518" s="2">
        <f>IF(AND(Games[[#This Row],[Type]]="P",Games[[#This Row],[Round]]=2),IF(Games[[#This Row],[Result]]&gt;0.5,1,0),0)</f>
        <v>0</v>
      </c>
      <c r="AH518" s="2">
        <f>IF(AND(Games[[#This Row],[Type]]="P",Games[[#This Row],[Round]]=2),IF(Games[[#This Row],[Result]]&lt;0.5,1,0),0)</f>
        <v>0</v>
      </c>
      <c r="AI518" s="2">
        <f>IF(AND(Games[[#This Row],[Type]]="P",Games[[#This Row],[Round]]=3),IF(Games[[#This Row],[Result]]&gt;0.5,1,0),0)</f>
        <v>0</v>
      </c>
      <c r="AJ518" s="2">
        <f>IF(AND(Games[[#This Row],[Type]]="P",Games[[#This Row],[Round]]=3),IF(Games[[#This Row],[Result]]&lt;0.5,1,0),0)</f>
        <v>1</v>
      </c>
      <c r="AK518" s="2">
        <f>IF(AND(Games[[#This Row],[Type]]="P",Games[[#This Row],[Round]]=4),IF(Games[[#This Row],[Result]]&gt;0.5,1,0),0)</f>
        <v>0</v>
      </c>
      <c r="AL518" s="2">
        <f>IF(AND(Games[[#This Row],[Type]]="P",Games[[#This Row],[Round]]=4),IF(Games[[#This Row],[Result]]&lt;0.5,1,0),0)</f>
        <v>0</v>
      </c>
    </row>
    <row r="519" spans="1:38" x14ac:dyDescent="0.35">
      <c r="A519" s="10">
        <v>39726</v>
      </c>
      <c r="B519" s="2">
        <v>2008</v>
      </c>
      <c r="C519" s="2">
        <f>COUNTIFS(Games[Team],Games[[#This Row],[Team]],Games[Season],Games[[#This Row],[Season]],Games[Date],"&lt;=" &amp; Games[[#This Row],[Date]])</f>
        <v>43</v>
      </c>
      <c r="D519" s="2" t="s">
        <v>46</v>
      </c>
      <c r="E519" s="2">
        <v>3</v>
      </c>
      <c r="F519" s="1" t="s">
        <v>74</v>
      </c>
      <c r="G519" s="1" t="s">
        <v>83</v>
      </c>
      <c r="H519" s="1" t="s">
        <v>15</v>
      </c>
      <c r="I519" s="2" cm="1">
        <f t="array" ref="I5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9" s="2" cm="1">
        <f t="array" ref="J5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9" s="2">
        <f>Games[[#This Row],[DaysOff]]-Games[[#This Row],[OppDaysOff]]</f>
        <v>0</v>
      </c>
      <c r="L519" s="2">
        <f>Games[[#This Row],[OppDaysOff]]-Games[[#This Row],[DaysOff]]</f>
        <v>0</v>
      </c>
      <c r="M519" s="16">
        <f>MAX(-16, MIN(16, Games[[#This Row],[RestDiff]]*8))</f>
        <v>0</v>
      </c>
      <c r="N519" s="16">
        <f>MAX(-16, MIN(16, Games[[#This Row],[OppRestDiff]]*8))</f>
        <v>0</v>
      </c>
      <c r="O519" s="4" cm="1">
        <f t="array" ref="O5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1655.4894410444472</v>
      </c>
      <c r="P519" s="4" cm="1">
        <f t="array" ref="P5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1584.2900917352788</v>
      </c>
      <c r="Q519" s="4">
        <f>1/(1+10^(((Games[[#This Row],[OppPreGmRate]]+IF(Games[[#This Row],[HomeAway]]="A",HCA,0)+Games[[#This Row],[OppRestAdj]])-(Games[[#This Row],[PreGmRate]]+IF(Games[[#This Row],[HomeAway]]="H",HCA,0)+Games[[#This Row],[RestAdj]]))/400))</f>
        <v>0.70959116421781809</v>
      </c>
      <c r="R519" s="1">
        <v>76</v>
      </c>
      <c r="S519" s="1">
        <v>60</v>
      </c>
      <c r="T519" s="1">
        <v>0</v>
      </c>
      <c r="U519" s="16">
        <f>Games[[#This Row],[PointsFor]]-Games[[#This Row],[PointsAgainst]]</f>
        <v>16</v>
      </c>
      <c r="V519" s="16">
        <f>IF(Games[[#This Row],[MOV]]&gt;0,1,IF(Games[[#This Row],[MOV]]=0,0.5,0))</f>
        <v>1</v>
      </c>
      <c r="W519" s="4">
        <f>((ABS(Games[[#This Row],[MOV]])+5)^0.6)/(12+0.01*(ABS(Games[[#This Row],[PreGmRate]]-Games[[#This Row],[OppPreGmRate]])))*IF(Games[[#This Row],[OT]]=1,0.9,1)</f>
        <v>0.48878505096288982</v>
      </c>
      <c r="X519" s="7" cm="1">
        <f t="array" ref="X5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9" s="9">
        <f>MAX(kmin, kmax - 0.15 * MIN(Games[[#This Row],[GamesPlayed]], 82))</f>
        <v>69.55</v>
      </c>
      <c r="Z519" s="4">
        <f>Games[[#This Row],[K]]*Games[[#This Row],[POMult]]</f>
        <v>93.892499999999998</v>
      </c>
      <c r="AA519" s="4">
        <f>(Games[[#This Row],[Keff]]*Games[[#This Row],[MOVMult]])*(Games[[#This Row],[Result]]-Games[[#This Row],[ExpectedWin%]])</f>
        <v>13.327805418207753</v>
      </c>
      <c r="AB519" s="4">
        <f>Games[[#This Row],[PreGmRate]]+Games[[#This Row],[RatingChange]]</f>
        <v>1668.817246462655</v>
      </c>
      <c r="AC519" s="2">
        <f>IF(Games[[#This Row],[Type]]="R",IF(Games[[#This Row],[Result]]&gt;0.5,1,0),0)</f>
        <v>0</v>
      </c>
      <c r="AD519" s="2">
        <f>IF(Games[[#This Row],[Type]]="R",IF(Games[[#This Row],[Result]]&lt;0.5,1,0),0)</f>
        <v>0</v>
      </c>
      <c r="AE519" s="2">
        <f>IF(AND(Games[[#This Row],[Type]]="P",Games[[#This Row],[Round]]=1),IF(Games[[#This Row],[Result]]&gt;0.5,1,0),0)</f>
        <v>0</v>
      </c>
      <c r="AF519" s="2">
        <f>IF(AND(Games[[#This Row],[Type]]="P",Games[[#This Row],[Round]]=1),IF(Games[[#This Row],[Result]]&lt;0.5,1,0),0)</f>
        <v>0</v>
      </c>
      <c r="AG519" s="2">
        <f>IF(AND(Games[[#This Row],[Type]]="P",Games[[#This Row],[Round]]=2),IF(Games[[#This Row],[Result]]&gt;0.5,1,0),0)</f>
        <v>0</v>
      </c>
      <c r="AH519" s="2">
        <f>IF(AND(Games[[#This Row],[Type]]="P",Games[[#This Row],[Round]]=2),IF(Games[[#This Row],[Result]]&lt;0.5,1,0),0)</f>
        <v>0</v>
      </c>
      <c r="AI519" s="2">
        <f>IF(AND(Games[[#This Row],[Type]]="P",Games[[#This Row],[Round]]=3),IF(Games[[#This Row],[Result]]&gt;0.5,1,0),0)</f>
        <v>1</v>
      </c>
      <c r="AJ519" s="2">
        <f>IF(AND(Games[[#This Row],[Type]]="P",Games[[#This Row],[Round]]=3),IF(Games[[#This Row],[Result]]&lt;0.5,1,0),0)</f>
        <v>0</v>
      </c>
      <c r="AK519" s="2">
        <f>IF(AND(Games[[#This Row],[Type]]="P",Games[[#This Row],[Round]]=4),IF(Games[[#This Row],[Result]]&gt;0.5,1,0),0)</f>
        <v>0</v>
      </c>
      <c r="AL519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2026-07-27T10:18:26Z</dcterms:modified>
</cp:coreProperties>
</file>
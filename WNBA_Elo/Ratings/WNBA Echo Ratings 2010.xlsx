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Sports\WNBA_Elo\Ratings\"/>
    </mc:Choice>
  </mc:AlternateContent>
  <xr:revisionPtr revIDLastSave="0" documentId="13_ncr:1_{E7EF69CF-8EE4-4116-AF0E-A4D03EBB6EBB}" xr6:coauthVersionLast="47" xr6:coauthVersionMax="47" xr10:uidLastSave="{00000000-0000-0000-0000-000000000000}"/>
  <bookViews>
    <workbookView xWindow="-110" yWindow="-110" windowWidth="19420" windowHeight="10300" xr2:uid="{5ACCDE05-EE8C-41A7-8551-BC0BA0E61F2B}"/>
  </bookViews>
  <sheets>
    <sheet name="DataTable" sheetId="6" r:id="rId1"/>
    <sheet name="StandingsRaw" sheetId="3" r:id="rId2"/>
    <sheet name="StandingsPivot" sheetId="5" r:id="rId3"/>
    <sheet name="Sheet1" sheetId="8" state="hidden" r:id="rId4"/>
    <sheet name="RawData" sheetId="2" r:id="rId5"/>
  </sheets>
  <definedNames>
    <definedName name="alpha">RawData!$AP$3</definedName>
    <definedName name="base">RawData!$AP$4</definedName>
    <definedName name="HCA">RawData!$AP$2</definedName>
    <definedName name="HFA">RawData!$AP$2</definedName>
    <definedName name="k">RawData!#REF!</definedName>
    <definedName name="kmax">RawData!$AQ$1</definedName>
    <definedName name="kmin">RawData!$AP$1</definedName>
  </definedNames>
  <calcPr calcId="191029"/>
  <pivotCaches>
    <pivotCache cacheId="77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6" i="3" l="1"/>
  <c r="E25" i="3"/>
  <c r="D25" i="3"/>
  <c r="C25" i="3"/>
  <c r="B25" i="3"/>
  <c r="H35" i="3"/>
  <c r="E26" i="3"/>
  <c r="D26" i="3"/>
  <c r="F26" i="3" s="1"/>
  <c r="C26" i="3"/>
  <c r="B26" i="3"/>
  <c r="H34" i="3"/>
  <c r="H33" i="3"/>
  <c r="H32" i="3"/>
  <c r="H31" i="3"/>
  <c r="H30" i="3"/>
  <c r="H29" i="3"/>
  <c r="H28" i="3"/>
  <c r="H27" i="3"/>
  <c r="H26" i="3"/>
  <c r="H25" i="3"/>
  <c r="C408" i="2"/>
  <c r="Y408" i="2" s="1"/>
  <c r="C409" i="2"/>
  <c r="Y409" i="2" s="1"/>
  <c r="C410" i="2"/>
  <c r="Y410" i="2" s="1"/>
  <c r="C411" i="2"/>
  <c r="Y411" i="2" s="1"/>
  <c r="C412" i="2"/>
  <c r="Y412" i="2" s="1"/>
  <c r="C413" i="2"/>
  <c r="Y413" i="2" s="1"/>
  <c r="C414" i="2"/>
  <c r="Y414" i="2" s="1"/>
  <c r="C415" i="2"/>
  <c r="Y415" i="2" s="1"/>
  <c r="C416" i="2"/>
  <c r="Y416" i="2" s="1"/>
  <c r="C417" i="2"/>
  <c r="Y417" i="2" s="1"/>
  <c r="C418" i="2"/>
  <c r="Y418" i="2" s="1"/>
  <c r="C419" i="2"/>
  <c r="Y419" i="2" s="1"/>
  <c r="C420" i="2"/>
  <c r="Y420" i="2" s="1"/>
  <c r="C421" i="2"/>
  <c r="Y421" i="2" s="1"/>
  <c r="C422" i="2"/>
  <c r="Y422" i="2" s="1"/>
  <c r="C423" i="2"/>
  <c r="Y423" i="2" s="1"/>
  <c r="C424" i="2"/>
  <c r="Y424" i="2" s="1"/>
  <c r="C425" i="2"/>
  <c r="Y425" i="2" s="1"/>
  <c r="C426" i="2"/>
  <c r="Y426" i="2" s="1"/>
  <c r="C427" i="2"/>
  <c r="Y427" i="2" s="1"/>
  <c r="C428" i="2"/>
  <c r="Y428" i="2" s="1"/>
  <c r="C429" i="2"/>
  <c r="Y429" i="2" s="1"/>
  <c r="C430" i="2"/>
  <c r="Y430" i="2" s="1"/>
  <c r="C431" i="2"/>
  <c r="Y431" i="2" s="1"/>
  <c r="C432" i="2"/>
  <c r="Y432" i="2" s="1"/>
  <c r="C433" i="2"/>
  <c r="Y433" i="2" s="1"/>
  <c r="C434" i="2"/>
  <c r="Y434" i="2" s="1"/>
  <c r="C435" i="2"/>
  <c r="Y435" i="2" s="1"/>
  <c r="C436" i="2"/>
  <c r="Y436" i="2" s="1"/>
  <c r="C437" i="2"/>
  <c r="Y437" i="2" s="1"/>
  <c r="C438" i="2"/>
  <c r="Y438" i="2" s="1"/>
  <c r="C439" i="2"/>
  <c r="Y439" i="2" s="1"/>
  <c r="C440" i="2"/>
  <c r="Y440" i="2" s="1"/>
  <c r="C441" i="2"/>
  <c r="Y441" i="2" s="1"/>
  <c r="I408" i="2" a="1"/>
  <c r="I409" i="2" a="1"/>
  <c r="I410" i="2" a="1"/>
  <c r="I411" i="2" a="1"/>
  <c r="I412" i="2" a="1"/>
  <c r="I413" i="2" a="1"/>
  <c r="I414" i="2" a="1"/>
  <c r="I415" i="2" a="1"/>
  <c r="I416" i="2" a="1"/>
  <c r="I417" i="2" a="1"/>
  <c r="I418" i="2" a="1"/>
  <c r="I419" i="2" a="1"/>
  <c r="I420" i="2" a="1"/>
  <c r="I421" i="2" a="1"/>
  <c r="I422" i="2" a="1"/>
  <c r="I423" i="2" a="1"/>
  <c r="I424" i="2" a="1"/>
  <c r="I425" i="2" a="1"/>
  <c r="I426" i="2" a="1"/>
  <c r="I427" i="2" a="1"/>
  <c r="I428" i="2" a="1"/>
  <c r="I429" i="2" a="1"/>
  <c r="I430" i="2" a="1"/>
  <c r="I431" i="2" a="1"/>
  <c r="I432" i="2" a="1"/>
  <c r="I433" i="2" a="1"/>
  <c r="I434" i="2" a="1"/>
  <c r="I435" i="2" a="1"/>
  <c r="I436" i="2" a="1"/>
  <c r="I437" i="2" a="1"/>
  <c r="I438" i="2" a="1"/>
  <c r="I439" i="2" a="1"/>
  <c r="I440" i="2" a="1"/>
  <c r="I441" i="2" a="1"/>
  <c r="J408" i="2" a="1"/>
  <c r="L408" i="2" s="1"/>
  <c r="N408" i="2" s="1"/>
  <c r="J409" i="2" a="1"/>
  <c r="L409" i="2" s="1"/>
  <c r="N409" i="2" s="1"/>
  <c r="J410" i="2" a="1"/>
  <c r="L410" i="2" s="1"/>
  <c r="N410" i="2" s="1"/>
  <c r="J411" i="2" a="1"/>
  <c r="L411" i="2" s="1"/>
  <c r="N411" i="2" s="1"/>
  <c r="J412" i="2" a="1"/>
  <c r="L412" i="2" s="1"/>
  <c r="N412" i="2" s="1"/>
  <c r="J413" i="2" a="1"/>
  <c r="L413" i="2" s="1"/>
  <c r="N413" i="2" s="1"/>
  <c r="J414" i="2" a="1"/>
  <c r="L414" i="2" s="1"/>
  <c r="N414" i="2" s="1"/>
  <c r="J415" i="2" a="1"/>
  <c r="L415" i="2" s="1"/>
  <c r="N415" i="2" s="1"/>
  <c r="J416" i="2" a="1"/>
  <c r="L416" i="2" s="1"/>
  <c r="N416" i="2" s="1"/>
  <c r="J417" i="2" a="1"/>
  <c r="L417" i="2" s="1"/>
  <c r="N417" i="2" s="1"/>
  <c r="J418" i="2" a="1"/>
  <c r="L418" i="2" s="1"/>
  <c r="N418" i="2" s="1"/>
  <c r="J419" i="2" a="1"/>
  <c r="L419" i="2" s="1"/>
  <c r="N419" i="2" s="1"/>
  <c r="J420" i="2" a="1"/>
  <c r="L420" i="2" s="1"/>
  <c r="N420" i="2" s="1"/>
  <c r="J421" i="2" a="1"/>
  <c r="L421" i="2" s="1"/>
  <c r="N421" i="2" s="1"/>
  <c r="J422" i="2" a="1"/>
  <c r="L422" i="2" s="1"/>
  <c r="N422" i="2" s="1"/>
  <c r="J423" i="2" a="1"/>
  <c r="L423" i="2" s="1"/>
  <c r="N423" i="2" s="1"/>
  <c r="J424" i="2" a="1"/>
  <c r="L424" i="2" s="1"/>
  <c r="N424" i="2" s="1"/>
  <c r="J425" i="2" a="1"/>
  <c r="L425" i="2" s="1"/>
  <c r="N425" i="2" s="1"/>
  <c r="J426" i="2" a="1"/>
  <c r="L426" i="2" s="1"/>
  <c r="N426" i="2" s="1"/>
  <c r="J427" i="2" a="1"/>
  <c r="L427" i="2" s="1"/>
  <c r="N427" i="2" s="1"/>
  <c r="J428" i="2" a="1"/>
  <c r="L428" i="2" s="1"/>
  <c r="N428" i="2" s="1"/>
  <c r="J429" i="2" a="1"/>
  <c r="L429" i="2" s="1"/>
  <c r="N429" i="2" s="1"/>
  <c r="J430" i="2" a="1"/>
  <c r="L430" i="2" s="1"/>
  <c r="N430" i="2" s="1"/>
  <c r="J431" i="2" a="1"/>
  <c r="L431" i="2" s="1"/>
  <c r="N431" i="2" s="1"/>
  <c r="J432" i="2" a="1"/>
  <c r="L432" i="2" s="1"/>
  <c r="N432" i="2" s="1"/>
  <c r="J433" i="2" a="1"/>
  <c r="L433" i="2" s="1"/>
  <c r="N433" i="2" s="1"/>
  <c r="J434" i="2" a="1"/>
  <c r="L434" i="2" s="1"/>
  <c r="N434" i="2" s="1"/>
  <c r="J435" i="2" a="1"/>
  <c r="L435" i="2" s="1"/>
  <c r="N435" i="2" s="1"/>
  <c r="J436" i="2" a="1"/>
  <c r="L436" i="2" s="1"/>
  <c r="N436" i="2" s="1"/>
  <c r="J437" i="2" a="1"/>
  <c r="L437" i="2" s="1"/>
  <c r="N437" i="2" s="1"/>
  <c r="J438" i="2" a="1"/>
  <c r="L438" i="2" s="1"/>
  <c r="N438" i="2" s="1"/>
  <c r="J439" i="2" a="1"/>
  <c r="L439" i="2" s="1"/>
  <c r="N439" i="2" s="1"/>
  <c r="J440" i="2" a="1"/>
  <c r="L440" i="2" s="1"/>
  <c r="N440" i="2" s="1"/>
  <c r="J441" i="2" a="1"/>
  <c r="K408" i="2"/>
  <c r="M408" i="2" s="1"/>
  <c r="K409" i="2"/>
  <c r="M409" i="2" s="1"/>
  <c r="K410" i="2"/>
  <c r="M410" i="2" s="1"/>
  <c r="K411" i="2"/>
  <c r="M411" i="2" s="1"/>
  <c r="K412" i="2"/>
  <c r="M412" i="2" s="1"/>
  <c r="K413" i="2"/>
  <c r="M413" i="2" s="1"/>
  <c r="K414" i="2"/>
  <c r="M414" i="2" s="1"/>
  <c r="K415" i="2"/>
  <c r="M415" i="2" s="1"/>
  <c r="K416" i="2"/>
  <c r="M416" i="2" s="1"/>
  <c r="K417" i="2"/>
  <c r="M417" i="2" s="1"/>
  <c r="K418" i="2"/>
  <c r="M418" i="2" s="1"/>
  <c r="K419" i="2"/>
  <c r="M419" i="2" s="1"/>
  <c r="K420" i="2"/>
  <c r="M420" i="2" s="1"/>
  <c r="K421" i="2"/>
  <c r="M421" i="2" s="1"/>
  <c r="K422" i="2"/>
  <c r="M422" i="2" s="1"/>
  <c r="K423" i="2"/>
  <c r="M423" i="2" s="1"/>
  <c r="K424" i="2"/>
  <c r="M424" i="2" s="1"/>
  <c r="K425" i="2"/>
  <c r="M425" i="2" s="1"/>
  <c r="K426" i="2"/>
  <c r="M426" i="2" s="1"/>
  <c r="K427" i="2"/>
  <c r="M427" i="2" s="1"/>
  <c r="K428" i="2"/>
  <c r="M428" i="2" s="1"/>
  <c r="K429" i="2"/>
  <c r="M429" i="2" s="1"/>
  <c r="K430" i="2"/>
  <c r="M430" i="2" s="1"/>
  <c r="K431" i="2"/>
  <c r="M431" i="2" s="1"/>
  <c r="K432" i="2"/>
  <c r="M432" i="2" s="1"/>
  <c r="K433" i="2"/>
  <c r="M433" i="2" s="1"/>
  <c r="K434" i="2"/>
  <c r="M434" i="2" s="1"/>
  <c r="K435" i="2"/>
  <c r="M435" i="2" s="1"/>
  <c r="K436" i="2"/>
  <c r="M436" i="2" s="1"/>
  <c r="K437" i="2"/>
  <c r="M437" i="2" s="1"/>
  <c r="K438" i="2"/>
  <c r="M438" i="2" s="1"/>
  <c r="K439" i="2"/>
  <c r="M439" i="2" s="1"/>
  <c r="K440" i="2"/>
  <c r="M440" i="2" s="1"/>
  <c r="U408" i="2"/>
  <c r="V408" i="2" s="1"/>
  <c r="U409" i="2"/>
  <c r="V409" i="2" s="1"/>
  <c r="U410" i="2"/>
  <c r="V410" i="2" s="1"/>
  <c r="U411" i="2"/>
  <c r="V411" i="2" s="1"/>
  <c r="U412" i="2"/>
  <c r="V412" i="2" s="1"/>
  <c r="U413" i="2"/>
  <c r="V413" i="2" s="1"/>
  <c r="U414" i="2"/>
  <c r="V414" i="2" s="1"/>
  <c r="U415" i="2"/>
  <c r="V415" i="2" s="1"/>
  <c r="U416" i="2"/>
  <c r="V416" i="2" s="1"/>
  <c r="U417" i="2"/>
  <c r="V417" i="2" s="1"/>
  <c r="U418" i="2"/>
  <c r="V418" i="2" s="1"/>
  <c r="U419" i="2"/>
  <c r="V419" i="2" s="1"/>
  <c r="U420" i="2"/>
  <c r="V420" i="2" s="1"/>
  <c r="U421" i="2"/>
  <c r="V421" i="2" s="1"/>
  <c r="U422" i="2"/>
  <c r="V422" i="2" s="1"/>
  <c r="U423" i="2"/>
  <c r="V423" i="2" s="1"/>
  <c r="U424" i="2"/>
  <c r="V424" i="2" s="1"/>
  <c r="U425" i="2"/>
  <c r="V425" i="2" s="1"/>
  <c r="U426" i="2"/>
  <c r="V426" i="2" s="1"/>
  <c r="U427" i="2"/>
  <c r="V427" i="2" s="1"/>
  <c r="U428" i="2"/>
  <c r="V428" i="2" s="1"/>
  <c r="U429" i="2"/>
  <c r="V429" i="2" s="1"/>
  <c r="U430" i="2"/>
  <c r="V430" i="2" s="1"/>
  <c r="U431" i="2"/>
  <c r="V431" i="2" s="1"/>
  <c r="U432" i="2"/>
  <c r="V432" i="2" s="1"/>
  <c r="U433" i="2"/>
  <c r="V433" i="2" s="1"/>
  <c r="U434" i="2"/>
  <c r="V434" i="2" s="1"/>
  <c r="U435" i="2"/>
  <c r="V435" i="2" s="1"/>
  <c r="U436" i="2"/>
  <c r="V436" i="2" s="1"/>
  <c r="U437" i="2"/>
  <c r="V437" i="2" s="1"/>
  <c r="U438" i="2"/>
  <c r="V438" i="2" s="1"/>
  <c r="U439" i="2"/>
  <c r="V439" i="2" s="1"/>
  <c r="U440" i="2"/>
  <c r="V440" i="2" s="1"/>
  <c r="U441" i="2"/>
  <c r="V441" i="2" s="1"/>
  <c r="X408" i="2" a="1"/>
  <c r="X409" i="2" a="1"/>
  <c r="X410" i="2" a="1"/>
  <c r="X411" i="2" a="1"/>
  <c r="X412" i="2" a="1"/>
  <c r="X413" i="2" a="1"/>
  <c r="X414" i="2" a="1"/>
  <c r="X415" i="2" a="1"/>
  <c r="X416" i="2" a="1"/>
  <c r="X417" i="2" a="1"/>
  <c r="X418" i="2" a="1"/>
  <c r="X419" i="2" a="1"/>
  <c r="X420" i="2" a="1"/>
  <c r="X421" i="2" a="1"/>
  <c r="X422" i="2" a="1"/>
  <c r="X423" i="2" a="1"/>
  <c r="X424" i="2" a="1"/>
  <c r="X425" i="2" a="1"/>
  <c r="X426" i="2" a="1"/>
  <c r="X427" i="2" a="1"/>
  <c r="X428" i="2" a="1"/>
  <c r="X429" i="2" a="1"/>
  <c r="X430" i="2" a="1"/>
  <c r="X431" i="2" a="1"/>
  <c r="X432" i="2" a="1"/>
  <c r="X433" i="2" a="1"/>
  <c r="X434" i="2" a="1"/>
  <c r="X435" i="2" a="1"/>
  <c r="X436" i="2" a="1"/>
  <c r="X437" i="2" a="1"/>
  <c r="X438" i="2" a="1"/>
  <c r="X439" i="2" a="1"/>
  <c r="X440" i="2" a="1"/>
  <c r="X441" i="2" a="1"/>
  <c r="AE408" i="2"/>
  <c r="AE409" i="2"/>
  <c r="AE410" i="2"/>
  <c r="AE411" i="2"/>
  <c r="AE412" i="2"/>
  <c r="AE413" i="2"/>
  <c r="AE414" i="2"/>
  <c r="AE415" i="2"/>
  <c r="AE416" i="2"/>
  <c r="AE417" i="2"/>
  <c r="AE418" i="2"/>
  <c r="AE419" i="2"/>
  <c r="AE420" i="2"/>
  <c r="AE421" i="2"/>
  <c r="AE422" i="2"/>
  <c r="AE423" i="2"/>
  <c r="AE424" i="2"/>
  <c r="AE425" i="2"/>
  <c r="AE426" i="2"/>
  <c r="AE427" i="2"/>
  <c r="AE428" i="2"/>
  <c r="AE429" i="2"/>
  <c r="AE430" i="2"/>
  <c r="AE431" i="2"/>
  <c r="AE432" i="2"/>
  <c r="AE433" i="2"/>
  <c r="AE434" i="2"/>
  <c r="AE435" i="2"/>
  <c r="AE436" i="2"/>
  <c r="AE437" i="2"/>
  <c r="AE438" i="2"/>
  <c r="AE439" i="2"/>
  <c r="AE440" i="2"/>
  <c r="AE441" i="2"/>
  <c r="AF408" i="2"/>
  <c r="AF409" i="2"/>
  <c r="AF410" i="2"/>
  <c r="AF411" i="2"/>
  <c r="AF412" i="2"/>
  <c r="AF413" i="2"/>
  <c r="AF414" i="2"/>
  <c r="AF415" i="2"/>
  <c r="AF416" i="2"/>
  <c r="AF417" i="2"/>
  <c r="AF418" i="2"/>
  <c r="AF419" i="2"/>
  <c r="AF420" i="2"/>
  <c r="AF421" i="2"/>
  <c r="AF422" i="2"/>
  <c r="AF423" i="2"/>
  <c r="AF424" i="2"/>
  <c r="AF425" i="2"/>
  <c r="AF426" i="2"/>
  <c r="AF427" i="2"/>
  <c r="AF428" i="2"/>
  <c r="AF429" i="2"/>
  <c r="AF430" i="2"/>
  <c r="AF431" i="2"/>
  <c r="AF432" i="2"/>
  <c r="AF433" i="2"/>
  <c r="AF434" i="2"/>
  <c r="AF435" i="2"/>
  <c r="AF436" i="2"/>
  <c r="AF437" i="2"/>
  <c r="AF438" i="2"/>
  <c r="AF439" i="2"/>
  <c r="AF440" i="2"/>
  <c r="AF441" i="2"/>
  <c r="AG408" i="2"/>
  <c r="AG409" i="2"/>
  <c r="AG410" i="2"/>
  <c r="AG411" i="2"/>
  <c r="AG412" i="2"/>
  <c r="AG413" i="2"/>
  <c r="AG414" i="2"/>
  <c r="AG415" i="2"/>
  <c r="AG416" i="2"/>
  <c r="AG417" i="2"/>
  <c r="AG418" i="2"/>
  <c r="AG419" i="2"/>
  <c r="AG420" i="2"/>
  <c r="AG421" i="2"/>
  <c r="AG422" i="2"/>
  <c r="AG423" i="2"/>
  <c r="AG424" i="2"/>
  <c r="AG425" i="2"/>
  <c r="AG426" i="2"/>
  <c r="AG427" i="2"/>
  <c r="AG428" i="2"/>
  <c r="AG429" i="2"/>
  <c r="AG430" i="2"/>
  <c r="AG431" i="2"/>
  <c r="AG432" i="2"/>
  <c r="AG433" i="2"/>
  <c r="AG434" i="2"/>
  <c r="AG435" i="2"/>
  <c r="AG436" i="2"/>
  <c r="AG437" i="2"/>
  <c r="AG438" i="2"/>
  <c r="AG439" i="2"/>
  <c r="AG440" i="2"/>
  <c r="AG441" i="2"/>
  <c r="AH408" i="2"/>
  <c r="AH409" i="2"/>
  <c r="AH410" i="2"/>
  <c r="AH411" i="2"/>
  <c r="AH412" i="2"/>
  <c r="AH413" i="2"/>
  <c r="AH414" i="2"/>
  <c r="AH415" i="2"/>
  <c r="AH416" i="2"/>
  <c r="AH417" i="2"/>
  <c r="AH418" i="2"/>
  <c r="AH419" i="2"/>
  <c r="AH420" i="2"/>
  <c r="AH421" i="2"/>
  <c r="AH422" i="2"/>
  <c r="AH423" i="2"/>
  <c r="AH424" i="2"/>
  <c r="AH425" i="2"/>
  <c r="AH426" i="2"/>
  <c r="AH427" i="2"/>
  <c r="AH428" i="2"/>
  <c r="AH429" i="2"/>
  <c r="AH430" i="2"/>
  <c r="AH431" i="2"/>
  <c r="AH432" i="2"/>
  <c r="AH433" i="2"/>
  <c r="AH434" i="2"/>
  <c r="AH435" i="2"/>
  <c r="AH436" i="2"/>
  <c r="AH437" i="2"/>
  <c r="AH438" i="2"/>
  <c r="AH439" i="2"/>
  <c r="AH440" i="2"/>
  <c r="AH441" i="2"/>
  <c r="AI408" i="2"/>
  <c r="AI409" i="2"/>
  <c r="AI410" i="2"/>
  <c r="AI411" i="2"/>
  <c r="AI412" i="2"/>
  <c r="AI413" i="2"/>
  <c r="AI414" i="2"/>
  <c r="AI415" i="2"/>
  <c r="AI416" i="2"/>
  <c r="AI417" i="2"/>
  <c r="AI418" i="2"/>
  <c r="AI419" i="2"/>
  <c r="AI420" i="2"/>
  <c r="AI421" i="2"/>
  <c r="AI422" i="2"/>
  <c r="AI423" i="2"/>
  <c r="AI424" i="2"/>
  <c r="AI425" i="2"/>
  <c r="AI426" i="2"/>
  <c r="AI427" i="2"/>
  <c r="AI428" i="2"/>
  <c r="AI429" i="2"/>
  <c r="AI430" i="2"/>
  <c r="AI431" i="2"/>
  <c r="AI432" i="2"/>
  <c r="AI433" i="2"/>
  <c r="AI434" i="2"/>
  <c r="AI435" i="2"/>
  <c r="AI436" i="2"/>
  <c r="AI437" i="2"/>
  <c r="AI438" i="2"/>
  <c r="AI439" i="2"/>
  <c r="AI440" i="2"/>
  <c r="AI441" i="2"/>
  <c r="AJ408" i="2"/>
  <c r="AJ409" i="2"/>
  <c r="AJ410" i="2"/>
  <c r="AJ411" i="2"/>
  <c r="AJ412" i="2"/>
  <c r="AJ413" i="2"/>
  <c r="AJ414" i="2"/>
  <c r="AJ415" i="2"/>
  <c r="AJ416" i="2"/>
  <c r="AJ417" i="2"/>
  <c r="AJ418" i="2"/>
  <c r="AJ419" i="2"/>
  <c r="AJ420" i="2"/>
  <c r="AJ421" i="2"/>
  <c r="AJ422" i="2"/>
  <c r="AJ423" i="2"/>
  <c r="AJ424" i="2"/>
  <c r="AJ425" i="2"/>
  <c r="AJ426" i="2"/>
  <c r="AJ427" i="2"/>
  <c r="AJ428" i="2"/>
  <c r="AJ429" i="2"/>
  <c r="AJ430" i="2"/>
  <c r="AJ431" i="2"/>
  <c r="AJ432" i="2"/>
  <c r="AJ433" i="2"/>
  <c r="AJ434" i="2"/>
  <c r="AJ435" i="2"/>
  <c r="AJ436" i="2"/>
  <c r="AJ437" i="2"/>
  <c r="AJ438" i="2"/>
  <c r="AJ439" i="2"/>
  <c r="AJ440" i="2"/>
  <c r="AJ441" i="2"/>
  <c r="AK408" i="2"/>
  <c r="AK409" i="2"/>
  <c r="AK410" i="2"/>
  <c r="AK411" i="2"/>
  <c r="AK412" i="2"/>
  <c r="AK413" i="2"/>
  <c r="AK414" i="2"/>
  <c r="AK415" i="2"/>
  <c r="AK416" i="2"/>
  <c r="AK417" i="2"/>
  <c r="AK418" i="2"/>
  <c r="AK419" i="2"/>
  <c r="AK420" i="2"/>
  <c r="AK421" i="2"/>
  <c r="AK422" i="2"/>
  <c r="AK423" i="2"/>
  <c r="AK424" i="2"/>
  <c r="AK425" i="2"/>
  <c r="AK426" i="2"/>
  <c r="AK427" i="2"/>
  <c r="AK428" i="2"/>
  <c r="AK429" i="2"/>
  <c r="AK430" i="2"/>
  <c r="AK431" i="2"/>
  <c r="AK432" i="2"/>
  <c r="AK433" i="2"/>
  <c r="AK434" i="2"/>
  <c r="AK435" i="2"/>
  <c r="AK436" i="2"/>
  <c r="AK437" i="2"/>
  <c r="AK438" i="2"/>
  <c r="AK439" i="2"/>
  <c r="AK440" i="2"/>
  <c r="AK441" i="2"/>
  <c r="AL408" i="2"/>
  <c r="AL409" i="2"/>
  <c r="AL410" i="2"/>
  <c r="AL411" i="2"/>
  <c r="AL412" i="2"/>
  <c r="AL413" i="2"/>
  <c r="AL414" i="2"/>
  <c r="AL415" i="2"/>
  <c r="AL416" i="2"/>
  <c r="AL417" i="2"/>
  <c r="AL418" i="2"/>
  <c r="AL419" i="2"/>
  <c r="AL420" i="2"/>
  <c r="AL421" i="2"/>
  <c r="AL422" i="2"/>
  <c r="AL423" i="2"/>
  <c r="AL424" i="2"/>
  <c r="AL425" i="2"/>
  <c r="AL426" i="2"/>
  <c r="AL427" i="2"/>
  <c r="AL428" i="2"/>
  <c r="AL429" i="2"/>
  <c r="AL430" i="2"/>
  <c r="AL431" i="2"/>
  <c r="AL432" i="2"/>
  <c r="AL433" i="2"/>
  <c r="AL434" i="2"/>
  <c r="AL435" i="2"/>
  <c r="AL436" i="2"/>
  <c r="AL437" i="2"/>
  <c r="AL438" i="2"/>
  <c r="AL439" i="2"/>
  <c r="AL440" i="2"/>
  <c r="AL441" i="2"/>
  <c r="E28" i="3"/>
  <c r="D28" i="3"/>
  <c r="C28" i="3"/>
  <c r="B28" i="3"/>
  <c r="E34" i="3"/>
  <c r="D34" i="3"/>
  <c r="C34" i="3"/>
  <c r="B34" i="3"/>
  <c r="C318" i="2"/>
  <c r="Y318" i="2" s="1"/>
  <c r="C319" i="2"/>
  <c r="Y319" i="2" s="1"/>
  <c r="C320" i="2"/>
  <c r="Y320" i="2" s="1"/>
  <c r="C321" i="2"/>
  <c r="Y321" i="2" s="1"/>
  <c r="C322" i="2"/>
  <c r="Y322" i="2" s="1"/>
  <c r="C323" i="2"/>
  <c r="Y323" i="2" s="1"/>
  <c r="C324" i="2"/>
  <c r="Y324" i="2" s="1"/>
  <c r="C325" i="2"/>
  <c r="Y325" i="2" s="1"/>
  <c r="C326" i="2"/>
  <c r="Y326" i="2" s="1"/>
  <c r="C327" i="2"/>
  <c r="Y327" i="2" s="1"/>
  <c r="C328" i="2"/>
  <c r="Y328" i="2" s="1"/>
  <c r="C329" i="2"/>
  <c r="Y329" i="2" s="1"/>
  <c r="C330" i="2"/>
  <c r="Y330" i="2" s="1"/>
  <c r="C331" i="2"/>
  <c r="Y331" i="2" s="1"/>
  <c r="C332" i="2"/>
  <c r="Y332" i="2" s="1"/>
  <c r="C333" i="2"/>
  <c r="Y333" i="2" s="1"/>
  <c r="C334" i="2"/>
  <c r="Y334" i="2" s="1"/>
  <c r="C335" i="2"/>
  <c r="Y335" i="2" s="1"/>
  <c r="C336" i="2"/>
  <c r="Y336" i="2" s="1"/>
  <c r="C337" i="2"/>
  <c r="Y337" i="2" s="1"/>
  <c r="C338" i="2"/>
  <c r="Y338" i="2" s="1"/>
  <c r="C339" i="2"/>
  <c r="Y339" i="2" s="1"/>
  <c r="C340" i="2"/>
  <c r="Y340" i="2" s="1"/>
  <c r="C341" i="2"/>
  <c r="Y341" i="2" s="1"/>
  <c r="C342" i="2"/>
  <c r="Y342" i="2" s="1"/>
  <c r="C343" i="2"/>
  <c r="Y343" i="2" s="1"/>
  <c r="C344" i="2"/>
  <c r="Y344" i="2" s="1"/>
  <c r="C345" i="2"/>
  <c r="Y345" i="2" s="1"/>
  <c r="C346" i="2"/>
  <c r="Y346" i="2" s="1"/>
  <c r="C347" i="2"/>
  <c r="Y347" i="2" s="1"/>
  <c r="C348" i="2"/>
  <c r="Y348" i="2" s="1"/>
  <c r="C349" i="2"/>
  <c r="Y349" i="2" s="1"/>
  <c r="C350" i="2"/>
  <c r="Y350" i="2" s="1"/>
  <c r="C351" i="2"/>
  <c r="Y351" i="2" s="1"/>
  <c r="C352" i="2"/>
  <c r="Y352" i="2" s="1"/>
  <c r="C353" i="2"/>
  <c r="Y353" i="2" s="1"/>
  <c r="C354" i="2"/>
  <c r="Y354" i="2" s="1"/>
  <c r="C355" i="2"/>
  <c r="Y355" i="2" s="1"/>
  <c r="C356" i="2"/>
  <c r="Y356" i="2" s="1"/>
  <c r="C357" i="2"/>
  <c r="Y357" i="2" s="1"/>
  <c r="C358" i="2"/>
  <c r="Y358" i="2" s="1"/>
  <c r="C359" i="2"/>
  <c r="Y359" i="2" s="1"/>
  <c r="C360" i="2"/>
  <c r="Y360" i="2" s="1"/>
  <c r="C361" i="2"/>
  <c r="Y361" i="2" s="1"/>
  <c r="C362" i="2"/>
  <c r="Y362" i="2" s="1"/>
  <c r="C363" i="2"/>
  <c r="Y363" i="2" s="1"/>
  <c r="C364" i="2"/>
  <c r="Y364" i="2" s="1"/>
  <c r="C365" i="2"/>
  <c r="Y365" i="2" s="1"/>
  <c r="C366" i="2"/>
  <c r="Y366" i="2" s="1"/>
  <c r="C367" i="2"/>
  <c r="Y367" i="2" s="1"/>
  <c r="C368" i="2"/>
  <c r="Y368" i="2" s="1"/>
  <c r="C369" i="2"/>
  <c r="Y369" i="2" s="1"/>
  <c r="C370" i="2"/>
  <c r="Y370" i="2" s="1"/>
  <c r="C371" i="2"/>
  <c r="Y371" i="2" s="1"/>
  <c r="C372" i="2"/>
  <c r="Y372" i="2" s="1"/>
  <c r="C373" i="2"/>
  <c r="Y373" i="2" s="1"/>
  <c r="C374" i="2"/>
  <c r="Y374" i="2" s="1"/>
  <c r="C375" i="2"/>
  <c r="Y375" i="2" s="1"/>
  <c r="C376" i="2"/>
  <c r="Y376" i="2" s="1"/>
  <c r="C377" i="2"/>
  <c r="Y377" i="2" s="1"/>
  <c r="C378" i="2"/>
  <c r="Y378" i="2" s="1"/>
  <c r="C379" i="2"/>
  <c r="Y379" i="2" s="1"/>
  <c r="C380" i="2"/>
  <c r="Y380" i="2" s="1"/>
  <c r="C381" i="2"/>
  <c r="Y381" i="2" s="1"/>
  <c r="C382" i="2"/>
  <c r="Y382" i="2" s="1"/>
  <c r="C383" i="2"/>
  <c r="Y383" i="2" s="1"/>
  <c r="C384" i="2"/>
  <c r="Y384" i="2" s="1"/>
  <c r="C385" i="2"/>
  <c r="Y385" i="2" s="1"/>
  <c r="C386" i="2"/>
  <c r="Y386" i="2" s="1"/>
  <c r="C387" i="2"/>
  <c r="Y387" i="2" s="1"/>
  <c r="C388" i="2"/>
  <c r="Y388" i="2" s="1"/>
  <c r="C389" i="2"/>
  <c r="Y389" i="2" s="1"/>
  <c r="C390" i="2"/>
  <c r="Y390" i="2" s="1"/>
  <c r="C391" i="2"/>
  <c r="Y391" i="2" s="1"/>
  <c r="C392" i="2"/>
  <c r="Y392" i="2" s="1"/>
  <c r="C393" i="2"/>
  <c r="Y393" i="2" s="1"/>
  <c r="C394" i="2"/>
  <c r="Y394" i="2" s="1"/>
  <c r="C395" i="2"/>
  <c r="Y395" i="2" s="1"/>
  <c r="C396" i="2"/>
  <c r="Y396" i="2" s="1"/>
  <c r="C397" i="2"/>
  <c r="Y397" i="2" s="1"/>
  <c r="C398" i="2"/>
  <c r="Y398" i="2" s="1"/>
  <c r="C399" i="2"/>
  <c r="Y399" i="2" s="1"/>
  <c r="C400" i="2"/>
  <c r="Y400" i="2" s="1"/>
  <c r="C401" i="2"/>
  <c r="Y401" i="2" s="1"/>
  <c r="C402" i="2"/>
  <c r="Y402" i="2" s="1"/>
  <c r="C403" i="2"/>
  <c r="Y403" i="2" s="1"/>
  <c r="C404" i="2"/>
  <c r="Y404" i="2" s="1"/>
  <c r="C405" i="2"/>
  <c r="Y405" i="2" s="1"/>
  <c r="C406" i="2"/>
  <c r="Y406" i="2" s="1"/>
  <c r="C407" i="2"/>
  <c r="Y407" i="2" s="1"/>
  <c r="I318" i="2" a="1"/>
  <c r="I319" i="2" a="1"/>
  <c r="I320" i="2" a="1"/>
  <c r="I321" i="2" a="1"/>
  <c r="I322" i="2" a="1"/>
  <c r="I323" i="2" a="1"/>
  <c r="I324" i="2" a="1"/>
  <c r="I325" i="2" a="1"/>
  <c r="I326" i="2" a="1"/>
  <c r="I327" i="2" a="1"/>
  <c r="I328" i="2" a="1"/>
  <c r="I329" i="2" a="1"/>
  <c r="I330" i="2" a="1"/>
  <c r="I331" i="2" a="1"/>
  <c r="I332" i="2" a="1"/>
  <c r="I333" i="2" a="1"/>
  <c r="I334" i="2" a="1"/>
  <c r="I335" i="2" a="1"/>
  <c r="I336" i="2" a="1"/>
  <c r="I337" i="2" a="1"/>
  <c r="I338" i="2" a="1"/>
  <c r="I339" i="2" a="1"/>
  <c r="I340" i="2" a="1"/>
  <c r="I341" i="2" a="1"/>
  <c r="I342" i="2" a="1"/>
  <c r="I343" i="2" a="1"/>
  <c r="I344" i="2" a="1"/>
  <c r="I345" i="2" a="1"/>
  <c r="I346" i="2" a="1"/>
  <c r="I347" i="2" a="1"/>
  <c r="I348" i="2" a="1"/>
  <c r="I349" i="2" a="1"/>
  <c r="I350" i="2" a="1"/>
  <c r="I351" i="2" a="1"/>
  <c r="I352" i="2" a="1"/>
  <c r="I353" i="2" a="1"/>
  <c r="I354" i="2" a="1"/>
  <c r="I355" i="2" a="1"/>
  <c r="I356" i="2" a="1"/>
  <c r="I357" i="2" a="1"/>
  <c r="I358" i="2" a="1"/>
  <c r="I359" i="2" a="1"/>
  <c r="I360" i="2" a="1"/>
  <c r="I361" i="2" a="1"/>
  <c r="I362" i="2" a="1"/>
  <c r="I363" i="2" a="1"/>
  <c r="I364" i="2" a="1"/>
  <c r="I365" i="2" a="1"/>
  <c r="I366" i="2" a="1"/>
  <c r="I367" i="2" a="1"/>
  <c r="I368" i="2" a="1"/>
  <c r="I369" i="2" a="1"/>
  <c r="I370" i="2" a="1"/>
  <c r="I371" i="2" a="1"/>
  <c r="I372" i="2" a="1"/>
  <c r="I373" i="2" a="1"/>
  <c r="I374" i="2" a="1"/>
  <c r="I375" i="2" a="1"/>
  <c r="I376" i="2" a="1"/>
  <c r="I377" i="2" a="1"/>
  <c r="I378" i="2" a="1"/>
  <c r="I379" i="2" a="1"/>
  <c r="I380" i="2" a="1"/>
  <c r="I381" i="2" a="1"/>
  <c r="I382" i="2" a="1"/>
  <c r="I383" i="2" a="1"/>
  <c r="I384" i="2" a="1"/>
  <c r="I385" i="2" a="1"/>
  <c r="I386" i="2" a="1"/>
  <c r="I387" i="2" a="1"/>
  <c r="I388" i="2" a="1"/>
  <c r="I389" i="2" a="1"/>
  <c r="I390" i="2" a="1"/>
  <c r="I391" i="2" a="1"/>
  <c r="I392" i="2" a="1"/>
  <c r="I393" i="2" a="1"/>
  <c r="I394" i="2" a="1"/>
  <c r="I395" i="2" a="1"/>
  <c r="I396" i="2" a="1"/>
  <c r="I397" i="2" a="1"/>
  <c r="I398" i="2" a="1"/>
  <c r="I399" i="2" a="1"/>
  <c r="I400" i="2" a="1"/>
  <c r="I401" i="2" a="1"/>
  <c r="I402" i="2" a="1"/>
  <c r="I403" i="2" a="1"/>
  <c r="I404" i="2" a="1"/>
  <c r="I405" i="2" a="1"/>
  <c r="I406" i="2" a="1"/>
  <c r="I407" i="2" a="1"/>
  <c r="J318" i="2" a="1"/>
  <c r="J319" i="2" a="1"/>
  <c r="J320" i="2" a="1"/>
  <c r="J321" i="2" a="1"/>
  <c r="J322" i="2" a="1"/>
  <c r="J323" i="2" a="1"/>
  <c r="J324" i="2" a="1"/>
  <c r="J325" i="2" a="1"/>
  <c r="L325" i="2" s="1"/>
  <c r="N325" i="2" s="1"/>
  <c r="J326" i="2" a="1"/>
  <c r="L326" i="2" s="1"/>
  <c r="N326" i="2" s="1"/>
  <c r="J327" i="2" a="1"/>
  <c r="L327" i="2" s="1"/>
  <c r="N327" i="2" s="1"/>
  <c r="J328" i="2" a="1"/>
  <c r="L328" i="2" s="1"/>
  <c r="N328" i="2" s="1"/>
  <c r="J329" i="2" a="1"/>
  <c r="L329" i="2" s="1"/>
  <c r="N329" i="2" s="1"/>
  <c r="J330" i="2" a="1"/>
  <c r="L330" i="2" s="1"/>
  <c r="N330" i="2" s="1"/>
  <c r="J331" i="2" a="1"/>
  <c r="L331" i="2" s="1"/>
  <c r="N331" i="2" s="1"/>
  <c r="J332" i="2" a="1"/>
  <c r="L332" i="2" s="1"/>
  <c r="N332" i="2" s="1"/>
  <c r="J333" i="2" a="1"/>
  <c r="L333" i="2" s="1"/>
  <c r="N333" i="2" s="1"/>
  <c r="J334" i="2" a="1"/>
  <c r="L334" i="2" s="1"/>
  <c r="N334" i="2" s="1"/>
  <c r="J335" i="2" a="1"/>
  <c r="L335" i="2" s="1"/>
  <c r="N335" i="2" s="1"/>
  <c r="J336" i="2" a="1"/>
  <c r="L336" i="2" s="1"/>
  <c r="N336" i="2" s="1"/>
  <c r="J337" i="2" a="1"/>
  <c r="L337" i="2" s="1"/>
  <c r="N337" i="2" s="1"/>
  <c r="J338" i="2" a="1"/>
  <c r="L338" i="2" s="1"/>
  <c r="N338" i="2" s="1"/>
  <c r="J339" i="2" a="1"/>
  <c r="L339" i="2" s="1"/>
  <c r="N339" i="2" s="1"/>
  <c r="J340" i="2" a="1"/>
  <c r="L340" i="2" s="1"/>
  <c r="N340" i="2" s="1"/>
  <c r="J341" i="2" a="1"/>
  <c r="L341" i="2" s="1"/>
  <c r="N341" i="2" s="1"/>
  <c r="J342" i="2" a="1"/>
  <c r="L342" i="2" s="1"/>
  <c r="N342" i="2" s="1"/>
  <c r="J343" i="2" a="1"/>
  <c r="L343" i="2" s="1"/>
  <c r="N343" i="2" s="1"/>
  <c r="J344" i="2" a="1"/>
  <c r="L344" i="2" s="1"/>
  <c r="N344" i="2" s="1"/>
  <c r="J345" i="2" a="1"/>
  <c r="J346" i="2" a="1"/>
  <c r="J347" i="2" a="1"/>
  <c r="J348" i="2" a="1"/>
  <c r="J349" i="2" a="1"/>
  <c r="J350" i="2" a="1"/>
  <c r="J351" i="2" a="1"/>
  <c r="J352" i="2" a="1"/>
  <c r="J353" i="2" a="1"/>
  <c r="J354" i="2" a="1"/>
  <c r="J355" i="2" a="1"/>
  <c r="J356" i="2" a="1"/>
  <c r="J357" i="2" a="1"/>
  <c r="J358" i="2" a="1"/>
  <c r="J359" i="2" a="1"/>
  <c r="J360" i="2" a="1"/>
  <c r="J361" i="2" a="1"/>
  <c r="J362" i="2" a="1"/>
  <c r="J363" i="2" a="1"/>
  <c r="J364" i="2" a="1"/>
  <c r="J365" i="2" a="1"/>
  <c r="J366" i="2" a="1"/>
  <c r="J367" i="2" a="1"/>
  <c r="J368" i="2" a="1"/>
  <c r="J369" i="2" a="1"/>
  <c r="J370" i="2" a="1"/>
  <c r="J371" i="2" a="1"/>
  <c r="J372" i="2" a="1"/>
  <c r="J373" i="2" a="1"/>
  <c r="J374" i="2" a="1"/>
  <c r="J375" i="2" a="1"/>
  <c r="J376" i="2" a="1"/>
  <c r="J377" i="2" a="1"/>
  <c r="J378" i="2" a="1"/>
  <c r="J379" i="2" a="1"/>
  <c r="J380" i="2" a="1"/>
  <c r="J381" i="2" a="1"/>
  <c r="J382" i="2" a="1"/>
  <c r="J383" i="2" a="1"/>
  <c r="J384" i="2" a="1"/>
  <c r="J385" i="2" a="1"/>
  <c r="J386" i="2" a="1"/>
  <c r="J387" i="2" a="1"/>
  <c r="J388" i="2" a="1"/>
  <c r="J389" i="2" a="1"/>
  <c r="J390" i="2" a="1"/>
  <c r="J391" i="2" a="1"/>
  <c r="J392" i="2" a="1"/>
  <c r="J393" i="2" a="1"/>
  <c r="J394" i="2" a="1"/>
  <c r="J395" i="2" a="1"/>
  <c r="J396" i="2" a="1"/>
  <c r="J397" i="2" a="1"/>
  <c r="J398" i="2" a="1"/>
  <c r="J399" i="2" a="1"/>
  <c r="J400" i="2" a="1"/>
  <c r="J401" i="2" a="1"/>
  <c r="J402" i="2" a="1"/>
  <c r="J403" i="2" a="1"/>
  <c r="J404" i="2" a="1"/>
  <c r="J405" i="2" a="1"/>
  <c r="J406" i="2" a="1"/>
  <c r="J407" i="2" a="1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V376" i="2" s="1"/>
  <c r="U377" i="2"/>
  <c r="V377" i="2" s="1"/>
  <c r="U378" i="2"/>
  <c r="V378" i="2" s="1"/>
  <c r="U379" i="2"/>
  <c r="V379" i="2" s="1"/>
  <c r="U380" i="2"/>
  <c r="V380" i="2" s="1"/>
  <c r="U381" i="2"/>
  <c r="V381" i="2" s="1"/>
  <c r="U382" i="2"/>
  <c r="V382" i="2" s="1"/>
  <c r="U383" i="2"/>
  <c r="V383" i="2" s="1"/>
  <c r="U384" i="2"/>
  <c r="V384" i="2" s="1"/>
  <c r="U385" i="2"/>
  <c r="V385" i="2" s="1"/>
  <c r="U386" i="2"/>
  <c r="V386" i="2" s="1"/>
  <c r="AC386" i="2" s="1"/>
  <c r="U387" i="2"/>
  <c r="V387" i="2" s="1"/>
  <c r="AC387" i="2" s="1"/>
  <c r="U388" i="2"/>
  <c r="V388" i="2" s="1"/>
  <c r="AC388" i="2" s="1"/>
  <c r="U389" i="2"/>
  <c r="V389" i="2" s="1"/>
  <c r="AC389" i="2" s="1"/>
  <c r="U390" i="2"/>
  <c r="V390" i="2" s="1"/>
  <c r="U391" i="2"/>
  <c r="V391" i="2" s="1"/>
  <c r="U392" i="2"/>
  <c r="V392" i="2" s="1"/>
  <c r="U393" i="2"/>
  <c r="V393" i="2" s="1"/>
  <c r="U394" i="2"/>
  <c r="V394" i="2" s="1"/>
  <c r="U395" i="2"/>
  <c r="V395" i="2" s="1"/>
  <c r="U396" i="2"/>
  <c r="V396" i="2" s="1"/>
  <c r="U397" i="2"/>
  <c r="V397" i="2" s="1"/>
  <c r="U398" i="2"/>
  <c r="V398" i="2" s="1"/>
  <c r="U399" i="2"/>
  <c r="V399" i="2" s="1"/>
  <c r="U400" i="2"/>
  <c r="V400" i="2" s="1"/>
  <c r="U401" i="2"/>
  <c r="V401" i="2" s="1"/>
  <c r="U402" i="2"/>
  <c r="V402" i="2" s="1"/>
  <c r="U403" i="2"/>
  <c r="V403" i="2" s="1"/>
  <c r="U404" i="2"/>
  <c r="V404" i="2" s="1"/>
  <c r="U405" i="2"/>
  <c r="V405" i="2" s="1"/>
  <c r="U406" i="2"/>
  <c r="V406" i="2" s="1"/>
  <c r="U407" i="2"/>
  <c r="V407" i="2" s="1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X318" i="2" a="1"/>
  <c r="X319" i="2" a="1"/>
  <c r="X320" i="2" a="1"/>
  <c r="X321" i="2" a="1"/>
  <c r="X322" i="2" a="1"/>
  <c r="X323" i="2" a="1"/>
  <c r="X324" i="2" a="1"/>
  <c r="X325" i="2" a="1"/>
  <c r="X326" i="2" a="1"/>
  <c r="X327" i="2" a="1"/>
  <c r="X328" i="2" a="1"/>
  <c r="X329" i="2" a="1"/>
  <c r="X330" i="2" a="1"/>
  <c r="X331" i="2" a="1"/>
  <c r="X332" i="2" a="1"/>
  <c r="X333" i="2" a="1"/>
  <c r="X334" i="2" a="1"/>
  <c r="X335" i="2" a="1"/>
  <c r="X336" i="2" a="1"/>
  <c r="X337" i="2" a="1"/>
  <c r="X338" i="2" a="1"/>
  <c r="X339" i="2" a="1"/>
  <c r="X340" i="2" a="1"/>
  <c r="X341" i="2" a="1"/>
  <c r="X342" i="2" a="1"/>
  <c r="X343" i="2" a="1"/>
  <c r="X344" i="2" a="1"/>
  <c r="X345" i="2" a="1"/>
  <c r="X346" i="2" a="1"/>
  <c r="X347" i="2" a="1"/>
  <c r="X348" i="2" a="1"/>
  <c r="X349" i="2" a="1"/>
  <c r="X350" i="2" a="1"/>
  <c r="X351" i="2" a="1"/>
  <c r="X352" i="2" a="1"/>
  <c r="X353" i="2" a="1"/>
  <c r="X354" i="2" a="1"/>
  <c r="X355" i="2" a="1"/>
  <c r="X356" i="2" a="1"/>
  <c r="X357" i="2" a="1"/>
  <c r="X358" i="2" a="1"/>
  <c r="X359" i="2" a="1"/>
  <c r="X360" i="2" a="1"/>
  <c r="X361" i="2" a="1"/>
  <c r="X362" i="2" a="1"/>
  <c r="X363" i="2" a="1"/>
  <c r="X364" i="2" a="1"/>
  <c r="X365" i="2" a="1"/>
  <c r="X366" i="2" a="1"/>
  <c r="X367" i="2" a="1"/>
  <c r="X368" i="2" a="1"/>
  <c r="X369" i="2" a="1"/>
  <c r="X370" i="2" a="1"/>
  <c r="X371" i="2" a="1"/>
  <c r="X372" i="2" a="1"/>
  <c r="X373" i="2" a="1"/>
  <c r="X374" i="2" a="1"/>
  <c r="X375" i="2" a="1"/>
  <c r="X376" i="2" a="1"/>
  <c r="X377" i="2" a="1"/>
  <c r="X378" i="2" a="1"/>
  <c r="X379" i="2" a="1"/>
  <c r="X380" i="2" a="1"/>
  <c r="X381" i="2" a="1"/>
  <c r="X382" i="2" a="1"/>
  <c r="X383" i="2" a="1"/>
  <c r="X384" i="2" a="1"/>
  <c r="X385" i="2" a="1"/>
  <c r="X386" i="2" a="1"/>
  <c r="X387" i="2" a="1"/>
  <c r="X388" i="2" a="1"/>
  <c r="X389" i="2" a="1"/>
  <c r="X390" i="2" a="1"/>
  <c r="X391" i="2" a="1"/>
  <c r="X392" i="2" a="1"/>
  <c r="X393" i="2" a="1"/>
  <c r="X394" i="2" a="1"/>
  <c r="X395" i="2" a="1"/>
  <c r="X396" i="2" a="1"/>
  <c r="X397" i="2" a="1"/>
  <c r="X398" i="2" a="1"/>
  <c r="X399" i="2" a="1"/>
  <c r="X400" i="2" a="1"/>
  <c r="X401" i="2" a="1"/>
  <c r="X402" i="2" a="1"/>
  <c r="X403" i="2" a="1"/>
  <c r="X404" i="2" a="1"/>
  <c r="X405" i="2" a="1"/>
  <c r="X406" i="2" a="1"/>
  <c r="X407" i="2" a="1"/>
  <c r="AE318" i="2"/>
  <c r="AE319" i="2"/>
  <c r="AE320" i="2"/>
  <c r="AE321" i="2"/>
  <c r="AE322" i="2"/>
  <c r="AE323" i="2"/>
  <c r="AE324" i="2"/>
  <c r="AE325" i="2"/>
  <c r="AE326" i="2"/>
  <c r="AE327" i="2"/>
  <c r="AE328" i="2"/>
  <c r="AE329" i="2"/>
  <c r="AE330" i="2"/>
  <c r="AE331" i="2"/>
  <c r="AE332" i="2"/>
  <c r="AE333" i="2"/>
  <c r="AE334" i="2"/>
  <c r="AE335" i="2"/>
  <c r="AE336" i="2"/>
  <c r="AE337" i="2"/>
  <c r="AE338" i="2"/>
  <c r="AE339" i="2"/>
  <c r="AE340" i="2"/>
  <c r="AE341" i="2"/>
  <c r="AE342" i="2"/>
  <c r="AE343" i="2"/>
  <c r="AE344" i="2"/>
  <c r="AE345" i="2"/>
  <c r="AE346" i="2"/>
  <c r="AE347" i="2"/>
  <c r="AE348" i="2"/>
  <c r="AE349" i="2"/>
  <c r="AE350" i="2"/>
  <c r="AE351" i="2"/>
  <c r="AE352" i="2"/>
  <c r="AE353" i="2"/>
  <c r="AE354" i="2"/>
  <c r="AE355" i="2"/>
  <c r="AE356" i="2"/>
  <c r="AE357" i="2"/>
  <c r="AE358" i="2"/>
  <c r="AE359" i="2"/>
  <c r="AE360" i="2"/>
  <c r="AE361" i="2"/>
  <c r="AE362" i="2"/>
  <c r="AE363" i="2"/>
  <c r="AE364" i="2"/>
  <c r="AE365" i="2"/>
  <c r="AE366" i="2"/>
  <c r="AE367" i="2"/>
  <c r="AE368" i="2"/>
  <c r="AE369" i="2"/>
  <c r="AE370" i="2"/>
  <c r="AE371" i="2"/>
  <c r="AE372" i="2"/>
  <c r="AE373" i="2"/>
  <c r="AE374" i="2"/>
  <c r="AE375" i="2"/>
  <c r="AE376" i="2"/>
  <c r="AE377" i="2"/>
  <c r="AE378" i="2"/>
  <c r="AE379" i="2"/>
  <c r="AE380" i="2"/>
  <c r="AE381" i="2"/>
  <c r="AE382" i="2"/>
  <c r="AE383" i="2"/>
  <c r="AE384" i="2"/>
  <c r="AE385" i="2"/>
  <c r="AE390" i="2"/>
  <c r="AE391" i="2"/>
  <c r="AE392" i="2"/>
  <c r="AE393" i="2"/>
  <c r="AE394" i="2"/>
  <c r="AE395" i="2"/>
  <c r="AE396" i="2"/>
  <c r="AE397" i="2"/>
  <c r="AE398" i="2"/>
  <c r="AE399" i="2"/>
  <c r="AE400" i="2"/>
  <c r="AE401" i="2"/>
  <c r="AE402" i="2"/>
  <c r="AE403" i="2"/>
  <c r="AE404" i="2"/>
  <c r="AE405" i="2"/>
  <c r="AE406" i="2"/>
  <c r="AE407" i="2"/>
  <c r="AF318" i="2"/>
  <c r="AF319" i="2"/>
  <c r="AF320" i="2"/>
  <c r="AF321" i="2"/>
  <c r="AF322" i="2"/>
  <c r="AF323" i="2"/>
  <c r="AF324" i="2"/>
  <c r="AF325" i="2"/>
  <c r="AF326" i="2"/>
  <c r="AF327" i="2"/>
  <c r="AF328" i="2"/>
  <c r="AF329" i="2"/>
  <c r="AF330" i="2"/>
  <c r="AF331" i="2"/>
  <c r="AF332" i="2"/>
  <c r="AF333" i="2"/>
  <c r="AF334" i="2"/>
  <c r="AF335" i="2"/>
  <c r="AF336" i="2"/>
  <c r="AF337" i="2"/>
  <c r="AF338" i="2"/>
  <c r="AF339" i="2"/>
  <c r="AF340" i="2"/>
  <c r="AF341" i="2"/>
  <c r="AF342" i="2"/>
  <c r="AF343" i="2"/>
  <c r="AF344" i="2"/>
  <c r="AF345" i="2"/>
  <c r="AF346" i="2"/>
  <c r="AF347" i="2"/>
  <c r="AF348" i="2"/>
  <c r="AF349" i="2"/>
  <c r="AF350" i="2"/>
  <c r="AF351" i="2"/>
  <c r="AF352" i="2"/>
  <c r="AF353" i="2"/>
  <c r="AF354" i="2"/>
  <c r="AF355" i="2"/>
  <c r="AF356" i="2"/>
  <c r="AF357" i="2"/>
  <c r="AF358" i="2"/>
  <c r="AF359" i="2"/>
  <c r="AF360" i="2"/>
  <c r="AF361" i="2"/>
  <c r="AF362" i="2"/>
  <c r="AF363" i="2"/>
  <c r="AF364" i="2"/>
  <c r="AF365" i="2"/>
  <c r="AF366" i="2"/>
  <c r="AF367" i="2"/>
  <c r="AF368" i="2"/>
  <c r="AF369" i="2"/>
  <c r="AF370" i="2"/>
  <c r="AF371" i="2"/>
  <c r="AF372" i="2"/>
  <c r="AF373" i="2"/>
  <c r="AF374" i="2"/>
  <c r="AF375" i="2"/>
  <c r="AF376" i="2"/>
  <c r="AF377" i="2"/>
  <c r="AF378" i="2"/>
  <c r="AF379" i="2"/>
  <c r="AF380" i="2"/>
  <c r="AF381" i="2"/>
  <c r="AF382" i="2"/>
  <c r="AF383" i="2"/>
  <c r="AF384" i="2"/>
  <c r="AF385" i="2"/>
  <c r="AF386" i="2"/>
  <c r="AF387" i="2"/>
  <c r="AF388" i="2"/>
  <c r="AF389" i="2"/>
  <c r="AF390" i="2"/>
  <c r="AF391" i="2"/>
  <c r="AF392" i="2"/>
  <c r="AF393" i="2"/>
  <c r="AF394" i="2"/>
  <c r="AF395" i="2"/>
  <c r="AF396" i="2"/>
  <c r="AF397" i="2"/>
  <c r="AF398" i="2"/>
  <c r="AF399" i="2"/>
  <c r="AF400" i="2"/>
  <c r="AF401" i="2"/>
  <c r="AF402" i="2"/>
  <c r="AF403" i="2"/>
  <c r="AF404" i="2"/>
  <c r="AF405" i="2"/>
  <c r="AF406" i="2"/>
  <c r="AF407" i="2"/>
  <c r="AG318" i="2"/>
  <c r="AG319" i="2"/>
  <c r="AG320" i="2"/>
  <c r="AG321" i="2"/>
  <c r="AG322" i="2"/>
  <c r="AG323" i="2"/>
  <c r="AG324" i="2"/>
  <c r="AG325" i="2"/>
  <c r="AG326" i="2"/>
  <c r="AG327" i="2"/>
  <c r="AG328" i="2"/>
  <c r="AG329" i="2"/>
  <c r="AG330" i="2"/>
  <c r="AG331" i="2"/>
  <c r="AG332" i="2"/>
  <c r="AG333" i="2"/>
  <c r="AG334" i="2"/>
  <c r="AG335" i="2"/>
  <c r="AG336" i="2"/>
  <c r="AG337" i="2"/>
  <c r="AG338" i="2"/>
  <c r="AG339" i="2"/>
  <c r="AG340" i="2"/>
  <c r="AG341" i="2"/>
  <c r="AG342" i="2"/>
  <c r="AG343" i="2"/>
  <c r="AG344" i="2"/>
  <c r="AG345" i="2"/>
  <c r="AG346" i="2"/>
  <c r="AG347" i="2"/>
  <c r="AG348" i="2"/>
  <c r="AG349" i="2"/>
  <c r="AG350" i="2"/>
  <c r="AG351" i="2"/>
  <c r="AG352" i="2"/>
  <c r="AG353" i="2"/>
  <c r="AG354" i="2"/>
  <c r="AG355" i="2"/>
  <c r="AG356" i="2"/>
  <c r="AG357" i="2"/>
  <c r="AG358" i="2"/>
  <c r="AG359" i="2"/>
  <c r="AG360" i="2"/>
  <c r="AG361" i="2"/>
  <c r="AG362" i="2"/>
  <c r="AG363" i="2"/>
  <c r="AG364" i="2"/>
  <c r="AG365" i="2"/>
  <c r="AG366" i="2"/>
  <c r="AG367" i="2"/>
  <c r="AG368" i="2"/>
  <c r="AG369" i="2"/>
  <c r="AG370" i="2"/>
  <c r="AG371" i="2"/>
  <c r="AG372" i="2"/>
  <c r="AG373" i="2"/>
  <c r="AG374" i="2"/>
  <c r="AG375" i="2"/>
  <c r="AG376" i="2"/>
  <c r="AG377" i="2"/>
  <c r="AG378" i="2"/>
  <c r="AG379" i="2"/>
  <c r="AG380" i="2"/>
  <c r="AG381" i="2"/>
  <c r="AG382" i="2"/>
  <c r="AG383" i="2"/>
  <c r="AG384" i="2"/>
  <c r="AG385" i="2"/>
  <c r="AG386" i="2"/>
  <c r="AG387" i="2"/>
  <c r="AG388" i="2"/>
  <c r="AG389" i="2"/>
  <c r="AG390" i="2"/>
  <c r="AG391" i="2"/>
  <c r="AG392" i="2"/>
  <c r="AG393" i="2"/>
  <c r="AG394" i="2"/>
  <c r="AG395" i="2"/>
  <c r="AG396" i="2"/>
  <c r="AG397" i="2"/>
  <c r="AG398" i="2"/>
  <c r="AG399" i="2"/>
  <c r="AG400" i="2"/>
  <c r="AG401" i="2"/>
  <c r="AG402" i="2"/>
  <c r="AG403" i="2"/>
  <c r="AG404" i="2"/>
  <c r="AG405" i="2"/>
  <c r="AG406" i="2"/>
  <c r="AG407" i="2"/>
  <c r="AH318" i="2"/>
  <c r="AH319" i="2"/>
  <c r="AH320" i="2"/>
  <c r="AH321" i="2"/>
  <c r="AH322" i="2"/>
  <c r="AH323" i="2"/>
  <c r="AH324" i="2"/>
  <c r="AH325" i="2"/>
  <c r="AH326" i="2"/>
  <c r="AH327" i="2"/>
  <c r="AH328" i="2"/>
  <c r="AH329" i="2"/>
  <c r="AH330" i="2"/>
  <c r="AH331" i="2"/>
  <c r="AH332" i="2"/>
  <c r="AH333" i="2"/>
  <c r="AH334" i="2"/>
  <c r="AH335" i="2"/>
  <c r="AH336" i="2"/>
  <c r="AH337" i="2"/>
  <c r="AH338" i="2"/>
  <c r="AH339" i="2"/>
  <c r="AH340" i="2"/>
  <c r="AH341" i="2"/>
  <c r="AH342" i="2"/>
  <c r="AH343" i="2"/>
  <c r="AH344" i="2"/>
  <c r="AH345" i="2"/>
  <c r="AH346" i="2"/>
  <c r="AH347" i="2"/>
  <c r="AH348" i="2"/>
  <c r="AH349" i="2"/>
  <c r="AH350" i="2"/>
  <c r="AH351" i="2"/>
  <c r="AH352" i="2"/>
  <c r="AH353" i="2"/>
  <c r="AH354" i="2"/>
  <c r="AH355" i="2"/>
  <c r="AH356" i="2"/>
  <c r="AH357" i="2"/>
  <c r="AH358" i="2"/>
  <c r="AH359" i="2"/>
  <c r="AH360" i="2"/>
  <c r="AH361" i="2"/>
  <c r="AH362" i="2"/>
  <c r="AH363" i="2"/>
  <c r="AH364" i="2"/>
  <c r="AH365" i="2"/>
  <c r="AH366" i="2"/>
  <c r="AH367" i="2"/>
  <c r="AH368" i="2"/>
  <c r="AH369" i="2"/>
  <c r="AH370" i="2"/>
  <c r="AH371" i="2"/>
  <c r="AH372" i="2"/>
  <c r="AH373" i="2"/>
  <c r="AH374" i="2"/>
  <c r="AH375" i="2"/>
  <c r="AH376" i="2"/>
  <c r="AH377" i="2"/>
  <c r="AH378" i="2"/>
  <c r="AH379" i="2"/>
  <c r="AH380" i="2"/>
  <c r="AH381" i="2"/>
  <c r="AH382" i="2"/>
  <c r="AH383" i="2"/>
  <c r="AH384" i="2"/>
  <c r="AH385" i="2"/>
  <c r="AH386" i="2"/>
  <c r="AH387" i="2"/>
  <c r="AH388" i="2"/>
  <c r="AH389" i="2"/>
  <c r="AH390" i="2"/>
  <c r="AH391" i="2"/>
  <c r="AH392" i="2"/>
  <c r="AH393" i="2"/>
  <c r="AH394" i="2"/>
  <c r="AH395" i="2"/>
  <c r="AH396" i="2"/>
  <c r="AH397" i="2"/>
  <c r="AH398" i="2"/>
  <c r="AH399" i="2"/>
  <c r="AH400" i="2"/>
  <c r="AH401" i="2"/>
  <c r="AH402" i="2"/>
  <c r="AH403" i="2"/>
  <c r="AH404" i="2"/>
  <c r="AH405" i="2"/>
  <c r="AH406" i="2"/>
  <c r="AH407" i="2"/>
  <c r="AI318" i="2"/>
  <c r="AI319" i="2"/>
  <c r="AI320" i="2"/>
  <c r="AI321" i="2"/>
  <c r="AI322" i="2"/>
  <c r="AI323" i="2"/>
  <c r="AI324" i="2"/>
  <c r="AI325" i="2"/>
  <c r="AI326" i="2"/>
  <c r="AI327" i="2"/>
  <c r="AI328" i="2"/>
  <c r="AI329" i="2"/>
  <c r="AI330" i="2"/>
  <c r="AI331" i="2"/>
  <c r="AI332" i="2"/>
  <c r="AI333" i="2"/>
  <c r="AI334" i="2"/>
  <c r="AI335" i="2"/>
  <c r="AI336" i="2"/>
  <c r="AI337" i="2"/>
  <c r="AI338" i="2"/>
  <c r="AI339" i="2"/>
  <c r="AI340" i="2"/>
  <c r="AI341" i="2"/>
  <c r="AI342" i="2"/>
  <c r="AI343" i="2"/>
  <c r="AI344" i="2"/>
  <c r="AI345" i="2"/>
  <c r="AI346" i="2"/>
  <c r="AI347" i="2"/>
  <c r="AI348" i="2"/>
  <c r="AI349" i="2"/>
  <c r="AI350" i="2"/>
  <c r="AI351" i="2"/>
  <c r="AI352" i="2"/>
  <c r="AI353" i="2"/>
  <c r="AI354" i="2"/>
  <c r="AI355" i="2"/>
  <c r="AI356" i="2"/>
  <c r="AI357" i="2"/>
  <c r="AI358" i="2"/>
  <c r="AI359" i="2"/>
  <c r="AI360" i="2"/>
  <c r="AI361" i="2"/>
  <c r="AI362" i="2"/>
  <c r="AI363" i="2"/>
  <c r="AI364" i="2"/>
  <c r="AI365" i="2"/>
  <c r="AI366" i="2"/>
  <c r="AI367" i="2"/>
  <c r="AI368" i="2"/>
  <c r="AI369" i="2"/>
  <c r="AI370" i="2"/>
  <c r="AI371" i="2"/>
  <c r="AI372" i="2"/>
  <c r="AI373" i="2"/>
  <c r="AI374" i="2"/>
  <c r="AI375" i="2"/>
  <c r="AI376" i="2"/>
  <c r="AI377" i="2"/>
  <c r="AI378" i="2"/>
  <c r="AI379" i="2"/>
  <c r="AI380" i="2"/>
  <c r="AI381" i="2"/>
  <c r="AI382" i="2"/>
  <c r="AI383" i="2"/>
  <c r="AI384" i="2"/>
  <c r="AI385" i="2"/>
  <c r="AI386" i="2"/>
  <c r="AI387" i="2"/>
  <c r="AI388" i="2"/>
  <c r="AI389" i="2"/>
  <c r="AI390" i="2"/>
  <c r="AI391" i="2"/>
  <c r="AI392" i="2"/>
  <c r="AI393" i="2"/>
  <c r="AI394" i="2"/>
  <c r="AI395" i="2"/>
  <c r="AI396" i="2"/>
  <c r="AI397" i="2"/>
  <c r="AI398" i="2"/>
  <c r="AI399" i="2"/>
  <c r="AI400" i="2"/>
  <c r="AI401" i="2"/>
  <c r="AI402" i="2"/>
  <c r="AI403" i="2"/>
  <c r="AI404" i="2"/>
  <c r="AI405" i="2"/>
  <c r="AI406" i="2"/>
  <c r="AI407" i="2"/>
  <c r="AJ318" i="2"/>
  <c r="AJ319" i="2"/>
  <c r="AJ320" i="2"/>
  <c r="AJ321" i="2"/>
  <c r="AJ322" i="2"/>
  <c r="AJ323" i="2"/>
  <c r="AJ324" i="2"/>
  <c r="AJ325" i="2"/>
  <c r="AJ326" i="2"/>
  <c r="AJ327" i="2"/>
  <c r="AJ328" i="2"/>
  <c r="AJ329" i="2"/>
  <c r="AJ330" i="2"/>
  <c r="AJ331" i="2"/>
  <c r="AJ332" i="2"/>
  <c r="AJ333" i="2"/>
  <c r="AJ334" i="2"/>
  <c r="AJ335" i="2"/>
  <c r="AJ336" i="2"/>
  <c r="AJ337" i="2"/>
  <c r="AJ338" i="2"/>
  <c r="AJ339" i="2"/>
  <c r="AJ340" i="2"/>
  <c r="AJ341" i="2"/>
  <c r="AJ342" i="2"/>
  <c r="AJ343" i="2"/>
  <c r="AJ344" i="2"/>
  <c r="AJ345" i="2"/>
  <c r="AJ346" i="2"/>
  <c r="AJ347" i="2"/>
  <c r="AJ348" i="2"/>
  <c r="AJ349" i="2"/>
  <c r="AJ350" i="2"/>
  <c r="AJ351" i="2"/>
  <c r="AJ352" i="2"/>
  <c r="AJ353" i="2"/>
  <c r="AJ354" i="2"/>
  <c r="AJ355" i="2"/>
  <c r="AJ356" i="2"/>
  <c r="AJ357" i="2"/>
  <c r="AJ358" i="2"/>
  <c r="AJ359" i="2"/>
  <c r="AJ360" i="2"/>
  <c r="AJ361" i="2"/>
  <c r="AJ362" i="2"/>
  <c r="AJ363" i="2"/>
  <c r="AJ364" i="2"/>
  <c r="AJ365" i="2"/>
  <c r="AJ366" i="2"/>
  <c r="AJ367" i="2"/>
  <c r="AJ368" i="2"/>
  <c r="AJ369" i="2"/>
  <c r="AJ370" i="2"/>
  <c r="AJ371" i="2"/>
  <c r="AJ372" i="2"/>
  <c r="AJ373" i="2"/>
  <c r="AJ374" i="2"/>
  <c r="AJ375" i="2"/>
  <c r="AJ376" i="2"/>
  <c r="AJ377" i="2"/>
  <c r="AJ378" i="2"/>
  <c r="AJ379" i="2"/>
  <c r="AJ380" i="2"/>
  <c r="AJ381" i="2"/>
  <c r="AJ382" i="2"/>
  <c r="AJ383" i="2"/>
  <c r="AJ384" i="2"/>
  <c r="AJ385" i="2"/>
  <c r="AJ386" i="2"/>
  <c r="AJ387" i="2"/>
  <c r="AJ388" i="2"/>
  <c r="AJ389" i="2"/>
  <c r="AJ390" i="2"/>
  <c r="AJ391" i="2"/>
  <c r="AJ392" i="2"/>
  <c r="AJ393" i="2"/>
  <c r="AJ394" i="2"/>
  <c r="AJ395" i="2"/>
  <c r="AJ396" i="2"/>
  <c r="AJ397" i="2"/>
  <c r="AJ398" i="2"/>
  <c r="AJ399" i="2"/>
  <c r="AJ400" i="2"/>
  <c r="AJ401" i="2"/>
  <c r="AJ402" i="2"/>
  <c r="AJ403" i="2"/>
  <c r="AJ404" i="2"/>
  <c r="AJ405" i="2"/>
  <c r="AJ406" i="2"/>
  <c r="AJ407" i="2"/>
  <c r="AK318" i="2"/>
  <c r="AK319" i="2"/>
  <c r="AK320" i="2"/>
  <c r="AK321" i="2"/>
  <c r="AK322" i="2"/>
  <c r="AK323" i="2"/>
  <c r="AK324" i="2"/>
  <c r="AK325" i="2"/>
  <c r="AK326" i="2"/>
  <c r="AK327" i="2"/>
  <c r="AK328" i="2"/>
  <c r="AK329" i="2"/>
  <c r="AK330" i="2"/>
  <c r="AK331" i="2"/>
  <c r="AK332" i="2"/>
  <c r="AK333" i="2"/>
  <c r="AK334" i="2"/>
  <c r="AK335" i="2"/>
  <c r="AK336" i="2"/>
  <c r="AK337" i="2"/>
  <c r="AK338" i="2"/>
  <c r="AK339" i="2"/>
  <c r="AK340" i="2"/>
  <c r="AK341" i="2"/>
  <c r="AK342" i="2"/>
  <c r="AK343" i="2"/>
  <c r="AK344" i="2"/>
  <c r="AK345" i="2"/>
  <c r="AK346" i="2"/>
  <c r="AK347" i="2"/>
  <c r="AK348" i="2"/>
  <c r="AK349" i="2"/>
  <c r="AK350" i="2"/>
  <c r="AK351" i="2"/>
  <c r="AK352" i="2"/>
  <c r="AK353" i="2"/>
  <c r="AK354" i="2"/>
  <c r="AK355" i="2"/>
  <c r="AK356" i="2"/>
  <c r="AK357" i="2"/>
  <c r="AK358" i="2"/>
  <c r="AK359" i="2"/>
  <c r="AK360" i="2"/>
  <c r="AK361" i="2"/>
  <c r="AK362" i="2"/>
  <c r="AK363" i="2"/>
  <c r="AK364" i="2"/>
  <c r="AK365" i="2"/>
  <c r="AK366" i="2"/>
  <c r="AK367" i="2"/>
  <c r="AK368" i="2"/>
  <c r="AK369" i="2"/>
  <c r="AK370" i="2"/>
  <c r="AK371" i="2"/>
  <c r="AK372" i="2"/>
  <c r="AK373" i="2"/>
  <c r="AK374" i="2"/>
  <c r="AK375" i="2"/>
  <c r="AK376" i="2"/>
  <c r="AK377" i="2"/>
  <c r="AK378" i="2"/>
  <c r="AK379" i="2"/>
  <c r="AK380" i="2"/>
  <c r="AK381" i="2"/>
  <c r="AK382" i="2"/>
  <c r="AK383" i="2"/>
  <c r="AK384" i="2"/>
  <c r="AK385" i="2"/>
  <c r="AK386" i="2"/>
  <c r="AK387" i="2"/>
  <c r="AK388" i="2"/>
  <c r="AK389" i="2"/>
  <c r="AK390" i="2"/>
  <c r="AK391" i="2"/>
  <c r="AK392" i="2"/>
  <c r="AK393" i="2"/>
  <c r="AK394" i="2"/>
  <c r="AK395" i="2"/>
  <c r="AK396" i="2"/>
  <c r="AK397" i="2"/>
  <c r="AK398" i="2"/>
  <c r="AK399" i="2"/>
  <c r="AK400" i="2"/>
  <c r="AK401" i="2"/>
  <c r="AK402" i="2"/>
  <c r="AK403" i="2"/>
  <c r="AK404" i="2"/>
  <c r="AK405" i="2"/>
  <c r="AK406" i="2"/>
  <c r="AK407" i="2"/>
  <c r="AL318" i="2"/>
  <c r="AL319" i="2"/>
  <c r="AL320" i="2"/>
  <c r="AL321" i="2"/>
  <c r="AL322" i="2"/>
  <c r="AL323" i="2"/>
  <c r="AL324" i="2"/>
  <c r="AL325" i="2"/>
  <c r="AL326" i="2"/>
  <c r="AL327" i="2"/>
  <c r="AL328" i="2"/>
  <c r="AL329" i="2"/>
  <c r="AL330" i="2"/>
  <c r="AL331" i="2"/>
  <c r="AL332" i="2"/>
  <c r="AL333" i="2"/>
  <c r="AL334" i="2"/>
  <c r="AL335" i="2"/>
  <c r="AL336" i="2"/>
  <c r="AL337" i="2"/>
  <c r="AL338" i="2"/>
  <c r="AL339" i="2"/>
  <c r="AL340" i="2"/>
  <c r="AL341" i="2"/>
  <c r="AL342" i="2"/>
  <c r="AL343" i="2"/>
  <c r="AL344" i="2"/>
  <c r="AL345" i="2"/>
  <c r="AL346" i="2"/>
  <c r="AL347" i="2"/>
  <c r="AL348" i="2"/>
  <c r="AL349" i="2"/>
  <c r="AL350" i="2"/>
  <c r="AL351" i="2"/>
  <c r="AL352" i="2"/>
  <c r="AL353" i="2"/>
  <c r="AL354" i="2"/>
  <c r="AL355" i="2"/>
  <c r="AL356" i="2"/>
  <c r="AL357" i="2"/>
  <c r="AL358" i="2"/>
  <c r="AL359" i="2"/>
  <c r="AL360" i="2"/>
  <c r="AL361" i="2"/>
  <c r="AL362" i="2"/>
  <c r="AL363" i="2"/>
  <c r="AL364" i="2"/>
  <c r="AL365" i="2"/>
  <c r="AL366" i="2"/>
  <c r="AL367" i="2"/>
  <c r="AL368" i="2"/>
  <c r="AL369" i="2"/>
  <c r="AL370" i="2"/>
  <c r="AL371" i="2"/>
  <c r="AL372" i="2"/>
  <c r="AL373" i="2"/>
  <c r="AL374" i="2"/>
  <c r="AL375" i="2"/>
  <c r="AL376" i="2"/>
  <c r="AL377" i="2"/>
  <c r="AL378" i="2"/>
  <c r="AL379" i="2"/>
  <c r="AL380" i="2"/>
  <c r="AL381" i="2"/>
  <c r="AL382" i="2"/>
  <c r="AL383" i="2"/>
  <c r="AL384" i="2"/>
  <c r="AL385" i="2"/>
  <c r="AL386" i="2"/>
  <c r="AL387" i="2"/>
  <c r="AL388" i="2"/>
  <c r="AL389" i="2"/>
  <c r="AL390" i="2"/>
  <c r="AL391" i="2"/>
  <c r="AL392" i="2"/>
  <c r="AL393" i="2"/>
  <c r="AL394" i="2"/>
  <c r="AL395" i="2"/>
  <c r="AL396" i="2"/>
  <c r="AL397" i="2"/>
  <c r="AL398" i="2"/>
  <c r="AL399" i="2"/>
  <c r="AL400" i="2"/>
  <c r="AL401" i="2"/>
  <c r="AL402" i="2"/>
  <c r="AL403" i="2"/>
  <c r="AL404" i="2"/>
  <c r="AL405" i="2"/>
  <c r="AL406" i="2"/>
  <c r="AL407" i="2"/>
  <c r="E30" i="3"/>
  <c r="D30" i="3"/>
  <c r="C30" i="3"/>
  <c r="B30" i="3"/>
  <c r="E27" i="3"/>
  <c r="D27" i="3"/>
  <c r="C27" i="3"/>
  <c r="B27" i="3"/>
  <c r="E35" i="3"/>
  <c r="D35" i="3"/>
  <c r="C35" i="3"/>
  <c r="B35" i="3"/>
  <c r="E36" i="3"/>
  <c r="D36" i="3"/>
  <c r="C36" i="3"/>
  <c r="B36" i="3"/>
  <c r="C232" i="2"/>
  <c r="Y232" i="2" s="1"/>
  <c r="C233" i="2"/>
  <c r="Y233" i="2" s="1"/>
  <c r="C234" i="2"/>
  <c r="Y234" i="2" s="1"/>
  <c r="C235" i="2"/>
  <c r="Y235" i="2" s="1"/>
  <c r="C236" i="2"/>
  <c r="Y236" i="2" s="1"/>
  <c r="C237" i="2"/>
  <c r="Y237" i="2" s="1"/>
  <c r="C238" i="2"/>
  <c r="Y238" i="2" s="1"/>
  <c r="C239" i="2"/>
  <c r="Y239" i="2" s="1"/>
  <c r="C240" i="2"/>
  <c r="Y240" i="2" s="1"/>
  <c r="C241" i="2"/>
  <c r="Y241" i="2" s="1"/>
  <c r="C242" i="2"/>
  <c r="Y242" i="2" s="1"/>
  <c r="C243" i="2"/>
  <c r="Y243" i="2" s="1"/>
  <c r="C244" i="2"/>
  <c r="Y244" i="2" s="1"/>
  <c r="C245" i="2"/>
  <c r="Y245" i="2" s="1"/>
  <c r="C246" i="2"/>
  <c r="Y246" i="2" s="1"/>
  <c r="C247" i="2"/>
  <c r="Y247" i="2" s="1"/>
  <c r="C248" i="2"/>
  <c r="Y248" i="2" s="1"/>
  <c r="C249" i="2"/>
  <c r="Y249" i="2" s="1"/>
  <c r="C250" i="2"/>
  <c r="Y250" i="2" s="1"/>
  <c r="C251" i="2"/>
  <c r="Y251" i="2" s="1"/>
  <c r="C252" i="2"/>
  <c r="Y252" i="2" s="1"/>
  <c r="C253" i="2"/>
  <c r="Y253" i="2" s="1"/>
  <c r="C254" i="2"/>
  <c r="Y254" i="2" s="1"/>
  <c r="C255" i="2"/>
  <c r="Y255" i="2" s="1"/>
  <c r="C256" i="2"/>
  <c r="Y256" i="2" s="1"/>
  <c r="C257" i="2"/>
  <c r="Y257" i="2" s="1"/>
  <c r="C258" i="2"/>
  <c r="Y258" i="2" s="1"/>
  <c r="C259" i="2"/>
  <c r="Y259" i="2" s="1"/>
  <c r="C260" i="2"/>
  <c r="Y260" i="2" s="1"/>
  <c r="C261" i="2"/>
  <c r="Y261" i="2" s="1"/>
  <c r="C262" i="2"/>
  <c r="Y262" i="2" s="1"/>
  <c r="C263" i="2"/>
  <c r="Y263" i="2" s="1"/>
  <c r="C264" i="2"/>
  <c r="Y264" i="2" s="1"/>
  <c r="C265" i="2"/>
  <c r="Y265" i="2" s="1"/>
  <c r="C266" i="2"/>
  <c r="Y266" i="2" s="1"/>
  <c r="C267" i="2"/>
  <c r="Y267" i="2" s="1"/>
  <c r="C268" i="2"/>
  <c r="Y268" i="2" s="1"/>
  <c r="C269" i="2"/>
  <c r="Y269" i="2" s="1"/>
  <c r="C270" i="2"/>
  <c r="Y270" i="2" s="1"/>
  <c r="C271" i="2"/>
  <c r="Y271" i="2" s="1"/>
  <c r="C272" i="2"/>
  <c r="Y272" i="2" s="1"/>
  <c r="C273" i="2"/>
  <c r="Y273" i="2" s="1"/>
  <c r="C274" i="2"/>
  <c r="Y274" i="2" s="1"/>
  <c r="C275" i="2"/>
  <c r="Y275" i="2" s="1"/>
  <c r="C276" i="2"/>
  <c r="Y276" i="2" s="1"/>
  <c r="C277" i="2"/>
  <c r="Y277" i="2" s="1"/>
  <c r="C278" i="2"/>
  <c r="Y278" i="2" s="1"/>
  <c r="C279" i="2"/>
  <c r="Y279" i="2" s="1"/>
  <c r="C280" i="2"/>
  <c r="Y280" i="2" s="1"/>
  <c r="C281" i="2"/>
  <c r="Y281" i="2" s="1"/>
  <c r="C282" i="2"/>
  <c r="Y282" i="2" s="1"/>
  <c r="C283" i="2"/>
  <c r="Y283" i="2" s="1"/>
  <c r="C284" i="2"/>
  <c r="Y284" i="2" s="1"/>
  <c r="C285" i="2"/>
  <c r="Y285" i="2" s="1"/>
  <c r="C286" i="2"/>
  <c r="Y286" i="2" s="1"/>
  <c r="C287" i="2"/>
  <c r="Y287" i="2" s="1"/>
  <c r="C288" i="2"/>
  <c r="Y288" i="2" s="1"/>
  <c r="C289" i="2"/>
  <c r="Y289" i="2" s="1"/>
  <c r="C290" i="2"/>
  <c r="Y290" i="2" s="1"/>
  <c r="C291" i="2"/>
  <c r="Y291" i="2" s="1"/>
  <c r="C292" i="2"/>
  <c r="Y292" i="2" s="1"/>
  <c r="C293" i="2"/>
  <c r="Y293" i="2" s="1"/>
  <c r="C294" i="2"/>
  <c r="Y294" i="2" s="1"/>
  <c r="C295" i="2"/>
  <c r="Y295" i="2" s="1"/>
  <c r="C296" i="2"/>
  <c r="Y296" i="2" s="1"/>
  <c r="C297" i="2"/>
  <c r="Y297" i="2" s="1"/>
  <c r="C298" i="2"/>
  <c r="Y298" i="2" s="1"/>
  <c r="C299" i="2"/>
  <c r="Y299" i="2" s="1"/>
  <c r="C300" i="2"/>
  <c r="Y300" i="2" s="1"/>
  <c r="C301" i="2"/>
  <c r="Y301" i="2" s="1"/>
  <c r="C302" i="2"/>
  <c r="Y302" i="2" s="1"/>
  <c r="C303" i="2"/>
  <c r="Y303" i="2" s="1"/>
  <c r="C304" i="2"/>
  <c r="Y304" i="2" s="1"/>
  <c r="C305" i="2"/>
  <c r="Y305" i="2" s="1"/>
  <c r="C306" i="2"/>
  <c r="Y306" i="2" s="1"/>
  <c r="C307" i="2"/>
  <c r="Y307" i="2" s="1"/>
  <c r="C308" i="2"/>
  <c r="Y308" i="2" s="1"/>
  <c r="C309" i="2"/>
  <c r="Y309" i="2" s="1"/>
  <c r="C310" i="2"/>
  <c r="Y310" i="2" s="1"/>
  <c r="C311" i="2"/>
  <c r="Y311" i="2" s="1"/>
  <c r="C312" i="2"/>
  <c r="Y312" i="2" s="1"/>
  <c r="C313" i="2"/>
  <c r="Y313" i="2" s="1"/>
  <c r="C314" i="2"/>
  <c r="Y314" i="2" s="1"/>
  <c r="C315" i="2"/>
  <c r="Y315" i="2" s="1"/>
  <c r="C316" i="2"/>
  <c r="Y316" i="2" s="1"/>
  <c r="C317" i="2"/>
  <c r="Y317" i="2" s="1"/>
  <c r="I232" i="2" a="1"/>
  <c r="I233" i="2" a="1"/>
  <c r="I234" i="2" a="1"/>
  <c r="I235" i="2" a="1"/>
  <c r="I236" i="2" a="1"/>
  <c r="I237" i="2" a="1"/>
  <c r="I238" i="2" a="1"/>
  <c r="I239" i="2" a="1"/>
  <c r="I240" i="2" a="1"/>
  <c r="I241" i="2" a="1"/>
  <c r="I242" i="2" a="1"/>
  <c r="I243" i="2" a="1"/>
  <c r="I244" i="2" a="1"/>
  <c r="I245" i="2" a="1"/>
  <c r="I246" i="2" a="1"/>
  <c r="I247" i="2" a="1"/>
  <c r="I248" i="2" a="1"/>
  <c r="I249" i="2" a="1"/>
  <c r="I250" i="2" a="1"/>
  <c r="I251" i="2" a="1"/>
  <c r="I252" i="2" a="1"/>
  <c r="I253" i="2" a="1"/>
  <c r="I254" i="2" a="1"/>
  <c r="I255" i="2" a="1"/>
  <c r="I256" i="2" a="1"/>
  <c r="I257" i="2" a="1"/>
  <c r="I258" i="2" a="1"/>
  <c r="I259" i="2" a="1"/>
  <c r="I260" i="2" a="1"/>
  <c r="I261" i="2" a="1"/>
  <c r="I262" i="2" a="1"/>
  <c r="I263" i="2" a="1"/>
  <c r="I264" i="2" a="1"/>
  <c r="I265" i="2" a="1"/>
  <c r="I266" i="2" a="1"/>
  <c r="I267" i="2" a="1"/>
  <c r="I268" i="2" a="1"/>
  <c r="I269" i="2" a="1"/>
  <c r="I270" i="2" a="1"/>
  <c r="I271" i="2" a="1"/>
  <c r="I272" i="2" a="1"/>
  <c r="I273" i="2" a="1"/>
  <c r="I274" i="2" a="1"/>
  <c r="I275" i="2" a="1"/>
  <c r="I276" i="2" a="1"/>
  <c r="I277" i="2" a="1"/>
  <c r="I278" i="2" a="1"/>
  <c r="I279" i="2" a="1"/>
  <c r="I280" i="2" a="1"/>
  <c r="I281" i="2" a="1"/>
  <c r="I282" i="2" a="1"/>
  <c r="I283" i="2" a="1"/>
  <c r="I284" i="2" a="1"/>
  <c r="I285" i="2" a="1"/>
  <c r="I286" i="2" a="1"/>
  <c r="I287" i="2" a="1"/>
  <c r="I288" i="2" a="1"/>
  <c r="I289" i="2" a="1"/>
  <c r="I290" i="2" a="1"/>
  <c r="I291" i="2" a="1"/>
  <c r="I292" i="2" a="1"/>
  <c r="I293" i="2" a="1"/>
  <c r="I294" i="2" a="1"/>
  <c r="I295" i="2" a="1"/>
  <c r="I296" i="2" a="1"/>
  <c r="I297" i="2" a="1"/>
  <c r="I298" i="2" a="1"/>
  <c r="I299" i="2" a="1"/>
  <c r="I300" i="2" a="1"/>
  <c r="I301" i="2" a="1"/>
  <c r="I302" i="2" a="1"/>
  <c r="I303" i="2" a="1"/>
  <c r="I304" i="2" a="1"/>
  <c r="I305" i="2" a="1"/>
  <c r="I306" i="2" a="1"/>
  <c r="I307" i="2" a="1"/>
  <c r="I308" i="2" a="1"/>
  <c r="I309" i="2" a="1"/>
  <c r="I310" i="2" a="1"/>
  <c r="I311" i="2" a="1"/>
  <c r="I312" i="2" a="1"/>
  <c r="I313" i="2" a="1"/>
  <c r="I314" i="2" a="1"/>
  <c r="I315" i="2" a="1"/>
  <c r="I316" i="2" a="1"/>
  <c r="I317" i="2" a="1"/>
  <c r="J232" i="2" a="1"/>
  <c r="J233" i="2" a="1"/>
  <c r="J234" i="2" a="1"/>
  <c r="J235" i="2" a="1"/>
  <c r="J236" i="2" a="1"/>
  <c r="J237" i="2" a="1"/>
  <c r="J238" i="2" a="1"/>
  <c r="J239" i="2" a="1"/>
  <c r="J240" i="2" a="1"/>
  <c r="J241" i="2" a="1"/>
  <c r="J242" i="2" a="1"/>
  <c r="J243" i="2" a="1"/>
  <c r="J244" i="2" a="1"/>
  <c r="J245" i="2" a="1"/>
  <c r="J246" i="2" a="1"/>
  <c r="J247" i="2" a="1"/>
  <c r="J248" i="2" a="1"/>
  <c r="L248" i="2" s="1"/>
  <c r="N248" i="2" s="1"/>
  <c r="J249" i="2" a="1"/>
  <c r="L249" i="2" s="1"/>
  <c r="N249" i="2" s="1"/>
  <c r="J250" i="2" a="1"/>
  <c r="J251" i="2" a="1"/>
  <c r="L251" i="2" s="1"/>
  <c r="N251" i="2" s="1"/>
  <c r="J252" i="2" a="1"/>
  <c r="J253" i="2" a="1"/>
  <c r="J254" i="2" a="1"/>
  <c r="J255" i="2" a="1"/>
  <c r="J256" i="2" a="1"/>
  <c r="J257" i="2" a="1"/>
  <c r="J258" i="2" a="1"/>
  <c r="J259" i="2" a="1"/>
  <c r="J260" i="2" a="1"/>
  <c r="J261" i="2" a="1"/>
  <c r="J262" i="2" a="1"/>
  <c r="J263" i="2" a="1"/>
  <c r="J264" i="2" a="1"/>
  <c r="J265" i="2" a="1"/>
  <c r="J266" i="2" a="1"/>
  <c r="J267" i="2" a="1"/>
  <c r="J268" i="2" a="1"/>
  <c r="J269" i="2" a="1"/>
  <c r="J270" i="2" a="1"/>
  <c r="J271" i="2" a="1"/>
  <c r="J272" i="2" a="1"/>
  <c r="J273" i="2" a="1"/>
  <c r="J274" i="2" a="1"/>
  <c r="J275" i="2" a="1"/>
  <c r="J276" i="2" a="1"/>
  <c r="J277" i="2" a="1"/>
  <c r="J278" i="2" a="1"/>
  <c r="J279" i="2" a="1"/>
  <c r="J280" i="2" a="1"/>
  <c r="J281" i="2" a="1"/>
  <c r="J282" i="2" a="1"/>
  <c r="J283" i="2" a="1"/>
  <c r="J284" i="2" a="1"/>
  <c r="J285" i="2" a="1"/>
  <c r="J286" i="2" a="1"/>
  <c r="J287" i="2" a="1"/>
  <c r="J288" i="2" a="1"/>
  <c r="J289" i="2" a="1"/>
  <c r="J290" i="2" a="1"/>
  <c r="J291" i="2" a="1"/>
  <c r="J292" i="2" a="1"/>
  <c r="J293" i="2" a="1"/>
  <c r="J294" i="2" a="1"/>
  <c r="J295" i="2" a="1"/>
  <c r="J296" i="2" a="1"/>
  <c r="J297" i="2" a="1"/>
  <c r="J298" i="2" a="1"/>
  <c r="J299" i="2" a="1"/>
  <c r="J300" i="2" a="1"/>
  <c r="J301" i="2" a="1"/>
  <c r="J302" i="2" a="1"/>
  <c r="J303" i="2" a="1"/>
  <c r="J304" i="2" a="1"/>
  <c r="J305" i="2" a="1"/>
  <c r="J306" i="2" a="1"/>
  <c r="J307" i="2" a="1"/>
  <c r="J308" i="2" a="1"/>
  <c r="J309" i="2" a="1"/>
  <c r="J310" i="2" a="1"/>
  <c r="J311" i="2" a="1"/>
  <c r="J312" i="2" a="1"/>
  <c r="J313" i="2" a="1"/>
  <c r="J314" i="2" a="1"/>
  <c r="J315" i="2" a="1"/>
  <c r="J316" i="2" a="1"/>
  <c r="J317" i="2" a="1"/>
  <c r="U232" i="2"/>
  <c r="V232" i="2" s="1"/>
  <c r="U233" i="2"/>
  <c r="V233" i="2" s="1"/>
  <c r="U234" i="2"/>
  <c r="V234" i="2" s="1"/>
  <c r="U235" i="2"/>
  <c r="V235" i="2" s="1"/>
  <c r="U236" i="2"/>
  <c r="V236" i="2" s="1"/>
  <c r="U237" i="2"/>
  <c r="V237" i="2" s="1"/>
  <c r="U238" i="2"/>
  <c r="V238" i="2" s="1"/>
  <c r="U239" i="2"/>
  <c r="V239" i="2" s="1"/>
  <c r="U240" i="2"/>
  <c r="V240" i="2" s="1"/>
  <c r="U241" i="2"/>
  <c r="V241" i="2" s="1"/>
  <c r="U242" i="2"/>
  <c r="V242" i="2" s="1"/>
  <c r="U243" i="2"/>
  <c r="V243" i="2" s="1"/>
  <c r="U244" i="2"/>
  <c r="V244" i="2" s="1"/>
  <c r="U245" i="2"/>
  <c r="V245" i="2" s="1"/>
  <c r="U246" i="2"/>
  <c r="V246" i="2" s="1"/>
  <c r="U247" i="2"/>
  <c r="V247" i="2" s="1"/>
  <c r="U248" i="2"/>
  <c r="V248" i="2" s="1"/>
  <c r="U249" i="2"/>
  <c r="V249" i="2" s="1"/>
  <c r="U250" i="2"/>
  <c r="V250" i="2" s="1"/>
  <c r="U251" i="2"/>
  <c r="V251" i="2" s="1"/>
  <c r="U252" i="2"/>
  <c r="V252" i="2" s="1"/>
  <c r="U253" i="2"/>
  <c r="V253" i="2" s="1"/>
  <c r="U254" i="2"/>
  <c r="V254" i="2" s="1"/>
  <c r="U255" i="2"/>
  <c r="V255" i="2" s="1"/>
  <c r="U256" i="2"/>
  <c r="V256" i="2" s="1"/>
  <c r="U257" i="2"/>
  <c r="V257" i="2" s="1"/>
  <c r="U258" i="2"/>
  <c r="V258" i="2" s="1"/>
  <c r="U259" i="2"/>
  <c r="V259" i="2" s="1"/>
  <c r="U260" i="2"/>
  <c r="V260" i="2" s="1"/>
  <c r="U261" i="2"/>
  <c r="V261" i="2" s="1"/>
  <c r="U262" i="2"/>
  <c r="V262" i="2" s="1"/>
  <c r="U263" i="2"/>
  <c r="V263" i="2" s="1"/>
  <c r="U264" i="2"/>
  <c r="V264" i="2" s="1"/>
  <c r="U265" i="2"/>
  <c r="V265" i="2" s="1"/>
  <c r="U266" i="2"/>
  <c r="V266" i="2" s="1"/>
  <c r="U267" i="2"/>
  <c r="V267" i="2" s="1"/>
  <c r="U268" i="2"/>
  <c r="V268" i="2" s="1"/>
  <c r="U269" i="2"/>
  <c r="V269" i="2" s="1"/>
  <c r="U270" i="2"/>
  <c r="V270" i="2" s="1"/>
  <c r="U271" i="2"/>
  <c r="V271" i="2" s="1"/>
  <c r="U272" i="2"/>
  <c r="V272" i="2" s="1"/>
  <c r="U273" i="2"/>
  <c r="V273" i="2" s="1"/>
  <c r="U274" i="2"/>
  <c r="V274" i="2" s="1"/>
  <c r="U275" i="2"/>
  <c r="V275" i="2" s="1"/>
  <c r="U276" i="2"/>
  <c r="V276" i="2" s="1"/>
  <c r="U277" i="2"/>
  <c r="V277" i="2" s="1"/>
  <c r="U278" i="2"/>
  <c r="V278" i="2" s="1"/>
  <c r="U279" i="2"/>
  <c r="V279" i="2" s="1"/>
  <c r="U280" i="2"/>
  <c r="V280" i="2" s="1"/>
  <c r="U281" i="2"/>
  <c r="V281" i="2" s="1"/>
  <c r="U282" i="2"/>
  <c r="V282" i="2" s="1"/>
  <c r="U283" i="2"/>
  <c r="V283" i="2" s="1"/>
  <c r="U284" i="2"/>
  <c r="V284" i="2" s="1"/>
  <c r="U285" i="2"/>
  <c r="V285" i="2" s="1"/>
  <c r="U286" i="2"/>
  <c r="V286" i="2" s="1"/>
  <c r="U287" i="2"/>
  <c r="V287" i="2" s="1"/>
  <c r="U288" i="2"/>
  <c r="V288" i="2" s="1"/>
  <c r="U289" i="2"/>
  <c r="V289" i="2" s="1"/>
  <c r="U290" i="2"/>
  <c r="V290" i="2" s="1"/>
  <c r="U291" i="2"/>
  <c r="V291" i="2" s="1"/>
  <c r="U292" i="2"/>
  <c r="V292" i="2" s="1"/>
  <c r="U293" i="2"/>
  <c r="V293" i="2" s="1"/>
  <c r="U294" i="2"/>
  <c r="V294" i="2" s="1"/>
  <c r="U295" i="2"/>
  <c r="V295" i="2" s="1"/>
  <c r="U296" i="2"/>
  <c r="V296" i="2" s="1"/>
  <c r="U297" i="2"/>
  <c r="V297" i="2" s="1"/>
  <c r="U298" i="2"/>
  <c r="V298" i="2" s="1"/>
  <c r="U299" i="2"/>
  <c r="V299" i="2" s="1"/>
  <c r="U300" i="2"/>
  <c r="V300" i="2" s="1"/>
  <c r="U301" i="2"/>
  <c r="V301" i="2" s="1"/>
  <c r="U302" i="2"/>
  <c r="V302" i="2" s="1"/>
  <c r="U303" i="2"/>
  <c r="V303" i="2" s="1"/>
  <c r="U304" i="2"/>
  <c r="V304" i="2" s="1"/>
  <c r="U305" i="2"/>
  <c r="V305" i="2" s="1"/>
  <c r="U306" i="2"/>
  <c r="V306" i="2" s="1"/>
  <c r="U307" i="2"/>
  <c r="V307" i="2" s="1"/>
  <c r="U308" i="2"/>
  <c r="V308" i="2" s="1"/>
  <c r="U309" i="2"/>
  <c r="V309" i="2" s="1"/>
  <c r="U310" i="2"/>
  <c r="V310" i="2" s="1"/>
  <c r="U311" i="2"/>
  <c r="V311" i="2" s="1"/>
  <c r="U312" i="2"/>
  <c r="V312" i="2" s="1"/>
  <c r="U313" i="2"/>
  <c r="V313" i="2" s="1"/>
  <c r="U314" i="2"/>
  <c r="V314" i="2" s="1"/>
  <c r="U315" i="2"/>
  <c r="V315" i="2" s="1"/>
  <c r="U316" i="2"/>
  <c r="V316" i="2" s="1"/>
  <c r="U317" i="2"/>
  <c r="V317" i="2" s="1"/>
  <c r="X232" i="2" a="1"/>
  <c r="X233" i="2" a="1"/>
  <c r="X234" i="2" a="1"/>
  <c r="X235" i="2" a="1"/>
  <c r="X236" i="2" a="1"/>
  <c r="X237" i="2" a="1"/>
  <c r="X238" i="2" a="1"/>
  <c r="X239" i="2" a="1"/>
  <c r="X240" i="2" a="1"/>
  <c r="X241" i="2" a="1"/>
  <c r="X242" i="2" a="1"/>
  <c r="X243" i="2" a="1"/>
  <c r="X244" i="2" a="1"/>
  <c r="X245" i="2" a="1"/>
  <c r="X246" i="2" a="1"/>
  <c r="X247" i="2" a="1"/>
  <c r="X248" i="2" a="1"/>
  <c r="X249" i="2" a="1"/>
  <c r="X250" i="2" a="1"/>
  <c r="X251" i="2" a="1"/>
  <c r="X252" i="2" a="1"/>
  <c r="X253" i="2" a="1"/>
  <c r="X254" i="2" a="1"/>
  <c r="X255" i="2" a="1"/>
  <c r="X256" i="2" a="1"/>
  <c r="X257" i="2" a="1"/>
  <c r="X258" i="2" a="1"/>
  <c r="X259" i="2" a="1"/>
  <c r="X260" i="2" a="1"/>
  <c r="X261" i="2" a="1"/>
  <c r="X262" i="2" a="1"/>
  <c r="X263" i="2" a="1"/>
  <c r="X264" i="2" a="1"/>
  <c r="X265" i="2" a="1"/>
  <c r="X266" i="2" a="1"/>
  <c r="X267" i="2" a="1"/>
  <c r="X268" i="2" a="1"/>
  <c r="X269" i="2" a="1"/>
  <c r="X270" i="2" a="1"/>
  <c r="X271" i="2" a="1"/>
  <c r="X272" i="2" a="1"/>
  <c r="X273" i="2" a="1"/>
  <c r="X274" i="2" a="1"/>
  <c r="X275" i="2" a="1"/>
  <c r="X276" i="2" a="1"/>
  <c r="X277" i="2" a="1"/>
  <c r="X278" i="2" a="1"/>
  <c r="X279" i="2" a="1"/>
  <c r="X280" i="2" a="1"/>
  <c r="X281" i="2" a="1"/>
  <c r="X282" i="2" a="1"/>
  <c r="X283" i="2" a="1"/>
  <c r="X284" i="2" a="1"/>
  <c r="X285" i="2" a="1"/>
  <c r="X286" i="2" a="1"/>
  <c r="X287" i="2" a="1"/>
  <c r="X288" i="2" a="1"/>
  <c r="X289" i="2" a="1"/>
  <c r="X290" i="2" a="1"/>
  <c r="X291" i="2" a="1"/>
  <c r="X292" i="2" a="1"/>
  <c r="X293" i="2" a="1"/>
  <c r="X294" i="2" a="1"/>
  <c r="X295" i="2" a="1"/>
  <c r="X296" i="2" a="1"/>
  <c r="X297" i="2" a="1"/>
  <c r="X298" i="2" a="1"/>
  <c r="X299" i="2" a="1"/>
  <c r="X300" i="2" a="1"/>
  <c r="X301" i="2" a="1"/>
  <c r="X302" i="2" a="1"/>
  <c r="X303" i="2" a="1"/>
  <c r="X304" i="2" a="1"/>
  <c r="X305" i="2" a="1"/>
  <c r="X306" i="2" a="1"/>
  <c r="X307" i="2" a="1"/>
  <c r="X308" i="2" a="1"/>
  <c r="X309" i="2" a="1"/>
  <c r="X310" i="2" a="1"/>
  <c r="X311" i="2" a="1"/>
  <c r="X312" i="2" a="1"/>
  <c r="X313" i="2" a="1"/>
  <c r="X314" i="2" a="1"/>
  <c r="X315" i="2" a="1"/>
  <c r="X316" i="2" a="1"/>
  <c r="X317" i="2" a="1"/>
  <c r="AE232" i="2"/>
  <c r="AE233" i="2"/>
  <c r="AE234" i="2"/>
  <c r="AE235" i="2"/>
  <c r="AE236" i="2"/>
  <c r="AE237" i="2"/>
  <c r="AE238" i="2"/>
  <c r="AE239" i="2"/>
  <c r="AE240" i="2"/>
  <c r="AE241" i="2"/>
  <c r="AE242" i="2"/>
  <c r="AE243" i="2"/>
  <c r="AE244" i="2"/>
  <c r="AE245" i="2"/>
  <c r="AE246" i="2"/>
  <c r="AE247" i="2"/>
  <c r="AE248" i="2"/>
  <c r="AE249" i="2"/>
  <c r="AE250" i="2"/>
  <c r="AE251" i="2"/>
  <c r="AE252" i="2"/>
  <c r="AE253" i="2"/>
  <c r="AE254" i="2"/>
  <c r="AE255" i="2"/>
  <c r="AE256" i="2"/>
  <c r="AE257" i="2"/>
  <c r="AE258" i="2"/>
  <c r="AE259" i="2"/>
  <c r="AE260" i="2"/>
  <c r="AE261" i="2"/>
  <c r="AE262" i="2"/>
  <c r="AE263" i="2"/>
  <c r="AE264" i="2"/>
  <c r="AE265" i="2"/>
  <c r="AE266" i="2"/>
  <c r="AE267" i="2"/>
  <c r="AE268" i="2"/>
  <c r="AE269" i="2"/>
  <c r="AE270" i="2"/>
  <c r="AE271" i="2"/>
  <c r="AE272" i="2"/>
  <c r="AE273" i="2"/>
  <c r="AE274" i="2"/>
  <c r="AE275" i="2"/>
  <c r="AE276" i="2"/>
  <c r="AE277" i="2"/>
  <c r="AE278" i="2"/>
  <c r="AE279" i="2"/>
  <c r="AE280" i="2"/>
  <c r="AE281" i="2"/>
  <c r="AE282" i="2"/>
  <c r="AE283" i="2"/>
  <c r="AE284" i="2"/>
  <c r="AE285" i="2"/>
  <c r="AE286" i="2"/>
  <c r="AE287" i="2"/>
  <c r="AE288" i="2"/>
  <c r="AE289" i="2"/>
  <c r="AE290" i="2"/>
  <c r="AE291" i="2"/>
  <c r="AE292" i="2"/>
  <c r="AE293" i="2"/>
  <c r="AE294" i="2"/>
  <c r="AE295" i="2"/>
  <c r="AE296" i="2"/>
  <c r="AE297" i="2"/>
  <c r="AE298" i="2"/>
  <c r="AE299" i="2"/>
  <c r="AE300" i="2"/>
  <c r="AE301" i="2"/>
  <c r="AE302" i="2"/>
  <c r="AE303" i="2"/>
  <c r="AE304" i="2"/>
  <c r="AE305" i="2"/>
  <c r="AE306" i="2"/>
  <c r="AE307" i="2"/>
  <c r="AE308" i="2"/>
  <c r="AE309" i="2"/>
  <c r="AE310" i="2"/>
  <c r="AE311" i="2"/>
  <c r="AE312" i="2"/>
  <c r="AE313" i="2"/>
  <c r="AE314" i="2"/>
  <c r="AE315" i="2"/>
  <c r="AE316" i="2"/>
  <c r="AE317" i="2"/>
  <c r="AF232" i="2"/>
  <c r="AF233" i="2"/>
  <c r="AF234" i="2"/>
  <c r="AF235" i="2"/>
  <c r="AF236" i="2"/>
  <c r="AF237" i="2"/>
  <c r="AF238" i="2"/>
  <c r="AF239" i="2"/>
  <c r="AF240" i="2"/>
  <c r="AF241" i="2"/>
  <c r="AF242" i="2"/>
  <c r="AF243" i="2"/>
  <c r="AF244" i="2"/>
  <c r="AF245" i="2"/>
  <c r="AF246" i="2"/>
  <c r="AF247" i="2"/>
  <c r="AF248" i="2"/>
  <c r="AF249" i="2"/>
  <c r="AF250" i="2"/>
  <c r="AF251" i="2"/>
  <c r="AF252" i="2"/>
  <c r="AF253" i="2"/>
  <c r="AF254" i="2"/>
  <c r="AF255" i="2"/>
  <c r="AF256" i="2"/>
  <c r="AF257" i="2"/>
  <c r="AF258" i="2"/>
  <c r="AF259" i="2"/>
  <c r="AF260" i="2"/>
  <c r="AF261" i="2"/>
  <c r="AF262" i="2"/>
  <c r="AF263" i="2"/>
  <c r="AF264" i="2"/>
  <c r="AF265" i="2"/>
  <c r="AF266" i="2"/>
  <c r="AF267" i="2"/>
  <c r="AF268" i="2"/>
  <c r="AF269" i="2"/>
  <c r="AF270" i="2"/>
  <c r="AF271" i="2"/>
  <c r="AF272" i="2"/>
  <c r="AF273" i="2"/>
  <c r="AF274" i="2"/>
  <c r="AF275" i="2"/>
  <c r="AF276" i="2"/>
  <c r="AF277" i="2"/>
  <c r="AF278" i="2"/>
  <c r="AF279" i="2"/>
  <c r="AF280" i="2"/>
  <c r="AF281" i="2"/>
  <c r="AF282" i="2"/>
  <c r="AF283" i="2"/>
  <c r="AF284" i="2"/>
  <c r="AF285" i="2"/>
  <c r="AF286" i="2"/>
  <c r="AF287" i="2"/>
  <c r="AF288" i="2"/>
  <c r="AF289" i="2"/>
  <c r="AF290" i="2"/>
  <c r="AF291" i="2"/>
  <c r="AF292" i="2"/>
  <c r="AF293" i="2"/>
  <c r="AF294" i="2"/>
  <c r="AF295" i="2"/>
  <c r="AF296" i="2"/>
  <c r="AF297" i="2"/>
  <c r="AF298" i="2"/>
  <c r="AF299" i="2"/>
  <c r="AF300" i="2"/>
  <c r="AF301" i="2"/>
  <c r="AF302" i="2"/>
  <c r="AF303" i="2"/>
  <c r="AF304" i="2"/>
  <c r="AF305" i="2"/>
  <c r="AF306" i="2"/>
  <c r="AF307" i="2"/>
  <c r="AF308" i="2"/>
  <c r="AF309" i="2"/>
  <c r="AF310" i="2"/>
  <c r="AF311" i="2"/>
  <c r="AF312" i="2"/>
  <c r="AF313" i="2"/>
  <c r="AF314" i="2"/>
  <c r="AF315" i="2"/>
  <c r="AF316" i="2"/>
  <c r="AF317" i="2"/>
  <c r="AG232" i="2"/>
  <c r="AG233" i="2"/>
  <c r="AG234" i="2"/>
  <c r="AG235" i="2"/>
  <c r="AG236" i="2"/>
  <c r="AG237" i="2"/>
  <c r="AG238" i="2"/>
  <c r="AG239" i="2"/>
  <c r="AG240" i="2"/>
  <c r="AG241" i="2"/>
  <c r="AG242" i="2"/>
  <c r="AG243" i="2"/>
  <c r="AG244" i="2"/>
  <c r="AG245" i="2"/>
  <c r="AG246" i="2"/>
  <c r="AG247" i="2"/>
  <c r="AG248" i="2"/>
  <c r="AG249" i="2"/>
  <c r="AG250" i="2"/>
  <c r="AG251" i="2"/>
  <c r="AG252" i="2"/>
  <c r="AG253" i="2"/>
  <c r="AG254" i="2"/>
  <c r="AG255" i="2"/>
  <c r="AG256" i="2"/>
  <c r="AG257" i="2"/>
  <c r="AG258" i="2"/>
  <c r="AG259" i="2"/>
  <c r="AG260" i="2"/>
  <c r="AG261" i="2"/>
  <c r="AG262" i="2"/>
  <c r="AG263" i="2"/>
  <c r="AG264" i="2"/>
  <c r="AG265" i="2"/>
  <c r="AG266" i="2"/>
  <c r="AG267" i="2"/>
  <c r="AG268" i="2"/>
  <c r="AG269" i="2"/>
  <c r="AG270" i="2"/>
  <c r="AG271" i="2"/>
  <c r="AG272" i="2"/>
  <c r="AG273" i="2"/>
  <c r="AG274" i="2"/>
  <c r="AG275" i="2"/>
  <c r="AG276" i="2"/>
  <c r="AG277" i="2"/>
  <c r="AG278" i="2"/>
  <c r="AG279" i="2"/>
  <c r="AG280" i="2"/>
  <c r="AG281" i="2"/>
  <c r="AG282" i="2"/>
  <c r="AG283" i="2"/>
  <c r="AG284" i="2"/>
  <c r="AG285" i="2"/>
  <c r="AG286" i="2"/>
  <c r="AG287" i="2"/>
  <c r="AG288" i="2"/>
  <c r="AG289" i="2"/>
  <c r="AG290" i="2"/>
  <c r="AG291" i="2"/>
  <c r="AG292" i="2"/>
  <c r="AG293" i="2"/>
  <c r="AG294" i="2"/>
  <c r="AG295" i="2"/>
  <c r="AG296" i="2"/>
  <c r="AG297" i="2"/>
  <c r="AG298" i="2"/>
  <c r="AG299" i="2"/>
  <c r="AG300" i="2"/>
  <c r="AG301" i="2"/>
  <c r="AG302" i="2"/>
  <c r="AG303" i="2"/>
  <c r="AG304" i="2"/>
  <c r="AG305" i="2"/>
  <c r="AG306" i="2"/>
  <c r="AG307" i="2"/>
  <c r="AG308" i="2"/>
  <c r="AG309" i="2"/>
  <c r="AG310" i="2"/>
  <c r="AG311" i="2"/>
  <c r="AG312" i="2"/>
  <c r="AG313" i="2"/>
  <c r="AG314" i="2"/>
  <c r="AG315" i="2"/>
  <c r="AG316" i="2"/>
  <c r="AG317" i="2"/>
  <c r="AH232" i="2"/>
  <c r="AH233" i="2"/>
  <c r="AH234" i="2"/>
  <c r="AH235" i="2"/>
  <c r="AH236" i="2"/>
  <c r="AH237" i="2"/>
  <c r="AH238" i="2"/>
  <c r="AH239" i="2"/>
  <c r="AH240" i="2"/>
  <c r="AH241" i="2"/>
  <c r="AH242" i="2"/>
  <c r="AH243" i="2"/>
  <c r="AH244" i="2"/>
  <c r="AH245" i="2"/>
  <c r="AH246" i="2"/>
  <c r="AH247" i="2"/>
  <c r="AH248" i="2"/>
  <c r="AH249" i="2"/>
  <c r="AH250" i="2"/>
  <c r="AH251" i="2"/>
  <c r="AH252" i="2"/>
  <c r="AH253" i="2"/>
  <c r="AH254" i="2"/>
  <c r="AH255" i="2"/>
  <c r="AH256" i="2"/>
  <c r="AH257" i="2"/>
  <c r="AH258" i="2"/>
  <c r="AH259" i="2"/>
  <c r="AH260" i="2"/>
  <c r="AH261" i="2"/>
  <c r="AH262" i="2"/>
  <c r="AH263" i="2"/>
  <c r="AH264" i="2"/>
  <c r="AH265" i="2"/>
  <c r="AH266" i="2"/>
  <c r="AH267" i="2"/>
  <c r="AH268" i="2"/>
  <c r="AH269" i="2"/>
  <c r="AH270" i="2"/>
  <c r="AH271" i="2"/>
  <c r="AH272" i="2"/>
  <c r="AH273" i="2"/>
  <c r="AH274" i="2"/>
  <c r="AH275" i="2"/>
  <c r="AH276" i="2"/>
  <c r="AH277" i="2"/>
  <c r="AH278" i="2"/>
  <c r="AH279" i="2"/>
  <c r="AH280" i="2"/>
  <c r="AH281" i="2"/>
  <c r="AH282" i="2"/>
  <c r="AH283" i="2"/>
  <c r="AH284" i="2"/>
  <c r="AH285" i="2"/>
  <c r="AH286" i="2"/>
  <c r="AH287" i="2"/>
  <c r="AH288" i="2"/>
  <c r="AH289" i="2"/>
  <c r="AH290" i="2"/>
  <c r="AH291" i="2"/>
  <c r="AH292" i="2"/>
  <c r="AH293" i="2"/>
  <c r="AH294" i="2"/>
  <c r="AH295" i="2"/>
  <c r="AH296" i="2"/>
  <c r="AH297" i="2"/>
  <c r="AH298" i="2"/>
  <c r="AH299" i="2"/>
  <c r="AH300" i="2"/>
  <c r="AH301" i="2"/>
  <c r="AH302" i="2"/>
  <c r="AH303" i="2"/>
  <c r="AH304" i="2"/>
  <c r="AH305" i="2"/>
  <c r="AH306" i="2"/>
  <c r="AH307" i="2"/>
  <c r="AH308" i="2"/>
  <c r="AH309" i="2"/>
  <c r="AH310" i="2"/>
  <c r="AH311" i="2"/>
  <c r="AH312" i="2"/>
  <c r="AH313" i="2"/>
  <c r="AH314" i="2"/>
  <c r="AH315" i="2"/>
  <c r="AH316" i="2"/>
  <c r="AH317" i="2"/>
  <c r="AI232" i="2"/>
  <c r="AI233" i="2"/>
  <c r="AI234" i="2"/>
  <c r="AI235" i="2"/>
  <c r="AI236" i="2"/>
  <c r="AI237" i="2"/>
  <c r="AI238" i="2"/>
  <c r="AI239" i="2"/>
  <c r="AI240" i="2"/>
  <c r="AI241" i="2"/>
  <c r="AI242" i="2"/>
  <c r="AI243" i="2"/>
  <c r="AI244" i="2"/>
  <c r="AI245" i="2"/>
  <c r="AI246" i="2"/>
  <c r="AI247" i="2"/>
  <c r="AI248" i="2"/>
  <c r="AI249" i="2"/>
  <c r="AI250" i="2"/>
  <c r="AI251" i="2"/>
  <c r="AI252" i="2"/>
  <c r="AI253" i="2"/>
  <c r="AI254" i="2"/>
  <c r="AI255" i="2"/>
  <c r="AI256" i="2"/>
  <c r="AI257" i="2"/>
  <c r="AI258" i="2"/>
  <c r="AI259" i="2"/>
  <c r="AI260" i="2"/>
  <c r="AI261" i="2"/>
  <c r="AI262" i="2"/>
  <c r="AI263" i="2"/>
  <c r="AI264" i="2"/>
  <c r="AI265" i="2"/>
  <c r="AI266" i="2"/>
  <c r="AI267" i="2"/>
  <c r="AI268" i="2"/>
  <c r="AI269" i="2"/>
  <c r="AI270" i="2"/>
  <c r="AI271" i="2"/>
  <c r="AI272" i="2"/>
  <c r="AI273" i="2"/>
  <c r="AI274" i="2"/>
  <c r="AI275" i="2"/>
  <c r="AI276" i="2"/>
  <c r="AI277" i="2"/>
  <c r="AI278" i="2"/>
  <c r="AI279" i="2"/>
  <c r="AI280" i="2"/>
  <c r="AI281" i="2"/>
  <c r="AI282" i="2"/>
  <c r="AI283" i="2"/>
  <c r="AI284" i="2"/>
  <c r="AI285" i="2"/>
  <c r="AI286" i="2"/>
  <c r="AI287" i="2"/>
  <c r="AI288" i="2"/>
  <c r="AI289" i="2"/>
  <c r="AI290" i="2"/>
  <c r="AI291" i="2"/>
  <c r="AI292" i="2"/>
  <c r="AI293" i="2"/>
  <c r="AI294" i="2"/>
  <c r="AI295" i="2"/>
  <c r="AI296" i="2"/>
  <c r="AI297" i="2"/>
  <c r="AI298" i="2"/>
  <c r="AI299" i="2"/>
  <c r="AI300" i="2"/>
  <c r="AI301" i="2"/>
  <c r="AI302" i="2"/>
  <c r="AI303" i="2"/>
  <c r="AI304" i="2"/>
  <c r="AI305" i="2"/>
  <c r="AI306" i="2"/>
  <c r="AI307" i="2"/>
  <c r="AI308" i="2"/>
  <c r="AI309" i="2"/>
  <c r="AI310" i="2"/>
  <c r="AI311" i="2"/>
  <c r="AI312" i="2"/>
  <c r="AI313" i="2"/>
  <c r="AI314" i="2"/>
  <c r="AI315" i="2"/>
  <c r="AI316" i="2"/>
  <c r="AI317" i="2"/>
  <c r="AJ232" i="2"/>
  <c r="AJ233" i="2"/>
  <c r="AJ234" i="2"/>
  <c r="AJ235" i="2"/>
  <c r="AJ236" i="2"/>
  <c r="AJ237" i="2"/>
  <c r="AJ238" i="2"/>
  <c r="AJ239" i="2"/>
  <c r="AJ240" i="2"/>
  <c r="AJ241" i="2"/>
  <c r="AJ242" i="2"/>
  <c r="AJ243" i="2"/>
  <c r="AJ244" i="2"/>
  <c r="AJ245" i="2"/>
  <c r="AJ246" i="2"/>
  <c r="AJ247" i="2"/>
  <c r="AJ248" i="2"/>
  <c r="AJ249" i="2"/>
  <c r="AJ250" i="2"/>
  <c r="AJ251" i="2"/>
  <c r="AJ252" i="2"/>
  <c r="AJ253" i="2"/>
  <c r="AJ254" i="2"/>
  <c r="AJ255" i="2"/>
  <c r="AJ256" i="2"/>
  <c r="AJ257" i="2"/>
  <c r="AJ258" i="2"/>
  <c r="AJ259" i="2"/>
  <c r="AJ260" i="2"/>
  <c r="AJ261" i="2"/>
  <c r="AJ262" i="2"/>
  <c r="AJ263" i="2"/>
  <c r="AJ264" i="2"/>
  <c r="AJ265" i="2"/>
  <c r="AJ266" i="2"/>
  <c r="AJ267" i="2"/>
  <c r="AJ268" i="2"/>
  <c r="AJ269" i="2"/>
  <c r="AJ270" i="2"/>
  <c r="AJ271" i="2"/>
  <c r="AJ272" i="2"/>
  <c r="AJ273" i="2"/>
  <c r="AJ274" i="2"/>
  <c r="AJ275" i="2"/>
  <c r="AJ276" i="2"/>
  <c r="AJ277" i="2"/>
  <c r="AJ278" i="2"/>
  <c r="AJ279" i="2"/>
  <c r="AJ280" i="2"/>
  <c r="AJ281" i="2"/>
  <c r="AJ282" i="2"/>
  <c r="AJ283" i="2"/>
  <c r="AJ284" i="2"/>
  <c r="AJ285" i="2"/>
  <c r="AJ286" i="2"/>
  <c r="AJ287" i="2"/>
  <c r="AJ288" i="2"/>
  <c r="AJ289" i="2"/>
  <c r="AJ290" i="2"/>
  <c r="AJ291" i="2"/>
  <c r="AJ292" i="2"/>
  <c r="AJ293" i="2"/>
  <c r="AJ294" i="2"/>
  <c r="AJ295" i="2"/>
  <c r="AJ296" i="2"/>
  <c r="AJ297" i="2"/>
  <c r="AJ298" i="2"/>
  <c r="AJ299" i="2"/>
  <c r="AJ300" i="2"/>
  <c r="AJ301" i="2"/>
  <c r="AJ302" i="2"/>
  <c r="AJ303" i="2"/>
  <c r="AJ304" i="2"/>
  <c r="AJ305" i="2"/>
  <c r="AJ306" i="2"/>
  <c r="AJ307" i="2"/>
  <c r="AJ308" i="2"/>
  <c r="AJ309" i="2"/>
  <c r="AJ310" i="2"/>
  <c r="AJ311" i="2"/>
  <c r="AJ312" i="2"/>
  <c r="AJ313" i="2"/>
  <c r="AJ314" i="2"/>
  <c r="AJ315" i="2"/>
  <c r="AJ316" i="2"/>
  <c r="AJ317" i="2"/>
  <c r="AK232" i="2"/>
  <c r="AK233" i="2"/>
  <c r="AK234" i="2"/>
  <c r="AK235" i="2"/>
  <c r="AK236" i="2"/>
  <c r="AK237" i="2"/>
  <c r="AK238" i="2"/>
  <c r="AK239" i="2"/>
  <c r="AK240" i="2"/>
  <c r="AK241" i="2"/>
  <c r="AK242" i="2"/>
  <c r="AK243" i="2"/>
  <c r="AK244" i="2"/>
  <c r="AK245" i="2"/>
  <c r="AK246" i="2"/>
  <c r="AK247" i="2"/>
  <c r="AK248" i="2"/>
  <c r="AK249" i="2"/>
  <c r="AK250" i="2"/>
  <c r="AK251" i="2"/>
  <c r="AK252" i="2"/>
  <c r="AK253" i="2"/>
  <c r="AK254" i="2"/>
  <c r="AK255" i="2"/>
  <c r="AK256" i="2"/>
  <c r="AK257" i="2"/>
  <c r="AK258" i="2"/>
  <c r="AK259" i="2"/>
  <c r="AK260" i="2"/>
  <c r="AK261" i="2"/>
  <c r="AK262" i="2"/>
  <c r="AK263" i="2"/>
  <c r="AK264" i="2"/>
  <c r="AK265" i="2"/>
  <c r="AK266" i="2"/>
  <c r="AK267" i="2"/>
  <c r="AK268" i="2"/>
  <c r="AK269" i="2"/>
  <c r="AK270" i="2"/>
  <c r="AK271" i="2"/>
  <c r="AK272" i="2"/>
  <c r="AK273" i="2"/>
  <c r="AK274" i="2"/>
  <c r="AK275" i="2"/>
  <c r="AK276" i="2"/>
  <c r="AK277" i="2"/>
  <c r="AK278" i="2"/>
  <c r="AK279" i="2"/>
  <c r="AK280" i="2"/>
  <c r="AK281" i="2"/>
  <c r="AK282" i="2"/>
  <c r="AK283" i="2"/>
  <c r="AK284" i="2"/>
  <c r="AK285" i="2"/>
  <c r="AK286" i="2"/>
  <c r="AK287" i="2"/>
  <c r="AK288" i="2"/>
  <c r="AK289" i="2"/>
  <c r="AK290" i="2"/>
  <c r="AK291" i="2"/>
  <c r="AK292" i="2"/>
  <c r="AK293" i="2"/>
  <c r="AK294" i="2"/>
  <c r="AK295" i="2"/>
  <c r="AK296" i="2"/>
  <c r="AK297" i="2"/>
  <c r="AK298" i="2"/>
  <c r="AK299" i="2"/>
  <c r="AK300" i="2"/>
  <c r="AK301" i="2"/>
  <c r="AK302" i="2"/>
  <c r="AK303" i="2"/>
  <c r="AK304" i="2"/>
  <c r="AK305" i="2"/>
  <c r="AK306" i="2"/>
  <c r="AK307" i="2"/>
  <c r="AK308" i="2"/>
  <c r="AK309" i="2"/>
  <c r="AK310" i="2"/>
  <c r="AK311" i="2"/>
  <c r="AK312" i="2"/>
  <c r="AK313" i="2"/>
  <c r="AK314" i="2"/>
  <c r="AK315" i="2"/>
  <c r="AK316" i="2"/>
  <c r="AK317" i="2"/>
  <c r="AL232" i="2"/>
  <c r="AL233" i="2"/>
  <c r="AL234" i="2"/>
  <c r="AL235" i="2"/>
  <c r="AL236" i="2"/>
  <c r="AL237" i="2"/>
  <c r="AL238" i="2"/>
  <c r="AL239" i="2"/>
  <c r="AL240" i="2"/>
  <c r="AL241" i="2"/>
  <c r="AL242" i="2"/>
  <c r="AL243" i="2"/>
  <c r="AL244" i="2"/>
  <c r="AL245" i="2"/>
  <c r="AL246" i="2"/>
  <c r="AL247" i="2"/>
  <c r="AL248" i="2"/>
  <c r="AL249" i="2"/>
  <c r="AL250" i="2"/>
  <c r="AL251" i="2"/>
  <c r="AL252" i="2"/>
  <c r="AL253" i="2"/>
  <c r="AL254" i="2"/>
  <c r="AL255" i="2"/>
  <c r="AL256" i="2"/>
  <c r="AL257" i="2"/>
  <c r="AL258" i="2"/>
  <c r="AL259" i="2"/>
  <c r="AL260" i="2"/>
  <c r="AL261" i="2"/>
  <c r="AL262" i="2"/>
  <c r="AL263" i="2"/>
  <c r="AL264" i="2"/>
  <c r="AL265" i="2"/>
  <c r="AL266" i="2"/>
  <c r="AL267" i="2"/>
  <c r="AL268" i="2"/>
  <c r="AL269" i="2"/>
  <c r="AL270" i="2"/>
  <c r="AL271" i="2"/>
  <c r="AL272" i="2"/>
  <c r="AL273" i="2"/>
  <c r="AL274" i="2"/>
  <c r="AL275" i="2"/>
  <c r="AL276" i="2"/>
  <c r="AL277" i="2"/>
  <c r="AL278" i="2"/>
  <c r="AL279" i="2"/>
  <c r="AL280" i="2"/>
  <c r="AL281" i="2"/>
  <c r="AL282" i="2"/>
  <c r="AL283" i="2"/>
  <c r="AL284" i="2"/>
  <c r="AL285" i="2"/>
  <c r="AL286" i="2"/>
  <c r="AL287" i="2"/>
  <c r="AL288" i="2"/>
  <c r="AL289" i="2"/>
  <c r="AL290" i="2"/>
  <c r="AL291" i="2"/>
  <c r="AL292" i="2"/>
  <c r="AL293" i="2"/>
  <c r="AL294" i="2"/>
  <c r="AL295" i="2"/>
  <c r="AL296" i="2"/>
  <c r="AL297" i="2"/>
  <c r="AL298" i="2"/>
  <c r="AL299" i="2"/>
  <c r="AL300" i="2"/>
  <c r="AL301" i="2"/>
  <c r="AL302" i="2"/>
  <c r="AL303" i="2"/>
  <c r="AL304" i="2"/>
  <c r="AL305" i="2"/>
  <c r="AL306" i="2"/>
  <c r="AL307" i="2"/>
  <c r="AL308" i="2"/>
  <c r="AL309" i="2"/>
  <c r="AL310" i="2"/>
  <c r="AL311" i="2"/>
  <c r="AL312" i="2"/>
  <c r="AL313" i="2"/>
  <c r="AL314" i="2"/>
  <c r="AL315" i="2"/>
  <c r="AL316" i="2"/>
  <c r="AL317" i="2"/>
  <c r="AL2" i="2"/>
  <c r="AL3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78" i="2"/>
  <c r="AL79" i="2"/>
  <c r="AL80" i="2"/>
  <c r="AL81" i="2"/>
  <c r="AL82" i="2"/>
  <c r="AL83" i="2"/>
  <c r="AL84" i="2"/>
  <c r="AL85" i="2"/>
  <c r="AL86" i="2"/>
  <c r="AL87" i="2"/>
  <c r="AL88" i="2"/>
  <c r="AL89" i="2"/>
  <c r="AL90" i="2"/>
  <c r="AL91" i="2"/>
  <c r="AL92" i="2"/>
  <c r="AL93" i="2"/>
  <c r="AL94" i="2"/>
  <c r="AL95" i="2"/>
  <c r="AL96" i="2"/>
  <c r="AL97" i="2"/>
  <c r="AL98" i="2"/>
  <c r="AL99" i="2"/>
  <c r="AL100" i="2"/>
  <c r="AL101" i="2"/>
  <c r="AL102" i="2"/>
  <c r="AL103" i="2"/>
  <c r="AL104" i="2"/>
  <c r="AL105" i="2"/>
  <c r="AL106" i="2"/>
  <c r="AL107" i="2"/>
  <c r="AL108" i="2"/>
  <c r="AL109" i="2"/>
  <c r="AL110" i="2"/>
  <c r="AL111" i="2"/>
  <c r="AL112" i="2"/>
  <c r="AL113" i="2"/>
  <c r="AL114" i="2"/>
  <c r="AL115" i="2"/>
  <c r="AL116" i="2"/>
  <c r="AL117" i="2"/>
  <c r="AL118" i="2"/>
  <c r="AL119" i="2"/>
  <c r="AL120" i="2"/>
  <c r="AL121" i="2"/>
  <c r="AL122" i="2"/>
  <c r="AL123" i="2"/>
  <c r="AL124" i="2"/>
  <c r="AL125" i="2"/>
  <c r="AL126" i="2"/>
  <c r="AL127" i="2"/>
  <c r="AL128" i="2"/>
  <c r="AL129" i="2"/>
  <c r="AL130" i="2"/>
  <c r="AL131" i="2"/>
  <c r="AL132" i="2"/>
  <c r="AL133" i="2"/>
  <c r="AL134" i="2"/>
  <c r="AL135" i="2"/>
  <c r="AL136" i="2"/>
  <c r="AL137" i="2"/>
  <c r="AL138" i="2"/>
  <c r="AL139" i="2"/>
  <c r="AL140" i="2"/>
  <c r="AL141" i="2"/>
  <c r="AL142" i="2"/>
  <c r="AL143" i="2"/>
  <c r="AL144" i="2"/>
  <c r="AL145" i="2"/>
  <c r="AL146" i="2"/>
  <c r="AL147" i="2"/>
  <c r="AL148" i="2"/>
  <c r="AL149" i="2"/>
  <c r="AL150" i="2"/>
  <c r="AL151" i="2"/>
  <c r="AL152" i="2"/>
  <c r="AL153" i="2"/>
  <c r="AL154" i="2"/>
  <c r="AL155" i="2"/>
  <c r="AL156" i="2"/>
  <c r="AL157" i="2"/>
  <c r="AL158" i="2"/>
  <c r="AL159" i="2"/>
  <c r="AL160" i="2"/>
  <c r="AL161" i="2"/>
  <c r="AL162" i="2"/>
  <c r="AL163" i="2"/>
  <c r="AL164" i="2"/>
  <c r="AL165" i="2"/>
  <c r="AL166" i="2"/>
  <c r="AL167" i="2"/>
  <c r="AL168" i="2"/>
  <c r="AL169" i="2"/>
  <c r="AL170" i="2"/>
  <c r="AL171" i="2"/>
  <c r="AL172" i="2"/>
  <c r="AL173" i="2"/>
  <c r="AL174" i="2"/>
  <c r="AL175" i="2"/>
  <c r="AL176" i="2"/>
  <c r="AL177" i="2"/>
  <c r="AL178" i="2"/>
  <c r="AL179" i="2"/>
  <c r="AL180" i="2"/>
  <c r="AL181" i="2"/>
  <c r="AL182" i="2"/>
  <c r="AL183" i="2"/>
  <c r="AL184" i="2"/>
  <c r="AL185" i="2"/>
  <c r="AL186" i="2"/>
  <c r="AL187" i="2"/>
  <c r="AL188" i="2"/>
  <c r="AL189" i="2"/>
  <c r="AL190" i="2"/>
  <c r="AL191" i="2"/>
  <c r="AL192" i="2"/>
  <c r="AL193" i="2"/>
  <c r="AL194" i="2"/>
  <c r="AL195" i="2"/>
  <c r="AL196" i="2"/>
  <c r="AL197" i="2"/>
  <c r="AL198" i="2"/>
  <c r="AL199" i="2"/>
  <c r="AL200" i="2"/>
  <c r="AL201" i="2"/>
  <c r="AL202" i="2"/>
  <c r="AL203" i="2"/>
  <c r="AL204" i="2"/>
  <c r="AL205" i="2"/>
  <c r="AL206" i="2"/>
  <c r="AL207" i="2"/>
  <c r="AL208" i="2"/>
  <c r="AL209" i="2"/>
  <c r="AL210" i="2"/>
  <c r="AL211" i="2"/>
  <c r="AL212" i="2"/>
  <c r="AL213" i="2"/>
  <c r="AL214" i="2"/>
  <c r="AL215" i="2"/>
  <c r="AL216" i="2"/>
  <c r="AL217" i="2"/>
  <c r="AL218" i="2"/>
  <c r="AL219" i="2"/>
  <c r="AL220" i="2"/>
  <c r="AL221" i="2"/>
  <c r="AL222" i="2"/>
  <c r="AL223" i="2"/>
  <c r="AL224" i="2"/>
  <c r="AL225" i="2"/>
  <c r="AL226" i="2"/>
  <c r="AL227" i="2"/>
  <c r="AL228" i="2"/>
  <c r="AL229" i="2"/>
  <c r="AL230" i="2"/>
  <c r="AL231" i="2"/>
  <c r="AK2" i="2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86" i="2"/>
  <c r="AK87" i="2"/>
  <c r="AK88" i="2"/>
  <c r="AK89" i="2"/>
  <c r="AK90" i="2"/>
  <c r="AK91" i="2"/>
  <c r="AK92" i="2"/>
  <c r="AK93" i="2"/>
  <c r="AK94" i="2"/>
  <c r="AK95" i="2"/>
  <c r="AK96" i="2"/>
  <c r="AK97" i="2"/>
  <c r="AK98" i="2"/>
  <c r="AK99" i="2"/>
  <c r="AK100" i="2"/>
  <c r="AK101" i="2"/>
  <c r="AK102" i="2"/>
  <c r="AK103" i="2"/>
  <c r="AK104" i="2"/>
  <c r="AK105" i="2"/>
  <c r="AK106" i="2"/>
  <c r="AK107" i="2"/>
  <c r="AK108" i="2"/>
  <c r="AK109" i="2"/>
  <c r="AK110" i="2"/>
  <c r="AK111" i="2"/>
  <c r="AK112" i="2"/>
  <c r="AK113" i="2"/>
  <c r="AK114" i="2"/>
  <c r="AK115" i="2"/>
  <c r="AK116" i="2"/>
  <c r="AK117" i="2"/>
  <c r="AK118" i="2"/>
  <c r="AK119" i="2"/>
  <c r="AK120" i="2"/>
  <c r="AK121" i="2"/>
  <c r="AK122" i="2"/>
  <c r="AK123" i="2"/>
  <c r="AK124" i="2"/>
  <c r="AK125" i="2"/>
  <c r="AK126" i="2"/>
  <c r="AK127" i="2"/>
  <c r="AK128" i="2"/>
  <c r="AK129" i="2"/>
  <c r="AK130" i="2"/>
  <c r="AK131" i="2"/>
  <c r="AK132" i="2"/>
  <c r="AK133" i="2"/>
  <c r="AK134" i="2"/>
  <c r="AK135" i="2"/>
  <c r="AK136" i="2"/>
  <c r="AK137" i="2"/>
  <c r="AK138" i="2"/>
  <c r="AK139" i="2"/>
  <c r="AK140" i="2"/>
  <c r="AK141" i="2"/>
  <c r="AK142" i="2"/>
  <c r="AK143" i="2"/>
  <c r="AK144" i="2"/>
  <c r="AK145" i="2"/>
  <c r="AK146" i="2"/>
  <c r="AK147" i="2"/>
  <c r="AK148" i="2"/>
  <c r="AK149" i="2"/>
  <c r="AK150" i="2"/>
  <c r="AK151" i="2"/>
  <c r="AK152" i="2"/>
  <c r="AK153" i="2"/>
  <c r="AK154" i="2"/>
  <c r="AK155" i="2"/>
  <c r="AK156" i="2"/>
  <c r="AK157" i="2"/>
  <c r="AK158" i="2"/>
  <c r="AK159" i="2"/>
  <c r="AK160" i="2"/>
  <c r="AK161" i="2"/>
  <c r="AK162" i="2"/>
  <c r="AK163" i="2"/>
  <c r="AK164" i="2"/>
  <c r="AK165" i="2"/>
  <c r="AK166" i="2"/>
  <c r="AK167" i="2"/>
  <c r="AK168" i="2"/>
  <c r="AK169" i="2"/>
  <c r="AK170" i="2"/>
  <c r="AK171" i="2"/>
  <c r="AK172" i="2"/>
  <c r="AK173" i="2"/>
  <c r="AK174" i="2"/>
  <c r="AK175" i="2"/>
  <c r="AK176" i="2"/>
  <c r="AK177" i="2"/>
  <c r="AK178" i="2"/>
  <c r="AK179" i="2"/>
  <c r="AK180" i="2"/>
  <c r="AK181" i="2"/>
  <c r="AK182" i="2"/>
  <c r="AK183" i="2"/>
  <c r="AK184" i="2"/>
  <c r="AK185" i="2"/>
  <c r="AK186" i="2"/>
  <c r="AK187" i="2"/>
  <c r="AK188" i="2"/>
  <c r="AK189" i="2"/>
  <c r="AK190" i="2"/>
  <c r="AK191" i="2"/>
  <c r="AK192" i="2"/>
  <c r="AK193" i="2"/>
  <c r="AK194" i="2"/>
  <c r="AK195" i="2"/>
  <c r="AK196" i="2"/>
  <c r="AK197" i="2"/>
  <c r="AK198" i="2"/>
  <c r="AK199" i="2"/>
  <c r="AK200" i="2"/>
  <c r="AK201" i="2"/>
  <c r="AK202" i="2"/>
  <c r="AK203" i="2"/>
  <c r="AK204" i="2"/>
  <c r="AK205" i="2"/>
  <c r="AK206" i="2"/>
  <c r="AK207" i="2"/>
  <c r="AK208" i="2"/>
  <c r="AK209" i="2"/>
  <c r="AK210" i="2"/>
  <c r="AK211" i="2"/>
  <c r="AK212" i="2"/>
  <c r="AK213" i="2"/>
  <c r="AK214" i="2"/>
  <c r="AK215" i="2"/>
  <c r="AK216" i="2"/>
  <c r="AK217" i="2"/>
  <c r="AK218" i="2"/>
  <c r="AK219" i="2"/>
  <c r="AK220" i="2"/>
  <c r="AK221" i="2"/>
  <c r="AK222" i="2"/>
  <c r="AK223" i="2"/>
  <c r="AK224" i="2"/>
  <c r="AK225" i="2"/>
  <c r="AK226" i="2"/>
  <c r="AK227" i="2"/>
  <c r="AK228" i="2"/>
  <c r="AK229" i="2"/>
  <c r="AK230" i="2"/>
  <c r="AK231" i="2"/>
  <c r="AJ2" i="2"/>
  <c r="AJ3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69" i="2"/>
  <c r="AJ70" i="2"/>
  <c r="AJ71" i="2"/>
  <c r="AJ72" i="2"/>
  <c r="AJ73" i="2"/>
  <c r="AJ74" i="2"/>
  <c r="AJ75" i="2"/>
  <c r="AJ76" i="2"/>
  <c r="AJ77" i="2"/>
  <c r="AJ78" i="2"/>
  <c r="AJ79" i="2"/>
  <c r="AJ80" i="2"/>
  <c r="AJ81" i="2"/>
  <c r="AJ82" i="2"/>
  <c r="AJ83" i="2"/>
  <c r="AJ84" i="2"/>
  <c r="AJ85" i="2"/>
  <c r="AJ86" i="2"/>
  <c r="AJ87" i="2"/>
  <c r="AJ88" i="2"/>
  <c r="AJ89" i="2"/>
  <c r="AJ90" i="2"/>
  <c r="AJ91" i="2"/>
  <c r="AJ92" i="2"/>
  <c r="AJ93" i="2"/>
  <c r="AJ94" i="2"/>
  <c r="AJ95" i="2"/>
  <c r="AJ96" i="2"/>
  <c r="AJ97" i="2"/>
  <c r="AJ98" i="2"/>
  <c r="AJ99" i="2"/>
  <c r="AJ100" i="2"/>
  <c r="AJ101" i="2"/>
  <c r="AJ102" i="2"/>
  <c r="AJ103" i="2"/>
  <c r="AJ104" i="2"/>
  <c r="AJ105" i="2"/>
  <c r="AJ106" i="2"/>
  <c r="AJ107" i="2"/>
  <c r="AJ108" i="2"/>
  <c r="AJ109" i="2"/>
  <c r="AJ110" i="2"/>
  <c r="AJ111" i="2"/>
  <c r="AJ112" i="2"/>
  <c r="AJ113" i="2"/>
  <c r="AJ114" i="2"/>
  <c r="AJ115" i="2"/>
  <c r="AJ116" i="2"/>
  <c r="AJ117" i="2"/>
  <c r="AJ118" i="2"/>
  <c r="AJ119" i="2"/>
  <c r="AJ120" i="2"/>
  <c r="AJ121" i="2"/>
  <c r="AJ122" i="2"/>
  <c r="AJ123" i="2"/>
  <c r="AJ124" i="2"/>
  <c r="AJ125" i="2"/>
  <c r="AJ126" i="2"/>
  <c r="AJ127" i="2"/>
  <c r="AJ128" i="2"/>
  <c r="AJ129" i="2"/>
  <c r="AJ130" i="2"/>
  <c r="AJ131" i="2"/>
  <c r="AJ132" i="2"/>
  <c r="AJ133" i="2"/>
  <c r="AJ134" i="2"/>
  <c r="AJ135" i="2"/>
  <c r="AJ136" i="2"/>
  <c r="AJ137" i="2"/>
  <c r="AJ138" i="2"/>
  <c r="AJ139" i="2"/>
  <c r="AJ140" i="2"/>
  <c r="AJ141" i="2"/>
  <c r="AJ142" i="2"/>
  <c r="AJ143" i="2"/>
  <c r="AJ144" i="2"/>
  <c r="AJ145" i="2"/>
  <c r="AJ146" i="2"/>
  <c r="AJ147" i="2"/>
  <c r="AJ148" i="2"/>
  <c r="AJ149" i="2"/>
  <c r="AJ150" i="2"/>
  <c r="AJ151" i="2"/>
  <c r="AJ152" i="2"/>
  <c r="AJ153" i="2"/>
  <c r="AJ154" i="2"/>
  <c r="AJ155" i="2"/>
  <c r="AJ156" i="2"/>
  <c r="AJ157" i="2"/>
  <c r="AJ158" i="2"/>
  <c r="AJ159" i="2"/>
  <c r="AJ160" i="2"/>
  <c r="AJ161" i="2"/>
  <c r="AJ162" i="2"/>
  <c r="AJ163" i="2"/>
  <c r="AJ164" i="2"/>
  <c r="AJ165" i="2"/>
  <c r="AJ166" i="2"/>
  <c r="AJ167" i="2"/>
  <c r="AJ168" i="2"/>
  <c r="AJ169" i="2"/>
  <c r="AJ170" i="2"/>
  <c r="AJ171" i="2"/>
  <c r="AJ172" i="2"/>
  <c r="AJ173" i="2"/>
  <c r="AJ174" i="2"/>
  <c r="AJ175" i="2"/>
  <c r="AJ176" i="2"/>
  <c r="AJ177" i="2"/>
  <c r="AJ178" i="2"/>
  <c r="AJ179" i="2"/>
  <c r="AJ180" i="2"/>
  <c r="AJ181" i="2"/>
  <c r="AJ182" i="2"/>
  <c r="AJ183" i="2"/>
  <c r="AJ184" i="2"/>
  <c r="AJ185" i="2"/>
  <c r="AJ186" i="2"/>
  <c r="AJ187" i="2"/>
  <c r="AJ188" i="2"/>
  <c r="AJ189" i="2"/>
  <c r="AJ190" i="2"/>
  <c r="AJ191" i="2"/>
  <c r="AJ192" i="2"/>
  <c r="AJ193" i="2"/>
  <c r="AJ194" i="2"/>
  <c r="AJ195" i="2"/>
  <c r="AJ196" i="2"/>
  <c r="AJ197" i="2"/>
  <c r="AJ198" i="2"/>
  <c r="AJ199" i="2"/>
  <c r="AJ200" i="2"/>
  <c r="AJ201" i="2"/>
  <c r="AJ202" i="2"/>
  <c r="AJ203" i="2"/>
  <c r="AJ204" i="2"/>
  <c r="AJ205" i="2"/>
  <c r="AJ206" i="2"/>
  <c r="AJ207" i="2"/>
  <c r="AJ208" i="2"/>
  <c r="AJ209" i="2"/>
  <c r="AJ210" i="2"/>
  <c r="AJ211" i="2"/>
  <c r="AJ212" i="2"/>
  <c r="AJ213" i="2"/>
  <c r="AJ214" i="2"/>
  <c r="AJ215" i="2"/>
  <c r="AJ216" i="2"/>
  <c r="AJ217" i="2"/>
  <c r="AJ218" i="2"/>
  <c r="AJ219" i="2"/>
  <c r="AJ220" i="2"/>
  <c r="AJ221" i="2"/>
  <c r="AJ222" i="2"/>
  <c r="AJ223" i="2"/>
  <c r="AJ224" i="2"/>
  <c r="AJ225" i="2"/>
  <c r="AJ226" i="2"/>
  <c r="AJ227" i="2"/>
  <c r="AJ228" i="2"/>
  <c r="AJ229" i="2"/>
  <c r="AJ230" i="2"/>
  <c r="AJ231" i="2"/>
  <c r="AI2" i="2"/>
  <c r="AI3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4" i="2"/>
  <c r="AI105" i="2"/>
  <c r="AI106" i="2"/>
  <c r="AI107" i="2"/>
  <c r="AI108" i="2"/>
  <c r="AI109" i="2"/>
  <c r="AI110" i="2"/>
  <c r="AI111" i="2"/>
  <c r="AI112" i="2"/>
  <c r="AI113" i="2"/>
  <c r="AI114" i="2"/>
  <c r="AI115" i="2"/>
  <c r="AI116" i="2"/>
  <c r="AI117" i="2"/>
  <c r="AI118" i="2"/>
  <c r="AI119" i="2"/>
  <c r="AI120" i="2"/>
  <c r="AI121" i="2"/>
  <c r="AI122" i="2"/>
  <c r="AI123" i="2"/>
  <c r="AI124" i="2"/>
  <c r="AI125" i="2"/>
  <c r="AI126" i="2"/>
  <c r="AI127" i="2"/>
  <c r="AI128" i="2"/>
  <c r="AI129" i="2"/>
  <c r="AI130" i="2"/>
  <c r="AI131" i="2"/>
  <c r="AI132" i="2"/>
  <c r="AI133" i="2"/>
  <c r="AI134" i="2"/>
  <c r="AI135" i="2"/>
  <c r="AI136" i="2"/>
  <c r="AI137" i="2"/>
  <c r="AI138" i="2"/>
  <c r="AI139" i="2"/>
  <c r="AI140" i="2"/>
  <c r="AI141" i="2"/>
  <c r="AI142" i="2"/>
  <c r="AI143" i="2"/>
  <c r="AI144" i="2"/>
  <c r="AI145" i="2"/>
  <c r="AI146" i="2"/>
  <c r="AI147" i="2"/>
  <c r="AI148" i="2"/>
  <c r="AI149" i="2"/>
  <c r="AI150" i="2"/>
  <c r="AI151" i="2"/>
  <c r="AI152" i="2"/>
  <c r="AI153" i="2"/>
  <c r="AI154" i="2"/>
  <c r="AI155" i="2"/>
  <c r="AI156" i="2"/>
  <c r="AI157" i="2"/>
  <c r="AI158" i="2"/>
  <c r="AI159" i="2"/>
  <c r="AI160" i="2"/>
  <c r="AI161" i="2"/>
  <c r="AI162" i="2"/>
  <c r="AI163" i="2"/>
  <c r="AI164" i="2"/>
  <c r="AI165" i="2"/>
  <c r="AI166" i="2"/>
  <c r="AI167" i="2"/>
  <c r="AI168" i="2"/>
  <c r="AI169" i="2"/>
  <c r="AI170" i="2"/>
  <c r="AI171" i="2"/>
  <c r="AI172" i="2"/>
  <c r="AI173" i="2"/>
  <c r="AI174" i="2"/>
  <c r="AI175" i="2"/>
  <c r="AI176" i="2"/>
  <c r="AI177" i="2"/>
  <c r="AI178" i="2"/>
  <c r="AI179" i="2"/>
  <c r="AI180" i="2"/>
  <c r="AI181" i="2"/>
  <c r="AI182" i="2"/>
  <c r="AI183" i="2"/>
  <c r="AI184" i="2"/>
  <c r="AI185" i="2"/>
  <c r="AI186" i="2"/>
  <c r="AI187" i="2"/>
  <c r="AI188" i="2"/>
  <c r="AI189" i="2"/>
  <c r="AI190" i="2"/>
  <c r="AI191" i="2"/>
  <c r="AI192" i="2"/>
  <c r="AI193" i="2"/>
  <c r="AI194" i="2"/>
  <c r="AI195" i="2"/>
  <c r="AI196" i="2"/>
  <c r="AI197" i="2"/>
  <c r="AI198" i="2"/>
  <c r="AI199" i="2"/>
  <c r="AI200" i="2"/>
  <c r="AI201" i="2"/>
  <c r="AI202" i="2"/>
  <c r="AI203" i="2"/>
  <c r="AI204" i="2"/>
  <c r="AI205" i="2"/>
  <c r="AI206" i="2"/>
  <c r="AI207" i="2"/>
  <c r="AI208" i="2"/>
  <c r="AI209" i="2"/>
  <c r="AI210" i="2"/>
  <c r="AI211" i="2"/>
  <c r="AI212" i="2"/>
  <c r="AI213" i="2"/>
  <c r="AI214" i="2"/>
  <c r="AI215" i="2"/>
  <c r="AI216" i="2"/>
  <c r="AI217" i="2"/>
  <c r="AI218" i="2"/>
  <c r="AI219" i="2"/>
  <c r="AI220" i="2"/>
  <c r="AI221" i="2"/>
  <c r="AI222" i="2"/>
  <c r="AI223" i="2"/>
  <c r="AI224" i="2"/>
  <c r="AI225" i="2"/>
  <c r="AI226" i="2"/>
  <c r="AI227" i="2"/>
  <c r="AI228" i="2"/>
  <c r="AI229" i="2"/>
  <c r="AI230" i="2"/>
  <c r="AI231" i="2"/>
  <c r="AH2" i="2"/>
  <c r="AH3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AH106" i="2"/>
  <c r="AH107" i="2"/>
  <c r="AH108" i="2"/>
  <c r="AH109" i="2"/>
  <c r="AH110" i="2"/>
  <c r="AH111" i="2"/>
  <c r="AH112" i="2"/>
  <c r="AH113" i="2"/>
  <c r="AH114" i="2"/>
  <c r="AH115" i="2"/>
  <c r="AH116" i="2"/>
  <c r="AH117" i="2"/>
  <c r="AH118" i="2"/>
  <c r="AH119" i="2"/>
  <c r="AH120" i="2"/>
  <c r="AH121" i="2"/>
  <c r="AH122" i="2"/>
  <c r="AH123" i="2"/>
  <c r="AH124" i="2"/>
  <c r="AH125" i="2"/>
  <c r="AH126" i="2"/>
  <c r="AH127" i="2"/>
  <c r="AH128" i="2"/>
  <c r="AH129" i="2"/>
  <c r="AH130" i="2"/>
  <c r="AH131" i="2"/>
  <c r="AH132" i="2"/>
  <c r="AH133" i="2"/>
  <c r="AH134" i="2"/>
  <c r="AH135" i="2"/>
  <c r="AH136" i="2"/>
  <c r="AH137" i="2"/>
  <c r="AH138" i="2"/>
  <c r="AH139" i="2"/>
  <c r="AH140" i="2"/>
  <c r="AH141" i="2"/>
  <c r="AH142" i="2"/>
  <c r="AH143" i="2"/>
  <c r="AH144" i="2"/>
  <c r="AH145" i="2"/>
  <c r="AH146" i="2"/>
  <c r="AH147" i="2"/>
  <c r="AH148" i="2"/>
  <c r="AH149" i="2"/>
  <c r="AH150" i="2"/>
  <c r="AH151" i="2"/>
  <c r="AH152" i="2"/>
  <c r="AH153" i="2"/>
  <c r="AH154" i="2"/>
  <c r="AH155" i="2"/>
  <c r="AH156" i="2"/>
  <c r="AH157" i="2"/>
  <c r="AH158" i="2"/>
  <c r="AH159" i="2"/>
  <c r="AH160" i="2"/>
  <c r="AH161" i="2"/>
  <c r="AH162" i="2"/>
  <c r="AH163" i="2"/>
  <c r="AH164" i="2"/>
  <c r="AH165" i="2"/>
  <c r="AH166" i="2"/>
  <c r="AH167" i="2"/>
  <c r="AH168" i="2"/>
  <c r="AH169" i="2"/>
  <c r="AH170" i="2"/>
  <c r="AH171" i="2"/>
  <c r="AH172" i="2"/>
  <c r="AH173" i="2"/>
  <c r="AH174" i="2"/>
  <c r="AH175" i="2"/>
  <c r="AH176" i="2"/>
  <c r="AH177" i="2"/>
  <c r="AH178" i="2"/>
  <c r="AH179" i="2"/>
  <c r="AH180" i="2"/>
  <c r="AH181" i="2"/>
  <c r="AH182" i="2"/>
  <c r="AH183" i="2"/>
  <c r="AH184" i="2"/>
  <c r="AH185" i="2"/>
  <c r="AH186" i="2"/>
  <c r="AH187" i="2"/>
  <c r="AH188" i="2"/>
  <c r="AH189" i="2"/>
  <c r="AH190" i="2"/>
  <c r="AH191" i="2"/>
  <c r="AH192" i="2"/>
  <c r="AH193" i="2"/>
  <c r="AH194" i="2"/>
  <c r="AH195" i="2"/>
  <c r="AH196" i="2"/>
  <c r="AH197" i="2"/>
  <c r="AH198" i="2"/>
  <c r="AH199" i="2"/>
  <c r="AH200" i="2"/>
  <c r="AH201" i="2"/>
  <c r="AH202" i="2"/>
  <c r="AH203" i="2"/>
  <c r="AH204" i="2"/>
  <c r="AH205" i="2"/>
  <c r="AH206" i="2"/>
  <c r="AH207" i="2"/>
  <c r="AH208" i="2"/>
  <c r="AH209" i="2"/>
  <c r="AH210" i="2"/>
  <c r="AH211" i="2"/>
  <c r="AH212" i="2"/>
  <c r="AH213" i="2"/>
  <c r="AH214" i="2"/>
  <c r="AH215" i="2"/>
  <c r="AH216" i="2"/>
  <c r="AH217" i="2"/>
  <c r="AH218" i="2"/>
  <c r="AH219" i="2"/>
  <c r="AH220" i="2"/>
  <c r="AH221" i="2"/>
  <c r="AH222" i="2"/>
  <c r="AH223" i="2"/>
  <c r="AH224" i="2"/>
  <c r="AH225" i="2"/>
  <c r="AH226" i="2"/>
  <c r="AH227" i="2"/>
  <c r="AH228" i="2"/>
  <c r="AH229" i="2"/>
  <c r="AG2" i="2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99" i="2"/>
  <c r="AG100" i="2"/>
  <c r="AG101" i="2"/>
  <c r="AG102" i="2"/>
  <c r="AG103" i="2"/>
  <c r="AG104" i="2"/>
  <c r="AG105" i="2"/>
  <c r="AG106" i="2"/>
  <c r="AG107" i="2"/>
  <c r="AG108" i="2"/>
  <c r="AG109" i="2"/>
  <c r="AG110" i="2"/>
  <c r="AG111" i="2"/>
  <c r="AG112" i="2"/>
  <c r="AG113" i="2"/>
  <c r="AG114" i="2"/>
  <c r="AG115" i="2"/>
  <c r="AG116" i="2"/>
  <c r="AG117" i="2"/>
  <c r="AG118" i="2"/>
  <c r="AG119" i="2"/>
  <c r="AG120" i="2"/>
  <c r="AG121" i="2"/>
  <c r="AG122" i="2"/>
  <c r="AG123" i="2"/>
  <c r="AG124" i="2"/>
  <c r="AG125" i="2"/>
  <c r="AG126" i="2"/>
  <c r="AG127" i="2"/>
  <c r="AG128" i="2"/>
  <c r="AG129" i="2"/>
  <c r="AG130" i="2"/>
  <c r="AG131" i="2"/>
  <c r="AG132" i="2"/>
  <c r="AG133" i="2"/>
  <c r="AG134" i="2"/>
  <c r="AG135" i="2"/>
  <c r="AG136" i="2"/>
  <c r="AG137" i="2"/>
  <c r="AG138" i="2"/>
  <c r="AG139" i="2"/>
  <c r="AG140" i="2"/>
  <c r="AG141" i="2"/>
  <c r="AG142" i="2"/>
  <c r="AG143" i="2"/>
  <c r="AG144" i="2"/>
  <c r="AG145" i="2"/>
  <c r="AG146" i="2"/>
  <c r="AG147" i="2"/>
  <c r="AG148" i="2"/>
  <c r="AG149" i="2"/>
  <c r="AG150" i="2"/>
  <c r="AG151" i="2"/>
  <c r="AG152" i="2"/>
  <c r="AG153" i="2"/>
  <c r="AG154" i="2"/>
  <c r="AG155" i="2"/>
  <c r="AG156" i="2"/>
  <c r="AG157" i="2"/>
  <c r="AG158" i="2"/>
  <c r="AG159" i="2"/>
  <c r="AG160" i="2"/>
  <c r="AG161" i="2"/>
  <c r="AG162" i="2"/>
  <c r="AG163" i="2"/>
  <c r="AG164" i="2"/>
  <c r="AG165" i="2"/>
  <c r="AG166" i="2"/>
  <c r="AG167" i="2"/>
  <c r="AG168" i="2"/>
  <c r="AG169" i="2"/>
  <c r="AG170" i="2"/>
  <c r="AG171" i="2"/>
  <c r="AG172" i="2"/>
  <c r="AG173" i="2"/>
  <c r="AG174" i="2"/>
  <c r="AG175" i="2"/>
  <c r="AG176" i="2"/>
  <c r="AG177" i="2"/>
  <c r="AG178" i="2"/>
  <c r="AG179" i="2"/>
  <c r="AG180" i="2"/>
  <c r="AG181" i="2"/>
  <c r="AG182" i="2"/>
  <c r="AG183" i="2"/>
  <c r="AG184" i="2"/>
  <c r="AG185" i="2"/>
  <c r="AG186" i="2"/>
  <c r="AG187" i="2"/>
  <c r="AG188" i="2"/>
  <c r="AG189" i="2"/>
  <c r="AG190" i="2"/>
  <c r="AG191" i="2"/>
  <c r="AG192" i="2"/>
  <c r="AG193" i="2"/>
  <c r="AG194" i="2"/>
  <c r="AG195" i="2"/>
  <c r="AG196" i="2"/>
  <c r="AG197" i="2"/>
  <c r="AG198" i="2"/>
  <c r="AG199" i="2"/>
  <c r="AG200" i="2"/>
  <c r="AG201" i="2"/>
  <c r="AG202" i="2"/>
  <c r="AG203" i="2"/>
  <c r="AG204" i="2"/>
  <c r="AG205" i="2"/>
  <c r="AG206" i="2"/>
  <c r="AG207" i="2"/>
  <c r="AG208" i="2"/>
  <c r="AG209" i="2"/>
  <c r="AG210" i="2"/>
  <c r="AG211" i="2"/>
  <c r="AG212" i="2"/>
  <c r="AG213" i="2"/>
  <c r="AG214" i="2"/>
  <c r="AG215" i="2"/>
  <c r="AG216" i="2"/>
  <c r="AG217" i="2"/>
  <c r="AG218" i="2"/>
  <c r="AG219" i="2"/>
  <c r="AG220" i="2"/>
  <c r="AG221" i="2"/>
  <c r="AG222" i="2"/>
  <c r="AG223" i="2"/>
  <c r="AG224" i="2"/>
  <c r="AG225" i="2"/>
  <c r="AG226" i="2"/>
  <c r="AG227" i="2"/>
  <c r="AG228" i="2"/>
  <c r="AG229" i="2"/>
  <c r="AF2" i="2"/>
  <c r="AF3" i="2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76" i="2"/>
  <c r="AF77" i="2"/>
  <c r="AF78" i="2"/>
  <c r="AF79" i="2"/>
  <c r="AF80" i="2"/>
  <c r="AF81" i="2"/>
  <c r="AF82" i="2"/>
  <c r="AF83" i="2"/>
  <c r="AF84" i="2"/>
  <c r="AF85" i="2"/>
  <c r="AF86" i="2"/>
  <c r="AF87" i="2"/>
  <c r="AF88" i="2"/>
  <c r="AF89" i="2"/>
  <c r="AF90" i="2"/>
  <c r="AF91" i="2"/>
  <c r="AF92" i="2"/>
  <c r="AF93" i="2"/>
  <c r="AF94" i="2"/>
  <c r="AF95" i="2"/>
  <c r="AF96" i="2"/>
  <c r="AF97" i="2"/>
  <c r="AF98" i="2"/>
  <c r="AF99" i="2"/>
  <c r="AF100" i="2"/>
  <c r="AF101" i="2"/>
  <c r="AF102" i="2"/>
  <c r="AF103" i="2"/>
  <c r="AF104" i="2"/>
  <c r="AF105" i="2"/>
  <c r="AF106" i="2"/>
  <c r="AF107" i="2"/>
  <c r="AF108" i="2"/>
  <c r="AF109" i="2"/>
  <c r="AF110" i="2"/>
  <c r="AF111" i="2"/>
  <c r="AF112" i="2"/>
  <c r="AF113" i="2"/>
  <c r="AF114" i="2"/>
  <c r="AF115" i="2"/>
  <c r="AF116" i="2"/>
  <c r="AF117" i="2"/>
  <c r="AF118" i="2"/>
  <c r="AF119" i="2"/>
  <c r="AF120" i="2"/>
  <c r="AF121" i="2"/>
  <c r="AF122" i="2"/>
  <c r="AF123" i="2"/>
  <c r="AF124" i="2"/>
  <c r="AF125" i="2"/>
  <c r="AF126" i="2"/>
  <c r="AF127" i="2"/>
  <c r="AF128" i="2"/>
  <c r="AF129" i="2"/>
  <c r="AF130" i="2"/>
  <c r="AF131" i="2"/>
  <c r="AF132" i="2"/>
  <c r="AF133" i="2"/>
  <c r="AF134" i="2"/>
  <c r="AF135" i="2"/>
  <c r="AF136" i="2"/>
  <c r="AF137" i="2"/>
  <c r="AF138" i="2"/>
  <c r="AF139" i="2"/>
  <c r="AF140" i="2"/>
  <c r="AF141" i="2"/>
  <c r="AF142" i="2"/>
  <c r="AF143" i="2"/>
  <c r="AF144" i="2"/>
  <c r="AF145" i="2"/>
  <c r="AF146" i="2"/>
  <c r="AF147" i="2"/>
  <c r="AF148" i="2"/>
  <c r="AF149" i="2"/>
  <c r="AF150" i="2"/>
  <c r="AF151" i="2"/>
  <c r="AF152" i="2"/>
  <c r="AF153" i="2"/>
  <c r="AF154" i="2"/>
  <c r="AF155" i="2"/>
  <c r="AF156" i="2"/>
  <c r="AF157" i="2"/>
  <c r="AF158" i="2"/>
  <c r="AF159" i="2"/>
  <c r="AF160" i="2"/>
  <c r="AF161" i="2"/>
  <c r="AF162" i="2"/>
  <c r="AF163" i="2"/>
  <c r="AF164" i="2"/>
  <c r="AF165" i="2"/>
  <c r="AF166" i="2"/>
  <c r="AF167" i="2"/>
  <c r="AF168" i="2"/>
  <c r="AF169" i="2"/>
  <c r="AF170" i="2"/>
  <c r="AF171" i="2"/>
  <c r="AF172" i="2"/>
  <c r="AF173" i="2"/>
  <c r="AF174" i="2"/>
  <c r="AF175" i="2"/>
  <c r="AF176" i="2"/>
  <c r="AF177" i="2"/>
  <c r="AF178" i="2"/>
  <c r="AF179" i="2"/>
  <c r="AF180" i="2"/>
  <c r="AF181" i="2"/>
  <c r="AF182" i="2"/>
  <c r="AF183" i="2"/>
  <c r="AF184" i="2"/>
  <c r="AF185" i="2"/>
  <c r="AF186" i="2"/>
  <c r="AF187" i="2"/>
  <c r="AF188" i="2"/>
  <c r="AF189" i="2"/>
  <c r="AF190" i="2"/>
  <c r="AF191" i="2"/>
  <c r="AF192" i="2"/>
  <c r="AF193" i="2"/>
  <c r="AF194" i="2"/>
  <c r="AF195" i="2"/>
  <c r="AF196" i="2"/>
  <c r="AF197" i="2"/>
  <c r="AF198" i="2"/>
  <c r="AF199" i="2"/>
  <c r="AF200" i="2"/>
  <c r="AF201" i="2"/>
  <c r="AF202" i="2"/>
  <c r="AF203" i="2"/>
  <c r="AF204" i="2"/>
  <c r="AF205" i="2"/>
  <c r="AF206" i="2"/>
  <c r="AF207" i="2"/>
  <c r="AF208" i="2"/>
  <c r="AF209" i="2"/>
  <c r="AF210" i="2"/>
  <c r="AF211" i="2"/>
  <c r="AF212" i="2"/>
  <c r="AF213" i="2"/>
  <c r="AF214" i="2"/>
  <c r="AF215" i="2"/>
  <c r="AF216" i="2"/>
  <c r="AF217" i="2"/>
  <c r="AF218" i="2"/>
  <c r="AF219" i="2"/>
  <c r="AF220" i="2"/>
  <c r="AF221" i="2"/>
  <c r="AF222" i="2"/>
  <c r="AF223" i="2"/>
  <c r="AF224" i="2"/>
  <c r="AF225" i="2"/>
  <c r="AF230" i="2"/>
  <c r="AF231" i="2"/>
  <c r="AE2" i="2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E107" i="2"/>
  <c r="AE108" i="2"/>
  <c r="AE109" i="2"/>
  <c r="AE110" i="2"/>
  <c r="AE111" i="2"/>
  <c r="AE112" i="2"/>
  <c r="AE113" i="2"/>
  <c r="AE114" i="2"/>
  <c r="AE115" i="2"/>
  <c r="AE116" i="2"/>
  <c r="AE117" i="2"/>
  <c r="AE118" i="2"/>
  <c r="AE119" i="2"/>
  <c r="AE120" i="2"/>
  <c r="AE121" i="2"/>
  <c r="AE122" i="2"/>
  <c r="AE123" i="2"/>
  <c r="AE124" i="2"/>
  <c r="AE125" i="2"/>
  <c r="AE126" i="2"/>
  <c r="AE127" i="2"/>
  <c r="AE128" i="2"/>
  <c r="AE129" i="2"/>
  <c r="AE130" i="2"/>
  <c r="AE131" i="2"/>
  <c r="AE132" i="2"/>
  <c r="AE133" i="2"/>
  <c r="AE134" i="2"/>
  <c r="AE135" i="2"/>
  <c r="AE136" i="2"/>
  <c r="AE137" i="2"/>
  <c r="AE138" i="2"/>
  <c r="AE139" i="2"/>
  <c r="AE140" i="2"/>
  <c r="AE141" i="2"/>
  <c r="AE142" i="2"/>
  <c r="AE143" i="2"/>
  <c r="AE144" i="2"/>
  <c r="AE145" i="2"/>
  <c r="AE146" i="2"/>
  <c r="AE147" i="2"/>
  <c r="AE148" i="2"/>
  <c r="AE149" i="2"/>
  <c r="AE150" i="2"/>
  <c r="AE151" i="2"/>
  <c r="AE152" i="2"/>
  <c r="AE153" i="2"/>
  <c r="AE154" i="2"/>
  <c r="AE155" i="2"/>
  <c r="AE156" i="2"/>
  <c r="AE157" i="2"/>
  <c r="AE158" i="2"/>
  <c r="AE159" i="2"/>
  <c r="AE160" i="2"/>
  <c r="AE161" i="2"/>
  <c r="AE162" i="2"/>
  <c r="AE163" i="2"/>
  <c r="AE164" i="2"/>
  <c r="AE165" i="2"/>
  <c r="AE166" i="2"/>
  <c r="AE167" i="2"/>
  <c r="AE168" i="2"/>
  <c r="AE169" i="2"/>
  <c r="AE170" i="2"/>
  <c r="AE171" i="2"/>
  <c r="AE172" i="2"/>
  <c r="AE173" i="2"/>
  <c r="AE174" i="2"/>
  <c r="AE175" i="2"/>
  <c r="AE176" i="2"/>
  <c r="AE177" i="2"/>
  <c r="AE178" i="2"/>
  <c r="AE179" i="2"/>
  <c r="AE180" i="2"/>
  <c r="AE181" i="2"/>
  <c r="AE182" i="2"/>
  <c r="AE183" i="2"/>
  <c r="AE184" i="2"/>
  <c r="AE185" i="2"/>
  <c r="AE186" i="2"/>
  <c r="AE187" i="2"/>
  <c r="AE188" i="2"/>
  <c r="AE189" i="2"/>
  <c r="AE190" i="2"/>
  <c r="AE191" i="2"/>
  <c r="AE192" i="2"/>
  <c r="AE193" i="2"/>
  <c r="AE194" i="2"/>
  <c r="AE195" i="2"/>
  <c r="AE196" i="2"/>
  <c r="AE197" i="2"/>
  <c r="AE198" i="2"/>
  <c r="AE199" i="2"/>
  <c r="AE200" i="2"/>
  <c r="AE201" i="2"/>
  <c r="AE202" i="2"/>
  <c r="AE203" i="2"/>
  <c r="AE204" i="2"/>
  <c r="AE205" i="2"/>
  <c r="AE206" i="2"/>
  <c r="AE207" i="2"/>
  <c r="AE208" i="2"/>
  <c r="AE209" i="2"/>
  <c r="AE210" i="2"/>
  <c r="AE211" i="2"/>
  <c r="AE212" i="2"/>
  <c r="AE213" i="2"/>
  <c r="AE214" i="2"/>
  <c r="AE215" i="2"/>
  <c r="AE216" i="2"/>
  <c r="AE217" i="2"/>
  <c r="AE218" i="2"/>
  <c r="AE219" i="2"/>
  <c r="AE220" i="2"/>
  <c r="AE221" i="2"/>
  <c r="AE222" i="2"/>
  <c r="AE223" i="2"/>
  <c r="AE224" i="2"/>
  <c r="AE225" i="2"/>
  <c r="AE226" i="2"/>
  <c r="AE227" i="2"/>
  <c r="AE230" i="2"/>
  <c r="AE231" i="2"/>
  <c r="X2" i="2" a="1"/>
  <c r="X3" i="2" a="1"/>
  <c r="X4" i="2" a="1"/>
  <c r="X5" i="2" a="1"/>
  <c r="X6" i="2" a="1"/>
  <c r="X7" i="2" a="1"/>
  <c r="X8" i="2" a="1"/>
  <c r="X9" i="2" a="1"/>
  <c r="X10" i="2" a="1"/>
  <c r="X11" i="2" a="1"/>
  <c r="X12" i="2" a="1"/>
  <c r="X13" i="2" a="1"/>
  <c r="X14" i="2" a="1"/>
  <c r="X15" i="2" a="1"/>
  <c r="X16" i="2" a="1"/>
  <c r="X17" i="2" a="1"/>
  <c r="X18" i="2" a="1"/>
  <c r="X19" i="2" a="1"/>
  <c r="X20" i="2" a="1"/>
  <c r="X21" i="2" a="1"/>
  <c r="X22" i="2" a="1"/>
  <c r="X23" i="2" a="1"/>
  <c r="X24" i="2" a="1"/>
  <c r="X25" i="2" a="1"/>
  <c r="X26" i="2" a="1"/>
  <c r="X27" i="2" a="1"/>
  <c r="X28" i="2" a="1"/>
  <c r="X29" i="2" a="1"/>
  <c r="X30" i="2" a="1"/>
  <c r="X31" i="2" a="1"/>
  <c r="X32" i="2" a="1"/>
  <c r="X33" i="2" a="1"/>
  <c r="X34" i="2" a="1"/>
  <c r="X35" i="2" a="1"/>
  <c r="X36" i="2" a="1"/>
  <c r="X37" i="2" a="1"/>
  <c r="X38" i="2" a="1"/>
  <c r="X39" i="2" a="1"/>
  <c r="X40" i="2" a="1"/>
  <c r="X41" i="2" a="1"/>
  <c r="X42" i="2" a="1"/>
  <c r="X43" i="2" a="1"/>
  <c r="X44" i="2" a="1"/>
  <c r="X45" i="2" a="1"/>
  <c r="X46" i="2" a="1"/>
  <c r="X47" i="2" a="1"/>
  <c r="X48" i="2" a="1"/>
  <c r="X49" i="2" a="1"/>
  <c r="X50" i="2" a="1"/>
  <c r="X51" i="2" a="1"/>
  <c r="X52" i="2" a="1"/>
  <c r="X53" i="2" a="1"/>
  <c r="X54" i="2" a="1"/>
  <c r="X55" i="2" a="1"/>
  <c r="X56" i="2" a="1"/>
  <c r="X57" i="2" a="1"/>
  <c r="X58" i="2" a="1"/>
  <c r="X59" i="2" a="1"/>
  <c r="X60" i="2" a="1"/>
  <c r="X61" i="2" a="1"/>
  <c r="X62" i="2" a="1"/>
  <c r="X63" i="2" a="1"/>
  <c r="X64" i="2" a="1"/>
  <c r="X65" i="2" a="1"/>
  <c r="X66" i="2" a="1"/>
  <c r="X67" i="2" a="1"/>
  <c r="X68" i="2" a="1"/>
  <c r="X69" i="2" a="1"/>
  <c r="X70" i="2" a="1"/>
  <c r="X71" i="2" a="1"/>
  <c r="X72" i="2" a="1"/>
  <c r="X73" i="2" a="1"/>
  <c r="X74" i="2" a="1"/>
  <c r="X75" i="2" a="1"/>
  <c r="X76" i="2" a="1"/>
  <c r="X77" i="2" a="1"/>
  <c r="X78" i="2" a="1"/>
  <c r="X79" i="2" a="1"/>
  <c r="X80" i="2" a="1"/>
  <c r="X81" i="2" a="1"/>
  <c r="X82" i="2" a="1"/>
  <c r="X83" i="2" a="1"/>
  <c r="X84" i="2" a="1"/>
  <c r="X85" i="2" a="1"/>
  <c r="X86" i="2" a="1"/>
  <c r="X87" i="2" a="1"/>
  <c r="X88" i="2" a="1"/>
  <c r="X89" i="2" a="1"/>
  <c r="X90" i="2" a="1"/>
  <c r="X91" i="2" a="1"/>
  <c r="X92" i="2" a="1"/>
  <c r="X93" i="2" a="1"/>
  <c r="X94" i="2" a="1"/>
  <c r="X95" i="2" a="1"/>
  <c r="X96" i="2" a="1"/>
  <c r="X97" i="2" a="1"/>
  <c r="X98" i="2" a="1"/>
  <c r="X99" i="2" a="1"/>
  <c r="X100" i="2" a="1"/>
  <c r="X101" i="2" a="1"/>
  <c r="X102" i="2" a="1"/>
  <c r="X103" i="2" a="1"/>
  <c r="X104" i="2" a="1"/>
  <c r="X105" i="2" a="1"/>
  <c r="X106" i="2" a="1"/>
  <c r="X107" i="2" a="1"/>
  <c r="X108" i="2" a="1"/>
  <c r="X109" i="2" a="1"/>
  <c r="X110" i="2" a="1"/>
  <c r="X111" i="2" a="1"/>
  <c r="X112" i="2" a="1"/>
  <c r="X113" i="2" a="1"/>
  <c r="X114" i="2" a="1"/>
  <c r="X115" i="2" a="1"/>
  <c r="X116" i="2" a="1"/>
  <c r="X117" i="2" a="1"/>
  <c r="X118" i="2" a="1"/>
  <c r="X119" i="2" a="1"/>
  <c r="X120" i="2" a="1"/>
  <c r="X121" i="2" a="1"/>
  <c r="X122" i="2" a="1"/>
  <c r="X123" i="2" a="1"/>
  <c r="X124" i="2" a="1"/>
  <c r="X125" i="2" a="1"/>
  <c r="X126" i="2" a="1"/>
  <c r="X127" i="2" a="1"/>
  <c r="X128" i="2" a="1"/>
  <c r="X129" i="2" a="1"/>
  <c r="X130" i="2" a="1"/>
  <c r="X131" i="2" a="1"/>
  <c r="X132" i="2" a="1"/>
  <c r="X133" i="2" a="1"/>
  <c r="X134" i="2" a="1"/>
  <c r="X135" i="2" a="1"/>
  <c r="X136" i="2" a="1"/>
  <c r="X137" i="2" a="1"/>
  <c r="X138" i="2" a="1"/>
  <c r="X139" i="2" a="1"/>
  <c r="X140" i="2" a="1"/>
  <c r="X141" i="2" a="1"/>
  <c r="X142" i="2" a="1"/>
  <c r="X143" i="2" a="1"/>
  <c r="X144" i="2" a="1"/>
  <c r="X145" i="2" a="1"/>
  <c r="X146" i="2" a="1"/>
  <c r="X147" i="2" a="1"/>
  <c r="X148" i="2" a="1"/>
  <c r="X149" i="2" a="1"/>
  <c r="X150" i="2" a="1"/>
  <c r="X151" i="2" a="1"/>
  <c r="X152" i="2" a="1"/>
  <c r="X153" i="2" a="1"/>
  <c r="X154" i="2" a="1"/>
  <c r="X155" i="2" a="1"/>
  <c r="X156" i="2" a="1"/>
  <c r="X157" i="2" a="1"/>
  <c r="X158" i="2" a="1"/>
  <c r="X159" i="2" a="1"/>
  <c r="X160" i="2" a="1"/>
  <c r="X161" i="2" a="1"/>
  <c r="X162" i="2" a="1"/>
  <c r="X163" i="2" a="1"/>
  <c r="X164" i="2" a="1"/>
  <c r="X165" i="2" a="1"/>
  <c r="X166" i="2" a="1"/>
  <c r="X167" i="2" a="1"/>
  <c r="X168" i="2" a="1"/>
  <c r="X169" i="2" a="1"/>
  <c r="X170" i="2" a="1"/>
  <c r="X171" i="2" a="1"/>
  <c r="X172" i="2" a="1"/>
  <c r="X173" i="2" a="1"/>
  <c r="X174" i="2" a="1"/>
  <c r="X175" i="2" a="1"/>
  <c r="X176" i="2" a="1"/>
  <c r="X177" i="2" a="1"/>
  <c r="X178" i="2" a="1"/>
  <c r="X179" i="2" a="1"/>
  <c r="X180" i="2" a="1"/>
  <c r="X181" i="2" a="1"/>
  <c r="X182" i="2" a="1"/>
  <c r="X183" i="2" a="1"/>
  <c r="X184" i="2" a="1"/>
  <c r="X185" i="2" a="1"/>
  <c r="X186" i="2" a="1"/>
  <c r="X187" i="2" a="1"/>
  <c r="X188" i="2" a="1"/>
  <c r="X189" i="2" a="1"/>
  <c r="X190" i="2" a="1"/>
  <c r="X191" i="2" a="1"/>
  <c r="X192" i="2" a="1"/>
  <c r="X193" i="2" a="1"/>
  <c r="X194" i="2" a="1"/>
  <c r="X195" i="2" a="1"/>
  <c r="X196" i="2" a="1"/>
  <c r="X197" i="2" a="1"/>
  <c r="X198" i="2" a="1"/>
  <c r="X199" i="2" a="1"/>
  <c r="X200" i="2" a="1"/>
  <c r="X201" i="2" a="1"/>
  <c r="X202" i="2" a="1"/>
  <c r="X203" i="2" a="1"/>
  <c r="X204" i="2" a="1"/>
  <c r="X205" i="2" a="1"/>
  <c r="X206" i="2" a="1"/>
  <c r="X207" i="2" a="1"/>
  <c r="X208" i="2" a="1"/>
  <c r="X209" i="2" a="1"/>
  <c r="X210" i="2" a="1"/>
  <c r="X211" i="2" a="1"/>
  <c r="X212" i="2" a="1"/>
  <c r="X213" i="2" a="1"/>
  <c r="X214" i="2" a="1"/>
  <c r="X215" i="2" a="1"/>
  <c r="X216" i="2" a="1"/>
  <c r="X217" i="2" a="1"/>
  <c r="X218" i="2" a="1"/>
  <c r="X219" i="2" a="1"/>
  <c r="X220" i="2" a="1"/>
  <c r="X221" i="2" a="1"/>
  <c r="X222" i="2" a="1"/>
  <c r="X223" i="2" a="1"/>
  <c r="X224" i="2" a="1"/>
  <c r="X225" i="2" a="1"/>
  <c r="X226" i="2" a="1"/>
  <c r="X227" i="2" a="1"/>
  <c r="X228" i="2" a="1"/>
  <c r="X229" i="2" a="1"/>
  <c r="X230" i="2" a="1"/>
  <c r="X231" i="2" a="1"/>
  <c r="U2" i="2"/>
  <c r="V2" i="2" s="1"/>
  <c r="U3" i="2"/>
  <c r="V3" i="2" s="1"/>
  <c r="U4" i="2"/>
  <c r="V4" i="2" s="1"/>
  <c r="U5" i="2"/>
  <c r="V5" i="2" s="1"/>
  <c r="U6" i="2"/>
  <c r="V6" i="2" s="1"/>
  <c r="U7" i="2"/>
  <c r="V7" i="2" s="1"/>
  <c r="U8" i="2"/>
  <c r="V8" i="2" s="1"/>
  <c r="U9" i="2"/>
  <c r="V9" i="2" s="1"/>
  <c r="U10" i="2"/>
  <c r="V10" i="2" s="1"/>
  <c r="U11" i="2"/>
  <c r="V11" i="2" s="1"/>
  <c r="U12" i="2"/>
  <c r="V12" i="2" s="1"/>
  <c r="U13" i="2"/>
  <c r="V13" i="2" s="1"/>
  <c r="U14" i="2"/>
  <c r="V14" i="2" s="1"/>
  <c r="U15" i="2"/>
  <c r="V15" i="2" s="1"/>
  <c r="U16" i="2"/>
  <c r="V16" i="2" s="1"/>
  <c r="U17" i="2"/>
  <c r="V17" i="2" s="1"/>
  <c r="U18" i="2"/>
  <c r="V18" i="2" s="1"/>
  <c r="U19" i="2"/>
  <c r="V19" i="2" s="1"/>
  <c r="U20" i="2"/>
  <c r="V20" i="2" s="1"/>
  <c r="U21" i="2"/>
  <c r="V21" i="2" s="1"/>
  <c r="U22" i="2"/>
  <c r="V22" i="2" s="1"/>
  <c r="U23" i="2"/>
  <c r="V23" i="2" s="1"/>
  <c r="U24" i="2"/>
  <c r="V24" i="2" s="1"/>
  <c r="U25" i="2"/>
  <c r="V25" i="2" s="1"/>
  <c r="U26" i="2"/>
  <c r="V26" i="2" s="1"/>
  <c r="U27" i="2"/>
  <c r="V27" i="2" s="1"/>
  <c r="U28" i="2"/>
  <c r="V28" i="2" s="1"/>
  <c r="U29" i="2"/>
  <c r="V29" i="2" s="1"/>
  <c r="U30" i="2"/>
  <c r="V30" i="2" s="1"/>
  <c r="U31" i="2"/>
  <c r="V31" i="2" s="1"/>
  <c r="U32" i="2"/>
  <c r="V32" i="2" s="1"/>
  <c r="U33" i="2"/>
  <c r="V33" i="2" s="1"/>
  <c r="U34" i="2"/>
  <c r="V34" i="2" s="1"/>
  <c r="U35" i="2"/>
  <c r="V35" i="2" s="1"/>
  <c r="U36" i="2"/>
  <c r="V36" i="2" s="1"/>
  <c r="U37" i="2"/>
  <c r="V37" i="2" s="1"/>
  <c r="U38" i="2"/>
  <c r="V38" i="2" s="1"/>
  <c r="U39" i="2"/>
  <c r="V39" i="2" s="1"/>
  <c r="U40" i="2"/>
  <c r="V40" i="2" s="1"/>
  <c r="U41" i="2"/>
  <c r="V41" i="2" s="1"/>
  <c r="U42" i="2"/>
  <c r="V42" i="2" s="1"/>
  <c r="U43" i="2"/>
  <c r="V43" i="2" s="1"/>
  <c r="U44" i="2"/>
  <c r="V44" i="2" s="1"/>
  <c r="U45" i="2"/>
  <c r="V45" i="2" s="1"/>
  <c r="U46" i="2"/>
  <c r="V46" i="2" s="1"/>
  <c r="U47" i="2"/>
  <c r="V47" i="2" s="1"/>
  <c r="U48" i="2"/>
  <c r="V48" i="2" s="1"/>
  <c r="U49" i="2"/>
  <c r="V49" i="2" s="1"/>
  <c r="U50" i="2"/>
  <c r="V50" i="2" s="1"/>
  <c r="U51" i="2"/>
  <c r="V51" i="2" s="1"/>
  <c r="U52" i="2"/>
  <c r="V52" i="2" s="1"/>
  <c r="U53" i="2"/>
  <c r="V53" i="2" s="1"/>
  <c r="U54" i="2"/>
  <c r="V54" i="2" s="1"/>
  <c r="U55" i="2"/>
  <c r="V55" i="2" s="1"/>
  <c r="U56" i="2"/>
  <c r="V56" i="2" s="1"/>
  <c r="U57" i="2"/>
  <c r="V57" i="2" s="1"/>
  <c r="U58" i="2"/>
  <c r="V58" i="2" s="1"/>
  <c r="U59" i="2"/>
  <c r="V59" i="2" s="1"/>
  <c r="U60" i="2"/>
  <c r="V60" i="2" s="1"/>
  <c r="U61" i="2"/>
  <c r="V61" i="2" s="1"/>
  <c r="U62" i="2"/>
  <c r="V62" i="2" s="1"/>
  <c r="U63" i="2"/>
  <c r="V63" i="2" s="1"/>
  <c r="U64" i="2"/>
  <c r="V64" i="2" s="1"/>
  <c r="U65" i="2"/>
  <c r="V65" i="2" s="1"/>
  <c r="U66" i="2"/>
  <c r="V66" i="2" s="1"/>
  <c r="U67" i="2"/>
  <c r="V67" i="2" s="1"/>
  <c r="U68" i="2"/>
  <c r="V68" i="2" s="1"/>
  <c r="U69" i="2"/>
  <c r="V69" i="2" s="1"/>
  <c r="U70" i="2"/>
  <c r="V70" i="2" s="1"/>
  <c r="U71" i="2"/>
  <c r="V71" i="2" s="1"/>
  <c r="U72" i="2"/>
  <c r="V72" i="2" s="1"/>
  <c r="U73" i="2"/>
  <c r="V73" i="2" s="1"/>
  <c r="U74" i="2"/>
  <c r="V74" i="2" s="1"/>
  <c r="U75" i="2"/>
  <c r="V75" i="2" s="1"/>
  <c r="U76" i="2"/>
  <c r="V76" i="2" s="1"/>
  <c r="U77" i="2"/>
  <c r="V77" i="2" s="1"/>
  <c r="U78" i="2"/>
  <c r="V78" i="2" s="1"/>
  <c r="U79" i="2"/>
  <c r="V79" i="2" s="1"/>
  <c r="U80" i="2"/>
  <c r="V80" i="2" s="1"/>
  <c r="U81" i="2"/>
  <c r="V81" i="2" s="1"/>
  <c r="U82" i="2"/>
  <c r="V82" i="2" s="1"/>
  <c r="U83" i="2"/>
  <c r="V83" i="2" s="1"/>
  <c r="U84" i="2"/>
  <c r="V84" i="2" s="1"/>
  <c r="U85" i="2"/>
  <c r="V85" i="2" s="1"/>
  <c r="U86" i="2"/>
  <c r="V86" i="2" s="1"/>
  <c r="U87" i="2"/>
  <c r="V87" i="2" s="1"/>
  <c r="U88" i="2"/>
  <c r="V88" i="2" s="1"/>
  <c r="U89" i="2"/>
  <c r="V89" i="2" s="1"/>
  <c r="U90" i="2"/>
  <c r="V90" i="2" s="1"/>
  <c r="U91" i="2"/>
  <c r="V91" i="2" s="1"/>
  <c r="U92" i="2"/>
  <c r="V92" i="2" s="1"/>
  <c r="U93" i="2"/>
  <c r="V93" i="2" s="1"/>
  <c r="U94" i="2"/>
  <c r="V94" i="2" s="1"/>
  <c r="U95" i="2"/>
  <c r="V95" i="2" s="1"/>
  <c r="U96" i="2"/>
  <c r="V96" i="2" s="1"/>
  <c r="U97" i="2"/>
  <c r="V97" i="2" s="1"/>
  <c r="U98" i="2"/>
  <c r="V98" i="2" s="1"/>
  <c r="U99" i="2"/>
  <c r="V99" i="2" s="1"/>
  <c r="U100" i="2"/>
  <c r="V100" i="2" s="1"/>
  <c r="U101" i="2"/>
  <c r="V101" i="2" s="1"/>
  <c r="U102" i="2"/>
  <c r="V102" i="2" s="1"/>
  <c r="U103" i="2"/>
  <c r="V103" i="2" s="1"/>
  <c r="U104" i="2"/>
  <c r="V104" i="2" s="1"/>
  <c r="U105" i="2"/>
  <c r="V105" i="2" s="1"/>
  <c r="U106" i="2"/>
  <c r="V106" i="2" s="1"/>
  <c r="U107" i="2"/>
  <c r="V107" i="2" s="1"/>
  <c r="U108" i="2"/>
  <c r="V108" i="2" s="1"/>
  <c r="U109" i="2"/>
  <c r="V109" i="2" s="1"/>
  <c r="U110" i="2"/>
  <c r="V110" i="2" s="1"/>
  <c r="U111" i="2"/>
  <c r="V111" i="2" s="1"/>
  <c r="U112" i="2"/>
  <c r="V112" i="2" s="1"/>
  <c r="U113" i="2"/>
  <c r="V113" i="2" s="1"/>
  <c r="U114" i="2"/>
  <c r="V114" i="2" s="1"/>
  <c r="U115" i="2"/>
  <c r="V115" i="2" s="1"/>
  <c r="U116" i="2"/>
  <c r="V116" i="2" s="1"/>
  <c r="U117" i="2"/>
  <c r="V117" i="2" s="1"/>
  <c r="U118" i="2"/>
  <c r="V118" i="2" s="1"/>
  <c r="U119" i="2"/>
  <c r="V119" i="2" s="1"/>
  <c r="U120" i="2"/>
  <c r="V120" i="2" s="1"/>
  <c r="U121" i="2"/>
  <c r="V121" i="2" s="1"/>
  <c r="U122" i="2"/>
  <c r="V122" i="2" s="1"/>
  <c r="U123" i="2"/>
  <c r="V123" i="2" s="1"/>
  <c r="U124" i="2"/>
  <c r="V124" i="2" s="1"/>
  <c r="U125" i="2"/>
  <c r="V125" i="2" s="1"/>
  <c r="U126" i="2"/>
  <c r="V126" i="2" s="1"/>
  <c r="U127" i="2"/>
  <c r="V127" i="2" s="1"/>
  <c r="U128" i="2"/>
  <c r="V128" i="2" s="1"/>
  <c r="U129" i="2"/>
  <c r="V129" i="2" s="1"/>
  <c r="U130" i="2"/>
  <c r="V130" i="2" s="1"/>
  <c r="U131" i="2"/>
  <c r="V131" i="2" s="1"/>
  <c r="U132" i="2"/>
  <c r="V132" i="2" s="1"/>
  <c r="U133" i="2"/>
  <c r="V133" i="2" s="1"/>
  <c r="U134" i="2"/>
  <c r="V134" i="2" s="1"/>
  <c r="U135" i="2"/>
  <c r="V135" i="2" s="1"/>
  <c r="U136" i="2"/>
  <c r="V136" i="2" s="1"/>
  <c r="U137" i="2"/>
  <c r="V137" i="2" s="1"/>
  <c r="U138" i="2"/>
  <c r="V138" i="2" s="1"/>
  <c r="U139" i="2"/>
  <c r="V139" i="2" s="1"/>
  <c r="U140" i="2"/>
  <c r="V140" i="2" s="1"/>
  <c r="U141" i="2"/>
  <c r="V141" i="2" s="1"/>
  <c r="U142" i="2"/>
  <c r="V142" i="2" s="1"/>
  <c r="U143" i="2"/>
  <c r="V143" i="2" s="1"/>
  <c r="U144" i="2"/>
  <c r="V144" i="2" s="1"/>
  <c r="U145" i="2"/>
  <c r="V145" i="2" s="1"/>
  <c r="U146" i="2"/>
  <c r="V146" i="2" s="1"/>
  <c r="U147" i="2"/>
  <c r="V147" i="2" s="1"/>
  <c r="U148" i="2"/>
  <c r="V148" i="2" s="1"/>
  <c r="U149" i="2"/>
  <c r="V149" i="2" s="1"/>
  <c r="U150" i="2"/>
  <c r="V150" i="2" s="1"/>
  <c r="U151" i="2"/>
  <c r="V151" i="2" s="1"/>
  <c r="U152" i="2"/>
  <c r="V152" i="2" s="1"/>
  <c r="U153" i="2"/>
  <c r="V153" i="2" s="1"/>
  <c r="U154" i="2"/>
  <c r="V154" i="2" s="1"/>
  <c r="U155" i="2"/>
  <c r="V155" i="2" s="1"/>
  <c r="U156" i="2"/>
  <c r="V156" i="2" s="1"/>
  <c r="U157" i="2"/>
  <c r="V157" i="2" s="1"/>
  <c r="U158" i="2"/>
  <c r="V158" i="2" s="1"/>
  <c r="U159" i="2"/>
  <c r="V159" i="2" s="1"/>
  <c r="U160" i="2"/>
  <c r="V160" i="2" s="1"/>
  <c r="U161" i="2"/>
  <c r="V161" i="2" s="1"/>
  <c r="U162" i="2"/>
  <c r="V162" i="2" s="1"/>
  <c r="U163" i="2"/>
  <c r="V163" i="2" s="1"/>
  <c r="U164" i="2"/>
  <c r="V164" i="2" s="1"/>
  <c r="U165" i="2"/>
  <c r="V165" i="2" s="1"/>
  <c r="U166" i="2"/>
  <c r="V166" i="2" s="1"/>
  <c r="U167" i="2"/>
  <c r="V167" i="2" s="1"/>
  <c r="U168" i="2"/>
  <c r="V168" i="2" s="1"/>
  <c r="U169" i="2"/>
  <c r="V169" i="2" s="1"/>
  <c r="U170" i="2"/>
  <c r="V170" i="2" s="1"/>
  <c r="U171" i="2"/>
  <c r="V171" i="2" s="1"/>
  <c r="U172" i="2"/>
  <c r="V172" i="2" s="1"/>
  <c r="U173" i="2"/>
  <c r="V173" i="2" s="1"/>
  <c r="U174" i="2"/>
  <c r="V174" i="2" s="1"/>
  <c r="U175" i="2"/>
  <c r="V175" i="2" s="1"/>
  <c r="U176" i="2"/>
  <c r="V176" i="2" s="1"/>
  <c r="U177" i="2"/>
  <c r="V177" i="2" s="1"/>
  <c r="U178" i="2"/>
  <c r="V178" i="2" s="1"/>
  <c r="U179" i="2"/>
  <c r="V179" i="2" s="1"/>
  <c r="U180" i="2"/>
  <c r="V180" i="2" s="1"/>
  <c r="U181" i="2"/>
  <c r="V181" i="2" s="1"/>
  <c r="U182" i="2"/>
  <c r="V182" i="2" s="1"/>
  <c r="U183" i="2"/>
  <c r="V183" i="2" s="1"/>
  <c r="U184" i="2"/>
  <c r="V184" i="2" s="1"/>
  <c r="U185" i="2"/>
  <c r="V185" i="2" s="1"/>
  <c r="U186" i="2"/>
  <c r="V186" i="2" s="1"/>
  <c r="U187" i="2"/>
  <c r="V187" i="2" s="1"/>
  <c r="U188" i="2"/>
  <c r="V188" i="2" s="1"/>
  <c r="U189" i="2"/>
  <c r="V189" i="2" s="1"/>
  <c r="U190" i="2"/>
  <c r="V190" i="2" s="1"/>
  <c r="U191" i="2"/>
  <c r="V191" i="2" s="1"/>
  <c r="U192" i="2"/>
  <c r="V192" i="2" s="1"/>
  <c r="U193" i="2"/>
  <c r="V193" i="2" s="1"/>
  <c r="U194" i="2"/>
  <c r="V194" i="2" s="1"/>
  <c r="U195" i="2"/>
  <c r="V195" i="2" s="1"/>
  <c r="U196" i="2"/>
  <c r="V196" i="2" s="1"/>
  <c r="U197" i="2"/>
  <c r="V197" i="2" s="1"/>
  <c r="U198" i="2"/>
  <c r="V198" i="2" s="1"/>
  <c r="U199" i="2"/>
  <c r="V199" i="2" s="1"/>
  <c r="U200" i="2"/>
  <c r="V200" i="2" s="1"/>
  <c r="U201" i="2"/>
  <c r="V201" i="2" s="1"/>
  <c r="U202" i="2"/>
  <c r="V202" i="2" s="1"/>
  <c r="U203" i="2"/>
  <c r="V203" i="2" s="1"/>
  <c r="U204" i="2"/>
  <c r="V204" i="2" s="1"/>
  <c r="U205" i="2"/>
  <c r="V205" i="2" s="1"/>
  <c r="U206" i="2"/>
  <c r="V206" i="2" s="1"/>
  <c r="U207" i="2"/>
  <c r="V207" i="2" s="1"/>
  <c r="U208" i="2"/>
  <c r="V208" i="2" s="1"/>
  <c r="U209" i="2"/>
  <c r="V209" i="2" s="1"/>
  <c r="U210" i="2"/>
  <c r="V210" i="2" s="1"/>
  <c r="U211" i="2"/>
  <c r="V211" i="2" s="1"/>
  <c r="U212" i="2"/>
  <c r="V212" i="2" s="1"/>
  <c r="U213" i="2"/>
  <c r="V213" i="2" s="1"/>
  <c r="U214" i="2"/>
  <c r="V214" i="2" s="1"/>
  <c r="U215" i="2"/>
  <c r="V215" i="2" s="1"/>
  <c r="U216" i="2"/>
  <c r="V216" i="2" s="1"/>
  <c r="U217" i="2"/>
  <c r="V217" i="2" s="1"/>
  <c r="U218" i="2"/>
  <c r="V218" i="2" s="1"/>
  <c r="U219" i="2"/>
  <c r="V219" i="2" s="1"/>
  <c r="U220" i="2"/>
  <c r="V220" i="2" s="1"/>
  <c r="U221" i="2"/>
  <c r="V221" i="2" s="1"/>
  <c r="U222" i="2"/>
  <c r="V222" i="2" s="1"/>
  <c r="U223" i="2"/>
  <c r="V223" i="2" s="1"/>
  <c r="U224" i="2"/>
  <c r="V224" i="2" s="1"/>
  <c r="U225" i="2"/>
  <c r="V225" i="2" s="1"/>
  <c r="U226" i="2"/>
  <c r="V226" i="2" s="1"/>
  <c r="U227" i="2"/>
  <c r="V227" i="2" s="1"/>
  <c r="U228" i="2"/>
  <c r="V228" i="2" s="1"/>
  <c r="U229" i="2"/>
  <c r="V229" i="2" s="1"/>
  <c r="U230" i="2"/>
  <c r="V230" i="2" s="1"/>
  <c r="U231" i="2"/>
  <c r="V231" i="2" s="1"/>
  <c r="P2" i="2" a="1"/>
  <c r="O2" i="2" a="1"/>
  <c r="J2" i="2" a="1"/>
  <c r="J3" i="2" a="1"/>
  <c r="J4" i="2" a="1"/>
  <c r="J5" i="2" a="1"/>
  <c r="J6" i="2" a="1"/>
  <c r="J7" i="2" a="1"/>
  <c r="J8" i="2" a="1"/>
  <c r="J9" i="2" a="1"/>
  <c r="J10" i="2" a="1"/>
  <c r="J11" i="2" a="1"/>
  <c r="J12" i="2" a="1"/>
  <c r="J13" i="2" a="1"/>
  <c r="J14" i="2" a="1"/>
  <c r="J15" i="2" a="1"/>
  <c r="J16" i="2" a="1"/>
  <c r="J17" i="2" a="1"/>
  <c r="J18" i="2" a="1"/>
  <c r="J19" i="2" a="1"/>
  <c r="J20" i="2" a="1"/>
  <c r="J21" i="2" a="1"/>
  <c r="J22" i="2" a="1"/>
  <c r="J23" i="2" a="1"/>
  <c r="J24" i="2" a="1"/>
  <c r="J25" i="2" a="1"/>
  <c r="J26" i="2" a="1"/>
  <c r="J27" i="2" a="1"/>
  <c r="J28" i="2" a="1"/>
  <c r="J29" i="2" a="1"/>
  <c r="J30" i="2" a="1"/>
  <c r="J31" i="2" a="1"/>
  <c r="J32" i="2" a="1"/>
  <c r="J33" i="2" a="1"/>
  <c r="J34" i="2" a="1"/>
  <c r="J35" i="2" a="1"/>
  <c r="J36" i="2" a="1"/>
  <c r="J37" i="2" a="1"/>
  <c r="J38" i="2" a="1"/>
  <c r="J39" i="2" a="1"/>
  <c r="J40" i="2" a="1"/>
  <c r="J41" i="2" a="1"/>
  <c r="J42" i="2" a="1"/>
  <c r="J43" i="2" a="1"/>
  <c r="J44" i="2" a="1"/>
  <c r="J45" i="2" a="1"/>
  <c r="J46" i="2" a="1"/>
  <c r="J47" i="2" a="1"/>
  <c r="J48" i="2" a="1"/>
  <c r="J49" i="2" a="1"/>
  <c r="J50" i="2" a="1"/>
  <c r="J51" i="2" a="1"/>
  <c r="J52" i="2" a="1"/>
  <c r="J53" i="2" a="1"/>
  <c r="J54" i="2" a="1"/>
  <c r="J55" i="2" a="1"/>
  <c r="J56" i="2" a="1"/>
  <c r="J57" i="2" a="1"/>
  <c r="J58" i="2" a="1"/>
  <c r="J59" i="2" a="1"/>
  <c r="J60" i="2" a="1"/>
  <c r="J61" i="2" a="1"/>
  <c r="J62" i="2" a="1"/>
  <c r="J63" i="2" a="1"/>
  <c r="J64" i="2" a="1"/>
  <c r="J65" i="2" a="1"/>
  <c r="J66" i="2" a="1"/>
  <c r="J67" i="2" a="1"/>
  <c r="J68" i="2" a="1"/>
  <c r="J69" i="2" a="1"/>
  <c r="J70" i="2" a="1"/>
  <c r="J71" i="2" a="1"/>
  <c r="J72" i="2" a="1"/>
  <c r="J73" i="2" a="1"/>
  <c r="J74" i="2" a="1"/>
  <c r="J75" i="2" a="1"/>
  <c r="J76" i="2" a="1"/>
  <c r="J77" i="2" a="1"/>
  <c r="J78" i="2" a="1"/>
  <c r="J79" i="2" a="1"/>
  <c r="J80" i="2" a="1"/>
  <c r="J81" i="2" a="1"/>
  <c r="J82" i="2" a="1"/>
  <c r="J83" i="2" a="1"/>
  <c r="J84" i="2" a="1"/>
  <c r="J85" i="2" a="1"/>
  <c r="J86" i="2" a="1"/>
  <c r="J87" i="2" a="1"/>
  <c r="J88" i="2" a="1"/>
  <c r="J89" i="2" a="1"/>
  <c r="J90" i="2" a="1"/>
  <c r="J91" i="2" a="1"/>
  <c r="J92" i="2" a="1"/>
  <c r="J93" i="2" a="1"/>
  <c r="J94" i="2" a="1"/>
  <c r="J95" i="2" a="1"/>
  <c r="J96" i="2" a="1"/>
  <c r="J97" i="2" a="1"/>
  <c r="J98" i="2" a="1"/>
  <c r="J99" i="2" a="1"/>
  <c r="J100" i="2" a="1"/>
  <c r="J101" i="2" a="1"/>
  <c r="J102" i="2" a="1"/>
  <c r="J103" i="2" a="1"/>
  <c r="J104" i="2" a="1"/>
  <c r="J105" i="2" a="1"/>
  <c r="J106" i="2" a="1"/>
  <c r="J107" i="2" a="1"/>
  <c r="J108" i="2" a="1"/>
  <c r="J109" i="2" a="1"/>
  <c r="J110" i="2" a="1"/>
  <c r="J111" i="2" a="1"/>
  <c r="J112" i="2" a="1"/>
  <c r="J113" i="2" a="1"/>
  <c r="J114" i="2" a="1"/>
  <c r="J115" i="2" a="1"/>
  <c r="J116" i="2" a="1"/>
  <c r="J117" i="2" a="1"/>
  <c r="J118" i="2" a="1"/>
  <c r="J119" i="2" a="1"/>
  <c r="J120" i="2" a="1"/>
  <c r="J121" i="2" a="1"/>
  <c r="J122" i="2" a="1"/>
  <c r="J123" i="2" a="1"/>
  <c r="J124" i="2" a="1"/>
  <c r="J125" i="2" a="1"/>
  <c r="J126" i="2" a="1"/>
  <c r="J127" i="2" a="1"/>
  <c r="J128" i="2" a="1"/>
  <c r="J129" i="2" a="1"/>
  <c r="J130" i="2" a="1"/>
  <c r="J131" i="2" a="1"/>
  <c r="J132" i="2" a="1"/>
  <c r="J133" i="2" a="1"/>
  <c r="J134" i="2" a="1"/>
  <c r="J135" i="2" a="1"/>
  <c r="J136" i="2" a="1"/>
  <c r="J137" i="2" a="1"/>
  <c r="J138" i="2" a="1"/>
  <c r="J139" i="2" a="1"/>
  <c r="J140" i="2" a="1"/>
  <c r="J141" i="2" a="1"/>
  <c r="J142" i="2" a="1"/>
  <c r="J143" i="2" a="1"/>
  <c r="J144" i="2" a="1"/>
  <c r="J145" i="2" a="1"/>
  <c r="J146" i="2" a="1"/>
  <c r="J147" i="2" a="1"/>
  <c r="J148" i="2" a="1"/>
  <c r="J149" i="2" a="1"/>
  <c r="J150" i="2" a="1"/>
  <c r="J151" i="2" a="1"/>
  <c r="J152" i="2" a="1"/>
  <c r="J153" i="2" a="1"/>
  <c r="J154" i="2" a="1"/>
  <c r="J155" i="2" a="1"/>
  <c r="J156" i="2" a="1"/>
  <c r="J157" i="2" a="1"/>
  <c r="J158" i="2" a="1"/>
  <c r="J159" i="2" a="1"/>
  <c r="J160" i="2" a="1"/>
  <c r="J161" i="2" a="1"/>
  <c r="J162" i="2" a="1"/>
  <c r="J163" i="2" a="1"/>
  <c r="J164" i="2" a="1"/>
  <c r="J165" i="2" a="1"/>
  <c r="J166" i="2" a="1"/>
  <c r="J167" i="2" a="1"/>
  <c r="J168" i="2" a="1"/>
  <c r="J169" i="2" a="1"/>
  <c r="J170" i="2" a="1"/>
  <c r="J171" i="2" a="1"/>
  <c r="J172" i="2" a="1"/>
  <c r="J173" i="2" a="1"/>
  <c r="J174" i="2" a="1"/>
  <c r="J175" i="2" a="1"/>
  <c r="J176" i="2" a="1"/>
  <c r="J177" i="2" a="1"/>
  <c r="J178" i="2" a="1"/>
  <c r="J179" i="2" a="1"/>
  <c r="J180" i="2" a="1"/>
  <c r="J181" i="2" a="1"/>
  <c r="J182" i="2" a="1"/>
  <c r="J183" i="2" a="1"/>
  <c r="J184" i="2" a="1"/>
  <c r="J185" i="2" a="1"/>
  <c r="J186" i="2" a="1"/>
  <c r="J187" i="2" a="1"/>
  <c r="J188" i="2" a="1"/>
  <c r="J189" i="2" a="1"/>
  <c r="J190" i="2" a="1"/>
  <c r="J191" i="2" a="1"/>
  <c r="J192" i="2" a="1"/>
  <c r="J193" i="2" a="1"/>
  <c r="J194" i="2" a="1"/>
  <c r="J195" i="2" a="1"/>
  <c r="J196" i="2" a="1"/>
  <c r="J197" i="2" a="1"/>
  <c r="J198" i="2" a="1"/>
  <c r="J199" i="2" a="1"/>
  <c r="J200" i="2" a="1"/>
  <c r="J201" i="2" a="1"/>
  <c r="J202" i="2" a="1"/>
  <c r="J203" i="2" a="1"/>
  <c r="J204" i="2" a="1"/>
  <c r="J205" i="2" a="1"/>
  <c r="J206" i="2" a="1"/>
  <c r="J207" i="2" a="1"/>
  <c r="J208" i="2" a="1"/>
  <c r="J209" i="2" a="1"/>
  <c r="J210" i="2" a="1"/>
  <c r="J211" i="2" a="1"/>
  <c r="J212" i="2" a="1"/>
  <c r="J213" i="2" a="1"/>
  <c r="J214" i="2" a="1"/>
  <c r="J215" i="2" a="1"/>
  <c r="J216" i="2" a="1"/>
  <c r="J217" i="2" a="1"/>
  <c r="J218" i="2" a="1"/>
  <c r="J219" i="2" a="1"/>
  <c r="J220" i="2" a="1"/>
  <c r="J221" i="2" a="1"/>
  <c r="J222" i="2" a="1"/>
  <c r="J223" i="2" a="1"/>
  <c r="J224" i="2" a="1"/>
  <c r="J225" i="2" a="1"/>
  <c r="J226" i="2" a="1"/>
  <c r="J227" i="2" a="1"/>
  <c r="J228" i="2" a="1"/>
  <c r="J229" i="2" a="1"/>
  <c r="J230" i="2" a="1"/>
  <c r="J231" i="2" a="1"/>
  <c r="I2" i="2" a="1"/>
  <c r="I3" i="2" a="1"/>
  <c r="I4" i="2" a="1"/>
  <c r="I5" i="2" a="1"/>
  <c r="I6" i="2" a="1"/>
  <c r="I7" i="2" a="1"/>
  <c r="I8" i="2" a="1"/>
  <c r="I9" i="2" a="1"/>
  <c r="I10" i="2" a="1"/>
  <c r="I11" i="2" a="1"/>
  <c r="I12" i="2" a="1"/>
  <c r="I13" i="2" a="1"/>
  <c r="I14" i="2" a="1"/>
  <c r="I15" i="2" a="1"/>
  <c r="I16" i="2" a="1"/>
  <c r="I17" i="2" a="1"/>
  <c r="I18" i="2" a="1"/>
  <c r="I19" i="2" a="1"/>
  <c r="I20" i="2" a="1"/>
  <c r="I21" i="2" a="1"/>
  <c r="I22" i="2" a="1"/>
  <c r="I23" i="2" a="1"/>
  <c r="I24" i="2" a="1"/>
  <c r="I25" i="2" a="1"/>
  <c r="I26" i="2" a="1"/>
  <c r="I27" i="2" a="1"/>
  <c r="I28" i="2" a="1"/>
  <c r="I29" i="2" a="1"/>
  <c r="I30" i="2" a="1"/>
  <c r="I31" i="2" a="1"/>
  <c r="I32" i="2" a="1"/>
  <c r="I33" i="2" a="1"/>
  <c r="I34" i="2" a="1"/>
  <c r="I35" i="2" a="1"/>
  <c r="I36" i="2" a="1"/>
  <c r="I37" i="2" a="1"/>
  <c r="I38" i="2" a="1"/>
  <c r="I39" i="2" a="1"/>
  <c r="I40" i="2" a="1"/>
  <c r="I41" i="2" a="1"/>
  <c r="I42" i="2" a="1"/>
  <c r="I43" i="2" a="1"/>
  <c r="I44" i="2" a="1"/>
  <c r="I45" i="2" a="1"/>
  <c r="I46" i="2" a="1"/>
  <c r="I47" i="2" a="1"/>
  <c r="I48" i="2" a="1"/>
  <c r="I49" i="2" a="1"/>
  <c r="I50" i="2" a="1"/>
  <c r="I51" i="2" a="1"/>
  <c r="I52" i="2" a="1"/>
  <c r="I53" i="2" a="1"/>
  <c r="I54" i="2" a="1"/>
  <c r="I55" i="2" a="1"/>
  <c r="I56" i="2" a="1"/>
  <c r="I57" i="2" a="1"/>
  <c r="I58" i="2" a="1"/>
  <c r="I59" i="2" a="1"/>
  <c r="I60" i="2" a="1"/>
  <c r="I61" i="2" a="1"/>
  <c r="I62" i="2" a="1"/>
  <c r="I63" i="2" a="1"/>
  <c r="I64" i="2" a="1"/>
  <c r="I65" i="2" a="1"/>
  <c r="I66" i="2" a="1"/>
  <c r="I67" i="2" a="1"/>
  <c r="I68" i="2" a="1"/>
  <c r="I69" i="2" a="1"/>
  <c r="I70" i="2" a="1"/>
  <c r="I71" i="2" a="1"/>
  <c r="I72" i="2" a="1"/>
  <c r="I73" i="2" a="1"/>
  <c r="I74" i="2" a="1"/>
  <c r="I75" i="2" a="1"/>
  <c r="I76" i="2" a="1"/>
  <c r="I77" i="2" a="1"/>
  <c r="I78" i="2" a="1"/>
  <c r="I79" i="2" a="1"/>
  <c r="I80" i="2" a="1"/>
  <c r="I81" i="2" a="1"/>
  <c r="I82" i="2" a="1"/>
  <c r="I83" i="2" a="1"/>
  <c r="I84" i="2" a="1"/>
  <c r="I85" i="2" a="1"/>
  <c r="I86" i="2" a="1"/>
  <c r="I87" i="2" a="1"/>
  <c r="I88" i="2" a="1"/>
  <c r="I89" i="2" a="1"/>
  <c r="I90" i="2" a="1"/>
  <c r="I91" i="2" a="1"/>
  <c r="I92" i="2" a="1"/>
  <c r="I93" i="2" a="1"/>
  <c r="I94" i="2" a="1"/>
  <c r="I95" i="2" a="1"/>
  <c r="I96" i="2" a="1"/>
  <c r="I97" i="2" a="1"/>
  <c r="I98" i="2" a="1"/>
  <c r="I99" i="2" a="1"/>
  <c r="I100" i="2" a="1"/>
  <c r="I101" i="2" a="1"/>
  <c r="I102" i="2" a="1"/>
  <c r="I103" i="2" a="1"/>
  <c r="I104" i="2" a="1"/>
  <c r="I105" i="2" a="1"/>
  <c r="I106" i="2" a="1"/>
  <c r="I107" i="2" a="1"/>
  <c r="I108" i="2" a="1"/>
  <c r="I109" i="2" a="1"/>
  <c r="I110" i="2" a="1"/>
  <c r="I111" i="2" a="1"/>
  <c r="I112" i="2" a="1"/>
  <c r="I113" i="2" a="1"/>
  <c r="I114" i="2" a="1"/>
  <c r="I115" i="2" a="1"/>
  <c r="I116" i="2" a="1"/>
  <c r="I117" i="2" a="1"/>
  <c r="I118" i="2" a="1"/>
  <c r="I119" i="2" a="1"/>
  <c r="I120" i="2" a="1"/>
  <c r="I121" i="2" a="1"/>
  <c r="I122" i="2" a="1"/>
  <c r="I123" i="2" a="1"/>
  <c r="I124" i="2" a="1"/>
  <c r="I125" i="2" a="1"/>
  <c r="I126" i="2" a="1"/>
  <c r="I127" i="2" a="1"/>
  <c r="I128" i="2" a="1"/>
  <c r="I129" i="2" a="1"/>
  <c r="I130" i="2" a="1"/>
  <c r="I131" i="2" a="1"/>
  <c r="I132" i="2" a="1"/>
  <c r="I133" i="2" a="1"/>
  <c r="I134" i="2" a="1"/>
  <c r="I135" i="2" a="1"/>
  <c r="I136" i="2" a="1"/>
  <c r="I137" i="2" a="1"/>
  <c r="I138" i="2" a="1"/>
  <c r="I139" i="2" a="1"/>
  <c r="I140" i="2" a="1"/>
  <c r="I141" i="2" a="1"/>
  <c r="I142" i="2" a="1"/>
  <c r="I143" i="2" a="1"/>
  <c r="I144" i="2" a="1"/>
  <c r="I145" i="2" a="1"/>
  <c r="I146" i="2" a="1"/>
  <c r="I147" i="2" a="1"/>
  <c r="I148" i="2" a="1"/>
  <c r="I149" i="2" a="1"/>
  <c r="I150" i="2" a="1"/>
  <c r="I151" i="2" a="1"/>
  <c r="I152" i="2" a="1"/>
  <c r="I153" i="2" a="1"/>
  <c r="I154" i="2" a="1"/>
  <c r="I155" i="2" a="1"/>
  <c r="I156" i="2" a="1"/>
  <c r="I157" i="2" a="1"/>
  <c r="I158" i="2" a="1"/>
  <c r="I159" i="2" a="1"/>
  <c r="I160" i="2" a="1"/>
  <c r="I161" i="2" a="1"/>
  <c r="I162" i="2" a="1"/>
  <c r="I163" i="2" a="1"/>
  <c r="I164" i="2" a="1"/>
  <c r="I165" i="2" a="1"/>
  <c r="I166" i="2" a="1"/>
  <c r="I167" i="2" a="1"/>
  <c r="I168" i="2" a="1"/>
  <c r="I169" i="2" a="1"/>
  <c r="I170" i="2" a="1"/>
  <c r="I171" i="2" a="1"/>
  <c r="I172" i="2" a="1"/>
  <c r="I173" i="2" a="1"/>
  <c r="I174" i="2" a="1"/>
  <c r="I175" i="2" a="1"/>
  <c r="I176" i="2" a="1"/>
  <c r="I177" i="2" a="1"/>
  <c r="I178" i="2" a="1"/>
  <c r="I179" i="2" a="1"/>
  <c r="I180" i="2" a="1"/>
  <c r="I181" i="2" a="1"/>
  <c r="I182" i="2" a="1"/>
  <c r="I183" i="2" a="1"/>
  <c r="I184" i="2" a="1"/>
  <c r="I185" i="2" a="1"/>
  <c r="I186" i="2" a="1"/>
  <c r="I187" i="2" a="1"/>
  <c r="I188" i="2" a="1"/>
  <c r="I189" i="2" a="1"/>
  <c r="I190" i="2" a="1"/>
  <c r="I191" i="2" a="1"/>
  <c r="I192" i="2" a="1"/>
  <c r="I193" i="2" a="1"/>
  <c r="I194" i="2" a="1"/>
  <c r="I195" i="2" a="1"/>
  <c r="I196" i="2" a="1"/>
  <c r="I197" i="2" a="1"/>
  <c r="I198" i="2" a="1"/>
  <c r="I199" i="2" a="1"/>
  <c r="I200" i="2" a="1"/>
  <c r="I201" i="2" a="1"/>
  <c r="I202" i="2" a="1"/>
  <c r="I203" i="2" a="1"/>
  <c r="I204" i="2" a="1"/>
  <c r="I205" i="2" a="1"/>
  <c r="I206" i="2" a="1"/>
  <c r="I207" i="2" a="1"/>
  <c r="I208" i="2" a="1"/>
  <c r="I209" i="2" a="1"/>
  <c r="I210" i="2" a="1"/>
  <c r="I211" i="2" a="1"/>
  <c r="I212" i="2" a="1"/>
  <c r="I213" i="2" a="1"/>
  <c r="I214" i="2" a="1"/>
  <c r="I215" i="2" a="1"/>
  <c r="I216" i="2" a="1"/>
  <c r="I217" i="2" a="1"/>
  <c r="I218" i="2" a="1"/>
  <c r="I219" i="2" a="1"/>
  <c r="I220" i="2" a="1"/>
  <c r="I221" i="2" a="1"/>
  <c r="I222" i="2" a="1"/>
  <c r="I223" i="2" a="1"/>
  <c r="I224" i="2" a="1"/>
  <c r="I225" i="2" a="1"/>
  <c r="I226" i="2" a="1"/>
  <c r="I227" i="2" a="1"/>
  <c r="I228" i="2" a="1"/>
  <c r="I229" i="2" a="1"/>
  <c r="I230" i="2" a="1"/>
  <c r="I231" i="2" a="1"/>
  <c r="C2" i="2"/>
  <c r="Y2" i="2" s="1"/>
  <c r="Z2" i="2" s="1"/>
  <c r="C3" i="2"/>
  <c r="Y3" i="2" s="1"/>
  <c r="Z3" i="2" s="1"/>
  <c r="C4" i="2"/>
  <c r="Y4" i="2" s="1"/>
  <c r="C5" i="2"/>
  <c r="Y5" i="2" s="1"/>
  <c r="C6" i="2"/>
  <c r="Y6" i="2" s="1"/>
  <c r="C7" i="2"/>
  <c r="Y7" i="2" s="1"/>
  <c r="C8" i="2"/>
  <c r="Y8" i="2" s="1"/>
  <c r="C9" i="2"/>
  <c r="Y9" i="2" s="1"/>
  <c r="C10" i="2"/>
  <c r="Y10" i="2" s="1"/>
  <c r="C11" i="2"/>
  <c r="Y11" i="2" s="1"/>
  <c r="C12" i="2"/>
  <c r="Y12" i="2" s="1"/>
  <c r="C13" i="2"/>
  <c r="Y13" i="2" s="1"/>
  <c r="C14" i="2"/>
  <c r="Y14" i="2" s="1"/>
  <c r="C15" i="2"/>
  <c r="Y15" i="2" s="1"/>
  <c r="C16" i="2"/>
  <c r="Y16" i="2" s="1"/>
  <c r="C17" i="2"/>
  <c r="Y17" i="2" s="1"/>
  <c r="C18" i="2"/>
  <c r="Y18" i="2" s="1"/>
  <c r="C19" i="2"/>
  <c r="Y19" i="2" s="1"/>
  <c r="C20" i="2"/>
  <c r="Y20" i="2" s="1"/>
  <c r="C21" i="2"/>
  <c r="Y21" i="2" s="1"/>
  <c r="C22" i="2"/>
  <c r="Y22" i="2" s="1"/>
  <c r="C23" i="2"/>
  <c r="Y23" i="2" s="1"/>
  <c r="C24" i="2"/>
  <c r="Y24" i="2" s="1"/>
  <c r="C25" i="2"/>
  <c r="Y25" i="2" s="1"/>
  <c r="C26" i="2"/>
  <c r="Y26" i="2" s="1"/>
  <c r="C27" i="2"/>
  <c r="Y27" i="2" s="1"/>
  <c r="C28" i="2"/>
  <c r="Y28" i="2" s="1"/>
  <c r="C29" i="2"/>
  <c r="Y29" i="2" s="1"/>
  <c r="C30" i="2"/>
  <c r="Y30" i="2" s="1"/>
  <c r="C31" i="2"/>
  <c r="Y31" i="2" s="1"/>
  <c r="C32" i="2"/>
  <c r="Y32" i="2" s="1"/>
  <c r="C33" i="2"/>
  <c r="Y33" i="2" s="1"/>
  <c r="C34" i="2"/>
  <c r="Y34" i="2" s="1"/>
  <c r="C35" i="2"/>
  <c r="Y35" i="2" s="1"/>
  <c r="C36" i="2"/>
  <c r="Y36" i="2" s="1"/>
  <c r="C37" i="2"/>
  <c r="Y37" i="2" s="1"/>
  <c r="C38" i="2"/>
  <c r="Y38" i="2" s="1"/>
  <c r="C39" i="2"/>
  <c r="Y39" i="2" s="1"/>
  <c r="C40" i="2"/>
  <c r="Y40" i="2" s="1"/>
  <c r="C41" i="2"/>
  <c r="Y41" i="2" s="1"/>
  <c r="C42" i="2"/>
  <c r="Y42" i="2" s="1"/>
  <c r="C43" i="2"/>
  <c r="Y43" i="2" s="1"/>
  <c r="C44" i="2"/>
  <c r="Y44" i="2" s="1"/>
  <c r="C45" i="2"/>
  <c r="Y45" i="2" s="1"/>
  <c r="C46" i="2"/>
  <c r="Y46" i="2" s="1"/>
  <c r="C47" i="2"/>
  <c r="Y47" i="2" s="1"/>
  <c r="C48" i="2"/>
  <c r="Y48" i="2" s="1"/>
  <c r="C49" i="2"/>
  <c r="Y49" i="2" s="1"/>
  <c r="C50" i="2"/>
  <c r="Y50" i="2" s="1"/>
  <c r="C51" i="2"/>
  <c r="Y51" i="2" s="1"/>
  <c r="C52" i="2"/>
  <c r="Y52" i="2" s="1"/>
  <c r="C53" i="2"/>
  <c r="Y53" i="2" s="1"/>
  <c r="C54" i="2"/>
  <c r="Y54" i="2" s="1"/>
  <c r="C55" i="2"/>
  <c r="Y55" i="2" s="1"/>
  <c r="C56" i="2"/>
  <c r="Y56" i="2" s="1"/>
  <c r="C57" i="2"/>
  <c r="Y57" i="2" s="1"/>
  <c r="C58" i="2"/>
  <c r="Y58" i="2" s="1"/>
  <c r="C59" i="2"/>
  <c r="Y59" i="2" s="1"/>
  <c r="C60" i="2"/>
  <c r="Y60" i="2" s="1"/>
  <c r="C61" i="2"/>
  <c r="Y61" i="2" s="1"/>
  <c r="C62" i="2"/>
  <c r="Y62" i="2" s="1"/>
  <c r="C63" i="2"/>
  <c r="Y63" i="2" s="1"/>
  <c r="C64" i="2"/>
  <c r="Y64" i="2" s="1"/>
  <c r="C65" i="2"/>
  <c r="Y65" i="2" s="1"/>
  <c r="C66" i="2"/>
  <c r="Y66" i="2" s="1"/>
  <c r="C67" i="2"/>
  <c r="Y67" i="2" s="1"/>
  <c r="C68" i="2"/>
  <c r="Y68" i="2" s="1"/>
  <c r="C69" i="2"/>
  <c r="Y69" i="2" s="1"/>
  <c r="C70" i="2"/>
  <c r="Y70" i="2" s="1"/>
  <c r="C71" i="2"/>
  <c r="Y71" i="2" s="1"/>
  <c r="C72" i="2"/>
  <c r="Y72" i="2" s="1"/>
  <c r="C73" i="2"/>
  <c r="Y73" i="2" s="1"/>
  <c r="C74" i="2"/>
  <c r="Y74" i="2" s="1"/>
  <c r="C75" i="2"/>
  <c r="Y75" i="2" s="1"/>
  <c r="C76" i="2"/>
  <c r="Y76" i="2" s="1"/>
  <c r="C77" i="2"/>
  <c r="Y77" i="2" s="1"/>
  <c r="C78" i="2"/>
  <c r="Y78" i="2" s="1"/>
  <c r="C79" i="2"/>
  <c r="Y79" i="2" s="1"/>
  <c r="C80" i="2"/>
  <c r="Y80" i="2" s="1"/>
  <c r="C81" i="2"/>
  <c r="Y81" i="2" s="1"/>
  <c r="C82" i="2"/>
  <c r="Y82" i="2" s="1"/>
  <c r="C83" i="2"/>
  <c r="Y83" i="2" s="1"/>
  <c r="C84" i="2"/>
  <c r="Y84" i="2" s="1"/>
  <c r="C85" i="2"/>
  <c r="Y85" i="2" s="1"/>
  <c r="C86" i="2"/>
  <c r="Y86" i="2" s="1"/>
  <c r="C87" i="2"/>
  <c r="Y87" i="2" s="1"/>
  <c r="C88" i="2"/>
  <c r="Y88" i="2" s="1"/>
  <c r="C89" i="2"/>
  <c r="Y89" i="2" s="1"/>
  <c r="C90" i="2"/>
  <c r="Y90" i="2" s="1"/>
  <c r="C91" i="2"/>
  <c r="Y91" i="2" s="1"/>
  <c r="C92" i="2"/>
  <c r="Y92" i="2" s="1"/>
  <c r="C93" i="2"/>
  <c r="Y93" i="2" s="1"/>
  <c r="C94" i="2"/>
  <c r="Y94" i="2" s="1"/>
  <c r="C95" i="2"/>
  <c r="Y95" i="2" s="1"/>
  <c r="C96" i="2"/>
  <c r="Y96" i="2" s="1"/>
  <c r="C97" i="2"/>
  <c r="Y97" i="2" s="1"/>
  <c r="C98" i="2"/>
  <c r="Y98" i="2" s="1"/>
  <c r="C99" i="2"/>
  <c r="Y99" i="2" s="1"/>
  <c r="C100" i="2"/>
  <c r="Y100" i="2" s="1"/>
  <c r="C101" i="2"/>
  <c r="Y101" i="2" s="1"/>
  <c r="C102" i="2"/>
  <c r="Y102" i="2" s="1"/>
  <c r="C103" i="2"/>
  <c r="Y103" i="2" s="1"/>
  <c r="C104" i="2"/>
  <c r="Y104" i="2" s="1"/>
  <c r="C105" i="2"/>
  <c r="Y105" i="2" s="1"/>
  <c r="C106" i="2"/>
  <c r="Y106" i="2" s="1"/>
  <c r="C107" i="2"/>
  <c r="Y107" i="2" s="1"/>
  <c r="C108" i="2"/>
  <c r="Y108" i="2" s="1"/>
  <c r="C109" i="2"/>
  <c r="Y109" i="2" s="1"/>
  <c r="C110" i="2"/>
  <c r="Y110" i="2" s="1"/>
  <c r="C111" i="2"/>
  <c r="Y111" i="2" s="1"/>
  <c r="C112" i="2"/>
  <c r="Y112" i="2" s="1"/>
  <c r="C113" i="2"/>
  <c r="Y113" i="2" s="1"/>
  <c r="C114" i="2"/>
  <c r="Y114" i="2" s="1"/>
  <c r="C115" i="2"/>
  <c r="Y115" i="2" s="1"/>
  <c r="C116" i="2"/>
  <c r="Y116" i="2" s="1"/>
  <c r="C117" i="2"/>
  <c r="Y117" i="2" s="1"/>
  <c r="C118" i="2"/>
  <c r="Y118" i="2" s="1"/>
  <c r="C119" i="2"/>
  <c r="Y119" i="2" s="1"/>
  <c r="C120" i="2"/>
  <c r="Y120" i="2" s="1"/>
  <c r="C121" i="2"/>
  <c r="Y121" i="2" s="1"/>
  <c r="C122" i="2"/>
  <c r="Y122" i="2" s="1"/>
  <c r="C123" i="2"/>
  <c r="Y123" i="2" s="1"/>
  <c r="C124" i="2"/>
  <c r="Y124" i="2" s="1"/>
  <c r="C125" i="2"/>
  <c r="Y125" i="2" s="1"/>
  <c r="C126" i="2"/>
  <c r="Y126" i="2" s="1"/>
  <c r="C127" i="2"/>
  <c r="Y127" i="2" s="1"/>
  <c r="C128" i="2"/>
  <c r="Y128" i="2" s="1"/>
  <c r="C129" i="2"/>
  <c r="Y129" i="2" s="1"/>
  <c r="C130" i="2"/>
  <c r="Y130" i="2" s="1"/>
  <c r="C131" i="2"/>
  <c r="Y131" i="2" s="1"/>
  <c r="C132" i="2"/>
  <c r="Y132" i="2" s="1"/>
  <c r="C133" i="2"/>
  <c r="Y133" i="2" s="1"/>
  <c r="C134" i="2"/>
  <c r="Y134" i="2" s="1"/>
  <c r="C135" i="2"/>
  <c r="Y135" i="2" s="1"/>
  <c r="C136" i="2"/>
  <c r="Y136" i="2" s="1"/>
  <c r="C137" i="2"/>
  <c r="Y137" i="2" s="1"/>
  <c r="C138" i="2"/>
  <c r="Y138" i="2" s="1"/>
  <c r="C139" i="2"/>
  <c r="Y139" i="2" s="1"/>
  <c r="C140" i="2"/>
  <c r="Y140" i="2" s="1"/>
  <c r="C141" i="2"/>
  <c r="Y141" i="2" s="1"/>
  <c r="C142" i="2"/>
  <c r="Y142" i="2" s="1"/>
  <c r="C143" i="2"/>
  <c r="Y143" i="2" s="1"/>
  <c r="C144" i="2"/>
  <c r="Y144" i="2" s="1"/>
  <c r="C145" i="2"/>
  <c r="Y145" i="2" s="1"/>
  <c r="C146" i="2"/>
  <c r="Y146" i="2" s="1"/>
  <c r="C147" i="2"/>
  <c r="Y147" i="2" s="1"/>
  <c r="C148" i="2"/>
  <c r="Y148" i="2" s="1"/>
  <c r="C149" i="2"/>
  <c r="Y149" i="2" s="1"/>
  <c r="C150" i="2"/>
  <c r="Y150" i="2" s="1"/>
  <c r="C151" i="2"/>
  <c r="Y151" i="2" s="1"/>
  <c r="C152" i="2"/>
  <c r="Y152" i="2" s="1"/>
  <c r="C153" i="2"/>
  <c r="Y153" i="2" s="1"/>
  <c r="C154" i="2"/>
  <c r="Y154" i="2" s="1"/>
  <c r="C155" i="2"/>
  <c r="Y155" i="2" s="1"/>
  <c r="C156" i="2"/>
  <c r="Y156" i="2" s="1"/>
  <c r="C157" i="2"/>
  <c r="Y157" i="2" s="1"/>
  <c r="C158" i="2"/>
  <c r="Y158" i="2" s="1"/>
  <c r="C159" i="2"/>
  <c r="Y159" i="2" s="1"/>
  <c r="C160" i="2"/>
  <c r="Y160" i="2" s="1"/>
  <c r="C161" i="2"/>
  <c r="Y161" i="2" s="1"/>
  <c r="C162" i="2"/>
  <c r="Y162" i="2" s="1"/>
  <c r="C163" i="2"/>
  <c r="Y163" i="2" s="1"/>
  <c r="C164" i="2"/>
  <c r="Y164" i="2" s="1"/>
  <c r="C165" i="2"/>
  <c r="Y165" i="2" s="1"/>
  <c r="C166" i="2"/>
  <c r="Y166" i="2" s="1"/>
  <c r="C167" i="2"/>
  <c r="Y167" i="2" s="1"/>
  <c r="C168" i="2"/>
  <c r="Y168" i="2" s="1"/>
  <c r="C169" i="2"/>
  <c r="Y169" i="2" s="1"/>
  <c r="C170" i="2"/>
  <c r="Y170" i="2" s="1"/>
  <c r="C171" i="2"/>
  <c r="Y171" i="2" s="1"/>
  <c r="C172" i="2"/>
  <c r="Y172" i="2" s="1"/>
  <c r="C173" i="2"/>
  <c r="Y173" i="2" s="1"/>
  <c r="C174" i="2"/>
  <c r="Y174" i="2" s="1"/>
  <c r="C175" i="2"/>
  <c r="Y175" i="2" s="1"/>
  <c r="C176" i="2"/>
  <c r="Y176" i="2" s="1"/>
  <c r="C177" i="2"/>
  <c r="Y177" i="2" s="1"/>
  <c r="C178" i="2"/>
  <c r="Y178" i="2" s="1"/>
  <c r="C179" i="2"/>
  <c r="Y179" i="2" s="1"/>
  <c r="C180" i="2"/>
  <c r="Y180" i="2" s="1"/>
  <c r="C181" i="2"/>
  <c r="Y181" i="2" s="1"/>
  <c r="C182" i="2"/>
  <c r="Y182" i="2" s="1"/>
  <c r="C183" i="2"/>
  <c r="Y183" i="2" s="1"/>
  <c r="C184" i="2"/>
  <c r="Y184" i="2" s="1"/>
  <c r="C185" i="2"/>
  <c r="Y185" i="2" s="1"/>
  <c r="C186" i="2"/>
  <c r="Y186" i="2" s="1"/>
  <c r="C187" i="2"/>
  <c r="Y187" i="2" s="1"/>
  <c r="C188" i="2"/>
  <c r="Y188" i="2" s="1"/>
  <c r="C189" i="2"/>
  <c r="Y189" i="2" s="1"/>
  <c r="C190" i="2"/>
  <c r="Y190" i="2" s="1"/>
  <c r="C191" i="2"/>
  <c r="Y191" i="2" s="1"/>
  <c r="C192" i="2"/>
  <c r="Y192" i="2" s="1"/>
  <c r="C193" i="2"/>
  <c r="Y193" i="2" s="1"/>
  <c r="C194" i="2"/>
  <c r="Y194" i="2" s="1"/>
  <c r="C195" i="2"/>
  <c r="Y195" i="2" s="1"/>
  <c r="C196" i="2"/>
  <c r="Y196" i="2" s="1"/>
  <c r="C197" i="2"/>
  <c r="Y197" i="2" s="1"/>
  <c r="C198" i="2"/>
  <c r="Y198" i="2" s="1"/>
  <c r="C199" i="2"/>
  <c r="Y199" i="2" s="1"/>
  <c r="C200" i="2"/>
  <c r="Y200" i="2" s="1"/>
  <c r="C201" i="2"/>
  <c r="Y201" i="2" s="1"/>
  <c r="C202" i="2"/>
  <c r="Y202" i="2" s="1"/>
  <c r="C203" i="2"/>
  <c r="Y203" i="2" s="1"/>
  <c r="C204" i="2"/>
  <c r="Y204" i="2" s="1"/>
  <c r="C205" i="2"/>
  <c r="Y205" i="2" s="1"/>
  <c r="C206" i="2"/>
  <c r="Y206" i="2" s="1"/>
  <c r="C207" i="2"/>
  <c r="Y207" i="2" s="1"/>
  <c r="C208" i="2"/>
  <c r="Y208" i="2" s="1"/>
  <c r="C209" i="2"/>
  <c r="Y209" i="2" s="1"/>
  <c r="C210" i="2"/>
  <c r="Y210" i="2" s="1"/>
  <c r="C211" i="2"/>
  <c r="Y211" i="2" s="1"/>
  <c r="C212" i="2"/>
  <c r="Y212" i="2" s="1"/>
  <c r="C213" i="2"/>
  <c r="Y213" i="2" s="1"/>
  <c r="C214" i="2"/>
  <c r="Y214" i="2" s="1"/>
  <c r="C215" i="2"/>
  <c r="Y215" i="2" s="1"/>
  <c r="C216" i="2"/>
  <c r="Y216" i="2" s="1"/>
  <c r="C217" i="2"/>
  <c r="Y217" i="2" s="1"/>
  <c r="C218" i="2"/>
  <c r="Y218" i="2" s="1"/>
  <c r="C219" i="2"/>
  <c r="Y219" i="2" s="1"/>
  <c r="C220" i="2"/>
  <c r="Y220" i="2" s="1"/>
  <c r="C221" i="2"/>
  <c r="Y221" i="2" s="1"/>
  <c r="C222" i="2"/>
  <c r="Y222" i="2" s="1"/>
  <c r="C223" i="2"/>
  <c r="Y223" i="2" s="1"/>
  <c r="C224" i="2"/>
  <c r="Y224" i="2" s="1"/>
  <c r="C225" i="2"/>
  <c r="Y225" i="2" s="1"/>
  <c r="C226" i="2"/>
  <c r="Y226" i="2" s="1"/>
  <c r="C227" i="2"/>
  <c r="Y227" i="2" s="1"/>
  <c r="C228" i="2"/>
  <c r="Y228" i="2" s="1"/>
  <c r="C229" i="2"/>
  <c r="Y229" i="2" s="1"/>
  <c r="C230" i="2"/>
  <c r="Y230" i="2" s="1"/>
  <c r="C231" i="2"/>
  <c r="Y231" i="2" s="1"/>
  <c r="F28" i="3" l="1"/>
  <c r="AD318" i="2"/>
  <c r="AC318" i="2"/>
  <c r="AD319" i="2"/>
  <c r="AC319" i="2"/>
  <c r="AD320" i="2"/>
  <c r="AC320" i="2"/>
  <c r="AD321" i="2"/>
  <c r="AC321" i="2"/>
  <c r="AD322" i="2"/>
  <c r="AC322" i="2"/>
  <c r="AD323" i="2"/>
  <c r="AC323" i="2"/>
  <c r="AD324" i="2"/>
  <c r="AC324" i="2"/>
  <c r="AD325" i="2"/>
  <c r="AC325" i="2"/>
  <c r="AD326" i="2"/>
  <c r="AC326" i="2"/>
  <c r="AD327" i="2"/>
  <c r="AC327" i="2"/>
  <c r="AD328" i="2"/>
  <c r="AC328" i="2"/>
  <c r="AD329" i="2"/>
  <c r="AC329" i="2"/>
  <c r="L441" i="2"/>
  <c r="N441" i="2" s="1"/>
  <c r="K441" i="2"/>
  <c r="M441" i="2" s="1"/>
  <c r="Z19" i="2"/>
  <c r="Z20" i="2"/>
  <c r="Z21" i="2"/>
  <c r="Z22" i="2"/>
  <c r="Z23" i="2"/>
  <c r="Z24" i="2"/>
  <c r="Z25" i="2"/>
  <c r="Z26" i="2"/>
  <c r="F25" i="3"/>
  <c r="AD376" i="2"/>
  <c r="AC376" i="2"/>
  <c r="AD377" i="2"/>
  <c r="AC377" i="2"/>
  <c r="AD378" i="2"/>
  <c r="AC378" i="2"/>
  <c r="AD379" i="2"/>
  <c r="AC379" i="2"/>
  <c r="AD380" i="2"/>
  <c r="AC380" i="2"/>
  <c r="AD381" i="2"/>
  <c r="AC381" i="2"/>
  <c r="AD382" i="2"/>
  <c r="AC382" i="2"/>
  <c r="AD383" i="2"/>
  <c r="AC383" i="2"/>
  <c r="AD384" i="2"/>
  <c r="AC384" i="2"/>
  <c r="AD385" i="2"/>
  <c r="AC385" i="2"/>
  <c r="AD390" i="2"/>
  <c r="AC390" i="2"/>
  <c r="AD391" i="2"/>
  <c r="AC391" i="2"/>
  <c r="AD392" i="2"/>
  <c r="AC392" i="2"/>
  <c r="AD393" i="2"/>
  <c r="AC393" i="2"/>
  <c r="AD394" i="2"/>
  <c r="AC394" i="2"/>
  <c r="AD395" i="2"/>
  <c r="AC395" i="2"/>
  <c r="AD396" i="2"/>
  <c r="AC396" i="2"/>
  <c r="AD397" i="2"/>
  <c r="AC397" i="2"/>
  <c r="AD398" i="2"/>
  <c r="AC398" i="2"/>
  <c r="AD399" i="2"/>
  <c r="AC399" i="2"/>
  <c r="AD400" i="2"/>
  <c r="AC400" i="2"/>
  <c r="AD401" i="2"/>
  <c r="AC401" i="2"/>
  <c r="AD402" i="2"/>
  <c r="AC402" i="2"/>
  <c r="AD403" i="2"/>
  <c r="AC403" i="2"/>
  <c r="AD404" i="2"/>
  <c r="AC404" i="2"/>
  <c r="AD405" i="2"/>
  <c r="AC405" i="2"/>
  <c r="AD406" i="2"/>
  <c r="AC406" i="2"/>
  <c r="AD407" i="2"/>
  <c r="AC407" i="2"/>
  <c r="AC330" i="2"/>
  <c r="AD330" i="2"/>
  <c r="AC331" i="2"/>
  <c r="AD331" i="2"/>
  <c r="AC332" i="2"/>
  <c r="AD332" i="2"/>
  <c r="AC333" i="2"/>
  <c r="AD333" i="2"/>
  <c r="AC334" i="2"/>
  <c r="AD334" i="2"/>
  <c r="AC335" i="2"/>
  <c r="AD335" i="2"/>
  <c r="AC336" i="2"/>
  <c r="AD336" i="2"/>
  <c r="AD337" i="2"/>
  <c r="AC337" i="2"/>
  <c r="AD338" i="2"/>
  <c r="AC338" i="2"/>
  <c r="AD339" i="2"/>
  <c r="AC339" i="2"/>
  <c r="AC340" i="2"/>
  <c r="AD340" i="2"/>
  <c r="AC341" i="2"/>
  <c r="AD341" i="2"/>
  <c r="AC342" i="2"/>
  <c r="AD342" i="2"/>
  <c r="AC343" i="2"/>
  <c r="AD343" i="2"/>
  <c r="AC344" i="2"/>
  <c r="AD344" i="2"/>
  <c r="AD345" i="2"/>
  <c r="AC345" i="2"/>
  <c r="AC346" i="2"/>
  <c r="AD346" i="2"/>
  <c r="AD347" i="2"/>
  <c r="AC347" i="2"/>
  <c r="AD348" i="2"/>
  <c r="AC348" i="2"/>
  <c r="AD349" i="2"/>
  <c r="AC349" i="2"/>
  <c r="AC350" i="2"/>
  <c r="AD350" i="2"/>
  <c r="AD351" i="2"/>
  <c r="AC351" i="2"/>
  <c r="AD352" i="2"/>
  <c r="AC352" i="2"/>
  <c r="AD353" i="2"/>
  <c r="AC353" i="2"/>
  <c r="AD354" i="2"/>
  <c r="AC354" i="2"/>
  <c r="AD355" i="2"/>
  <c r="AC355" i="2"/>
  <c r="AD356" i="2"/>
  <c r="AC356" i="2"/>
  <c r="AD357" i="2"/>
  <c r="AC357" i="2"/>
  <c r="AD358" i="2"/>
  <c r="AC358" i="2"/>
  <c r="AD359" i="2"/>
  <c r="AC359" i="2"/>
  <c r="AD360" i="2"/>
  <c r="AC360" i="2"/>
  <c r="AD361" i="2"/>
  <c r="AC361" i="2"/>
  <c r="AD362" i="2"/>
  <c r="AC362" i="2"/>
  <c r="AD363" i="2"/>
  <c r="AC363" i="2"/>
  <c r="AD364" i="2"/>
  <c r="AC364" i="2"/>
  <c r="AD365" i="2"/>
  <c r="AC365" i="2"/>
  <c r="AD366" i="2"/>
  <c r="AC366" i="2"/>
  <c r="AD367" i="2"/>
  <c r="AC367" i="2"/>
  <c r="AD368" i="2"/>
  <c r="AC368" i="2"/>
  <c r="AD369" i="2"/>
  <c r="AC369" i="2"/>
  <c r="AD370" i="2"/>
  <c r="AC370" i="2"/>
  <c r="AD371" i="2"/>
  <c r="AC371" i="2"/>
  <c r="AD372" i="2"/>
  <c r="AC372" i="2"/>
  <c r="AD373" i="2"/>
  <c r="AC373" i="2"/>
  <c r="AD374" i="2"/>
  <c r="AC374" i="2"/>
  <c r="AD375" i="2"/>
  <c r="AC375" i="2"/>
  <c r="F35" i="3"/>
  <c r="AE386" i="2"/>
  <c r="AD386" i="2"/>
  <c r="AE387" i="2"/>
  <c r="AD387" i="2"/>
  <c r="AE388" i="2"/>
  <c r="AD388" i="2"/>
  <c r="AE389" i="2"/>
  <c r="AD389" i="2"/>
  <c r="F34" i="3"/>
  <c r="F36" i="3"/>
  <c r="K252" i="2"/>
  <c r="M252" i="2" s="1"/>
  <c r="K253" i="2"/>
  <c r="M253" i="2" s="1"/>
  <c r="K254" i="2"/>
  <c r="M254" i="2" s="1"/>
  <c r="K255" i="2"/>
  <c r="M255" i="2" s="1"/>
  <c r="K256" i="2"/>
  <c r="M256" i="2" s="1"/>
  <c r="K257" i="2"/>
  <c r="M257" i="2" s="1"/>
  <c r="K258" i="2"/>
  <c r="M258" i="2" s="1"/>
  <c r="K259" i="2"/>
  <c r="M259" i="2" s="1"/>
  <c r="K260" i="2"/>
  <c r="M260" i="2" s="1"/>
  <c r="K261" i="2"/>
  <c r="M261" i="2" s="1"/>
  <c r="K262" i="2"/>
  <c r="M262" i="2" s="1"/>
  <c r="K263" i="2"/>
  <c r="M263" i="2" s="1"/>
  <c r="K264" i="2"/>
  <c r="M264" i="2" s="1"/>
  <c r="K265" i="2"/>
  <c r="M265" i="2" s="1"/>
  <c r="K266" i="2"/>
  <c r="M266" i="2" s="1"/>
  <c r="K267" i="2"/>
  <c r="M267" i="2" s="1"/>
  <c r="L345" i="2"/>
  <c r="N345" i="2" s="1"/>
  <c r="L346" i="2"/>
  <c r="N346" i="2" s="1"/>
  <c r="K248" i="2"/>
  <c r="M248" i="2" s="1"/>
  <c r="K249" i="2"/>
  <c r="M249" i="2" s="1"/>
  <c r="K251" i="2"/>
  <c r="M251" i="2" s="1"/>
  <c r="L252" i="2"/>
  <c r="N252" i="2" s="1"/>
  <c r="L253" i="2"/>
  <c r="N253" i="2" s="1"/>
  <c r="L254" i="2"/>
  <c r="N254" i="2" s="1"/>
  <c r="L255" i="2"/>
  <c r="N255" i="2" s="1"/>
  <c r="L256" i="2"/>
  <c r="N256" i="2" s="1"/>
  <c r="L257" i="2"/>
  <c r="N257" i="2" s="1"/>
  <c r="L258" i="2"/>
  <c r="N258" i="2" s="1"/>
  <c r="L259" i="2"/>
  <c r="N259" i="2" s="1"/>
  <c r="L260" i="2"/>
  <c r="N260" i="2" s="1"/>
  <c r="L261" i="2"/>
  <c r="N261" i="2" s="1"/>
  <c r="L262" i="2"/>
  <c r="N262" i="2" s="1"/>
  <c r="L263" i="2"/>
  <c r="N263" i="2" s="1"/>
  <c r="L264" i="2"/>
  <c r="N264" i="2" s="1"/>
  <c r="L265" i="2"/>
  <c r="N265" i="2" s="1"/>
  <c r="L266" i="2"/>
  <c r="N266" i="2" s="1"/>
  <c r="L267" i="2"/>
  <c r="N267" i="2" s="1"/>
  <c r="L347" i="2"/>
  <c r="N347" i="2" s="1"/>
  <c r="L348" i="2"/>
  <c r="N348" i="2" s="1"/>
  <c r="L349" i="2"/>
  <c r="N349" i="2" s="1"/>
  <c r="L350" i="2"/>
  <c r="N350" i="2" s="1"/>
  <c r="L351" i="2"/>
  <c r="N351" i="2" s="1"/>
  <c r="L352" i="2"/>
  <c r="N352" i="2" s="1"/>
  <c r="L353" i="2"/>
  <c r="N353" i="2" s="1"/>
  <c r="L354" i="2"/>
  <c r="N354" i="2" s="1"/>
  <c r="L355" i="2"/>
  <c r="N355" i="2" s="1"/>
  <c r="L356" i="2"/>
  <c r="N356" i="2" s="1"/>
  <c r="L357" i="2"/>
  <c r="N357" i="2" s="1"/>
  <c r="L358" i="2"/>
  <c r="N358" i="2" s="1"/>
  <c r="L359" i="2"/>
  <c r="N359" i="2" s="1"/>
  <c r="L360" i="2"/>
  <c r="N360" i="2" s="1"/>
  <c r="L361" i="2"/>
  <c r="N361" i="2" s="1"/>
  <c r="L362" i="2"/>
  <c r="N362" i="2" s="1"/>
  <c r="L363" i="2"/>
  <c r="N363" i="2" s="1"/>
  <c r="L364" i="2"/>
  <c r="N364" i="2" s="1"/>
  <c r="L365" i="2"/>
  <c r="N365" i="2" s="1"/>
  <c r="L366" i="2"/>
  <c r="N366" i="2" s="1"/>
  <c r="L367" i="2"/>
  <c r="N367" i="2" s="1"/>
  <c r="L368" i="2"/>
  <c r="N368" i="2" s="1"/>
  <c r="L369" i="2"/>
  <c r="N369" i="2" s="1"/>
  <c r="L370" i="2"/>
  <c r="N370" i="2" s="1"/>
  <c r="L371" i="2"/>
  <c r="N371" i="2" s="1"/>
  <c r="L372" i="2"/>
  <c r="N372" i="2" s="1"/>
  <c r="L373" i="2"/>
  <c r="N373" i="2" s="1"/>
  <c r="L374" i="2"/>
  <c r="N374" i="2" s="1"/>
  <c r="L375" i="2"/>
  <c r="N375" i="2" s="1"/>
  <c r="L376" i="2"/>
  <c r="N376" i="2" s="1"/>
  <c r="L377" i="2"/>
  <c r="N377" i="2" s="1"/>
  <c r="L378" i="2"/>
  <c r="N378" i="2" s="1"/>
  <c r="L379" i="2"/>
  <c r="N379" i="2" s="1"/>
  <c r="L380" i="2"/>
  <c r="N380" i="2" s="1"/>
  <c r="L381" i="2"/>
  <c r="N381" i="2" s="1"/>
  <c r="L382" i="2"/>
  <c r="N382" i="2" s="1"/>
  <c r="L383" i="2"/>
  <c r="N383" i="2" s="1"/>
  <c r="L384" i="2"/>
  <c r="N384" i="2" s="1"/>
  <c r="L385" i="2"/>
  <c r="N385" i="2" s="1"/>
  <c r="L386" i="2"/>
  <c r="N386" i="2" s="1"/>
  <c r="L387" i="2"/>
  <c r="N387" i="2" s="1"/>
  <c r="L388" i="2"/>
  <c r="N388" i="2" s="1"/>
  <c r="L389" i="2"/>
  <c r="N389" i="2" s="1"/>
  <c r="L390" i="2"/>
  <c r="N390" i="2" s="1"/>
  <c r="L391" i="2"/>
  <c r="N391" i="2" s="1"/>
  <c r="L392" i="2"/>
  <c r="N392" i="2" s="1"/>
  <c r="L393" i="2"/>
  <c r="N393" i="2" s="1"/>
  <c r="L394" i="2"/>
  <c r="N394" i="2" s="1"/>
  <c r="L395" i="2"/>
  <c r="N395" i="2" s="1"/>
  <c r="L396" i="2"/>
  <c r="N396" i="2" s="1"/>
  <c r="L397" i="2"/>
  <c r="N397" i="2" s="1"/>
  <c r="L398" i="2"/>
  <c r="N398" i="2" s="1"/>
  <c r="L399" i="2"/>
  <c r="N399" i="2" s="1"/>
  <c r="L400" i="2"/>
  <c r="N400" i="2" s="1"/>
  <c r="L401" i="2"/>
  <c r="N401" i="2" s="1"/>
  <c r="L402" i="2"/>
  <c r="N402" i="2" s="1"/>
  <c r="L403" i="2"/>
  <c r="N403" i="2" s="1"/>
  <c r="L404" i="2"/>
  <c r="N404" i="2" s="1"/>
  <c r="L405" i="2"/>
  <c r="N405" i="2" s="1"/>
  <c r="L318" i="2"/>
  <c r="N318" i="2" s="1"/>
  <c r="K318" i="2"/>
  <c r="M318" i="2" s="1"/>
  <c r="L319" i="2"/>
  <c r="N319" i="2" s="1"/>
  <c r="K319" i="2"/>
  <c r="M319" i="2" s="1"/>
  <c r="L320" i="2"/>
  <c r="N320" i="2" s="1"/>
  <c r="K320" i="2"/>
  <c r="M320" i="2" s="1"/>
  <c r="L321" i="2"/>
  <c r="N321" i="2" s="1"/>
  <c r="K321" i="2"/>
  <c r="M321" i="2" s="1"/>
  <c r="L322" i="2"/>
  <c r="N322" i="2" s="1"/>
  <c r="K322" i="2"/>
  <c r="M322" i="2" s="1"/>
  <c r="L323" i="2"/>
  <c r="N323" i="2" s="1"/>
  <c r="K323" i="2"/>
  <c r="M323" i="2" s="1"/>
  <c r="L324" i="2"/>
  <c r="N324" i="2" s="1"/>
  <c r="K324" i="2"/>
  <c r="M324" i="2" s="1"/>
  <c r="K268" i="2"/>
  <c r="M268" i="2" s="1"/>
  <c r="L268" i="2"/>
  <c r="N268" i="2" s="1"/>
  <c r="K269" i="2"/>
  <c r="M269" i="2" s="1"/>
  <c r="L269" i="2"/>
  <c r="N269" i="2" s="1"/>
  <c r="K270" i="2"/>
  <c r="M270" i="2" s="1"/>
  <c r="L270" i="2"/>
  <c r="N270" i="2" s="1"/>
  <c r="K271" i="2"/>
  <c r="M271" i="2" s="1"/>
  <c r="L271" i="2"/>
  <c r="N271" i="2" s="1"/>
  <c r="K272" i="2"/>
  <c r="M272" i="2" s="1"/>
  <c r="L272" i="2"/>
  <c r="N272" i="2" s="1"/>
  <c r="K273" i="2"/>
  <c r="M273" i="2" s="1"/>
  <c r="L273" i="2"/>
  <c r="N273" i="2" s="1"/>
  <c r="K274" i="2"/>
  <c r="M274" i="2" s="1"/>
  <c r="L274" i="2"/>
  <c r="N274" i="2" s="1"/>
  <c r="K275" i="2"/>
  <c r="M275" i="2" s="1"/>
  <c r="L275" i="2"/>
  <c r="N275" i="2" s="1"/>
  <c r="K276" i="2"/>
  <c r="M276" i="2" s="1"/>
  <c r="L276" i="2"/>
  <c r="N276" i="2" s="1"/>
  <c r="K277" i="2"/>
  <c r="M277" i="2" s="1"/>
  <c r="L277" i="2"/>
  <c r="N277" i="2" s="1"/>
  <c r="K278" i="2"/>
  <c r="M278" i="2" s="1"/>
  <c r="L278" i="2"/>
  <c r="N278" i="2" s="1"/>
  <c r="K279" i="2"/>
  <c r="M279" i="2" s="1"/>
  <c r="L279" i="2"/>
  <c r="N279" i="2" s="1"/>
  <c r="K280" i="2"/>
  <c r="M280" i="2" s="1"/>
  <c r="L280" i="2"/>
  <c r="N280" i="2" s="1"/>
  <c r="K281" i="2"/>
  <c r="M281" i="2" s="1"/>
  <c r="L281" i="2"/>
  <c r="N281" i="2" s="1"/>
  <c r="K282" i="2"/>
  <c r="M282" i="2" s="1"/>
  <c r="L282" i="2"/>
  <c r="N282" i="2" s="1"/>
  <c r="K283" i="2"/>
  <c r="M283" i="2" s="1"/>
  <c r="L283" i="2"/>
  <c r="N283" i="2" s="1"/>
  <c r="K284" i="2"/>
  <c r="M284" i="2" s="1"/>
  <c r="L284" i="2"/>
  <c r="N284" i="2" s="1"/>
  <c r="AD408" i="2"/>
  <c r="AC408" i="2"/>
  <c r="AD409" i="2"/>
  <c r="AC409" i="2"/>
  <c r="AD410" i="2"/>
  <c r="AC410" i="2"/>
  <c r="AD411" i="2"/>
  <c r="AC411" i="2"/>
  <c r="AD412" i="2"/>
  <c r="AC412" i="2"/>
  <c r="AD413" i="2"/>
  <c r="AC413" i="2"/>
  <c r="AD414" i="2"/>
  <c r="AC414" i="2"/>
  <c r="AD415" i="2"/>
  <c r="AC415" i="2"/>
  <c r="AD416" i="2"/>
  <c r="AC416" i="2"/>
  <c r="AD417" i="2"/>
  <c r="AC417" i="2"/>
  <c r="AD418" i="2"/>
  <c r="AC418" i="2"/>
  <c r="AD419" i="2"/>
  <c r="AC419" i="2"/>
  <c r="AD420" i="2"/>
  <c r="AC420" i="2"/>
  <c r="AD421" i="2"/>
  <c r="AC421" i="2"/>
  <c r="AD422" i="2"/>
  <c r="AC422" i="2"/>
  <c r="AD423" i="2"/>
  <c r="AC423" i="2"/>
  <c r="AD424" i="2"/>
  <c r="AC424" i="2"/>
  <c r="AD425" i="2"/>
  <c r="AC425" i="2"/>
  <c r="AD426" i="2"/>
  <c r="AC426" i="2"/>
  <c r="AD427" i="2"/>
  <c r="AC427" i="2"/>
  <c r="AD428" i="2"/>
  <c r="AC428" i="2"/>
  <c r="AD429" i="2"/>
  <c r="AC429" i="2"/>
  <c r="AD430" i="2"/>
  <c r="AC430" i="2"/>
  <c r="AD431" i="2"/>
  <c r="AC431" i="2"/>
  <c r="AD432" i="2"/>
  <c r="AC432" i="2"/>
  <c r="AD433" i="2"/>
  <c r="AC433" i="2"/>
  <c r="AD434" i="2"/>
  <c r="AC434" i="2"/>
  <c r="AD435" i="2"/>
  <c r="AC435" i="2"/>
  <c r="AD436" i="2"/>
  <c r="AC436" i="2"/>
  <c r="AD437" i="2"/>
  <c r="AC437" i="2"/>
  <c r="AD438" i="2"/>
  <c r="AC438" i="2"/>
  <c r="AD439" i="2"/>
  <c r="AC439" i="2"/>
  <c r="AD440" i="2"/>
  <c r="AC440" i="2"/>
  <c r="AD441" i="2"/>
  <c r="AC441" i="2"/>
  <c r="Z318" i="2"/>
  <c r="Z319" i="2"/>
  <c r="Z320" i="2"/>
  <c r="Z321" i="2"/>
  <c r="Z322" i="2"/>
  <c r="Z323" i="2"/>
  <c r="Z324" i="2"/>
  <c r="Z325" i="2"/>
  <c r="Z326" i="2"/>
  <c r="Z327" i="2"/>
  <c r="Z328" i="2"/>
  <c r="Z329" i="2"/>
  <c r="Z330" i="2"/>
  <c r="Z331" i="2"/>
  <c r="Z332" i="2"/>
  <c r="Z333" i="2"/>
  <c r="Z334" i="2"/>
  <c r="Z335" i="2"/>
  <c r="Z336" i="2"/>
  <c r="Z337" i="2"/>
  <c r="Z338" i="2"/>
  <c r="Z339" i="2"/>
  <c r="Z340" i="2"/>
  <c r="Z341" i="2"/>
  <c r="Z342" i="2"/>
  <c r="Z343" i="2"/>
  <c r="Z344" i="2"/>
  <c r="Z345" i="2"/>
  <c r="Z346" i="2"/>
  <c r="Z347" i="2"/>
  <c r="Z348" i="2"/>
  <c r="Z349" i="2"/>
  <c r="Z350" i="2"/>
  <c r="Z351" i="2"/>
  <c r="Z352" i="2"/>
  <c r="Z353" i="2"/>
  <c r="Z354" i="2"/>
  <c r="Z355" i="2"/>
  <c r="Z356" i="2"/>
  <c r="Z357" i="2"/>
  <c r="Z358" i="2"/>
  <c r="Z359" i="2"/>
  <c r="Z360" i="2"/>
  <c r="Z361" i="2"/>
  <c r="Z362" i="2"/>
  <c r="Z363" i="2"/>
  <c r="Z364" i="2"/>
  <c r="Z365" i="2"/>
  <c r="Z366" i="2"/>
  <c r="Z367" i="2"/>
  <c r="Z368" i="2"/>
  <c r="Z369" i="2"/>
  <c r="Z370" i="2"/>
  <c r="Z371" i="2"/>
  <c r="Z372" i="2"/>
  <c r="Z373" i="2"/>
  <c r="Z374" i="2"/>
  <c r="Z375" i="2"/>
  <c r="Z376" i="2"/>
  <c r="Z377" i="2"/>
  <c r="Z378" i="2"/>
  <c r="Z379" i="2"/>
  <c r="Z380" i="2"/>
  <c r="Z381" i="2"/>
  <c r="Z382" i="2"/>
  <c r="Z383" i="2"/>
  <c r="Z384" i="2"/>
  <c r="Z385" i="2"/>
  <c r="Z386" i="2"/>
  <c r="Z387" i="2"/>
  <c r="Z388" i="2"/>
  <c r="Z389" i="2"/>
  <c r="Z390" i="2"/>
  <c r="Z391" i="2"/>
  <c r="Z392" i="2"/>
  <c r="Z393" i="2"/>
  <c r="Z394" i="2"/>
  <c r="Z395" i="2"/>
  <c r="Z396" i="2"/>
  <c r="Z397" i="2"/>
  <c r="Z398" i="2"/>
  <c r="Z399" i="2"/>
  <c r="Z400" i="2"/>
  <c r="Z401" i="2"/>
  <c r="Z402" i="2"/>
  <c r="Z403" i="2"/>
  <c r="Z404" i="2"/>
  <c r="Z405" i="2"/>
  <c r="Z406" i="2"/>
  <c r="Z407" i="2"/>
  <c r="K325" i="2"/>
  <c r="M325" i="2" s="1"/>
  <c r="K326" i="2"/>
  <c r="M326" i="2" s="1"/>
  <c r="K327" i="2"/>
  <c r="M327" i="2" s="1"/>
  <c r="K328" i="2"/>
  <c r="M328" i="2" s="1"/>
  <c r="K329" i="2"/>
  <c r="M329" i="2" s="1"/>
  <c r="K330" i="2"/>
  <c r="M330" i="2" s="1"/>
  <c r="K331" i="2"/>
  <c r="M331" i="2" s="1"/>
  <c r="K332" i="2"/>
  <c r="M332" i="2" s="1"/>
  <c r="K333" i="2"/>
  <c r="M333" i="2" s="1"/>
  <c r="K334" i="2"/>
  <c r="M334" i="2" s="1"/>
  <c r="K335" i="2"/>
  <c r="M335" i="2" s="1"/>
  <c r="K336" i="2"/>
  <c r="M336" i="2" s="1"/>
  <c r="K337" i="2"/>
  <c r="M337" i="2" s="1"/>
  <c r="K338" i="2"/>
  <c r="M338" i="2" s="1"/>
  <c r="K339" i="2"/>
  <c r="M339" i="2" s="1"/>
  <c r="K340" i="2"/>
  <c r="M340" i="2" s="1"/>
  <c r="K341" i="2"/>
  <c r="M341" i="2" s="1"/>
  <c r="K342" i="2"/>
  <c r="M342" i="2" s="1"/>
  <c r="K343" i="2"/>
  <c r="M343" i="2" s="1"/>
  <c r="K344" i="2"/>
  <c r="M344" i="2" s="1"/>
  <c r="K345" i="2"/>
  <c r="M345" i="2" s="1"/>
  <c r="K346" i="2"/>
  <c r="M346" i="2" s="1"/>
  <c r="K347" i="2"/>
  <c r="M347" i="2" s="1"/>
  <c r="K348" i="2"/>
  <c r="M348" i="2" s="1"/>
  <c r="K349" i="2"/>
  <c r="M349" i="2" s="1"/>
  <c r="K350" i="2"/>
  <c r="M350" i="2" s="1"/>
  <c r="K351" i="2"/>
  <c r="M351" i="2" s="1"/>
  <c r="K352" i="2"/>
  <c r="M352" i="2" s="1"/>
  <c r="K353" i="2"/>
  <c r="M353" i="2" s="1"/>
  <c r="K354" i="2"/>
  <c r="M354" i="2" s="1"/>
  <c r="K355" i="2"/>
  <c r="M355" i="2" s="1"/>
  <c r="K397" i="2"/>
  <c r="M397" i="2" s="1"/>
  <c r="K399" i="2"/>
  <c r="M399" i="2" s="1"/>
  <c r="K401" i="2"/>
  <c r="M401" i="2" s="1"/>
  <c r="K403" i="2"/>
  <c r="M403" i="2" s="1"/>
  <c r="K405" i="2"/>
  <c r="M405" i="2" s="1"/>
  <c r="K356" i="2"/>
  <c r="M356" i="2" s="1"/>
  <c r="K357" i="2"/>
  <c r="M357" i="2" s="1"/>
  <c r="K358" i="2"/>
  <c r="M358" i="2" s="1"/>
  <c r="K359" i="2"/>
  <c r="M359" i="2" s="1"/>
  <c r="K360" i="2"/>
  <c r="M360" i="2" s="1"/>
  <c r="K361" i="2"/>
  <c r="M361" i="2" s="1"/>
  <c r="K362" i="2"/>
  <c r="M362" i="2" s="1"/>
  <c r="K363" i="2"/>
  <c r="M363" i="2" s="1"/>
  <c r="K364" i="2"/>
  <c r="M364" i="2" s="1"/>
  <c r="K365" i="2"/>
  <c r="M365" i="2" s="1"/>
  <c r="K366" i="2"/>
  <c r="M366" i="2" s="1"/>
  <c r="K367" i="2"/>
  <c r="M367" i="2" s="1"/>
  <c r="K368" i="2"/>
  <c r="M368" i="2" s="1"/>
  <c r="K369" i="2"/>
  <c r="M369" i="2" s="1"/>
  <c r="K370" i="2"/>
  <c r="M370" i="2" s="1"/>
  <c r="K371" i="2"/>
  <c r="M371" i="2" s="1"/>
  <c r="K372" i="2"/>
  <c r="M372" i="2" s="1"/>
  <c r="K373" i="2"/>
  <c r="M373" i="2" s="1"/>
  <c r="K374" i="2"/>
  <c r="M374" i="2" s="1"/>
  <c r="K375" i="2"/>
  <c r="M375" i="2" s="1"/>
  <c r="K376" i="2"/>
  <c r="M376" i="2" s="1"/>
  <c r="K377" i="2"/>
  <c r="M377" i="2" s="1"/>
  <c r="K378" i="2"/>
  <c r="M378" i="2" s="1"/>
  <c r="K379" i="2"/>
  <c r="M379" i="2" s="1"/>
  <c r="K380" i="2"/>
  <c r="M380" i="2" s="1"/>
  <c r="K381" i="2"/>
  <c r="M381" i="2" s="1"/>
  <c r="K382" i="2"/>
  <c r="M382" i="2" s="1"/>
  <c r="K383" i="2"/>
  <c r="M383" i="2" s="1"/>
  <c r="K384" i="2"/>
  <c r="M384" i="2" s="1"/>
  <c r="K385" i="2"/>
  <c r="M385" i="2" s="1"/>
  <c r="K386" i="2"/>
  <c r="M386" i="2" s="1"/>
  <c r="K387" i="2"/>
  <c r="M387" i="2" s="1"/>
  <c r="K388" i="2"/>
  <c r="M388" i="2" s="1"/>
  <c r="K389" i="2"/>
  <c r="M389" i="2" s="1"/>
  <c r="K390" i="2"/>
  <c r="M390" i="2" s="1"/>
  <c r="K391" i="2"/>
  <c r="M391" i="2" s="1"/>
  <c r="K392" i="2"/>
  <c r="M392" i="2" s="1"/>
  <c r="K393" i="2"/>
  <c r="M393" i="2" s="1"/>
  <c r="K394" i="2"/>
  <c r="M394" i="2" s="1"/>
  <c r="K395" i="2"/>
  <c r="M395" i="2" s="1"/>
  <c r="K396" i="2"/>
  <c r="M396" i="2" s="1"/>
  <c r="K398" i="2"/>
  <c r="M398" i="2" s="1"/>
  <c r="K400" i="2"/>
  <c r="M400" i="2" s="1"/>
  <c r="K402" i="2"/>
  <c r="M402" i="2" s="1"/>
  <c r="K404" i="2"/>
  <c r="M404" i="2" s="1"/>
  <c r="Z408" i="2"/>
  <c r="Z412" i="2"/>
  <c r="Z414" i="2"/>
  <c r="Z416" i="2"/>
  <c r="Z410" i="2"/>
  <c r="Z411" i="2"/>
  <c r="Z413" i="2"/>
  <c r="Z415" i="2"/>
  <c r="Z417" i="2"/>
  <c r="Z409" i="2"/>
  <c r="Z418" i="2"/>
  <c r="Z419" i="2"/>
  <c r="Z420" i="2"/>
  <c r="Z421" i="2"/>
  <c r="Z422" i="2"/>
  <c r="Z423" i="2"/>
  <c r="Z424" i="2"/>
  <c r="Z425" i="2"/>
  <c r="Z426" i="2"/>
  <c r="Z427" i="2"/>
  <c r="Z428" i="2"/>
  <c r="Z429" i="2"/>
  <c r="Z430" i="2"/>
  <c r="Z431" i="2"/>
  <c r="Z432" i="2"/>
  <c r="Z433" i="2"/>
  <c r="Z434" i="2"/>
  <c r="Z435" i="2"/>
  <c r="Z436" i="2"/>
  <c r="Z437" i="2"/>
  <c r="Z438" i="2"/>
  <c r="Z439" i="2"/>
  <c r="Z440" i="2"/>
  <c r="Z441" i="2"/>
  <c r="K406" i="2"/>
  <c r="M406" i="2" s="1"/>
  <c r="L406" i="2"/>
  <c r="N406" i="2" s="1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K250" i="2"/>
  <c r="M250" i="2" s="1"/>
  <c r="L250" i="2"/>
  <c r="N250" i="2" s="1"/>
  <c r="F27" i="3"/>
  <c r="AD287" i="2"/>
  <c r="AC287" i="2"/>
  <c r="AD288" i="2"/>
  <c r="AC288" i="2"/>
  <c r="AD289" i="2"/>
  <c r="AC289" i="2"/>
  <c r="AD290" i="2"/>
  <c r="AC290" i="2"/>
  <c r="AD291" i="2"/>
  <c r="AC291" i="2"/>
  <c r="AD292" i="2"/>
  <c r="AC292" i="2"/>
  <c r="AD293" i="2"/>
  <c r="AC293" i="2"/>
  <c r="AD294" i="2"/>
  <c r="AC294" i="2"/>
  <c r="AD295" i="2"/>
  <c r="AC295" i="2"/>
  <c r="AD296" i="2"/>
  <c r="AC296" i="2"/>
  <c r="AD297" i="2"/>
  <c r="AC297" i="2"/>
  <c r="AD298" i="2"/>
  <c r="AC298" i="2"/>
  <c r="AD299" i="2"/>
  <c r="AC299" i="2"/>
  <c r="AD300" i="2"/>
  <c r="AC300" i="2"/>
  <c r="AD301" i="2"/>
  <c r="AC301" i="2"/>
  <c r="AD302" i="2"/>
  <c r="AC302" i="2"/>
  <c r="AD303" i="2"/>
  <c r="AC303" i="2"/>
  <c r="AD304" i="2"/>
  <c r="AC304" i="2"/>
  <c r="AD305" i="2"/>
  <c r="AC305" i="2"/>
  <c r="AD306" i="2"/>
  <c r="AC306" i="2"/>
  <c r="AD307" i="2"/>
  <c r="AC307" i="2"/>
  <c r="AD308" i="2"/>
  <c r="AC308" i="2"/>
  <c r="AD309" i="2"/>
  <c r="AC309" i="2"/>
  <c r="AD310" i="2"/>
  <c r="AC310" i="2"/>
  <c r="AD311" i="2"/>
  <c r="AC311" i="2"/>
  <c r="AD312" i="2"/>
  <c r="AC312" i="2"/>
  <c r="AD313" i="2"/>
  <c r="AC313" i="2"/>
  <c r="AD314" i="2"/>
  <c r="AC314" i="2"/>
  <c r="AD315" i="2"/>
  <c r="AC315" i="2"/>
  <c r="AD316" i="2"/>
  <c r="AC316" i="2"/>
  <c r="AD317" i="2"/>
  <c r="AC317" i="2"/>
  <c r="AC232" i="2"/>
  <c r="AD232" i="2"/>
  <c r="AC233" i="2"/>
  <c r="AD233" i="2"/>
  <c r="AC234" i="2"/>
  <c r="AD234" i="2"/>
  <c r="AC235" i="2"/>
  <c r="AD235" i="2"/>
  <c r="AC236" i="2"/>
  <c r="AD236" i="2"/>
  <c r="AC237" i="2"/>
  <c r="AD237" i="2"/>
  <c r="AC238" i="2"/>
  <c r="AD238" i="2"/>
  <c r="AC239" i="2"/>
  <c r="AD239" i="2"/>
  <c r="AC240" i="2"/>
  <c r="AD240" i="2"/>
  <c r="AC241" i="2"/>
  <c r="AD241" i="2"/>
  <c r="AC242" i="2"/>
  <c r="AD242" i="2"/>
  <c r="AD243" i="2"/>
  <c r="AC243" i="2"/>
  <c r="AC244" i="2"/>
  <c r="AD244" i="2"/>
  <c r="AC245" i="2"/>
  <c r="AD245" i="2"/>
  <c r="AC246" i="2"/>
  <c r="AD246" i="2"/>
  <c r="AC247" i="2"/>
  <c r="AD247" i="2"/>
  <c r="AD248" i="2"/>
  <c r="AC248" i="2"/>
  <c r="AD249" i="2"/>
  <c r="AC249" i="2"/>
  <c r="AD250" i="2"/>
  <c r="AC250" i="2"/>
  <c r="AD251" i="2"/>
  <c r="AC251" i="2"/>
  <c r="AD252" i="2"/>
  <c r="AC252" i="2"/>
  <c r="AC253" i="2"/>
  <c r="AD253" i="2"/>
  <c r="AC254" i="2"/>
  <c r="AD254" i="2"/>
  <c r="AC255" i="2"/>
  <c r="AD255" i="2"/>
  <c r="AC256" i="2"/>
  <c r="AD256" i="2"/>
  <c r="AC257" i="2"/>
  <c r="AD257" i="2"/>
  <c r="AC258" i="2"/>
  <c r="AD258" i="2"/>
  <c r="AC259" i="2"/>
  <c r="AD259" i="2"/>
  <c r="AC260" i="2"/>
  <c r="AD260" i="2"/>
  <c r="AC261" i="2"/>
  <c r="AD261" i="2"/>
  <c r="AC262" i="2"/>
  <c r="AD262" i="2"/>
  <c r="AC263" i="2"/>
  <c r="AD263" i="2"/>
  <c r="AC264" i="2"/>
  <c r="AD264" i="2"/>
  <c r="AC265" i="2"/>
  <c r="AD265" i="2"/>
  <c r="AC266" i="2"/>
  <c r="AD266" i="2"/>
  <c r="AC267" i="2"/>
  <c r="AD267" i="2"/>
  <c r="AC268" i="2"/>
  <c r="AD268" i="2"/>
  <c r="AC269" i="2"/>
  <c r="AD269" i="2"/>
  <c r="AC270" i="2"/>
  <c r="AD270" i="2"/>
  <c r="AC271" i="2"/>
  <c r="AD271" i="2"/>
  <c r="AC272" i="2"/>
  <c r="AD272" i="2"/>
  <c r="AC273" i="2"/>
  <c r="AD273" i="2"/>
  <c r="AC274" i="2"/>
  <c r="AD274" i="2"/>
  <c r="AC275" i="2"/>
  <c r="AD275" i="2"/>
  <c r="AD276" i="2"/>
  <c r="AC276" i="2"/>
  <c r="AD277" i="2"/>
  <c r="AC277" i="2"/>
  <c r="AD278" i="2"/>
  <c r="AC278" i="2"/>
  <c r="AD279" i="2"/>
  <c r="AC279" i="2"/>
  <c r="AC280" i="2"/>
  <c r="AD280" i="2"/>
  <c r="AC281" i="2"/>
  <c r="AD281" i="2"/>
  <c r="AC282" i="2"/>
  <c r="AD282" i="2"/>
  <c r="AC283" i="2"/>
  <c r="AD283" i="2"/>
  <c r="AC284" i="2"/>
  <c r="AD284" i="2"/>
  <c r="AC285" i="2"/>
  <c r="AD285" i="2"/>
  <c r="AC286" i="2"/>
  <c r="AD286" i="2"/>
  <c r="AC206" i="2"/>
  <c r="AD206" i="2"/>
  <c r="AC207" i="2"/>
  <c r="AD207" i="2"/>
  <c r="AC208" i="2"/>
  <c r="AD208" i="2"/>
  <c r="AC209" i="2"/>
  <c r="AD209" i="2"/>
  <c r="AC210" i="2"/>
  <c r="AD210" i="2"/>
  <c r="AC211" i="2"/>
  <c r="AD211" i="2"/>
  <c r="AC212" i="2"/>
  <c r="AD212" i="2"/>
  <c r="AC213" i="2"/>
  <c r="AD213" i="2"/>
  <c r="AC214" i="2"/>
  <c r="AD214" i="2"/>
  <c r="AC215" i="2"/>
  <c r="AD215" i="2"/>
  <c r="AC216" i="2"/>
  <c r="AD216" i="2"/>
  <c r="AC217" i="2"/>
  <c r="AD217" i="2"/>
  <c r="AC218" i="2"/>
  <c r="AD218" i="2"/>
  <c r="AC219" i="2"/>
  <c r="AD219" i="2"/>
  <c r="AC220" i="2"/>
  <c r="AD220" i="2"/>
  <c r="AC221" i="2"/>
  <c r="AD221" i="2"/>
  <c r="AC222" i="2"/>
  <c r="AD222" i="2"/>
  <c r="AC223" i="2"/>
  <c r="AD223" i="2"/>
  <c r="AC224" i="2"/>
  <c r="AD224" i="2"/>
  <c r="AC225" i="2"/>
  <c r="AD225" i="2"/>
  <c r="AF226" i="2"/>
  <c r="AD226" i="2"/>
  <c r="AC226" i="2"/>
  <c r="AF227" i="2"/>
  <c r="AD227" i="2"/>
  <c r="AC227" i="2"/>
  <c r="AD228" i="2"/>
  <c r="AC228" i="2"/>
  <c r="AD229" i="2"/>
  <c r="AC229" i="2"/>
  <c r="AD230" i="2"/>
  <c r="AC230" i="2"/>
  <c r="AD231" i="2"/>
  <c r="AC231" i="2"/>
  <c r="K407" i="2"/>
  <c r="M407" i="2" s="1"/>
  <c r="L407" i="2"/>
  <c r="N407" i="2" s="1"/>
  <c r="K285" i="2"/>
  <c r="M285" i="2" s="1"/>
  <c r="L285" i="2"/>
  <c r="N285" i="2" s="1"/>
  <c r="K286" i="2"/>
  <c r="M286" i="2" s="1"/>
  <c r="L286" i="2"/>
  <c r="N286" i="2" s="1"/>
  <c r="K287" i="2"/>
  <c r="M287" i="2" s="1"/>
  <c r="L287" i="2"/>
  <c r="N287" i="2" s="1"/>
  <c r="K288" i="2"/>
  <c r="M288" i="2" s="1"/>
  <c r="L288" i="2"/>
  <c r="N288" i="2" s="1"/>
  <c r="K289" i="2"/>
  <c r="M289" i="2" s="1"/>
  <c r="L289" i="2"/>
  <c r="N289" i="2" s="1"/>
  <c r="K290" i="2"/>
  <c r="M290" i="2" s="1"/>
  <c r="L290" i="2"/>
  <c r="N290" i="2" s="1"/>
  <c r="K291" i="2"/>
  <c r="M291" i="2" s="1"/>
  <c r="L291" i="2"/>
  <c r="N291" i="2" s="1"/>
  <c r="K292" i="2"/>
  <c r="M292" i="2" s="1"/>
  <c r="L292" i="2"/>
  <c r="N292" i="2" s="1"/>
  <c r="K293" i="2"/>
  <c r="M293" i="2" s="1"/>
  <c r="L293" i="2"/>
  <c r="N293" i="2" s="1"/>
  <c r="K294" i="2"/>
  <c r="M294" i="2" s="1"/>
  <c r="L294" i="2"/>
  <c r="N294" i="2" s="1"/>
  <c r="K295" i="2"/>
  <c r="M295" i="2" s="1"/>
  <c r="L295" i="2"/>
  <c r="N295" i="2" s="1"/>
  <c r="K296" i="2"/>
  <c r="M296" i="2" s="1"/>
  <c r="L296" i="2"/>
  <c r="N296" i="2" s="1"/>
  <c r="K297" i="2"/>
  <c r="M297" i="2" s="1"/>
  <c r="L297" i="2"/>
  <c r="N297" i="2" s="1"/>
  <c r="K298" i="2"/>
  <c r="M298" i="2" s="1"/>
  <c r="L298" i="2"/>
  <c r="N298" i="2" s="1"/>
  <c r="K299" i="2"/>
  <c r="M299" i="2" s="1"/>
  <c r="L299" i="2"/>
  <c r="N299" i="2" s="1"/>
  <c r="K300" i="2"/>
  <c r="M300" i="2" s="1"/>
  <c r="L300" i="2"/>
  <c r="N300" i="2" s="1"/>
  <c r="K301" i="2"/>
  <c r="M301" i="2" s="1"/>
  <c r="L301" i="2"/>
  <c r="N301" i="2" s="1"/>
  <c r="K302" i="2"/>
  <c r="M302" i="2" s="1"/>
  <c r="L302" i="2"/>
  <c r="N302" i="2" s="1"/>
  <c r="L303" i="2"/>
  <c r="N303" i="2" s="1"/>
  <c r="K303" i="2"/>
  <c r="M303" i="2" s="1"/>
  <c r="L304" i="2"/>
  <c r="N304" i="2" s="1"/>
  <c r="K304" i="2"/>
  <c r="M304" i="2" s="1"/>
  <c r="L305" i="2"/>
  <c r="N305" i="2" s="1"/>
  <c r="K305" i="2"/>
  <c r="M305" i="2" s="1"/>
  <c r="L306" i="2"/>
  <c r="N306" i="2" s="1"/>
  <c r="K306" i="2"/>
  <c r="M306" i="2" s="1"/>
  <c r="L307" i="2"/>
  <c r="N307" i="2" s="1"/>
  <c r="K307" i="2"/>
  <c r="M307" i="2" s="1"/>
  <c r="K308" i="2"/>
  <c r="M308" i="2" s="1"/>
  <c r="L308" i="2"/>
  <c r="N308" i="2" s="1"/>
  <c r="L309" i="2"/>
  <c r="N309" i="2" s="1"/>
  <c r="K309" i="2"/>
  <c r="M309" i="2" s="1"/>
  <c r="K310" i="2"/>
  <c r="M310" i="2" s="1"/>
  <c r="L310" i="2"/>
  <c r="N310" i="2" s="1"/>
  <c r="K311" i="2"/>
  <c r="M311" i="2" s="1"/>
  <c r="L311" i="2"/>
  <c r="N311" i="2" s="1"/>
  <c r="L312" i="2"/>
  <c r="N312" i="2" s="1"/>
  <c r="K312" i="2"/>
  <c r="M312" i="2" s="1"/>
  <c r="L313" i="2"/>
  <c r="N313" i="2" s="1"/>
  <c r="K313" i="2"/>
  <c r="M313" i="2" s="1"/>
  <c r="L314" i="2"/>
  <c r="N314" i="2" s="1"/>
  <c r="K314" i="2"/>
  <c r="M314" i="2" s="1"/>
  <c r="L315" i="2"/>
  <c r="N315" i="2" s="1"/>
  <c r="K315" i="2"/>
  <c r="M315" i="2" s="1"/>
  <c r="K316" i="2"/>
  <c r="M316" i="2" s="1"/>
  <c r="L316" i="2"/>
  <c r="N316" i="2" s="1"/>
  <c r="K232" i="2"/>
  <c r="M232" i="2" s="1"/>
  <c r="L232" i="2"/>
  <c r="N232" i="2" s="1"/>
  <c r="K233" i="2"/>
  <c r="M233" i="2" s="1"/>
  <c r="L233" i="2"/>
  <c r="N233" i="2" s="1"/>
  <c r="L234" i="2"/>
  <c r="N234" i="2" s="1"/>
  <c r="K234" i="2"/>
  <c r="M234" i="2" s="1"/>
  <c r="K235" i="2"/>
  <c r="M235" i="2" s="1"/>
  <c r="L235" i="2"/>
  <c r="N235" i="2" s="1"/>
  <c r="L236" i="2"/>
  <c r="N236" i="2" s="1"/>
  <c r="K236" i="2"/>
  <c r="M236" i="2" s="1"/>
  <c r="L237" i="2"/>
  <c r="N237" i="2" s="1"/>
  <c r="K237" i="2"/>
  <c r="M237" i="2" s="1"/>
  <c r="K238" i="2"/>
  <c r="M238" i="2" s="1"/>
  <c r="L238" i="2"/>
  <c r="N238" i="2" s="1"/>
  <c r="K239" i="2"/>
  <c r="M239" i="2" s="1"/>
  <c r="L239" i="2"/>
  <c r="N239" i="2" s="1"/>
  <c r="K240" i="2"/>
  <c r="M240" i="2" s="1"/>
  <c r="L240" i="2"/>
  <c r="N240" i="2" s="1"/>
  <c r="K241" i="2"/>
  <c r="M241" i="2" s="1"/>
  <c r="L241" i="2"/>
  <c r="N241" i="2" s="1"/>
  <c r="K242" i="2"/>
  <c r="M242" i="2" s="1"/>
  <c r="L242" i="2"/>
  <c r="N242" i="2" s="1"/>
  <c r="L243" i="2"/>
  <c r="N243" i="2" s="1"/>
  <c r="K243" i="2"/>
  <c r="M243" i="2" s="1"/>
  <c r="L244" i="2"/>
  <c r="N244" i="2" s="1"/>
  <c r="K244" i="2"/>
  <c r="M244" i="2" s="1"/>
  <c r="L245" i="2"/>
  <c r="N245" i="2" s="1"/>
  <c r="K245" i="2"/>
  <c r="M245" i="2" s="1"/>
  <c r="L246" i="2"/>
  <c r="N246" i="2" s="1"/>
  <c r="K246" i="2"/>
  <c r="M246" i="2" s="1"/>
  <c r="L247" i="2"/>
  <c r="N247" i="2" s="1"/>
  <c r="K247" i="2"/>
  <c r="M247" i="2" s="1"/>
  <c r="F30" i="3"/>
  <c r="AC153" i="2"/>
  <c r="AD153" i="2"/>
  <c r="AC154" i="2"/>
  <c r="AD154" i="2"/>
  <c r="AC155" i="2"/>
  <c r="AD155" i="2"/>
  <c r="AC156" i="2"/>
  <c r="AD156" i="2"/>
  <c r="AC157" i="2"/>
  <c r="AD157" i="2"/>
  <c r="AC158" i="2"/>
  <c r="AD158" i="2"/>
  <c r="AC159" i="2"/>
  <c r="AD159" i="2"/>
  <c r="AC160" i="2"/>
  <c r="AD160" i="2"/>
  <c r="AC161" i="2"/>
  <c r="AD161" i="2"/>
  <c r="AC162" i="2"/>
  <c r="AD162" i="2"/>
  <c r="AC163" i="2"/>
  <c r="AD163" i="2"/>
  <c r="AC164" i="2"/>
  <c r="AD164" i="2"/>
  <c r="AC165" i="2"/>
  <c r="AD165" i="2"/>
  <c r="AC166" i="2"/>
  <c r="AD166" i="2"/>
  <c r="AC167" i="2"/>
  <c r="AD167" i="2"/>
  <c r="AC168" i="2"/>
  <c r="AD168" i="2"/>
  <c r="AC169" i="2"/>
  <c r="AD169" i="2"/>
  <c r="AC170" i="2"/>
  <c r="AD170" i="2"/>
  <c r="AC171" i="2"/>
  <c r="AD171" i="2"/>
  <c r="AC172" i="2"/>
  <c r="AD172" i="2"/>
  <c r="AC173" i="2"/>
  <c r="AD173" i="2"/>
  <c r="AC174" i="2"/>
  <c r="AD174" i="2"/>
  <c r="AC175" i="2"/>
  <c r="AD175" i="2"/>
  <c r="AC176" i="2"/>
  <c r="AD176" i="2"/>
  <c r="AC177" i="2"/>
  <c r="AD177" i="2"/>
  <c r="AC178" i="2"/>
  <c r="AD178" i="2"/>
  <c r="AC179" i="2"/>
  <c r="AD179" i="2"/>
  <c r="AC180" i="2"/>
  <c r="AD180" i="2"/>
  <c r="AC181" i="2"/>
  <c r="AD181" i="2"/>
  <c r="AC182" i="2"/>
  <c r="AD182" i="2"/>
  <c r="AC183" i="2"/>
  <c r="AD183" i="2"/>
  <c r="AC184" i="2"/>
  <c r="AD184" i="2"/>
  <c r="AC185" i="2"/>
  <c r="AD185" i="2"/>
  <c r="AC186" i="2"/>
  <c r="AD186" i="2"/>
  <c r="AC187" i="2"/>
  <c r="AD187" i="2"/>
  <c r="AC188" i="2"/>
  <c r="AD188" i="2"/>
  <c r="AC189" i="2"/>
  <c r="AD189" i="2"/>
  <c r="AC190" i="2"/>
  <c r="AD190" i="2"/>
  <c r="AC191" i="2"/>
  <c r="AD191" i="2"/>
  <c r="AC192" i="2"/>
  <c r="AD192" i="2"/>
  <c r="AC193" i="2"/>
  <c r="AD193" i="2"/>
  <c r="AC194" i="2"/>
  <c r="AD194" i="2"/>
  <c r="AC195" i="2"/>
  <c r="AD195" i="2"/>
  <c r="AC196" i="2"/>
  <c r="AD196" i="2"/>
  <c r="AC197" i="2"/>
  <c r="AD197" i="2"/>
  <c r="AC198" i="2"/>
  <c r="AD198" i="2"/>
  <c r="AC199" i="2"/>
  <c r="AD199" i="2"/>
  <c r="AC200" i="2"/>
  <c r="AD200" i="2"/>
  <c r="AC201" i="2"/>
  <c r="AD201" i="2"/>
  <c r="AC202" i="2"/>
  <c r="AD202" i="2"/>
  <c r="AC203" i="2"/>
  <c r="AD203" i="2"/>
  <c r="AC204" i="2"/>
  <c r="AD204" i="2"/>
  <c r="AC205" i="2"/>
  <c r="AD205" i="2"/>
  <c r="Z232" i="2"/>
  <c r="Z234" i="2"/>
  <c r="Z236" i="2"/>
  <c r="Z238" i="2"/>
  <c r="Z240" i="2"/>
  <c r="Z242" i="2"/>
  <c r="Z244" i="2"/>
  <c r="Z246" i="2"/>
  <c r="Z248" i="2"/>
  <c r="Z249" i="2"/>
  <c r="Z251" i="2"/>
  <c r="Z253" i="2"/>
  <c r="Z255" i="2"/>
  <c r="Z257" i="2"/>
  <c r="Z258" i="2"/>
  <c r="Z260" i="2"/>
  <c r="Z262" i="2"/>
  <c r="Z264" i="2"/>
  <c r="Z266" i="2"/>
  <c r="Z267" i="2"/>
  <c r="Z269" i="2"/>
  <c r="Z271" i="2"/>
  <c r="Z273" i="2"/>
  <c r="Z275" i="2"/>
  <c r="Z276" i="2"/>
  <c r="Z278" i="2"/>
  <c r="Z280" i="2"/>
  <c r="Z282" i="2"/>
  <c r="Z284" i="2"/>
  <c r="Z285" i="2"/>
  <c r="Z287" i="2"/>
  <c r="Z289" i="2"/>
  <c r="Z291" i="2"/>
  <c r="Z293" i="2"/>
  <c r="Z294" i="2"/>
  <c r="Z296" i="2"/>
  <c r="Z298" i="2"/>
  <c r="Z300" i="2"/>
  <c r="Z302" i="2"/>
  <c r="Z304" i="2"/>
  <c r="Z305" i="2"/>
  <c r="Z307" i="2"/>
  <c r="Z309" i="2"/>
  <c r="Z311" i="2"/>
  <c r="Z313" i="2"/>
  <c r="Z314" i="2"/>
  <c r="Z316" i="2"/>
  <c r="Z233" i="2"/>
  <c r="Z235" i="2"/>
  <c r="Z237" i="2"/>
  <c r="Z239" i="2"/>
  <c r="Z241" i="2"/>
  <c r="Z243" i="2"/>
  <c r="Z245" i="2"/>
  <c r="Z247" i="2"/>
  <c r="Z250" i="2"/>
  <c r="Z252" i="2"/>
  <c r="Z254" i="2"/>
  <c r="Z256" i="2"/>
  <c r="Z259" i="2"/>
  <c r="Z261" i="2"/>
  <c r="Z263" i="2"/>
  <c r="Z265" i="2"/>
  <c r="Z268" i="2"/>
  <c r="Z270" i="2"/>
  <c r="Z272" i="2"/>
  <c r="Z274" i="2"/>
  <c r="Z277" i="2"/>
  <c r="Z279" i="2"/>
  <c r="Z281" i="2"/>
  <c r="Z283" i="2"/>
  <c r="Z286" i="2"/>
  <c r="Z288" i="2"/>
  <c r="Z290" i="2"/>
  <c r="Z292" i="2"/>
  <c r="Z295" i="2"/>
  <c r="Z297" i="2"/>
  <c r="Z299" i="2"/>
  <c r="Z301" i="2"/>
  <c r="Z303" i="2"/>
  <c r="Z306" i="2"/>
  <c r="Z308" i="2"/>
  <c r="Z310" i="2"/>
  <c r="Z312" i="2"/>
  <c r="Z315" i="2"/>
  <c r="Z317" i="2"/>
  <c r="L317" i="2"/>
  <c r="N317" i="2" s="1"/>
  <c r="K317" i="2"/>
  <c r="M317" i="2" s="1"/>
  <c r="AD3" i="2"/>
  <c r="AC3" i="2"/>
  <c r="AD4" i="2"/>
  <c r="AC4" i="2"/>
  <c r="AD5" i="2"/>
  <c r="AC5" i="2"/>
  <c r="AD6" i="2"/>
  <c r="AC6" i="2"/>
  <c r="AD7" i="2"/>
  <c r="AC7" i="2"/>
  <c r="AD8" i="2"/>
  <c r="AC8" i="2"/>
  <c r="AD9" i="2"/>
  <c r="AC9" i="2"/>
  <c r="AD10" i="2"/>
  <c r="AC10" i="2"/>
  <c r="AD11" i="2"/>
  <c r="AC11" i="2"/>
  <c r="AD12" i="2"/>
  <c r="AC12" i="2"/>
  <c r="AD13" i="2"/>
  <c r="AC13" i="2"/>
  <c r="AD14" i="2"/>
  <c r="AC14" i="2"/>
  <c r="AD15" i="2"/>
  <c r="AC15" i="2"/>
  <c r="AD16" i="2"/>
  <c r="AC16" i="2"/>
  <c r="AD17" i="2"/>
  <c r="AC17" i="2"/>
  <c r="AD18" i="2"/>
  <c r="AC18" i="2"/>
  <c r="AC19" i="2"/>
  <c r="AD19" i="2"/>
  <c r="AC20" i="2"/>
  <c r="AD20" i="2"/>
  <c r="AC21" i="2"/>
  <c r="AD21" i="2"/>
  <c r="AD22" i="2"/>
  <c r="AC22" i="2"/>
  <c r="AC23" i="2"/>
  <c r="AD23" i="2"/>
  <c r="AC24" i="2"/>
  <c r="AD24" i="2"/>
  <c r="AC25" i="2"/>
  <c r="AD25" i="2"/>
  <c r="AD26" i="2"/>
  <c r="AC26" i="2"/>
  <c r="AD27" i="2"/>
  <c r="AC27" i="2"/>
  <c r="AD28" i="2"/>
  <c r="AC28" i="2"/>
  <c r="AD29" i="2"/>
  <c r="AC29" i="2"/>
  <c r="AD30" i="2"/>
  <c r="AC30" i="2"/>
  <c r="AD31" i="2"/>
  <c r="AC31" i="2"/>
  <c r="AD32" i="2"/>
  <c r="AC32" i="2"/>
  <c r="AD33" i="2"/>
  <c r="AC33" i="2"/>
  <c r="AD34" i="2"/>
  <c r="AC34" i="2"/>
  <c r="AD35" i="2"/>
  <c r="AC35" i="2"/>
  <c r="AD36" i="2"/>
  <c r="AC36" i="2"/>
  <c r="AD37" i="2"/>
  <c r="AC37" i="2"/>
  <c r="AD38" i="2"/>
  <c r="AC38" i="2"/>
  <c r="AD39" i="2"/>
  <c r="AC39" i="2"/>
  <c r="AD40" i="2"/>
  <c r="AC40" i="2"/>
  <c r="AD41" i="2"/>
  <c r="AC41" i="2"/>
  <c r="AD42" i="2"/>
  <c r="AC42" i="2"/>
  <c r="AD43" i="2"/>
  <c r="AC43" i="2"/>
  <c r="AD44" i="2"/>
  <c r="AC44" i="2"/>
  <c r="AD45" i="2"/>
  <c r="AC45" i="2"/>
  <c r="AD46" i="2"/>
  <c r="AC46" i="2"/>
  <c r="AD47" i="2"/>
  <c r="AC47" i="2"/>
  <c r="AD48" i="2"/>
  <c r="AC48" i="2"/>
  <c r="AD49" i="2"/>
  <c r="AC49" i="2"/>
  <c r="AD50" i="2"/>
  <c r="AC50" i="2"/>
  <c r="AD51" i="2"/>
  <c r="AC51" i="2"/>
  <c r="AD52" i="2"/>
  <c r="AC52" i="2"/>
  <c r="AD53" i="2"/>
  <c r="AC53" i="2"/>
  <c r="AD54" i="2"/>
  <c r="AC54" i="2"/>
  <c r="AD55" i="2"/>
  <c r="AC55" i="2"/>
  <c r="AD56" i="2"/>
  <c r="AC56" i="2"/>
  <c r="AC57" i="2"/>
  <c r="AD57" i="2"/>
  <c r="AD58" i="2"/>
  <c r="AC58" i="2"/>
  <c r="AD59" i="2"/>
  <c r="AC59" i="2"/>
  <c r="AD60" i="2"/>
  <c r="AC60" i="2"/>
  <c r="AD61" i="2"/>
  <c r="AC61" i="2"/>
  <c r="AD62" i="2"/>
  <c r="AC62" i="2"/>
  <c r="AD63" i="2"/>
  <c r="AC63" i="2"/>
  <c r="AD64" i="2"/>
  <c r="AC64" i="2"/>
  <c r="AD65" i="2"/>
  <c r="AC65" i="2"/>
  <c r="AD66" i="2"/>
  <c r="AC66" i="2"/>
  <c r="AD67" i="2"/>
  <c r="AC67" i="2"/>
  <c r="AD68" i="2"/>
  <c r="AC68" i="2"/>
  <c r="AD69" i="2"/>
  <c r="AC69" i="2"/>
  <c r="AD70" i="2"/>
  <c r="AC70" i="2"/>
  <c r="AD71" i="2"/>
  <c r="AC71" i="2"/>
  <c r="AD72" i="2"/>
  <c r="AC72" i="2"/>
  <c r="AC73" i="2"/>
  <c r="AD73" i="2"/>
  <c r="AD74" i="2"/>
  <c r="AC74" i="2"/>
  <c r="AD75" i="2"/>
  <c r="AC75" i="2"/>
  <c r="AD76" i="2"/>
  <c r="AC76" i="2"/>
  <c r="AD77" i="2"/>
  <c r="AC77" i="2"/>
  <c r="AD78" i="2"/>
  <c r="AC78" i="2"/>
  <c r="AD79" i="2"/>
  <c r="AC79" i="2"/>
  <c r="AD80" i="2"/>
  <c r="AC80" i="2"/>
  <c r="AD81" i="2"/>
  <c r="AC81" i="2"/>
  <c r="AD82" i="2"/>
  <c r="AC82" i="2"/>
  <c r="AD83" i="2"/>
  <c r="AC83" i="2"/>
  <c r="AD84" i="2"/>
  <c r="AC84" i="2"/>
  <c r="AD85" i="2"/>
  <c r="AC85" i="2"/>
  <c r="AD86" i="2"/>
  <c r="AC86" i="2"/>
  <c r="AD87" i="2"/>
  <c r="AC87" i="2"/>
  <c r="AD88" i="2"/>
  <c r="AC88" i="2"/>
  <c r="AD89" i="2"/>
  <c r="AC89" i="2"/>
  <c r="AD90" i="2"/>
  <c r="AC90" i="2"/>
  <c r="AD91" i="2"/>
  <c r="AC91" i="2"/>
  <c r="AD92" i="2"/>
  <c r="AC92" i="2"/>
  <c r="AD93" i="2"/>
  <c r="AC93" i="2"/>
  <c r="AC94" i="2"/>
  <c r="AD94" i="2"/>
  <c r="AC95" i="2"/>
  <c r="AD95" i="2"/>
  <c r="AD96" i="2"/>
  <c r="AC96" i="2"/>
  <c r="AC97" i="2"/>
  <c r="AD97" i="2"/>
  <c r="AC98" i="2"/>
  <c r="AD98" i="2"/>
  <c r="AD99" i="2"/>
  <c r="AC99" i="2"/>
  <c r="AD100" i="2"/>
  <c r="AC100" i="2"/>
  <c r="AD101" i="2"/>
  <c r="AC101" i="2"/>
  <c r="AD102" i="2"/>
  <c r="AC102" i="2"/>
  <c r="AD103" i="2"/>
  <c r="AC103" i="2"/>
  <c r="AD104" i="2"/>
  <c r="AC104" i="2"/>
  <c r="AD105" i="2"/>
  <c r="AC105" i="2"/>
  <c r="AC106" i="2"/>
  <c r="AD106" i="2"/>
  <c r="AD107" i="2"/>
  <c r="AC107" i="2"/>
  <c r="AD108" i="2"/>
  <c r="AC108" i="2"/>
  <c r="AD109" i="2"/>
  <c r="AC109" i="2"/>
  <c r="AC110" i="2"/>
  <c r="AD110" i="2"/>
  <c r="AC111" i="2"/>
  <c r="AD111" i="2"/>
  <c r="AC112" i="2"/>
  <c r="AD112" i="2"/>
  <c r="AC113" i="2"/>
  <c r="AD113" i="2"/>
  <c r="AD114" i="2"/>
  <c r="AC114" i="2"/>
  <c r="AC115" i="2"/>
  <c r="AD115" i="2"/>
  <c r="AC116" i="2"/>
  <c r="AD116" i="2"/>
  <c r="AD117" i="2"/>
  <c r="AC117" i="2"/>
  <c r="AD118" i="2"/>
  <c r="AC118" i="2"/>
  <c r="AC119" i="2"/>
  <c r="AD119" i="2"/>
  <c r="AD120" i="2"/>
  <c r="AC120" i="2"/>
  <c r="AC121" i="2"/>
  <c r="AD121" i="2"/>
  <c r="AC122" i="2"/>
  <c r="AD122" i="2"/>
  <c r="AC123" i="2"/>
  <c r="AD123" i="2"/>
  <c r="AD124" i="2"/>
  <c r="AC124" i="2"/>
  <c r="AC125" i="2"/>
  <c r="AD125" i="2"/>
  <c r="AD126" i="2"/>
  <c r="AC126" i="2"/>
  <c r="AD127" i="2"/>
  <c r="AC127" i="2"/>
  <c r="AC128" i="2"/>
  <c r="AD128" i="2"/>
  <c r="AC129" i="2"/>
  <c r="AD129" i="2"/>
  <c r="AC130" i="2"/>
  <c r="AD130" i="2"/>
  <c r="AC131" i="2"/>
  <c r="AD131" i="2"/>
  <c r="AC132" i="2"/>
  <c r="AD132" i="2"/>
  <c r="AC133" i="2"/>
  <c r="AD133" i="2"/>
  <c r="AC134" i="2"/>
  <c r="AD134" i="2"/>
  <c r="AC135" i="2"/>
  <c r="AD135" i="2"/>
  <c r="AC136" i="2"/>
  <c r="AD136" i="2"/>
  <c r="AC137" i="2"/>
  <c r="AD137" i="2"/>
  <c r="AC138" i="2"/>
  <c r="AD138" i="2"/>
  <c r="AC139" i="2"/>
  <c r="AD139" i="2"/>
  <c r="AC140" i="2"/>
  <c r="AD140" i="2"/>
  <c r="AC141" i="2"/>
  <c r="AD141" i="2"/>
  <c r="AC142" i="2"/>
  <c r="AD142" i="2"/>
  <c r="AC143" i="2"/>
  <c r="AD143" i="2"/>
  <c r="AC144" i="2"/>
  <c r="AD144" i="2"/>
  <c r="AC145" i="2"/>
  <c r="AD145" i="2"/>
  <c r="AC146" i="2"/>
  <c r="AD146" i="2"/>
  <c r="AC147" i="2"/>
  <c r="AD147" i="2"/>
  <c r="AC148" i="2"/>
  <c r="AD148" i="2"/>
  <c r="AC149" i="2"/>
  <c r="AD149" i="2"/>
  <c r="AC150" i="2"/>
  <c r="AD150" i="2"/>
  <c r="AC151" i="2"/>
  <c r="AD151" i="2"/>
  <c r="AC152" i="2"/>
  <c r="AD152" i="2"/>
  <c r="AE228" i="2"/>
  <c r="AF228" i="2"/>
  <c r="AE229" i="2"/>
  <c r="AF229" i="2"/>
  <c r="AH230" i="2"/>
  <c r="AG230" i="2"/>
  <c r="AG231" i="2"/>
  <c r="AH231" i="2"/>
  <c r="Z27" i="2"/>
  <c r="Z28" i="2"/>
  <c r="Z29" i="2"/>
  <c r="Z30" i="2"/>
  <c r="Z31" i="2"/>
  <c r="Z32" i="2"/>
  <c r="Z44" i="2"/>
  <c r="Z45" i="2"/>
  <c r="Z46" i="2"/>
  <c r="Z47" i="2"/>
  <c r="Z48" i="2"/>
  <c r="Z49" i="2"/>
  <c r="Z50" i="2"/>
  <c r="Z51" i="2"/>
  <c r="Z52" i="2"/>
  <c r="Z53" i="2"/>
  <c r="Z54" i="2"/>
  <c r="Z55" i="2"/>
  <c r="Z33" i="2"/>
  <c r="Z34" i="2"/>
  <c r="Z35" i="2"/>
  <c r="Z36" i="2"/>
  <c r="Z37" i="2"/>
  <c r="Z38" i="2"/>
  <c r="Z39" i="2"/>
  <c r="Z40" i="2"/>
  <c r="Z41" i="2"/>
  <c r="Z42" i="2"/>
  <c r="Z43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7" i="2"/>
  <c r="Z228" i="2"/>
  <c r="Z229" i="2"/>
  <c r="Z230" i="2"/>
  <c r="Z231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226" i="2"/>
  <c r="AC2" i="2"/>
  <c r="AD2" i="2"/>
  <c r="L2" i="2"/>
  <c r="N2" i="2" s="1"/>
  <c r="K2" i="2"/>
  <c r="M2" i="2" s="1"/>
  <c r="L3" i="2"/>
  <c r="N3" i="2" s="1"/>
  <c r="K3" i="2"/>
  <c r="M3" i="2" s="1"/>
  <c r="L4" i="2"/>
  <c r="N4" i="2" s="1"/>
  <c r="K4" i="2"/>
  <c r="M4" i="2" s="1"/>
  <c r="L5" i="2"/>
  <c r="N5" i="2" s="1"/>
  <c r="K5" i="2"/>
  <c r="M5" i="2" s="1"/>
  <c r="L6" i="2"/>
  <c r="N6" i="2" s="1"/>
  <c r="K6" i="2"/>
  <c r="M6" i="2" s="1"/>
  <c r="L7" i="2"/>
  <c r="N7" i="2" s="1"/>
  <c r="K7" i="2"/>
  <c r="M7" i="2" s="1"/>
  <c r="L8" i="2"/>
  <c r="N8" i="2" s="1"/>
  <c r="K8" i="2"/>
  <c r="M8" i="2" s="1"/>
  <c r="K9" i="2"/>
  <c r="M9" i="2" s="1"/>
  <c r="L9" i="2"/>
  <c r="N9" i="2" s="1"/>
  <c r="L10" i="2"/>
  <c r="N10" i="2" s="1"/>
  <c r="K10" i="2"/>
  <c r="M10" i="2" s="1"/>
  <c r="L11" i="2"/>
  <c r="N11" i="2" s="1"/>
  <c r="K11" i="2"/>
  <c r="M11" i="2" s="1"/>
  <c r="L12" i="2"/>
  <c r="N12" i="2" s="1"/>
  <c r="K12" i="2"/>
  <c r="M12" i="2" s="1"/>
  <c r="L13" i="2"/>
  <c r="N13" i="2" s="1"/>
  <c r="K13" i="2"/>
  <c r="M13" i="2" s="1"/>
  <c r="L14" i="2"/>
  <c r="N14" i="2" s="1"/>
  <c r="K14" i="2"/>
  <c r="M14" i="2" s="1"/>
  <c r="L15" i="2"/>
  <c r="N15" i="2" s="1"/>
  <c r="K15" i="2"/>
  <c r="M15" i="2" s="1"/>
  <c r="K16" i="2"/>
  <c r="M16" i="2" s="1"/>
  <c r="L16" i="2"/>
  <c r="N16" i="2" s="1"/>
  <c r="L17" i="2"/>
  <c r="N17" i="2" s="1"/>
  <c r="K17" i="2"/>
  <c r="M17" i="2" s="1"/>
  <c r="K18" i="2"/>
  <c r="M18" i="2" s="1"/>
  <c r="L18" i="2"/>
  <c r="N18" i="2" s="1"/>
  <c r="L19" i="2"/>
  <c r="N19" i="2" s="1"/>
  <c r="K19" i="2"/>
  <c r="M19" i="2" s="1"/>
  <c r="L20" i="2"/>
  <c r="N20" i="2" s="1"/>
  <c r="K20" i="2"/>
  <c r="M20" i="2" s="1"/>
  <c r="L21" i="2"/>
  <c r="N21" i="2" s="1"/>
  <c r="K21" i="2"/>
  <c r="M21" i="2" s="1"/>
  <c r="K22" i="2"/>
  <c r="M22" i="2" s="1"/>
  <c r="L22" i="2"/>
  <c r="N22" i="2" s="1"/>
  <c r="K23" i="2"/>
  <c r="M23" i="2" s="1"/>
  <c r="L23" i="2"/>
  <c r="N23" i="2" s="1"/>
  <c r="K24" i="2"/>
  <c r="M24" i="2" s="1"/>
  <c r="L24" i="2"/>
  <c r="N24" i="2" s="1"/>
  <c r="K25" i="2"/>
  <c r="M25" i="2" s="1"/>
  <c r="L25" i="2"/>
  <c r="N25" i="2" s="1"/>
  <c r="K26" i="2"/>
  <c r="M26" i="2" s="1"/>
  <c r="L26" i="2"/>
  <c r="N26" i="2" s="1"/>
  <c r="K27" i="2"/>
  <c r="M27" i="2" s="1"/>
  <c r="L27" i="2"/>
  <c r="N27" i="2" s="1"/>
  <c r="L28" i="2"/>
  <c r="N28" i="2" s="1"/>
  <c r="K28" i="2"/>
  <c r="M28" i="2" s="1"/>
  <c r="L29" i="2"/>
  <c r="N29" i="2" s="1"/>
  <c r="K29" i="2"/>
  <c r="M29" i="2" s="1"/>
  <c r="L30" i="2"/>
  <c r="N30" i="2" s="1"/>
  <c r="K30" i="2"/>
  <c r="M30" i="2" s="1"/>
  <c r="L31" i="2"/>
  <c r="N31" i="2" s="1"/>
  <c r="K31" i="2"/>
  <c r="M31" i="2" s="1"/>
  <c r="L32" i="2"/>
  <c r="N32" i="2" s="1"/>
  <c r="K32" i="2"/>
  <c r="M32" i="2" s="1"/>
  <c r="L33" i="2"/>
  <c r="N33" i="2" s="1"/>
  <c r="K33" i="2"/>
  <c r="M33" i="2" s="1"/>
  <c r="L34" i="2"/>
  <c r="N34" i="2" s="1"/>
  <c r="K34" i="2"/>
  <c r="M34" i="2" s="1"/>
  <c r="L35" i="2"/>
  <c r="N35" i="2" s="1"/>
  <c r="K35" i="2"/>
  <c r="M35" i="2" s="1"/>
  <c r="L36" i="2"/>
  <c r="N36" i="2" s="1"/>
  <c r="K36" i="2"/>
  <c r="M36" i="2" s="1"/>
  <c r="L37" i="2"/>
  <c r="N37" i="2" s="1"/>
  <c r="K37" i="2"/>
  <c r="M37" i="2" s="1"/>
  <c r="L38" i="2"/>
  <c r="N38" i="2" s="1"/>
  <c r="K38" i="2"/>
  <c r="M38" i="2" s="1"/>
  <c r="L39" i="2"/>
  <c r="N39" i="2" s="1"/>
  <c r="K39" i="2"/>
  <c r="M39" i="2" s="1"/>
  <c r="L40" i="2"/>
  <c r="N40" i="2" s="1"/>
  <c r="K40" i="2"/>
  <c r="M40" i="2" s="1"/>
  <c r="L41" i="2"/>
  <c r="N41" i="2" s="1"/>
  <c r="K41" i="2"/>
  <c r="M41" i="2" s="1"/>
  <c r="L42" i="2"/>
  <c r="N42" i="2" s="1"/>
  <c r="K42" i="2"/>
  <c r="M42" i="2" s="1"/>
  <c r="L43" i="2"/>
  <c r="N43" i="2" s="1"/>
  <c r="K43" i="2"/>
  <c r="M43" i="2" s="1"/>
  <c r="L44" i="2"/>
  <c r="N44" i="2" s="1"/>
  <c r="K44" i="2"/>
  <c r="M44" i="2" s="1"/>
  <c r="L45" i="2"/>
  <c r="N45" i="2" s="1"/>
  <c r="K45" i="2"/>
  <c r="M45" i="2" s="1"/>
  <c r="L46" i="2"/>
  <c r="N46" i="2" s="1"/>
  <c r="K46" i="2"/>
  <c r="M46" i="2" s="1"/>
  <c r="L47" i="2"/>
  <c r="N47" i="2" s="1"/>
  <c r="K47" i="2"/>
  <c r="M47" i="2" s="1"/>
  <c r="L48" i="2"/>
  <c r="N48" i="2" s="1"/>
  <c r="K48" i="2"/>
  <c r="M48" i="2" s="1"/>
  <c r="L49" i="2"/>
  <c r="N49" i="2" s="1"/>
  <c r="K49" i="2"/>
  <c r="M49" i="2" s="1"/>
  <c r="L50" i="2"/>
  <c r="N50" i="2" s="1"/>
  <c r="K50" i="2"/>
  <c r="M50" i="2" s="1"/>
  <c r="L51" i="2"/>
  <c r="N51" i="2" s="1"/>
  <c r="K51" i="2"/>
  <c r="M51" i="2" s="1"/>
  <c r="L52" i="2"/>
  <c r="N52" i="2" s="1"/>
  <c r="K52" i="2"/>
  <c r="M52" i="2" s="1"/>
  <c r="K53" i="2"/>
  <c r="M53" i="2" s="1"/>
  <c r="L53" i="2"/>
  <c r="N53" i="2" s="1"/>
  <c r="L54" i="2"/>
  <c r="N54" i="2" s="1"/>
  <c r="K54" i="2"/>
  <c r="M54" i="2" s="1"/>
  <c r="L55" i="2"/>
  <c r="N55" i="2" s="1"/>
  <c r="K55" i="2"/>
  <c r="M55" i="2" s="1"/>
  <c r="L56" i="2"/>
  <c r="N56" i="2" s="1"/>
  <c r="K56" i="2"/>
  <c r="M56" i="2" s="1"/>
  <c r="L57" i="2"/>
  <c r="N57" i="2" s="1"/>
  <c r="K57" i="2"/>
  <c r="M57" i="2" s="1"/>
  <c r="L58" i="2"/>
  <c r="N58" i="2" s="1"/>
  <c r="K58" i="2"/>
  <c r="M58" i="2" s="1"/>
  <c r="L59" i="2"/>
  <c r="N59" i="2" s="1"/>
  <c r="K59" i="2"/>
  <c r="M59" i="2" s="1"/>
  <c r="L60" i="2"/>
  <c r="N60" i="2" s="1"/>
  <c r="K60" i="2"/>
  <c r="M60" i="2" s="1"/>
  <c r="L61" i="2"/>
  <c r="N61" i="2" s="1"/>
  <c r="K61" i="2"/>
  <c r="M61" i="2" s="1"/>
  <c r="L62" i="2"/>
  <c r="N62" i="2" s="1"/>
  <c r="K62" i="2"/>
  <c r="M62" i="2" s="1"/>
  <c r="L63" i="2"/>
  <c r="N63" i="2" s="1"/>
  <c r="K63" i="2"/>
  <c r="M63" i="2" s="1"/>
  <c r="L64" i="2"/>
  <c r="N64" i="2" s="1"/>
  <c r="K64" i="2"/>
  <c r="M64" i="2" s="1"/>
  <c r="L65" i="2"/>
  <c r="N65" i="2" s="1"/>
  <c r="K65" i="2"/>
  <c r="M65" i="2" s="1"/>
  <c r="L66" i="2"/>
  <c r="N66" i="2" s="1"/>
  <c r="K66" i="2"/>
  <c r="M66" i="2" s="1"/>
  <c r="L67" i="2"/>
  <c r="N67" i="2" s="1"/>
  <c r="K67" i="2"/>
  <c r="M67" i="2" s="1"/>
  <c r="K68" i="2"/>
  <c r="M68" i="2" s="1"/>
  <c r="L68" i="2"/>
  <c r="N68" i="2" s="1"/>
  <c r="K69" i="2"/>
  <c r="M69" i="2" s="1"/>
  <c r="L69" i="2"/>
  <c r="N69" i="2" s="1"/>
  <c r="K70" i="2"/>
  <c r="M70" i="2" s="1"/>
  <c r="L70" i="2"/>
  <c r="N70" i="2" s="1"/>
  <c r="L71" i="2"/>
  <c r="N71" i="2" s="1"/>
  <c r="K71" i="2"/>
  <c r="M71" i="2" s="1"/>
  <c r="K72" i="2"/>
  <c r="M72" i="2" s="1"/>
  <c r="L72" i="2"/>
  <c r="N72" i="2" s="1"/>
  <c r="L73" i="2"/>
  <c r="N73" i="2" s="1"/>
  <c r="K73" i="2"/>
  <c r="M73" i="2" s="1"/>
  <c r="L74" i="2"/>
  <c r="N74" i="2" s="1"/>
  <c r="K74" i="2"/>
  <c r="M74" i="2" s="1"/>
  <c r="L75" i="2"/>
  <c r="N75" i="2" s="1"/>
  <c r="K75" i="2"/>
  <c r="M75" i="2" s="1"/>
  <c r="L76" i="2"/>
  <c r="N76" i="2" s="1"/>
  <c r="K76" i="2"/>
  <c r="M76" i="2" s="1"/>
  <c r="L77" i="2"/>
  <c r="N77" i="2" s="1"/>
  <c r="K77" i="2"/>
  <c r="M77" i="2" s="1"/>
  <c r="K78" i="2"/>
  <c r="M78" i="2" s="1"/>
  <c r="L78" i="2"/>
  <c r="N78" i="2" s="1"/>
  <c r="K79" i="2"/>
  <c r="M79" i="2" s="1"/>
  <c r="L79" i="2"/>
  <c r="N79" i="2" s="1"/>
  <c r="K80" i="2"/>
  <c r="M80" i="2" s="1"/>
  <c r="L80" i="2"/>
  <c r="N80" i="2" s="1"/>
  <c r="K81" i="2"/>
  <c r="M81" i="2" s="1"/>
  <c r="L81" i="2"/>
  <c r="N81" i="2" s="1"/>
  <c r="L82" i="2"/>
  <c r="N82" i="2" s="1"/>
  <c r="K82" i="2"/>
  <c r="M82" i="2" s="1"/>
  <c r="L83" i="2"/>
  <c r="N83" i="2" s="1"/>
  <c r="K83" i="2"/>
  <c r="M83" i="2" s="1"/>
  <c r="K84" i="2"/>
  <c r="M84" i="2" s="1"/>
  <c r="L84" i="2"/>
  <c r="N84" i="2" s="1"/>
  <c r="L85" i="2"/>
  <c r="N85" i="2" s="1"/>
  <c r="K85" i="2"/>
  <c r="M85" i="2" s="1"/>
  <c r="L86" i="2"/>
  <c r="N86" i="2" s="1"/>
  <c r="K86" i="2"/>
  <c r="M86" i="2" s="1"/>
  <c r="K87" i="2"/>
  <c r="M87" i="2" s="1"/>
  <c r="L87" i="2"/>
  <c r="N87" i="2" s="1"/>
  <c r="K88" i="2"/>
  <c r="M88" i="2" s="1"/>
  <c r="L88" i="2"/>
  <c r="N88" i="2" s="1"/>
  <c r="K89" i="2"/>
  <c r="M89" i="2" s="1"/>
  <c r="L89" i="2"/>
  <c r="N89" i="2" s="1"/>
  <c r="K90" i="2"/>
  <c r="M90" i="2" s="1"/>
  <c r="L90" i="2"/>
  <c r="N90" i="2" s="1"/>
  <c r="L91" i="2"/>
  <c r="N91" i="2" s="1"/>
  <c r="K91" i="2"/>
  <c r="M91" i="2" s="1"/>
  <c r="K92" i="2"/>
  <c r="M92" i="2" s="1"/>
  <c r="L92" i="2"/>
  <c r="N92" i="2" s="1"/>
  <c r="K93" i="2"/>
  <c r="M93" i="2" s="1"/>
  <c r="L93" i="2"/>
  <c r="N93" i="2" s="1"/>
  <c r="L94" i="2"/>
  <c r="N94" i="2" s="1"/>
  <c r="K94" i="2"/>
  <c r="M94" i="2" s="1"/>
  <c r="L95" i="2"/>
  <c r="N95" i="2" s="1"/>
  <c r="K95" i="2"/>
  <c r="M95" i="2" s="1"/>
  <c r="L96" i="2"/>
  <c r="N96" i="2" s="1"/>
  <c r="K96" i="2"/>
  <c r="M96" i="2" s="1"/>
  <c r="L97" i="2"/>
  <c r="N97" i="2" s="1"/>
  <c r="K97" i="2"/>
  <c r="M97" i="2" s="1"/>
  <c r="L98" i="2"/>
  <c r="N98" i="2" s="1"/>
  <c r="K98" i="2"/>
  <c r="M98" i="2" s="1"/>
  <c r="L99" i="2"/>
  <c r="N99" i="2" s="1"/>
  <c r="K99" i="2"/>
  <c r="M99" i="2" s="1"/>
  <c r="L100" i="2"/>
  <c r="N100" i="2" s="1"/>
  <c r="K100" i="2"/>
  <c r="M100" i="2" s="1"/>
  <c r="L101" i="2"/>
  <c r="N101" i="2" s="1"/>
  <c r="K101" i="2"/>
  <c r="M101" i="2" s="1"/>
  <c r="K102" i="2"/>
  <c r="M102" i="2" s="1"/>
  <c r="L102" i="2"/>
  <c r="N102" i="2" s="1"/>
  <c r="K103" i="2"/>
  <c r="M103" i="2" s="1"/>
  <c r="L103" i="2"/>
  <c r="N103" i="2" s="1"/>
  <c r="K104" i="2"/>
  <c r="M104" i="2" s="1"/>
  <c r="L104" i="2"/>
  <c r="N104" i="2" s="1"/>
  <c r="K105" i="2"/>
  <c r="M105" i="2" s="1"/>
  <c r="L105" i="2"/>
  <c r="N105" i="2" s="1"/>
  <c r="L106" i="2"/>
  <c r="N106" i="2" s="1"/>
  <c r="K106" i="2"/>
  <c r="M106" i="2" s="1"/>
  <c r="L107" i="2"/>
  <c r="N107" i="2" s="1"/>
  <c r="K107" i="2"/>
  <c r="M107" i="2" s="1"/>
  <c r="K108" i="2"/>
  <c r="M108" i="2" s="1"/>
  <c r="L108" i="2"/>
  <c r="N108" i="2" s="1"/>
  <c r="L109" i="2"/>
  <c r="N109" i="2" s="1"/>
  <c r="K109" i="2"/>
  <c r="M109" i="2" s="1"/>
  <c r="L110" i="2"/>
  <c r="N110" i="2" s="1"/>
  <c r="K110" i="2"/>
  <c r="M110" i="2" s="1"/>
  <c r="K111" i="2"/>
  <c r="M111" i="2" s="1"/>
  <c r="L111" i="2"/>
  <c r="N111" i="2" s="1"/>
  <c r="K112" i="2"/>
  <c r="M112" i="2" s="1"/>
  <c r="L112" i="2"/>
  <c r="N112" i="2" s="1"/>
  <c r="L113" i="2"/>
  <c r="N113" i="2" s="1"/>
  <c r="K113" i="2"/>
  <c r="M113" i="2" s="1"/>
  <c r="K114" i="2"/>
  <c r="M114" i="2" s="1"/>
  <c r="L114" i="2"/>
  <c r="N114" i="2" s="1"/>
  <c r="L115" i="2"/>
  <c r="N115" i="2" s="1"/>
  <c r="K115" i="2"/>
  <c r="M115" i="2" s="1"/>
  <c r="L116" i="2"/>
  <c r="N116" i="2" s="1"/>
  <c r="K116" i="2"/>
  <c r="M116" i="2" s="1"/>
  <c r="L117" i="2"/>
  <c r="N117" i="2" s="1"/>
  <c r="K117" i="2"/>
  <c r="M117" i="2" s="1"/>
  <c r="L118" i="2"/>
  <c r="N118" i="2" s="1"/>
  <c r="K118" i="2"/>
  <c r="M118" i="2" s="1"/>
  <c r="L119" i="2"/>
  <c r="N119" i="2" s="1"/>
  <c r="K119" i="2"/>
  <c r="M119" i="2" s="1"/>
  <c r="L120" i="2"/>
  <c r="N120" i="2" s="1"/>
  <c r="K120" i="2"/>
  <c r="M120" i="2" s="1"/>
  <c r="L121" i="2"/>
  <c r="N121" i="2" s="1"/>
  <c r="K121" i="2"/>
  <c r="M121" i="2" s="1"/>
  <c r="L122" i="2"/>
  <c r="N122" i="2" s="1"/>
  <c r="K122" i="2"/>
  <c r="M122" i="2" s="1"/>
  <c r="L123" i="2"/>
  <c r="N123" i="2" s="1"/>
  <c r="K123" i="2"/>
  <c r="M123" i="2" s="1"/>
  <c r="K124" i="2"/>
  <c r="M124" i="2" s="1"/>
  <c r="L124" i="2"/>
  <c r="N124" i="2" s="1"/>
  <c r="K125" i="2"/>
  <c r="M125" i="2" s="1"/>
  <c r="L125" i="2"/>
  <c r="N125" i="2" s="1"/>
  <c r="K126" i="2"/>
  <c r="M126" i="2" s="1"/>
  <c r="L126" i="2"/>
  <c r="N126" i="2" s="1"/>
  <c r="K127" i="2"/>
  <c r="M127" i="2" s="1"/>
  <c r="L127" i="2"/>
  <c r="N127" i="2" s="1"/>
  <c r="K128" i="2"/>
  <c r="M128" i="2" s="1"/>
  <c r="L128" i="2"/>
  <c r="N128" i="2" s="1"/>
  <c r="K129" i="2"/>
  <c r="M129" i="2" s="1"/>
  <c r="L129" i="2"/>
  <c r="N129" i="2" s="1"/>
  <c r="K130" i="2"/>
  <c r="M130" i="2" s="1"/>
  <c r="L130" i="2"/>
  <c r="N130" i="2" s="1"/>
  <c r="K131" i="2"/>
  <c r="M131" i="2" s="1"/>
  <c r="L131" i="2"/>
  <c r="N131" i="2" s="1"/>
  <c r="K132" i="2"/>
  <c r="M132" i="2" s="1"/>
  <c r="L132" i="2"/>
  <c r="N132" i="2" s="1"/>
  <c r="K133" i="2"/>
  <c r="M133" i="2" s="1"/>
  <c r="L133" i="2"/>
  <c r="N133" i="2" s="1"/>
  <c r="K134" i="2"/>
  <c r="M134" i="2" s="1"/>
  <c r="L134" i="2"/>
  <c r="N134" i="2" s="1"/>
  <c r="K135" i="2"/>
  <c r="M135" i="2" s="1"/>
  <c r="L135" i="2"/>
  <c r="N135" i="2" s="1"/>
  <c r="K136" i="2"/>
  <c r="M136" i="2" s="1"/>
  <c r="L136" i="2"/>
  <c r="N136" i="2" s="1"/>
  <c r="K137" i="2"/>
  <c r="M137" i="2" s="1"/>
  <c r="L137" i="2"/>
  <c r="N137" i="2" s="1"/>
  <c r="K138" i="2"/>
  <c r="M138" i="2" s="1"/>
  <c r="L138" i="2"/>
  <c r="N138" i="2" s="1"/>
  <c r="L139" i="2"/>
  <c r="N139" i="2" s="1"/>
  <c r="K139" i="2"/>
  <c r="M139" i="2" s="1"/>
  <c r="L140" i="2"/>
  <c r="N140" i="2" s="1"/>
  <c r="K140" i="2"/>
  <c r="M140" i="2" s="1"/>
  <c r="L141" i="2"/>
  <c r="N141" i="2" s="1"/>
  <c r="K141" i="2"/>
  <c r="M141" i="2" s="1"/>
  <c r="K142" i="2"/>
  <c r="M142" i="2" s="1"/>
  <c r="L142" i="2"/>
  <c r="N142" i="2" s="1"/>
  <c r="K143" i="2"/>
  <c r="M143" i="2" s="1"/>
  <c r="L143" i="2"/>
  <c r="N143" i="2" s="1"/>
  <c r="L144" i="2"/>
  <c r="N144" i="2" s="1"/>
  <c r="K144" i="2"/>
  <c r="M144" i="2" s="1"/>
  <c r="L145" i="2"/>
  <c r="N145" i="2" s="1"/>
  <c r="K145" i="2"/>
  <c r="M145" i="2" s="1"/>
  <c r="L146" i="2"/>
  <c r="N146" i="2" s="1"/>
  <c r="K146" i="2"/>
  <c r="M146" i="2" s="1"/>
  <c r="L147" i="2"/>
  <c r="N147" i="2" s="1"/>
  <c r="K147" i="2"/>
  <c r="M147" i="2" s="1"/>
  <c r="L148" i="2"/>
  <c r="N148" i="2" s="1"/>
  <c r="K148" i="2"/>
  <c r="M148" i="2" s="1"/>
  <c r="K149" i="2"/>
  <c r="M149" i="2" s="1"/>
  <c r="L149" i="2"/>
  <c r="N149" i="2" s="1"/>
  <c r="K150" i="2"/>
  <c r="M150" i="2" s="1"/>
  <c r="L150" i="2"/>
  <c r="N150" i="2" s="1"/>
  <c r="K151" i="2"/>
  <c r="M151" i="2" s="1"/>
  <c r="L151" i="2"/>
  <c r="N151" i="2" s="1"/>
  <c r="L152" i="2"/>
  <c r="N152" i="2" s="1"/>
  <c r="K152" i="2"/>
  <c r="M152" i="2" s="1"/>
  <c r="L153" i="2"/>
  <c r="N153" i="2" s="1"/>
  <c r="K153" i="2"/>
  <c r="M153" i="2" s="1"/>
  <c r="L154" i="2"/>
  <c r="N154" i="2" s="1"/>
  <c r="K154" i="2"/>
  <c r="M154" i="2" s="1"/>
  <c r="L155" i="2"/>
  <c r="N155" i="2" s="1"/>
  <c r="K155" i="2"/>
  <c r="M155" i="2" s="1"/>
  <c r="K156" i="2"/>
  <c r="M156" i="2" s="1"/>
  <c r="L156" i="2"/>
  <c r="N156" i="2" s="1"/>
  <c r="L157" i="2"/>
  <c r="N157" i="2" s="1"/>
  <c r="K157" i="2"/>
  <c r="M157" i="2" s="1"/>
  <c r="L158" i="2"/>
  <c r="N158" i="2" s="1"/>
  <c r="K158" i="2"/>
  <c r="M158" i="2" s="1"/>
  <c r="L159" i="2"/>
  <c r="N159" i="2" s="1"/>
  <c r="K159" i="2"/>
  <c r="M159" i="2" s="1"/>
  <c r="K160" i="2"/>
  <c r="M160" i="2" s="1"/>
  <c r="L160" i="2"/>
  <c r="N160" i="2" s="1"/>
  <c r="L161" i="2"/>
  <c r="N161" i="2" s="1"/>
  <c r="K161" i="2"/>
  <c r="M161" i="2" s="1"/>
  <c r="L162" i="2"/>
  <c r="N162" i="2" s="1"/>
  <c r="K162" i="2"/>
  <c r="M162" i="2" s="1"/>
  <c r="K163" i="2"/>
  <c r="M163" i="2" s="1"/>
  <c r="L163" i="2"/>
  <c r="N163" i="2" s="1"/>
  <c r="L164" i="2"/>
  <c r="N164" i="2" s="1"/>
  <c r="K164" i="2"/>
  <c r="M164" i="2" s="1"/>
  <c r="K165" i="2"/>
  <c r="M165" i="2" s="1"/>
  <c r="L165" i="2"/>
  <c r="N165" i="2" s="1"/>
  <c r="K166" i="2"/>
  <c r="M166" i="2" s="1"/>
  <c r="L166" i="2"/>
  <c r="N166" i="2" s="1"/>
  <c r="K167" i="2"/>
  <c r="M167" i="2" s="1"/>
  <c r="L167" i="2"/>
  <c r="N167" i="2" s="1"/>
  <c r="K168" i="2"/>
  <c r="M168" i="2" s="1"/>
  <c r="L168" i="2"/>
  <c r="N168" i="2" s="1"/>
  <c r="K169" i="2"/>
  <c r="M169" i="2" s="1"/>
  <c r="L169" i="2"/>
  <c r="N169" i="2" s="1"/>
  <c r="K170" i="2"/>
  <c r="M170" i="2" s="1"/>
  <c r="L170" i="2"/>
  <c r="N170" i="2" s="1"/>
  <c r="K171" i="2"/>
  <c r="M171" i="2" s="1"/>
  <c r="L171" i="2"/>
  <c r="N171" i="2" s="1"/>
  <c r="K172" i="2"/>
  <c r="M172" i="2" s="1"/>
  <c r="L172" i="2"/>
  <c r="N172" i="2" s="1"/>
  <c r="K173" i="2"/>
  <c r="M173" i="2" s="1"/>
  <c r="L173" i="2"/>
  <c r="N173" i="2" s="1"/>
  <c r="K174" i="2"/>
  <c r="M174" i="2" s="1"/>
  <c r="L174" i="2"/>
  <c r="N174" i="2" s="1"/>
  <c r="K175" i="2"/>
  <c r="M175" i="2" s="1"/>
  <c r="L175" i="2"/>
  <c r="N175" i="2" s="1"/>
  <c r="L176" i="2"/>
  <c r="N176" i="2" s="1"/>
  <c r="K176" i="2"/>
  <c r="M176" i="2" s="1"/>
  <c r="L177" i="2"/>
  <c r="N177" i="2" s="1"/>
  <c r="K177" i="2"/>
  <c r="M177" i="2" s="1"/>
  <c r="L178" i="2"/>
  <c r="N178" i="2" s="1"/>
  <c r="K178" i="2"/>
  <c r="M178" i="2" s="1"/>
  <c r="L179" i="2"/>
  <c r="N179" i="2" s="1"/>
  <c r="K179" i="2"/>
  <c r="M179" i="2" s="1"/>
  <c r="K180" i="2"/>
  <c r="M180" i="2" s="1"/>
  <c r="L180" i="2"/>
  <c r="N180" i="2" s="1"/>
  <c r="L181" i="2"/>
  <c r="N181" i="2" s="1"/>
  <c r="K181" i="2"/>
  <c r="M181" i="2" s="1"/>
  <c r="K182" i="2"/>
  <c r="M182" i="2" s="1"/>
  <c r="L182" i="2"/>
  <c r="N182" i="2" s="1"/>
  <c r="L183" i="2"/>
  <c r="N183" i="2" s="1"/>
  <c r="K183" i="2"/>
  <c r="M183" i="2" s="1"/>
  <c r="L184" i="2"/>
  <c r="N184" i="2" s="1"/>
  <c r="K184" i="2"/>
  <c r="M184" i="2" s="1"/>
  <c r="K185" i="2"/>
  <c r="M185" i="2" s="1"/>
  <c r="L185" i="2"/>
  <c r="N185" i="2" s="1"/>
  <c r="K186" i="2"/>
  <c r="M186" i="2" s="1"/>
  <c r="L186" i="2"/>
  <c r="N186" i="2" s="1"/>
  <c r="L187" i="2"/>
  <c r="N187" i="2" s="1"/>
  <c r="K187" i="2"/>
  <c r="M187" i="2" s="1"/>
  <c r="L188" i="2"/>
  <c r="N188" i="2" s="1"/>
  <c r="K188" i="2"/>
  <c r="M188" i="2" s="1"/>
  <c r="L189" i="2"/>
  <c r="N189" i="2" s="1"/>
  <c r="K189" i="2"/>
  <c r="M189" i="2" s="1"/>
  <c r="K190" i="2"/>
  <c r="M190" i="2" s="1"/>
  <c r="L190" i="2"/>
  <c r="N190" i="2" s="1"/>
  <c r="L191" i="2"/>
  <c r="N191" i="2" s="1"/>
  <c r="K191" i="2"/>
  <c r="M191" i="2" s="1"/>
  <c r="K192" i="2"/>
  <c r="M192" i="2" s="1"/>
  <c r="L192" i="2"/>
  <c r="N192" i="2" s="1"/>
  <c r="K193" i="2"/>
  <c r="M193" i="2" s="1"/>
  <c r="L193" i="2"/>
  <c r="N193" i="2" s="1"/>
  <c r="L194" i="2"/>
  <c r="N194" i="2" s="1"/>
  <c r="K194" i="2"/>
  <c r="M194" i="2" s="1"/>
  <c r="L195" i="2"/>
  <c r="N195" i="2" s="1"/>
  <c r="K195" i="2"/>
  <c r="M195" i="2" s="1"/>
  <c r="L196" i="2"/>
  <c r="N196" i="2" s="1"/>
  <c r="K196" i="2"/>
  <c r="M196" i="2" s="1"/>
  <c r="K197" i="2"/>
  <c r="M197" i="2" s="1"/>
  <c r="L197" i="2"/>
  <c r="N197" i="2" s="1"/>
  <c r="K198" i="2"/>
  <c r="M198" i="2" s="1"/>
  <c r="L198" i="2"/>
  <c r="N198" i="2" s="1"/>
  <c r="K199" i="2"/>
  <c r="M199" i="2" s="1"/>
  <c r="L199" i="2"/>
  <c r="N199" i="2" s="1"/>
  <c r="K200" i="2"/>
  <c r="M200" i="2" s="1"/>
  <c r="L200" i="2"/>
  <c r="N200" i="2" s="1"/>
  <c r="K201" i="2"/>
  <c r="M201" i="2" s="1"/>
  <c r="L201" i="2"/>
  <c r="N201" i="2" s="1"/>
  <c r="L202" i="2"/>
  <c r="N202" i="2" s="1"/>
  <c r="K202" i="2"/>
  <c r="M202" i="2" s="1"/>
  <c r="K203" i="2"/>
  <c r="M203" i="2" s="1"/>
  <c r="L203" i="2"/>
  <c r="N203" i="2" s="1"/>
  <c r="L204" i="2"/>
  <c r="N204" i="2" s="1"/>
  <c r="K204" i="2"/>
  <c r="M204" i="2" s="1"/>
  <c r="L205" i="2"/>
  <c r="N205" i="2" s="1"/>
  <c r="K205" i="2"/>
  <c r="M205" i="2" s="1"/>
  <c r="K206" i="2"/>
  <c r="M206" i="2" s="1"/>
  <c r="L206" i="2"/>
  <c r="N206" i="2" s="1"/>
  <c r="L207" i="2"/>
  <c r="N207" i="2" s="1"/>
  <c r="K207" i="2"/>
  <c r="M207" i="2" s="1"/>
  <c r="L208" i="2"/>
  <c r="N208" i="2" s="1"/>
  <c r="K208" i="2"/>
  <c r="M208" i="2" s="1"/>
  <c r="L209" i="2"/>
  <c r="N209" i="2" s="1"/>
  <c r="K209" i="2"/>
  <c r="M209" i="2" s="1"/>
  <c r="K210" i="2"/>
  <c r="M210" i="2" s="1"/>
  <c r="L210" i="2"/>
  <c r="N210" i="2" s="1"/>
  <c r="K211" i="2"/>
  <c r="M211" i="2" s="1"/>
  <c r="L211" i="2"/>
  <c r="N211" i="2" s="1"/>
  <c r="K212" i="2"/>
  <c r="M212" i="2" s="1"/>
  <c r="L212" i="2"/>
  <c r="N212" i="2" s="1"/>
  <c r="K213" i="2"/>
  <c r="M213" i="2" s="1"/>
  <c r="L213" i="2"/>
  <c r="N213" i="2" s="1"/>
  <c r="K214" i="2"/>
  <c r="M214" i="2" s="1"/>
  <c r="L214" i="2"/>
  <c r="N214" i="2" s="1"/>
  <c r="K215" i="2"/>
  <c r="M215" i="2" s="1"/>
  <c r="L215" i="2"/>
  <c r="N215" i="2" s="1"/>
  <c r="K216" i="2"/>
  <c r="M216" i="2" s="1"/>
  <c r="L216" i="2"/>
  <c r="N216" i="2" s="1"/>
  <c r="K217" i="2"/>
  <c r="M217" i="2" s="1"/>
  <c r="L217" i="2"/>
  <c r="N217" i="2" s="1"/>
  <c r="K218" i="2"/>
  <c r="M218" i="2" s="1"/>
  <c r="L218" i="2"/>
  <c r="N218" i="2" s="1"/>
  <c r="K219" i="2"/>
  <c r="M219" i="2" s="1"/>
  <c r="L219" i="2"/>
  <c r="N219" i="2" s="1"/>
  <c r="K220" i="2"/>
  <c r="M220" i="2" s="1"/>
  <c r="L220" i="2"/>
  <c r="N220" i="2" s="1"/>
  <c r="K221" i="2"/>
  <c r="M221" i="2" s="1"/>
  <c r="L221" i="2"/>
  <c r="N221" i="2" s="1"/>
  <c r="L222" i="2"/>
  <c r="N222" i="2" s="1"/>
  <c r="K222" i="2"/>
  <c r="M222" i="2" s="1"/>
  <c r="L223" i="2"/>
  <c r="N223" i="2" s="1"/>
  <c r="K223" i="2"/>
  <c r="M223" i="2" s="1"/>
  <c r="K224" i="2"/>
  <c r="M224" i="2" s="1"/>
  <c r="L224" i="2"/>
  <c r="N224" i="2" s="1"/>
  <c r="K225" i="2"/>
  <c r="M225" i="2" s="1"/>
  <c r="L225" i="2"/>
  <c r="N225" i="2" s="1"/>
  <c r="K226" i="2"/>
  <c r="M226" i="2" s="1"/>
  <c r="L226" i="2"/>
  <c r="N226" i="2" s="1"/>
  <c r="L227" i="2"/>
  <c r="N227" i="2" s="1"/>
  <c r="K227" i="2"/>
  <c r="M227" i="2" s="1"/>
  <c r="K228" i="2"/>
  <c r="M228" i="2" s="1"/>
  <c r="L228" i="2"/>
  <c r="N228" i="2" s="1"/>
  <c r="K229" i="2"/>
  <c r="M229" i="2" s="1"/>
  <c r="L229" i="2"/>
  <c r="N229" i="2" s="1"/>
  <c r="L230" i="2"/>
  <c r="N230" i="2" s="1"/>
  <c r="K230" i="2"/>
  <c r="M230" i="2" s="1"/>
  <c r="L231" i="2"/>
  <c r="N231" i="2" s="1"/>
  <c r="K231" i="2"/>
  <c r="M231" i="2" s="1"/>
  <c r="W2" i="2"/>
  <c r="Q2" i="2" l="1"/>
  <c r="AA2" i="2" l="1"/>
  <c r="AB2" i="2" s="1"/>
  <c r="P3" i="2" a="1"/>
  <c r="O3" i="2" a="1"/>
  <c r="W3" i="2" l="1"/>
  <c r="Q3" i="2"/>
  <c r="AU9" i="3"/>
  <c r="AT9" i="3"/>
  <c r="AS9" i="3"/>
  <c r="AR9" i="3"/>
  <c r="AQ9" i="3"/>
  <c r="AP9" i="3"/>
  <c r="AO9" i="3"/>
  <c r="AN9" i="3"/>
  <c r="AU8" i="3"/>
  <c r="AT8" i="3"/>
  <c r="AS8" i="3"/>
  <c r="AR8" i="3"/>
  <c r="AQ8" i="3"/>
  <c r="AP8" i="3"/>
  <c r="AO8" i="3"/>
  <c r="AN8" i="3"/>
  <c r="AU7" i="3"/>
  <c r="AT7" i="3"/>
  <c r="AS7" i="3"/>
  <c r="AR7" i="3"/>
  <c r="AQ7" i="3"/>
  <c r="AP7" i="3"/>
  <c r="AO7" i="3"/>
  <c r="AN7" i="3"/>
  <c r="AU6" i="3"/>
  <c r="AT6" i="3"/>
  <c r="AS6" i="3"/>
  <c r="AR6" i="3"/>
  <c r="AQ6" i="3"/>
  <c r="AP6" i="3"/>
  <c r="AO6" i="3"/>
  <c r="AN6" i="3"/>
  <c r="AU5" i="3"/>
  <c r="AT5" i="3"/>
  <c r="AS5" i="3"/>
  <c r="AR5" i="3"/>
  <c r="AQ5" i="3"/>
  <c r="AP5" i="3"/>
  <c r="AO5" i="3"/>
  <c r="AN5" i="3"/>
  <c r="AU4" i="3"/>
  <c r="AT4" i="3"/>
  <c r="AS4" i="3"/>
  <c r="AR4" i="3"/>
  <c r="AQ4" i="3"/>
  <c r="AP4" i="3"/>
  <c r="AO4" i="3"/>
  <c r="AN4" i="3"/>
  <c r="AU3" i="3"/>
  <c r="AT3" i="3"/>
  <c r="AS3" i="3"/>
  <c r="AR3" i="3"/>
  <c r="AQ3" i="3"/>
  <c r="AP3" i="3"/>
  <c r="AO3" i="3"/>
  <c r="AN3" i="3"/>
  <c r="AU2" i="3"/>
  <c r="AT2" i="3"/>
  <c r="AS2" i="3"/>
  <c r="AR2" i="3"/>
  <c r="AQ2" i="3"/>
  <c r="AP2" i="3"/>
  <c r="AO2" i="3"/>
  <c r="AN2" i="3"/>
  <c r="AA3" i="2" l="1"/>
  <c r="AB3" i="2" s="1"/>
  <c r="P4" i="2" l="1" a="1"/>
  <c r="O5" i="2" a="1"/>
  <c r="P5" i="2" a="1"/>
  <c r="O4" i="2" a="1"/>
  <c r="Q5" i="2" l="1"/>
  <c r="W4" i="2"/>
  <c r="Q4" i="2"/>
  <c r="W5" i="2"/>
  <c r="AA5" i="2" l="1"/>
  <c r="AB5" i="2" s="1"/>
  <c r="P7" i="2" a="1"/>
  <c r="O6" i="2" a="1"/>
  <c r="P6" i="2" a="1"/>
  <c r="O7" i="2" a="1"/>
  <c r="AA4" i="2"/>
  <c r="AB4" i="2" s="1"/>
  <c r="W6" i="2" l="1"/>
  <c r="W7" i="2"/>
  <c r="Q7" i="2"/>
  <c r="Q6" i="2"/>
  <c r="AA7" i="2" l="1"/>
  <c r="AB7" i="2" s="1"/>
  <c r="AA6" i="2"/>
  <c r="AB6" i="2" s="1"/>
  <c r="P8" i="2" l="1" a="1"/>
  <c r="O8" i="2" a="1"/>
  <c r="O9" i="2" a="1"/>
  <c r="P9" i="2" a="1"/>
  <c r="W8" i="2" l="1"/>
  <c r="W9" i="2"/>
  <c r="Q8" i="2"/>
  <c r="Q9" i="2"/>
  <c r="AA8" i="2" l="1"/>
  <c r="AB8" i="2" s="1"/>
  <c r="AA9" i="2"/>
  <c r="AB9" i="2" s="1"/>
  <c r="O10" i="2" a="1"/>
  <c r="P11" i="2" a="1"/>
  <c r="P10" i="2" a="1"/>
  <c r="O11" i="2" a="1"/>
  <c r="W10" i="2" l="1"/>
  <c r="W11" i="2"/>
  <c r="Q11" i="2"/>
  <c r="Q10" i="2"/>
  <c r="AA10" i="2" l="1"/>
  <c r="AB10" i="2" s="1"/>
  <c r="AA11" i="2"/>
  <c r="AB11" i="2" s="1"/>
  <c r="O13" i="2" l="1" a="1"/>
  <c r="P12" i="2" a="1"/>
  <c r="P13" i="2" a="1"/>
  <c r="O12" i="2" a="1"/>
  <c r="W12" i="2" l="1"/>
  <c r="W13" i="2"/>
  <c r="Q12" i="2"/>
  <c r="Q13" i="2"/>
  <c r="AY9" i="3"/>
  <c r="AY8" i="3"/>
  <c r="AY7" i="3"/>
  <c r="AY6" i="3"/>
  <c r="AY5" i="3"/>
  <c r="AY4" i="3"/>
  <c r="AY3" i="3"/>
  <c r="AY2" i="3"/>
  <c r="AA12" i="2" l="1"/>
  <c r="AB12" i="2" s="1"/>
  <c r="AA13" i="2"/>
  <c r="AB13" i="2" s="1"/>
  <c r="AM8" i="3"/>
  <c r="AL8" i="3"/>
  <c r="AM9" i="3"/>
  <c r="AL9" i="3"/>
  <c r="AM7" i="3"/>
  <c r="AL7" i="3"/>
  <c r="AM6" i="3"/>
  <c r="AL6" i="3"/>
  <c r="AM5" i="3"/>
  <c r="AL5" i="3"/>
  <c r="AM2" i="3"/>
  <c r="AL2" i="3"/>
  <c r="AM4" i="3"/>
  <c r="AL4" i="3"/>
  <c r="AM3" i="3"/>
  <c r="AL3" i="3"/>
  <c r="P14" i="2" l="1" a="1"/>
  <c r="P15" i="2" a="1"/>
  <c r="O14" i="2" a="1"/>
  <c r="O15" i="2" a="1"/>
  <c r="AV7" i="3"/>
  <c r="AV8" i="3"/>
  <c r="AV5" i="3"/>
  <c r="AW7" i="3"/>
  <c r="AW5" i="3"/>
  <c r="AW9" i="3"/>
  <c r="AW8" i="3"/>
  <c r="AV9" i="3"/>
  <c r="W14" i="2" l="1"/>
  <c r="Q15" i="2"/>
  <c r="Q14" i="2"/>
  <c r="W15" i="2"/>
  <c r="AZ9" i="3"/>
  <c r="AZ7" i="3"/>
  <c r="AZ8" i="3"/>
  <c r="AZ5" i="3"/>
  <c r="AA14" i="2" l="1"/>
  <c r="AB14" i="2" s="1"/>
  <c r="AA15" i="2"/>
  <c r="AB15" i="2" s="1"/>
  <c r="O17" i="2" l="1" a="1"/>
  <c r="O16" i="2" a="1"/>
  <c r="P16" i="2" a="1"/>
  <c r="P17" i="2" a="1"/>
  <c r="C32" i="3"/>
  <c r="B32" i="3"/>
  <c r="C33" i="3"/>
  <c r="B33" i="3"/>
  <c r="C29" i="3"/>
  <c r="B29" i="3"/>
  <c r="C31" i="3"/>
  <c r="B31" i="3"/>
  <c r="Q16" i="2" l="1"/>
  <c r="Q17" i="2"/>
  <c r="W16" i="2"/>
  <c r="W17" i="2"/>
  <c r="AA16" i="2" l="1"/>
  <c r="AB16" i="2" s="1"/>
  <c r="AA17" i="2"/>
  <c r="AB17" i="2" s="1"/>
  <c r="E32" i="3"/>
  <c r="D32" i="3"/>
  <c r="E33" i="3"/>
  <c r="D33" i="3"/>
  <c r="E29" i="3"/>
  <c r="D29" i="3"/>
  <c r="E31" i="3"/>
  <c r="D31" i="3"/>
  <c r="O19" i="2" l="1" a="1"/>
  <c r="O18" i="2" a="1"/>
  <c r="P19" i="2" a="1"/>
  <c r="P18" i="2" a="1"/>
  <c r="F29" i="3"/>
  <c r="F32" i="3"/>
  <c r="F33" i="3"/>
  <c r="F31" i="3"/>
  <c r="Q18" i="2" l="1"/>
  <c r="W19" i="2"/>
  <c r="Q19" i="2"/>
  <c r="W18" i="2"/>
  <c r="AA19" i="2" l="1"/>
  <c r="AB19" i="2" s="1"/>
  <c r="AA18" i="2"/>
  <c r="AB18" i="2" s="1"/>
  <c r="P21" i="2" l="1" a="1"/>
  <c r="O20" i="2" a="1"/>
  <c r="O21" i="2" a="1"/>
  <c r="P20" i="2" a="1"/>
  <c r="W20" i="2" l="1"/>
  <c r="Q21" i="2"/>
  <c r="W21" i="2"/>
  <c r="Q20" i="2"/>
  <c r="AA20" i="2" s="1"/>
  <c r="AB20" i="2" s="1"/>
  <c r="AA21" i="2" l="1"/>
  <c r="AB21" i="2" s="1"/>
  <c r="P23" i="2" a="1"/>
  <c r="O22" i="2" a="1"/>
  <c r="O23" i="2" a="1"/>
  <c r="P22" i="2" a="1"/>
  <c r="AW3" i="3"/>
  <c r="AV3" i="3"/>
  <c r="Q22" i="2" l="1"/>
  <c r="W23" i="2"/>
  <c r="Q23" i="2"/>
  <c r="W22" i="2"/>
  <c r="P25" i="2" a="1"/>
  <c r="P24" i="2" a="1"/>
  <c r="O24" i="2" a="1"/>
  <c r="O25" i="2" a="1"/>
  <c r="W25" i="2" s="1"/>
  <c r="O26" i="2" a="1"/>
  <c r="P27" i="2" a="1"/>
  <c r="P26" i="2" a="1"/>
  <c r="O27" i="2" a="1"/>
  <c r="AZ3" i="3"/>
  <c r="AV2" i="3"/>
  <c r="AW2" i="3"/>
  <c r="AV4" i="3"/>
  <c r="AW4" i="3"/>
  <c r="AA23" i="2" l="1"/>
  <c r="AB23" i="2" s="1"/>
  <c r="W24" i="2"/>
  <c r="AA22" i="2"/>
  <c r="AB22" i="2" s="1"/>
  <c r="Q25" i="2"/>
  <c r="AA25" i="2" s="1"/>
  <c r="AB25" i="2" s="1"/>
  <c r="Q24" i="2"/>
  <c r="AA24" i="2" s="1"/>
  <c r="AB24" i="2" s="1"/>
  <c r="W27" i="2"/>
  <c r="W26" i="2"/>
  <c r="Q27" i="2"/>
  <c r="Q26" i="2"/>
  <c r="AZ4" i="3"/>
  <c r="AZ2" i="3"/>
  <c r="AW6" i="3"/>
  <c r="AV6" i="3"/>
  <c r="AA27" i="2" l="1"/>
  <c r="AB27" i="2" s="1"/>
  <c r="AA26" i="2"/>
  <c r="AB26" i="2" s="1"/>
  <c r="P31" i="2" a="1"/>
  <c r="P30" i="2" a="1"/>
  <c r="O30" i="2" a="1"/>
  <c r="O31" i="2" a="1"/>
  <c r="AZ6" i="3"/>
  <c r="P29" i="2" l="1" a="1"/>
  <c r="O28" i="2" a="1"/>
  <c r="O29" i="2" a="1"/>
  <c r="P28" i="2" a="1"/>
  <c r="Q30" i="2"/>
  <c r="Q31" i="2"/>
  <c r="W30" i="2"/>
  <c r="W31" i="2"/>
  <c r="W28" i="2" l="1"/>
  <c r="W29" i="2"/>
  <c r="Q29" i="2"/>
  <c r="AA29" i="2" s="1"/>
  <c r="AB29" i="2" s="1"/>
  <c r="Q28" i="2"/>
  <c r="AA30" i="2"/>
  <c r="AB30" i="2" s="1"/>
  <c r="AA31" i="2"/>
  <c r="AB31" i="2" s="1"/>
  <c r="AA28" i="2" l="1"/>
  <c r="AB28" i="2" s="1"/>
  <c r="P33" i="2" a="1"/>
  <c r="P32" i="2" a="1"/>
  <c r="O32" i="2" a="1"/>
  <c r="O33" i="2" a="1"/>
  <c r="Q32" i="2" l="1"/>
  <c r="W33" i="2"/>
  <c r="Q33" i="2"/>
  <c r="W32" i="2"/>
  <c r="AA33" i="2" l="1"/>
  <c r="AB33" i="2" s="1"/>
  <c r="AA32" i="2"/>
  <c r="AB32" i="2" s="1"/>
  <c r="P36" i="2" a="1"/>
  <c r="O36" i="2" a="1"/>
  <c r="P39" i="2" a="1"/>
  <c r="P38" i="2" a="1"/>
  <c r="P37" i="2" l="1" a="1"/>
  <c r="O37" i="2" a="1"/>
  <c r="O38" i="2" a="1"/>
  <c r="O39" i="2" a="1"/>
  <c r="P34" i="2" a="1"/>
  <c r="P35" i="2" a="1"/>
  <c r="O35" i="2" a="1"/>
  <c r="O34" i="2" a="1"/>
  <c r="W34" i="2" s="1"/>
  <c r="Q36" i="2"/>
  <c r="W36" i="2"/>
  <c r="W37" i="2" l="1"/>
  <c r="Q37" i="2"/>
  <c r="AA37" i="2" s="1"/>
  <c r="AB37" i="2" s="1"/>
  <c r="W35" i="2"/>
  <c r="W38" i="2"/>
  <c r="Q38" i="2"/>
  <c r="W39" i="2"/>
  <c r="Q39" i="2"/>
  <c r="Q34" i="2"/>
  <c r="AA34" i="2" s="1"/>
  <c r="AB34" i="2" s="1"/>
  <c r="Q35" i="2"/>
  <c r="AA36" i="2"/>
  <c r="AB36" i="2" s="1"/>
  <c r="AA39" i="2" l="1"/>
  <c r="AB39" i="2" s="1"/>
  <c r="AA35" i="2"/>
  <c r="AB35" i="2" s="1"/>
  <c r="AA38" i="2"/>
  <c r="AB38" i="2" s="1"/>
  <c r="P40" i="2" a="1"/>
  <c r="P41" i="2" a="1"/>
  <c r="O40" i="2" a="1"/>
  <c r="O41" i="2" a="1"/>
  <c r="Q40" i="2" l="1"/>
  <c r="Q41" i="2"/>
  <c r="W40" i="2"/>
  <c r="W41" i="2"/>
  <c r="AA40" i="2" l="1"/>
  <c r="AB40" i="2" s="1"/>
  <c r="AA41" i="2"/>
  <c r="AB41" i="2" s="1"/>
  <c r="O45" i="2" a="1"/>
  <c r="O44" i="2" a="1"/>
  <c r="P44" i="2" a="1"/>
  <c r="P45" i="2" a="1"/>
  <c r="O42" i="2" l="1" a="1"/>
  <c r="O43" i="2" a="1"/>
  <c r="P43" i="2" a="1"/>
  <c r="P42" i="2" a="1"/>
  <c r="Q44" i="2"/>
  <c r="W45" i="2"/>
  <c r="W44" i="2"/>
  <c r="Q45" i="2"/>
  <c r="W43" i="2" l="1"/>
  <c r="W42" i="2"/>
  <c r="Q43" i="2"/>
  <c r="Q42" i="2"/>
  <c r="AA44" i="2"/>
  <c r="AB44" i="2" s="1"/>
  <c r="AA45" i="2"/>
  <c r="AB45" i="2" s="1"/>
  <c r="P48" i="2" a="1"/>
  <c r="O49" i="2" a="1"/>
  <c r="O48" i="2" a="1"/>
  <c r="P49" i="2" a="1"/>
  <c r="AA43" i="2" l="1"/>
  <c r="AB43" i="2" s="1"/>
  <c r="AA42" i="2"/>
  <c r="AB42" i="2" s="1"/>
  <c r="O46" i="2" a="1"/>
  <c r="P46" i="2" a="1"/>
  <c r="O47" i="2" a="1"/>
  <c r="P47" i="2" a="1"/>
  <c r="W49" i="2"/>
  <c r="Q48" i="2"/>
  <c r="W48" i="2"/>
  <c r="Q49" i="2"/>
  <c r="W47" i="2" l="1"/>
  <c r="W46" i="2"/>
  <c r="Q46" i="2"/>
  <c r="Q47" i="2"/>
  <c r="AA47" i="2" s="1"/>
  <c r="AB47" i="2" s="1"/>
  <c r="AA48" i="2"/>
  <c r="AB48" i="2" s="1"/>
  <c r="AA49" i="2"/>
  <c r="AB49" i="2" s="1"/>
  <c r="P52" i="2" a="1"/>
  <c r="O53" i="2" a="1"/>
  <c r="P53" i="2" a="1"/>
  <c r="O52" i="2" a="1"/>
  <c r="AA46" i="2" l="1"/>
  <c r="AB46" i="2" s="1"/>
  <c r="P50" i="2" a="1"/>
  <c r="P51" i="2" a="1"/>
  <c r="O50" i="2" a="1"/>
  <c r="O51" i="2" a="1"/>
  <c r="Q53" i="2"/>
  <c r="Q52" i="2"/>
  <c r="W53" i="2"/>
  <c r="W52" i="2"/>
  <c r="Q51" i="2" l="1"/>
  <c r="W50" i="2"/>
  <c r="W51" i="2"/>
  <c r="Q50" i="2"/>
  <c r="AA53" i="2"/>
  <c r="AB53" i="2" s="1"/>
  <c r="AA52" i="2"/>
  <c r="AB52" i="2" s="1"/>
  <c r="AA50" i="2" l="1"/>
  <c r="AB50" i="2" s="1"/>
  <c r="AA51" i="2"/>
  <c r="AB51" i="2" s="1"/>
  <c r="P54" i="2" a="1"/>
  <c r="O54" i="2" a="1"/>
  <c r="O55" i="2" a="1"/>
  <c r="P55" i="2" a="1"/>
  <c r="W54" i="2" l="1"/>
  <c r="Q55" i="2"/>
  <c r="Q54" i="2"/>
  <c r="W55" i="2"/>
  <c r="AA54" i="2" l="1"/>
  <c r="AB54" i="2" s="1"/>
  <c r="AA55" i="2"/>
  <c r="AB55" i="2" s="1"/>
  <c r="O57" i="2" l="1" a="1"/>
  <c r="P56" i="2" a="1"/>
  <c r="O56" i="2" a="1"/>
  <c r="O59" i="2" a="1"/>
  <c r="P59" i="2" a="1"/>
  <c r="P58" i="2" a="1"/>
  <c r="O58" i="2" a="1"/>
  <c r="W58" i="2" s="1"/>
  <c r="P57" i="2" a="1"/>
  <c r="W59" i="2" l="1"/>
  <c r="Q57" i="2"/>
  <c r="Q56" i="2"/>
  <c r="W57" i="2"/>
  <c r="AA57" i="2" s="1"/>
  <c r="AB57" i="2" s="1"/>
  <c r="W56" i="2"/>
  <c r="Q59" i="2"/>
  <c r="Q58" i="2"/>
  <c r="AA58" i="2" s="1"/>
  <c r="AB58" i="2" s="1"/>
  <c r="AA59" i="2" l="1"/>
  <c r="AB59" i="2" s="1"/>
  <c r="AA56" i="2"/>
  <c r="AB56" i="2" s="1"/>
  <c r="P61" i="2" a="1"/>
  <c r="P60" i="2" a="1"/>
  <c r="O61" i="2" a="1"/>
  <c r="O60" i="2" a="1"/>
  <c r="P63" i="2" a="1"/>
  <c r="P62" i="2" a="1"/>
  <c r="O63" i="2" a="1"/>
  <c r="O62" i="2" a="1"/>
  <c r="W60" i="2" l="1"/>
  <c r="W61" i="2"/>
  <c r="Q60" i="2"/>
  <c r="Q63" i="2"/>
  <c r="Q62" i="2"/>
  <c r="Q61" i="2"/>
  <c r="W63" i="2"/>
  <c r="W62" i="2"/>
  <c r="O64" i="2" a="1"/>
  <c r="P65" i="2" a="1"/>
  <c r="O65" i="2" a="1"/>
  <c r="P64" i="2" a="1"/>
  <c r="AA60" i="2" l="1"/>
  <c r="AB60" i="2" s="1"/>
  <c r="AA61" i="2"/>
  <c r="AB61" i="2" s="1"/>
  <c r="AA63" i="2"/>
  <c r="AB63" i="2" s="1"/>
  <c r="AA62" i="2"/>
  <c r="AB62" i="2" s="1"/>
  <c r="W65" i="2"/>
  <c r="Q64" i="2"/>
  <c r="W64" i="2"/>
  <c r="Q65" i="2"/>
  <c r="AA65" i="2" l="1"/>
  <c r="AB65" i="2" s="1"/>
  <c r="AA64" i="2"/>
  <c r="AB64" i="2" s="1"/>
  <c r="P66" i="2" l="1" a="1"/>
  <c r="O67" i="2" a="1"/>
  <c r="O66" i="2" a="1"/>
  <c r="P67" i="2" a="1"/>
  <c r="Q66" i="2" l="1"/>
  <c r="W67" i="2"/>
  <c r="W66" i="2"/>
  <c r="Q67" i="2"/>
  <c r="AA66" i="2" l="1"/>
  <c r="AB66" i="2" s="1"/>
  <c r="AA67" i="2"/>
  <c r="AB67" i="2" s="1"/>
  <c r="O68" i="2" a="1"/>
  <c r="O69" i="2" a="1"/>
  <c r="P69" i="2" a="1"/>
  <c r="P68" i="2" a="1"/>
  <c r="W68" i="2" l="1"/>
  <c r="Q69" i="2"/>
  <c r="W69" i="2"/>
  <c r="Q68" i="2"/>
  <c r="AA69" i="2" l="1"/>
  <c r="AB69" i="2" s="1"/>
  <c r="AA68" i="2"/>
  <c r="AB68" i="2" s="1"/>
  <c r="O71" i="2" l="1" a="1"/>
  <c r="O70" i="2" a="1"/>
  <c r="P70" i="2" a="1"/>
  <c r="P71" i="2" a="1"/>
  <c r="Q70" i="2" l="1"/>
  <c r="Q71" i="2"/>
  <c r="W71" i="2"/>
  <c r="W70" i="2"/>
  <c r="AA70" i="2" l="1"/>
  <c r="AB70" i="2" s="1"/>
  <c r="AA71" i="2"/>
  <c r="AB71" i="2" s="1"/>
  <c r="O74" i="2" a="1"/>
  <c r="P73" i="2" a="1"/>
  <c r="P74" i="2" a="1"/>
  <c r="P75" i="2" a="1"/>
  <c r="O72" i="2" a="1"/>
  <c r="O76" i="2" a="1"/>
  <c r="O77" i="2" a="1"/>
  <c r="P76" i="2" a="1"/>
  <c r="P77" i="2" a="1"/>
  <c r="O75" i="2" a="1"/>
  <c r="O73" i="2" a="1"/>
  <c r="P72" i="2" a="1"/>
  <c r="P79" i="2" a="1"/>
  <c r="O79" i="2" a="1"/>
  <c r="P78" i="2" a="1"/>
  <c r="O78" i="2" a="1"/>
  <c r="W78" i="2" s="1"/>
  <c r="W79" i="2" l="1"/>
  <c r="W76" i="2"/>
  <c r="W77" i="2"/>
  <c r="Q73" i="2"/>
  <c r="Q74" i="2"/>
  <c r="Q75" i="2"/>
  <c r="W72" i="2"/>
  <c r="W74" i="2"/>
  <c r="Q76" i="2"/>
  <c r="AA76" i="2" s="1"/>
  <c r="AB76" i="2" s="1"/>
  <c r="Q77" i="2"/>
  <c r="W75" i="2"/>
  <c r="W73" i="2"/>
  <c r="Q78" i="2"/>
  <c r="AA78" i="2" s="1"/>
  <c r="AB78" i="2" s="1"/>
  <c r="Q72" i="2"/>
  <c r="Q79" i="2"/>
  <c r="AA79" i="2" s="1"/>
  <c r="AB79" i="2" s="1"/>
  <c r="AA77" i="2" l="1"/>
  <c r="AB77" i="2" s="1"/>
  <c r="AA72" i="2"/>
  <c r="AB72" i="2" s="1"/>
  <c r="AA73" i="2"/>
  <c r="AB73" i="2" s="1"/>
  <c r="AA74" i="2"/>
  <c r="AB74" i="2" s="1"/>
  <c r="AA75" i="2"/>
  <c r="AB75" i="2" s="1"/>
  <c r="P81" i="2" a="1"/>
  <c r="P83" i="2" a="1"/>
  <c r="O80" i="2" a="1"/>
  <c r="O82" i="2" a="1"/>
  <c r="O83" i="2" a="1"/>
  <c r="P82" i="2" a="1"/>
  <c r="P84" i="2" a="1"/>
  <c r="O85" i="2" a="1"/>
  <c r="O84" i="2" a="1"/>
  <c r="P85" i="2" a="1"/>
  <c r="P87" i="2" a="1"/>
  <c r="O86" i="2" a="1"/>
  <c r="P86" i="2" a="1"/>
  <c r="O87" i="2" a="1"/>
  <c r="Q84" i="2" l="1"/>
  <c r="P80" i="2" a="1"/>
  <c r="O81" i="2" a="1"/>
  <c r="Q83" i="2"/>
  <c r="Q82" i="2"/>
  <c r="Q85" i="2"/>
  <c r="W82" i="2"/>
  <c r="W83" i="2"/>
  <c r="W85" i="2"/>
  <c r="W84" i="2"/>
  <c r="W86" i="2"/>
  <c r="W87" i="2"/>
  <c r="Q87" i="2"/>
  <c r="Q86" i="2"/>
  <c r="AA84" i="2" l="1"/>
  <c r="AB84" i="2" s="1"/>
  <c r="W80" i="2"/>
  <c r="AA80" i="2" s="1"/>
  <c r="AB80" i="2" s="1"/>
  <c r="Q80" i="2"/>
  <c r="Q81" i="2"/>
  <c r="W81" i="2"/>
  <c r="AA81" i="2" s="1"/>
  <c r="AB81" i="2" s="1"/>
  <c r="AA85" i="2"/>
  <c r="AB85" i="2" s="1"/>
  <c r="AA82" i="2"/>
  <c r="AB82" i="2" s="1"/>
  <c r="AA83" i="2"/>
  <c r="AB83" i="2" s="1"/>
  <c r="AA86" i="2"/>
  <c r="AB86" i="2" s="1"/>
  <c r="AA87" i="2"/>
  <c r="AB87" i="2" s="1"/>
  <c r="P92" i="2" l="1" a="1"/>
  <c r="P93" i="2" a="1"/>
  <c r="O92" i="2" a="1"/>
  <c r="O89" i="2" a="1"/>
  <c r="O93" i="2" a="1"/>
  <c r="P88" i="2" a="1"/>
  <c r="O91" i="2" a="1"/>
  <c r="P90" i="2" a="1"/>
  <c r="P91" i="2" a="1"/>
  <c r="O90" i="2" a="1"/>
  <c r="P89" i="2" a="1"/>
  <c r="Q89" i="2" s="1"/>
  <c r="O88" i="2" a="1"/>
  <c r="Q93" i="2" l="1"/>
  <c r="W92" i="2"/>
  <c r="Q88" i="2"/>
  <c r="W91" i="2"/>
  <c r="W90" i="2"/>
  <c r="Q92" i="2"/>
  <c r="AA92" i="2" s="1"/>
  <c r="AB92" i="2" s="1"/>
  <c r="W89" i="2"/>
  <c r="AA89" i="2" s="1"/>
  <c r="AB89" i="2" s="1"/>
  <c r="W93" i="2"/>
  <c r="Q90" i="2"/>
  <c r="Q91" i="2"/>
  <c r="W88" i="2"/>
  <c r="AA93" i="2" l="1"/>
  <c r="AB93" i="2" s="1"/>
  <c r="AA90" i="2"/>
  <c r="AB90" i="2" s="1"/>
  <c r="AA88" i="2"/>
  <c r="AB88" i="2" s="1"/>
  <c r="AA91" i="2"/>
  <c r="AB91" i="2" s="1"/>
  <c r="O95" i="2" a="1"/>
  <c r="P96" i="2" a="1"/>
  <c r="O97" i="2" a="1"/>
  <c r="O94" i="2" a="1"/>
  <c r="P94" i="2" a="1"/>
  <c r="P95" i="2" a="1"/>
  <c r="O96" i="2" a="1"/>
  <c r="P97" i="2" a="1"/>
  <c r="W97" i="2" l="1"/>
  <c r="Q96" i="2"/>
  <c r="Q94" i="2"/>
  <c r="Q95" i="2"/>
  <c r="W96" i="2"/>
  <c r="Q97" i="2"/>
  <c r="W95" i="2"/>
  <c r="W94" i="2"/>
  <c r="O98" i="2" a="1"/>
  <c r="P99" i="2" a="1"/>
  <c r="AA96" i="2" l="1"/>
  <c r="AB96" i="2" s="1"/>
  <c r="AA97" i="2"/>
  <c r="AB97" i="2" s="1"/>
  <c r="AA94" i="2"/>
  <c r="AB94" i="2" s="1"/>
  <c r="AA95" i="2"/>
  <c r="AB95" i="2" s="1"/>
  <c r="O108" i="2" a="1"/>
  <c r="O109" i="2" a="1"/>
  <c r="P106" i="2" a="1"/>
  <c r="O107" i="2" a="1"/>
  <c r="P107" i="2" a="1"/>
  <c r="O106" i="2" a="1"/>
  <c r="P108" i="2" a="1"/>
  <c r="O99" i="2" l="1" a="1"/>
  <c r="P98" i="2" a="1"/>
  <c r="O101" i="2" a="1"/>
  <c r="P100" i="2" a="1"/>
  <c r="O100" i="2" a="1"/>
  <c r="P101" i="2" a="1"/>
  <c r="O104" i="2" a="1"/>
  <c r="P105" i="2" a="1"/>
  <c r="P104" i="2" a="1"/>
  <c r="O105" i="2" a="1"/>
  <c r="P103" i="2" a="1"/>
  <c r="P102" i="2" a="1"/>
  <c r="O103" i="2" a="1"/>
  <c r="O102" i="2" a="1"/>
  <c r="W107" i="2"/>
  <c r="W108" i="2"/>
  <c r="W106" i="2"/>
  <c r="Q106" i="2"/>
  <c r="Q107" i="2"/>
  <c r="Q108" i="2"/>
  <c r="Q101" i="2" l="1"/>
  <c r="W99" i="2"/>
  <c r="Q99" i="2"/>
  <c r="W98" i="2"/>
  <c r="Q98" i="2"/>
  <c r="Q100" i="2"/>
  <c r="W103" i="2"/>
  <c r="Q104" i="2"/>
  <c r="W105" i="2"/>
  <c r="Q102" i="2"/>
  <c r="W100" i="2"/>
  <c r="W104" i="2"/>
  <c r="Q105" i="2"/>
  <c r="Q103" i="2"/>
  <c r="W102" i="2"/>
  <c r="W101" i="2"/>
  <c r="AA107" i="2"/>
  <c r="AB107" i="2" s="1"/>
  <c r="AA108" i="2"/>
  <c r="AB108" i="2" s="1"/>
  <c r="AA106" i="2"/>
  <c r="AB106" i="2" s="1"/>
  <c r="AA100" i="2" l="1"/>
  <c r="AB100" i="2" s="1"/>
  <c r="AA103" i="2"/>
  <c r="AB103" i="2" s="1"/>
  <c r="AA101" i="2"/>
  <c r="AB101" i="2" s="1"/>
  <c r="AA98" i="2"/>
  <c r="AB98" i="2" s="1"/>
  <c r="AA99" i="2"/>
  <c r="AB99" i="2" s="1"/>
  <c r="AA104" i="2"/>
  <c r="AB104" i="2" s="1"/>
  <c r="AA105" i="2"/>
  <c r="AB105" i="2" s="1"/>
  <c r="AA102" i="2"/>
  <c r="AB102" i="2" s="1"/>
  <c r="P109" i="2" s="1" a="1"/>
  <c r="W109" i="2" l="1"/>
  <c r="AA109" i="2" s="1"/>
  <c r="AB109" i="2" s="1"/>
  <c r="Q109" i="2"/>
  <c r="O110" i="2" a="1"/>
  <c r="P110" i="2" a="1"/>
  <c r="O111" i="2" a="1"/>
  <c r="P111" i="2" a="1"/>
  <c r="Q111" i="2" l="1"/>
  <c r="P112" i="2" a="1"/>
  <c r="P113" i="2" a="1"/>
  <c r="O113" i="2" a="1"/>
  <c r="O112" i="2" a="1"/>
  <c r="Q110" i="2"/>
  <c r="W110" i="2"/>
  <c r="W111" i="2"/>
  <c r="AA111" i="2" l="1"/>
  <c r="AB111" i="2" s="1"/>
  <c r="Q112" i="2"/>
  <c r="W113" i="2"/>
  <c r="AA110" i="2"/>
  <c r="AB110" i="2" s="1"/>
  <c r="W112" i="2"/>
  <c r="Q113" i="2"/>
  <c r="P115" i="2" a="1"/>
  <c r="O115" i="2" a="1"/>
  <c r="P114" i="2" a="1"/>
  <c r="O114" i="2" a="1"/>
  <c r="P116" i="2" a="1"/>
  <c r="O117" i="2" a="1"/>
  <c r="P117" i="2" a="1"/>
  <c r="O116" i="2" a="1"/>
  <c r="O119" i="2" a="1"/>
  <c r="P118" i="2" a="1"/>
  <c r="O118" i="2" a="1"/>
  <c r="P119" i="2" a="1"/>
  <c r="AA112" i="2" l="1"/>
  <c r="AB112" i="2" s="1"/>
  <c r="AA113" i="2"/>
  <c r="AB113" i="2" s="1"/>
  <c r="W115" i="2"/>
  <c r="W114" i="2"/>
  <c r="Q115" i="2"/>
  <c r="Q114" i="2"/>
  <c r="Q117" i="2"/>
  <c r="W116" i="2"/>
  <c r="Q116" i="2"/>
  <c r="AA116" i="2" s="1"/>
  <c r="AB116" i="2" s="1"/>
  <c r="W117" i="2"/>
  <c r="W119" i="2"/>
  <c r="W118" i="2"/>
  <c r="Q118" i="2"/>
  <c r="Q119" i="2"/>
  <c r="AA114" i="2" l="1"/>
  <c r="AB114" i="2" s="1"/>
  <c r="AA115" i="2"/>
  <c r="AB115" i="2" s="1"/>
  <c r="AA117" i="2"/>
  <c r="AB117" i="2" s="1"/>
  <c r="AA118" i="2"/>
  <c r="AB118" i="2" s="1"/>
  <c r="AA119" i="2"/>
  <c r="AB119" i="2" s="1"/>
  <c r="P121" i="2" l="1" a="1"/>
  <c r="P120" i="2" a="1"/>
  <c r="O121" i="2" a="1"/>
  <c r="O120" i="2" a="1"/>
  <c r="W121" i="2" l="1"/>
  <c r="Q120" i="2"/>
  <c r="Q121" i="2"/>
  <c r="W120" i="2"/>
  <c r="AA121" i="2" l="1"/>
  <c r="AB121" i="2" s="1"/>
  <c r="AA120" i="2"/>
  <c r="AB120" i="2" s="1"/>
  <c r="O122" i="2" l="1" a="1"/>
  <c r="P122" i="2" a="1"/>
  <c r="P123" i="2" a="1"/>
  <c r="O123" i="2" a="1"/>
  <c r="Q122" i="2" l="1"/>
  <c r="W123" i="2"/>
  <c r="W122" i="2"/>
  <c r="Q123" i="2"/>
  <c r="AA123" i="2" l="1"/>
  <c r="AB123" i="2" s="1"/>
  <c r="AA122" i="2"/>
  <c r="AB122" i="2" s="1"/>
  <c r="O127" i="2" a="1"/>
  <c r="O126" i="2" a="1"/>
  <c r="P126" i="2" a="1"/>
  <c r="O128" i="2" a="1"/>
  <c r="O129" i="2" a="1"/>
  <c r="P129" i="2" a="1"/>
  <c r="P128" i="2" a="1"/>
  <c r="P127" i="2" a="1"/>
  <c r="P124" i="2" a="1"/>
  <c r="Q124" i="2" s="1"/>
  <c r="P125" i="2" a="1"/>
  <c r="O125" i="2" a="1"/>
  <c r="W125" i="2" s="1"/>
  <c r="O124" i="2" a="1"/>
  <c r="P131" i="2" a="1"/>
  <c r="P130" i="2" a="1"/>
  <c r="O131" i="2" a="1"/>
  <c r="O130" i="2" a="1"/>
  <c r="Q127" i="2" l="1"/>
  <c r="Q126" i="2"/>
  <c r="W129" i="2"/>
  <c r="Q128" i="2"/>
  <c r="W127" i="2"/>
  <c r="AA127" i="2" s="1"/>
  <c r="AB127" i="2" s="1"/>
  <c r="W126" i="2"/>
  <c r="W128" i="2"/>
  <c r="Q129" i="2"/>
  <c r="Q125" i="2"/>
  <c r="AA125" i="2" s="1"/>
  <c r="AB125" i="2" s="1"/>
  <c r="W124" i="2"/>
  <c r="AA124" i="2" s="1"/>
  <c r="AB124" i="2" s="1"/>
  <c r="W131" i="2"/>
  <c r="W130" i="2"/>
  <c r="Q131" i="2"/>
  <c r="Q130" i="2"/>
  <c r="AA126" i="2" l="1"/>
  <c r="AB126" i="2" s="1"/>
  <c r="AA128" i="2"/>
  <c r="AB128" i="2" s="1"/>
  <c r="AA129" i="2"/>
  <c r="AB129" i="2" s="1"/>
  <c r="AA131" i="2"/>
  <c r="AB131" i="2" s="1"/>
  <c r="AA130" i="2"/>
  <c r="AB130" i="2" s="1"/>
  <c r="P132" i="2" a="1"/>
  <c r="O133" i="2" a="1"/>
  <c r="O132" i="2" a="1"/>
  <c r="P133" i="2" a="1"/>
  <c r="W132" i="2" l="1"/>
  <c r="Q133" i="2"/>
  <c r="Q132" i="2"/>
  <c r="W133" i="2"/>
  <c r="AA132" i="2" l="1"/>
  <c r="AB132" i="2" s="1"/>
  <c r="AA133" i="2"/>
  <c r="AB133" i="2" s="1"/>
  <c r="P134" i="2" a="1"/>
  <c r="P135" i="2" a="1"/>
  <c r="O135" i="2" a="1"/>
  <c r="O134" i="2" a="1"/>
  <c r="Q135" i="2" l="1"/>
  <c r="Q134" i="2"/>
  <c r="W134" i="2"/>
  <c r="W135" i="2"/>
  <c r="AA134" i="2" l="1"/>
  <c r="AB134" i="2" s="1"/>
  <c r="AA135" i="2"/>
  <c r="AB135" i="2" s="1"/>
  <c r="O136" i="2" a="1"/>
  <c r="P136" i="2" a="1"/>
  <c r="O137" i="2" a="1"/>
  <c r="P137" i="2" a="1"/>
  <c r="Q136" i="2" l="1"/>
  <c r="W137" i="2"/>
  <c r="W136" i="2"/>
  <c r="Q137" i="2"/>
  <c r="AA136" i="2" l="1"/>
  <c r="AB136" i="2" s="1"/>
  <c r="AA137" i="2"/>
  <c r="AB137" i="2" s="1"/>
  <c r="P139" i="2" l="1" a="1"/>
  <c r="O138" i="2" a="1"/>
  <c r="P138" i="2" a="1"/>
  <c r="O139" i="2" a="1"/>
  <c r="W138" i="2" l="1"/>
  <c r="W139" i="2"/>
  <c r="Q139" i="2"/>
  <c r="Q138" i="2"/>
  <c r="AA138" i="2" l="1"/>
  <c r="AB138" i="2" s="1"/>
  <c r="AA139" i="2"/>
  <c r="AB139" i="2" s="1"/>
  <c r="O141" i="2" a="1"/>
  <c r="P140" i="2" a="1"/>
  <c r="O140" i="2" a="1"/>
  <c r="P141" i="2" a="1"/>
  <c r="Q141" i="2" l="1"/>
  <c r="Q140" i="2"/>
  <c r="W140" i="2"/>
  <c r="W141" i="2"/>
  <c r="AA141" i="2" l="1"/>
  <c r="AB141" i="2" s="1"/>
  <c r="AA140" i="2"/>
  <c r="AB140" i="2" s="1"/>
  <c r="P145" i="2" a="1"/>
  <c r="O145" i="2" a="1"/>
  <c r="O144" i="2" a="1"/>
  <c r="P144" i="2" a="1"/>
  <c r="P142" i="2" l="1" a="1"/>
  <c r="O142" i="2" a="1"/>
  <c r="P143" i="2" a="1"/>
  <c r="O143" i="2" a="1"/>
  <c r="Q145" i="2"/>
  <c r="W144" i="2"/>
  <c r="W145" i="2"/>
  <c r="Q144" i="2"/>
  <c r="W142" i="2" l="1"/>
  <c r="Q143" i="2"/>
  <c r="Q142" i="2"/>
  <c r="AA142" i="2" s="1"/>
  <c r="AB142" i="2" s="1"/>
  <c r="W143" i="2"/>
  <c r="AA145" i="2"/>
  <c r="AB145" i="2" s="1"/>
  <c r="AA144" i="2"/>
  <c r="AB144" i="2" s="1"/>
  <c r="AA143" i="2" l="1"/>
  <c r="AB143" i="2" s="1"/>
  <c r="O147" i="2" a="1"/>
  <c r="P146" i="2" a="1"/>
  <c r="P147" i="2" a="1"/>
  <c r="O146" i="2" a="1"/>
  <c r="W147" i="2" l="1"/>
  <c r="W146" i="2"/>
  <c r="Q146" i="2"/>
  <c r="Q147" i="2"/>
  <c r="AA146" i="2" l="1"/>
  <c r="AB146" i="2" s="1"/>
  <c r="AA147" i="2"/>
  <c r="AB147" i="2" s="1"/>
  <c r="P149" i="2" a="1"/>
  <c r="O149" i="2" a="1"/>
  <c r="P148" i="2" a="1"/>
  <c r="O148" i="2" a="1"/>
  <c r="W149" i="2" l="1"/>
  <c r="W148" i="2"/>
  <c r="Q149" i="2"/>
  <c r="O151" i="2" a="1"/>
  <c r="P150" i="2" a="1"/>
  <c r="P155" i="2" a="1"/>
  <c r="P154" i="2" a="1"/>
  <c r="O155" i="2" a="1"/>
  <c r="P153" i="2" a="1"/>
  <c r="O154" i="2" a="1"/>
  <c r="P156" i="2" a="1"/>
  <c r="O156" i="2" a="1"/>
  <c r="Q148" i="2"/>
  <c r="AA149" i="2" l="1"/>
  <c r="AB149" i="2" s="1"/>
  <c r="O150" i="2" s="1" a="1"/>
  <c r="AA148" i="2"/>
  <c r="AB148" i="2" s="1"/>
  <c r="W155" i="2"/>
  <c r="W154" i="2"/>
  <c r="W156" i="2"/>
  <c r="P151" i="2" a="1"/>
  <c r="P152" i="2" a="1"/>
  <c r="O152" i="2" a="1"/>
  <c r="O153" i="2" a="1"/>
  <c r="O157" i="2" a="1"/>
  <c r="P157" i="2" a="1"/>
  <c r="Q155" i="2"/>
  <c r="Q154" i="2"/>
  <c r="Q156" i="2"/>
  <c r="AA154" i="2" l="1"/>
  <c r="AB154" i="2" s="1"/>
  <c r="AA156" i="2"/>
  <c r="AB156" i="2" s="1"/>
  <c r="AA155" i="2"/>
  <c r="AB155" i="2" s="1"/>
  <c r="W152" i="2"/>
  <c r="Q151" i="2"/>
  <c r="W151" i="2"/>
  <c r="AA151" i="2" s="1"/>
  <c r="AB151" i="2" s="1"/>
  <c r="Q157" i="2"/>
  <c r="Q150" i="2"/>
  <c r="W150" i="2"/>
  <c r="Q152" i="2"/>
  <c r="W157" i="2"/>
  <c r="Q153" i="2"/>
  <c r="W153" i="2"/>
  <c r="O159" i="2" a="1"/>
  <c r="P158" i="2" a="1"/>
  <c r="P159" i="2" a="1"/>
  <c r="O158" i="2" a="1"/>
  <c r="AA152" i="2" l="1"/>
  <c r="AB152" i="2" s="1"/>
  <c r="AA157" i="2"/>
  <c r="AB157" i="2" s="1"/>
  <c r="AA153" i="2"/>
  <c r="AB153" i="2" s="1"/>
  <c r="AA150" i="2"/>
  <c r="AB150" i="2" s="1"/>
  <c r="Q158" i="2"/>
  <c r="W159" i="2"/>
  <c r="Q159" i="2"/>
  <c r="W158" i="2"/>
  <c r="P160" i="2" a="1"/>
  <c r="O161" i="2" a="1"/>
  <c r="O160" i="2" a="1"/>
  <c r="P161" i="2" a="1"/>
  <c r="P166" i="2" a="1"/>
  <c r="O167" i="2" a="1"/>
  <c r="P167" i="2" a="1"/>
  <c r="O166" i="2" a="1"/>
  <c r="O169" i="2" a="1"/>
  <c r="O168" i="2" a="1"/>
  <c r="P169" i="2" a="1"/>
  <c r="P168" i="2" a="1"/>
  <c r="Q161" i="2" l="1"/>
  <c r="AA159" i="2"/>
  <c r="AB159" i="2" s="1"/>
  <c r="AA158" i="2"/>
  <c r="AB158" i="2" s="1"/>
  <c r="W161" i="2"/>
  <c r="Q160" i="2"/>
  <c r="W160" i="2"/>
  <c r="O163" i="2" a="1"/>
  <c r="P162" i="2" a="1"/>
  <c r="O162" i="2" a="1"/>
  <c r="P163" i="2" a="1"/>
  <c r="O164" i="2" a="1"/>
  <c r="P165" i="2" a="1"/>
  <c r="O165" i="2" a="1"/>
  <c r="P164" i="2" a="1"/>
  <c r="Q168" i="2"/>
  <c r="Q166" i="2"/>
  <c r="W167" i="2"/>
  <c r="W166" i="2"/>
  <c r="Q169" i="2"/>
  <c r="Q167" i="2"/>
  <c r="W169" i="2"/>
  <c r="W168" i="2"/>
  <c r="AA161" i="2" l="1"/>
  <c r="AB161" i="2" s="1"/>
  <c r="AA160" i="2"/>
  <c r="AB160" i="2" s="1"/>
  <c r="W163" i="2"/>
  <c r="Q162" i="2"/>
  <c r="W162" i="2"/>
  <c r="Q163" i="2"/>
  <c r="W164" i="2"/>
  <c r="Q164" i="2"/>
  <c r="W165" i="2"/>
  <c r="Q165" i="2"/>
  <c r="AA166" i="2"/>
  <c r="AB166" i="2" s="1"/>
  <c r="AA168" i="2"/>
  <c r="AB168" i="2" s="1"/>
  <c r="AA167" i="2"/>
  <c r="AB167" i="2" s="1"/>
  <c r="AA169" i="2"/>
  <c r="AB169" i="2" s="1"/>
  <c r="AA162" i="2" l="1"/>
  <c r="AB162" i="2" s="1"/>
  <c r="AA163" i="2"/>
  <c r="AB163" i="2" s="1"/>
  <c r="AA165" i="2"/>
  <c r="AB165" i="2" s="1"/>
  <c r="AA164" i="2"/>
  <c r="AB164" i="2" s="1"/>
  <c r="O171" i="2" a="1"/>
  <c r="P171" i="2" a="1"/>
  <c r="P170" i="2" a="1"/>
  <c r="O170" i="2" a="1"/>
  <c r="Q171" i="2" l="1"/>
  <c r="W170" i="2"/>
  <c r="W171" i="2"/>
  <c r="Q170" i="2"/>
  <c r="AA171" i="2" l="1"/>
  <c r="AB171" i="2" s="1"/>
  <c r="AA170" i="2"/>
  <c r="AB170" i="2" s="1"/>
  <c r="O174" i="2" l="1" a="1"/>
  <c r="P174" i="2" a="1"/>
  <c r="P175" i="2" a="1"/>
  <c r="P172" i="2" a="1"/>
  <c r="O175" i="2" a="1"/>
  <c r="P173" i="2" a="1"/>
  <c r="O172" i="2" a="1"/>
  <c r="P177" i="2" a="1"/>
  <c r="O173" i="2" a="1"/>
  <c r="O176" i="2" a="1"/>
  <c r="O177" i="2" a="1"/>
  <c r="P176" i="2" a="1"/>
  <c r="Q176" i="2" l="1"/>
  <c r="Q174" i="2"/>
  <c r="W177" i="2"/>
  <c r="Q175" i="2"/>
  <c r="Q172" i="2"/>
  <c r="Q173" i="2"/>
  <c r="Q177" i="2"/>
  <c r="W174" i="2"/>
  <c r="W175" i="2"/>
  <c r="W172" i="2"/>
  <c r="W173" i="2"/>
  <c r="W176" i="2"/>
  <c r="AA176" i="2" l="1"/>
  <c r="AB176" i="2" s="1"/>
  <c r="AA177" i="2"/>
  <c r="AB177" i="2" s="1"/>
  <c r="AA174" i="2"/>
  <c r="AB174" i="2" s="1"/>
  <c r="AA175" i="2"/>
  <c r="AB175" i="2" s="1"/>
  <c r="AA172" i="2"/>
  <c r="AB172" i="2" s="1"/>
  <c r="AA173" i="2"/>
  <c r="AB173" i="2" s="1"/>
  <c r="O179" i="2" l="1" a="1"/>
  <c r="P178" i="2" a="1"/>
  <c r="P179" i="2" a="1"/>
  <c r="O178" i="2" a="1"/>
  <c r="Q179" i="2" l="1"/>
  <c r="Q178" i="2"/>
  <c r="W179" i="2"/>
  <c r="W178" i="2"/>
  <c r="AA179" i="2" l="1"/>
  <c r="AB179" i="2" s="1"/>
  <c r="AA178" i="2"/>
  <c r="AB178" i="2" s="1"/>
  <c r="P183" i="2" a="1"/>
  <c r="O183" i="2" a="1"/>
  <c r="O182" i="2" a="1"/>
  <c r="P182" i="2" a="1"/>
  <c r="P180" i="2" l="1" a="1"/>
  <c r="O181" i="2" a="1"/>
  <c r="O180" i="2" a="1"/>
  <c r="P181" i="2" a="1"/>
  <c r="W183" i="2"/>
  <c r="W182" i="2"/>
  <c r="Q183" i="2"/>
  <c r="Q182" i="2"/>
  <c r="W181" i="2" l="1"/>
  <c r="Q180" i="2"/>
  <c r="Q181" i="2"/>
  <c r="W180" i="2"/>
  <c r="AA183" i="2"/>
  <c r="AB183" i="2" s="1"/>
  <c r="AA182" i="2"/>
  <c r="AB182" i="2" s="1"/>
  <c r="O184" i="2" a="1"/>
  <c r="P185" i="2" a="1"/>
  <c r="O185" i="2" a="1"/>
  <c r="P184" i="2" a="1"/>
  <c r="P187" i="2" a="1"/>
  <c r="O187" i="2" a="1"/>
  <c r="O186" i="2" a="1"/>
  <c r="P186" i="2" a="1"/>
  <c r="AA181" i="2" l="1"/>
  <c r="AB181" i="2" s="1"/>
  <c r="AA180" i="2"/>
  <c r="AB180" i="2" s="1"/>
  <c r="Q186" i="2"/>
  <c r="W187" i="2"/>
  <c r="W184" i="2"/>
  <c r="Q185" i="2"/>
  <c r="W185" i="2"/>
  <c r="Q184" i="2"/>
  <c r="Q187" i="2"/>
  <c r="W186" i="2"/>
  <c r="AA186" i="2" l="1"/>
  <c r="AB186" i="2" s="1"/>
  <c r="AA184" i="2"/>
  <c r="AB184" i="2" s="1"/>
  <c r="AA187" i="2"/>
  <c r="AB187" i="2" s="1"/>
  <c r="AA185" i="2"/>
  <c r="AB185" i="2" s="1"/>
  <c r="P188" i="2" l="1" a="1"/>
  <c r="O191" i="2" a="1"/>
  <c r="P191" i="2" a="1"/>
  <c r="O189" i="2" a="1"/>
  <c r="O190" i="2" a="1"/>
  <c r="W190" i="2" s="1"/>
  <c r="P189" i="2" a="1"/>
  <c r="P190" i="2" a="1"/>
  <c r="O188" i="2" a="1"/>
  <c r="W188" i="2" s="1"/>
  <c r="W191" i="2" l="1"/>
  <c r="Q189" i="2"/>
  <c r="Q191" i="2"/>
  <c r="W189" i="2"/>
  <c r="Q190" i="2"/>
  <c r="AA190" i="2" s="1"/>
  <c r="AB190" i="2" s="1"/>
  <c r="Q188" i="2"/>
  <c r="AA188" i="2" s="1"/>
  <c r="AB188" i="2" s="1"/>
  <c r="O193" i="2" a="1"/>
  <c r="O192" i="2" a="1"/>
  <c r="P193" i="2" a="1"/>
  <c r="P192" i="2" a="1"/>
  <c r="AA191" i="2" l="1"/>
  <c r="AB191" i="2" s="1"/>
  <c r="AA189" i="2"/>
  <c r="AB189" i="2" s="1"/>
  <c r="W193" i="2"/>
  <c r="W192" i="2"/>
  <c r="Q193" i="2"/>
  <c r="Q192" i="2"/>
  <c r="AA193" i="2" l="1"/>
  <c r="AB193" i="2" s="1"/>
  <c r="AA192" i="2"/>
  <c r="AB192" i="2" s="1"/>
  <c r="P195" i="2" l="1" a="1"/>
  <c r="O194" i="2" a="1"/>
  <c r="P194" i="2" a="1"/>
  <c r="O195" i="2" a="1"/>
  <c r="W194" i="2" l="1"/>
  <c r="Q195" i="2"/>
  <c r="Q194" i="2"/>
  <c r="W195" i="2"/>
  <c r="AA195" i="2" l="1"/>
  <c r="AB195" i="2" s="1"/>
  <c r="AA194" i="2"/>
  <c r="AB194" i="2" s="1"/>
  <c r="O197" i="2" a="1"/>
  <c r="O196" i="2" a="1"/>
  <c r="P196" i="2" a="1"/>
  <c r="P197" i="2" a="1"/>
  <c r="W196" i="2" l="1"/>
  <c r="Q197" i="2"/>
  <c r="W197" i="2"/>
  <c r="Q196" i="2"/>
  <c r="AA196" i="2" l="1"/>
  <c r="AB196" i="2" s="1"/>
  <c r="AA197" i="2"/>
  <c r="AB197" i="2" s="1"/>
  <c r="O198" i="2" l="1" a="1"/>
  <c r="O202" i="2" a="1"/>
  <c r="P201" i="2" a="1"/>
  <c r="P199" i="2" a="1"/>
  <c r="O199" i="2" a="1"/>
  <c r="O201" i="2" a="1"/>
  <c r="P198" i="2" a="1"/>
  <c r="P200" i="2" a="1"/>
  <c r="O200" i="2" a="1"/>
  <c r="P203" i="2" a="1"/>
  <c r="P202" i="2" a="1"/>
  <c r="O203" i="2" a="1"/>
  <c r="Q198" i="2" l="1"/>
  <c r="W200" i="2"/>
  <c r="W199" i="2"/>
  <c r="W201" i="2"/>
  <c r="Q203" i="2"/>
  <c r="Q202" i="2"/>
  <c r="W198" i="2"/>
  <c r="W202" i="2"/>
  <c r="Q201" i="2"/>
  <c r="Q199" i="2"/>
  <c r="Q200" i="2"/>
  <c r="W203" i="2"/>
  <c r="AA200" i="2" l="1"/>
  <c r="AB200" i="2" s="1"/>
  <c r="AA198" i="2"/>
  <c r="AB198" i="2" s="1"/>
  <c r="AA199" i="2"/>
  <c r="AB199" i="2" s="1"/>
  <c r="AA202" i="2"/>
  <c r="AB202" i="2" s="1"/>
  <c r="AA201" i="2"/>
  <c r="AB201" i="2" s="1"/>
  <c r="AA203" i="2"/>
  <c r="AB203" i="2" s="1"/>
  <c r="P204" i="2" l="1" a="1"/>
  <c r="P205" i="2" a="1"/>
  <c r="O204" i="2" a="1"/>
  <c r="O205" i="2" a="1"/>
  <c r="Q205" i="2" l="1"/>
  <c r="W204" i="2"/>
  <c r="Q204" i="2"/>
  <c r="W205" i="2"/>
  <c r="AA204" i="2" l="1"/>
  <c r="AB204" i="2" s="1"/>
  <c r="AA205" i="2"/>
  <c r="AB205" i="2" s="1"/>
  <c r="P208" i="2" l="1" a="1"/>
  <c r="O207" i="2" a="1"/>
  <c r="P207" i="2" a="1"/>
  <c r="P206" i="2" a="1"/>
  <c r="P209" i="2" a="1"/>
  <c r="O206" i="2" a="1"/>
  <c r="O208" i="2" a="1"/>
  <c r="O209" i="2" a="1"/>
  <c r="W207" i="2" l="1"/>
  <c r="Q209" i="2"/>
  <c r="W206" i="2"/>
  <c r="W208" i="2"/>
  <c r="Q208" i="2"/>
  <c r="AA208" i="2" s="1"/>
  <c r="AB208" i="2" s="1"/>
  <c r="Q207" i="2"/>
  <c r="AA207" i="2" s="1"/>
  <c r="AB207" i="2" s="1"/>
  <c r="Q206" i="2"/>
  <c r="W209" i="2"/>
  <c r="AA209" i="2" l="1"/>
  <c r="AB209" i="2" s="1"/>
  <c r="AA206" i="2"/>
  <c r="AB206" i="2" s="1"/>
  <c r="P211" i="2" a="1"/>
  <c r="O211" i="2" a="1"/>
  <c r="O210" i="2" a="1"/>
  <c r="P210" i="2" a="1"/>
  <c r="W211" i="2" l="1"/>
  <c r="W210" i="2"/>
  <c r="Q210" i="2"/>
  <c r="Q211" i="2"/>
  <c r="O212" i="2" a="1"/>
  <c r="P213" i="2" a="1"/>
  <c r="O213" i="2" a="1"/>
  <c r="P212" i="2" a="1"/>
  <c r="AA211" i="2" l="1"/>
  <c r="AB211" i="2" s="1"/>
  <c r="AA210" i="2"/>
  <c r="AB210" i="2" s="1"/>
  <c r="W213" i="2"/>
  <c r="Q212" i="2"/>
  <c r="W212" i="2"/>
  <c r="AA212" i="2" s="1"/>
  <c r="AB212" i="2" s="1"/>
  <c r="Q213" i="2"/>
  <c r="AA213" i="2" l="1"/>
  <c r="AB213" i="2" s="1"/>
  <c r="O220" i="2" a="1"/>
  <c r="O221" i="2" a="1"/>
  <c r="O218" i="2" a="1"/>
  <c r="P219" i="2" a="1"/>
  <c r="O219" i="2" a="1"/>
  <c r="P221" i="2" a="1"/>
  <c r="P216" i="2" a="1"/>
  <c r="O216" i="2" a="1"/>
  <c r="P217" i="2" a="1"/>
  <c r="O214" i="2" a="1"/>
  <c r="P220" i="2" a="1"/>
  <c r="P214" i="2" a="1"/>
  <c r="O215" i="2" a="1"/>
  <c r="P218" i="2" a="1"/>
  <c r="P215" i="2" a="1"/>
  <c r="O217" i="2" a="1"/>
  <c r="Q214" i="2" l="1"/>
  <c r="Q220" i="2"/>
  <c r="W219" i="2"/>
  <c r="Q221" i="2"/>
  <c r="W216" i="2"/>
  <c r="Q218" i="2"/>
  <c r="Q215" i="2"/>
  <c r="W217" i="2"/>
  <c r="W218" i="2"/>
  <c r="W214" i="2"/>
  <c r="AA214" i="2" s="1"/>
  <c r="AB214" i="2" s="1"/>
  <c r="Q219" i="2"/>
  <c r="AA219" i="2" s="1"/>
  <c r="AB219" i="2" s="1"/>
  <c r="Q216" i="2"/>
  <c r="Q217" i="2"/>
  <c r="W215" i="2"/>
  <c r="W221" i="2"/>
  <c r="W220" i="2"/>
  <c r="O222" i="2" a="1"/>
  <c r="P222" i="2" a="1"/>
  <c r="O223" i="2" a="1"/>
  <c r="P223" i="2" a="1"/>
  <c r="AA220" i="2" l="1"/>
  <c r="AB220" i="2" s="1"/>
  <c r="AA215" i="2"/>
  <c r="AB215" i="2" s="1"/>
  <c r="AA216" i="2"/>
  <c r="AB216" i="2" s="1"/>
  <c r="AA221" i="2"/>
  <c r="AB221" i="2" s="1"/>
  <c r="AA217" i="2"/>
  <c r="AB217" i="2" s="1"/>
  <c r="AA218" i="2"/>
  <c r="AB218" i="2" s="1"/>
  <c r="Q223" i="2"/>
  <c r="W222" i="2"/>
  <c r="Q222" i="2"/>
  <c r="W223" i="2"/>
  <c r="AA223" i="2" l="1"/>
  <c r="AB223" i="2" s="1"/>
  <c r="O224" i="2" a="1"/>
  <c r="O225" i="2" a="1"/>
  <c r="P225" i="2" a="1"/>
  <c r="P224" i="2" a="1"/>
  <c r="AA222" i="2"/>
  <c r="AB222" i="2" s="1"/>
  <c r="W225" i="2" l="1"/>
  <c r="Q224" i="2"/>
  <c r="W224" i="2"/>
  <c r="Q225" i="2"/>
  <c r="P226" i="2" a="1"/>
  <c r="P227" i="2" a="1"/>
  <c r="O227" i="2" a="1"/>
  <c r="O226" i="2" a="1"/>
  <c r="O228" i="2" a="1"/>
  <c r="P228" i="2" a="1"/>
  <c r="O229" i="2" a="1"/>
  <c r="P229" i="2" a="1"/>
  <c r="W227" i="2" l="1"/>
  <c r="AA224" i="2"/>
  <c r="AB224" i="2" s="1"/>
  <c r="W226" i="2"/>
  <c r="W228" i="2"/>
  <c r="Q229" i="2"/>
  <c r="AA225" i="2"/>
  <c r="AB225" i="2" s="1"/>
  <c r="Q226" i="2"/>
  <c r="Q228" i="2"/>
  <c r="W229" i="2"/>
  <c r="Q227" i="2"/>
  <c r="AA227" i="2" l="1"/>
  <c r="AB227" i="2" s="1"/>
  <c r="AA229" i="2"/>
  <c r="AB229" i="2" s="1"/>
  <c r="AA228" i="2"/>
  <c r="AB228" i="2" s="1"/>
  <c r="AA226" i="2"/>
  <c r="AB226" i="2" s="1"/>
  <c r="P231" i="2" l="1" a="1"/>
  <c r="O231" i="2" a="1"/>
  <c r="O230" i="2" a="1"/>
  <c r="P230" i="2" a="1"/>
  <c r="P233" i="2" a="1"/>
  <c r="P232" i="2" a="1"/>
  <c r="O233" i="2" a="1"/>
  <c r="O232" i="2" a="1"/>
  <c r="Q231" i="2" l="1"/>
  <c r="W230" i="2"/>
  <c r="W231" i="2"/>
  <c r="Q230" i="2"/>
  <c r="Q233" i="2"/>
  <c r="Q232" i="2"/>
  <c r="W233" i="2"/>
  <c r="W232" i="2"/>
  <c r="AA231" i="2" l="1"/>
  <c r="AB231" i="2" s="1"/>
  <c r="AA230" i="2"/>
  <c r="AB230" i="2" s="1"/>
  <c r="AA233" i="2"/>
  <c r="AB233" i="2" s="1"/>
  <c r="AA232" i="2"/>
  <c r="AB232" i="2" s="1"/>
  <c r="P235" i="2" a="1"/>
  <c r="P234" i="2" a="1"/>
  <c r="O235" i="2" a="1"/>
  <c r="O234" i="2" a="1"/>
  <c r="W235" i="2" l="1"/>
  <c r="Q234" i="2"/>
  <c r="Q235" i="2"/>
  <c r="W234" i="2"/>
  <c r="AA235" i="2" l="1"/>
  <c r="AB235" i="2" s="1"/>
  <c r="AA234" i="2"/>
  <c r="AB234" i="2" s="1"/>
  <c r="P241" i="2" a="1"/>
  <c r="P240" i="2" a="1"/>
  <c r="O240" i="2" a="1"/>
  <c r="O241" i="2" a="1"/>
  <c r="O239" i="2" l="1" a="1"/>
  <c r="O237" i="2" a="1"/>
  <c r="P236" i="2" a="1"/>
  <c r="P237" i="2" a="1"/>
  <c r="O236" i="2" a="1"/>
  <c r="P239" i="2" a="1"/>
  <c r="P238" i="2" a="1"/>
  <c r="O238" i="2" a="1"/>
  <c r="Q240" i="2"/>
  <c r="Q241" i="2"/>
  <c r="W240" i="2"/>
  <c r="W241" i="2"/>
  <c r="Q238" i="2" l="1"/>
  <c r="Q237" i="2"/>
  <c r="Q236" i="2"/>
  <c r="W239" i="2"/>
  <c r="W237" i="2"/>
  <c r="W236" i="2"/>
  <c r="Q239" i="2"/>
  <c r="W238" i="2"/>
  <c r="AA240" i="2"/>
  <c r="AB240" i="2" s="1"/>
  <c r="AA241" i="2"/>
  <c r="AB241" i="2" s="1"/>
  <c r="P247" i="2" a="1"/>
  <c r="O246" i="2" a="1"/>
  <c r="AA237" i="2" l="1"/>
  <c r="AB237" i="2" s="1"/>
  <c r="P243" i="2" s="1" a="1"/>
  <c r="AA238" i="2"/>
  <c r="AB238" i="2" s="1"/>
  <c r="AA236" i="2"/>
  <c r="AB236" i="2" s="1"/>
  <c r="AA239" i="2"/>
  <c r="AB239" i="2" s="1"/>
  <c r="P242" i="2" a="1"/>
  <c r="O243" i="2" a="1"/>
  <c r="O242" i="2" a="1"/>
  <c r="W242" i="2" s="1"/>
  <c r="O245" i="2" a="1"/>
  <c r="P244" i="2" a="1"/>
  <c r="P245" i="2" a="1"/>
  <c r="O244" i="2" a="1"/>
  <c r="W243" i="2" l="1"/>
  <c r="O247" i="2" a="1"/>
  <c r="P246" i="2" a="1"/>
  <c r="Q243" i="2"/>
  <c r="Q242" i="2"/>
  <c r="AA242" i="2" s="1"/>
  <c r="AB242" i="2" s="1"/>
  <c r="Q244" i="2"/>
  <c r="Q245" i="2"/>
  <c r="W244" i="2"/>
  <c r="W245" i="2"/>
  <c r="AA243" i="2" l="1"/>
  <c r="AB243" i="2" s="1"/>
  <c r="Q247" i="2"/>
  <c r="W247" i="2"/>
  <c r="Q246" i="2"/>
  <c r="W246" i="2"/>
  <c r="AA246" i="2" s="1"/>
  <c r="AB246" i="2" s="1"/>
  <c r="AA244" i="2"/>
  <c r="AB244" i="2" s="1"/>
  <c r="AA245" i="2"/>
  <c r="AB245" i="2" s="1"/>
  <c r="O248" i="2" a="1"/>
  <c r="P248" i="2" a="1"/>
  <c r="P249" i="2" a="1"/>
  <c r="O249" i="2" a="1"/>
  <c r="AA247" i="2" l="1"/>
  <c r="AB247" i="2" s="1"/>
  <c r="Q248" i="2"/>
  <c r="W249" i="2"/>
  <c r="Q249" i="2"/>
  <c r="W248" i="2"/>
  <c r="O255" i="2" l="1" a="1"/>
  <c r="O254" i="2" a="1"/>
  <c r="P254" i="2" a="1"/>
  <c r="P255" i="2" a="1"/>
  <c r="AA249" i="2"/>
  <c r="AB249" i="2" s="1"/>
  <c r="AA248" i="2"/>
  <c r="AB248" i="2" s="1"/>
  <c r="O252" i="2" l="1" a="1"/>
  <c r="O253" i="2" a="1"/>
  <c r="P251" i="2" a="1"/>
  <c r="O250" i="2" a="1"/>
  <c r="P253" i="2" a="1"/>
  <c r="P252" i="2" a="1"/>
  <c r="O251" i="2" a="1"/>
  <c r="P250" i="2" a="1"/>
  <c r="W254" i="2"/>
  <c r="W255" i="2"/>
  <c r="Q254" i="2"/>
  <c r="Q255" i="2"/>
  <c r="W251" i="2" l="1"/>
  <c r="Q253" i="2"/>
  <c r="Q250" i="2"/>
  <c r="W252" i="2"/>
  <c r="W253" i="2"/>
  <c r="Q251" i="2"/>
  <c r="AA251" i="2" s="1"/>
  <c r="AB251" i="2" s="1"/>
  <c r="W250" i="2"/>
  <c r="Q252" i="2"/>
  <c r="AA254" i="2"/>
  <c r="AB254" i="2" s="1"/>
  <c r="AA255" i="2"/>
  <c r="AB255" i="2" s="1"/>
  <c r="P256" i="2" a="1"/>
  <c r="O256" i="2" a="1"/>
  <c r="P257" i="2" a="1"/>
  <c r="O257" i="2" a="1"/>
  <c r="AA253" i="2" l="1"/>
  <c r="AB253" i="2" s="1"/>
  <c r="AA250" i="2"/>
  <c r="AB250" i="2" s="1"/>
  <c r="AA252" i="2"/>
  <c r="AB252" i="2" s="1"/>
  <c r="Q256" i="2"/>
  <c r="W257" i="2"/>
  <c r="W256" i="2"/>
  <c r="Q257" i="2"/>
  <c r="AA256" i="2" l="1"/>
  <c r="AB256" i="2" s="1"/>
  <c r="AA257" i="2"/>
  <c r="AB257" i="2" s="1"/>
  <c r="P258" i="2" l="1" a="1"/>
  <c r="Q258" i="2" s="1"/>
  <c r="O259" i="2" a="1"/>
  <c r="O258" i="2" a="1"/>
  <c r="P259" i="2" a="1"/>
  <c r="Q259" i="2" s="1"/>
  <c r="P261" i="2" a="1"/>
  <c r="O260" i="2" a="1"/>
  <c r="P260" i="2" a="1"/>
  <c r="O261" i="2" a="1"/>
  <c r="W259" i="2" l="1"/>
  <c r="AA259" i="2" s="1"/>
  <c r="AB259" i="2" s="1"/>
  <c r="W258" i="2"/>
  <c r="AA258" i="2" s="1"/>
  <c r="AB258" i="2" s="1"/>
  <c r="Q261" i="2"/>
  <c r="W260" i="2"/>
  <c r="Q260" i="2"/>
  <c r="W261" i="2"/>
  <c r="P263" i="2" a="1"/>
  <c r="P262" i="2" a="1"/>
  <c r="O263" i="2" a="1"/>
  <c r="O265" i="2" a="1"/>
  <c r="O262" i="2" a="1"/>
  <c r="O264" i="2" a="1"/>
  <c r="P265" i="2" a="1"/>
  <c r="P264" i="2" a="1"/>
  <c r="AA260" i="2" l="1"/>
  <c r="AB260" i="2" s="1"/>
  <c r="AA261" i="2"/>
  <c r="AB261" i="2" s="1"/>
  <c r="W263" i="2"/>
  <c r="Q264" i="2"/>
  <c r="Q262" i="2"/>
  <c r="W265" i="2"/>
  <c r="Q263" i="2"/>
  <c r="W262" i="2"/>
  <c r="W264" i="2"/>
  <c r="Q265" i="2"/>
  <c r="AA263" i="2" l="1"/>
  <c r="AB263" i="2" s="1"/>
  <c r="AA264" i="2"/>
  <c r="AB264" i="2" s="1"/>
  <c r="AA262" i="2"/>
  <c r="AB262" i="2" s="1"/>
  <c r="AA265" i="2"/>
  <c r="AB265" i="2" s="1"/>
  <c r="O268" i="2" a="1"/>
  <c r="P269" i="2" a="1"/>
  <c r="P268" i="2" a="1"/>
  <c r="O269" i="2" a="1"/>
  <c r="O267" i="2" l="1" a="1"/>
  <c r="P266" i="2" a="1"/>
  <c r="O266" i="2" a="1"/>
  <c r="P267" i="2" a="1"/>
  <c r="Q268" i="2"/>
  <c r="Q269" i="2"/>
  <c r="W268" i="2"/>
  <c r="W269" i="2"/>
  <c r="Q266" i="2" l="1"/>
  <c r="Q267" i="2"/>
  <c r="W267" i="2"/>
  <c r="AA267" i="2" s="1"/>
  <c r="AB267" i="2" s="1"/>
  <c r="W266" i="2"/>
  <c r="AA268" i="2"/>
  <c r="AB268" i="2" s="1"/>
  <c r="AA269" i="2"/>
  <c r="AB269" i="2" s="1"/>
  <c r="O271" i="2" l="1" a="1"/>
  <c r="P270" i="2" a="1"/>
  <c r="P271" i="2" a="1"/>
  <c r="O270" i="2" a="1"/>
  <c r="AA266" i="2"/>
  <c r="AB266" i="2" s="1"/>
  <c r="Q271" i="2" l="1"/>
  <c r="W270" i="2"/>
  <c r="Q270" i="2"/>
  <c r="W271" i="2"/>
  <c r="P275" i="2" a="1"/>
  <c r="O276" i="2" a="1"/>
  <c r="O274" i="2" a="1"/>
  <c r="P277" i="2" a="1"/>
  <c r="P276" i="2" a="1"/>
  <c r="P272" i="2" a="1"/>
  <c r="P273" i="2" a="1"/>
  <c r="O272" i="2" a="1"/>
  <c r="O277" i="2" a="1"/>
  <c r="O273" i="2" a="1"/>
  <c r="P274" i="2" a="1"/>
  <c r="O275" i="2" a="1"/>
  <c r="AA271" i="2" l="1"/>
  <c r="AB271" i="2" s="1"/>
  <c r="AA270" i="2"/>
  <c r="AB270" i="2" s="1"/>
  <c r="Q272" i="2"/>
  <c r="W277" i="2"/>
  <c r="W275" i="2"/>
  <c r="W274" i="2"/>
  <c r="Q273" i="2"/>
  <c r="W276" i="2"/>
  <c r="Q275" i="2"/>
  <c r="Q277" i="2"/>
  <c r="Q276" i="2"/>
  <c r="W272" i="2"/>
  <c r="W273" i="2"/>
  <c r="Q274" i="2"/>
  <c r="AA272" i="2" l="1"/>
  <c r="AB272" i="2" s="1"/>
  <c r="AA277" i="2"/>
  <c r="AB277" i="2" s="1"/>
  <c r="AA275" i="2"/>
  <c r="AB275" i="2" s="1"/>
  <c r="AA276" i="2"/>
  <c r="AB276" i="2" s="1"/>
  <c r="AA274" i="2"/>
  <c r="AB274" i="2" s="1"/>
  <c r="AA273" i="2"/>
  <c r="AB273" i="2" s="1"/>
  <c r="P278" i="2" l="1" a="1"/>
  <c r="O278" i="2" a="1"/>
  <c r="P279" i="2" a="1"/>
  <c r="O279" i="2" a="1"/>
  <c r="W279" i="2" l="1"/>
  <c r="W278" i="2"/>
  <c r="Q278" i="2"/>
  <c r="Q279" i="2"/>
  <c r="AA278" i="2" l="1"/>
  <c r="AB278" i="2" s="1"/>
  <c r="AA279" i="2"/>
  <c r="AB279" i="2" s="1"/>
  <c r="P280" i="2" a="1"/>
  <c r="O280" i="2" a="1"/>
  <c r="P281" i="2" a="1"/>
  <c r="O281" i="2" a="1"/>
  <c r="W280" i="2" l="1"/>
  <c r="W281" i="2"/>
  <c r="Q280" i="2"/>
  <c r="Q281" i="2"/>
  <c r="AA280" i="2" l="1"/>
  <c r="AB280" i="2" s="1"/>
  <c r="AA281" i="2"/>
  <c r="AB281" i="2" s="1"/>
  <c r="O283" i="2" l="1" a="1"/>
  <c r="P282" i="2" a="1"/>
  <c r="O282" i="2" a="1"/>
  <c r="O284" i="2" a="1"/>
  <c r="W284" i="2" s="1"/>
  <c r="P285" i="2" a="1"/>
  <c r="O285" i="2" a="1"/>
  <c r="P284" i="2" a="1"/>
  <c r="P283" i="2" a="1"/>
  <c r="Q285" i="2" l="1"/>
  <c r="Q284" i="2"/>
  <c r="AA284" i="2" s="1"/>
  <c r="AB284" i="2" s="1"/>
  <c r="Q283" i="2"/>
  <c r="Q282" i="2"/>
  <c r="W283" i="2"/>
  <c r="W282" i="2"/>
  <c r="W285" i="2"/>
  <c r="AA285" i="2" l="1"/>
  <c r="AB285" i="2" s="1"/>
  <c r="AA283" i="2"/>
  <c r="AB283" i="2" s="1"/>
  <c r="AA282" i="2"/>
  <c r="AB282" i="2" s="1"/>
  <c r="P287" i="2" a="1"/>
  <c r="O286" i="2" a="1"/>
  <c r="O287" i="2" a="1"/>
  <c r="W287" i="2" s="1"/>
  <c r="P286" i="2" a="1"/>
  <c r="O288" i="2" a="1"/>
  <c r="P291" i="2" a="1"/>
  <c r="P290" i="2" a="1"/>
  <c r="O292" i="2" a="1"/>
  <c r="P292" i="2" a="1"/>
  <c r="O293" i="2" a="1"/>
  <c r="O289" i="2" a="1"/>
  <c r="P288" i="2" a="1"/>
  <c r="P289" i="2" a="1"/>
  <c r="O291" i="2" a="1"/>
  <c r="O290" i="2" a="1"/>
  <c r="P293" i="2" a="1"/>
  <c r="Q293" i="2" s="1"/>
  <c r="W291" i="2" l="1"/>
  <c r="W289" i="2"/>
  <c r="Q292" i="2"/>
  <c r="W286" i="2"/>
  <c r="Q288" i="2"/>
  <c r="W290" i="2"/>
  <c r="Q287" i="2"/>
  <c r="AA287" i="2" s="1"/>
  <c r="AB287" i="2" s="1"/>
  <c r="Q286" i="2"/>
  <c r="W288" i="2"/>
  <c r="W292" i="2"/>
  <c r="Q291" i="2"/>
  <c r="Q290" i="2"/>
  <c r="W293" i="2"/>
  <c r="AA293" i="2" s="1"/>
  <c r="AB293" i="2" s="1"/>
  <c r="Q289" i="2"/>
  <c r="O294" i="2" a="1"/>
  <c r="P295" i="2" a="1"/>
  <c r="O295" i="2" a="1"/>
  <c r="P294" i="2" a="1"/>
  <c r="AA291" i="2" l="1"/>
  <c r="AB291" i="2" s="1"/>
  <c r="AA289" i="2"/>
  <c r="AB289" i="2" s="1"/>
  <c r="AA286" i="2"/>
  <c r="AB286" i="2" s="1"/>
  <c r="AA288" i="2"/>
  <c r="AB288" i="2" s="1"/>
  <c r="AA292" i="2"/>
  <c r="AB292" i="2" s="1"/>
  <c r="AA290" i="2"/>
  <c r="AB290" i="2" s="1"/>
  <c r="Q294" i="2"/>
  <c r="Q295" i="2"/>
  <c r="W294" i="2"/>
  <c r="AA294" i="2" s="1"/>
  <c r="AB294" i="2" s="1"/>
  <c r="W295" i="2"/>
  <c r="AA295" i="2" l="1"/>
  <c r="AB295" i="2" s="1"/>
  <c r="O300" i="2" a="1"/>
  <c r="O301" i="2" a="1"/>
  <c r="P300" i="2" a="1"/>
  <c r="P301" i="2" a="1"/>
  <c r="P299" i="2" l="1" a="1"/>
  <c r="P297" i="2" a="1"/>
  <c r="O296" i="2" a="1"/>
  <c r="P296" i="2" a="1"/>
  <c r="P298" i="2" a="1"/>
  <c r="O298" i="2" a="1"/>
  <c r="O297" i="2" a="1"/>
  <c r="O299" i="2" a="1"/>
  <c r="O305" i="2" a="1"/>
  <c r="O303" i="2" a="1"/>
  <c r="P305" i="2" a="1"/>
  <c r="O304" i="2" a="1"/>
  <c r="P304" i="2" a="1"/>
  <c r="P303" i="2" a="1"/>
  <c r="O302" i="2" a="1"/>
  <c r="P302" i="2" a="1"/>
  <c r="Q300" i="2"/>
  <c r="Q301" i="2"/>
  <c r="W300" i="2"/>
  <c r="W301" i="2"/>
  <c r="W305" i="2" l="1"/>
  <c r="W299" i="2"/>
  <c r="Q297" i="2"/>
  <c r="W296" i="2"/>
  <c r="Q298" i="2"/>
  <c r="W302" i="2"/>
  <c r="W298" i="2"/>
  <c r="Q304" i="2"/>
  <c r="W297" i="2"/>
  <c r="Q303" i="2"/>
  <c r="Q299" i="2"/>
  <c r="Q296" i="2"/>
  <c r="W303" i="2"/>
  <c r="Q305" i="2"/>
  <c r="AA305" i="2" s="1"/>
  <c r="AB305" i="2" s="1"/>
  <c r="W304" i="2"/>
  <c r="Q302" i="2"/>
  <c r="AA300" i="2"/>
  <c r="AB300" i="2" s="1"/>
  <c r="AA301" i="2"/>
  <c r="AB301" i="2" s="1"/>
  <c r="O310" i="2" a="1"/>
  <c r="P311" i="2" a="1"/>
  <c r="AA304" i="2" l="1"/>
  <c r="AB304" i="2" s="1"/>
  <c r="AA298" i="2"/>
  <c r="AB298" i="2" s="1"/>
  <c r="AA297" i="2"/>
  <c r="AB297" i="2" s="1"/>
  <c r="AA299" i="2"/>
  <c r="AB299" i="2" s="1"/>
  <c r="AA303" i="2"/>
  <c r="AB303" i="2" s="1"/>
  <c r="AA296" i="2"/>
  <c r="AB296" i="2" s="1"/>
  <c r="AA302" i="2"/>
  <c r="AB302" i="2" s="1"/>
  <c r="O307" i="2" a="1"/>
  <c r="P306" i="2" a="1"/>
  <c r="P309" i="2" a="1"/>
  <c r="O308" i="2" a="1"/>
  <c r="W308" i="2" s="1"/>
  <c r="P308" i="2" a="1"/>
  <c r="O309" i="2" a="1"/>
  <c r="W309" i="2" s="1"/>
  <c r="O306" i="2" a="1"/>
  <c r="P307" i="2" a="1"/>
  <c r="W307" i="2" l="1"/>
  <c r="W306" i="2"/>
  <c r="O311" i="2" a="1"/>
  <c r="P310" i="2" a="1"/>
  <c r="Q309" i="2"/>
  <c r="AA309" i="2" s="1"/>
  <c r="AB309" i="2" s="1"/>
  <c r="Q308" i="2"/>
  <c r="AA308" i="2" s="1"/>
  <c r="AB308" i="2" s="1"/>
  <c r="Q307" i="2"/>
  <c r="AA307" i="2" s="1"/>
  <c r="AB307" i="2" s="1"/>
  <c r="Q306" i="2"/>
  <c r="O314" i="2" a="1"/>
  <c r="P315" i="2" a="1"/>
  <c r="P312" i="2" a="1"/>
  <c r="O313" i="2" a="1"/>
  <c r="O312" i="2" a="1"/>
  <c r="O315" i="2" a="1"/>
  <c r="P313" i="2" a="1"/>
  <c r="P314" i="2" a="1"/>
  <c r="AA306" i="2" l="1"/>
  <c r="AB306" i="2" s="1"/>
  <c r="W311" i="2"/>
  <c r="Q311" i="2"/>
  <c r="W310" i="2"/>
  <c r="Q310" i="2"/>
  <c r="Q313" i="2"/>
  <c r="Q312" i="2"/>
  <c r="Q315" i="2"/>
  <c r="W314" i="2"/>
  <c r="W313" i="2"/>
  <c r="W312" i="2"/>
  <c r="W315" i="2"/>
  <c r="Q314" i="2"/>
  <c r="AA311" i="2" l="1"/>
  <c r="AB311" i="2" s="1"/>
  <c r="AA310" i="2"/>
  <c r="AB310" i="2" s="1"/>
  <c r="AA313" i="2"/>
  <c r="AB313" i="2" s="1"/>
  <c r="AA312" i="2"/>
  <c r="AB312" i="2" s="1"/>
  <c r="AA315" i="2"/>
  <c r="AB315" i="2" s="1"/>
  <c r="AA314" i="2"/>
  <c r="AB314" i="2" s="1"/>
  <c r="P317" i="2" l="1" a="1"/>
  <c r="P316" i="2" a="1"/>
  <c r="O316" i="2" a="1"/>
  <c r="O317" i="2" a="1"/>
  <c r="Q317" i="2" l="1"/>
  <c r="Q316" i="2"/>
  <c r="W316" i="2"/>
  <c r="W317" i="2"/>
  <c r="AA317" i="2" l="1"/>
  <c r="AB317" i="2" s="1"/>
  <c r="AA316" i="2"/>
  <c r="AB316" i="2" s="1"/>
  <c r="P319" i="2" a="1"/>
  <c r="O318" i="2" a="1"/>
  <c r="P318" i="2" a="1"/>
  <c r="O319" i="2" a="1"/>
  <c r="Q318" i="2" l="1"/>
  <c r="W319" i="2"/>
  <c r="Q319" i="2"/>
  <c r="W318" i="2"/>
  <c r="AA318" i="2" l="1"/>
  <c r="AB318" i="2" s="1"/>
  <c r="AA319" i="2"/>
  <c r="AB319" i="2" s="1"/>
  <c r="P323" i="2" a="1"/>
  <c r="P320" i="2" a="1"/>
  <c r="O325" i="2" a="1"/>
  <c r="P322" i="2" a="1"/>
  <c r="O321" i="2" a="1"/>
  <c r="P324" i="2" a="1"/>
  <c r="O322" i="2" a="1"/>
  <c r="O324" i="2" a="1"/>
  <c r="O323" i="2" a="1"/>
  <c r="P325" i="2" a="1"/>
  <c r="O320" i="2" a="1"/>
  <c r="P321" i="2" a="1"/>
  <c r="P327" i="2" a="1"/>
  <c r="O327" i="2" a="1"/>
  <c r="P326" i="2" a="1"/>
  <c r="O326" i="2" a="1"/>
  <c r="W324" i="2" l="1"/>
  <c r="W325" i="2"/>
  <c r="W321" i="2"/>
  <c r="W322" i="2"/>
  <c r="W323" i="2"/>
  <c r="W320" i="2"/>
  <c r="Q323" i="2"/>
  <c r="Q320" i="2"/>
  <c r="Q322" i="2"/>
  <c r="Q324" i="2"/>
  <c r="Q325" i="2"/>
  <c r="Q321" i="2"/>
  <c r="Q326" i="2"/>
  <c r="Q327" i="2"/>
  <c r="W326" i="2"/>
  <c r="W327" i="2"/>
  <c r="AA324" i="2" l="1"/>
  <c r="AB324" i="2" s="1"/>
  <c r="AA325" i="2"/>
  <c r="AB325" i="2" s="1"/>
  <c r="AA320" i="2"/>
  <c r="AB320" i="2" s="1"/>
  <c r="AA323" i="2"/>
  <c r="AB323" i="2" s="1"/>
  <c r="AA322" i="2"/>
  <c r="AB322" i="2" s="1"/>
  <c r="AA321" i="2"/>
  <c r="AB321" i="2" s="1"/>
  <c r="AA327" i="2"/>
  <c r="AB327" i="2" s="1"/>
  <c r="AA326" i="2"/>
  <c r="AB326" i="2" s="1"/>
  <c r="O330" i="2" l="1" a="1"/>
  <c r="O331" i="2" a="1"/>
  <c r="P330" i="2" a="1"/>
  <c r="Q330" i="2" s="1"/>
  <c r="P331" i="2" a="1"/>
  <c r="O328" i="2" a="1"/>
  <c r="O329" i="2" a="1"/>
  <c r="P329" i="2" a="1"/>
  <c r="P328" i="2" a="1"/>
  <c r="Q329" i="2" l="1"/>
  <c r="Q331" i="2"/>
  <c r="Q328" i="2"/>
  <c r="W328" i="2"/>
  <c r="W329" i="2"/>
  <c r="W331" i="2"/>
  <c r="W330" i="2"/>
  <c r="AA330" i="2" s="1"/>
  <c r="AB330" i="2" s="1"/>
  <c r="P337" i="2" a="1"/>
  <c r="O336" i="2" a="1"/>
  <c r="AA328" i="2" l="1"/>
  <c r="AB328" i="2" s="1"/>
  <c r="AA329" i="2"/>
  <c r="AB329" i="2" s="1"/>
  <c r="AA331" i="2"/>
  <c r="AB331" i="2" s="1"/>
  <c r="P333" i="2" a="1"/>
  <c r="O332" i="2" a="1"/>
  <c r="P334" i="2" a="1"/>
  <c r="O333" i="2" a="1"/>
  <c r="P332" i="2" a="1"/>
  <c r="O335" i="2" a="1"/>
  <c r="O334" i="2" a="1"/>
  <c r="P335" i="2" a="1"/>
  <c r="O337" i="2" l="1" a="1"/>
  <c r="P336" i="2" a="1"/>
  <c r="W332" i="2"/>
  <c r="Q333" i="2"/>
  <c r="W334" i="2"/>
  <c r="Q335" i="2"/>
  <c r="Q334" i="2"/>
  <c r="W333" i="2"/>
  <c r="Q332" i="2"/>
  <c r="W335" i="2"/>
  <c r="P338" i="2" a="1"/>
  <c r="O339" i="2" a="1"/>
  <c r="P339" i="2" a="1"/>
  <c r="O338" i="2" a="1"/>
  <c r="Q337" i="2" l="1"/>
  <c r="W337" i="2"/>
  <c r="W336" i="2"/>
  <c r="AA336" i="2" s="1"/>
  <c r="AB336" i="2" s="1"/>
  <c r="Q336" i="2"/>
  <c r="AA332" i="2"/>
  <c r="AB332" i="2" s="1"/>
  <c r="AA335" i="2"/>
  <c r="AB335" i="2" s="1"/>
  <c r="AA334" i="2"/>
  <c r="AB334" i="2" s="1"/>
  <c r="AA333" i="2"/>
  <c r="AB333" i="2" s="1"/>
  <c r="W338" i="2"/>
  <c r="Q339" i="2"/>
  <c r="Q338" i="2"/>
  <c r="W339" i="2"/>
  <c r="AA337" i="2" l="1"/>
  <c r="AB337" i="2" s="1"/>
  <c r="AA338" i="2"/>
  <c r="AB338" i="2" s="1"/>
  <c r="AA339" i="2"/>
  <c r="AB339" i="2" s="1"/>
  <c r="O341" i="2" l="1" a="1"/>
  <c r="P341" i="2" a="1"/>
  <c r="P340" i="2" a="1"/>
  <c r="O340" i="2" a="1"/>
  <c r="P342" i="2" a="1"/>
  <c r="O342" i="2" a="1"/>
  <c r="P345" i="2" a="1"/>
  <c r="O344" i="2" a="1"/>
  <c r="P344" i="2" a="1"/>
  <c r="P343" i="2" a="1"/>
  <c r="O345" i="2" a="1"/>
  <c r="O343" i="2" a="1"/>
  <c r="W340" i="2" l="1"/>
  <c r="W341" i="2"/>
  <c r="Q341" i="2"/>
  <c r="AA341" i="2" s="1"/>
  <c r="AB341" i="2" s="1"/>
  <c r="Q340" i="2"/>
  <c r="W345" i="2"/>
  <c r="W342" i="2"/>
  <c r="W344" i="2"/>
  <c r="Q343" i="2"/>
  <c r="Q342" i="2"/>
  <c r="Q345" i="2"/>
  <c r="Q344" i="2"/>
  <c r="W343" i="2"/>
  <c r="AA340" i="2" l="1"/>
  <c r="AB340" i="2" s="1"/>
  <c r="AA342" i="2"/>
  <c r="AB342" i="2" s="1"/>
  <c r="AA344" i="2"/>
  <c r="AB344" i="2" s="1"/>
  <c r="AA345" i="2"/>
  <c r="AB345" i="2" s="1"/>
  <c r="AA343" i="2"/>
  <c r="AB343" i="2" s="1"/>
  <c r="P347" i="2" a="1"/>
  <c r="O349" i="2" a="1"/>
  <c r="P346" i="2" a="1"/>
  <c r="O347" i="2" a="1"/>
  <c r="O346" i="2" a="1"/>
  <c r="O348" i="2" a="1"/>
  <c r="P349" i="2" a="1"/>
  <c r="P348" i="2" a="1"/>
  <c r="Q348" i="2" l="1"/>
  <c r="Q347" i="2"/>
  <c r="W349" i="2"/>
  <c r="W346" i="2"/>
  <c r="Q346" i="2"/>
  <c r="W347" i="2"/>
  <c r="W348" i="2"/>
  <c r="Q349" i="2"/>
  <c r="AA348" i="2" l="1"/>
  <c r="AB348" i="2" s="1"/>
  <c r="AA347" i="2"/>
  <c r="AB347" i="2" s="1"/>
  <c r="AA346" i="2"/>
  <c r="AB346" i="2" s="1"/>
  <c r="AA349" i="2"/>
  <c r="AB349" i="2" s="1"/>
  <c r="O351" i="2" l="1" a="1"/>
  <c r="P350" i="2" a="1"/>
  <c r="O350" i="2" a="1"/>
  <c r="P351" i="2" a="1"/>
  <c r="W351" i="2" l="1"/>
  <c r="W350" i="2"/>
  <c r="Q351" i="2"/>
  <c r="AA351" i="2" s="1"/>
  <c r="AB351" i="2" s="1"/>
  <c r="Q350" i="2"/>
  <c r="AA350" i="2" l="1"/>
  <c r="AB350" i="2" s="1"/>
  <c r="P356" i="2" a="1"/>
  <c r="P357" i="2" a="1"/>
  <c r="O356" i="2" a="1"/>
  <c r="P355" i="2" a="1"/>
  <c r="O355" i="2" a="1"/>
  <c r="W355" i="2" s="1"/>
  <c r="O354" i="2" a="1"/>
  <c r="P354" i="2" a="1"/>
  <c r="O357" i="2" a="1"/>
  <c r="O353" i="2" a="1"/>
  <c r="P352" i="2" a="1"/>
  <c r="P353" i="2" a="1"/>
  <c r="O352" i="2" a="1"/>
  <c r="P358" i="2" a="1"/>
  <c r="P359" i="2" a="1"/>
  <c r="O359" i="2" a="1"/>
  <c r="O358" i="2" a="1"/>
  <c r="P360" i="2" a="1"/>
  <c r="O360" i="2" a="1"/>
  <c r="O361" i="2" a="1"/>
  <c r="P361" i="2" a="1"/>
  <c r="W356" i="2" l="1"/>
  <c r="Q353" i="2"/>
  <c r="W352" i="2"/>
  <c r="W357" i="2"/>
  <c r="Q354" i="2"/>
  <c r="Q356" i="2"/>
  <c r="AA356" i="2" s="1"/>
  <c r="AB356" i="2" s="1"/>
  <c r="Q357" i="2"/>
  <c r="Q355" i="2"/>
  <c r="AA355" i="2" s="1"/>
  <c r="AB355" i="2" s="1"/>
  <c r="W354" i="2"/>
  <c r="W353" i="2"/>
  <c r="Q352" i="2"/>
  <c r="AA352" i="2" s="1"/>
  <c r="AB352" i="2" s="1"/>
  <c r="W358" i="2"/>
  <c r="Q359" i="2"/>
  <c r="Q361" i="2"/>
  <c r="W359" i="2"/>
  <c r="W360" i="2"/>
  <c r="Q358" i="2"/>
  <c r="Q360" i="2"/>
  <c r="W361" i="2"/>
  <c r="AA354" i="2" l="1"/>
  <c r="AB354" i="2" s="1"/>
  <c r="AA353" i="2"/>
  <c r="AB353" i="2" s="1"/>
  <c r="AA357" i="2"/>
  <c r="AB357" i="2" s="1"/>
  <c r="AA361" i="2"/>
  <c r="AB361" i="2" s="1"/>
  <c r="AA358" i="2"/>
  <c r="AB358" i="2" s="1"/>
  <c r="AA359" i="2"/>
  <c r="AB359" i="2" s="1"/>
  <c r="AA360" i="2"/>
  <c r="AB360" i="2" s="1"/>
  <c r="O365" i="2" l="1" a="1"/>
  <c r="O363" i="2" a="1"/>
  <c r="P362" i="2" a="1"/>
  <c r="P363" i="2" a="1"/>
  <c r="P364" i="2" a="1"/>
  <c r="O362" i="2" a="1"/>
  <c r="P365" i="2" a="1"/>
  <c r="O364" i="2" a="1"/>
  <c r="Q365" i="2" l="1"/>
  <c r="Q362" i="2"/>
  <c r="W364" i="2"/>
  <c r="Q363" i="2"/>
  <c r="W365" i="2"/>
  <c r="W363" i="2"/>
  <c r="Q364" i="2"/>
  <c r="W362" i="2"/>
  <c r="AA364" i="2" l="1"/>
  <c r="AB364" i="2" s="1"/>
  <c r="AA365" i="2"/>
  <c r="AB365" i="2" s="1"/>
  <c r="AA362" i="2"/>
  <c r="AB362" i="2" s="1"/>
  <c r="AA363" i="2"/>
  <c r="AB363" i="2" s="1"/>
  <c r="P366" i="2" a="1"/>
  <c r="O367" i="2" a="1"/>
  <c r="O366" i="2" a="1"/>
  <c r="P367" i="2" a="1"/>
  <c r="Q367" i="2" l="1"/>
  <c r="Q366" i="2"/>
  <c r="W366" i="2"/>
  <c r="W367" i="2"/>
  <c r="AA366" i="2" l="1"/>
  <c r="AB366" i="2" s="1"/>
  <c r="AA367" i="2"/>
  <c r="AB367" i="2" s="1"/>
  <c r="P369" i="2" l="1" a="1"/>
  <c r="O368" i="2" a="1"/>
  <c r="P368" i="2" a="1"/>
  <c r="O369" i="2" a="1"/>
  <c r="P372" i="2" a="1"/>
  <c r="O373" i="2" a="1"/>
  <c r="P370" i="2" a="1"/>
  <c r="O371" i="2" a="1"/>
  <c r="O372" i="2" a="1"/>
  <c r="P371" i="2" a="1"/>
  <c r="O370" i="2" a="1"/>
  <c r="P373" i="2" a="1"/>
  <c r="W372" i="2" l="1"/>
  <c r="W369" i="2"/>
  <c r="W368" i="2"/>
  <c r="W373" i="2"/>
  <c r="Q370" i="2"/>
  <c r="Q371" i="2"/>
  <c r="Q369" i="2"/>
  <c r="Q368" i="2"/>
  <c r="Q372" i="2"/>
  <c r="W371" i="2"/>
  <c r="W370" i="2"/>
  <c r="Q373" i="2"/>
  <c r="P375" i="2" a="1"/>
  <c r="O379" i="2" a="1"/>
  <c r="O376" i="2" a="1"/>
  <c r="O374" i="2" a="1"/>
  <c r="P378" i="2" a="1"/>
  <c r="O378" i="2" a="1"/>
  <c r="P377" i="2" a="1"/>
  <c r="P374" i="2" a="1"/>
  <c r="P379" i="2" a="1"/>
  <c r="O375" i="2" a="1"/>
  <c r="O381" i="2" a="1"/>
  <c r="P380" i="2" a="1"/>
  <c r="AA372" i="2" l="1"/>
  <c r="AB372" i="2" s="1"/>
  <c r="AA369" i="2"/>
  <c r="AB369" i="2" s="1"/>
  <c r="AA373" i="2"/>
  <c r="AB373" i="2" s="1"/>
  <c r="W378" i="2"/>
  <c r="Q374" i="2"/>
  <c r="AA368" i="2"/>
  <c r="AB368" i="2" s="1"/>
  <c r="W379" i="2"/>
  <c r="Q378" i="2"/>
  <c r="AA371" i="2"/>
  <c r="AB371" i="2" s="1"/>
  <c r="AA370" i="2"/>
  <c r="AB370" i="2" s="1"/>
  <c r="W374" i="2"/>
  <c r="Q379" i="2"/>
  <c r="Q375" i="2"/>
  <c r="W375" i="2"/>
  <c r="P382" i="2" a="1"/>
  <c r="O383" i="2" a="1"/>
  <c r="AA378" i="2" l="1"/>
  <c r="AB378" i="2" s="1"/>
  <c r="P376" i="2" a="1"/>
  <c r="O377" i="2" a="1"/>
  <c r="P383" i="2" a="1"/>
  <c r="O382" i="2" a="1"/>
  <c r="AA374" i="2"/>
  <c r="AB374" i="2" s="1"/>
  <c r="AA379" i="2"/>
  <c r="AB379" i="2" s="1"/>
  <c r="P381" i="2" a="1"/>
  <c r="O380" i="2" a="1"/>
  <c r="O384" i="2" a="1"/>
  <c r="P385" i="2" a="1"/>
  <c r="AA375" i="2"/>
  <c r="AB375" i="2" s="1"/>
  <c r="P384" i="2" a="1"/>
  <c r="O385" i="2" a="1"/>
  <c r="W376" i="2" l="1"/>
  <c r="Q376" i="2"/>
  <c r="W377" i="2"/>
  <c r="Q377" i="2"/>
  <c r="AA377" i="2" s="1"/>
  <c r="AB377" i="2" s="1"/>
  <c r="W383" i="2"/>
  <c r="Q383" i="2"/>
  <c r="W382" i="2"/>
  <c r="Q382" i="2"/>
  <c r="Q381" i="2"/>
  <c r="W381" i="2"/>
  <c r="W380" i="2"/>
  <c r="Q380" i="2"/>
  <c r="Q384" i="2"/>
  <c r="W384" i="2"/>
  <c r="W385" i="2"/>
  <c r="Q385" i="2"/>
  <c r="AA383" i="2" l="1"/>
  <c r="AB383" i="2" s="1"/>
  <c r="AA382" i="2"/>
  <c r="AB382" i="2" s="1"/>
  <c r="AA376" i="2"/>
  <c r="AB376" i="2" s="1"/>
  <c r="AA381" i="2"/>
  <c r="AB381" i="2" s="1"/>
  <c r="AA380" i="2"/>
  <c r="AB380" i="2" s="1"/>
  <c r="AA384" i="2"/>
  <c r="AB384" i="2" s="1"/>
  <c r="AA385" i="2"/>
  <c r="AB385" i="2" s="1"/>
  <c r="P386" i="2" l="1" a="1"/>
  <c r="O387" i="2" a="1"/>
  <c r="P387" i="2" a="1"/>
  <c r="O386" i="2" a="1"/>
  <c r="Q386" i="2" l="1"/>
  <c r="Q387" i="2"/>
  <c r="W387" i="2"/>
  <c r="W386" i="2"/>
  <c r="P392" i="2" a="1"/>
  <c r="O393" i="2" a="1"/>
  <c r="O392" i="2" a="1"/>
  <c r="P393" i="2" a="1"/>
  <c r="AA387" i="2" l="1"/>
  <c r="AB387" i="2" s="1"/>
  <c r="AA386" i="2"/>
  <c r="AB386" i="2" s="1"/>
  <c r="O388" i="2" a="1"/>
  <c r="P389" i="2" a="1"/>
  <c r="O389" i="2" a="1"/>
  <c r="P388" i="2" a="1"/>
  <c r="P390" i="2" a="1"/>
  <c r="O391" i="2" a="1"/>
  <c r="O390" i="2" a="1"/>
  <c r="P391" i="2" a="1"/>
  <c r="W393" i="2"/>
  <c r="W392" i="2"/>
  <c r="Q392" i="2"/>
  <c r="Q393" i="2"/>
  <c r="Q391" i="2" l="1"/>
  <c r="Q388" i="2"/>
  <c r="W390" i="2"/>
  <c r="W389" i="2"/>
  <c r="Q389" i="2"/>
  <c r="Q390" i="2"/>
  <c r="W391" i="2"/>
  <c r="W388" i="2"/>
  <c r="AA392" i="2"/>
  <c r="AB392" i="2" s="1"/>
  <c r="AA393" i="2"/>
  <c r="AB393" i="2" s="1"/>
  <c r="P396" i="2" a="1"/>
  <c r="O394" i="2" a="1"/>
  <c r="O395" i="2" a="1"/>
  <c r="P394" i="2" a="1"/>
  <c r="P397" i="2" a="1"/>
  <c r="P395" i="2" a="1"/>
  <c r="O396" i="2" a="1"/>
  <c r="O397" i="2" a="1"/>
  <c r="AA391" i="2" l="1"/>
  <c r="AB391" i="2" s="1"/>
  <c r="AA389" i="2"/>
  <c r="AB389" i="2" s="1"/>
  <c r="AA390" i="2"/>
  <c r="AB390" i="2" s="1"/>
  <c r="AA388" i="2"/>
  <c r="AB388" i="2" s="1"/>
  <c r="W394" i="2"/>
  <c r="Q395" i="2"/>
  <c r="W396" i="2"/>
  <c r="W397" i="2"/>
  <c r="Q396" i="2"/>
  <c r="W395" i="2"/>
  <c r="Q394" i="2"/>
  <c r="Q397" i="2"/>
  <c r="AA394" i="2" l="1"/>
  <c r="AB394" i="2" s="1"/>
  <c r="AA396" i="2"/>
  <c r="AB396" i="2" s="1"/>
  <c r="AA395" i="2"/>
  <c r="AB395" i="2" s="1"/>
  <c r="AA397" i="2"/>
  <c r="AB397" i="2" s="1"/>
  <c r="P401" i="2" a="1"/>
  <c r="O400" i="2" a="1"/>
  <c r="P400" i="2" a="1"/>
  <c r="O401" i="2" a="1"/>
  <c r="O399" i="2" l="1" a="1"/>
  <c r="P399" i="2" a="1"/>
  <c r="P398" i="2" a="1"/>
  <c r="O398" i="2" a="1"/>
  <c r="W401" i="2"/>
  <c r="W400" i="2"/>
  <c r="Q401" i="2"/>
  <c r="Q400" i="2"/>
  <c r="W398" i="2" l="1"/>
  <c r="Q399" i="2"/>
  <c r="W399" i="2"/>
  <c r="Q398" i="2"/>
  <c r="AA401" i="2"/>
  <c r="AB401" i="2" s="1"/>
  <c r="AA400" i="2"/>
  <c r="AB400" i="2" s="1"/>
  <c r="O407" i="2" a="1"/>
  <c r="P406" i="2" a="1"/>
  <c r="P407" i="2" a="1"/>
  <c r="O406" i="2" a="1"/>
  <c r="AA398" i="2" l="1"/>
  <c r="AB398" i="2" s="1"/>
  <c r="AA399" i="2"/>
  <c r="AB399" i="2" s="1"/>
  <c r="O403" i="2" a="1"/>
  <c r="P403" i="2" a="1"/>
  <c r="O402" i="2" a="1"/>
  <c r="P402" i="2" a="1"/>
  <c r="P404" i="2" a="1"/>
  <c r="O405" i="2" a="1"/>
  <c r="O404" i="2" a="1"/>
  <c r="P405" i="2" a="1"/>
  <c r="Q407" i="2"/>
  <c r="W407" i="2"/>
  <c r="W406" i="2"/>
  <c r="Q406" i="2"/>
  <c r="W402" i="2" l="1"/>
  <c r="Q405" i="2"/>
  <c r="W403" i="2"/>
  <c r="Q404" i="2"/>
  <c r="Q403" i="2"/>
  <c r="Q402" i="2"/>
  <c r="W405" i="2"/>
  <c r="W404" i="2"/>
  <c r="AA407" i="2"/>
  <c r="AB407" i="2" s="1"/>
  <c r="AA406" i="2"/>
  <c r="AB406" i="2" s="1"/>
  <c r="P409" i="2" a="1"/>
  <c r="P408" i="2" a="1"/>
  <c r="O408" i="2" a="1"/>
  <c r="O409" i="2" a="1"/>
  <c r="AA402" i="2" l="1"/>
  <c r="AB402" i="2" s="1"/>
  <c r="AA405" i="2"/>
  <c r="AB405" i="2" s="1"/>
  <c r="AA403" i="2"/>
  <c r="AB403" i="2" s="1"/>
  <c r="AA404" i="2"/>
  <c r="AB404" i="2" s="1"/>
  <c r="Q409" i="2"/>
  <c r="Q408" i="2"/>
  <c r="W408" i="2"/>
  <c r="W409" i="2"/>
  <c r="AA409" i="2" l="1"/>
  <c r="AB409" i="2" s="1"/>
  <c r="AA408" i="2"/>
  <c r="AB408" i="2" s="1"/>
  <c r="P410" i="2" a="1"/>
  <c r="O411" i="2" a="1"/>
  <c r="P411" i="2" l="1" a="1"/>
  <c r="O410" i="2" a="1"/>
  <c r="Q411" i="2" l="1"/>
  <c r="W411" i="2"/>
  <c r="W410" i="2"/>
  <c r="Q410" i="2"/>
  <c r="AA411" i="2" l="1"/>
  <c r="AB411" i="2" s="1"/>
  <c r="AA410" i="2"/>
  <c r="AB410" i="2" s="1"/>
  <c r="P412" i="2" a="1"/>
  <c r="O413" i="2" a="1"/>
  <c r="P413" i="2" a="1"/>
  <c r="O412" i="2" a="1"/>
  <c r="Q413" i="2" l="1"/>
  <c r="W412" i="2"/>
  <c r="Q412" i="2"/>
  <c r="W413" i="2"/>
  <c r="AA413" i="2" l="1"/>
  <c r="AB413" i="2" s="1"/>
  <c r="O414" i="2" a="1"/>
  <c r="P414" i="2" a="1"/>
  <c r="O415" i="2" a="1"/>
  <c r="P415" i="2" a="1"/>
  <c r="AA412" i="2"/>
  <c r="AB412" i="2" s="1"/>
  <c r="O416" i="2" a="1"/>
  <c r="P417" i="2" a="1"/>
  <c r="P416" i="2" a="1"/>
  <c r="O417" i="2" a="1"/>
  <c r="W414" i="2" l="1"/>
  <c r="W415" i="2"/>
  <c r="Q414" i="2"/>
  <c r="AA414" i="2" s="1"/>
  <c r="AB414" i="2" s="1"/>
  <c r="Q415" i="2"/>
  <c r="Q417" i="2"/>
  <c r="W416" i="2"/>
  <c r="Q416" i="2"/>
  <c r="W417" i="2"/>
  <c r="AA415" i="2" l="1"/>
  <c r="AB415" i="2" s="1"/>
  <c r="AA417" i="2"/>
  <c r="AB417" i="2" s="1"/>
  <c r="AA416" i="2"/>
  <c r="AB416" i="2" s="1"/>
  <c r="P418" i="2" a="1"/>
  <c r="O418" i="2" a="1"/>
  <c r="O419" i="2" a="1"/>
  <c r="P419" i="2" a="1"/>
  <c r="Q418" i="2" l="1"/>
  <c r="W419" i="2"/>
  <c r="Q419" i="2"/>
  <c r="W418" i="2"/>
  <c r="AA419" i="2" l="1"/>
  <c r="AB419" i="2" s="1"/>
  <c r="AA418" i="2"/>
  <c r="AB418" i="2" s="1"/>
  <c r="P420" i="2" l="1" a="1"/>
  <c r="P423" i="2" a="1"/>
  <c r="P422" i="2" a="1"/>
  <c r="O422" i="2" a="1"/>
  <c r="O420" i="2" a="1"/>
  <c r="O423" i="2" a="1"/>
  <c r="O421" i="2" a="1"/>
  <c r="P421" i="2" a="1"/>
  <c r="Q421" i="2" l="1"/>
  <c r="Q423" i="2"/>
  <c r="Q422" i="2"/>
  <c r="Q420" i="2"/>
  <c r="W422" i="2"/>
  <c r="W420" i="2"/>
  <c r="W423" i="2"/>
  <c r="W421" i="2"/>
  <c r="AA422" i="2" l="1"/>
  <c r="AB422" i="2" s="1"/>
  <c r="AA423" i="2"/>
  <c r="AB423" i="2" s="1"/>
  <c r="AA421" i="2"/>
  <c r="AB421" i="2" s="1"/>
  <c r="AA420" i="2"/>
  <c r="AB420" i="2" s="1"/>
  <c r="P425" i="2" a="1"/>
  <c r="O425" i="2" a="1"/>
  <c r="P424" i="2" a="1"/>
  <c r="O424" i="2" a="1"/>
  <c r="W424" i="2" s="1"/>
  <c r="W425" i="2" l="1"/>
  <c r="Q425" i="2"/>
  <c r="Q424" i="2"/>
  <c r="AA424" i="2" s="1"/>
  <c r="AB424" i="2" s="1"/>
  <c r="AA425" i="2" l="1"/>
  <c r="AB425" i="2" s="1"/>
  <c r="O426" i="2" a="1"/>
  <c r="P427" i="2" a="1"/>
  <c r="P426" i="2" a="1"/>
  <c r="O427" i="2" a="1"/>
  <c r="Q426" i="2" l="1"/>
  <c r="Q427" i="2"/>
  <c r="W426" i="2"/>
  <c r="W427" i="2"/>
  <c r="AA426" i="2" l="1"/>
  <c r="AB426" i="2" s="1"/>
  <c r="AA427" i="2"/>
  <c r="AB427" i="2" s="1"/>
  <c r="P429" i="2" a="1"/>
  <c r="O429" i="2" a="1"/>
  <c r="O428" i="2" a="1"/>
  <c r="P428" i="2" a="1"/>
  <c r="W429" i="2" l="1"/>
  <c r="W428" i="2"/>
  <c r="Q429" i="2"/>
  <c r="Q428" i="2"/>
  <c r="AA429" i="2" l="1"/>
  <c r="AB429" i="2" s="1"/>
  <c r="AA428" i="2"/>
  <c r="AB428" i="2" s="1"/>
  <c r="P430" i="2" a="1"/>
  <c r="P433" i="2" a="1"/>
  <c r="P432" i="2" a="1"/>
  <c r="O432" i="2" a="1"/>
  <c r="O431" i="2" a="1"/>
  <c r="P431" i="2" a="1"/>
  <c r="Q431" i="2" s="1"/>
  <c r="O433" i="2" a="1"/>
  <c r="O430" i="2" a="1"/>
  <c r="W432" i="2" l="1"/>
  <c r="Q433" i="2"/>
  <c r="Q430" i="2"/>
  <c r="Q432" i="2"/>
  <c r="AA432" i="2" s="1"/>
  <c r="AB432" i="2" s="1"/>
  <c r="W431" i="2"/>
  <c r="AA431" i="2" s="1"/>
  <c r="AB431" i="2" s="1"/>
  <c r="W433" i="2"/>
  <c r="W430" i="2"/>
  <c r="AA433" i="2" l="1"/>
  <c r="AB433" i="2" s="1"/>
  <c r="AA430" i="2"/>
  <c r="AB430" i="2" s="1"/>
  <c r="O435" i="2" a="1"/>
  <c r="P434" i="2" a="1"/>
  <c r="P435" i="2" a="1"/>
  <c r="O434" i="2" a="1"/>
  <c r="W434" i="2" l="1"/>
  <c r="Q435" i="2"/>
  <c r="W435" i="2"/>
  <c r="Q434" i="2"/>
  <c r="AA434" i="2" s="1"/>
  <c r="AB434" i="2" s="1"/>
  <c r="AA435" i="2" l="1"/>
  <c r="AB435" i="2" s="1"/>
  <c r="P436" i="2" a="1"/>
  <c r="P437" i="2" a="1"/>
  <c r="O437" i="2" a="1"/>
  <c r="O436" i="2" a="1"/>
  <c r="Q437" i="2" l="1"/>
  <c r="W436" i="2"/>
  <c r="Q436" i="2"/>
  <c r="W437" i="2"/>
  <c r="AA437" i="2" l="1"/>
  <c r="AB437" i="2" s="1"/>
  <c r="AA436" i="2"/>
  <c r="AB436" i="2" s="1"/>
  <c r="P439" i="2" a="1"/>
  <c r="O438" i="2" a="1"/>
  <c r="O439" i="2" a="1"/>
  <c r="P438" i="2" a="1"/>
  <c r="W439" i="2" l="1"/>
  <c r="W438" i="2"/>
  <c r="Q439" i="2"/>
  <c r="AA439" i="2" s="1"/>
  <c r="AB439" i="2" s="1"/>
  <c r="Q438" i="2"/>
  <c r="AA438" i="2" l="1"/>
  <c r="AB438" i="2" s="1"/>
  <c r="O440" i="2" a="1"/>
  <c r="P440" i="2" a="1"/>
  <c r="O441" i="2" a="1"/>
  <c r="P441" i="2" a="1"/>
  <c r="Q441" i="2" l="1"/>
  <c r="W441" i="2"/>
  <c r="Q440" i="2"/>
  <c r="W440" i="2"/>
  <c r="AA441" i="2" l="1"/>
  <c r="AB441" i="2" s="1"/>
  <c r="G25" i="3" s="1" a="1"/>
  <c r="AA440" i="2"/>
  <c r="AB440" i="2" s="1"/>
  <c r="G26" i="3" a="1"/>
  <c r="G30" i="3" l="1" a="1"/>
  <c r="AX5" i="3" l="1" a="1"/>
  <c r="AX2" i="3" l="1" a="1"/>
  <c r="AX9" i="3" l="1" a="1"/>
  <c r="AX4" i="3" l="1" a="1"/>
  <c r="G36" i="3" l="1" a="1"/>
  <c r="AX6" i="3" l="1" a="1"/>
  <c r="G32" i="3" a="1"/>
  <c r="G27" i="3" l="1" a="1"/>
  <c r="G28" i="3" l="1" a="1"/>
  <c r="G34" i="3" a="1"/>
  <c r="AX8" i="3" l="1" a="1"/>
  <c r="AX7" i="3" l="1" a="1"/>
  <c r="G29" i="3" a="1"/>
  <c r="AX3" i="3" l="1" a="1"/>
  <c r="G31" i="3" a="1"/>
  <c r="G35" i="3" l="1" a="1"/>
  <c r="G33" i="3" a="1"/>
  <c r="A2" i="3" l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<sst xmlns="http://schemas.openxmlformats.org/spreadsheetml/2006/main" count="2324" uniqueCount="87">
  <si>
    <t>Team</t>
  </si>
  <si>
    <t>CLE</t>
  </si>
  <si>
    <t>HOU</t>
  </si>
  <si>
    <t>Opponent</t>
  </si>
  <si>
    <t>PreGmRate</t>
  </si>
  <si>
    <t>OppPreGmRate</t>
  </si>
  <si>
    <t>ExpectedWin%</t>
  </si>
  <si>
    <t>PointsFor</t>
  </si>
  <si>
    <t>PointsAgainst</t>
  </si>
  <si>
    <t>MOV</t>
  </si>
  <si>
    <t>Result</t>
  </si>
  <si>
    <t>RatingChange</t>
  </si>
  <si>
    <t>PostGmRate</t>
  </si>
  <si>
    <t>MOVMult</t>
  </si>
  <si>
    <t>HomeAway</t>
  </si>
  <si>
    <t>H</t>
  </si>
  <si>
    <t>A</t>
  </si>
  <si>
    <t>W</t>
  </si>
  <si>
    <t>L</t>
  </si>
  <si>
    <t>Row Labels</t>
  </si>
  <si>
    <t>Grand Total</t>
  </si>
  <si>
    <t>Sum of W</t>
  </si>
  <si>
    <t>Sum of L</t>
  </si>
  <si>
    <t>R</t>
  </si>
  <si>
    <t>OT</t>
  </si>
  <si>
    <t>Keff</t>
  </si>
  <si>
    <t>POMult</t>
  </si>
  <si>
    <t>Round</t>
  </si>
  <si>
    <t>Type</t>
  </si>
  <si>
    <t>RS</t>
  </si>
  <si>
    <t>Season</t>
  </si>
  <si>
    <t>Logo</t>
  </si>
  <si>
    <t>TeamName</t>
  </si>
  <si>
    <t>TeamID</t>
  </si>
  <si>
    <t>GamesPlayed</t>
  </si>
  <si>
    <t>Date</t>
  </si>
  <si>
    <t>K</t>
  </si>
  <si>
    <t>DaysOff</t>
  </si>
  <si>
    <t>OppDaysOff</t>
  </si>
  <si>
    <t>RestDiff</t>
  </si>
  <si>
    <t>OppRestDiff</t>
  </si>
  <si>
    <t>RestAdj</t>
  </si>
  <si>
    <t>OppRestAdj</t>
  </si>
  <si>
    <t>UTA</t>
  </si>
  <si>
    <t>PHX</t>
  </si>
  <si>
    <t>SAC</t>
  </si>
  <si>
    <t>R1W</t>
  </si>
  <si>
    <t>R1L</t>
  </si>
  <si>
    <t>R2W</t>
  </si>
  <si>
    <t>R2L</t>
  </si>
  <si>
    <t>R3W</t>
  </si>
  <si>
    <t>R3L</t>
  </si>
  <si>
    <t>FW</t>
  </si>
  <si>
    <t>FL</t>
  </si>
  <si>
    <t>Sum of R1W</t>
  </si>
  <si>
    <t>Sum of R1L</t>
  </si>
  <si>
    <t>Sum of R2W</t>
  </si>
  <si>
    <t>Sum of R2L</t>
  </si>
  <si>
    <t>Sum of R3W</t>
  </si>
  <si>
    <t>Sum of R3L</t>
  </si>
  <si>
    <t>Sum of FW</t>
  </si>
  <si>
    <t>Sum of FL</t>
  </si>
  <si>
    <t>PreSeasonElo</t>
  </si>
  <si>
    <t>CHA</t>
  </si>
  <si>
    <t>NYL</t>
  </si>
  <si>
    <t>New York Liberty</t>
  </si>
  <si>
    <t>Phoenix Mercury</t>
  </si>
  <si>
    <t>LAS</t>
  </si>
  <si>
    <t>Los Angeles Sparks</t>
  </si>
  <si>
    <t>WAS</t>
  </si>
  <si>
    <t>Washington Mystics</t>
  </si>
  <si>
    <t>MIN</t>
  </si>
  <si>
    <t>Minnesota Lynx</t>
  </si>
  <si>
    <t>IND</t>
  </si>
  <si>
    <t>Indiana Fever</t>
  </si>
  <si>
    <t>SEA</t>
  </si>
  <si>
    <t>Seattle Storm</t>
  </si>
  <si>
    <t>San Antonio Silver Stars</t>
  </si>
  <si>
    <t>SAS</t>
  </si>
  <si>
    <t>Connecticut Sun</t>
  </si>
  <si>
    <t>CON</t>
  </si>
  <si>
    <t>CHI</t>
  </si>
  <si>
    <t>Chicago Sky</t>
  </si>
  <si>
    <t>ATL</t>
  </si>
  <si>
    <t>Atlanta Dream</t>
  </si>
  <si>
    <t>TUL</t>
  </si>
  <si>
    <t>Tulsa Shock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</si>
</sst>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mm/dd/yy;@"/>
  </numFmts>
  <fonts count="4" x14ac:knownFonts="1">
    <font>
      <sz val="12"/>
      <color theme="1"/>
      <name val="Times New Roman"/>
      <family val="2"/>
    </font>
    <font>
      <sz val="8"/>
      <name val="Times New Roman"/>
      <family val="2"/>
    </font>
    <font>
      <b/>
      <i/>
      <u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" fontId="0" fillId="0" borderId="0" xfId="0" applyNumberFormat="1" applyAlignment="1">
      <alignment horizontal="left"/>
    </xf>
    <xf numFmtId="2" fontId="0" fillId="0" borderId="0" xfId="0" applyNumberFormat="1"/>
    <xf numFmtId="165" fontId="0" fillId="0" borderId="0" xfId="0" applyNumberFormat="1"/>
    <xf numFmtId="0" fontId="2" fillId="0" borderId="0" xfId="0" applyFont="1"/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63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166" formatCode="0.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67" formatCode="mm/dd/yy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/>
    </dxf>
    <dxf>
      <alignment horizontal="center"/>
    </dxf>
    <dxf>
      <numFmt numFmtId="165" formatCode="0.000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EB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J Sutton" refreshedDate="46230.141621527779" createdVersion="8" refreshedVersion="8" minRefreshableVersion="3" recordCount="440" xr:uid="{62758027-916D-4613-9367-4993747D6E91}">
  <cacheSource type="worksheet">
    <worksheetSource name="Games"/>
  </cacheSource>
  <cacheFields count="38">
    <cacheField name="Date" numFmtId="167">
      <sharedItems containsSemiMixedTypes="0" containsNonDate="0" containsDate="1" containsString="0" minDate="2010-05-15T00:00:00" maxDate="2010-09-17T00:00:00"/>
    </cacheField>
    <cacheField name="Season" numFmtId="1">
      <sharedItems containsSemiMixedTypes="0" containsString="0" containsNumber="1" containsInteger="1" minValue="2010" maxValue="2010"/>
    </cacheField>
    <cacheField name="GamesPlayed" numFmtId="1">
      <sharedItems containsSemiMixedTypes="0" containsString="0" containsNumber="1" containsInteger="1" minValue="0" maxValue="202" count="203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 u="1"/>
        <n v="43" u="1"/>
        <n v="44" u="1"/>
        <n v="45" u="1"/>
        <n v="46" u="1"/>
        <n v="47" u="1"/>
        <n v="48" u="1"/>
        <n v="49" u="1"/>
        <n v="50" u="1"/>
        <n v="51" u="1"/>
        <n v="52" u="1"/>
        <n v="53" u="1"/>
        <n v="54" u="1"/>
        <n v="55" u="1"/>
        <n v="56" u="1"/>
        <n v="57" u="1"/>
        <n v="58" u="1"/>
        <n v="59" u="1"/>
        <n v="60" u="1"/>
        <n v="61" u="1"/>
        <n v="62" u="1"/>
        <n v="63" u="1"/>
        <n v="64" u="1"/>
        <n v="65" u="1"/>
        <n v="66" u="1"/>
        <n v="67" u="1"/>
        <n v="68" u="1"/>
        <n v="69" u="1"/>
        <n v="70" u="1"/>
        <n v="71" u="1"/>
        <n v="72" u="1"/>
        <n v="73" u="1"/>
        <n v="74" u="1"/>
        <n v="75" u="1"/>
        <n v="76" u="1"/>
        <n v="77" u="1"/>
        <n v="78" u="1"/>
        <n v="79" u="1"/>
        <n v="80" u="1"/>
        <n v="81" u="1"/>
        <n v="82" u="1"/>
        <n v="83" u="1"/>
        <n v="84" u="1"/>
        <n v="85" u="1"/>
        <n v="86" u="1"/>
        <n v="87" u="1"/>
        <n v="88" u="1"/>
        <n v="89" u="1"/>
        <n v="90" u="1"/>
        <n v="91" u="1"/>
        <n v="92" u="1"/>
        <n v="93" u="1"/>
        <n v="94" u="1"/>
        <n v="95" u="1"/>
        <n v="96" u="1"/>
        <n v="97" u="1"/>
        <n v="98" u="1"/>
        <n v="99" u="1"/>
        <n v="100" u="1"/>
        <n v="101" u="1"/>
        <n v="102" u="1"/>
        <n v="103" u="1"/>
        <n v="104" u="1"/>
        <n v="105" u="1"/>
        <n v="106" u="1"/>
        <n v="107" u="1"/>
        <n v="108" u="1"/>
        <n v="109" u="1"/>
        <n v="110" u="1"/>
        <n v="111" u="1"/>
        <n v="112" u="1"/>
        <n v="113" u="1"/>
        <n v="114" u="1"/>
        <n v="115" u="1"/>
        <n v="116" u="1"/>
        <n v="117" u="1"/>
        <n v="118" u="1"/>
        <n v="119" u="1"/>
        <n v="120" u="1"/>
        <n v="121" u="1"/>
        <n v="122" u="1"/>
        <n v="123" u="1"/>
        <n v="124" u="1"/>
        <n v="125" u="1"/>
        <n v="126" u="1"/>
        <n v="127" u="1"/>
        <n v="128" u="1"/>
        <n v="129" u="1"/>
        <n v="130" u="1"/>
        <n v="131" u="1"/>
        <n v="132" u="1"/>
        <n v="133" u="1"/>
        <n v="134" u="1"/>
        <n v="135" u="1"/>
        <n v="136" u="1"/>
        <n v="137" u="1"/>
        <n v="138" u="1"/>
        <n v="139" u="1"/>
        <n v="140" u="1"/>
        <n v="141" u="1"/>
        <n v="142" u="1"/>
        <n v="143" u="1"/>
        <n v="144" u="1"/>
        <n v="145" u="1"/>
        <n v="146" u="1"/>
        <n v="147" u="1"/>
        <n v="148" u="1"/>
        <n v="149" u="1"/>
        <n v="150" u="1"/>
        <n v="151" u="1"/>
        <n v="152" u="1"/>
        <n v="153" u="1"/>
        <n v="154" u="1"/>
        <n v="155" u="1"/>
        <n v="156" u="1"/>
        <n v="157" u="1"/>
        <n v="158" u="1"/>
        <n v="159" u="1"/>
        <n v="160" u="1"/>
        <n v="161" u="1"/>
        <n v="162" u="1"/>
        <n v="163" u="1"/>
        <n v="164" u="1"/>
        <n v="165" u="1"/>
        <n v="166" u="1"/>
        <n v="167" u="1"/>
        <n v="168" u="1"/>
        <n v="169" u="1"/>
        <n v="170" u="1"/>
        <n v="171" u="1"/>
        <n v="172" u="1"/>
        <n v="173" u="1"/>
        <n v="174" u="1"/>
        <n v="175" u="1"/>
        <n v="176" u="1"/>
        <n v="177" u="1"/>
        <n v="178" u="1"/>
        <n v="179" u="1"/>
        <n v="180" u="1"/>
        <n v="181" u="1"/>
        <n v="182" u="1"/>
        <n v="183" u="1"/>
        <n v="184" u="1"/>
        <n v="185" u="1"/>
        <n v="186" u="1"/>
        <n v="187" u="1"/>
        <n v="188" u="1"/>
        <n v="189" u="1"/>
        <n v="190" u="1"/>
        <n v="191" u="1"/>
        <n v="192" u="1"/>
        <n v="193" u="1"/>
        <n v="194" u="1"/>
        <n v="195" u="1"/>
        <n v="196" u="1"/>
        <n v="197" u="1"/>
        <n v="198" u="1"/>
        <n v="199" u="1"/>
        <n v="200" u="1"/>
        <n v="201" u="1"/>
        <n v="202" u="1"/>
        <n v="0" u="1"/>
      </sharedItems>
    </cacheField>
    <cacheField name="Type" numFmtId="1">
      <sharedItems/>
    </cacheField>
    <cacheField name="Round" numFmtId="1">
      <sharedItems/>
    </cacheField>
    <cacheField name="Team" numFmtId="0">
      <sharedItems containsBlank="1" count="58">
        <s v="CHI"/>
        <s v="CON"/>
        <s v="WAS"/>
        <s v="IND"/>
        <s v="LAS"/>
        <s v="PHX"/>
        <s v="ATL"/>
        <s v="SAS"/>
        <s v="MIN"/>
        <s v="TUL"/>
        <s v="NYL"/>
        <s v="SEA"/>
        <s v="DET" u="1"/>
        <s v="SAC" u="1"/>
        <s v="HOU" u="1"/>
        <s v="CHA" u="1"/>
        <s v="CLE" u="1"/>
        <s v="UTA" u="1"/>
        <s v="MIA" u="1"/>
        <s v="POR" u="1"/>
        <s v="ORL" u="1"/>
        <s v="NO" u="1"/>
        <s v="TOR" u="1"/>
        <s v="LAL" u="1"/>
        <s v="LAC" u="1"/>
        <s v="BRK" u="1"/>
        <s v="MEM" u="1"/>
        <s v="BOS" u="1"/>
        <s v="PHI" u="1"/>
        <s v="DAL" u="1"/>
        <s v="NY" u="1"/>
        <s v="SA" u="1"/>
        <s v="OKC" u="1"/>
        <s v="DEN" u="1"/>
        <s v="MIL" u="1"/>
        <s v="GS" u="1"/>
        <m u="1"/>
        <s v="VAN" u="1"/>
        <s v="BUF" u="1"/>
        <s v="ARI" u="1"/>
        <s v="CIN" u="1"/>
        <s v="SD" u="1"/>
        <s v="NE" u="1"/>
        <s v="NYG" u="1"/>
        <s v="OAK" u="1"/>
        <s v="TEN" u="1"/>
        <s v="PIT" u="1"/>
        <s v="STL" u="1"/>
        <s v="KC" u="1"/>
        <s v="JAX" u="1"/>
        <s v="BAL" u="1"/>
        <s v="NYJ" u="1"/>
        <s v="SF" u="1"/>
        <s v="TB" u="1"/>
        <s v="CAR" u="1"/>
        <s v="GB" u="1"/>
        <s v="LV" u="1"/>
        <s v="LAR" u="1"/>
      </sharedItems>
    </cacheField>
    <cacheField name="Opponent" numFmtId="0">
      <sharedItems/>
    </cacheField>
    <cacheField name="HomeAway" numFmtId="0">
      <sharedItems/>
    </cacheField>
    <cacheField name="DaysOff" numFmtId="1">
      <sharedItems containsSemiMixedTypes="0" containsString="0" containsNumber="1" containsInteger="1" minValue="0" maxValue="11"/>
    </cacheField>
    <cacheField name="OppDaysOff" numFmtId="1">
      <sharedItems containsSemiMixedTypes="0" containsString="0" containsNumber="1" containsInteger="1" minValue="0" maxValue="11"/>
    </cacheField>
    <cacheField name="RestDiff" numFmtId="1">
      <sharedItems containsSemiMixedTypes="0" containsString="0" containsNumber="1" containsInteger="1" minValue="-8" maxValue="8"/>
    </cacheField>
    <cacheField name="OppRestDiff" numFmtId="1">
      <sharedItems containsSemiMixedTypes="0" containsString="0" containsNumber="1" containsInteger="1" minValue="-8" maxValue="8"/>
    </cacheField>
    <cacheField name="RestAdj" numFmtId="0">
      <sharedItems containsSemiMixedTypes="0" containsString="0" containsNumber="1" containsInteger="1" minValue="-16" maxValue="16"/>
    </cacheField>
    <cacheField name="OppRestAdj" numFmtId="0">
      <sharedItems containsSemiMixedTypes="0" containsString="0" containsNumber="1" containsInteger="1" minValue="-16" maxValue="16"/>
    </cacheField>
    <cacheField name="PreGmRate" numFmtId="165">
      <sharedItems containsSemiMixedTypes="0" containsString="0" containsNumber="1" minValue="1266.8904949881412" maxValue="1691.771645555139"/>
    </cacheField>
    <cacheField name="OppPreGmRate" numFmtId="165">
      <sharedItems containsSemiMixedTypes="0" containsString="0" containsNumber="1" minValue="1266.8904949881412" maxValue="1691.771645555139"/>
    </cacheField>
    <cacheField name="ExpectedWin%" numFmtId="165">
      <sharedItems containsSemiMixedTypes="0" containsString="0" containsNumber="1" minValue="6.0033669609423974E-2" maxValue="0.93996633039057598"/>
    </cacheField>
    <cacheField name="PointsFor" numFmtId="0">
      <sharedItems containsSemiMixedTypes="0" containsString="0" containsNumber="1" containsInteger="1" minValue="51" maxValue="127"/>
    </cacheField>
    <cacheField name="PointsAgainst" numFmtId="0">
      <sharedItems containsSemiMixedTypes="0" containsString="0" containsNumber="1" containsInteger="1" minValue="51" maxValue="127"/>
    </cacheField>
    <cacheField name="OT" numFmtId="0">
      <sharedItems containsSemiMixedTypes="0" containsString="0" containsNumber="1" containsInteger="1" minValue="0" maxValue="1"/>
    </cacheField>
    <cacheField name="MOV" numFmtId="0">
      <sharedItems containsSemiMixedTypes="0" containsString="0" containsNumber="1" containsInteger="1" minValue="-46" maxValue="46"/>
    </cacheField>
    <cacheField name="Result" numFmtId="0">
      <sharedItems containsSemiMixedTypes="0" containsString="0" containsNumber="1" containsInteger="1" minValue="0" maxValue="1"/>
    </cacheField>
    <cacheField name="MOVMult" numFmtId="165">
      <sharedItems containsSemiMixedTypes="0" containsString="0" containsNumber="1" minValue="0.1938926509378299" maxValue="0.74962633357140362"/>
    </cacheField>
    <cacheField name="POMult" numFmtId="166">
      <sharedItems containsSemiMixedTypes="0" containsString="0" containsNumber="1" containsInteger="1" minValue="1" maxValue="1"/>
    </cacheField>
    <cacheField name="K" numFmtId="2">
      <sharedItems containsSemiMixedTypes="0" containsString="0" containsNumber="1" minValue="69.849999999999994" maxValue="75.849999999999994"/>
    </cacheField>
    <cacheField name="Keff" numFmtId="165">
      <sharedItems containsSemiMixedTypes="0" containsString="0" containsNumber="1" minValue="69.849999999999994" maxValue="75.849999999999994"/>
    </cacheField>
    <cacheField name="RatingChange" numFmtId="165">
      <sharedItems containsSemiMixedTypes="0" containsString="0" containsNumber="1" minValue="-29.941804889748028" maxValue="29.81773663744244"/>
    </cacheField>
    <cacheField name="PostGmRate" numFmtId="165">
      <sharedItems containsSemiMixedTypes="0" containsString="0" containsNumber="1" minValue="1266.8904949881412" maxValue="1700.2146148618358"/>
    </cacheField>
    <cacheField name="W" numFmtId="1">
      <sharedItems containsSemiMixedTypes="0" containsString="0" containsNumber="1" containsInteger="1" minValue="0" maxValue="1"/>
    </cacheField>
    <cacheField name="L" numFmtId="1">
      <sharedItems containsSemiMixedTypes="0" containsString="0" containsNumber="1" containsInteger="1" minValue="0" maxValue="1"/>
    </cacheField>
    <cacheField name="R1W" numFmtId="1">
      <sharedItems containsSemiMixedTypes="0" containsString="0" containsNumber="1" containsInteger="1" minValue="0" maxValue="0"/>
    </cacheField>
    <cacheField name="R1L" numFmtId="1">
      <sharedItems containsSemiMixedTypes="0" containsString="0" containsNumber="1" containsInteger="1" minValue="0" maxValue="0"/>
    </cacheField>
    <cacheField name="R2W" numFmtId="1">
      <sharedItems containsSemiMixedTypes="0" containsString="0" containsNumber="1" containsInteger="1" minValue="0" maxValue="0"/>
    </cacheField>
    <cacheField name="R2L" numFmtId="1">
      <sharedItems containsSemiMixedTypes="0" containsString="0" containsNumber="1" containsInteger="1" minValue="0" maxValue="0"/>
    </cacheField>
    <cacheField name="R3W" numFmtId="1">
      <sharedItems containsSemiMixedTypes="0" containsString="0" containsNumber="1" containsInteger="1" minValue="0" maxValue="0"/>
    </cacheField>
    <cacheField name="R3L" numFmtId="1">
      <sharedItems containsSemiMixedTypes="0" containsString="0" containsNumber="1" containsInteger="1" minValue="0" maxValue="0"/>
    </cacheField>
    <cacheField name="FW" numFmtId="1">
      <sharedItems containsSemiMixedTypes="0" containsString="0" containsNumber="1" containsInteger="1" minValue="0" maxValue="0"/>
    </cacheField>
    <cacheField name="FL" numFmtId="1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0">
  <r>
    <d v="2010-05-15T00:00:00"/>
    <n v="2010"/>
    <x v="0"/>
    <s v="R"/>
    <s v="RS"/>
    <x v="0"/>
    <s v="CON"/>
    <s v="A"/>
    <n v="0"/>
    <n v="0"/>
    <n v="0"/>
    <n v="0"/>
    <n v="0"/>
    <n v="0"/>
    <n v="1472.3530424316909"/>
    <n v="1490.6165151167288"/>
    <n v="0.35693872899128332"/>
    <n v="61"/>
    <n v="74"/>
    <n v="0"/>
    <n v="-13"/>
    <n v="0"/>
    <n v="0.46496715979548053"/>
    <n v="1"/>
    <n v="75.849999999999994"/>
    <n v="75.849999999999994"/>
    <n v="-12.588429096990502"/>
    <n v="1459.7646133347005"/>
    <n v="0"/>
    <n v="1"/>
    <n v="0"/>
    <n v="0"/>
    <n v="0"/>
    <n v="0"/>
    <n v="0"/>
    <n v="0"/>
    <n v="0"/>
    <n v="0"/>
  </r>
  <r>
    <d v="2010-05-15T00:00:00"/>
    <n v="2010"/>
    <x v="0"/>
    <s v="R"/>
    <s v="RS"/>
    <x v="1"/>
    <s v="CHI"/>
    <s v="H"/>
    <n v="0"/>
    <n v="0"/>
    <n v="0"/>
    <n v="0"/>
    <n v="0"/>
    <n v="0"/>
    <n v="1490.6165151167288"/>
    <n v="1472.3530424316909"/>
    <n v="0.64306127100871657"/>
    <n v="74"/>
    <n v="61"/>
    <n v="0"/>
    <n v="13"/>
    <n v="1"/>
    <n v="0.46496715979548053"/>
    <n v="1"/>
    <n v="75.849999999999994"/>
    <n v="75.849999999999994"/>
    <n v="12.588429096990506"/>
    <n v="1503.2049442137193"/>
    <n v="1"/>
    <n v="0"/>
    <n v="0"/>
    <n v="0"/>
    <n v="0"/>
    <n v="0"/>
    <n v="0"/>
    <n v="0"/>
    <n v="0"/>
    <n v="0"/>
  </r>
  <r>
    <d v="2010-05-15T00:00:00"/>
    <n v="2010"/>
    <x v="0"/>
    <s v="R"/>
    <s v="RS"/>
    <x v="2"/>
    <s v="IND"/>
    <s v="A"/>
    <n v="0"/>
    <n v="0"/>
    <n v="0"/>
    <n v="0"/>
    <n v="0"/>
    <n v="0"/>
    <n v="1461.6181859953936"/>
    <n v="1533.9321219481481"/>
    <n v="0.28908844512593929"/>
    <n v="72"/>
    <n v="65"/>
    <n v="0"/>
    <n v="7"/>
    <n v="1"/>
    <n v="0.3490715572898323"/>
    <n v="1"/>
    <n v="75.849999999999994"/>
    <n v="75.849999999999994"/>
    <n v="18.822860419663776"/>
    <n v="1480.4410464150574"/>
    <n v="1"/>
    <n v="0"/>
    <n v="0"/>
    <n v="0"/>
    <n v="0"/>
    <n v="0"/>
    <n v="0"/>
    <n v="0"/>
    <n v="0"/>
    <n v="0"/>
  </r>
  <r>
    <d v="2010-05-15T00:00:00"/>
    <n v="2010"/>
    <x v="0"/>
    <s v="R"/>
    <s v="RS"/>
    <x v="3"/>
    <s v="WAS"/>
    <s v="H"/>
    <n v="0"/>
    <n v="0"/>
    <n v="0"/>
    <n v="0"/>
    <n v="0"/>
    <n v="0"/>
    <n v="1533.9321219481481"/>
    <n v="1461.6181859953936"/>
    <n v="0.71091155487406066"/>
    <n v="65"/>
    <n v="72"/>
    <n v="0"/>
    <n v="-7"/>
    <n v="0"/>
    <n v="0.3490715572898323"/>
    <n v="1"/>
    <n v="75.849999999999994"/>
    <n v="75.849999999999994"/>
    <n v="-18.822860419663773"/>
    <n v="1515.1092615284842"/>
    <n v="0"/>
    <n v="1"/>
    <n v="0"/>
    <n v="0"/>
    <n v="0"/>
    <n v="0"/>
    <n v="0"/>
    <n v="0"/>
    <n v="0"/>
    <n v="0"/>
  </r>
  <r>
    <d v="2010-05-15T00:00:00"/>
    <n v="2010"/>
    <x v="0"/>
    <s v="R"/>
    <s v="RS"/>
    <x v="4"/>
    <s v="PHX"/>
    <s v="A"/>
    <n v="0"/>
    <n v="0"/>
    <n v="0"/>
    <n v="0"/>
    <n v="0"/>
    <n v="0"/>
    <n v="1534.7396485297115"/>
    <n v="1570.733015787235"/>
    <n v="0.33386906686700157"/>
    <n v="77"/>
    <n v="78"/>
    <n v="0"/>
    <n v="-1"/>
    <n v="0"/>
    <n v="0.23706891389596052"/>
    <n v="1"/>
    <n v="75.849999999999994"/>
    <n v="75.849999999999994"/>
    <n v="-6.0035257604271166"/>
    <n v="1528.7361227692845"/>
    <n v="0"/>
    <n v="1"/>
    <n v="0"/>
    <n v="0"/>
    <n v="0"/>
    <n v="0"/>
    <n v="0"/>
    <n v="0"/>
    <n v="0"/>
    <n v="0"/>
  </r>
  <r>
    <d v="2010-05-15T00:00:00"/>
    <n v="2010"/>
    <x v="0"/>
    <s v="R"/>
    <s v="RS"/>
    <x v="5"/>
    <s v="LAS"/>
    <s v="H"/>
    <n v="0"/>
    <n v="0"/>
    <n v="0"/>
    <n v="0"/>
    <n v="0"/>
    <n v="0"/>
    <n v="1570.733015787235"/>
    <n v="1534.7396485297115"/>
    <n v="0.66613093313299854"/>
    <n v="78"/>
    <n v="77"/>
    <n v="0"/>
    <n v="1"/>
    <n v="1"/>
    <n v="0.23706891389596052"/>
    <n v="1"/>
    <n v="75.849999999999994"/>
    <n v="75.849999999999994"/>
    <n v="6.0035257604271139"/>
    <n v="1576.736541547662"/>
    <n v="1"/>
    <n v="0"/>
    <n v="0"/>
    <n v="0"/>
    <n v="0"/>
    <n v="0"/>
    <n v="0"/>
    <n v="0"/>
    <n v="0"/>
    <n v="0"/>
  </r>
  <r>
    <d v="2010-05-15T00:00:00"/>
    <n v="2010"/>
    <x v="0"/>
    <s v="R"/>
    <s v="RS"/>
    <x v="6"/>
    <s v="SAS"/>
    <s v="A"/>
    <n v="0"/>
    <n v="0"/>
    <n v="0"/>
    <n v="0"/>
    <n v="0"/>
    <n v="0"/>
    <n v="1493.5483293589177"/>
    <n v="1489.7353559665819"/>
    <n v="0.38660783861416692"/>
    <n v="75"/>
    <n v="70"/>
    <n v="0"/>
    <n v="5"/>
    <n v="1"/>
    <n v="0.33070516712544995"/>
    <n v="1"/>
    <n v="75.849999999999994"/>
    <n v="75.849999999999994"/>
    <n v="15.386320956998578"/>
    <n v="1508.9346503159163"/>
    <n v="1"/>
    <n v="0"/>
    <n v="0"/>
    <n v="0"/>
    <n v="0"/>
    <n v="0"/>
    <n v="0"/>
    <n v="0"/>
    <n v="0"/>
    <n v="0"/>
  </r>
  <r>
    <d v="2010-05-15T00:00:00"/>
    <n v="2010"/>
    <x v="0"/>
    <s v="R"/>
    <s v="RS"/>
    <x v="7"/>
    <s v="ATL"/>
    <s v="H"/>
    <n v="0"/>
    <n v="0"/>
    <n v="0"/>
    <n v="0"/>
    <n v="0"/>
    <n v="0"/>
    <n v="1489.7353559665819"/>
    <n v="1493.5483293589177"/>
    <n v="0.61339216138583308"/>
    <n v="70"/>
    <n v="75"/>
    <n v="0"/>
    <n v="-5"/>
    <n v="0"/>
    <n v="0.33070516712544995"/>
    <n v="1"/>
    <n v="75.849999999999994"/>
    <n v="75.849999999999994"/>
    <n v="-15.386320956998578"/>
    <n v="1474.3490350095833"/>
    <n v="0"/>
    <n v="1"/>
    <n v="0"/>
    <n v="0"/>
    <n v="0"/>
    <n v="0"/>
    <n v="0"/>
    <n v="0"/>
    <n v="0"/>
    <n v="0"/>
  </r>
  <r>
    <d v="2010-05-15T00:00:00"/>
    <n v="2010"/>
    <x v="0"/>
    <s v="R"/>
    <s v="RS"/>
    <x v="8"/>
    <s v="TUL"/>
    <s v="A"/>
    <n v="0"/>
    <n v="0"/>
    <n v="0"/>
    <n v="0"/>
    <n v="0"/>
    <n v="0"/>
    <n v="1457.5666957063977"/>
    <n v="1500"/>
    <n v="0.325675798207616"/>
    <n v="80"/>
    <n v="74"/>
    <n v="0"/>
    <n v="6"/>
    <n v="1"/>
    <n v="0.33928333364249197"/>
    <n v="1"/>
    <n v="75.849999999999994"/>
    <n v="75.849999999999994"/>
    <n v="17.35349115416388"/>
    <n v="1474.9201868605617"/>
    <n v="1"/>
    <n v="0"/>
    <n v="0"/>
    <n v="0"/>
    <n v="0"/>
    <n v="0"/>
    <n v="0"/>
    <n v="0"/>
    <n v="0"/>
    <n v="0"/>
  </r>
  <r>
    <d v="2010-05-15T00:00:00"/>
    <n v="2010"/>
    <x v="0"/>
    <s v="R"/>
    <s v="RS"/>
    <x v="9"/>
    <s v="MIN"/>
    <s v="H"/>
    <n v="0"/>
    <n v="0"/>
    <n v="0"/>
    <n v="0"/>
    <n v="0"/>
    <n v="0"/>
    <n v="1500"/>
    <n v="1457.5666957063977"/>
    <n v="0.67432420179238395"/>
    <n v="74"/>
    <n v="80"/>
    <n v="0"/>
    <n v="-6"/>
    <n v="0"/>
    <n v="0.33928333364249197"/>
    <n v="1"/>
    <n v="75.849999999999994"/>
    <n v="75.849999999999994"/>
    <n v="-17.353491154163876"/>
    <n v="1482.646508845836"/>
    <n v="0"/>
    <n v="1"/>
    <n v="0"/>
    <n v="0"/>
    <n v="0"/>
    <n v="0"/>
    <n v="0"/>
    <n v="0"/>
    <n v="0"/>
    <n v="0"/>
  </r>
  <r>
    <d v="2010-05-16T00:00:00"/>
    <n v="2010"/>
    <x v="1"/>
    <s v="R"/>
    <s v="RS"/>
    <x v="3"/>
    <s v="ATL"/>
    <s v="A"/>
    <n v="0"/>
    <n v="0"/>
    <n v="0"/>
    <n v="0"/>
    <n v="0"/>
    <n v="0"/>
    <n v="1515.1092615284842"/>
    <n v="1508.9346503159163"/>
    <n v="0.38983663876777053"/>
    <n v="62"/>
    <n v="66"/>
    <n v="0"/>
    <n v="-4"/>
    <n v="0"/>
    <n v="0.30983845822202727"/>
    <n v="1"/>
    <n v="75.7"/>
    <n v="75.7"/>
    <n v="-9.1435292017497396"/>
    <n v="1505.9657323267345"/>
    <n v="0"/>
    <n v="1"/>
    <n v="0"/>
    <n v="0"/>
    <n v="0"/>
    <n v="0"/>
    <n v="0"/>
    <n v="0"/>
    <n v="0"/>
    <n v="0"/>
  </r>
  <r>
    <d v="2010-05-16T00:00:00"/>
    <n v="2010"/>
    <x v="1"/>
    <s v="R"/>
    <s v="RS"/>
    <x v="6"/>
    <s v="IND"/>
    <s v="H"/>
    <n v="0"/>
    <n v="0"/>
    <n v="0"/>
    <n v="0"/>
    <n v="0"/>
    <n v="0"/>
    <n v="1508.9346503159163"/>
    <n v="1515.1092615284842"/>
    <n v="0.61016336123222947"/>
    <n v="66"/>
    <n v="62"/>
    <n v="0"/>
    <n v="4"/>
    <n v="1"/>
    <n v="0.30983845822202727"/>
    <n v="1"/>
    <n v="75.7"/>
    <n v="75.7"/>
    <n v="9.1435292017497396"/>
    <n v="1518.0781795176661"/>
    <n v="1"/>
    <n v="0"/>
    <n v="0"/>
    <n v="0"/>
    <n v="0"/>
    <n v="0"/>
    <n v="0"/>
    <n v="0"/>
    <n v="0"/>
    <n v="0"/>
  </r>
  <r>
    <d v="2010-05-16T00:00:00"/>
    <n v="2010"/>
    <x v="1"/>
    <s v="R"/>
    <s v="RS"/>
    <x v="2"/>
    <s v="MIN"/>
    <s v="A"/>
    <n v="0"/>
    <n v="0"/>
    <n v="0"/>
    <n v="0"/>
    <n v="0"/>
    <n v="0"/>
    <n v="1480.4410464150574"/>
    <n v="1474.9201868605617"/>
    <n v="0.38894185776153745"/>
    <n v="87"/>
    <n v="76"/>
    <n v="0"/>
    <n v="11"/>
    <n v="1"/>
    <n v="0.4378216769340757"/>
    <n v="1"/>
    <n v="75.7"/>
    <n v="75.7"/>
    <n v="20.252361690807192"/>
    <n v="1500.6934081058646"/>
    <n v="1"/>
    <n v="0"/>
    <n v="0"/>
    <n v="0"/>
    <n v="0"/>
    <n v="0"/>
    <n v="0"/>
    <n v="0"/>
    <n v="0"/>
    <n v="0"/>
  </r>
  <r>
    <d v="2010-05-16T00:00:00"/>
    <n v="2010"/>
    <x v="1"/>
    <s v="R"/>
    <s v="RS"/>
    <x v="8"/>
    <s v="WAS"/>
    <s v="H"/>
    <n v="0"/>
    <n v="0"/>
    <n v="0"/>
    <n v="0"/>
    <n v="0"/>
    <n v="0"/>
    <n v="1474.9201868605617"/>
    <n v="1480.4410464150574"/>
    <n v="0.61105814223846255"/>
    <n v="76"/>
    <n v="87"/>
    <n v="0"/>
    <n v="-11"/>
    <n v="0"/>
    <n v="0.4378216769340757"/>
    <n v="1"/>
    <n v="75.7"/>
    <n v="75.7"/>
    <n v="-20.252361690807192"/>
    <n v="1454.6678251697545"/>
    <n v="0"/>
    <n v="1"/>
    <n v="0"/>
    <n v="0"/>
    <n v="0"/>
    <n v="0"/>
    <n v="0"/>
    <n v="0"/>
    <n v="0"/>
    <n v="0"/>
  </r>
  <r>
    <d v="2010-05-16T00:00:00"/>
    <n v="2010"/>
    <x v="1"/>
    <s v="R"/>
    <s v="RS"/>
    <x v="0"/>
    <s v="NYL"/>
    <s v="A"/>
    <n v="0"/>
    <n v="1"/>
    <n v="-1"/>
    <n v="1"/>
    <n v="-8"/>
    <n v="8"/>
    <n v="1459.7646133347005"/>
    <n v="1473.9060573208533"/>
    <n v="0.34140238135821249"/>
    <n v="82"/>
    <n v="85"/>
    <n v="0"/>
    <n v="-3"/>
    <n v="0"/>
    <n v="0.2868036727048921"/>
    <n v="1"/>
    <n v="75.7"/>
    <n v="75.7"/>
    <n v="-7.412200083070478"/>
    <n v="1452.35241325163"/>
    <n v="0"/>
    <n v="1"/>
    <n v="0"/>
    <n v="0"/>
    <n v="0"/>
    <n v="0"/>
    <n v="0"/>
    <n v="0"/>
    <n v="0"/>
    <n v="0"/>
  </r>
  <r>
    <d v="2010-05-16T00:00:00"/>
    <n v="2010"/>
    <x v="0"/>
    <s v="R"/>
    <s v="RS"/>
    <x v="10"/>
    <s v="CHI"/>
    <s v="H"/>
    <n v="1"/>
    <n v="0"/>
    <n v="1"/>
    <n v="-1"/>
    <n v="8"/>
    <n v="-8"/>
    <n v="1473.9060573208533"/>
    <n v="1459.7646133347005"/>
    <n v="0.65859761864178756"/>
    <n v="85"/>
    <n v="82"/>
    <n v="0"/>
    <n v="3"/>
    <n v="1"/>
    <n v="0.2868036727048921"/>
    <n v="1"/>
    <n v="75.849999999999994"/>
    <n v="75.849999999999994"/>
    <n v="7.4268874015970354"/>
    <n v="1481.3329447224503"/>
    <n v="1"/>
    <n v="0"/>
    <n v="0"/>
    <n v="0"/>
    <n v="0"/>
    <n v="0"/>
    <n v="0"/>
    <n v="0"/>
    <n v="0"/>
    <n v="0"/>
  </r>
  <r>
    <d v="2010-05-16T00:00:00"/>
    <n v="2010"/>
    <x v="1"/>
    <s v="R"/>
    <s v="RS"/>
    <x v="4"/>
    <s v="SEA"/>
    <s v="A"/>
    <n v="0"/>
    <n v="1"/>
    <n v="-1"/>
    <n v="1"/>
    <n v="-8"/>
    <n v="8"/>
    <n v="1528.7361227692845"/>
    <n v="1516.4123991949723"/>
    <n v="0.37643556395389344"/>
    <n v="67"/>
    <n v="81"/>
    <n v="0"/>
    <n v="-14"/>
    <n v="0"/>
    <n v="0.48265138499127508"/>
    <n v="1"/>
    <n v="75.7"/>
    <n v="75.7"/>
    <n v="-13.753716975085501"/>
    <n v="1514.9824057941989"/>
    <n v="0"/>
    <n v="1"/>
    <n v="0"/>
    <n v="0"/>
    <n v="0"/>
    <n v="0"/>
    <n v="0"/>
    <n v="0"/>
    <n v="0"/>
    <n v="0"/>
  </r>
  <r>
    <d v="2010-05-16T00:00:00"/>
    <n v="2010"/>
    <x v="0"/>
    <s v="R"/>
    <s v="RS"/>
    <x v="11"/>
    <s v="LAS"/>
    <s v="H"/>
    <n v="1"/>
    <n v="0"/>
    <n v="1"/>
    <n v="-1"/>
    <n v="8"/>
    <n v="-8"/>
    <n v="1516.4123991949723"/>
    <n v="1528.7361227692845"/>
    <n v="0.62356443604610656"/>
    <n v="81"/>
    <n v="67"/>
    <n v="0"/>
    <n v="14"/>
    <n v="1"/>
    <n v="0.48265138499127508"/>
    <n v="1"/>
    <n v="75.849999999999994"/>
    <n v="75.849999999999994"/>
    <n v="13.780970047030847"/>
    <n v="1530.1933692420032"/>
    <n v="1"/>
    <n v="0"/>
    <n v="0"/>
    <n v="0"/>
    <n v="0"/>
    <n v="0"/>
    <n v="0"/>
    <n v="0"/>
    <n v="0"/>
    <n v="0"/>
  </r>
  <r>
    <d v="2010-05-19T00:00:00"/>
    <n v="2010"/>
    <x v="2"/>
    <s v="R"/>
    <s v="RS"/>
    <x v="8"/>
    <s v="SEA"/>
    <s v="A"/>
    <n v="2"/>
    <n v="2"/>
    <n v="0"/>
    <n v="0"/>
    <n v="0"/>
    <n v="0"/>
    <n v="1454.6678251697545"/>
    <n v="1530.1933692420032"/>
    <n v="0.28530382661386239"/>
    <n v="76"/>
    <n v="79"/>
    <n v="0"/>
    <n v="-3"/>
    <n v="0"/>
    <n v="0.27300137338427588"/>
    <n v="1"/>
    <n v="75.55"/>
    <n v="75.55"/>
    <n v="-5.8844638223765866"/>
    <n v="1448.7833613473779"/>
    <n v="0"/>
    <n v="1"/>
    <n v="0"/>
    <n v="0"/>
    <n v="0"/>
    <n v="0"/>
    <n v="0"/>
    <n v="0"/>
    <n v="0"/>
    <n v="0"/>
  </r>
  <r>
    <d v="2010-05-19T00:00:00"/>
    <n v="2010"/>
    <x v="1"/>
    <s v="R"/>
    <s v="RS"/>
    <x v="11"/>
    <s v="MIN"/>
    <s v="H"/>
    <n v="2"/>
    <n v="2"/>
    <n v="0"/>
    <n v="0"/>
    <n v="0"/>
    <n v="0"/>
    <n v="1530.1933692420032"/>
    <n v="1454.6678251697545"/>
    <n v="0.71469617338613756"/>
    <n v="79"/>
    <n v="76"/>
    <n v="0"/>
    <n v="3"/>
    <n v="1"/>
    <n v="0.27300137338427588"/>
    <n v="1"/>
    <n v="75.7"/>
    <n v="75.7"/>
    <n v="5.8961470728511944"/>
    <n v="1536.0895163148543"/>
    <n v="1"/>
    <n v="0"/>
    <n v="0"/>
    <n v="0"/>
    <n v="0"/>
    <n v="0"/>
    <n v="0"/>
    <n v="0"/>
    <n v="0"/>
    <n v="0"/>
  </r>
  <r>
    <d v="2010-05-20T00:00:00"/>
    <n v="2010"/>
    <x v="1"/>
    <s v="R"/>
    <s v="RS"/>
    <x v="7"/>
    <s v="TUL"/>
    <s v="A"/>
    <n v="4"/>
    <n v="4"/>
    <n v="0"/>
    <n v="0"/>
    <n v="0"/>
    <n v="0"/>
    <n v="1474.3490350095833"/>
    <n v="1482.646508845836"/>
    <n v="0.3702121100146385"/>
    <n v="83"/>
    <n v="74"/>
    <n v="0"/>
    <n v="9"/>
    <n v="1"/>
    <n v="0.40318368872358634"/>
    <n v="1"/>
    <n v="75.7"/>
    <n v="75.7"/>
    <n v="19.221759488049088"/>
    <n v="1493.5707944976325"/>
    <n v="1"/>
    <n v="0"/>
    <n v="0"/>
    <n v="0"/>
    <n v="0"/>
    <n v="0"/>
    <n v="0"/>
    <n v="0"/>
    <n v="0"/>
    <n v="0"/>
  </r>
  <r>
    <d v="2010-05-20T00:00:00"/>
    <n v="2010"/>
    <x v="1"/>
    <s v="R"/>
    <s v="RS"/>
    <x v="9"/>
    <s v="SAS"/>
    <s v="H"/>
    <n v="4"/>
    <n v="4"/>
    <n v="0"/>
    <n v="0"/>
    <n v="0"/>
    <n v="0"/>
    <n v="1482.646508845836"/>
    <n v="1474.3490350095833"/>
    <n v="0.6297878899853615"/>
    <n v="74"/>
    <n v="83"/>
    <n v="0"/>
    <n v="-9"/>
    <n v="0"/>
    <n v="0.40318368872358634"/>
    <n v="1"/>
    <n v="75.7"/>
    <n v="75.7"/>
    <n v="-19.221759488049088"/>
    <n v="1463.4247493577868"/>
    <n v="0"/>
    <n v="1"/>
    <n v="0"/>
    <n v="0"/>
    <n v="0"/>
    <n v="0"/>
    <n v="0"/>
    <n v="0"/>
    <n v="0"/>
    <n v="0"/>
  </r>
  <r>
    <d v="2010-05-21T00:00:00"/>
    <n v="2010"/>
    <x v="1"/>
    <s v="R"/>
    <s v="RS"/>
    <x v="1"/>
    <s v="ATL"/>
    <s v="A"/>
    <n v="5"/>
    <n v="4"/>
    <n v="1"/>
    <n v="-1"/>
    <n v="8"/>
    <n v="-8"/>
    <n v="1503.2049442137193"/>
    <n v="1518.0781795176661"/>
    <n v="0.38294738535070272"/>
    <n v="82"/>
    <n v="97"/>
    <n v="0"/>
    <n v="-15"/>
    <n v="0"/>
    <n v="0.49669184909119202"/>
    <n v="1"/>
    <n v="75.7"/>
    <n v="75.7"/>
    <n v="-14.398658161539968"/>
    <n v="1488.8062860521793"/>
    <n v="0"/>
    <n v="1"/>
    <n v="0"/>
    <n v="0"/>
    <n v="0"/>
    <n v="0"/>
    <n v="0"/>
    <n v="0"/>
    <n v="0"/>
    <n v="0"/>
  </r>
  <r>
    <d v="2010-05-21T00:00:00"/>
    <n v="2010"/>
    <x v="2"/>
    <s v="R"/>
    <s v="RS"/>
    <x v="6"/>
    <s v="CON"/>
    <s v="H"/>
    <n v="4"/>
    <n v="5"/>
    <n v="-1"/>
    <n v="1"/>
    <n v="-8"/>
    <n v="8"/>
    <n v="1518.0781795176661"/>
    <n v="1503.2049442137193"/>
    <n v="0.61705261464929739"/>
    <n v="97"/>
    <n v="82"/>
    <n v="0"/>
    <n v="15"/>
    <n v="1"/>
    <n v="0.49669184909119202"/>
    <n v="1"/>
    <n v="75.55"/>
    <n v="75.55"/>
    <n v="14.370127134799791"/>
    <n v="1532.4483066524658"/>
    <n v="1"/>
    <n v="0"/>
    <n v="0"/>
    <n v="0"/>
    <n v="0"/>
    <n v="0"/>
    <n v="0"/>
    <n v="0"/>
    <n v="0"/>
    <n v="0"/>
  </r>
  <r>
    <d v="2010-05-21T00:00:00"/>
    <n v="2010"/>
    <x v="1"/>
    <s v="R"/>
    <s v="RS"/>
    <x v="10"/>
    <s v="WAS"/>
    <s v="A"/>
    <n v="4"/>
    <n v="4"/>
    <n v="0"/>
    <n v="0"/>
    <n v="0"/>
    <n v="0"/>
    <n v="1481.3329447224503"/>
    <n v="1500.6934081058646"/>
    <n v="0.35549058727970539"/>
    <n v="61"/>
    <n v="77"/>
    <n v="0"/>
    <n v="-16"/>
    <n v="0"/>
    <n v="0.50956485583598898"/>
    <n v="1"/>
    <n v="75.7"/>
    <n v="75.7"/>
    <n v="-13.712715096268324"/>
    <n v="1467.620229626182"/>
    <n v="0"/>
    <n v="1"/>
    <n v="0"/>
    <n v="0"/>
    <n v="0"/>
    <n v="0"/>
    <n v="0"/>
    <n v="0"/>
    <n v="0"/>
    <n v="0"/>
  </r>
  <r>
    <d v="2010-05-21T00:00:00"/>
    <n v="2010"/>
    <x v="2"/>
    <s v="R"/>
    <s v="RS"/>
    <x v="2"/>
    <s v="NYL"/>
    <s v="H"/>
    <n v="4"/>
    <n v="4"/>
    <n v="0"/>
    <n v="0"/>
    <n v="0"/>
    <n v="0"/>
    <n v="1500.6934081058646"/>
    <n v="1481.3329447224503"/>
    <n v="0.64450941272029472"/>
    <n v="77"/>
    <n v="61"/>
    <n v="0"/>
    <n v="16"/>
    <n v="1"/>
    <n v="0.50956485583598898"/>
    <n v="1"/>
    <n v="75.55"/>
    <n v="75.55"/>
    <n v="13.685543269789585"/>
    <n v="1514.3789513756542"/>
    <n v="1"/>
    <n v="0"/>
    <n v="0"/>
    <n v="0"/>
    <n v="0"/>
    <n v="0"/>
    <n v="0"/>
    <n v="0"/>
    <n v="0"/>
    <n v="0"/>
  </r>
  <r>
    <d v="2010-05-22T00:00:00"/>
    <n v="2010"/>
    <x v="2"/>
    <s v="R"/>
    <s v="RS"/>
    <x v="3"/>
    <s v="CHI"/>
    <s v="A"/>
    <n v="5"/>
    <n v="5"/>
    <n v="0"/>
    <n v="0"/>
    <n v="0"/>
    <n v="0"/>
    <n v="1505.9657323267345"/>
    <n v="1452.35241325163"/>
    <n v="0.45638121102083523"/>
    <n v="92"/>
    <n v="86"/>
    <n v="1"/>
    <n v="6"/>
    <n v="1"/>
    <n v="0.30263177345481124"/>
    <n v="1"/>
    <n v="75.55"/>
    <n v="75.55"/>
    <n v="12.429207839414774"/>
    <n v="1518.3949401661494"/>
    <n v="1"/>
    <n v="0"/>
    <n v="0"/>
    <n v="0"/>
    <n v="0"/>
    <n v="0"/>
    <n v="0"/>
    <n v="0"/>
    <n v="0"/>
    <n v="0"/>
  </r>
  <r>
    <d v="2010-05-22T00:00:00"/>
    <n v="2010"/>
    <x v="2"/>
    <s v="R"/>
    <s v="RS"/>
    <x v="0"/>
    <s v="IND"/>
    <s v="H"/>
    <n v="5"/>
    <n v="5"/>
    <n v="0"/>
    <n v="0"/>
    <n v="0"/>
    <n v="0"/>
    <n v="1452.35241325163"/>
    <n v="1505.9657323267345"/>
    <n v="0.54361878897916482"/>
    <n v="86"/>
    <n v="92"/>
    <n v="1"/>
    <n v="-6"/>
    <n v="0"/>
    <n v="0.30263177345481124"/>
    <n v="1"/>
    <n v="75.55"/>
    <n v="75.55"/>
    <n v="-12.429207839414774"/>
    <n v="1439.9232054122151"/>
    <n v="0"/>
    <n v="1"/>
    <n v="0"/>
    <n v="0"/>
    <n v="0"/>
    <n v="0"/>
    <n v="0"/>
    <n v="0"/>
    <n v="0"/>
    <n v="0"/>
  </r>
  <r>
    <d v="2010-05-22T00:00:00"/>
    <n v="2010"/>
    <x v="2"/>
    <s v="R"/>
    <s v="RS"/>
    <x v="11"/>
    <s v="PHX"/>
    <s v="A"/>
    <n v="2"/>
    <n v="6"/>
    <n v="-4"/>
    <n v="4"/>
    <n v="-16"/>
    <n v="16"/>
    <n v="1536.0895163148543"/>
    <n v="1576.736541547662"/>
    <n v="0.28869454426398289"/>
    <n v="95"/>
    <n v="89"/>
    <n v="1"/>
    <n v="6"/>
    <n v="1"/>
    <n v="0.30579464929364553"/>
    <n v="1"/>
    <n v="75.55"/>
    <n v="75.55"/>
    <n v="16.4331375496165"/>
    <n v="1552.5226538644708"/>
    <n v="1"/>
    <n v="0"/>
    <n v="0"/>
    <n v="0"/>
    <n v="0"/>
    <n v="0"/>
    <n v="0"/>
    <n v="0"/>
    <n v="0"/>
    <n v="0"/>
  </r>
  <r>
    <d v="2010-05-22T00:00:00"/>
    <n v="2010"/>
    <x v="1"/>
    <s v="R"/>
    <s v="RS"/>
    <x v="5"/>
    <s v="SEA"/>
    <s v="H"/>
    <n v="6"/>
    <n v="2"/>
    <n v="4"/>
    <n v="-4"/>
    <n v="16"/>
    <n v="-16"/>
    <n v="1576.736541547662"/>
    <n v="1536.0895163148543"/>
    <n v="0.71130545573601711"/>
    <n v="89"/>
    <n v="95"/>
    <n v="1"/>
    <n v="-6"/>
    <n v="0"/>
    <n v="0.30579464929364553"/>
    <n v="1"/>
    <n v="75.7"/>
    <n v="75.7"/>
    <n v="-16.46576455997312"/>
    <n v="1560.2707769876888"/>
    <n v="0"/>
    <n v="1"/>
    <n v="0"/>
    <n v="0"/>
    <n v="0"/>
    <n v="0"/>
    <n v="0"/>
    <n v="0"/>
    <n v="0"/>
    <n v="0"/>
  </r>
  <r>
    <d v="2010-05-22T00:00:00"/>
    <n v="2010"/>
    <x v="2"/>
    <s v="R"/>
    <s v="RS"/>
    <x v="4"/>
    <s v="SAS"/>
    <s v="A"/>
    <n v="5"/>
    <n v="1"/>
    <n v="4"/>
    <n v="-4"/>
    <n v="16"/>
    <n v="-16"/>
    <n v="1514.9824057941989"/>
    <n v="1493.5707944976325"/>
    <n v="0.45609315396662331"/>
    <n v="81"/>
    <n v="88"/>
    <n v="0"/>
    <n v="-7"/>
    <n v="0"/>
    <n v="0.36361911322680784"/>
    <n v="1"/>
    <n v="75.55"/>
    <n v="75.55"/>
    <n v="-12.529528418068901"/>
    <n v="1502.4528773761301"/>
    <n v="0"/>
    <n v="1"/>
    <n v="0"/>
    <n v="0"/>
    <n v="0"/>
    <n v="0"/>
    <n v="0"/>
    <n v="0"/>
    <n v="0"/>
    <n v="0"/>
  </r>
  <r>
    <d v="2010-05-22T00:00:00"/>
    <n v="2010"/>
    <x v="2"/>
    <s v="R"/>
    <s v="RS"/>
    <x v="7"/>
    <s v="LAS"/>
    <s v="H"/>
    <n v="1"/>
    <n v="5"/>
    <n v="-4"/>
    <n v="4"/>
    <n v="-16"/>
    <n v="16"/>
    <n v="1493.5707944976325"/>
    <n v="1514.9824057941989"/>
    <n v="0.54390684603337669"/>
    <n v="88"/>
    <n v="81"/>
    <n v="0"/>
    <n v="7"/>
    <n v="1"/>
    <n v="0.36361911322680784"/>
    <n v="1"/>
    <n v="75.55"/>
    <n v="75.55"/>
    <n v="12.529528418068901"/>
    <n v="1506.1003229157013"/>
    <n v="1"/>
    <n v="0"/>
    <n v="0"/>
    <n v="0"/>
    <n v="0"/>
    <n v="0"/>
    <n v="0"/>
    <n v="0"/>
    <n v="0"/>
    <n v="0"/>
  </r>
  <r>
    <d v="2010-05-23T00:00:00"/>
    <n v="2010"/>
    <x v="3"/>
    <s v="R"/>
    <s v="RS"/>
    <x v="2"/>
    <s v="CON"/>
    <s v="A"/>
    <n v="1"/>
    <n v="1"/>
    <n v="0"/>
    <n v="0"/>
    <n v="0"/>
    <n v="0"/>
    <n v="1514.3789513756542"/>
    <n v="1488.8062860521793"/>
    <n v="0.41670007795148223"/>
    <n v="65"/>
    <n v="80"/>
    <n v="0"/>
    <n v="-15"/>
    <n v="0"/>
    <n v="0.49235565603550036"/>
    <n v="1"/>
    <n v="75.400000000000006"/>
    <n v="75.400000000000006"/>
    <n v="-15.469413874838402"/>
    <n v="1498.9095375008158"/>
    <n v="0"/>
    <n v="1"/>
    <n v="0"/>
    <n v="0"/>
    <n v="0"/>
    <n v="0"/>
    <n v="0"/>
    <n v="0"/>
    <n v="0"/>
    <n v="0"/>
  </r>
  <r>
    <d v="2010-05-23T00:00:00"/>
    <n v="2010"/>
    <x v="2"/>
    <s v="R"/>
    <s v="RS"/>
    <x v="1"/>
    <s v="WAS"/>
    <s v="H"/>
    <n v="1"/>
    <n v="1"/>
    <n v="0"/>
    <n v="0"/>
    <n v="0"/>
    <n v="0"/>
    <n v="1488.8062860521793"/>
    <n v="1514.3789513756542"/>
    <n v="0.58329992204851777"/>
    <n v="80"/>
    <n v="65"/>
    <n v="0"/>
    <n v="15"/>
    <n v="1"/>
    <n v="0.49235565603550036"/>
    <n v="1"/>
    <n v="75.55"/>
    <n v="75.55"/>
    <n v="15.500188570875878"/>
    <n v="1504.3064746230552"/>
    <n v="1"/>
    <n v="0"/>
    <n v="0"/>
    <n v="0"/>
    <n v="0"/>
    <n v="0"/>
    <n v="0"/>
    <n v="0"/>
    <n v="0"/>
    <n v="0"/>
  </r>
  <r>
    <d v="2010-05-23T00:00:00"/>
    <n v="2010"/>
    <x v="3"/>
    <s v="R"/>
    <s v="RS"/>
    <x v="0"/>
    <s v="IND"/>
    <s v="A"/>
    <n v="0"/>
    <n v="0"/>
    <n v="0"/>
    <n v="0"/>
    <n v="0"/>
    <n v="0"/>
    <n v="1439.9232054122151"/>
    <n v="1518.3949401661494"/>
    <n v="0.28185829084311798"/>
    <n v="61"/>
    <n v="69"/>
    <n v="0"/>
    <n v="-8"/>
    <n v="0"/>
    <n v="0.3644809887746896"/>
    <n v="1"/>
    <n v="75.400000000000006"/>
    <n v="75.400000000000006"/>
    <n v="-7.7459919359796148"/>
    <n v="1432.1772134762355"/>
    <n v="0"/>
    <n v="1"/>
    <n v="0"/>
    <n v="0"/>
    <n v="0"/>
    <n v="0"/>
    <n v="0"/>
    <n v="0"/>
    <n v="0"/>
    <n v="0"/>
  </r>
  <r>
    <d v="2010-05-23T00:00:00"/>
    <n v="2010"/>
    <x v="3"/>
    <s v="R"/>
    <s v="RS"/>
    <x v="3"/>
    <s v="CHI"/>
    <s v="H"/>
    <n v="0"/>
    <n v="0"/>
    <n v="0"/>
    <n v="0"/>
    <n v="0"/>
    <n v="0"/>
    <n v="1518.3949401661494"/>
    <n v="1439.9232054122151"/>
    <n v="0.71814170915688202"/>
    <n v="69"/>
    <n v="61"/>
    <n v="0"/>
    <n v="8"/>
    <n v="1"/>
    <n v="0.3644809887746896"/>
    <n v="1"/>
    <n v="75.400000000000006"/>
    <n v="75.400000000000006"/>
    <n v="7.7459919359796148"/>
    <n v="1526.140932102129"/>
    <n v="1"/>
    <n v="0"/>
    <n v="0"/>
    <n v="0"/>
    <n v="0"/>
    <n v="0"/>
    <n v="0"/>
    <n v="0"/>
    <n v="0"/>
    <n v="0"/>
  </r>
  <r>
    <d v="2010-05-23T00:00:00"/>
    <n v="2010"/>
    <x v="2"/>
    <s v="R"/>
    <s v="RS"/>
    <x v="9"/>
    <s v="MIN"/>
    <s v="A"/>
    <n v="2"/>
    <n v="3"/>
    <n v="-1"/>
    <n v="1"/>
    <n v="-8"/>
    <n v="8"/>
    <n v="1463.4247493577868"/>
    <n v="1448.7833613473779"/>
    <n v="0.37957237478931222"/>
    <n v="94"/>
    <n v="82"/>
    <n v="0"/>
    <n v="12"/>
    <n v="1"/>
    <n v="0.45063122094696667"/>
    <n v="1"/>
    <n v="75.55"/>
    <n v="75.55"/>
    <n v="21.122575601385797"/>
    <n v="1484.5473249591726"/>
    <n v="1"/>
    <n v="0"/>
    <n v="0"/>
    <n v="0"/>
    <n v="0"/>
    <n v="0"/>
    <n v="0"/>
    <n v="0"/>
    <n v="0"/>
    <n v="0"/>
  </r>
  <r>
    <d v="2010-05-23T00:00:00"/>
    <n v="2010"/>
    <x v="3"/>
    <s v="R"/>
    <s v="RS"/>
    <x v="8"/>
    <s v="TUL"/>
    <s v="H"/>
    <n v="3"/>
    <n v="2"/>
    <n v="1"/>
    <n v="-1"/>
    <n v="8"/>
    <n v="-8"/>
    <n v="1448.7833613473779"/>
    <n v="1463.4247493577868"/>
    <n v="0.62042762521068773"/>
    <n v="82"/>
    <n v="94"/>
    <n v="0"/>
    <n v="-12"/>
    <n v="0"/>
    <n v="0.45063122094696667"/>
    <n v="1"/>
    <n v="75.400000000000006"/>
    <n v="75.400000000000006"/>
    <n v="-21.080637992647112"/>
    <n v="1427.7027233547308"/>
    <n v="0"/>
    <n v="1"/>
    <n v="0"/>
    <n v="0"/>
    <n v="0"/>
    <n v="0"/>
    <n v="0"/>
    <n v="0"/>
    <n v="0"/>
    <n v="0"/>
  </r>
  <r>
    <d v="2010-05-23T00:00:00"/>
    <n v="2010"/>
    <x v="3"/>
    <s v="R"/>
    <s v="RS"/>
    <x v="6"/>
    <s v="NYL"/>
    <s v="A"/>
    <n v="1"/>
    <n v="1"/>
    <n v="0"/>
    <n v="0"/>
    <n v="0"/>
    <n v="0"/>
    <n v="1532.4483066524658"/>
    <n v="1467.620229626182"/>
    <n v="0.47243735508751739"/>
    <n v="86"/>
    <n v="77"/>
    <n v="0"/>
    <n v="9"/>
    <n v="1"/>
    <n v="0.38516367672834939"/>
    <n v="1"/>
    <n v="75.400000000000006"/>
    <n v="75.400000000000006"/>
    <n v="15.321126788634443"/>
    <n v="1547.7694334411003"/>
    <n v="1"/>
    <n v="0"/>
    <n v="0"/>
    <n v="0"/>
    <n v="0"/>
    <n v="0"/>
    <n v="0"/>
    <n v="0"/>
    <n v="0"/>
    <n v="0"/>
  </r>
  <r>
    <d v="2010-05-23T00:00:00"/>
    <n v="2010"/>
    <x v="2"/>
    <s v="R"/>
    <s v="RS"/>
    <x v="10"/>
    <s v="ATL"/>
    <s v="H"/>
    <n v="1"/>
    <n v="1"/>
    <n v="0"/>
    <n v="0"/>
    <n v="0"/>
    <n v="0"/>
    <n v="1467.620229626182"/>
    <n v="1532.4483066524658"/>
    <n v="0.52756264491248261"/>
    <n v="77"/>
    <n v="86"/>
    <n v="0"/>
    <n v="-9"/>
    <n v="0"/>
    <n v="0.38516367672834939"/>
    <n v="1"/>
    <n v="75.55"/>
    <n v="75.55"/>
    <n v="-15.351606483837296"/>
    <n v="1452.2686231423447"/>
    <n v="0"/>
    <n v="1"/>
    <n v="0"/>
    <n v="0"/>
    <n v="0"/>
    <n v="0"/>
    <n v="0"/>
    <n v="0"/>
    <n v="0"/>
    <n v="0"/>
  </r>
  <r>
    <d v="2010-05-25T00:00:00"/>
    <n v="2010"/>
    <x v="4"/>
    <s v="R"/>
    <s v="RS"/>
    <x v="2"/>
    <s v="SEA"/>
    <s v="A"/>
    <n v="1"/>
    <n v="2"/>
    <n v="-1"/>
    <n v="1"/>
    <n v="-8"/>
    <n v="8"/>
    <n v="1498.9095375008158"/>
    <n v="1552.5226538644708"/>
    <n v="0.29229408865854711"/>
    <n v="76"/>
    <n v="82"/>
    <n v="0"/>
    <n v="-6"/>
    <n v="0"/>
    <n v="0.33625758043433573"/>
    <n v="1"/>
    <n v="75.25"/>
    <n v="75.25"/>
    <n v="-7.3960292528255653"/>
    <n v="1491.5135082479901"/>
    <n v="0"/>
    <n v="1"/>
    <n v="0"/>
    <n v="0"/>
    <n v="0"/>
    <n v="0"/>
    <n v="0"/>
    <n v="0"/>
    <n v="0"/>
    <n v="0"/>
  </r>
  <r>
    <d v="2010-05-25T00:00:00"/>
    <n v="2010"/>
    <x v="3"/>
    <s v="R"/>
    <s v="RS"/>
    <x v="11"/>
    <s v="WAS"/>
    <s v="H"/>
    <n v="2"/>
    <n v="1"/>
    <n v="1"/>
    <n v="-1"/>
    <n v="8"/>
    <n v="-8"/>
    <n v="1552.5226538644708"/>
    <n v="1498.9095375008158"/>
    <n v="0.70770591134145289"/>
    <n v="82"/>
    <n v="76"/>
    <n v="0"/>
    <n v="6"/>
    <n v="1"/>
    <n v="0.33625758043433573"/>
    <n v="1"/>
    <n v="75.400000000000006"/>
    <n v="75.400000000000006"/>
    <n v="7.4107721682797036"/>
    <n v="1559.9334260327505"/>
    <n v="1"/>
    <n v="0"/>
    <n v="0"/>
    <n v="0"/>
    <n v="0"/>
    <n v="0"/>
    <n v="0"/>
    <n v="0"/>
    <n v="0"/>
    <n v="0"/>
  </r>
  <r>
    <d v="2010-05-25T00:00:00"/>
    <n v="2010"/>
    <x v="2"/>
    <s v="R"/>
    <s v="RS"/>
    <x v="5"/>
    <s v="TUL"/>
    <s v="A"/>
    <n v="2"/>
    <n v="1"/>
    <n v="1"/>
    <n v="-1"/>
    <n v="8"/>
    <n v="-8"/>
    <n v="1560.2707769876888"/>
    <n v="1484.5473249591726"/>
    <n v="0.5111131104224953"/>
    <n v="110"/>
    <n v="96"/>
    <n v="0"/>
    <n v="14"/>
    <n v="1"/>
    <n v="0.45866502125559583"/>
    <n v="1"/>
    <n v="75.55"/>
    <n v="75.55"/>
    <n v="16.940978093553429"/>
    <n v="1577.2117550812422"/>
    <n v="1"/>
    <n v="0"/>
    <n v="0"/>
    <n v="0"/>
    <n v="0"/>
    <n v="0"/>
    <n v="0"/>
    <n v="0"/>
    <n v="0"/>
    <n v="0"/>
  </r>
  <r>
    <d v="2010-05-25T00:00:00"/>
    <n v="2010"/>
    <x v="3"/>
    <s v="R"/>
    <s v="RS"/>
    <x v="9"/>
    <s v="PHX"/>
    <s v="H"/>
    <n v="1"/>
    <n v="2"/>
    <n v="-1"/>
    <n v="1"/>
    <n v="-8"/>
    <n v="8"/>
    <n v="1484.5473249591726"/>
    <n v="1560.2707769876888"/>
    <n v="0.48888688957750465"/>
    <n v="96"/>
    <n v="110"/>
    <n v="0"/>
    <n v="-14"/>
    <n v="0"/>
    <n v="0.45866502125559583"/>
    <n v="1"/>
    <n v="75.400000000000006"/>
    <n v="75.400000000000006"/>
    <n v="-16.907342796213481"/>
    <n v="1467.6399821629591"/>
    <n v="0"/>
    <n v="1"/>
    <n v="0"/>
    <n v="0"/>
    <n v="0"/>
    <n v="0"/>
    <n v="0"/>
    <n v="0"/>
    <n v="0"/>
    <n v="0"/>
  </r>
  <r>
    <d v="2010-05-27T00:00:00"/>
    <n v="2010"/>
    <x v="4"/>
    <s v="R"/>
    <s v="RS"/>
    <x v="11"/>
    <s v="CHI"/>
    <s v="A"/>
    <n v="1"/>
    <n v="3"/>
    <n v="-2"/>
    <n v="2"/>
    <n v="-16"/>
    <n v="16"/>
    <n v="1559.9334260327505"/>
    <n v="1432.1772134762355"/>
    <n v="0.51691209585926567"/>
    <n v="75"/>
    <n v="84"/>
    <n v="0"/>
    <n v="-9"/>
    <n v="0"/>
    <n v="0.36690909669229321"/>
    <n v="1"/>
    <n v="75.25"/>
    <n v="75.25"/>
    <n v="-14.271896199618503"/>
    <n v="1545.6615298331319"/>
    <n v="0"/>
    <n v="1"/>
    <n v="0"/>
    <n v="0"/>
    <n v="0"/>
    <n v="0"/>
    <n v="0"/>
    <n v="0"/>
    <n v="0"/>
    <n v="0"/>
  </r>
  <r>
    <d v="2010-05-27T00:00:00"/>
    <n v="2010"/>
    <x v="4"/>
    <s v="R"/>
    <s v="RS"/>
    <x v="0"/>
    <s v="SEA"/>
    <s v="H"/>
    <n v="3"/>
    <n v="1"/>
    <n v="2"/>
    <n v="-2"/>
    <n v="16"/>
    <n v="-16"/>
    <n v="1432.1772134762355"/>
    <n v="1559.9334260327505"/>
    <n v="0.48308790414073421"/>
    <n v="84"/>
    <n v="75"/>
    <n v="0"/>
    <n v="9"/>
    <n v="1"/>
    <n v="0.36690909669229321"/>
    <n v="1"/>
    <n v="75.25"/>
    <n v="75.25"/>
    <n v="14.271896199618507"/>
    <n v="1446.4491096758541"/>
    <n v="1"/>
    <n v="0"/>
    <n v="0"/>
    <n v="0"/>
    <n v="0"/>
    <n v="0"/>
    <n v="0"/>
    <n v="0"/>
    <n v="0"/>
    <n v="0"/>
  </r>
  <r>
    <d v="2010-05-27T00:00:00"/>
    <n v="2010"/>
    <x v="4"/>
    <s v="R"/>
    <s v="RS"/>
    <x v="8"/>
    <s v="CON"/>
    <s v="A"/>
    <n v="3"/>
    <n v="3"/>
    <n v="0"/>
    <n v="0"/>
    <n v="0"/>
    <n v="0"/>
    <n v="1427.7027233547308"/>
    <n v="1504.3064746230552"/>
    <n v="0.28403994250793735"/>
    <n v="79"/>
    <n v="105"/>
    <n v="0"/>
    <n v="-26"/>
    <n v="0"/>
    <n v="0.61483828152658104"/>
    <n v="1"/>
    <n v="75.25"/>
    <n v="75.25"/>
    <n v="-13.141556917770803"/>
    <n v="1414.5611664369599"/>
    <n v="0"/>
    <n v="1"/>
    <n v="0"/>
    <n v="0"/>
    <n v="0"/>
    <n v="0"/>
    <n v="0"/>
    <n v="0"/>
    <n v="0"/>
    <n v="0"/>
  </r>
  <r>
    <d v="2010-05-27T00:00:00"/>
    <n v="2010"/>
    <x v="3"/>
    <s v="R"/>
    <s v="RS"/>
    <x v="1"/>
    <s v="MIN"/>
    <s v="H"/>
    <n v="3"/>
    <n v="3"/>
    <n v="0"/>
    <n v="0"/>
    <n v="0"/>
    <n v="0"/>
    <n v="1504.3064746230552"/>
    <n v="1427.7027233547308"/>
    <n v="0.71596005749206271"/>
    <n v="105"/>
    <n v="79"/>
    <n v="0"/>
    <n v="26"/>
    <n v="1"/>
    <n v="0.61483828152658104"/>
    <n v="1"/>
    <n v="75.400000000000006"/>
    <n v="75.400000000000006"/>
    <n v="13.167752712291275"/>
    <n v="1517.4742273353465"/>
    <n v="1"/>
    <n v="0"/>
    <n v="0"/>
    <n v="0"/>
    <n v="0"/>
    <n v="0"/>
    <n v="0"/>
    <n v="0"/>
    <n v="0"/>
    <n v="0"/>
  </r>
  <r>
    <d v="2010-05-28T00:00:00"/>
    <n v="2010"/>
    <x v="5"/>
    <s v="R"/>
    <s v="RS"/>
    <x v="2"/>
    <s v="LAS"/>
    <s v="A"/>
    <n v="2"/>
    <n v="5"/>
    <n v="-3"/>
    <n v="3"/>
    <n v="-16"/>
    <n v="16"/>
    <n v="1491.5135082479901"/>
    <n v="1502.4528773761301"/>
    <n v="0.32503636484597531"/>
    <n v="75"/>
    <n v="81"/>
    <n v="0"/>
    <n v="-6"/>
    <n v="0"/>
    <n v="0.34810736528674502"/>
    <n v="1"/>
    <n v="75.099999999999994"/>
    <n v="75.099999999999994"/>
    <n v="-8.497381199427414"/>
    <n v="1483.0161270485628"/>
    <n v="0"/>
    <n v="1"/>
    <n v="0"/>
    <n v="0"/>
    <n v="0"/>
    <n v="0"/>
    <n v="0"/>
    <n v="0"/>
    <n v="0"/>
    <n v="0"/>
  </r>
  <r>
    <d v="2010-05-28T00:00:00"/>
    <n v="2010"/>
    <x v="3"/>
    <s v="R"/>
    <s v="RS"/>
    <x v="4"/>
    <s v="WAS"/>
    <s v="H"/>
    <n v="5"/>
    <n v="2"/>
    <n v="3"/>
    <n v="-3"/>
    <n v="16"/>
    <n v="-16"/>
    <n v="1502.4528773761301"/>
    <n v="1491.5135082479901"/>
    <n v="0.67496363515402469"/>
    <n v="81"/>
    <n v="75"/>
    <n v="0"/>
    <n v="6"/>
    <n v="1"/>
    <n v="0.34810736528674502"/>
    <n v="1"/>
    <n v="75.400000000000006"/>
    <n v="75.400000000000006"/>
    <n v="8.5313254652040893"/>
    <n v="1510.9842028413343"/>
    <n v="1"/>
    <n v="0"/>
    <n v="0"/>
    <n v="0"/>
    <n v="0"/>
    <n v="0"/>
    <n v="0"/>
    <n v="0"/>
    <n v="0"/>
    <n v="0"/>
  </r>
  <r>
    <d v="2010-05-28T00:00:00"/>
    <n v="2010"/>
    <x v="4"/>
    <s v="R"/>
    <s v="RS"/>
    <x v="6"/>
    <s v="PHX"/>
    <s v="A"/>
    <n v="4"/>
    <n v="2"/>
    <n v="2"/>
    <n v="-2"/>
    <n v="16"/>
    <n v="-16"/>
    <n v="1547.7694334411003"/>
    <n v="1577.2117550812422"/>
    <n v="0.38489564532476817"/>
    <n v="96"/>
    <n v="93"/>
    <n v="0"/>
    <n v="3"/>
    <n v="1"/>
    <n v="0.28323429183233678"/>
    <n v="1"/>
    <n v="75.25"/>
    <n v="75.25"/>
    <n v="13.109953134031791"/>
    <n v="1560.879386575132"/>
    <n v="1"/>
    <n v="0"/>
    <n v="0"/>
    <n v="0"/>
    <n v="0"/>
    <n v="0"/>
    <n v="0"/>
    <n v="0"/>
    <n v="0"/>
    <n v="0"/>
  </r>
  <r>
    <d v="2010-05-28T00:00:00"/>
    <n v="2010"/>
    <x v="3"/>
    <s v="R"/>
    <s v="RS"/>
    <x v="5"/>
    <s v="ATL"/>
    <s v="H"/>
    <n v="2"/>
    <n v="4"/>
    <n v="-2"/>
    <n v="2"/>
    <n v="-16"/>
    <n v="16"/>
    <n v="1577.2117550812422"/>
    <n v="1547.7694334411003"/>
    <n v="0.61510435467523183"/>
    <n v="93"/>
    <n v="96"/>
    <n v="0"/>
    <n v="-3"/>
    <n v="0"/>
    <n v="0.28323429183233678"/>
    <n v="1"/>
    <n v="75.400000000000006"/>
    <n v="75.400000000000006"/>
    <n v="-13.136085930976705"/>
    <n v="1564.0756691502656"/>
    <n v="0"/>
    <n v="1"/>
    <n v="0"/>
    <n v="0"/>
    <n v="0"/>
    <n v="0"/>
    <n v="0"/>
    <n v="0"/>
    <n v="0"/>
    <n v="0"/>
  </r>
  <r>
    <d v="2010-05-28T00:00:00"/>
    <n v="2010"/>
    <x v="3"/>
    <s v="R"/>
    <s v="RS"/>
    <x v="10"/>
    <s v="SAS"/>
    <s v="A"/>
    <n v="4"/>
    <n v="5"/>
    <n v="-1"/>
    <n v="1"/>
    <n v="-8"/>
    <n v="8"/>
    <n v="1452.2686231423447"/>
    <n v="1506.1003229157013"/>
    <n v="0.29203387373264561"/>
    <n v="77"/>
    <n v="71"/>
    <n v="0"/>
    <n v="6"/>
    <n v="1"/>
    <n v="0.33619895986469894"/>
    <n v="1"/>
    <n v="75.400000000000006"/>
    <n v="75.400000000000006"/>
    <n v="17.946517635397562"/>
    <n v="1470.2151407777424"/>
    <n v="1"/>
    <n v="0"/>
    <n v="0"/>
    <n v="0"/>
    <n v="0"/>
    <n v="0"/>
    <n v="0"/>
    <n v="0"/>
    <n v="0"/>
    <n v="0"/>
  </r>
  <r>
    <d v="2010-05-28T00:00:00"/>
    <n v="2010"/>
    <x v="3"/>
    <s v="R"/>
    <s v="RS"/>
    <x v="7"/>
    <s v="NYL"/>
    <s v="H"/>
    <n v="5"/>
    <n v="4"/>
    <n v="1"/>
    <n v="-1"/>
    <n v="8"/>
    <n v="-8"/>
    <n v="1506.1003229157013"/>
    <n v="1452.2686231423447"/>
    <n v="0.70796612626735445"/>
    <n v="71"/>
    <n v="77"/>
    <n v="0"/>
    <n v="-6"/>
    <n v="0"/>
    <n v="0.33619895986469894"/>
    <n v="1"/>
    <n v="75.400000000000006"/>
    <n v="75.400000000000006"/>
    <n v="-17.946517635397562"/>
    <n v="1488.1538052803037"/>
    <n v="0"/>
    <n v="1"/>
    <n v="0"/>
    <n v="0"/>
    <n v="0"/>
    <n v="0"/>
    <n v="0"/>
    <n v="0"/>
    <n v="0"/>
    <n v="0"/>
  </r>
  <r>
    <d v="2010-05-29T00:00:00"/>
    <n v="2010"/>
    <x v="5"/>
    <s v="R"/>
    <s v="RS"/>
    <x v="0"/>
    <s v="MIN"/>
    <s v="A"/>
    <n v="1"/>
    <n v="1"/>
    <n v="0"/>
    <n v="0"/>
    <n v="0"/>
    <n v="0"/>
    <n v="1446.4491096758541"/>
    <n v="1414.5611664369599"/>
    <n v="0.42556210036245934"/>
    <n v="73"/>
    <n v="58"/>
    <n v="0"/>
    <n v="15"/>
    <n v="1"/>
    <n v="0.48983159301649104"/>
    <n v="1"/>
    <n v="75.099999999999994"/>
    <n v="75.099999999999994"/>
    <n v="21.131475143284632"/>
    <n v="1467.5805848191387"/>
    <n v="1"/>
    <n v="0"/>
    <n v="0"/>
    <n v="0"/>
    <n v="0"/>
    <n v="0"/>
    <n v="0"/>
    <n v="0"/>
    <n v="0"/>
    <n v="0"/>
  </r>
  <r>
    <d v="2010-05-29T00:00:00"/>
    <n v="2010"/>
    <x v="5"/>
    <s v="R"/>
    <s v="RS"/>
    <x v="8"/>
    <s v="CHI"/>
    <s v="H"/>
    <n v="1"/>
    <n v="1"/>
    <n v="0"/>
    <n v="0"/>
    <n v="0"/>
    <n v="0"/>
    <n v="1414.5611664369599"/>
    <n v="1446.4491096758541"/>
    <n v="0.57443789963754077"/>
    <n v="58"/>
    <n v="73"/>
    <n v="0"/>
    <n v="-15"/>
    <n v="0"/>
    <n v="0.48983159301649104"/>
    <n v="1"/>
    <n v="75.099999999999994"/>
    <n v="75.099999999999994"/>
    <n v="-21.131475143284636"/>
    <n v="1393.4296912936752"/>
    <n v="0"/>
    <n v="1"/>
    <n v="0"/>
    <n v="0"/>
    <n v="0"/>
    <n v="0"/>
    <n v="0"/>
    <n v="0"/>
    <n v="0"/>
    <n v="0"/>
  </r>
  <r>
    <d v="2010-05-29T00:00:00"/>
    <n v="2010"/>
    <x v="4"/>
    <s v="R"/>
    <s v="RS"/>
    <x v="3"/>
    <s v="TUL"/>
    <s v="A"/>
    <n v="5"/>
    <n v="3"/>
    <n v="2"/>
    <n v="-2"/>
    <n v="16"/>
    <n v="-16"/>
    <n v="1526.140932102129"/>
    <n v="1467.6399821629591"/>
    <n v="0.50935452733226871"/>
    <n v="74"/>
    <n v="79"/>
    <n v="0"/>
    <n v="-5"/>
    <n v="0"/>
    <n v="0.31633442197460393"/>
    <n v="1"/>
    <n v="75.25"/>
    <n v="75.25"/>
    <n v="-12.124759341281012"/>
    <n v="1514.0161727608479"/>
    <n v="0"/>
    <n v="1"/>
    <n v="0"/>
    <n v="0"/>
    <n v="0"/>
    <n v="0"/>
    <n v="0"/>
    <n v="0"/>
    <n v="0"/>
    <n v="0"/>
  </r>
  <r>
    <d v="2010-05-29T00:00:00"/>
    <n v="2010"/>
    <x v="4"/>
    <s v="R"/>
    <s v="RS"/>
    <x v="9"/>
    <s v="IND"/>
    <s v="H"/>
    <n v="3"/>
    <n v="5"/>
    <n v="-2"/>
    <n v="2"/>
    <n v="-16"/>
    <n v="16"/>
    <n v="1467.6399821629591"/>
    <n v="1526.140932102129"/>
    <n v="0.49064547266773123"/>
    <n v="79"/>
    <n v="74"/>
    <n v="0"/>
    <n v="5"/>
    <n v="1"/>
    <n v="0.31633442197460393"/>
    <n v="1"/>
    <n v="75.25"/>
    <n v="75.25"/>
    <n v="12.124759341281013"/>
    <n v="1479.7647415042402"/>
    <n v="1"/>
    <n v="0"/>
    <n v="0"/>
    <n v="0"/>
    <n v="0"/>
    <n v="0"/>
    <n v="0"/>
    <n v="0"/>
    <n v="0"/>
    <n v="0"/>
  </r>
  <r>
    <d v="2010-05-30T00:00:00"/>
    <n v="2010"/>
    <x v="5"/>
    <s v="R"/>
    <s v="RS"/>
    <x v="6"/>
    <s v="LAS"/>
    <s v="A"/>
    <n v="1"/>
    <n v="1"/>
    <n v="0"/>
    <n v="0"/>
    <n v="0"/>
    <n v="0"/>
    <n v="1560.879386575132"/>
    <n v="1510.9842028413343"/>
    <n v="0.45107626118976435"/>
    <n v="101"/>
    <n v="82"/>
    <n v="0"/>
    <n v="19"/>
    <n v="1"/>
    <n v="0.53858363167442358"/>
    <n v="1"/>
    <n v="75.099999999999994"/>
    <n v="75.099999999999994"/>
    <n v="22.202664691130028"/>
    <n v="1583.0820512662619"/>
    <n v="1"/>
    <n v="0"/>
    <n v="0"/>
    <n v="0"/>
    <n v="0"/>
    <n v="0"/>
    <n v="0"/>
    <n v="0"/>
    <n v="0"/>
    <n v="0"/>
  </r>
  <r>
    <d v="2010-05-30T00:00:00"/>
    <n v="2010"/>
    <x v="4"/>
    <s v="R"/>
    <s v="RS"/>
    <x v="4"/>
    <s v="ATL"/>
    <s v="H"/>
    <n v="1"/>
    <n v="1"/>
    <n v="0"/>
    <n v="0"/>
    <n v="0"/>
    <n v="0"/>
    <n v="1510.9842028413343"/>
    <n v="1560.879386575132"/>
    <n v="0.54892373881023571"/>
    <n v="82"/>
    <n v="101"/>
    <n v="0"/>
    <n v="-19"/>
    <n v="0"/>
    <n v="0.53858363167442358"/>
    <n v="1"/>
    <n v="75.25"/>
    <n v="75.25"/>
    <n v="-22.247010892244141"/>
    <n v="1488.7371919490902"/>
    <n v="0"/>
    <n v="1"/>
    <n v="0"/>
    <n v="0"/>
    <n v="0"/>
    <n v="0"/>
    <n v="0"/>
    <n v="0"/>
    <n v="0"/>
    <n v="0"/>
  </r>
  <r>
    <d v="2010-05-30T00:00:00"/>
    <n v="2010"/>
    <x v="5"/>
    <s v="R"/>
    <s v="RS"/>
    <x v="11"/>
    <s v="SAS"/>
    <s v="A"/>
    <n v="2"/>
    <n v="1"/>
    <n v="1"/>
    <n v="-1"/>
    <n v="8"/>
    <n v="-8"/>
    <n v="1545.6615298331319"/>
    <n v="1488.1538052803037"/>
    <n v="0.48490499041330043"/>
    <n v="84"/>
    <n v="56"/>
    <n v="0"/>
    <n v="28"/>
    <n v="1"/>
    <n v="0.6480338658556275"/>
    <n v="1"/>
    <n v="75.099999999999994"/>
    <n v="75.099999999999994"/>
    <n v="25.068305676940319"/>
    <n v="1570.7298355100722"/>
    <n v="1"/>
    <n v="0"/>
    <n v="0"/>
    <n v="0"/>
    <n v="0"/>
    <n v="0"/>
    <n v="0"/>
    <n v="0"/>
    <n v="0"/>
    <n v="0"/>
  </r>
  <r>
    <d v="2010-05-30T00:00:00"/>
    <n v="2010"/>
    <x v="4"/>
    <s v="R"/>
    <s v="RS"/>
    <x v="7"/>
    <s v="SEA"/>
    <s v="H"/>
    <n v="1"/>
    <n v="2"/>
    <n v="-1"/>
    <n v="1"/>
    <n v="-8"/>
    <n v="8"/>
    <n v="1488.1538052803037"/>
    <n v="1545.6615298331319"/>
    <n v="0.51509500958669963"/>
    <n v="56"/>
    <n v="84"/>
    <n v="0"/>
    <n v="-28"/>
    <n v="0"/>
    <n v="0.6480338658556275"/>
    <n v="1"/>
    <n v="75.25"/>
    <n v="75.25"/>
    <n v="-25.118375528492138"/>
    <n v="1463.0354297518115"/>
    <n v="0"/>
    <n v="1"/>
    <n v="0"/>
    <n v="0"/>
    <n v="0"/>
    <n v="0"/>
    <n v="0"/>
    <n v="0"/>
    <n v="0"/>
    <n v="0"/>
  </r>
  <r>
    <d v="2010-05-30T00:00:00"/>
    <n v="2010"/>
    <x v="4"/>
    <s v="R"/>
    <s v="RS"/>
    <x v="1"/>
    <s v="WAS"/>
    <s v="A"/>
    <n v="2"/>
    <n v="1"/>
    <n v="1"/>
    <n v="-1"/>
    <n v="8"/>
    <n v="-8"/>
    <n v="1517.4742273353465"/>
    <n v="1483.0161270485628"/>
    <n v="0.4518787337242281"/>
    <n v="65"/>
    <n v="69"/>
    <n v="0"/>
    <n v="-4"/>
    <n v="0"/>
    <n v="0.3027395436085149"/>
    <n v="1"/>
    <n v="75.25"/>
    <n v="75.25"/>
    <n v="-10.2943175114585"/>
    <n v="1507.179909823888"/>
    <n v="0"/>
    <n v="1"/>
    <n v="0"/>
    <n v="0"/>
    <n v="0"/>
    <n v="0"/>
    <n v="0"/>
    <n v="0"/>
    <n v="0"/>
    <n v="0"/>
  </r>
  <r>
    <d v="2010-05-30T00:00:00"/>
    <n v="2010"/>
    <x v="6"/>
    <s v="R"/>
    <s v="RS"/>
    <x v="2"/>
    <s v="CON"/>
    <s v="H"/>
    <n v="1"/>
    <n v="2"/>
    <n v="-1"/>
    <n v="1"/>
    <n v="-8"/>
    <n v="8"/>
    <n v="1483.0161270485628"/>
    <n v="1517.4742273353465"/>
    <n v="0.54812126627577196"/>
    <n v="69"/>
    <n v="65"/>
    <n v="0"/>
    <n v="4"/>
    <n v="1"/>
    <n v="0.3027395436085149"/>
    <n v="1"/>
    <n v="74.95"/>
    <n v="74.95"/>
    <n v="10.253277042974279"/>
    <n v="1493.2694040915371"/>
    <n v="1"/>
    <n v="0"/>
    <n v="0"/>
    <n v="0"/>
    <n v="0"/>
    <n v="0"/>
    <n v="0"/>
    <n v="0"/>
    <n v="0"/>
    <n v="0"/>
  </r>
  <r>
    <d v="2010-06-01T00:00:00"/>
    <n v="2010"/>
    <x v="4"/>
    <s v="R"/>
    <s v="RS"/>
    <x v="5"/>
    <s v="MIN"/>
    <s v="A"/>
    <n v="3"/>
    <n v="2"/>
    <n v="1"/>
    <n v="-1"/>
    <n v="8"/>
    <n v="-8"/>
    <n v="1564.0756691502656"/>
    <n v="1393.4296912936752"/>
    <n v="0.64356651607114645"/>
    <n v="82"/>
    <n v="92"/>
    <n v="0"/>
    <n v="-10"/>
    <n v="0"/>
    <n v="0.37044988086038566"/>
    <n v="1"/>
    <n v="75.25"/>
    <n v="75.25"/>
    <n v="-17.940287725122797"/>
    <n v="1546.1353814251429"/>
    <n v="0"/>
    <n v="1"/>
    <n v="0"/>
    <n v="0"/>
    <n v="0"/>
    <n v="0"/>
    <n v="0"/>
    <n v="0"/>
    <n v="0"/>
    <n v="0"/>
  </r>
  <r>
    <d v="2010-06-01T00:00:00"/>
    <n v="2010"/>
    <x v="6"/>
    <s v="R"/>
    <s v="RS"/>
    <x v="8"/>
    <s v="PHX"/>
    <s v="H"/>
    <n v="2"/>
    <n v="3"/>
    <n v="-1"/>
    <n v="1"/>
    <n v="-8"/>
    <n v="8"/>
    <n v="1393.4296912936752"/>
    <n v="1564.0756691502656"/>
    <n v="0.35643348392885355"/>
    <n v="92"/>
    <n v="82"/>
    <n v="0"/>
    <n v="10"/>
    <n v="1"/>
    <n v="0.37044988086038566"/>
    <n v="1"/>
    <n v="74.95"/>
    <n v="74.95"/>
    <n v="17.868764983361512"/>
    <n v="1411.2984562770366"/>
    <n v="1"/>
    <n v="0"/>
    <n v="0"/>
    <n v="0"/>
    <n v="0"/>
    <n v="0"/>
    <n v="0"/>
    <n v="0"/>
    <n v="0"/>
    <n v="0"/>
  </r>
  <r>
    <d v="2010-06-01T00:00:00"/>
    <n v="2010"/>
    <x v="6"/>
    <s v="R"/>
    <s v="RS"/>
    <x v="6"/>
    <s v="SEA"/>
    <s v="A"/>
    <n v="1"/>
    <n v="1"/>
    <n v="0"/>
    <n v="0"/>
    <n v="0"/>
    <n v="0"/>
    <n v="1583.0820512662619"/>
    <n v="1570.7298355100722"/>
    <n v="0.39832772677828887"/>
    <n v="72"/>
    <n v="90"/>
    <n v="0"/>
    <n v="-18"/>
    <n v="0"/>
    <n v="0.54126244009236901"/>
    <n v="1"/>
    <n v="74.95"/>
    <n v="74.95"/>
    <n v="-16.159207809567111"/>
    <n v="1566.9228434566949"/>
    <n v="0"/>
    <n v="1"/>
    <n v="0"/>
    <n v="0"/>
    <n v="0"/>
    <n v="0"/>
    <n v="0"/>
    <n v="0"/>
    <n v="0"/>
    <n v="0"/>
  </r>
  <r>
    <d v="2010-06-01T00:00:00"/>
    <n v="2010"/>
    <x v="6"/>
    <s v="R"/>
    <s v="RS"/>
    <x v="11"/>
    <s v="ATL"/>
    <s v="H"/>
    <n v="1"/>
    <n v="1"/>
    <n v="0"/>
    <n v="0"/>
    <n v="0"/>
    <n v="0"/>
    <n v="1570.7298355100722"/>
    <n v="1583.0820512662619"/>
    <n v="0.60167227322171113"/>
    <n v="90"/>
    <n v="72"/>
    <n v="0"/>
    <n v="18"/>
    <n v="1"/>
    <n v="0.54126244009236901"/>
    <n v="1"/>
    <n v="74.95"/>
    <n v="74.95"/>
    <n v="16.159207809567111"/>
    <n v="1586.8890433196393"/>
    <n v="1"/>
    <n v="0"/>
    <n v="0"/>
    <n v="0"/>
    <n v="0"/>
    <n v="0"/>
    <n v="0"/>
    <n v="0"/>
    <n v="0"/>
    <n v="0"/>
  </r>
  <r>
    <d v="2010-06-03T00:00:00"/>
    <n v="2010"/>
    <x v="5"/>
    <s v="R"/>
    <s v="RS"/>
    <x v="7"/>
    <s v="IND"/>
    <s v="A"/>
    <n v="3"/>
    <n v="4"/>
    <n v="-1"/>
    <n v="1"/>
    <n v="-8"/>
    <n v="8"/>
    <n v="1463.0354297518115"/>
    <n v="1514.0161727608479"/>
    <n v="0.29543848119748412"/>
    <n v="57"/>
    <n v="79"/>
    <n v="0"/>
    <n v="-22"/>
    <n v="0"/>
    <n v="0.57752080487380364"/>
    <n v="1"/>
    <n v="75.099999999999994"/>
    <n v="75.099999999999994"/>
    <n v="-12.813702395835071"/>
    <n v="1450.2217273559766"/>
    <n v="0"/>
    <n v="1"/>
    <n v="0"/>
    <n v="0"/>
    <n v="0"/>
    <n v="0"/>
    <n v="0"/>
    <n v="0"/>
    <n v="0"/>
    <n v="0"/>
  </r>
  <r>
    <d v="2010-06-03T00:00:00"/>
    <n v="2010"/>
    <x v="5"/>
    <s v="R"/>
    <s v="RS"/>
    <x v="3"/>
    <s v="SAS"/>
    <s v="H"/>
    <n v="4"/>
    <n v="3"/>
    <n v="1"/>
    <n v="-1"/>
    <n v="8"/>
    <n v="-8"/>
    <n v="1514.0161727608479"/>
    <n v="1463.0354297518115"/>
    <n v="0.70456151880251583"/>
    <n v="79"/>
    <n v="57"/>
    <n v="0"/>
    <n v="22"/>
    <n v="1"/>
    <n v="0.57752080487380364"/>
    <n v="1"/>
    <n v="75.099999999999994"/>
    <n v="75.099999999999994"/>
    <n v="12.813702395835072"/>
    <n v="1526.8298751566829"/>
    <n v="1"/>
    <n v="0"/>
    <n v="0"/>
    <n v="0"/>
    <n v="0"/>
    <n v="0"/>
    <n v="0"/>
    <n v="0"/>
    <n v="0"/>
    <n v="0"/>
  </r>
  <r>
    <d v="2010-06-04T00:00:00"/>
    <n v="2010"/>
    <x v="6"/>
    <s v="R"/>
    <s v="RS"/>
    <x v="0"/>
    <s v="ATL"/>
    <s v="A"/>
    <n v="5"/>
    <n v="2"/>
    <n v="3"/>
    <n v="-3"/>
    <n v="16"/>
    <n v="-16"/>
    <n v="1467.5805848191387"/>
    <n v="1566.9228434566949"/>
    <n v="0.29500548532353704"/>
    <n v="80"/>
    <n v="70"/>
    <n v="0"/>
    <n v="10"/>
    <n v="1"/>
    <n v="0.39077897745829887"/>
    <n v="1"/>
    <n v="74.95"/>
    <n v="74.95"/>
    <n v="20.648502815145392"/>
    <n v="1488.229087634284"/>
    <n v="1"/>
    <n v="0"/>
    <n v="0"/>
    <n v="0"/>
    <n v="0"/>
    <n v="0"/>
    <n v="0"/>
    <n v="0"/>
    <n v="0"/>
    <n v="0"/>
  </r>
  <r>
    <d v="2010-06-04T00:00:00"/>
    <n v="2010"/>
    <x v="7"/>
    <s v="R"/>
    <s v="RS"/>
    <x v="6"/>
    <s v="CHI"/>
    <s v="H"/>
    <n v="2"/>
    <n v="5"/>
    <n v="-3"/>
    <n v="3"/>
    <n v="-16"/>
    <n v="16"/>
    <n v="1566.9228434566949"/>
    <n v="1467.5805848191387"/>
    <n v="0.70499451467646301"/>
    <n v="70"/>
    <n v="80"/>
    <n v="0"/>
    <n v="-10"/>
    <n v="0"/>
    <n v="0.39077897745829887"/>
    <n v="1"/>
    <n v="74.8"/>
    <n v="74.8"/>
    <n v="-20.607178259811544"/>
    <n v="1546.3156651968834"/>
    <n v="0"/>
    <n v="1"/>
    <n v="0"/>
    <n v="0"/>
    <n v="0"/>
    <n v="0"/>
    <n v="0"/>
    <n v="0"/>
    <n v="0"/>
    <n v="0"/>
  </r>
  <r>
    <d v="2010-06-04T00:00:00"/>
    <n v="2010"/>
    <x v="4"/>
    <s v="R"/>
    <s v="RS"/>
    <x v="10"/>
    <s v="CON"/>
    <s v="A"/>
    <n v="6"/>
    <n v="4"/>
    <n v="2"/>
    <n v="-2"/>
    <n v="16"/>
    <n v="-16"/>
    <n v="1470.2151407777424"/>
    <n v="1507.179909823888"/>
    <n v="0.37469612263865271"/>
    <n v="68"/>
    <n v="75"/>
    <n v="0"/>
    <n v="-7"/>
    <n v="0"/>
    <n v="0.3590470950333231"/>
    <n v="1"/>
    <n v="75.25"/>
    <n v="75.25"/>
    <n v="-10.123649965112767"/>
    <n v="1460.0914908126297"/>
    <n v="0"/>
    <n v="1"/>
    <n v="0"/>
    <n v="0"/>
    <n v="0"/>
    <n v="0"/>
    <n v="0"/>
    <n v="0"/>
    <n v="0"/>
    <n v="0"/>
  </r>
  <r>
    <d v="2010-06-04T00:00:00"/>
    <n v="2010"/>
    <x v="5"/>
    <s v="R"/>
    <s v="RS"/>
    <x v="1"/>
    <s v="NYL"/>
    <s v="H"/>
    <n v="4"/>
    <n v="6"/>
    <n v="-2"/>
    <n v="2"/>
    <n v="-16"/>
    <n v="16"/>
    <n v="1507.179909823888"/>
    <n v="1470.2151407777424"/>
    <n v="0.62530387736134729"/>
    <n v="75"/>
    <n v="68"/>
    <n v="0"/>
    <n v="7"/>
    <n v="1"/>
    <n v="0.3590470950333231"/>
    <n v="1"/>
    <n v="75.099999999999994"/>
    <n v="75.099999999999994"/>
    <n v="10.103469931959717"/>
    <n v="1517.2833797558478"/>
    <n v="1"/>
    <n v="0"/>
    <n v="0"/>
    <n v="0"/>
    <n v="0"/>
    <n v="0"/>
    <n v="0"/>
    <n v="0"/>
    <n v="0"/>
    <n v="0"/>
  </r>
  <r>
    <d v="2010-06-04T00:00:00"/>
    <n v="2010"/>
    <x v="5"/>
    <s v="R"/>
    <s v="RS"/>
    <x v="4"/>
    <s v="PHX"/>
    <s v="A"/>
    <n v="4"/>
    <n v="2"/>
    <n v="2"/>
    <n v="-2"/>
    <n v="16"/>
    <n v="-16"/>
    <n v="1488.7371919490902"/>
    <n v="1546.1353814251429"/>
    <n v="0.34756799754457818"/>
    <n v="89"/>
    <n v="90"/>
    <n v="0"/>
    <n v="-1"/>
    <n v="0"/>
    <n v="0.23303326472932911"/>
    <n v="1"/>
    <n v="75.099999999999994"/>
    <n v="75.099999999999994"/>
    <n v="-6.082717379261962"/>
    <n v="1482.6544745698282"/>
    <n v="0"/>
    <n v="1"/>
    <n v="0"/>
    <n v="0"/>
    <n v="0"/>
    <n v="0"/>
    <n v="0"/>
    <n v="0"/>
    <n v="0"/>
    <n v="0"/>
  </r>
  <r>
    <d v="2010-06-04T00:00:00"/>
    <n v="2010"/>
    <x v="5"/>
    <s v="R"/>
    <s v="RS"/>
    <x v="5"/>
    <s v="LAS"/>
    <s v="H"/>
    <n v="2"/>
    <n v="4"/>
    <n v="-2"/>
    <n v="2"/>
    <n v="-16"/>
    <n v="16"/>
    <n v="1546.1353814251429"/>
    <n v="1488.7371919490902"/>
    <n v="0.65243200245542188"/>
    <n v="90"/>
    <n v="89"/>
    <n v="0"/>
    <n v="1"/>
    <n v="1"/>
    <n v="0.23303326472932911"/>
    <n v="1"/>
    <n v="75.099999999999994"/>
    <n v="75.099999999999994"/>
    <n v="6.0827173792619611"/>
    <n v="1552.2180988044049"/>
    <n v="1"/>
    <n v="0"/>
    <n v="0"/>
    <n v="0"/>
    <n v="0"/>
    <n v="0"/>
    <n v="0"/>
    <n v="0"/>
    <n v="0"/>
    <n v="0"/>
  </r>
  <r>
    <d v="2010-06-04T00:00:00"/>
    <n v="2010"/>
    <x v="7"/>
    <s v="R"/>
    <s v="RS"/>
    <x v="8"/>
    <s v="TUL"/>
    <s v="A"/>
    <n v="2"/>
    <n v="5"/>
    <n v="-3"/>
    <n v="3"/>
    <n v="-16"/>
    <n v="16"/>
    <n v="1411.2984562770366"/>
    <n v="1479.7647415042402"/>
    <n v="0.25695162812238143"/>
    <n v="79"/>
    <n v="92"/>
    <n v="0"/>
    <n v="-13"/>
    <n v="0"/>
    <n v="0.44656488972072284"/>
    <n v="1"/>
    <n v="74.8"/>
    <n v="74.8"/>
    <n v="-8.5829690456071521"/>
    <n v="1402.7154872314295"/>
    <n v="0"/>
    <n v="1"/>
    <n v="0"/>
    <n v="0"/>
    <n v="0"/>
    <n v="0"/>
    <n v="0"/>
    <n v="0"/>
    <n v="0"/>
    <n v="0"/>
  </r>
  <r>
    <d v="2010-06-04T00:00:00"/>
    <n v="2010"/>
    <x v="5"/>
    <s v="R"/>
    <s v="RS"/>
    <x v="9"/>
    <s v="MIN"/>
    <s v="H"/>
    <n v="5"/>
    <n v="2"/>
    <n v="3"/>
    <n v="-3"/>
    <n v="16"/>
    <n v="-16"/>
    <n v="1479.7647415042402"/>
    <n v="1411.2984562770366"/>
    <n v="0.74304837187761863"/>
    <n v="92"/>
    <n v="79"/>
    <n v="0"/>
    <n v="13"/>
    <n v="1"/>
    <n v="0.44656488972072284"/>
    <n v="1"/>
    <n v="75.099999999999994"/>
    <n v="75.099999999999994"/>
    <n v="8.6173927182499597"/>
    <n v="1488.3821342224901"/>
    <n v="1"/>
    <n v="0"/>
    <n v="0"/>
    <n v="0"/>
    <n v="0"/>
    <n v="0"/>
    <n v="0"/>
    <n v="0"/>
    <n v="0"/>
    <n v="0"/>
  </r>
  <r>
    <d v="2010-06-05T00:00:00"/>
    <n v="2010"/>
    <x v="6"/>
    <s v="R"/>
    <s v="RS"/>
    <x v="9"/>
    <s v="CHI"/>
    <s v="A"/>
    <n v="0"/>
    <n v="0"/>
    <n v="0"/>
    <n v="0"/>
    <n v="0"/>
    <n v="0"/>
    <n v="1488.3821342224901"/>
    <n v="1488.229087634284"/>
    <n v="0.38162376247017621"/>
    <n v="70"/>
    <n v="95"/>
    <n v="0"/>
    <n v="-25"/>
    <n v="0"/>
    <n v="0.64126290914351691"/>
    <n v="1"/>
    <n v="74.95"/>
    <n v="74.95"/>
    <n v="-18.341851250787983"/>
    <n v="1470.040282971702"/>
    <n v="0"/>
    <n v="1"/>
    <n v="0"/>
    <n v="0"/>
    <n v="0"/>
    <n v="0"/>
    <n v="0"/>
    <n v="0"/>
    <n v="0"/>
    <n v="0"/>
  </r>
  <r>
    <d v="2010-06-05T00:00:00"/>
    <n v="2010"/>
    <x v="7"/>
    <s v="R"/>
    <s v="RS"/>
    <x v="0"/>
    <s v="TUL"/>
    <s v="H"/>
    <n v="0"/>
    <n v="0"/>
    <n v="0"/>
    <n v="0"/>
    <n v="0"/>
    <n v="0"/>
    <n v="1488.229087634284"/>
    <n v="1488.3821342224901"/>
    <n v="0.61837623752982374"/>
    <n v="95"/>
    <n v="70"/>
    <n v="0"/>
    <n v="25"/>
    <n v="1"/>
    <n v="0.64126290914351691"/>
    <n v="1"/>
    <n v="74.8"/>
    <n v="74.8"/>
    <n v="18.305143076169994"/>
    <n v="1506.534230710454"/>
    <n v="1"/>
    <n v="0"/>
    <n v="0"/>
    <n v="0"/>
    <n v="0"/>
    <n v="0"/>
    <n v="0"/>
    <n v="0"/>
    <n v="0"/>
    <n v="0"/>
  </r>
  <r>
    <d v="2010-06-05T00:00:00"/>
    <n v="2010"/>
    <x v="5"/>
    <s v="R"/>
    <s v="RS"/>
    <x v="10"/>
    <s v="IND"/>
    <s v="A"/>
    <n v="0"/>
    <n v="1"/>
    <n v="-1"/>
    <n v="1"/>
    <n v="-8"/>
    <n v="8"/>
    <n v="1460.0914908126297"/>
    <n v="1526.8298751566829"/>
    <n v="0.27691357544498951"/>
    <n v="73"/>
    <n v="78"/>
    <n v="0"/>
    <n v="-5"/>
    <n v="0"/>
    <n v="0.31427734050993211"/>
    <n v="1"/>
    <n v="75.099999999999994"/>
    <n v="75.099999999999994"/>
    <n v="-6.5357774193502749"/>
    <n v="1453.5557133932793"/>
    <n v="0"/>
    <n v="1"/>
    <n v="0"/>
    <n v="0"/>
    <n v="0"/>
    <n v="0"/>
    <n v="0"/>
    <n v="0"/>
    <n v="0"/>
    <n v="0"/>
  </r>
  <r>
    <d v="2010-06-05T00:00:00"/>
    <n v="2010"/>
    <x v="6"/>
    <s v="R"/>
    <s v="RS"/>
    <x v="3"/>
    <s v="NYL"/>
    <s v="H"/>
    <n v="1"/>
    <n v="0"/>
    <n v="1"/>
    <n v="-1"/>
    <n v="8"/>
    <n v="-8"/>
    <n v="1526.8298751566829"/>
    <n v="1460.0914908126297"/>
    <n v="0.72308642455501049"/>
    <n v="78"/>
    <n v="73"/>
    <n v="0"/>
    <n v="5"/>
    <n v="1"/>
    <n v="0.31427734050993211"/>
    <n v="1"/>
    <n v="74.95"/>
    <n v="74.95"/>
    <n v="6.5227232700439837"/>
    <n v="1533.3525984267269"/>
    <n v="1"/>
    <n v="0"/>
    <n v="0"/>
    <n v="0"/>
    <n v="0"/>
    <n v="0"/>
    <n v="0"/>
    <n v="0"/>
    <n v="0"/>
    <n v="0"/>
  </r>
  <r>
    <d v="2010-06-05T00:00:00"/>
    <n v="2010"/>
    <x v="7"/>
    <s v="R"/>
    <s v="RS"/>
    <x v="11"/>
    <s v="LAS"/>
    <s v="A"/>
    <n v="3"/>
    <n v="0"/>
    <n v="3"/>
    <n v="-3"/>
    <n v="16"/>
    <n v="-16"/>
    <n v="1586.8890433196393"/>
    <n v="1482.6544745698282"/>
    <n v="0.57461029179313283"/>
    <n v="79"/>
    <n v="75"/>
    <n v="0"/>
    <n v="4"/>
    <n v="1"/>
    <n v="0.28654299681911366"/>
    <n v="1"/>
    <n v="74.8"/>
    <n v="74.8"/>
    <n v="9.1175546470591815"/>
    <n v="1596.0065979666986"/>
    <n v="1"/>
    <n v="0"/>
    <n v="0"/>
    <n v="0"/>
    <n v="0"/>
    <n v="0"/>
    <n v="0"/>
    <n v="0"/>
    <n v="0"/>
    <n v="0"/>
  </r>
  <r>
    <d v="2010-06-05T00:00:00"/>
    <n v="2010"/>
    <x v="6"/>
    <s v="R"/>
    <s v="RS"/>
    <x v="4"/>
    <s v="SEA"/>
    <s v="H"/>
    <n v="0"/>
    <n v="3"/>
    <n v="-3"/>
    <n v="3"/>
    <n v="-16"/>
    <n v="16"/>
    <n v="1482.6544745698282"/>
    <n v="1586.8890433196393"/>
    <n v="0.42538970820686711"/>
    <n v="75"/>
    <n v="79"/>
    <n v="0"/>
    <n v="-4"/>
    <n v="0"/>
    <n v="0.28654299681911366"/>
    <n v="1"/>
    <n v="74.95"/>
    <n v="74.95"/>
    <n v="-9.1358385133300217"/>
    <n v="1473.5186360564981"/>
    <n v="0"/>
    <n v="1"/>
    <n v="0"/>
    <n v="0"/>
    <n v="0"/>
    <n v="0"/>
    <n v="0"/>
    <n v="0"/>
    <n v="0"/>
    <n v="0"/>
  </r>
  <r>
    <d v="2010-06-05T00:00:00"/>
    <n v="2010"/>
    <x v="8"/>
    <s v="R"/>
    <s v="RS"/>
    <x v="6"/>
    <s v="WAS"/>
    <s v="A"/>
    <n v="0"/>
    <n v="5"/>
    <n v="-5"/>
    <n v="5"/>
    <n v="-16"/>
    <n v="16"/>
    <n v="1546.3156651968834"/>
    <n v="1493.2694040915371"/>
    <n v="0.41038093159240974"/>
    <n v="86"/>
    <n v="79"/>
    <n v="1"/>
    <n v="7"/>
    <n v="1"/>
    <n v="0.31899520288542699"/>
    <n v="1"/>
    <n v="74.650000000000006"/>
    <n v="74.650000000000006"/>
    <n v="14.04059409736155"/>
    <n v="1560.3562592942449"/>
    <n v="1"/>
    <n v="0"/>
    <n v="0"/>
    <n v="0"/>
    <n v="0"/>
    <n v="0"/>
    <n v="0"/>
    <n v="0"/>
    <n v="0"/>
    <n v="0"/>
  </r>
  <r>
    <d v="2010-06-05T00:00:00"/>
    <n v="2010"/>
    <x v="7"/>
    <s v="R"/>
    <s v="RS"/>
    <x v="2"/>
    <s v="ATL"/>
    <s v="H"/>
    <n v="5"/>
    <n v="0"/>
    <n v="5"/>
    <n v="-5"/>
    <n v="16"/>
    <n v="-16"/>
    <n v="1493.2694040915371"/>
    <n v="1546.3156651968834"/>
    <n v="0.58961906840759026"/>
    <n v="79"/>
    <n v="86"/>
    <n v="1"/>
    <n v="-7"/>
    <n v="0"/>
    <n v="0.31899520288542699"/>
    <n v="1"/>
    <n v="74.8"/>
    <n v="74.8"/>
    <n v="-14.068806945514318"/>
    <n v="1479.2005971460228"/>
    <n v="0"/>
    <n v="1"/>
    <n v="0"/>
    <n v="0"/>
    <n v="0"/>
    <n v="0"/>
    <n v="0"/>
    <n v="0"/>
    <n v="0"/>
    <n v="0"/>
  </r>
  <r>
    <d v="2010-06-06T00:00:00"/>
    <n v="2010"/>
    <x v="6"/>
    <s v="R"/>
    <s v="RS"/>
    <x v="7"/>
    <s v="CON"/>
    <s v="A"/>
    <n v="2"/>
    <n v="1"/>
    <n v="1"/>
    <n v="-1"/>
    <n v="8"/>
    <n v="-8"/>
    <n v="1450.2217273559766"/>
    <n v="1517.2833797558478"/>
    <n v="0.31486382537291302"/>
    <n v="68"/>
    <n v="81"/>
    <n v="0"/>
    <n v="-13"/>
    <n v="0"/>
    <n v="0.44705994037784569"/>
    <n v="1"/>
    <n v="74.95"/>
    <n v="74.95"/>
    <n v="-10.550187074726702"/>
    <n v="1439.6715402812499"/>
    <n v="0"/>
    <n v="1"/>
    <n v="0"/>
    <n v="0"/>
    <n v="0"/>
    <n v="0"/>
    <n v="0"/>
    <n v="0"/>
    <n v="0"/>
    <n v="0"/>
  </r>
  <r>
    <d v="2010-06-06T00:00:00"/>
    <n v="2010"/>
    <x v="6"/>
    <s v="R"/>
    <s v="RS"/>
    <x v="1"/>
    <s v="SAS"/>
    <s v="H"/>
    <n v="1"/>
    <n v="2"/>
    <n v="-1"/>
    <n v="1"/>
    <n v="-8"/>
    <n v="8"/>
    <n v="1517.2833797558478"/>
    <n v="1450.2217273559766"/>
    <n v="0.68513617462708698"/>
    <n v="81"/>
    <n v="68"/>
    <n v="0"/>
    <n v="13"/>
    <n v="1"/>
    <n v="0.44705994037784569"/>
    <n v="1"/>
    <n v="74.95"/>
    <n v="74.95"/>
    <n v="10.550187074726702"/>
    <n v="1527.8335668305745"/>
    <n v="1"/>
    <n v="0"/>
    <n v="0"/>
    <n v="0"/>
    <n v="0"/>
    <n v="0"/>
    <n v="0"/>
    <n v="0"/>
    <n v="0"/>
    <n v="0"/>
  </r>
  <r>
    <d v="2010-06-06T00:00:00"/>
    <n v="2010"/>
    <x v="7"/>
    <s v="R"/>
    <s v="RS"/>
    <x v="3"/>
    <s v="MIN"/>
    <s v="A"/>
    <n v="0"/>
    <n v="1"/>
    <n v="-1"/>
    <n v="1"/>
    <n v="-8"/>
    <n v="8"/>
    <n v="1533.3525984267269"/>
    <n v="1402.7154872314295"/>
    <n v="0.54397642178662908"/>
    <n v="89"/>
    <n v="51"/>
    <n v="0"/>
    <n v="38"/>
    <n v="1"/>
    <n v="0.71782973058662869"/>
    <n v="1"/>
    <n v="74.8"/>
    <n v="74.8"/>
    <n v="24.485576715296073"/>
    <n v="1557.8381751420229"/>
    <n v="1"/>
    <n v="0"/>
    <n v="0"/>
    <n v="0"/>
    <n v="0"/>
    <n v="0"/>
    <n v="0"/>
    <n v="0"/>
    <n v="0"/>
    <n v="0"/>
  </r>
  <r>
    <d v="2010-06-06T00:00:00"/>
    <n v="2010"/>
    <x v="8"/>
    <s v="R"/>
    <s v="RS"/>
    <x v="8"/>
    <s v="IND"/>
    <s v="H"/>
    <n v="1"/>
    <n v="0"/>
    <n v="1"/>
    <n v="-1"/>
    <n v="8"/>
    <n v="-8"/>
    <n v="1402.7154872314295"/>
    <n v="1533.3525984267269"/>
    <n v="0.45602357821337097"/>
    <n v="51"/>
    <n v="89"/>
    <n v="0"/>
    <n v="-38"/>
    <n v="0"/>
    <n v="0.71782973058662869"/>
    <n v="1"/>
    <n v="74.650000000000006"/>
    <n v="74.650000000000006"/>
    <n v="-24.43647462295257"/>
    <n v="1378.2790126084769"/>
    <n v="0"/>
    <n v="1"/>
    <n v="0"/>
    <n v="0"/>
    <n v="0"/>
    <n v="0"/>
    <n v="0"/>
    <n v="0"/>
    <n v="0"/>
    <n v="0"/>
  </r>
  <r>
    <d v="2010-06-06T00:00:00"/>
    <n v="2010"/>
    <x v="6"/>
    <s v="R"/>
    <s v="RS"/>
    <x v="5"/>
    <s v="SEA"/>
    <s v="A"/>
    <n v="1"/>
    <n v="0"/>
    <n v="1"/>
    <n v="-1"/>
    <n v="8"/>
    <n v="-8"/>
    <n v="1552.2180988044049"/>
    <n v="1596.0065979666986"/>
    <n v="0.34445435951493208"/>
    <n v="74"/>
    <n v="97"/>
    <n v="0"/>
    <n v="-23"/>
    <n v="0"/>
    <n v="0.59367434541455144"/>
    <n v="1"/>
    <n v="74.95"/>
    <n v="74.95"/>
    <n v="-15.32680404494568"/>
    <n v="1536.8912947594592"/>
    <n v="0"/>
    <n v="1"/>
    <n v="0"/>
    <n v="0"/>
    <n v="0"/>
    <n v="0"/>
    <n v="0"/>
    <n v="0"/>
    <n v="0"/>
    <n v="0"/>
  </r>
  <r>
    <d v="2010-06-06T00:00:00"/>
    <n v="2010"/>
    <x v="8"/>
    <s v="R"/>
    <s v="RS"/>
    <x v="11"/>
    <s v="PHX"/>
    <s v="H"/>
    <n v="0"/>
    <n v="1"/>
    <n v="-1"/>
    <n v="1"/>
    <n v="-8"/>
    <n v="8"/>
    <n v="1596.0065979666986"/>
    <n v="1552.2180988044049"/>
    <n v="0.65554564048506792"/>
    <n v="97"/>
    <n v="74"/>
    <n v="0"/>
    <n v="23"/>
    <n v="1"/>
    <n v="0.59367434541455144"/>
    <n v="1"/>
    <n v="74.650000000000006"/>
    <n v="74.650000000000006"/>
    <n v="15.265455930022616"/>
    <n v="1611.2720538967212"/>
    <n v="1"/>
    <n v="0"/>
    <n v="0"/>
    <n v="0"/>
    <n v="0"/>
    <n v="0"/>
    <n v="0"/>
    <n v="0"/>
    <n v="0"/>
    <n v="0"/>
  </r>
  <r>
    <d v="2010-06-08T00:00:00"/>
    <n v="2010"/>
    <x v="6"/>
    <s v="R"/>
    <s v="RS"/>
    <x v="10"/>
    <s v="CHI"/>
    <s v="A"/>
    <n v="2"/>
    <n v="2"/>
    <n v="0"/>
    <n v="0"/>
    <n v="0"/>
    <n v="0"/>
    <n v="1453.5557133932793"/>
    <n v="1506.534230710454"/>
    <n v="0.31248831912388148"/>
    <n v="85"/>
    <n v="70"/>
    <n v="0"/>
    <n v="15"/>
    <n v="1"/>
    <n v="0.48158657575911901"/>
    <n v="1"/>
    <n v="74.95"/>
    <n v="74.95"/>
    <n v="24.815674894255082"/>
    <n v="1478.3713882875345"/>
    <n v="1"/>
    <n v="0"/>
    <n v="0"/>
    <n v="0"/>
    <n v="0"/>
    <n v="0"/>
    <n v="0"/>
    <n v="0"/>
    <n v="0"/>
    <n v="0"/>
  </r>
  <r>
    <d v="2010-06-08T00:00:00"/>
    <n v="2010"/>
    <x v="8"/>
    <s v="R"/>
    <s v="RS"/>
    <x v="0"/>
    <s v="NYL"/>
    <s v="H"/>
    <n v="2"/>
    <n v="2"/>
    <n v="0"/>
    <n v="0"/>
    <n v="0"/>
    <n v="0"/>
    <n v="1506.534230710454"/>
    <n v="1453.5557133932793"/>
    <n v="0.68751168087611858"/>
    <n v="70"/>
    <n v="85"/>
    <n v="0"/>
    <n v="-15"/>
    <n v="0"/>
    <n v="0.48158657575911901"/>
    <n v="1"/>
    <n v="74.650000000000006"/>
    <n v="74.650000000000006"/>
    <n v="-24.716345975398827"/>
    <n v="1481.8178847350553"/>
    <n v="0"/>
    <n v="1"/>
    <n v="0"/>
    <n v="0"/>
    <n v="0"/>
    <n v="0"/>
    <n v="0"/>
    <n v="0"/>
    <n v="0"/>
    <n v="0"/>
  </r>
  <r>
    <d v="2010-06-08T00:00:00"/>
    <n v="2010"/>
    <x v="7"/>
    <s v="R"/>
    <s v="RS"/>
    <x v="5"/>
    <s v="LAS"/>
    <s v="A"/>
    <n v="1"/>
    <n v="2"/>
    <n v="-1"/>
    <n v="1"/>
    <n v="-8"/>
    <n v="8"/>
    <n v="1536.8912947594592"/>
    <n v="1473.5186360564981"/>
    <n v="0.44748342743600128"/>
    <n v="91"/>
    <n v="92"/>
    <n v="0"/>
    <n v="-1"/>
    <n v="0"/>
    <n v="0.23193125412352675"/>
    <n v="1"/>
    <n v="74.8"/>
    <n v="74.8"/>
    <n v="-7.7631473608495014"/>
    <n v="1529.1281473986098"/>
    <n v="0"/>
    <n v="1"/>
    <n v="0"/>
    <n v="0"/>
    <n v="0"/>
    <n v="0"/>
    <n v="0"/>
    <n v="0"/>
    <n v="0"/>
    <n v="0"/>
  </r>
  <r>
    <d v="2010-06-08T00:00:00"/>
    <n v="2010"/>
    <x v="7"/>
    <s v="R"/>
    <s v="RS"/>
    <x v="4"/>
    <s v="PHX"/>
    <s v="H"/>
    <n v="2"/>
    <n v="1"/>
    <n v="1"/>
    <n v="-1"/>
    <n v="8"/>
    <n v="-8"/>
    <n v="1473.5186360564981"/>
    <n v="1536.8912947594592"/>
    <n v="0.55251657256399866"/>
    <n v="92"/>
    <n v="91"/>
    <n v="0"/>
    <n v="1"/>
    <n v="1"/>
    <n v="0.23193125412352675"/>
    <n v="1"/>
    <n v="74.8"/>
    <n v="74.8"/>
    <n v="7.7631473608495023"/>
    <n v="1481.2817834173475"/>
    <n v="1"/>
    <n v="0"/>
    <n v="0"/>
    <n v="0"/>
    <n v="0"/>
    <n v="0"/>
    <n v="0"/>
    <n v="0"/>
    <n v="0"/>
    <n v="0"/>
  </r>
  <r>
    <d v="2010-06-10T00:00:00"/>
    <n v="2010"/>
    <x v="9"/>
    <s v="R"/>
    <s v="RS"/>
    <x v="8"/>
    <s v="PHX"/>
    <s v="A"/>
    <n v="3"/>
    <n v="1"/>
    <n v="2"/>
    <n v="-2"/>
    <n v="16"/>
    <n v="-16"/>
    <n v="1378.2790126084769"/>
    <n v="1529.1281473986098"/>
    <n v="0.23727215076271974"/>
    <n v="88"/>
    <n v="99"/>
    <n v="0"/>
    <n v="-11"/>
    <n v="0"/>
    <n v="0.39071954870160752"/>
    <n v="1"/>
    <n v="74.5"/>
    <n v="74.5"/>
    <n v="-6.9066616410774886"/>
    <n v="1371.3723509673994"/>
    <n v="0"/>
    <n v="1"/>
    <n v="0"/>
    <n v="0"/>
    <n v="0"/>
    <n v="0"/>
    <n v="0"/>
    <n v="0"/>
    <n v="0"/>
    <n v="0"/>
  </r>
  <r>
    <d v="2010-06-10T00:00:00"/>
    <n v="2010"/>
    <x v="8"/>
    <s v="R"/>
    <s v="RS"/>
    <x v="5"/>
    <s v="MIN"/>
    <s v="H"/>
    <n v="1"/>
    <n v="3"/>
    <n v="-2"/>
    <n v="2"/>
    <n v="-16"/>
    <n v="16"/>
    <n v="1529.1281473986098"/>
    <n v="1378.2790126084769"/>
    <n v="0.76272784923728032"/>
    <n v="99"/>
    <n v="88"/>
    <n v="0"/>
    <n v="11"/>
    <n v="1"/>
    <n v="0.39071954870160752"/>
    <n v="1"/>
    <n v="74.650000000000006"/>
    <n v="74.650000000000006"/>
    <n v="6.9205676712273076"/>
    <n v="1536.048715069837"/>
    <n v="1"/>
    <n v="0"/>
    <n v="0"/>
    <n v="0"/>
    <n v="0"/>
    <n v="0"/>
    <n v="0"/>
    <n v="0"/>
    <n v="0"/>
    <n v="0"/>
  </r>
  <r>
    <d v="2010-06-11T00:00:00"/>
    <n v="2010"/>
    <x v="8"/>
    <s v="R"/>
    <s v="RS"/>
    <x v="2"/>
    <s v="CHI"/>
    <s v="A"/>
    <n v="5"/>
    <n v="2"/>
    <n v="3"/>
    <n v="-3"/>
    <n v="16"/>
    <n v="-16"/>
    <n v="1479.2005971460228"/>
    <n v="1481.8178847350553"/>
    <n v="0.42204053304234168"/>
    <n v="95"/>
    <n v="78"/>
    <n v="0"/>
    <n v="17"/>
    <n v="1"/>
    <n v="0.53128330142276903"/>
    <n v="1"/>
    <n v="74.650000000000006"/>
    <n v="74.650000000000006"/>
    <n v="22.922044952242807"/>
    <n v="1502.1226420982657"/>
    <n v="1"/>
    <n v="0"/>
    <n v="0"/>
    <n v="0"/>
    <n v="0"/>
    <n v="0"/>
    <n v="0"/>
    <n v="0"/>
    <n v="0"/>
    <n v="0"/>
  </r>
  <r>
    <d v="2010-06-11T00:00:00"/>
    <n v="2010"/>
    <x v="9"/>
    <s v="R"/>
    <s v="RS"/>
    <x v="0"/>
    <s v="WAS"/>
    <s v="H"/>
    <n v="2"/>
    <n v="5"/>
    <n v="-3"/>
    <n v="3"/>
    <n v="-16"/>
    <n v="16"/>
    <n v="1481.8178847350553"/>
    <n v="1479.2005971460228"/>
    <n v="0.57795946695765832"/>
    <n v="78"/>
    <n v="95"/>
    <n v="0"/>
    <n v="-17"/>
    <n v="0"/>
    <n v="0.53128330142276903"/>
    <n v="1"/>
    <n v="74.5"/>
    <n v="74.5"/>
    <n v="-22.875985920188732"/>
    <n v="1458.9418988148666"/>
    <n v="0"/>
    <n v="1"/>
    <n v="0"/>
    <n v="0"/>
    <n v="0"/>
    <n v="0"/>
    <n v="0"/>
    <n v="0"/>
    <n v="0"/>
    <n v="0"/>
  </r>
  <r>
    <d v="2010-06-11T00:00:00"/>
    <n v="2010"/>
    <x v="8"/>
    <s v="R"/>
    <s v="RS"/>
    <x v="3"/>
    <s v="CON"/>
    <s v="A"/>
    <n v="4"/>
    <n v="4"/>
    <n v="0"/>
    <n v="0"/>
    <n v="0"/>
    <n v="0"/>
    <n v="1557.8381751420229"/>
    <n v="1527.8335668305745"/>
    <n v="0.42291399842119487"/>
    <n v="77"/>
    <n v="86"/>
    <n v="0"/>
    <n v="-9"/>
    <n v="0"/>
    <n v="0.39606829867529775"/>
    <n v="1"/>
    <n v="74.650000000000006"/>
    <n v="74.650000000000006"/>
    <n v="-12.504086098304539"/>
    <n v="1545.3340890437184"/>
    <n v="0"/>
    <n v="1"/>
    <n v="0"/>
    <n v="0"/>
    <n v="0"/>
    <n v="0"/>
    <n v="0"/>
    <n v="0"/>
    <n v="0"/>
    <n v="0"/>
  </r>
  <r>
    <d v="2010-06-11T00:00:00"/>
    <n v="2010"/>
    <x v="7"/>
    <s v="R"/>
    <s v="RS"/>
    <x v="1"/>
    <s v="IND"/>
    <s v="H"/>
    <n v="4"/>
    <n v="4"/>
    <n v="0"/>
    <n v="0"/>
    <n v="0"/>
    <n v="0"/>
    <n v="1527.8335668305745"/>
    <n v="1557.8381751420229"/>
    <n v="0.57708600157880519"/>
    <n v="86"/>
    <n v="77"/>
    <n v="0"/>
    <n v="9"/>
    <n v="1"/>
    <n v="0.39606829867529775"/>
    <n v="1"/>
    <n v="74.8"/>
    <n v="74.8"/>
    <n v="12.529211522480633"/>
    <n v="1540.3627783530551"/>
    <n v="1"/>
    <n v="0"/>
    <n v="0"/>
    <n v="0"/>
    <n v="0"/>
    <n v="0"/>
    <n v="0"/>
    <n v="0"/>
    <n v="0"/>
    <n v="0"/>
  </r>
  <r>
    <d v="2010-06-11T00:00:00"/>
    <n v="2010"/>
    <x v="9"/>
    <s v="R"/>
    <s v="RS"/>
    <x v="6"/>
    <s v="NYL"/>
    <s v="A"/>
    <n v="5"/>
    <n v="2"/>
    <n v="3"/>
    <n v="-3"/>
    <n v="16"/>
    <n v="-16"/>
    <n v="1560.3562592942449"/>
    <n v="1478.3713882875345"/>
    <n v="0.54304488109650761"/>
    <n v="79"/>
    <n v="91"/>
    <n v="0"/>
    <n v="-12"/>
    <n v="0"/>
    <n v="0.4269592754725916"/>
    <n v="1"/>
    <n v="74.5"/>
    <n v="74.5"/>
    <n v="-17.273424649163807"/>
    <n v="1543.082834645081"/>
    <n v="0"/>
    <n v="1"/>
    <n v="0"/>
    <n v="0"/>
    <n v="0"/>
    <n v="0"/>
    <n v="0"/>
    <n v="0"/>
    <n v="0"/>
    <n v="0"/>
  </r>
  <r>
    <d v="2010-06-11T00:00:00"/>
    <n v="2010"/>
    <x v="7"/>
    <s v="R"/>
    <s v="RS"/>
    <x v="10"/>
    <s v="ATL"/>
    <s v="H"/>
    <n v="2"/>
    <n v="5"/>
    <n v="-3"/>
    <n v="3"/>
    <n v="-16"/>
    <n v="16"/>
    <n v="1478.3713882875345"/>
    <n v="1560.3562592942449"/>
    <n v="0.45695511890349244"/>
    <n v="91"/>
    <n v="79"/>
    <n v="0"/>
    <n v="12"/>
    <n v="1"/>
    <n v="0.4269592754725916"/>
    <n v="1"/>
    <n v="74.8"/>
    <n v="74.8"/>
    <n v="17.342982063858425"/>
    <n v="1495.714370351393"/>
    <n v="1"/>
    <n v="0"/>
    <n v="0"/>
    <n v="0"/>
    <n v="0"/>
    <n v="0"/>
    <n v="0"/>
    <n v="0"/>
    <n v="0"/>
    <n v="0"/>
  </r>
  <r>
    <d v="2010-06-11T00:00:00"/>
    <n v="2010"/>
    <x v="7"/>
    <s v="R"/>
    <s v="RS"/>
    <x v="9"/>
    <s v="SAS"/>
    <s v="A"/>
    <n v="5"/>
    <n v="4"/>
    <n v="1"/>
    <n v="-1"/>
    <n v="8"/>
    <n v="-8"/>
    <n v="1470.040282971702"/>
    <n v="1439.6715402812499"/>
    <n v="0.44605505207641921"/>
    <n v="75"/>
    <n v="87"/>
    <n v="0"/>
    <n v="-12"/>
    <n v="0"/>
    <n v="0.44487096648354774"/>
    <n v="1"/>
    <n v="74.8"/>
    <n v="74.8"/>
    <n v="-14.843083270733514"/>
    <n v="1455.1971997009684"/>
    <n v="0"/>
    <n v="1"/>
    <n v="0"/>
    <n v="0"/>
    <n v="0"/>
    <n v="0"/>
    <n v="0"/>
    <n v="0"/>
    <n v="0"/>
    <n v="0"/>
  </r>
  <r>
    <d v="2010-06-11T00:00:00"/>
    <n v="2010"/>
    <x v="7"/>
    <s v="R"/>
    <s v="RS"/>
    <x v="7"/>
    <s v="TUL"/>
    <s v="H"/>
    <n v="4"/>
    <n v="5"/>
    <n v="-1"/>
    <n v="1"/>
    <n v="-8"/>
    <n v="8"/>
    <n v="1439.6715402812499"/>
    <n v="1470.040282971702"/>
    <n v="0.55394494792358084"/>
    <n v="87"/>
    <n v="75"/>
    <n v="0"/>
    <n v="12"/>
    <n v="1"/>
    <n v="0.44487096648354774"/>
    <n v="1"/>
    <n v="74.8"/>
    <n v="74.8"/>
    <n v="14.843083270733512"/>
    <n v="1454.5146235519835"/>
    <n v="1"/>
    <n v="0"/>
    <n v="0"/>
    <n v="0"/>
    <n v="0"/>
    <n v="0"/>
    <n v="0"/>
    <n v="0"/>
    <n v="0"/>
    <n v="0"/>
  </r>
  <r>
    <d v="2010-06-11T00:00:00"/>
    <n v="2010"/>
    <x v="8"/>
    <s v="R"/>
    <s v="RS"/>
    <x v="4"/>
    <s v="SEA"/>
    <s v="A"/>
    <n v="2"/>
    <n v="4"/>
    <n v="-2"/>
    <n v="2"/>
    <n v="-16"/>
    <n v="16"/>
    <n v="1481.2817834173475"/>
    <n v="1611.2720538967212"/>
    <n v="0.19528410784905839"/>
    <n v="60"/>
    <n v="82"/>
    <n v="0"/>
    <n v="-22"/>
    <n v="0"/>
    <n v="0.54321254946008424"/>
    <n v="1"/>
    <n v="74.650000000000006"/>
    <n v="74.650000000000006"/>
    <n v="-7.9189300846965756"/>
    <n v="1473.362853332651"/>
    <n v="0"/>
    <n v="1"/>
    <n v="0"/>
    <n v="0"/>
    <n v="0"/>
    <n v="0"/>
    <n v="0"/>
    <n v="0"/>
    <n v="0"/>
    <n v="0"/>
  </r>
  <r>
    <d v="2010-06-11T00:00:00"/>
    <n v="2010"/>
    <x v="9"/>
    <s v="R"/>
    <s v="RS"/>
    <x v="11"/>
    <s v="LAS"/>
    <s v="H"/>
    <n v="4"/>
    <n v="2"/>
    <n v="2"/>
    <n v="-2"/>
    <n v="16"/>
    <n v="-16"/>
    <n v="1611.2720538967212"/>
    <n v="1481.2817834173475"/>
    <n v="0.80471589215094164"/>
    <n v="82"/>
    <n v="60"/>
    <n v="0"/>
    <n v="22"/>
    <n v="1"/>
    <n v="0.54321254946008424"/>
    <n v="1"/>
    <n v="74.5"/>
    <n v="74.5"/>
    <n v="7.9030179679825157"/>
    <n v="1619.1750718647038"/>
    <n v="1"/>
    <n v="0"/>
    <n v="0"/>
    <n v="0"/>
    <n v="0"/>
    <n v="0"/>
    <n v="0"/>
    <n v="0"/>
    <n v="0"/>
    <n v="0"/>
  </r>
  <r>
    <d v="2010-06-12T00:00:00"/>
    <n v="2010"/>
    <x v="8"/>
    <s v="R"/>
    <s v="RS"/>
    <x v="9"/>
    <s v="PHX"/>
    <s v="A"/>
    <n v="0"/>
    <n v="1"/>
    <n v="-1"/>
    <n v="1"/>
    <n v="-8"/>
    <n v="8"/>
    <n v="1455.1971997009684"/>
    <n v="1536.048715069837"/>
    <n v="0.26094455211832751"/>
    <n v="84"/>
    <n v="116"/>
    <n v="0"/>
    <n v="-32"/>
    <n v="0"/>
    <n v="0.6814315667310229"/>
    <n v="1"/>
    <n v="74.650000000000006"/>
    <n v="74.650000000000006"/>
    <n v="-13.273953574250802"/>
    <n v="1441.9232461267177"/>
    <n v="0"/>
    <n v="1"/>
    <n v="0"/>
    <n v="0"/>
    <n v="0"/>
    <n v="0"/>
    <n v="0"/>
    <n v="0"/>
    <n v="0"/>
    <n v="0"/>
  </r>
  <r>
    <d v="2010-06-12T00:00:00"/>
    <n v="2010"/>
    <x v="9"/>
    <s v="R"/>
    <s v="RS"/>
    <x v="5"/>
    <s v="TUL"/>
    <s v="H"/>
    <n v="1"/>
    <n v="0"/>
    <n v="1"/>
    <n v="-1"/>
    <n v="8"/>
    <n v="-8"/>
    <n v="1536.048715069837"/>
    <n v="1455.1971997009684"/>
    <n v="0.73905544788167243"/>
    <n v="116"/>
    <n v="84"/>
    <n v="0"/>
    <n v="32"/>
    <n v="1"/>
    <n v="0.6814315667310229"/>
    <n v="1"/>
    <n v="74.5"/>
    <n v="74.5"/>
    <n v="13.247281196003819"/>
    <n v="1549.2959962658408"/>
    <n v="1"/>
    <n v="0"/>
    <n v="0"/>
    <n v="0"/>
    <n v="0"/>
    <n v="0"/>
    <n v="0"/>
    <n v="0"/>
    <n v="0"/>
    <n v="0"/>
  </r>
  <r>
    <d v="2010-06-12T00:00:00"/>
    <n v="2010"/>
    <x v="8"/>
    <s v="R"/>
    <s v="RS"/>
    <x v="10"/>
    <s v="WAS"/>
    <s v="A"/>
    <n v="0"/>
    <n v="0"/>
    <n v="0"/>
    <n v="0"/>
    <n v="0"/>
    <n v="0"/>
    <n v="1495.714370351393"/>
    <n v="1502.1226420982657"/>
    <n v="0.3727512589562812"/>
    <n v="65"/>
    <n v="82"/>
    <n v="0"/>
    <n v="-17"/>
    <n v="0"/>
    <n v="0.5296138113950668"/>
    <n v="1"/>
    <n v="74.650000000000006"/>
    <n v="74.650000000000006"/>
    <n v="-14.736971146625573"/>
    <n v="1480.9773992047674"/>
    <n v="0"/>
    <n v="1"/>
    <n v="0"/>
    <n v="0"/>
    <n v="0"/>
    <n v="0"/>
    <n v="0"/>
    <n v="0"/>
    <n v="0"/>
    <n v="0"/>
  </r>
  <r>
    <d v="2010-06-12T00:00:00"/>
    <n v="2010"/>
    <x v="9"/>
    <s v="R"/>
    <s v="RS"/>
    <x v="2"/>
    <s v="NYL"/>
    <s v="H"/>
    <n v="0"/>
    <n v="0"/>
    <n v="0"/>
    <n v="0"/>
    <n v="0"/>
    <n v="0"/>
    <n v="1502.1226420982657"/>
    <n v="1495.714370351393"/>
    <n v="0.62724874104371875"/>
    <n v="82"/>
    <n v="65"/>
    <n v="0"/>
    <n v="17"/>
    <n v="1"/>
    <n v="0.5296138113950668"/>
    <n v="1"/>
    <n v="74.5"/>
    <n v="74.5"/>
    <n v="14.707359014381851"/>
    <n v="1516.8300011126476"/>
    <n v="1"/>
    <n v="0"/>
    <n v="0"/>
    <n v="0"/>
    <n v="0"/>
    <n v="0"/>
    <n v="0"/>
    <n v="0"/>
    <n v="0"/>
    <n v="0"/>
  </r>
  <r>
    <d v="2010-06-13T00:00:00"/>
    <n v="2010"/>
    <x v="8"/>
    <s v="R"/>
    <s v="RS"/>
    <x v="7"/>
    <s v="ATL"/>
    <s v="A"/>
    <n v="1"/>
    <n v="1"/>
    <n v="0"/>
    <n v="0"/>
    <n v="0"/>
    <n v="0"/>
    <n v="1454.5146235519835"/>
    <n v="1543.082834645081"/>
    <n v="0.27024449325111627"/>
    <n v="83"/>
    <n v="90"/>
    <n v="0"/>
    <n v="-7"/>
    <n v="0"/>
    <n v="0.34466829397244553"/>
    <n v="1"/>
    <n v="74.650000000000006"/>
    <n v="74.650000000000006"/>
    <n v="-6.9532524853677655"/>
    <n v="1447.5613710666157"/>
    <n v="0"/>
    <n v="1"/>
    <n v="0"/>
    <n v="0"/>
    <n v="0"/>
    <n v="0"/>
    <n v="0"/>
    <n v="0"/>
    <n v="0"/>
    <n v="0"/>
  </r>
  <r>
    <d v="2010-06-13T00:00:00"/>
    <n v="2010"/>
    <x v="10"/>
    <s v="R"/>
    <s v="RS"/>
    <x v="6"/>
    <s v="SAS"/>
    <s v="H"/>
    <n v="1"/>
    <n v="1"/>
    <n v="0"/>
    <n v="0"/>
    <n v="0"/>
    <n v="0"/>
    <n v="1543.082834645081"/>
    <n v="1454.5146235519835"/>
    <n v="0.72975550674888368"/>
    <n v="90"/>
    <n v="83"/>
    <n v="0"/>
    <n v="7"/>
    <n v="1"/>
    <n v="0.34466829397244553"/>
    <n v="1"/>
    <n v="74.349999999999994"/>
    <n v="74.349999999999994"/>
    <n v="6.9253090728344722"/>
    <n v="1550.0081437179156"/>
    <n v="1"/>
    <n v="0"/>
    <n v="0"/>
    <n v="0"/>
    <n v="0"/>
    <n v="0"/>
    <n v="0"/>
    <n v="0"/>
    <n v="0"/>
    <n v="0"/>
  </r>
  <r>
    <d v="2010-06-13T00:00:00"/>
    <n v="2010"/>
    <x v="8"/>
    <s v="R"/>
    <s v="RS"/>
    <x v="1"/>
    <s v="IND"/>
    <s v="A"/>
    <n v="1"/>
    <n v="1"/>
    <n v="0"/>
    <n v="0"/>
    <n v="0"/>
    <n v="0"/>
    <n v="1540.3627783530551"/>
    <n v="1545.3340890437184"/>
    <n v="0.37468729974775167"/>
    <n v="67"/>
    <n v="77"/>
    <n v="0"/>
    <n v="-10"/>
    <n v="0"/>
    <n v="0.42138400698329176"/>
    <n v="1"/>
    <n v="74.650000000000006"/>
    <n v="74.650000000000006"/>
    <n v="-11.78628214750259"/>
    <n v="1528.5764962055525"/>
    <n v="0"/>
    <n v="1"/>
    <n v="0"/>
    <n v="0"/>
    <n v="0"/>
    <n v="0"/>
    <n v="0"/>
    <n v="0"/>
    <n v="0"/>
    <n v="0"/>
  </r>
  <r>
    <d v="2010-06-13T00:00:00"/>
    <n v="2010"/>
    <x v="9"/>
    <s v="R"/>
    <s v="RS"/>
    <x v="3"/>
    <s v="CON"/>
    <s v="H"/>
    <n v="1"/>
    <n v="1"/>
    <n v="0"/>
    <n v="0"/>
    <n v="0"/>
    <n v="0"/>
    <n v="1545.3340890437184"/>
    <n v="1540.3627783530551"/>
    <n v="0.62531270025224839"/>
    <n v="77"/>
    <n v="67"/>
    <n v="0"/>
    <n v="10"/>
    <n v="1"/>
    <n v="0.42138400698329176"/>
    <n v="1"/>
    <n v="74.5"/>
    <n v="74.5"/>
    <n v="11.762599062142568"/>
    <n v="1557.0966881058609"/>
    <n v="1"/>
    <n v="0"/>
    <n v="0"/>
    <n v="0"/>
    <n v="0"/>
    <n v="0"/>
    <n v="0"/>
    <n v="0"/>
    <n v="0"/>
    <n v="0"/>
  </r>
  <r>
    <d v="2010-06-13T00:00:00"/>
    <n v="2010"/>
    <x v="10"/>
    <s v="R"/>
    <s v="RS"/>
    <x v="8"/>
    <s v="LAS"/>
    <s v="A"/>
    <n v="2"/>
    <n v="1"/>
    <n v="1"/>
    <n v="-1"/>
    <n v="8"/>
    <n v="-8"/>
    <n v="1371.3723509673994"/>
    <n v="1473.362853332651"/>
    <n v="0.27318078303557386"/>
    <n v="84"/>
    <n v="88"/>
    <n v="0"/>
    <n v="-4"/>
    <n v="0"/>
    <n v="0.28703687254687404"/>
    <n v="1"/>
    <n v="74.349999999999994"/>
    <n v="74.349999999999994"/>
    <n v="-5.8300033977412102"/>
    <n v="1365.5423475696582"/>
    <n v="0"/>
    <n v="1"/>
    <n v="0"/>
    <n v="0"/>
    <n v="0"/>
    <n v="0"/>
    <n v="0"/>
    <n v="0"/>
    <n v="0"/>
    <n v="0"/>
  </r>
  <r>
    <d v="2010-06-13T00:00:00"/>
    <n v="2010"/>
    <x v="9"/>
    <s v="R"/>
    <s v="RS"/>
    <x v="4"/>
    <s v="MIN"/>
    <s v="H"/>
    <n v="1"/>
    <n v="2"/>
    <n v="-1"/>
    <n v="1"/>
    <n v="-8"/>
    <n v="8"/>
    <n v="1473.362853332651"/>
    <n v="1371.3723509673994"/>
    <n v="0.72681921696442608"/>
    <n v="88"/>
    <n v="84"/>
    <n v="0"/>
    <n v="4"/>
    <n v="1"/>
    <n v="0.28703687254687404"/>
    <n v="1"/>
    <n v="74.5"/>
    <n v="74.5"/>
    <n v="5.8417653413815778"/>
    <n v="1479.2046186740326"/>
    <n v="1"/>
    <n v="0"/>
    <n v="0"/>
    <n v="0"/>
    <n v="0"/>
    <n v="0"/>
    <n v="0"/>
    <n v="0"/>
    <n v="0"/>
    <n v="0"/>
  </r>
  <r>
    <d v="2010-06-15T00:00:00"/>
    <n v="2010"/>
    <x v="11"/>
    <s v="R"/>
    <s v="RS"/>
    <x v="6"/>
    <s v="CHI"/>
    <s v="A"/>
    <n v="1"/>
    <n v="3"/>
    <n v="-2"/>
    <n v="2"/>
    <n v="-16"/>
    <n v="16"/>
    <n v="1550.0081437179156"/>
    <n v="1458.9418988148666"/>
    <n v="0.46417891652540111"/>
    <n v="93"/>
    <n v="86"/>
    <n v="0"/>
    <n v="7"/>
    <n v="1"/>
    <n v="0.34400140871000412"/>
    <n v="1"/>
    <n v="74.2"/>
    <n v="74.2"/>
    <n v="13.676781998858278"/>
    <n v="1563.6849257167739"/>
    <n v="1"/>
    <n v="0"/>
    <n v="0"/>
    <n v="0"/>
    <n v="0"/>
    <n v="0"/>
    <n v="0"/>
    <n v="0"/>
    <n v="0"/>
    <n v="0"/>
  </r>
  <r>
    <d v="2010-06-15T00:00:00"/>
    <n v="2010"/>
    <x v="10"/>
    <s v="R"/>
    <s v="RS"/>
    <x v="0"/>
    <s v="ATL"/>
    <s v="H"/>
    <n v="3"/>
    <n v="1"/>
    <n v="2"/>
    <n v="-2"/>
    <n v="16"/>
    <n v="-16"/>
    <n v="1458.9418988148666"/>
    <n v="1550.0081437179156"/>
    <n v="0.53582108347459889"/>
    <n v="86"/>
    <n v="93"/>
    <n v="0"/>
    <n v="-7"/>
    <n v="0"/>
    <n v="0.34400140871000412"/>
    <n v="1"/>
    <n v="74.349999999999994"/>
    <n v="74.349999999999994"/>
    <n v="-13.704430479988046"/>
    <n v="1445.2374683348785"/>
    <n v="0"/>
    <n v="1"/>
    <n v="0"/>
    <n v="0"/>
    <n v="0"/>
    <n v="0"/>
    <n v="0"/>
    <n v="0"/>
    <n v="0"/>
    <n v="0"/>
  </r>
  <r>
    <d v="2010-06-17T00:00:00"/>
    <n v="2010"/>
    <x v="10"/>
    <s v="R"/>
    <s v="RS"/>
    <x v="11"/>
    <s v="IND"/>
    <s v="A"/>
    <n v="5"/>
    <n v="3"/>
    <n v="2"/>
    <n v="-2"/>
    <n v="16"/>
    <n v="-16"/>
    <n v="1619.1750718647038"/>
    <n v="1557.0966881058609"/>
    <n v="0.51449989333196711"/>
    <n v="65"/>
    <n v="72"/>
    <n v="0"/>
    <n v="-7"/>
    <n v="0"/>
    <n v="0.35190255431032547"/>
    <n v="1"/>
    <n v="74.349999999999994"/>
    <n v="74.349999999999994"/>
    <n v="-13.461352011866849"/>
    <n v="1605.7137198528369"/>
    <n v="0"/>
    <n v="1"/>
    <n v="0"/>
    <n v="0"/>
    <n v="0"/>
    <n v="0"/>
    <n v="0"/>
    <n v="0"/>
    <n v="0"/>
    <n v="0"/>
  </r>
  <r>
    <d v="2010-06-17T00:00:00"/>
    <n v="2010"/>
    <x v="10"/>
    <s v="R"/>
    <s v="RS"/>
    <x v="3"/>
    <s v="SEA"/>
    <s v="H"/>
    <n v="3"/>
    <n v="5"/>
    <n v="-2"/>
    <n v="2"/>
    <n v="-16"/>
    <n v="16"/>
    <n v="1557.0966881058609"/>
    <n v="1619.1750718647038"/>
    <n v="0.48550010666803295"/>
    <n v="72"/>
    <n v="65"/>
    <n v="0"/>
    <n v="7"/>
    <n v="1"/>
    <n v="0.35190255431032547"/>
    <n v="1"/>
    <n v="74.349999999999994"/>
    <n v="74.349999999999994"/>
    <n v="13.461352011866849"/>
    <n v="1570.5580401177278"/>
    <n v="1"/>
    <n v="0"/>
    <n v="0"/>
    <n v="0"/>
    <n v="0"/>
    <n v="0"/>
    <n v="0"/>
    <n v="0"/>
    <n v="0"/>
    <n v="0"/>
  </r>
  <r>
    <d v="2010-06-18T00:00:00"/>
    <n v="2010"/>
    <x v="9"/>
    <s v="R"/>
    <s v="RS"/>
    <x v="1"/>
    <s v="LAS"/>
    <s v="A"/>
    <n v="4"/>
    <n v="4"/>
    <n v="0"/>
    <n v="0"/>
    <n v="0"/>
    <n v="0"/>
    <n v="1528.5764962055525"/>
    <n v="1479.2046186740326"/>
    <n v="0.450330483760644"/>
    <n v="78"/>
    <n v="75"/>
    <n v="0"/>
    <n v="3"/>
    <n v="1"/>
    <n v="0.27871623459818479"/>
    <n v="1"/>
    <n v="74.5"/>
    <n v="74.5"/>
    <n v="11.413535429053113"/>
    <n v="1539.9900316346057"/>
    <n v="1"/>
    <n v="0"/>
    <n v="0"/>
    <n v="0"/>
    <n v="0"/>
    <n v="0"/>
    <n v="0"/>
    <n v="0"/>
    <n v="0"/>
    <n v="0"/>
  </r>
  <r>
    <d v="2010-06-18T00:00:00"/>
    <n v="2010"/>
    <x v="10"/>
    <s v="R"/>
    <s v="RS"/>
    <x v="4"/>
    <s v="CON"/>
    <s v="H"/>
    <n v="4"/>
    <n v="4"/>
    <n v="0"/>
    <n v="0"/>
    <n v="0"/>
    <n v="0"/>
    <n v="1479.2046186740326"/>
    <n v="1528.5764962055525"/>
    <n v="0.549669516239356"/>
    <n v="75"/>
    <n v="78"/>
    <n v="0"/>
    <n v="-3"/>
    <n v="0"/>
    <n v="0.27871623459818479"/>
    <n v="1"/>
    <n v="74.349999999999994"/>
    <n v="74.349999999999994"/>
    <n v="-11.390555156377166"/>
    <n v="1467.8140635176555"/>
    <n v="0"/>
    <n v="1"/>
    <n v="0"/>
    <n v="0"/>
    <n v="0"/>
    <n v="0"/>
    <n v="0"/>
    <n v="0"/>
    <n v="0"/>
    <n v="0"/>
  </r>
  <r>
    <d v="2010-06-18T00:00:00"/>
    <n v="2010"/>
    <x v="9"/>
    <s v="R"/>
    <s v="RS"/>
    <x v="9"/>
    <s v="MIN"/>
    <s v="A"/>
    <n v="5"/>
    <n v="4"/>
    <n v="1"/>
    <n v="-1"/>
    <n v="8"/>
    <n v="-8"/>
    <n v="1441.9232461267177"/>
    <n v="1365.5423475696582"/>
    <n v="0.51205874373352922"/>
    <n v="67"/>
    <n v="78"/>
    <n v="0"/>
    <n v="-11"/>
    <n v="0"/>
    <n v="0.41351540508467011"/>
    <n v="1"/>
    <n v="74.5"/>
    <n v="74.5"/>
    <n v="-15.774941323737762"/>
    <n v="1426.14830480298"/>
    <n v="0"/>
    <n v="1"/>
    <n v="0"/>
    <n v="0"/>
    <n v="0"/>
    <n v="0"/>
    <n v="0"/>
    <n v="0"/>
    <n v="0"/>
    <n v="0"/>
  </r>
  <r>
    <d v="2010-06-18T00:00:00"/>
    <n v="2010"/>
    <x v="11"/>
    <s v="R"/>
    <s v="RS"/>
    <x v="8"/>
    <s v="TUL"/>
    <s v="H"/>
    <n v="4"/>
    <n v="5"/>
    <n v="-1"/>
    <n v="1"/>
    <n v="-8"/>
    <n v="8"/>
    <n v="1365.5423475696582"/>
    <n v="1441.9232461267177"/>
    <n v="0.48794125626647078"/>
    <n v="78"/>
    <n v="67"/>
    <n v="0"/>
    <n v="11"/>
    <n v="1"/>
    <n v="0.41351540508467011"/>
    <n v="1"/>
    <n v="74.2"/>
    <n v="74.2"/>
    <n v="15.711418070085127"/>
    <n v="1381.2537656397433"/>
    <n v="1"/>
    <n v="0"/>
    <n v="0"/>
    <n v="0"/>
    <n v="0"/>
    <n v="0"/>
    <n v="0"/>
    <n v="0"/>
    <n v="0"/>
    <n v="0"/>
  </r>
  <r>
    <d v="2010-06-18T00:00:00"/>
    <n v="2010"/>
    <x v="11"/>
    <s v="R"/>
    <s v="RS"/>
    <x v="11"/>
    <s v="NYL"/>
    <s v="A"/>
    <n v="0"/>
    <n v="5"/>
    <n v="-5"/>
    <n v="5"/>
    <n v="-16"/>
    <n v="16"/>
    <n v="1605.7137198528369"/>
    <n v="1480.9773992047674"/>
    <n v="0.51256992693682768"/>
    <n v="92"/>
    <n v="84"/>
    <n v="0"/>
    <n v="8"/>
    <n v="1"/>
    <n v="0.35175199376706667"/>
    <n v="1"/>
    <n v="74.2"/>
    <n v="74.2"/>
    <n v="12.721923901632241"/>
    <n v="1618.4356437544691"/>
    <n v="1"/>
    <n v="0"/>
    <n v="0"/>
    <n v="0"/>
    <n v="0"/>
    <n v="0"/>
    <n v="0"/>
    <n v="0"/>
    <n v="0"/>
    <n v="0"/>
  </r>
  <r>
    <d v="2010-06-18T00:00:00"/>
    <n v="2010"/>
    <x v="9"/>
    <s v="R"/>
    <s v="RS"/>
    <x v="10"/>
    <s v="SEA"/>
    <s v="H"/>
    <n v="5"/>
    <n v="0"/>
    <n v="5"/>
    <n v="-5"/>
    <n v="16"/>
    <n v="-16"/>
    <n v="1480.9773992047674"/>
    <n v="1605.7137198528369"/>
    <n v="0.48743007306317232"/>
    <n v="84"/>
    <n v="92"/>
    <n v="0"/>
    <n v="-8"/>
    <n v="0"/>
    <n v="0.35175199376706667"/>
    <n v="1"/>
    <n v="74.5"/>
    <n v="74.5"/>
    <n v="-12.77336025163884"/>
    <n v="1468.2040389531285"/>
    <n v="0"/>
    <n v="1"/>
    <n v="0"/>
    <n v="0"/>
    <n v="0"/>
    <n v="0"/>
    <n v="0"/>
    <n v="0"/>
    <n v="0"/>
    <n v="0"/>
  </r>
  <r>
    <d v="2010-06-18T00:00:00"/>
    <n v="2010"/>
    <x v="9"/>
    <s v="R"/>
    <s v="RS"/>
    <x v="7"/>
    <s v="PHX"/>
    <s v="A"/>
    <n v="4"/>
    <n v="5"/>
    <n v="-1"/>
    <n v="1"/>
    <n v="-8"/>
    <n v="8"/>
    <n v="1447.5613710666157"/>
    <n v="1549.2959962658408"/>
    <n v="0.23843517036767559"/>
    <n v="108"/>
    <n v="105"/>
    <n v="0"/>
    <n v="3"/>
    <n v="1"/>
    <n v="0.26750477292186647"/>
    <n v="1"/>
    <n v="74.5"/>
    <n v="74.5"/>
    <n v="15.177305897797579"/>
    <n v="1462.7386769644133"/>
    <n v="1"/>
    <n v="0"/>
    <n v="0"/>
    <n v="0"/>
    <n v="0"/>
    <n v="0"/>
    <n v="0"/>
    <n v="0"/>
    <n v="0"/>
    <n v="0"/>
  </r>
  <r>
    <d v="2010-06-18T00:00:00"/>
    <n v="2010"/>
    <x v="10"/>
    <s v="R"/>
    <s v="RS"/>
    <x v="5"/>
    <s v="SAS"/>
    <s v="H"/>
    <n v="5"/>
    <n v="4"/>
    <n v="1"/>
    <n v="-1"/>
    <n v="8"/>
    <n v="-8"/>
    <n v="1549.2959962658408"/>
    <n v="1447.5613710666157"/>
    <n v="0.76156482963232441"/>
    <n v="105"/>
    <n v="108"/>
    <n v="0"/>
    <n v="-3"/>
    <n v="0"/>
    <n v="0.26750477292186647"/>
    <n v="1"/>
    <n v="74.349999999999994"/>
    <n v="74.349999999999994"/>
    <n v="-15.146747563775167"/>
    <n v="1534.1492487020657"/>
    <n v="0"/>
    <n v="1"/>
    <n v="0"/>
    <n v="0"/>
    <n v="0"/>
    <n v="0"/>
    <n v="0"/>
    <n v="0"/>
    <n v="0"/>
    <n v="0"/>
  </r>
  <r>
    <d v="2010-06-19T00:00:00"/>
    <n v="2010"/>
    <x v="12"/>
    <s v="R"/>
    <s v="RS"/>
    <x v="6"/>
    <s v="IND"/>
    <s v="A"/>
    <n v="3"/>
    <n v="1"/>
    <n v="2"/>
    <n v="-2"/>
    <n v="16"/>
    <n v="-16"/>
    <n v="1563.6849257167739"/>
    <n v="1570.5580401177278"/>
    <n v="0.41607648894964366"/>
    <n v="91"/>
    <n v="94"/>
    <n v="0"/>
    <n v="-3"/>
    <n v="0"/>
    <n v="0.28853093267496721"/>
    <n v="1"/>
    <n v="74.05"/>
    <n v="74.05"/>
    <n v="-8.8897719160077493"/>
    <n v="1554.7951538007662"/>
    <n v="0"/>
    <n v="1"/>
    <n v="0"/>
    <n v="0"/>
    <n v="0"/>
    <n v="0"/>
    <n v="0"/>
    <n v="0"/>
    <n v="0"/>
    <n v="0"/>
  </r>
  <r>
    <d v="2010-06-19T00:00:00"/>
    <n v="2010"/>
    <x v="11"/>
    <s v="R"/>
    <s v="RS"/>
    <x v="3"/>
    <s v="ATL"/>
    <s v="H"/>
    <n v="1"/>
    <n v="3"/>
    <n v="-2"/>
    <n v="2"/>
    <n v="-16"/>
    <n v="16"/>
    <n v="1570.5580401177278"/>
    <n v="1563.6849257167739"/>
    <n v="0.58392351105035634"/>
    <n v="94"/>
    <n v="91"/>
    <n v="0"/>
    <n v="3"/>
    <n v="1"/>
    <n v="0.28853093267496721"/>
    <n v="1"/>
    <n v="74.2"/>
    <n v="74.2"/>
    <n v="8.9077795566208664"/>
    <n v="1579.4658196743487"/>
    <n v="1"/>
    <n v="0"/>
    <n v="0"/>
    <n v="0"/>
    <n v="0"/>
    <n v="0"/>
    <n v="0"/>
    <n v="0"/>
    <n v="0"/>
    <n v="0"/>
  </r>
  <r>
    <d v="2010-06-19T00:00:00"/>
    <n v="2010"/>
    <x v="12"/>
    <s v="R"/>
    <s v="RS"/>
    <x v="8"/>
    <s v="TUL"/>
    <s v="A"/>
    <n v="0"/>
    <n v="0"/>
    <n v="0"/>
    <n v="0"/>
    <n v="0"/>
    <n v="0"/>
    <n v="1381.2537656397433"/>
    <n v="1426.14830480298"/>
    <n v="0.32257206463753701"/>
    <n v="92"/>
    <n v="78"/>
    <n v="0"/>
    <n v="14"/>
    <n v="1"/>
    <n v="0.47002352876752107"/>
    <n v="1"/>
    <n v="74.05"/>
    <n v="74.05"/>
    <n v="23.578043434625556"/>
    <n v="1404.8318090743687"/>
    <n v="1"/>
    <n v="0"/>
    <n v="0"/>
    <n v="0"/>
    <n v="0"/>
    <n v="0"/>
    <n v="0"/>
    <n v="0"/>
    <n v="0"/>
    <n v="0"/>
  </r>
  <r>
    <d v="2010-06-19T00:00:00"/>
    <n v="2010"/>
    <x v="10"/>
    <s v="R"/>
    <s v="RS"/>
    <x v="9"/>
    <s v="MIN"/>
    <s v="H"/>
    <n v="0"/>
    <n v="0"/>
    <n v="0"/>
    <n v="0"/>
    <n v="0"/>
    <n v="0"/>
    <n v="1426.14830480298"/>
    <n v="1381.2537656397433"/>
    <n v="0.67742793536246293"/>
    <n v="78"/>
    <n v="92"/>
    <n v="0"/>
    <n v="-14"/>
    <n v="0"/>
    <n v="0.47002352876752107"/>
    <n v="1"/>
    <n v="74.349999999999994"/>
    <n v="74.349999999999994"/>
    <n v="-23.673565555224979"/>
    <n v="1402.474739247755"/>
    <n v="0"/>
    <n v="1"/>
    <n v="0"/>
    <n v="0"/>
    <n v="0"/>
    <n v="0"/>
    <n v="0"/>
    <n v="0"/>
    <n v="0"/>
    <n v="0"/>
  </r>
  <r>
    <d v="2010-06-19T00:00:00"/>
    <n v="2010"/>
    <x v="11"/>
    <s v="R"/>
    <s v="RS"/>
    <x v="0"/>
    <s v="WAS"/>
    <s v="A"/>
    <n v="3"/>
    <n v="6"/>
    <n v="-3"/>
    <n v="3"/>
    <n v="-16"/>
    <n v="16"/>
    <n v="1445.2374683348785"/>
    <n v="1516.8300011126476"/>
    <n v="0.25353072778601898"/>
    <n v="61"/>
    <n v="65"/>
    <n v="1"/>
    <n v="-4"/>
    <n v="0"/>
    <n v="0.26450875184163397"/>
    <n v="1"/>
    <n v="74.2"/>
    <n v="74.2"/>
    <n v="-4.9759333499254268"/>
    <n v="1440.261534984953"/>
    <n v="0"/>
    <n v="1"/>
    <n v="0"/>
    <n v="0"/>
    <n v="0"/>
    <n v="0"/>
    <n v="0"/>
    <n v="0"/>
    <n v="0"/>
    <n v="0"/>
  </r>
  <r>
    <d v="2010-06-19T00:00:00"/>
    <n v="2010"/>
    <x v="10"/>
    <s v="R"/>
    <s v="RS"/>
    <x v="2"/>
    <s v="CHI"/>
    <s v="H"/>
    <n v="6"/>
    <n v="3"/>
    <n v="3"/>
    <n v="-3"/>
    <n v="16"/>
    <n v="-16"/>
    <n v="1516.8300011126476"/>
    <n v="1445.2374683348785"/>
    <n v="0.74646927221398107"/>
    <n v="65"/>
    <n v="61"/>
    <n v="1"/>
    <n v="4"/>
    <n v="1"/>
    <n v="0.26450875184163397"/>
    <n v="1"/>
    <n v="74.349999999999994"/>
    <n v="74.349999999999994"/>
    <n v="4.9859925143794523"/>
    <n v="1521.815993627027"/>
    <n v="1"/>
    <n v="0"/>
    <n v="0"/>
    <n v="0"/>
    <n v="0"/>
    <n v="0"/>
    <n v="0"/>
    <n v="0"/>
    <n v="0"/>
    <n v="0"/>
  </r>
  <r>
    <d v="2010-06-20T00:00:00"/>
    <n v="2010"/>
    <x v="10"/>
    <s v="R"/>
    <s v="RS"/>
    <x v="1"/>
    <s v="PHX"/>
    <s v="A"/>
    <n v="1"/>
    <n v="1"/>
    <n v="0"/>
    <n v="0"/>
    <n v="0"/>
    <n v="0"/>
    <n v="1539.9900316346057"/>
    <n v="1534.1492487020657"/>
    <n v="0.38937963946354831"/>
    <n v="96"/>
    <n v="94"/>
    <n v="0"/>
    <n v="2"/>
    <n v="1"/>
    <n v="0.26654396626887428"/>
    <n v="1"/>
    <n v="74.349999999999994"/>
    <n v="74.349999999999994"/>
    <n v="12.100995796335441"/>
    <n v="1552.091027430941"/>
    <n v="1"/>
    <n v="0"/>
    <n v="0"/>
    <n v="0"/>
    <n v="0"/>
    <n v="0"/>
    <n v="0"/>
    <n v="0"/>
    <n v="0"/>
    <n v="0"/>
  </r>
  <r>
    <d v="2010-06-20T00:00:00"/>
    <n v="2010"/>
    <x v="11"/>
    <s v="R"/>
    <s v="RS"/>
    <x v="5"/>
    <s v="CON"/>
    <s v="H"/>
    <n v="1"/>
    <n v="1"/>
    <n v="0"/>
    <n v="0"/>
    <n v="0"/>
    <n v="0"/>
    <n v="1534.1492487020657"/>
    <n v="1539.9900316346057"/>
    <n v="0.61062036053645163"/>
    <n v="94"/>
    <n v="96"/>
    <n v="0"/>
    <n v="-2"/>
    <n v="0"/>
    <n v="0.26654396626887428"/>
    <n v="1"/>
    <n v="74.2"/>
    <n v="74.2"/>
    <n v="-12.076582220418153"/>
    <n v="1522.0726664816475"/>
    <n v="0"/>
    <n v="1"/>
    <n v="0"/>
    <n v="0"/>
    <n v="0"/>
    <n v="0"/>
    <n v="0"/>
    <n v="0"/>
    <n v="0"/>
    <n v="0"/>
  </r>
  <r>
    <d v="2010-06-20T00:00:00"/>
    <n v="2010"/>
    <x v="10"/>
    <s v="R"/>
    <s v="RS"/>
    <x v="7"/>
    <s v="SEA"/>
    <s v="A"/>
    <n v="1"/>
    <n v="1"/>
    <n v="0"/>
    <n v="0"/>
    <n v="0"/>
    <n v="0"/>
    <n v="1462.7386769644133"/>
    <n v="1618.4356437544691"/>
    <n v="0.2010400533722487"/>
    <n v="61"/>
    <n v="82"/>
    <n v="0"/>
    <n v="-21"/>
    <n v="0"/>
    <n v="0.52098039947467212"/>
    <n v="1"/>
    <n v="74.349999999999994"/>
    <n v="74.349999999999994"/>
    <n v="-7.7872648959656798"/>
    <n v="1454.9514120684476"/>
    <n v="0"/>
    <n v="1"/>
    <n v="0"/>
    <n v="0"/>
    <n v="0"/>
    <n v="0"/>
    <n v="0"/>
    <n v="0"/>
    <n v="0"/>
    <n v="0"/>
  </r>
  <r>
    <d v="2010-06-20T00:00:00"/>
    <n v="2010"/>
    <x v="12"/>
    <s v="R"/>
    <s v="RS"/>
    <x v="11"/>
    <s v="SAS"/>
    <s v="H"/>
    <n v="1"/>
    <n v="1"/>
    <n v="0"/>
    <n v="0"/>
    <n v="0"/>
    <n v="0"/>
    <n v="1618.4356437544691"/>
    <n v="1462.7386769644133"/>
    <n v="0.79895994662775127"/>
    <n v="82"/>
    <n v="61"/>
    <n v="0"/>
    <n v="21"/>
    <n v="1"/>
    <n v="0.52098039947467212"/>
    <n v="1"/>
    <n v="74.05"/>
    <n v="74.05"/>
    <n v="7.7558435177707965"/>
    <n v="1626.1914872722398"/>
    <n v="1"/>
    <n v="0"/>
    <n v="0"/>
    <n v="0"/>
    <n v="0"/>
    <n v="0"/>
    <n v="0"/>
    <n v="0"/>
    <n v="0"/>
    <n v="0"/>
  </r>
  <r>
    <d v="2010-06-22T00:00:00"/>
    <n v="2010"/>
    <x v="12"/>
    <s v="R"/>
    <s v="RS"/>
    <x v="0"/>
    <s v="CON"/>
    <s v="A"/>
    <n v="2"/>
    <n v="1"/>
    <n v="1"/>
    <n v="-1"/>
    <n v="8"/>
    <n v="-8"/>
    <n v="1440.261534984953"/>
    <n v="1552.091027430941"/>
    <n v="0.26208074369930995"/>
    <n v="86"/>
    <n v="77"/>
    <n v="0"/>
    <n v="9"/>
    <n v="1"/>
    <n v="0.37136368360520711"/>
    <n v="1"/>
    <n v="74.05"/>
    <n v="74.05"/>
    <n v="20.292396399166051"/>
    <n v="1460.5539313841191"/>
    <n v="1"/>
    <n v="0"/>
    <n v="0"/>
    <n v="0"/>
    <n v="0"/>
    <n v="0"/>
    <n v="0"/>
    <n v="0"/>
    <n v="0"/>
    <n v="0"/>
  </r>
  <r>
    <d v="2010-06-22T00:00:00"/>
    <n v="2010"/>
    <x v="11"/>
    <s v="R"/>
    <s v="RS"/>
    <x v="1"/>
    <s v="CHI"/>
    <s v="H"/>
    <n v="1"/>
    <n v="2"/>
    <n v="-1"/>
    <n v="1"/>
    <n v="-8"/>
    <n v="8"/>
    <n v="1552.091027430941"/>
    <n v="1440.261534984953"/>
    <n v="0.73791925630069011"/>
    <n v="77"/>
    <n v="86"/>
    <n v="0"/>
    <n v="-9"/>
    <n v="0"/>
    <n v="0.37136368360520711"/>
    <n v="1"/>
    <n v="74.2"/>
    <n v="74.2"/>
    <n v="-20.333501861149511"/>
    <n v="1531.7575255697916"/>
    <n v="0"/>
    <n v="1"/>
    <n v="0"/>
    <n v="0"/>
    <n v="0"/>
    <n v="0"/>
    <n v="0"/>
    <n v="0"/>
    <n v="0"/>
    <n v="0"/>
  </r>
  <r>
    <d v="2010-06-22T00:00:00"/>
    <n v="2010"/>
    <x v="13"/>
    <s v="R"/>
    <s v="RS"/>
    <x v="8"/>
    <s v="NYL"/>
    <s v="A"/>
    <n v="2"/>
    <n v="3"/>
    <n v="-1"/>
    <n v="1"/>
    <n v="-8"/>
    <n v="8"/>
    <n v="1404.8318090743687"/>
    <n v="1468.2040389531285"/>
    <n v="0.28081023060309501"/>
    <n v="75"/>
    <n v="68"/>
    <n v="0"/>
    <n v="7"/>
    <n v="1"/>
    <n v="0.35154216348985684"/>
    <n v="1"/>
    <n v="73.900000000000006"/>
    <n v="73.900000000000006"/>
    <n v="18.683806481774024"/>
    <n v="1423.5156155561428"/>
    <n v="1"/>
    <n v="0"/>
    <n v="0"/>
    <n v="0"/>
    <n v="0"/>
    <n v="0"/>
    <n v="0"/>
    <n v="0"/>
    <n v="0"/>
    <n v="0"/>
  </r>
  <r>
    <d v="2010-06-22T00:00:00"/>
    <n v="2010"/>
    <x v="10"/>
    <s v="R"/>
    <s v="RS"/>
    <x v="10"/>
    <s v="MIN"/>
    <s v="H"/>
    <n v="3"/>
    <n v="2"/>
    <n v="1"/>
    <n v="-1"/>
    <n v="8"/>
    <n v="-8"/>
    <n v="1468.2040389531285"/>
    <n v="1404.8318090743687"/>
    <n v="0.71918976939690493"/>
    <n v="68"/>
    <n v="75"/>
    <n v="0"/>
    <n v="-7"/>
    <n v="0"/>
    <n v="0.35154216348985684"/>
    <n v="1"/>
    <n v="74.349999999999994"/>
    <n v="74.349999999999994"/>
    <n v="-18.797577969146126"/>
    <n v="1449.4064609839822"/>
    <n v="0"/>
    <n v="1"/>
    <n v="0"/>
    <n v="0"/>
    <n v="0"/>
    <n v="0"/>
    <n v="0"/>
    <n v="0"/>
    <n v="0"/>
    <n v="0"/>
  </r>
  <r>
    <d v="2010-06-23T00:00:00"/>
    <n v="2010"/>
    <x v="11"/>
    <s v="R"/>
    <s v="RS"/>
    <x v="9"/>
    <s v="ATL"/>
    <s v="A"/>
    <n v="3"/>
    <n v="3"/>
    <n v="0"/>
    <n v="0"/>
    <n v="0"/>
    <n v="0"/>
    <n v="1402.474739247755"/>
    <n v="1554.7951538007662"/>
    <n v="0.20418022953080514"/>
    <n v="90"/>
    <n v="96"/>
    <n v="0"/>
    <n v="-6"/>
    <n v="0"/>
    <n v="0.31171378378438708"/>
    <n v="1"/>
    <n v="74.2"/>
    <n v="74.2"/>
    <n v="-4.7225177605390849"/>
    <n v="1397.7522214872158"/>
    <n v="0"/>
    <n v="1"/>
    <n v="0"/>
    <n v="0"/>
    <n v="0"/>
    <n v="0"/>
    <n v="0"/>
    <n v="0"/>
    <n v="0"/>
    <n v="0"/>
  </r>
  <r>
    <d v="2010-06-23T00:00:00"/>
    <n v="2010"/>
    <x v="13"/>
    <s v="R"/>
    <s v="RS"/>
    <x v="6"/>
    <s v="TUL"/>
    <s v="H"/>
    <n v="3"/>
    <n v="3"/>
    <n v="0"/>
    <n v="0"/>
    <n v="0"/>
    <n v="0"/>
    <n v="1554.7951538007662"/>
    <n v="1402.474739247755"/>
    <n v="0.79581977046919483"/>
    <n v="96"/>
    <n v="90"/>
    <n v="0"/>
    <n v="6"/>
    <n v="1"/>
    <n v="0.31171378378438708"/>
    <n v="1"/>
    <n v="73.900000000000006"/>
    <n v="73.900000000000006"/>
    <n v="4.7034240229627819"/>
    <n v="1559.498577823729"/>
    <n v="1"/>
    <n v="0"/>
    <n v="0"/>
    <n v="0"/>
    <n v="0"/>
    <n v="0"/>
    <n v="0"/>
    <n v="0"/>
    <n v="0"/>
    <n v="0"/>
  </r>
  <r>
    <d v="2010-06-24T00:00:00"/>
    <n v="2010"/>
    <x v="11"/>
    <s v="R"/>
    <s v="RS"/>
    <x v="4"/>
    <s v="WAS"/>
    <s v="A"/>
    <n v="5"/>
    <n v="4"/>
    <n v="1"/>
    <n v="-1"/>
    <n v="8"/>
    <n v="-8"/>
    <n v="1467.8140635176555"/>
    <n v="1521.815993627027"/>
    <n v="0.33130258223201581"/>
    <n v="53"/>
    <n v="68"/>
    <n v="0"/>
    <n v="-15"/>
    <n v="0"/>
    <n v="0.48119354457603375"/>
    <n v="1"/>
    <n v="74.2"/>
    <n v="74.2"/>
    <n v="-11.829013259259112"/>
    <n v="1455.9850502583965"/>
    <n v="0"/>
    <n v="1"/>
    <n v="0"/>
    <n v="0"/>
    <n v="0"/>
    <n v="0"/>
    <n v="0"/>
    <n v="0"/>
    <n v="0"/>
    <n v="0"/>
  </r>
  <r>
    <d v="2010-06-24T00:00:00"/>
    <n v="2010"/>
    <x v="11"/>
    <s v="R"/>
    <s v="RS"/>
    <x v="2"/>
    <s v="LAS"/>
    <s v="H"/>
    <n v="4"/>
    <n v="5"/>
    <n v="-1"/>
    <n v="1"/>
    <n v="-8"/>
    <n v="8"/>
    <n v="1521.815993627027"/>
    <n v="1467.8140635176555"/>
    <n v="0.66869741776798419"/>
    <n v="68"/>
    <n v="53"/>
    <n v="0"/>
    <n v="15"/>
    <n v="1"/>
    <n v="0.48119354457603375"/>
    <n v="1"/>
    <n v="74.2"/>
    <n v="74.2"/>
    <n v="11.829013259259112"/>
    <n v="1533.645006886286"/>
    <n v="1"/>
    <n v="0"/>
    <n v="0"/>
    <n v="0"/>
    <n v="0"/>
    <n v="0"/>
    <n v="0"/>
    <n v="0"/>
    <n v="0"/>
    <n v="0"/>
  </r>
  <r>
    <d v="2010-06-25T00:00:00"/>
    <n v="2010"/>
    <x v="12"/>
    <s v="R"/>
    <s v="RS"/>
    <x v="2"/>
    <s v="CHI"/>
    <s v="A"/>
    <n v="0"/>
    <n v="2"/>
    <n v="-2"/>
    <n v="2"/>
    <n v="-16"/>
    <n v="16"/>
    <n v="1533.645006886286"/>
    <n v="1460.5539313841191"/>
    <n v="0.43856114605952079"/>
    <n v="72"/>
    <n v="79"/>
    <n v="0"/>
    <n v="-7"/>
    <n v="0"/>
    <n v="0.34885847173926565"/>
    <n v="1"/>
    <n v="74.05"/>
    <n v="74.05"/>
    <n v="-11.329336855771277"/>
    <n v="1522.3156700305146"/>
    <n v="0"/>
    <n v="1"/>
    <n v="0"/>
    <n v="0"/>
    <n v="0"/>
    <n v="0"/>
    <n v="0"/>
    <n v="0"/>
    <n v="0"/>
    <n v="0"/>
  </r>
  <r>
    <d v="2010-06-25T00:00:00"/>
    <n v="2010"/>
    <x v="13"/>
    <s v="R"/>
    <s v="RS"/>
    <x v="0"/>
    <s v="WAS"/>
    <s v="H"/>
    <n v="2"/>
    <n v="0"/>
    <n v="2"/>
    <n v="-2"/>
    <n v="16"/>
    <n v="-16"/>
    <n v="1460.5539313841191"/>
    <n v="1533.645006886286"/>
    <n v="0.56143885394047921"/>
    <n v="79"/>
    <n v="72"/>
    <n v="0"/>
    <n v="7"/>
    <n v="1"/>
    <n v="0.34885847173926565"/>
    <n v="1"/>
    <n v="73.900000000000006"/>
    <n v="73.900000000000006"/>
    <n v="11.306387490094499"/>
    <n v="1471.8603188742136"/>
    <n v="1"/>
    <n v="0"/>
    <n v="0"/>
    <n v="0"/>
    <n v="0"/>
    <n v="0"/>
    <n v="0"/>
    <n v="0"/>
    <n v="0"/>
    <n v="0"/>
  </r>
  <r>
    <d v="2010-06-25T00:00:00"/>
    <n v="2010"/>
    <x v="12"/>
    <s v="R"/>
    <s v="RS"/>
    <x v="5"/>
    <s v="CON"/>
    <s v="A"/>
    <n v="4"/>
    <n v="2"/>
    <n v="2"/>
    <n v="-2"/>
    <n v="16"/>
    <n v="-16"/>
    <n v="1522.0726664816475"/>
    <n v="1531.7575255697916"/>
    <n v="0.41214948152913916"/>
    <n v="79"/>
    <n v="82"/>
    <n v="0"/>
    <n v="-3"/>
    <n v="0"/>
    <n v="0.28786028253750051"/>
    <n v="1"/>
    <n v="74.05"/>
    <n v="74.05"/>
    <n v="-8.7854005721590465"/>
    <n v="1513.2872659094885"/>
    <n v="0"/>
    <n v="1"/>
    <n v="0"/>
    <n v="0"/>
    <n v="0"/>
    <n v="0"/>
    <n v="0"/>
    <n v="0"/>
    <n v="0"/>
    <n v="0"/>
  </r>
  <r>
    <d v="2010-06-25T00:00:00"/>
    <n v="2010"/>
    <x v="12"/>
    <s v="R"/>
    <s v="RS"/>
    <x v="1"/>
    <s v="PHX"/>
    <s v="H"/>
    <n v="2"/>
    <n v="4"/>
    <n v="-2"/>
    <n v="2"/>
    <n v="-16"/>
    <n v="16"/>
    <n v="1531.7575255697916"/>
    <n v="1522.0726664816475"/>
    <n v="0.58785051847086089"/>
    <n v="82"/>
    <n v="79"/>
    <n v="0"/>
    <n v="3"/>
    <n v="1"/>
    <n v="0.28786028253750051"/>
    <n v="1"/>
    <n v="74.05"/>
    <n v="74.05"/>
    <n v="8.7854005721590447"/>
    <n v="1540.5429261419506"/>
    <n v="1"/>
    <n v="0"/>
    <n v="0"/>
    <n v="0"/>
    <n v="0"/>
    <n v="0"/>
    <n v="0"/>
    <n v="0"/>
    <n v="0"/>
    <n v="0"/>
  </r>
  <r>
    <d v="2010-06-25T00:00:00"/>
    <n v="2010"/>
    <x v="12"/>
    <s v="R"/>
    <s v="RS"/>
    <x v="3"/>
    <s v="SEA"/>
    <s v="A"/>
    <n v="5"/>
    <n v="4"/>
    <n v="1"/>
    <n v="-1"/>
    <n v="8"/>
    <n v="-8"/>
    <n v="1579.4658196743487"/>
    <n v="1626.1914872722398"/>
    <n v="0.34064661158885445"/>
    <n v="81"/>
    <n v="85"/>
    <n v="0"/>
    <n v="-4"/>
    <n v="0"/>
    <n v="0.29976063828437327"/>
    <n v="1"/>
    <n v="74.05"/>
    <n v="74.05"/>
    <n v="-7.5614266055129793"/>
    <n v="1571.9043930688358"/>
    <n v="0"/>
    <n v="1"/>
    <n v="0"/>
    <n v="0"/>
    <n v="0"/>
    <n v="0"/>
    <n v="0"/>
    <n v="0"/>
    <n v="0"/>
    <n v="0"/>
  </r>
  <r>
    <d v="2010-06-25T00:00:00"/>
    <n v="2010"/>
    <x v="13"/>
    <s v="R"/>
    <s v="RS"/>
    <x v="11"/>
    <s v="IND"/>
    <s v="H"/>
    <n v="4"/>
    <n v="5"/>
    <n v="-1"/>
    <n v="1"/>
    <n v="-8"/>
    <n v="8"/>
    <n v="1626.1914872722398"/>
    <n v="1579.4658196743487"/>
    <n v="0.65935338841114555"/>
    <n v="85"/>
    <n v="81"/>
    <n v="0"/>
    <n v="4"/>
    <n v="1"/>
    <n v="0.29976063828437327"/>
    <n v="1"/>
    <n v="73.900000000000006"/>
    <n v="73.900000000000006"/>
    <n v="7.5461097386550877"/>
    <n v="1633.7375970108949"/>
    <n v="1"/>
    <n v="0"/>
    <n v="0"/>
    <n v="0"/>
    <n v="0"/>
    <n v="0"/>
    <n v="0"/>
    <n v="0"/>
    <n v="0"/>
    <n v="0"/>
  </r>
  <r>
    <d v="2010-06-25T00:00:00"/>
    <n v="2010"/>
    <x v="11"/>
    <s v="R"/>
    <s v="RS"/>
    <x v="10"/>
    <s v="TUL"/>
    <s v="A"/>
    <n v="2"/>
    <n v="1"/>
    <n v="1"/>
    <n v="-1"/>
    <n v="8"/>
    <n v="-8"/>
    <n v="1449.4064609839822"/>
    <n v="1397.7522214872158"/>
    <n v="0.47649390001953812"/>
    <n v="92"/>
    <n v="78"/>
    <n v="0"/>
    <n v="14"/>
    <n v="1"/>
    <n v="0.467485113521587"/>
    <n v="1"/>
    <n v="74.2"/>
    <n v="74.2"/>
    <n v="18.159063096532829"/>
    <n v="1467.5655240805152"/>
    <n v="1"/>
    <n v="0"/>
    <n v="0"/>
    <n v="0"/>
    <n v="0"/>
    <n v="0"/>
    <n v="0"/>
    <n v="0"/>
    <n v="0"/>
    <n v="0"/>
  </r>
  <r>
    <d v="2010-06-25T00:00:00"/>
    <n v="2010"/>
    <x v="12"/>
    <s v="R"/>
    <s v="RS"/>
    <x v="9"/>
    <s v="NYL"/>
    <s v="H"/>
    <n v="1"/>
    <n v="2"/>
    <n v="-1"/>
    <n v="1"/>
    <n v="-8"/>
    <n v="8"/>
    <n v="1397.7522214872158"/>
    <n v="1449.4064609839822"/>
    <n v="0.52350609998046194"/>
    <n v="78"/>
    <n v="92"/>
    <n v="0"/>
    <n v="-14"/>
    <n v="0"/>
    <n v="0.467485113521587"/>
    <n v="1"/>
    <n v="74.05"/>
    <n v="74.05"/>
    <n v="-18.122353400246034"/>
    <n v="1379.6298680869697"/>
    <n v="0"/>
    <n v="1"/>
    <n v="0"/>
    <n v="0"/>
    <n v="0"/>
    <n v="0"/>
    <n v="0"/>
    <n v="0"/>
    <n v="0"/>
    <n v="0"/>
  </r>
  <r>
    <d v="2010-06-26T00:00:00"/>
    <n v="2010"/>
    <x v="14"/>
    <s v="R"/>
    <s v="RS"/>
    <x v="8"/>
    <s v="SAS"/>
    <s v="A"/>
    <n v="3"/>
    <n v="5"/>
    <n v="-2"/>
    <n v="2"/>
    <n v="-16"/>
    <n v="16"/>
    <n v="1423.5156155561428"/>
    <n v="1454.9514120684476"/>
    <n v="0.29970381401069113"/>
    <n v="66"/>
    <n v="80"/>
    <n v="0"/>
    <n v="-14"/>
    <n v="0"/>
    <n v="0.47516056127175832"/>
    <n v="1"/>
    <n v="73.75"/>
    <n v="73.75"/>
    <n v="-10.502548145444742"/>
    <n v="1413.0130674106981"/>
    <n v="0"/>
    <n v="1"/>
    <n v="0"/>
    <n v="0"/>
    <n v="0"/>
    <n v="0"/>
    <n v="0"/>
    <n v="0"/>
    <n v="0"/>
    <n v="0"/>
  </r>
  <r>
    <d v="2010-06-26T00:00:00"/>
    <n v="2010"/>
    <x v="11"/>
    <s v="R"/>
    <s v="RS"/>
    <x v="7"/>
    <s v="MIN"/>
    <s v="H"/>
    <n v="5"/>
    <n v="3"/>
    <n v="2"/>
    <n v="-2"/>
    <n v="16"/>
    <n v="-16"/>
    <n v="1454.9514120684476"/>
    <n v="1423.5156155561428"/>
    <n v="0.70029618598930898"/>
    <n v="80"/>
    <n v="66"/>
    <n v="0"/>
    <n v="14"/>
    <n v="1"/>
    <n v="0.47516056127175832"/>
    <n v="1"/>
    <n v="74.2"/>
    <n v="74.2"/>
    <n v="10.56663149006101"/>
    <n v="1465.5180435585085"/>
    <n v="1"/>
    <n v="0"/>
    <n v="0"/>
    <n v="0"/>
    <n v="0"/>
    <n v="0"/>
    <n v="0"/>
    <n v="0"/>
    <n v="0"/>
    <n v="0"/>
  </r>
  <r>
    <d v="2010-06-27T00:00:00"/>
    <n v="2010"/>
    <x v="12"/>
    <s v="R"/>
    <s v="RS"/>
    <x v="4"/>
    <s v="ATL"/>
    <s v="A"/>
    <n v="2"/>
    <n v="3"/>
    <n v="-1"/>
    <n v="1"/>
    <n v="-8"/>
    <n v="8"/>
    <n v="1455.9850502583965"/>
    <n v="1559.498577823729"/>
    <n v="0.23658070157071698"/>
    <n v="81"/>
    <n v="89"/>
    <n v="0"/>
    <n v="-8"/>
    <n v="0"/>
    <n v="0.35747894605585639"/>
    <n v="1"/>
    <n v="74.05"/>
    <n v="74.05"/>
    <n v="-6.2626025002372021"/>
    <n v="1449.7224477581594"/>
    <n v="0"/>
    <n v="1"/>
    <n v="0"/>
    <n v="0"/>
    <n v="0"/>
    <n v="0"/>
    <n v="0"/>
    <n v="0"/>
    <n v="0"/>
    <n v="0"/>
  </r>
  <r>
    <d v="2010-06-27T00:00:00"/>
    <n v="2010"/>
    <x v="14"/>
    <s v="R"/>
    <s v="RS"/>
    <x v="6"/>
    <s v="LAS"/>
    <s v="H"/>
    <n v="3"/>
    <n v="2"/>
    <n v="1"/>
    <n v="-1"/>
    <n v="8"/>
    <n v="-8"/>
    <n v="1559.498577823729"/>
    <n v="1455.9850502583965"/>
    <n v="0.76341929842928302"/>
    <n v="89"/>
    <n v="81"/>
    <n v="0"/>
    <n v="8"/>
    <n v="1"/>
    <n v="0.35747894605585639"/>
    <n v="1"/>
    <n v="73.75"/>
    <n v="73.75"/>
    <n v="6.2372307142808063"/>
    <n v="1565.7358085380097"/>
    <n v="1"/>
    <n v="0"/>
    <n v="0"/>
    <n v="0"/>
    <n v="0"/>
    <n v="0"/>
    <n v="0"/>
    <n v="0"/>
    <n v="0"/>
    <n v="0"/>
  </r>
  <r>
    <d v="2010-06-27T00:00:00"/>
    <n v="2010"/>
    <x v="13"/>
    <s v="R"/>
    <s v="RS"/>
    <x v="3"/>
    <s v="CHI"/>
    <s v="A"/>
    <n v="1"/>
    <n v="1"/>
    <n v="0"/>
    <n v="0"/>
    <n v="0"/>
    <n v="0"/>
    <n v="1571.9043930688358"/>
    <n v="1471.8603188742136"/>
    <n v="0.52307288046715616"/>
    <n v="70"/>
    <n v="64"/>
    <n v="0"/>
    <n v="6"/>
    <n v="1"/>
    <n v="0.32424817102476489"/>
    <n v="1"/>
    <n v="73.900000000000006"/>
    <n v="73.900000000000006"/>
    <n v="11.428098945704857"/>
    <n v="1583.3324920145408"/>
    <n v="1"/>
    <n v="0"/>
    <n v="0"/>
    <n v="0"/>
    <n v="0"/>
    <n v="0"/>
    <n v="0"/>
    <n v="0"/>
    <n v="0"/>
    <n v="0"/>
  </r>
  <r>
    <d v="2010-06-27T00:00:00"/>
    <n v="2010"/>
    <x v="14"/>
    <s v="R"/>
    <s v="RS"/>
    <x v="0"/>
    <s v="IND"/>
    <s v="H"/>
    <n v="1"/>
    <n v="1"/>
    <n v="0"/>
    <n v="0"/>
    <n v="0"/>
    <n v="0"/>
    <n v="1471.8603188742136"/>
    <n v="1571.9043930688358"/>
    <n v="0.47692711953284378"/>
    <n v="64"/>
    <n v="70"/>
    <n v="0"/>
    <n v="-6"/>
    <n v="0"/>
    <n v="0.32424817102476489"/>
    <n v="1"/>
    <n v="73.75"/>
    <n v="73.75"/>
    <n v="-11.404902533771759"/>
    <n v="1460.4554163404418"/>
    <n v="0"/>
    <n v="1"/>
    <n v="0"/>
    <n v="0"/>
    <n v="0"/>
    <n v="0"/>
    <n v="0"/>
    <n v="0"/>
    <n v="0"/>
    <n v="0"/>
  </r>
  <r>
    <d v="2010-06-27T00:00:00"/>
    <n v="2010"/>
    <x v="13"/>
    <s v="R"/>
    <s v="RS"/>
    <x v="1"/>
    <s v="NYL"/>
    <s v="A"/>
    <n v="1"/>
    <n v="1"/>
    <n v="0"/>
    <n v="0"/>
    <n v="0"/>
    <n v="0"/>
    <n v="1540.5429261419506"/>
    <n v="1467.5655240805152"/>
    <n v="0.48414252633140098"/>
    <n v="68"/>
    <n v="77"/>
    <n v="0"/>
    <n v="-9"/>
    <n v="0"/>
    <n v="0.38269794246762301"/>
    <n v="1"/>
    <n v="73.900000000000006"/>
    <n v="73.900000000000006"/>
    <n v="-13.692217768050897"/>
    <n v="1526.8507083738998"/>
    <n v="0"/>
    <n v="1"/>
    <n v="0"/>
    <n v="0"/>
    <n v="0"/>
    <n v="0"/>
    <n v="0"/>
    <n v="0"/>
    <n v="0"/>
    <n v="0"/>
  </r>
  <r>
    <d v="2010-06-27T00:00:00"/>
    <n v="2010"/>
    <x v="12"/>
    <s v="R"/>
    <s v="RS"/>
    <x v="10"/>
    <s v="CON"/>
    <s v="H"/>
    <n v="1"/>
    <n v="1"/>
    <n v="0"/>
    <n v="0"/>
    <n v="0"/>
    <n v="0"/>
    <n v="1467.5655240805152"/>
    <n v="1540.5429261419506"/>
    <n v="0.51585747366859902"/>
    <n v="77"/>
    <n v="68"/>
    <n v="0"/>
    <n v="9"/>
    <n v="1"/>
    <n v="0.38269794246762301"/>
    <n v="1"/>
    <n v="74.05"/>
    <n v="74.05"/>
    <n v="13.720009820354113"/>
    <n v="1481.2855339008693"/>
    <n v="1"/>
    <n v="0"/>
    <n v="0"/>
    <n v="0"/>
    <n v="0"/>
    <n v="0"/>
    <n v="0"/>
    <n v="0"/>
    <n v="0"/>
    <n v="0"/>
  </r>
  <r>
    <d v="2010-06-27T00:00:00"/>
    <n v="2010"/>
    <x v="14"/>
    <s v="R"/>
    <s v="RS"/>
    <x v="11"/>
    <s v="TUL"/>
    <s v="A"/>
    <n v="1"/>
    <n v="1"/>
    <n v="0"/>
    <n v="0"/>
    <n v="0"/>
    <n v="0"/>
    <n v="1633.7375970108949"/>
    <n v="1379.6298680869697"/>
    <n v="0.72695318209626358"/>
    <n v="83"/>
    <n v="72"/>
    <n v="0"/>
    <n v="11"/>
    <n v="1"/>
    <n v="0.36297390751079001"/>
    <n v="1"/>
    <n v="73.75"/>
    <n v="73.75"/>
    <n v="7.3092791940580923"/>
    <n v="1641.0468762049529"/>
    <n v="1"/>
    <n v="0"/>
    <n v="0"/>
    <n v="0"/>
    <n v="0"/>
    <n v="0"/>
    <n v="0"/>
    <n v="0"/>
    <n v="0"/>
    <n v="0"/>
  </r>
  <r>
    <d v="2010-06-27T00:00:00"/>
    <n v="2010"/>
    <x v="13"/>
    <s v="R"/>
    <s v="RS"/>
    <x v="9"/>
    <s v="SEA"/>
    <s v="H"/>
    <n v="1"/>
    <n v="1"/>
    <n v="0"/>
    <n v="0"/>
    <n v="0"/>
    <n v="0"/>
    <n v="1379.6298680869697"/>
    <n v="1633.7375970108949"/>
    <n v="0.27304681790373642"/>
    <n v="72"/>
    <n v="83"/>
    <n v="0"/>
    <n v="-11"/>
    <n v="0"/>
    <n v="0.36297390751079001"/>
    <n v="1"/>
    <n v="73.900000000000006"/>
    <n v="73.900000000000006"/>
    <n v="-7.3241455246222786"/>
    <n v="1372.3057225623475"/>
    <n v="0"/>
    <n v="1"/>
    <n v="0"/>
    <n v="0"/>
    <n v="0"/>
    <n v="0"/>
    <n v="0"/>
    <n v="0"/>
    <n v="0"/>
    <n v="0"/>
  </r>
  <r>
    <d v="2010-06-27T00:00:00"/>
    <n v="2010"/>
    <x v="13"/>
    <s v="R"/>
    <s v="RS"/>
    <x v="5"/>
    <s v="WAS"/>
    <s v="A"/>
    <n v="1"/>
    <n v="1"/>
    <n v="0"/>
    <n v="0"/>
    <n v="0"/>
    <n v="0"/>
    <n v="1513.2872659094885"/>
    <n v="1522.3156700305146"/>
    <n v="0.36923162978777035"/>
    <n v="85"/>
    <n v="95"/>
    <n v="0"/>
    <n v="-10"/>
    <n v="0"/>
    <n v="0.41996998372249444"/>
    <n v="1"/>
    <n v="73.900000000000006"/>
    <n v="73.900000000000006"/>
    <n v="-11.459392294678022"/>
    <n v="1501.8278736148104"/>
    <n v="0"/>
    <n v="1"/>
    <n v="0"/>
    <n v="0"/>
    <n v="0"/>
    <n v="0"/>
    <n v="0"/>
    <n v="0"/>
    <n v="0"/>
    <n v="0"/>
  </r>
  <r>
    <d v="2010-06-27T00:00:00"/>
    <n v="2010"/>
    <x v="13"/>
    <s v="R"/>
    <s v="RS"/>
    <x v="2"/>
    <s v="PHX"/>
    <s v="H"/>
    <n v="1"/>
    <n v="1"/>
    <n v="0"/>
    <n v="0"/>
    <n v="0"/>
    <n v="0"/>
    <n v="1522.3156700305146"/>
    <n v="1513.2872659094885"/>
    <n v="0.63076837021222976"/>
    <n v="95"/>
    <n v="85"/>
    <n v="0"/>
    <n v="10"/>
    <n v="1"/>
    <n v="0.41996998372249444"/>
    <n v="1"/>
    <n v="73.900000000000006"/>
    <n v="73.900000000000006"/>
    <n v="11.459392294678018"/>
    <n v="1533.7750623251927"/>
    <n v="1"/>
    <n v="0"/>
    <n v="0"/>
    <n v="0"/>
    <n v="0"/>
    <n v="0"/>
    <n v="0"/>
    <n v="0"/>
    <n v="0"/>
    <n v="0"/>
  </r>
  <r>
    <d v="2010-06-29T00:00:00"/>
    <n v="2010"/>
    <x v="14"/>
    <s v="R"/>
    <s v="RS"/>
    <x v="5"/>
    <s v="ATL"/>
    <s v="A"/>
    <n v="1"/>
    <n v="1"/>
    <n v="0"/>
    <n v="0"/>
    <n v="0"/>
    <n v="0"/>
    <n v="1501.8278736148104"/>
    <n v="1565.7358085380097"/>
    <n v="0.29913369904631404"/>
    <n v="88"/>
    <n v="94"/>
    <n v="0"/>
    <n v="-6"/>
    <n v="0"/>
    <n v="0.33351868570617405"/>
    <n v="1"/>
    <n v="73.75"/>
    <n v="73.75"/>
    <n v="-7.3577925140310239"/>
    <n v="1494.4700811007795"/>
    <n v="0"/>
    <n v="1"/>
    <n v="0"/>
    <n v="0"/>
    <n v="0"/>
    <n v="0"/>
    <n v="0"/>
    <n v="0"/>
    <n v="0"/>
    <n v="0"/>
  </r>
  <r>
    <d v="2010-06-29T00:00:00"/>
    <n v="2010"/>
    <x v="15"/>
    <s v="R"/>
    <s v="RS"/>
    <x v="6"/>
    <s v="PHX"/>
    <s v="H"/>
    <n v="1"/>
    <n v="1"/>
    <n v="0"/>
    <n v="0"/>
    <n v="0"/>
    <n v="0"/>
    <n v="1565.7358085380097"/>
    <n v="1501.8278736148104"/>
    <n v="0.70086630095368607"/>
    <n v="94"/>
    <n v="88"/>
    <n v="0"/>
    <n v="6"/>
    <n v="1"/>
    <n v="0.33351868570617405"/>
    <n v="1"/>
    <n v="73.599999999999994"/>
    <n v="73.599999999999994"/>
    <n v="7.3428275123075677"/>
    <n v="1573.0786360503173"/>
    <n v="1"/>
    <n v="0"/>
    <n v="0"/>
    <n v="0"/>
    <n v="0"/>
    <n v="0"/>
    <n v="0"/>
    <n v="0"/>
    <n v="0"/>
    <n v="0"/>
  </r>
  <r>
    <d v="2010-06-29T00:00:00"/>
    <n v="2010"/>
    <x v="13"/>
    <s v="R"/>
    <s v="RS"/>
    <x v="10"/>
    <s v="LAS"/>
    <s v="A"/>
    <n v="1"/>
    <n v="1"/>
    <n v="0"/>
    <n v="0"/>
    <n v="0"/>
    <n v="0"/>
    <n v="1481.2855339008693"/>
    <n v="1449.7224477581594"/>
    <n v="0.42510501900547026"/>
    <n v="80"/>
    <n v="68"/>
    <n v="0"/>
    <n v="12"/>
    <n v="1"/>
    <n v="0.44443954016694437"/>
    <n v="1"/>
    <n v="73.900000000000006"/>
    <n v="73.900000000000006"/>
    <n v="18.881897907714734"/>
    <n v="1500.1674318085841"/>
    <n v="1"/>
    <n v="0"/>
    <n v="0"/>
    <n v="0"/>
    <n v="0"/>
    <n v="0"/>
    <n v="0"/>
    <n v="0"/>
    <n v="0"/>
    <n v="0"/>
  </r>
  <r>
    <d v="2010-06-29T00:00:00"/>
    <n v="2010"/>
    <x v="13"/>
    <s v="R"/>
    <s v="RS"/>
    <x v="4"/>
    <s v="NYL"/>
    <s v="H"/>
    <n v="1"/>
    <n v="1"/>
    <n v="0"/>
    <n v="0"/>
    <n v="0"/>
    <n v="0"/>
    <n v="1449.7224477581594"/>
    <n v="1481.2855339008693"/>
    <n v="0.57489498099452974"/>
    <n v="68"/>
    <n v="80"/>
    <n v="0"/>
    <n v="-12"/>
    <n v="0"/>
    <n v="0.44443954016694437"/>
    <n v="1"/>
    <n v="73.900000000000006"/>
    <n v="73.900000000000006"/>
    <n v="-18.881897907714734"/>
    <n v="1430.8405498504446"/>
    <n v="0"/>
    <n v="1"/>
    <n v="0"/>
    <n v="0"/>
    <n v="0"/>
    <n v="0"/>
    <n v="0"/>
    <n v="0"/>
    <n v="0"/>
    <n v="0"/>
  </r>
  <r>
    <d v="2010-06-29T00:00:00"/>
    <n v="2010"/>
    <x v="12"/>
    <s v="R"/>
    <s v="RS"/>
    <x v="7"/>
    <s v="SEA"/>
    <s v="A"/>
    <n v="2"/>
    <n v="1"/>
    <n v="1"/>
    <n v="-1"/>
    <n v="8"/>
    <n v="-8"/>
    <n v="1465.5180435585085"/>
    <n v="1641.0468762049529"/>
    <n v="0.1975203864571129"/>
    <n v="72"/>
    <n v="86"/>
    <n v="0"/>
    <n v="-14"/>
    <n v="0"/>
    <n v="0.42538528481090648"/>
    <n v="1"/>
    <n v="74.05"/>
    <n v="74.05"/>
    <n v="-6.2218487861198781"/>
    <n v="1459.2961947723886"/>
    <n v="0"/>
    <n v="1"/>
    <n v="0"/>
    <n v="0"/>
    <n v="0"/>
    <n v="0"/>
    <n v="0"/>
    <n v="0"/>
    <n v="0"/>
    <n v="0"/>
  </r>
  <r>
    <d v="2010-06-29T00:00:00"/>
    <n v="2010"/>
    <x v="15"/>
    <s v="R"/>
    <s v="RS"/>
    <x v="11"/>
    <s v="SAS"/>
    <s v="H"/>
    <n v="1"/>
    <n v="2"/>
    <n v="-1"/>
    <n v="1"/>
    <n v="-8"/>
    <n v="8"/>
    <n v="1641.0468762049529"/>
    <n v="1465.5180435585085"/>
    <n v="0.8024796135428871"/>
    <n v="86"/>
    <n v="72"/>
    <n v="0"/>
    <n v="14"/>
    <n v="1"/>
    <n v="0.42538528481090648"/>
    <n v="1"/>
    <n v="73.599999999999994"/>
    <n v="73.599999999999994"/>
    <n v="6.1840387664878191"/>
    <n v="1647.2309149714408"/>
    <n v="1"/>
    <n v="0"/>
    <n v="0"/>
    <n v="0"/>
    <n v="0"/>
    <n v="0"/>
    <n v="0"/>
    <n v="0"/>
    <n v="0"/>
    <n v="0"/>
  </r>
  <r>
    <d v="2010-06-29T00:00:00"/>
    <n v="2010"/>
    <x v="14"/>
    <s v="R"/>
    <s v="RS"/>
    <x v="1"/>
    <s v="TUL"/>
    <s v="A"/>
    <n v="1"/>
    <n v="1"/>
    <n v="0"/>
    <n v="0"/>
    <n v="0"/>
    <n v="0"/>
    <n v="1526.8507083738998"/>
    <n v="1372.3057225623475"/>
    <n v="0.60014986431963224"/>
    <n v="101"/>
    <n v="89"/>
    <n v="0"/>
    <n v="12"/>
    <n v="1"/>
    <n v="0.40408796859848134"/>
    <n v="1"/>
    <n v="73.75"/>
    <n v="73.75"/>
    <n v="11.916128893979387"/>
    <n v="1538.7668372678793"/>
    <n v="1"/>
    <n v="0"/>
    <n v="0"/>
    <n v="0"/>
    <n v="0"/>
    <n v="0"/>
    <n v="0"/>
    <n v="0"/>
    <n v="0"/>
    <n v="0"/>
  </r>
  <r>
    <d v="2010-06-29T00:00:00"/>
    <n v="2010"/>
    <x v="14"/>
    <s v="R"/>
    <s v="RS"/>
    <x v="9"/>
    <s v="CON"/>
    <s v="H"/>
    <n v="1"/>
    <n v="1"/>
    <n v="0"/>
    <n v="0"/>
    <n v="0"/>
    <n v="0"/>
    <n v="1372.3057225623475"/>
    <n v="1526.8507083738998"/>
    <n v="0.39985013568036781"/>
    <n v="89"/>
    <n v="101"/>
    <n v="0"/>
    <n v="-12"/>
    <n v="0"/>
    <n v="0.40408796859848134"/>
    <n v="1"/>
    <n v="73.75"/>
    <n v="73.75"/>
    <n v="-11.916128893979389"/>
    <n v="1360.389593668368"/>
    <n v="0"/>
    <n v="1"/>
    <n v="0"/>
    <n v="0"/>
    <n v="0"/>
    <n v="0"/>
    <n v="0"/>
    <n v="0"/>
    <n v="0"/>
    <n v="0"/>
  </r>
  <r>
    <d v="2010-06-29T00:00:00"/>
    <n v="2010"/>
    <x v="14"/>
    <s v="R"/>
    <s v="RS"/>
    <x v="3"/>
    <s v="WAS"/>
    <s v="A"/>
    <n v="1"/>
    <n v="1"/>
    <n v="0"/>
    <n v="0"/>
    <n v="0"/>
    <n v="0"/>
    <n v="1583.3324920145408"/>
    <n v="1533.7750623251927"/>
    <n v="0.45059489365656841"/>
    <n v="65"/>
    <n v="68"/>
    <n v="0"/>
    <n v="-3"/>
    <n v="0"/>
    <n v="0.27867484682558413"/>
    <n v="1"/>
    <n v="73.75"/>
    <n v="73.75"/>
    <n v="-9.2607478940474248"/>
    <n v="1574.0717441204933"/>
    <n v="0"/>
    <n v="1"/>
    <n v="0"/>
    <n v="0"/>
    <n v="0"/>
    <n v="0"/>
    <n v="0"/>
    <n v="0"/>
    <n v="0"/>
    <n v="0"/>
  </r>
  <r>
    <d v="2010-06-29T00:00:00"/>
    <n v="2010"/>
    <x v="14"/>
    <s v="R"/>
    <s v="RS"/>
    <x v="2"/>
    <s v="IND"/>
    <s v="H"/>
    <n v="1"/>
    <n v="1"/>
    <n v="0"/>
    <n v="0"/>
    <n v="0"/>
    <n v="0"/>
    <n v="1533.7750623251927"/>
    <n v="1583.3324920145408"/>
    <n v="0.54940510634343154"/>
    <n v="68"/>
    <n v="65"/>
    <n v="0"/>
    <n v="3"/>
    <n v="1"/>
    <n v="0.27867484682558413"/>
    <n v="1"/>
    <n v="73.75"/>
    <n v="73.75"/>
    <n v="9.2607478940474266"/>
    <n v="1543.0358102192401"/>
    <n v="1"/>
    <n v="0"/>
    <n v="0"/>
    <n v="0"/>
    <n v="0"/>
    <n v="0"/>
    <n v="0"/>
    <n v="0"/>
    <n v="0"/>
    <n v="0"/>
  </r>
  <r>
    <d v="2010-07-01T00:00:00"/>
    <n v="2010"/>
    <x v="15"/>
    <s v="R"/>
    <s v="RS"/>
    <x v="8"/>
    <s v="ATL"/>
    <s v="A"/>
    <n v="4"/>
    <n v="1"/>
    <n v="3"/>
    <n v="-3"/>
    <n v="16"/>
    <n v="-16"/>
    <n v="1413.0130674106981"/>
    <n v="1573.0786360503173"/>
    <n v="0.22780492369648067"/>
    <n v="58"/>
    <n v="76"/>
    <n v="0"/>
    <n v="-18"/>
    <n v="0"/>
    <n v="0.48247726703936655"/>
    <n v="1"/>
    <n v="73.599999999999994"/>
    <n v="73.599999999999994"/>
    <n v="-8.0894272994347425"/>
    <n v="1404.9236401112635"/>
    <n v="0"/>
    <n v="1"/>
    <n v="0"/>
    <n v="0"/>
    <n v="0"/>
    <n v="0"/>
    <n v="0"/>
    <n v="0"/>
    <n v="0"/>
    <n v="0"/>
  </r>
  <r>
    <d v="2010-07-01T00:00:00"/>
    <n v="2010"/>
    <x v="16"/>
    <s v="R"/>
    <s v="RS"/>
    <x v="6"/>
    <s v="MIN"/>
    <s v="H"/>
    <n v="1"/>
    <n v="4"/>
    <n v="-3"/>
    <n v="3"/>
    <n v="-16"/>
    <n v="16"/>
    <n v="1573.0786360503173"/>
    <n v="1413.0130674106981"/>
    <n v="0.77219507630351936"/>
    <n v="76"/>
    <n v="58"/>
    <n v="0"/>
    <n v="18"/>
    <n v="1"/>
    <n v="0.48247726703936655"/>
    <n v="1"/>
    <n v="73.45"/>
    <n v="73.45"/>
    <n v="8.072940694884263"/>
    <n v="1581.1515767452015"/>
    <n v="1"/>
    <n v="0"/>
    <n v="0"/>
    <n v="0"/>
    <n v="0"/>
    <n v="0"/>
    <n v="0"/>
    <n v="0"/>
    <n v="0"/>
    <n v="0"/>
  </r>
  <r>
    <d v="2010-07-01T00:00:00"/>
    <n v="2010"/>
    <x v="15"/>
    <s v="R"/>
    <s v="RS"/>
    <x v="1"/>
    <s v="CHI"/>
    <s v="A"/>
    <n v="1"/>
    <n v="3"/>
    <n v="-2"/>
    <n v="2"/>
    <n v="-16"/>
    <n v="16"/>
    <n v="1538.7668372678793"/>
    <n v="1460.4554163404418"/>
    <n v="0.44597352111365846"/>
    <n v="80"/>
    <n v="92"/>
    <n v="0"/>
    <n v="-12"/>
    <n v="0"/>
    <n v="0.42818621716978239"/>
    <n v="1"/>
    <n v="73.599999999999994"/>
    <n v="73.599999999999994"/>
    <n v="-14.054635021316948"/>
    <n v="1524.7122022465624"/>
    <n v="0"/>
    <n v="1"/>
    <n v="0"/>
    <n v="0"/>
    <n v="0"/>
    <n v="0"/>
    <n v="0"/>
    <n v="0"/>
    <n v="0"/>
    <n v="0"/>
  </r>
  <r>
    <d v="2010-07-01T00:00:00"/>
    <n v="2010"/>
    <x v="15"/>
    <s v="R"/>
    <s v="RS"/>
    <x v="0"/>
    <s v="CON"/>
    <s v="H"/>
    <n v="3"/>
    <n v="1"/>
    <n v="2"/>
    <n v="-2"/>
    <n v="16"/>
    <n v="-16"/>
    <n v="1460.4554163404418"/>
    <n v="1538.7668372678793"/>
    <n v="0.5540264788863416"/>
    <n v="92"/>
    <n v="80"/>
    <n v="0"/>
    <n v="12"/>
    <n v="1"/>
    <n v="0.42818621716978239"/>
    <n v="1"/>
    <n v="73.599999999999994"/>
    <n v="73.599999999999994"/>
    <n v="14.054635021316946"/>
    <n v="1474.5100513617588"/>
    <n v="1"/>
    <n v="0"/>
    <n v="0"/>
    <n v="0"/>
    <n v="0"/>
    <n v="0"/>
    <n v="0"/>
    <n v="0"/>
    <n v="0"/>
    <n v="0"/>
  </r>
  <r>
    <d v="2010-07-01T00:00:00"/>
    <n v="2010"/>
    <x v="13"/>
    <s v="R"/>
    <s v="RS"/>
    <x v="7"/>
    <s v="LAS"/>
    <s v="A"/>
    <n v="1"/>
    <n v="1"/>
    <n v="0"/>
    <n v="0"/>
    <n v="0"/>
    <n v="0"/>
    <n v="1459.2961947723886"/>
    <n v="1430.8405498504446"/>
    <n v="0.42073935442905291"/>
    <n v="63"/>
    <n v="73"/>
    <n v="0"/>
    <n v="-10"/>
    <n v="0"/>
    <n v="0.4133284268729161"/>
    <n v="1"/>
    <n v="73.900000000000006"/>
    <n v="73.900000000000006"/>
    <n v="-12.851471272687849"/>
    <n v="1446.4447234997008"/>
    <n v="0"/>
    <n v="1"/>
    <n v="0"/>
    <n v="0"/>
    <n v="0"/>
    <n v="0"/>
    <n v="0"/>
    <n v="0"/>
    <n v="0"/>
    <n v="0"/>
  </r>
  <r>
    <d v="2010-07-01T00:00:00"/>
    <n v="2010"/>
    <x v="14"/>
    <s v="R"/>
    <s v="RS"/>
    <x v="4"/>
    <s v="SAS"/>
    <s v="H"/>
    <n v="1"/>
    <n v="1"/>
    <n v="0"/>
    <n v="0"/>
    <n v="0"/>
    <n v="0"/>
    <n v="1430.8405498504446"/>
    <n v="1459.2961947723886"/>
    <n v="0.57926064557094703"/>
    <n v="73"/>
    <n v="63"/>
    <n v="0"/>
    <n v="10"/>
    <n v="1"/>
    <n v="0.4133284268729161"/>
    <n v="1"/>
    <n v="73.75"/>
    <n v="73.75"/>
    <n v="12.825385742364398"/>
    <n v="1443.6659355928091"/>
    <n v="1"/>
    <n v="0"/>
    <n v="0"/>
    <n v="0"/>
    <n v="0"/>
    <n v="0"/>
    <n v="0"/>
    <n v="0"/>
    <n v="0"/>
    <n v="0"/>
  </r>
  <r>
    <d v="2010-07-01T00:00:00"/>
    <n v="2010"/>
    <x v="15"/>
    <s v="R"/>
    <s v="RS"/>
    <x v="2"/>
    <s v="PHX"/>
    <s v="A"/>
    <n v="1"/>
    <n v="1"/>
    <n v="0"/>
    <n v="0"/>
    <n v="0"/>
    <n v="0"/>
    <n v="1543.0358102192401"/>
    <n v="1494.4700811007795"/>
    <n v="0.44918205825521756"/>
    <n v="107"/>
    <n v="104"/>
    <n v="0"/>
    <n v="3"/>
    <n v="1"/>
    <n v="0.27889619040265312"/>
    <n v="1"/>
    <n v="73.599999999999994"/>
    <n v="73.599999999999994"/>
    <n v="11.306507481072504"/>
    <n v="1554.3423177003126"/>
    <n v="1"/>
    <n v="0"/>
    <n v="0"/>
    <n v="0"/>
    <n v="0"/>
    <n v="0"/>
    <n v="0"/>
    <n v="0"/>
    <n v="0"/>
    <n v="0"/>
  </r>
  <r>
    <d v="2010-07-01T00:00:00"/>
    <n v="2010"/>
    <x v="15"/>
    <s v="R"/>
    <s v="RS"/>
    <x v="5"/>
    <s v="WAS"/>
    <s v="H"/>
    <n v="1"/>
    <n v="1"/>
    <n v="0"/>
    <n v="0"/>
    <n v="0"/>
    <n v="0"/>
    <n v="1494.4700811007795"/>
    <n v="1543.0358102192401"/>
    <n v="0.55081794174478249"/>
    <n v="104"/>
    <n v="107"/>
    <n v="0"/>
    <n v="-3"/>
    <n v="0"/>
    <n v="0.27889619040265312"/>
    <n v="1"/>
    <n v="73.599999999999994"/>
    <n v="73.599999999999994"/>
    <n v="-11.306507481072504"/>
    <n v="1483.163573619707"/>
    <n v="0"/>
    <n v="1"/>
    <n v="0"/>
    <n v="0"/>
    <n v="0"/>
    <n v="0"/>
    <n v="0"/>
    <n v="0"/>
    <n v="0"/>
    <n v="0"/>
  </r>
  <r>
    <d v="2010-07-03T00:00:00"/>
    <n v="2010"/>
    <x v="16"/>
    <s v="R"/>
    <s v="RS"/>
    <x v="0"/>
    <s v="ATL"/>
    <s v="A"/>
    <n v="1"/>
    <n v="1"/>
    <n v="0"/>
    <n v="0"/>
    <n v="0"/>
    <n v="0"/>
    <n v="1474.5100513617588"/>
    <n v="1581.1515767452015"/>
    <n v="0.2502234638853818"/>
    <n v="88"/>
    <n v="82"/>
    <n v="0"/>
    <n v="6"/>
    <n v="1"/>
    <n v="0.32261098788015874"/>
    <n v="1"/>
    <n v="73.45"/>
    <n v="73.45"/>
    <n v="17.766537644439321"/>
    <n v="1492.276589006198"/>
    <n v="1"/>
    <n v="0"/>
    <n v="0"/>
    <n v="0"/>
    <n v="0"/>
    <n v="0"/>
    <n v="0"/>
    <n v="0"/>
    <n v="0"/>
    <n v="0"/>
  </r>
  <r>
    <d v="2010-07-03T00:00:00"/>
    <n v="2010"/>
    <x v="17"/>
    <s v="R"/>
    <s v="RS"/>
    <x v="6"/>
    <s v="CHI"/>
    <s v="H"/>
    <n v="1"/>
    <n v="1"/>
    <n v="0"/>
    <n v="0"/>
    <n v="0"/>
    <n v="0"/>
    <n v="1581.1515767452015"/>
    <n v="1474.5100513617588"/>
    <n v="0.74977653611461814"/>
    <n v="82"/>
    <n v="88"/>
    <n v="0"/>
    <n v="-6"/>
    <n v="0"/>
    <n v="0.32261098788015874"/>
    <n v="1"/>
    <n v="73.3"/>
    <n v="73.3"/>
    <n v="-17.730254722088524"/>
    <n v="1563.4213220231129"/>
    <n v="0"/>
    <n v="1"/>
    <n v="0"/>
    <n v="0"/>
    <n v="0"/>
    <n v="0"/>
    <n v="0"/>
    <n v="0"/>
    <n v="0"/>
    <n v="0"/>
  </r>
  <r>
    <d v="2010-07-03T00:00:00"/>
    <n v="2010"/>
    <x v="16"/>
    <s v="R"/>
    <s v="RS"/>
    <x v="11"/>
    <s v="LAS"/>
    <s v="A"/>
    <n v="3"/>
    <n v="1"/>
    <n v="2"/>
    <n v="-2"/>
    <n v="16"/>
    <n v="-16"/>
    <n v="1647.2309149714408"/>
    <n v="1443.6659355928091"/>
    <n v="0.70526108880847493"/>
    <n v="75"/>
    <n v="62"/>
    <n v="0"/>
    <n v="13"/>
    <n v="1"/>
    <n v="0.40358124853450933"/>
    <n v="1"/>
    <n v="73.45"/>
    <n v="73.45"/>
    <n v="8.7369581312342302"/>
    <n v="1655.967873102675"/>
    <n v="1"/>
    <n v="0"/>
    <n v="0"/>
    <n v="0"/>
    <n v="0"/>
    <n v="0"/>
    <n v="0"/>
    <n v="0"/>
    <n v="0"/>
    <n v="0"/>
  </r>
  <r>
    <d v="2010-07-03T00:00:00"/>
    <n v="2010"/>
    <x v="15"/>
    <s v="R"/>
    <s v="RS"/>
    <x v="4"/>
    <s v="SEA"/>
    <s v="H"/>
    <n v="1"/>
    <n v="3"/>
    <n v="-2"/>
    <n v="2"/>
    <n v="-16"/>
    <n v="16"/>
    <n v="1443.6659355928091"/>
    <n v="1647.2309149714408"/>
    <n v="0.29473891119152507"/>
    <n v="62"/>
    <n v="75"/>
    <n v="0"/>
    <n v="-13"/>
    <n v="0"/>
    <n v="0.40358124853450933"/>
    <n v="1"/>
    <n v="73.599999999999994"/>
    <n v="73.599999999999994"/>
    <n v="-8.7548007958997864"/>
    <n v="1434.9111347969092"/>
    <n v="0"/>
    <n v="1"/>
    <n v="0"/>
    <n v="0"/>
    <n v="0"/>
    <n v="0"/>
    <n v="0"/>
    <n v="0"/>
    <n v="0"/>
    <n v="0"/>
  </r>
  <r>
    <d v="2010-07-03T00:00:00"/>
    <n v="2010"/>
    <x v="14"/>
    <s v="R"/>
    <s v="RS"/>
    <x v="10"/>
    <s v="PHX"/>
    <s v="A"/>
    <n v="3"/>
    <n v="1"/>
    <n v="2"/>
    <n v="-2"/>
    <n v="16"/>
    <n v="-16"/>
    <n v="1500.1674318085841"/>
    <n v="1483.163573619707"/>
    <n v="0.44980614316527434"/>
    <n v="82"/>
    <n v="97"/>
    <n v="0"/>
    <n v="-15"/>
    <n v="0"/>
    <n v="0.49582228486318142"/>
    <n v="1"/>
    <n v="73.75"/>
    <n v="73.75"/>
    <n v="-16.448013336665497"/>
    <n v="1483.7194184719185"/>
    <n v="0"/>
    <n v="1"/>
    <n v="0"/>
    <n v="0"/>
    <n v="0"/>
    <n v="0"/>
    <n v="0"/>
    <n v="0"/>
    <n v="0"/>
    <n v="0"/>
  </r>
  <r>
    <d v="2010-07-03T00:00:00"/>
    <n v="2010"/>
    <x v="16"/>
    <s v="R"/>
    <s v="RS"/>
    <x v="5"/>
    <s v="NYL"/>
    <s v="H"/>
    <n v="1"/>
    <n v="3"/>
    <n v="-2"/>
    <n v="2"/>
    <n v="-16"/>
    <n v="16"/>
    <n v="1483.163573619707"/>
    <n v="1500.1674318085841"/>
    <n v="0.55019385683472566"/>
    <n v="97"/>
    <n v="82"/>
    <n v="0"/>
    <n v="15"/>
    <n v="1"/>
    <n v="0.49582228486318142"/>
    <n v="1"/>
    <n v="73.45"/>
    <n v="73.45"/>
    <n v="16.381106163770585"/>
    <n v="1499.5446797834775"/>
    <n v="1"/>
    <n v="0"/>
    <n v="0"/>
    <n v="0"/>
    <n v="0"/>
    <n v="0"/>
    <n v="0"/>
    <n v="0"/>
    <n v="0"/>
    <n v="0"/>
  </r>
  <r>
    <d v="2010-07-03T00:00:00"/>
    <n v="2010"/>
    <x v="16"/>
    <s v="R"/>
    <s v="RS"/>
    <x v="2"/>
    <s v="TUL"/>
    <s v="A"/>
    <n v="1"/>
    <n v="3"/>
    <n v="-2"/>
    <n v="2"/>
    <n v="-16"/>
    <n v="16"/>
    <n v="1554.3423177003126"/>
    <n v="1360.389593668368"/>
    <n v="0.61033770162351364"/>
    <n v="69"/>
    <n v="54"/>
    <n v="0"/>
    <n v="15"/>
    <n v="1"/>
    <n v="0.4328824236658172"/>
    <n v="1"/>
    <n v="73.45"/>
    <n v="73.45"/>
    <n v="12.389396171725238"/>
    <n v="1566.7317138720377"/>
    <n v="1"/>
    <n v="0"/>
    <n v="0"/>
    <n v="0"/>
    <n v="0"/>
    <n v="0"/>
    <n v="0"/>
    <n v="0"/>
    <n v="0"/>
    <n v="0"/>
  </r>
  <r>
    <d v="2010-07-03T00:00:00"/>
    <n v="2010"/>
    <x v="15"/>
    <s v="R"/>
    <s v="RS"/>
    <x v="9"/>
    <s v="WAS"/>
    <s v="H"/>
    <n v="3"/>
    <n v="1"/>
    <n v="2"/>
    <n v="-2"/>
    <n v="16"/>
    <n v="-16"/>
    <n v="1360.389593668368"/>
    <n v="1554.3423177003126"/>
    <n v="0.38966229837648642"/>
    <n v="54"/>
    <n v="69"/>
    <n v="0"/>
    <n v="-15"/>
    <n v="0"/>
    <n v="0.4328824236658172"/>
    <n v="1"/>
    <n v="73.599999999999994"/>
    <n v="73.599999999999994"/>
    <n v="-12.414697865745099"/>
    <n v="1347.9748958026228"/>
    <n v="0"/>
    <n v="1"/>
    <n v="0"/>
    <n v="0"/>
    <n v="0"/>
    <n v="0"/>
    <n v="0"/>
    <n v="0"/>
    <n v="0"/>
    <n v="0"/>
  </r>
  <r>
    <d v="2010-07-06T00:00:00"/>
    <n v="2010"/>
    <x v="15"/>
    <s v="R"/>
    <s v="RS"/>
    <x v="3"/>
    <s v="CHI"/>
    <s v="A"/>
    <n v="6"/>
    <n v="2"/>
    <n v="4"/>
    <n v="-4"/>
    <n v="16"/>
    <n v="-16"/>
    <n v="1574.0717441204933"/>
    <n v="1492.276589006198"/>
    <n v="0.54277386876371214"/>
    <n v="58"/>
    <n v="51"/>
    <n v="0"/>
    <n v="7"/>
    <n v="1"/>
    <n v="0.34648953478450456"/>
    <n v="1"/>
    <n v="73.599999999999994"/>
    <n v="73.599999999999994"/>
    <n v="11.660011515448781"/>
    <n v="1585.7317556359421"/>
    <n v="1"/>
    <n v="0"/>
    <n v="0"/>
    <n v="0"/>
    <n v="0"/>
    <n v="0"/>
    <n v="0"/>
    <n v="0"/>
    <n v="0"/>
    <n v="0"/>
  </r>
  <r>
    <d v="2010-07-06T00:00:00"/>
    <n v="2010"/>
    <x v="17"/>
    <s v="R"/>
    <s v="RS"/>
    <x v="0"/>
    <s v="IND"/>
    <s v="H"/>
    <n v="2"/>
    <n v="6"/>
    <n v="-4"/>
    <n v="4"/>
    <n v="-16"/>
    <n v="16"/>
    <n v="1492.276589006198"/>
    <n v="1574.0717441204933"/>
    <n v="0.4572261312362878"/>
    <n v="51"/>
    <n v="58"/>
    <n v="0"/>
    <n v="-7"/>
    <n v="0"/>
    <n v="0.34648953478450456"/>
    <n v="1"/>
    <n v="73.3"/>
    <n v="73.3"/>
    <n v="-11.612484294597767"/>
    <n v="1480.6641047116002"/>
    <n v="0"/>
    <n v="1"/>
    <n v="0"/>
    <n v="0"/>
    <n v="0"/>
    <n v="0"/>
    <n v="0"/>
    <n v="0"/>
    <n v="0"/>
    <n v="0"/>
  </r>
  <r>
    <d v="2010-07-06T00:00:00"/>
    <n v="2010"/>
    <x v="17"/>
    <s v="R"/>
    <s v="RS"/>
    <x v="5"/>
    <s v="LAS"/>
    <s v="A"/>
    <n v="2"/>
    <n v="2"/>
    <n v="0"/>
    <n v="0"/>
    <n v="0"/>
    <n v="0"/>
    <n v="1499.5446797834775"/>
    <n v="1434.9111347969092"/>
    <n v="0.47215826034561525"/>
    <n v="98"/>
    <n v="89"/>
    <n v="0"/>
    <n v="9"/>
    <n v="1"/>
    <n v="0.3852229244653364"/>
    <n v="1"/>
    <n v="73.3"/>
    <n v="73.3"/>
    <n v="14.904582939712254"/>
    <n v="1514.4492627231898"/>
    <n v="1"/>
    <n v="0"/>
    <n v="0"/>
    <n v="0"/>
    <n v="0"/>
    <n v="0"/>
    <n v="0"/>
    <n v="0"/>
    <n v="0"/>
    <n v="0"/>
  </r>
  <r>
    <d v="2010-07-06T00:00:00"/>
    <n v="2010"/>
    <x v="16"/>
    <s v="R"/>
    <s v="RS"/>
    <x v="4"/>
    <s v="PHX"/>
    <s v="H"/>
    <n v="2"/>
    <n v="2"/>
    <n v="0"/>
    <n v="0"/>
    <n v="0"/>
    <n v="0"/>
    <n v="1434.9111347969092"/>
    <n v="1499.5446797834775"/>
    <n v="0.52784173965438475"/>
    <n v="89"/>
    <n v="98"/>
    <n v="0"/>
    <n v="-9"/>
    <n v="0"/>
    <n v="0.3852229244653364"/>
    <n v="1"/>
    <n v="73.45"/>
    <n v="73.45"/>
    <n v="-14.935083450502937"/>
    <n v="1419.9760513464062"/>
    <n v="0"/>
    <n v="1"/>
    <n v="0"/>
    <n v="0"/>
    <n v="0"/>
    <n v="0"/>
    <n v="0"/>
    <n v="0"/>
    <n v="0"/>
    <n v="0"/>
  </r>
  <r>
    <d v="2010-07-06T00:00:00"/>
    <n v="2010"/>
    <x v="16"/>
    <s v="R"/>
    <s v="RS"/>
    <x v="1"/>
    <s v="SAS"/>
    <s v="A"/>
    <n v="4"/>
    <n v="4"/>
    <n v="0"/>
    <n v="0"/>
    <n v="0"/>
    <n v="0"/>
    <n v="1524.7122022465624"/>
    <n v="1446.4447234997008"/>
    <n v="0.49175098730177041"/>
    <n v="66"/>
    <n v="79"/>
    <n v="0"/>
    <n v="-13"/>
    <n v="0"/>
    <n v="0.44314082630988777"/>
    <n v="1"/>
    <n v="73.45"/>
    <n v="73.45"/>
    <n v="-16.00585225865073"/>
    <n v="1508.7063499879116"/>
    <n v="0"/>
    <n v="1"/>
    <n v="0"/>
    <n v="0"/>
    <n v="0"/>
    <n v="0"/>
    <n v="0"/>
    <n v="0"/>
    <n v="0"/>
    <n v="0"/>
  </r>
  <r>
    <d v="2010-07-06T00:00:00"/>
    <n v="2010"/>
    <x v="14"/>
    <s v="R"/>
    <s v="RS"/>
    <x v="7"/>
    <s v="CON"/>
    <s v="H"/>
    <n v="4"/>
    <n v="4"/>
    <n v="0"/>
    <n v="0"/>
    <n v="0"/>
    <n v="0"/>
    <n v="1446.4447234997008"/>
    <n v="1524.7122022465624"/>
    <n v="0.50824901269822964"/>
    <n v="79"/>
    <n v="66"/>
    <n v="0"/>
    <n v="13"/>
    <n v="1"/>
    <n v="0.44314082630988777"/>
    <n v="1"/>
    <n v="73.75"/>
    <n v="73.75"/>
    <n v="16.071226740306212"/>
    <n v="1462.515950240007"/>
    <n v="1"/>
    <n v="0"/>
    <n v="0"/>
    <n v="0"/>
    <n v="0"/>
    <n v="0"/>
    <n v="0"/>
    <n v="0"/>
    <n v="0"/>
    <n v="0"/>
  </r>
  <r>
    <d v="2010-07-06T00:00:00"/>
    <n v="2010"/>
    <x v="15"/>
    <s v="R"/>
    <s v="RS"/>
    <x v="10"/>
    <s v="SEA"/>
    <s v="A"/>
    <n v="2"/>
    <n v="2"/>
    <n v="0"/>
    <n v="0"/>
    <n v="0"/>
    <n v="0"/>
    <n v="1483.7194184719185"/>
    <n v="1655.967873102675"/>
    <n v="0.18617099767899026"/>
    <n v="70"/>
    <n v="78"/>
    <n v="0"/>
    <n v="-8"/>
    <n v="0"/>
    <n v="0.33957308563994104"/>
    <n v="1"/>
    <n v="73.599999999999994"/>
    <n v="73.599999999999994"/>
    <n v="-4.6528933861951467"/>
    <n v="1479.0665250857235"/>
    <n v="0"/>
    <n v="1"/>
    <n v="0"/>
    <n v="0"/>
    <n v="0"/>
    <n v="0"/>
    <n v="0"/>
    <n v="0"/>
    <n v="0"/>
    <n v="0"/>
  </r>
  <r>
    <d v="2010-07-06T00:00:00"/>
    <n v="2010"/>
    <x v="17"/>
    <s v="R"/>
    <s v="RS"/>
    <x v="11"/>
    <s v="NYL"/>
    <s v="H"/>
    <n v="2"/>
    <n v="2"/>
    <n v="0"/>
    <n v="0"/>
    <n v="0"/>
    <n v="0"/>
    <n v="1655.967873102675"/>
    <n v="1483.7194184719185"/>
    <n v="0.81382900232100974"/>
    <n v="78"/>
    <n v="70"/>
    <n v="0"/>
    <n v="8"/>
    <n v="1"/>
    <n v="0.33957308563994104"/>
    <n v="1"/>
    <n v="73.3"/>
    <n v="73.3"/>
    <n v="4.6339277881535912"/>
    <n v="1660.6018008908286"/>
    <n v="1"/>
    <n v="0"/>
    <n v="0"/>
    <n v="0"/>
    <n v="0"/>
    <n v="0"/>
    <n v="0"/>
    <n v="0"/>
    <n v="0"/>
    <n v="0"/>
  </r>
  <r>
    <d v="2010-07-07T00:00:00"/>
    <n v="2010"/>
    <x v="17"/>
    <s v="R"/>
    <s v="RS"/>
    <x v="1"/>
    <s v="ATL"/>
    <s v="A"/>
    <n v="0"/>
    <n v="3"/>
    <n v="-3"/>
    <n v="3"/>
    <n v="-16"/>
    <n v="16"/>
    <n v="1508.7063499879116"/>
    <n v="1563.4213220231129"/>
    <n v="0.2723535245912525"/>
    <n v="103"/>
    <n v="108"/>
    <n v="1"/>
    <n v="-5"/>
    <n v="0"/>
    <n v="0.28556003672848135"/>
    <n v="1"/>
    <n v="73.3"/>
    <n v="73.3"/>
    <n v="-5.7007816061805094"/>
    <n v="1503.0055683817311"/>
    <n v="0"/>
    <n v="1"/>
    <n v="0"/>
    <n v="0"/>
    <n v="0"/>
    <n v="0"/>
    <n v="0"/>
    <n v="0"/>
    <n v="0"/>
    <n v="0"/>
  </r>
  <r>
    <d v="2010-07-07T00:00:00"/>
    <n v="2010"/>
    <x v="18"/>
    <s v="R"/>
    <s v="RS"/>
    <x v="6"/>
    <s v="CON"/>
    <s v="H"/>
    <n v="3"/>
    <n v="0"/>
    <n v="3"/>
    <n v="-3"/>
    <n v="16"/>
    <n v="-16"/>
    <n v="1563.4213220231129"/>
    <n v="1508.7063499879116"/>
    <n v="0.72764647540874761"/>
    <n v="108"/>
    <n v="103"/>
    <n v="1"/>
    <n v="5"/>
    <n v="1"/>
    <n v="0.28556003672848135"/>
    <n v="1"/>
    <n v="73.150000000000006"/>
    <n v="73.150000000000006"/>
    <n v="5.6891156138076964"/>
    <n v="1569.1104376369206"/>
    <n v="1"/>
    <n v="0"/>
    <n v="0"/>
    <n v="0"/>
    <n v="0"/>
    <n v="0"/>
    <n v="0"/>
    <n v="0"/>
    <n v="0"/>
    <n v="0"/>
  </r>
  <r>
    <d v="2010-07-08T00:00:00"/>
    <n v="2010"/>
    <x v="16"/>
    <s v="R"/>
    <s v="RS"/>
    <x v="9"/>
    <s v="IND"/>
    <s v="A"/>
    <n v="4"/>
    <n v="1"/>
    <n v="3"/>
    <n v="-3"/>
    <n v="16"/>
    <n v="-16"/>
    <n v="1347.9748958026228"/>
    <n v="1585.7317556359421"/>
    <n v="0.15869440875589144"/>
    <n v="72"/>
    <n v="100"/>
    <n v="0"/>
    <n v="-28"/>
    <n v="0"/>
    <n v="0.56679096087203218"/>
    <n v="1"/>
    <n v="73.45"/>
    <n v="73.45"/>
    <n v="-6.6065745693259617"/>
    <n v="1341.3683212332969"/>
    <n v="0"/>
    <n v="1"/>
    <n v="0"/>
    <n v="0"/>
    <n v="0"/>
    <n v="0"/>
    <n v="0"/>
    <n v="0"/>
    <n v="0"/>
    <n v="0"/>
  </r>
  <r>
    <d v="2010-07-08T00:00:00"/>
    <n v="2010"/>
    <x v="16"/>
    <s v="R"/>
    <s v="RS"/>
    <x v="3"/>
    <s v="TUL"/>
    <s v="H"/>
    <n v="1"/>
    <n v="4"/>
    <n v="-3"/>
    <n v="3"/>
    <n v="-16"/>
    <n v="16"/>
    <n v="1585.7317556359421"/>
    <n v="1347.9748958026228"/>
    <n v="0.84130559124410853"/>
    <n v="100"/>
    <n v="72"/>
    <n v="0"/>
    <n v="28"/>
    <n v="1"/>
    <n v="0.56679096087203218"/>
    <n v="1"/>
    <n v="73.45"/>
    <n v="73.45"/>
    <n v="6.6065745693259625"/>
    <n v="1592.338330205268"/>
    <n v="1"/>
    <n v="0"/>
    <n v="0"/>
    <n v="0"/>
    <n v="0"/>
    <n v="0"/>
    <n v="0"/>
    <n v="0"/>
    <n v="0"/>
    <n v="0"/>
  </r>
  <r>
    <d v="2010-07-08T00:00:00"/>
    <n v="2010"/>
    <x v="15"/>
    <s v="R"/>
    <s v="RS"/>
    <x v="7"/>
    <s v="MIN"/>
    <s v="A"/>
    <n v="1"/>
    <n v="6"/>
    <n v="-5"/>
    <n v="5"/>
    <n v="-16"/>
    <n v="16"/>
    <n v="1462.515950240007"/>
    <n v="1404.9236401112635"/>
    <n v="0.41672756467767202"/>
    <n v="66"/>
    <n v="89"/>
    <n v="0"/>
    <n v="-23"/>
    <n v="0"/>
    <n v="0.58715795025713013"/>
    <n v="1"/>
    <n v="73.599999999999994"/>
    <n v="73.599999999999994"/>
    <n v="-18.008808838115559"/>
    <n v="1444.5071414018914"/>
    <n v="0"/>
    <n v="1"/>
    <n v="0"/>
    <n v="0"/>
    <n v="0"/>
    <n v="0"/>
    <n v="0"/>
    <n v="0"/>
    <n v="0"/>
    <n v="0"/>
  </r>
  <r>
    <d v="2010-07-08T00:00:00"/>
    <n v="2010"/>
    <x v="16"/>
    <s v="R"/>
    <s v="RS"/>
    <x v="8"/>
    <s v="SAS"/>
    <s v="H"/>
    <n v="6"/>
    <n v="1"/>
    <n v="5"/>
    <n v="-5"/>
    <n v="16"/>
    <n v="-16"/>
    <n v="1404.9236401112635"/>
    <n v="1462.515950240007"/>
    <n v="0.58327243532232786"/>
    <n v="89"/>
    <n v="66"/>
    <n v="0"/>
    <n v="23"/>
    <n v="1"/>
    <n v="0.58715795025713013"/>
    <n v="1"/>
    <n v="73.45"/>
    <n v="73.45"/>
    <n v="17.972106102711798"/>
    <n v="1422.8957462139754"/>
    <n v="1"/>
    <n v="0"/>
    <n v="0"/>
    <n v="0"/>
    <n v="0"/>
    <n v="0"/>
    <n v="0"/>
    <n v="0"/>
    <n v="0"/>
    <n v="0"/>
  </r>
  <r>
    <d v="2010-07-11T00:00:00"/>
    <n v="2010"/>
    <x v="18"/>
    <s v="R"/>
    <s v="RS"/>
    <x v="0"/>
    <s v="NYL"/>
    <s v="A"/>
    <n v="4"/>
    <n v="4"/>
    <n v="0"/>
    <n v="0"/>
    <n v="0"/>
    <n v="0"/>
    <n v="1480.6641047116002"/>
    <n v="1479.0665250857235"/>
    <n v="0.38358801164514877"/>
    <n v="54"/>
    <n v="57"/>
    <n v="0"/>
    <n v="-3"/>
    <n v="0"/>
    <n v="0.28979770866954452"/>
    <n v="1"/>
    <n v="73.150000000000006"/>
    <n v="73.150000000000006"/>
    <n v="-8.1315680989217398"/>
    <n v="1472.5325366126785"/>
    <n v="0"/>
    <n v="1"/>
    <n v="0"/>
    <n v="0"/>
    <n v="0"/>
    <n v="0"/>
    <n v="0"/>
    <n v="0"/>
    <n v="0"/>
    <n v="0"/>
  </r>
  <r>
    <d v="2010-07-11T00:00:00"/>
    <n v="2010"/>
    <x v="16"/>
    <s v="R"/>
    <s v="RS"/>
    <x v="10"/>
    <s v="CHI"/>
    <s v="H"/>
    <n v="4"/>
    <n v="4"/>
    <n v="0"/>
    <n v="0"/>
    <n v="0"/>
    <n v="0"/>
    <n v="1479.0665250857235"/>
    <n v="1480.6641047116002"/>
    <n v="0.61641198835485123"/>
    <n v="57"/>
    <n v="54"/>
    <n v="0"/>
    <n v="3"/>
    <n v="1"/>
    <n v="0.28979770866954452"/>
    <n v="1"/>
    <n v="73.45"/>
    <n v="73.45"/>
    <n v="8.1649169769761016"/>
    <n v="1487.2314420626997"/>
    <n v="1"/>
    <n v="0"/>
    <n v="0"/>
    <n v="0"/>
    <n v="0"/>
    <n v="0"/>
    <n v="0"/>
    <n v="0"/>
    <n v="0"/>
    <n v="0"/>
  </r>
  <r>
    <d v="2010-07-13T00:00:00"/>
    <n v="2010"/>
    <x v="17"/>
    <s v="R"/>
    <s v="RS"/>
    <x v="4"/>
    <s v="TUL"/>
    <s v="A"/>
    <n v="6"/>
    <n v="4"/>
    <n v="2"/>
    <n v="-2"/>
    <n v="16"/>
    <n v="-16"/>
    <n v="1419.9760513464062"/>
    <n v="1341.3683212332969"/>
    <n v="0.53821691698715579"/>
    <n v="87"/>
    <n v="71"/>
    <n v="0"/>
    <n v="16"/>
    <n v="1"/>
    <n v="0.48595298159280526"/>
    <n v="1"/>
    <n v="73.3"/>
    <n v="73.3"/>
    <n v="16.448876680674058"/>
    <n v="1436.4249280270801"/>
    <n v="1"/>
    <n v="0"/>
    <n v="0"/>
    <n v="0"/>
    <n v="0"/>
    <n v="0"/>
    <n v="0"/>
    <n v="0"/>
    <n v="0"/>
    <n v="0"/>
  </r>
  <r>
    <d v="2010-07-13T00:00:00"/>
    <n v="2010"/>
    <x v="17"/>
    <s v="R"/>
    <s v="RS"/>
    <x v="9"/>
    <s v="LAS"/>
    <s v="H"/>
    <n v="4"/>
    <n v="6"/>
    <n v="-2"/>
    <n v="2"/>
    <n v="-16"/>
    <n v="16"/>
    <n v="1341.3683212332969"/>
    <n v="1419.9760513464062"/>
    <n v="0.46178308301284421"/>
    <n v="71"/>
    <n v="87"/>
    <n v="0"/>
    <n v="-16"/>
    <n v="0"/>
    <n v="0.48595298159280526"/>
    <n v="1"/>
    <n v="73.3"/>
    <n v="73.3"/>
    <n v="-16.448876680674058"/>
    <n v="1324.919444552623"/>
    <n v="0"/>
    <n v="1"/>
    <n v="0"/>
    <n v="0"/>
    <n v="0"/>
    <n v="0"/>
    <n v="0"/>
    <n v="0"/>
    <n v="0"/>
    <n v="0"/>
  </r>
  <r>
    <d v="2010-07-14T00:00:00"/>
    <n v="2010"/>
    <x v="16"/>
    <s v="R"/>
    <s v="RS"/>
    <x v="7"/>
    <s v="CHI"/>
    <s v="A"/>
    <n v="5"/>
    <n v="2"/>
    <n v="3"/>
    <n v="-3"/>
    <n v="16"/>
    <n v="-16"/>
    <n v="1444.5071414018914"/>
    <n v="1472.5325366126785"/>
    <n v="0.38682850495381083"/>
    <n v="61"/>
    <n v="88"/>
    <n v="0"/>
    <n v="-27"/>
    <n v="0"/>
    <n v="0.65145232592090008"/>
    <n v="1"/>
    <n v="73.45"/>
    <n v="73.45"/>
    <n v="-18.509424185958608"/>
    <n v="1425.9977172159329"/>
    <n v="0"/>
    <n v="1"/>
    <n v="0"/>
    <n v="0"/>
    <n v="0"/>
    <n v="0"/>
    <n v="0"/>
    <n v="0"/>
    <n v="0"/>
    <n v="0"/>
  </r>
  <r>
    <d v="2010-07-14T00:00:00"/>
    <n v="2010"/>
    <x v="19"/>
    <s v="R"/>
    <s v="RS"/>
    <x v="0"/>
    <s v="SAS"/>
    <s v="H"/>
    <n v="2"/>
    <n v="5"/>
    <n v="-3"/>
    <n v="3"/>
    <n v="-16"/>
    <n v="16"/>
    <n v="1472.5325366126785"/>
    <n v="1444.5071414018914"/>
    <n v="0.61317149504618917"/>
    <n v="88"/>
    <n v="61"/>
    <n v="0"/>
    <n v="27"/>
    <n v="1"/>
    <n v="0.65145232592090008"/>
    <n v="1"/>
    <n v="73"/>
    <n v="73"/>
    <n v="18.396024037780506"/>
    <n v="1490.9285606504591"/>
    <n v="1"/>
    <n v="0"/>
    <n v="0"/>
    <n v="0"/>
    <n v="0"/>
    <n v="0"/>
    <n v="0"/>
    <n v="0"/>
    <n v="0"/>
    <n v="0"/>
  </r>
  <r>
    <d v="2010-07-14T00:00:00"/>
    <n v="2010"/>
    <x v="18"/>
    <s v="R"/>
    <s v="RS"/>
    <x v="1"/>
    <s v="IND"/>
    <s v="A"/>
    <n v="6"/>
    <n v="5"/>
    <n v="1"/>
    <n v="-1"/>
    <n v="8"/>
    <n v="-8"/>
    <n v="1503.0055683817311"/>
    <n v="1592.338330205268"/>
    <n v="0.28788461875858834"/>
    <n v="77"/>
    <n v="68"/>
    <n v="0"/>
    <n v="9"/>
    <n v="1"/>
    <n v="0.37784336751645098"/>
    <n v="1"/>
    <n v="73.150000000000006"/>
    <n v="73.150000000000006"/>
    <n v="19.682329591777968"/>
    <n v="1522.6878979735091"/>
    <n v="1"/>
    <n v="0"/>
    <n v="0"/>
    <n v="0"/>
    <n v="0"/>
    <n v="0"/>
    <n v="0"/>
    <n v="0"/>
    <n v="0"/>
    <n v="0"/>
  </r>
  <r>
    <d v="2010-07-14T00:00:00"/>
    <n v="2010"/>
    <x v="17"/>
    <s v="R"/>
    <s v="RS"/>
    <x v="3"/>
    <s v="CON"/>
    <s v="H"/>
    <n v="5"/>
    <n v="6"/>
    <n v="-1"/>
    <n v="1"/>
    <n v="-8"/>
    <n v="8"/>
    <n v="1592.338330205268"/>
    <n v="1503.0055683817311"/>
    <n v="0.71211538124141172"/>
    <n v="68"/>
    <n v="77"/>
    <n v="0"/>
    <n v="-9"/>
    <n v="0"/>
    <n v="0.37784336751645098"/>
    <n v="1"/>
    <n v="73.3"/>
    <n v="73.3"/>
    <n v="-19.722689802834246"/>
    <n v="1572.6156404024337"/>
    <n v="0"/>
    <n v="1"/>
    <n v="0"/>
    <n v="0"/>
    <n v="0"/>
    <n v="0"/>
    <n v="0"/>
    <n v="0"/>
    <n v="0"/>
    <n v="0"/>
  </r>
  <r>
    <d v="2010-07-14T00:00:00"/>
    <n v="2010"/>
    <x v="19"/>
    <s v="R"/>
    <s v="RS"/>
    <x v="6"/>
    <s v="MIN"/>
    <s v="A"/>
    <n v="6"/>
    <n v="5"/>
    <n v="1"/>
    <n v="-1"/>
    <n v="8"/>
    <n v="-8"/>
    <n v="1569.1104376369206"/>
    <n v="1422.8957462139754"/>
    <n v="0.61069628419679867"/>
    <n v="81"/>
    <n v="83"/>
    <n v="0"/>
    <n v="-2"/>
    <n v="0"/>
    <n v="0.23875061460804206"/>
    <n v="1"/>
    <n v="73"/>
    <n v="73"/>
    <n v="-10.643700262930825"/>
    <n v="1558.4667373739896"/>
    <n v="0"/>
    <n v="1"/>
    <n v="0"/>
    <n v="0"/>
    <n v="0"/>
    <n v="0"/>
    <n v="0"/>
    <n v="0"/>
    <n v="0"/>
    <n v="0"/>
  </r>
  <r>
    <d v="2010-07-14T00:00:00"/>
    <n v="2010"/>
    <x v="17"/>
    <s v="R"/>
    <s v="RS"/>
    <x v="8"/>
    <s v="ATL"/>
    <s v="H"/>
    <n v="5"/>
    <n v="6"/>
    <n v="-1"/>
    <n v="1"/>
    <n v="-8"/>
    <n v="8"/>
    <n v="1422.8957462139754"/>
    <n v="1569.1104376369206"/>
    <n v="0.38930371580320133"/>
    <n v="83"/>
    <n v="81"/>
    <n v="0"/>
    <n v="2"/>
    <n v="1"/>
    <n v="0.23875061460804206"/>
    <n v="1"/>
    <n v="73.3"/>
    <n v="73.3"/>
    <n v="10.687441496888074"/>
    <n v="1433.5831877108635"/>
    <n v="1"/>
    <n v="0"/>
    <n v="0"/>
    <n v="0"/>
    <n v="0"/>
    <n v="0"/>
    <n v="0"/>
    <n v="0"/>
    <n v="0"/>
    <n v="0"/>
  </r>
  <r>
    <d v="2010-07-14T00:00:00"/>
    <n v="2010"/>
    <x v="18"/>
    <s v="R"/>
    <s v="RS"/>
    <x v="11"/>
    <s v="PHX"/>
    <s v="A"/>
    <n v="7"/>
    <n v="7"/>
    <n v="0"/>
    <n v="0"/>
    <n v="0"/>
    <n v="0"/>
    <n v="1660.6018008908286"/>
    <n v="1514.4492627231898"/>
    <n v="0.58850263069193309"/>
    <n v="111"/>
    <n v="107"/>
    <n v="1"/>
    <n v="4"/>
    <n v="1"/>
    <n v="0.24985827694833179"/>
    <n v="1"/>
    <n v="73.150000000000006"/>
    <n v="73.150000000000006"/>
    <n v="7.5209921310278149"/>
    <n v="1668.1227930218565"/>
    <n v="1"/>
    <n v="0"/>
    <n v="0"/>
    <n v="0"/>
    <n v="0"/>
    <n v="0"/>
    <n v="0"/>
    <n v="0"/>
    <n v="0"/>
    <n v="0"/>
  </r>
  <r>
    <d v="2010-07-14T00:00:00"/>
    <n v="2010"/>
    <x v="18"/>
    <s v="R"/>
    <s v="RS"/>
    <x v="5"/>
    <s v="SEA"/>
    <s v="H"/>
    <n v="7"/>
    <n v="7"/>
    <n v="0"/>
    <n v="0"/>
    <n v="0"/>
    <n v="0"/>
    <n v="1514.4492627231898"/>
    <n v="1660.6018008908286"/>
    <n v="0.41149736930806696"/>
    <n v="107"/>
    <n v="111"/>
    <n v="1"/>
    <n v="-4"/>
    <n v="0"/>
    <n v="0.24985827694833179"/>
    <n v="1"/>
    <n v="73.150000000000006"/>
    <n v="73.150000000000006"/>
    <n v="-7.5209921310278158"/>
    <n v="1506.9282705921619"/>
    <n v="0"/>
    <n v="1"/>
    <n v="0"/>
    <n v="0"/>
    <n v="0"/>
    <n v="0"/>
    <n v="0"/>
    <n v="0"/>
    <n v="0"/>
    <n v="0"/>
  </r>
  <r>
    <d v="2010-07-15T00:00:00"/>
    <n v="2010"/>
    <x v="17"/>
    <s v="R"/>
    <s v="RS"/>
    <x v="2"/>
    <s v="NYL"/>
    <s v="A"/>
    <n v="11"/>
    <n v="3"/>
    <n v="8"/>
    <n v="-8"/>
    <n v="16"/>
    <n v="-16"/>
    <n v="1566.7317138720377"/>
    <n v="1487.2314420626997"/>
    <n v="0.53949363019731933"/>
    <n v="67"/>
    <n v="75"/>
    <n v="0"/>
    <n v="-8"/>
    <n v="0"/>
    <n v="0.36418799766620402"/>
    <n v="1"/>
    <n v="73.3"/>
    <n v="73.3"/>
    <n v="-14.401771791752598"/>
    <n v="1552.329942080285"/>
    <n v="0"/>
    <n v="1"/>
    <n v="0"/>
    <n v="0"/>
    <n v="0"/>
    <n v="0"/>
    <n v="0"/>
    <n v="0"/>
    <n v="0"/>
    <n v="0"/>
  </r>
  <r>
    <d v="2010-07-15T00:00:00"/>
    <n v="2010"/>
    <x v="17"/>
    <s v="R"/>
    <s v="RS"/>
    <x v="10"/>
    <s v="WAS"/>
    <s v="H"/>
    <n v="3"/>
    <n v="11"/>
    <n v="-8"/>
    <n v="8"/>
    <n v="-16"/>
    <n v="16"/>
    <n v="1487.2314420626997"/>
    <n v="1566.7317138720377"/>
    <n v="0.46050636980268073"/>
    <n v="75"/>
    <n v="67"/>
    <n v="0"/>
    <n v="8"/>
    <n v="1"/>
    <n v="0.36418799766620402"/>
    <n v="1"/>
    <n v="73.3"/>
    <n v="73.3"/>
    <n v="14.401771791752594"/>
    <n v="1501.6332138544522"/>
    <n v="1"/>
    <n v="0"/>
    <n v="0"/>
    <n v="0"/>
    <n v="0"/>
    <n v="0"/>
    <n v="0"/>
    <n v="0"/>
    <n v="0"/>
    <n v="0"/>
  </r>
  <r>
    <d v="2010-07-16T00:00:00"/>
    <n v="2010"/>
    <x v="18"/>
    <s v="R"/>
    <s v="RS"/>
    <x v="4"/>
    <s v="CHI"/>
    <s v="A"/>
    <n v="2"/>
    <n v="1"/>
    <n v="1"/>
    <n v="-1"/>
    <n v="8"/>
    <n v="-8"/>
    <n v="1436.4249280270801"/>
    <n v="1490.9285606504591"/>
    <n v="0.3306630762641708"/>
    <n v="68"/>
    <n v="80"/>
    <n v="0"/>
    <n v="-12"/>
    <n v="0"/>
    <n v="0.43631227320341548"/>
    <n v="1"/>
    <n v="73.150000000000006"/>
    <n v="73.150000000000006"/>
    <n v="-10.553523022025981"/>
    <n v="1425.8714050050542"/>
    <n v="0"/>
    <n v="1"/>
    <n v="0"/>
    <n v="0"/>
    <n v="0"/>
    <n v="0"/>
    <n v="0"/>
    <n v="0"/>
    <n v="0"/>
    <n v="0"/>
  </r>
  <r>
    <d v="2010-07-16T00:00:00"/>
    <n v="2010"/>
    <x v="20"/>
    <s v="R"/>
    <s v="RS"/>
    <x v="0"/>
    <s v="LAS"/>
    <s v="H"/>
    <n v="1"/>
    <n v="2"/>
    <n v="-1"/>
    <n v="1"/>
    <n v="-8"/>
    <n v="8"/>
    <n v="1490.9285606504591"/>
    <n v="1436.4249280270801"/>
    <n v="0.6693369237358292"/>
    <n v="80"/>
    <n v="68"/>
    <n v="0"/>
    <n v="12"/>
    <n v="1"/>
    <n v="0.43631227320341548"/>
    <n v="1"/>
    <n v="72.849999999999994"/>
    <n v="72.849999999999994"/>
    <n v="10.510241314485203"/>
    <n v="1501.4388019649443"/>
    <n v="1"/>
    <n v="0"/>
    <n v="0"/>
    <n v="0"/>
    <n v="0"/>
    <n v="0"/>
    <n v="0"/>
    <n v="0"/>
    <n v="0"/>
    <n v="0"/>
  </r>
  <r>
    <d v="2010-07-16T00:00:00"/>
    <n v="2010"/>
    <x v="20"/>
    <s v="R"/>
    <s v="RS"/>
    <x v="6"/>
    <s v="IND"/>
    <s v="A"/>
    <n v="1"/>
    <n v="1"/>
    <n v="0"/>
    <n v="0"/>
    <n v="0"/>
    <n v="0"/>
    <n v="1558.4667373739896"/>
    <n v="1572.6156404024337"/>
    <n v="0.36239354190588996"/>
    <n v="70"/>
    <n v="89"/>
    <n v="0"/>
    <n v="-19"/>
    <n v="0"/>
    <n v="0.55444030430586255"/>
    <n v="1"/>
    <n v="72.849999999999994"/>
    <n v="72.849999999999994"/>
    <n v="-14.637428914805094"/>
    <n v="1543.8293084591846"/>
    <n v="0"/>
    <n v="1"/>
    <n v="0"/>
    <n v="0"/>
    <n v="0"/>
    <n v="0"/>
    <n v="0"/>
    <n v="0"/>
    <n v="0"/>
    <n v="0"/>
  </r>
  <r>
    <d v="2010-07-16T00:00:00"/>
    <n v="2010"/>
    <x v="18"/>
    <s v="R"/>
    <s v="RS"/>
    <x v="3"/>
    <s v="ATL"/>
    <s v="H"/>
    <n v="1"/>
    <n v="1"/>
    <n v="0"/>
    <n v="0"/>
    <n v="0"/>
    <n v="0"/>
    <n v="1572.6156404024337"/>
    <n v="1558.4667373739896"/>
    <n v="0.63760645809410998"/>
    <n v="89"/>
    <n v="70"/>
    <n v="0"/>
    <n v="19"/>
    <n v="1"/>
    <n v="0.55444030430586255"/>
    <n v="1"/>
    <n v="73.150000000000006"/>
    <n v="73.150000000000006"/>
    <n v="14.697706590500934"/>
    <n v="1587.3133469929346"/>
    <n v="1"/>
    <n v="0"/>
    <n v="0"/>
    <n v="0"/>
    <n v="0"/>
    <n v="0"/>
    <n v="0"/>
    <n v="0"/>
    <n v="0"/>
    <n v="0"/>
  </r>
  <r>
    <d v="2010-07-16T00:00:00"/>
    <n v="2010"/>
    <x v="18"/>
    <s v="R"/>
    <s v="RS"/>
    <x v="9"/>
    <s v="SAS"/>
    <s v="A"/>
    <n v="2"/>
    <n v="1"/>
    <n v="1"/>
    <n v="-1"/>
    <n v="8"/>
    <n v="-8"/>
    <n v="1324.919444552623"/>
    <n v="1425.9977172159329"/>
    <n v="0.2742246689564663"/>
    <n v="75"/>
    <n v="70"/>
    <n v="0"/>
    <n v="5"/>
    <n v="1"/>
    <n v="0.3059824907678852"/>
    <n v="1"/>
    <n v="73.150000000000006"/>
    <n v="73.150000000000006"/>
    <n v="16.24475285926243"/>
    <n v="1341.1641974118854"/>
    <n v="1"/>
    <n v="0"/>
    <n v="0"/>
    <n v="0"/>
    <n v="0"/>
    <n v="0"/>
    <n v="0"/>
    <n v="0"/>
    <n v="0"/>
    <n v="0"/>
  </r>
  <r>
    <d v="2010-07-16T00:00:00"/>
    <n v="2010"/>
    <x v="17"/>
    <s v="R"/>
    <s v="RS"/>
    <x v="7"/>
    <s v="TUL"/>
    <s v="H"/>
    <n v="1"/>
    <n v="2"/>
    <n v="-1"/>
    <n v="1"/>
    <n v="-8"/>
    <n v="8"/>
    <n v="1425.9977172159329"/>
    <n v="1324.919444552623"/>
    <n v="0.72577533104353364"/>
    <n v="70"/>
    <n v="75"/>
    <n v="0"/>
    <n v="-5"/>
    <n v="0"/>
    <n v="0.3059824907678852"/>
    <n v="1"/>
    <n v="73.3"/>
    <n v="73.3"/>
    <n v="-16.278064040792014"/>
    <n v="1409.7196531751408"/>
    <n v="0"/>
    <n v="1"/>
    <n v="0"/>
    <n v="0"/>
    <n v="0"/>
    <n v="0"/>
    <n v="0"/>
    <n v="0"/>
    <n v="0"/>
    <n v="0"/>
  </r>
  <r>
    <d v="2010-07-17T00:00:00"/>
    <n v="2010"/>
    <x v="21"/>
    <s v="R"/>
    <s v="RS"/>
    <x v="6"/>
    <s v="CON"/>
    <s v="A"/>
    <n v="0"/>
    <n v="2"/>
    <n v="-2"/>
    <n v="2"/>
    <n v="-16"/>
    <n v="16"/>
    <n v="1543.8293084591846"/>
    <n v="1522.6878979735091"/>
    <n v="0.36678133880646946"/>
    <n v="80"/>
    <n v="96"/>
    <n v="0"/>
    <n v="-16"/>
    <n v="0"/>
    <n v="0.50882169206672956"/>
    <n v="1"/>
    <n v="72.7"/>
    <n v="72.7"/>
    <n v="-13.567732113961597"/>
    <n v="1530.2615763452231"/>
    <n v="0"/>
    <n v="1"/>
    <n v="0"/>
    <n v="0"/>
    <n v="0"/>
    <n v="0"/>
    <n v="0"/>
    <n v="0"/>
    <n v="0"/>
    <n v="0"/>
  </r>
  <r>
    <d v="2010-07-17T00:00:00"/>
    <n v="2010"/>
    <x v="19"/>
    <s v="R"/>
    <s v="RS"/>
    <x v="1"/>
    <s v="ATL"/>
    <s v="H"/>
    <n v="2"/>
    <n v="0"/>
    <n v="2"/>
    <n v="-2"/>
    <n v="16"/>
    <n v="-16"/>
    <n v="1522.6878979735091"/>
    <n v="1543.8293084591846"/>
    <n v="0.63321866119353054"/>
    <n v="96"/>
    <n v="80"/>
    <n v="0"/>
    <n v="16"/>
    <n v="1"/>
    <n v="0.50882169206672956"/>
    <n v="1"/>
    <n v="73"/>
    <n v="73"/>
    <n v="13.6237200043906"/>
    <n v="1536.3116179778997"/>
    <n v="1"/>
    <n v="0"/>
    <n v="0"/>
    <n v="0"/>
    <n v="0"/>
    <n v="0"/>
    <n v="0"/>
    <n v="0"/>
    <n v="0"/>
    <n v="0"/>
  </r>
  <r>
    <d v="2010-07-17T00:00:00"/>
    <n v="2010"/>
    <x v="19"/>
    <s v="R"/>
    <s v="RS"/>
    <x v="11"/>
    <s v="MIN"/>
    <s v="A"/>
    <n v="2"/>
    <n v="2"/>
    <n v="0"/>
    <n v="0"/>
    <n v="0"/>
    <n v="0"/>
    <n v="1668.1227930218565"/>
    <n v="1433.5831877108635"/>
    <n v="0.70403265812609872"/>
    <n v="73"/>
    <n v="71"/>
    <n v="0"/>
    <n v="2"/>
    <n v="1"/>
    <n v="0.22405068760853461"/>
    <n v="1"/>
    <n v="73"/>
    <n v="73"/>
    <n v="4.8407531113258004"/>
    <n v="1672.9635461331823"/>
    <n v="1"/>
    <n v="0"/>
    <n v="0"/>
    <n v="0"/>
    <n v="0"/>
    <n v="0"/>
    <n v="0"/>
    <n v="0"/>
    <n v="0"/>
    <n v="0"/>
  </r>
  <r>
    <d v="2010-07-17T00:00:00"/>
    <n v="2010"/>
    <x v="18"/>
    <s v="R"/>
    <s v="RS"/>
    <x v="8"/>
    <s v="SEA"/>
    <s v="H"/>
    <n v="2"/>
    <n v="2"/>
    <n v="0"/>
    <n v="0"/>
    <n v="0"/>
    <n v="0"/>
    <n v="1433.5831877108635"/>
    <n v="1668.1227930218565"/>
    <n v="0.29596734187390128"/>
    <n v="71"/>
    <n v="73"/>
    <n v="0"/>
    <n v="-2"/>
    <n v="0"/>
    <n v="0.22405068760853461"/>
    <n v="1"/>
    <n v="73.150000000000006"/>
    <n v="73.150000000000006"/>
    <n v="-4.8506998642942785"/>
    <n v="1428.7324878465693"/>
    <n v="0"/>
    <n v="1"/>
    <n v="0"/>
    <n v="0"/>
    <n v="0"/>
    <n v="0"/>
    <n v="0"/>
    <n v="0"/>
    <n v="0"/>
    <n v="0"/>
  </r>
  <r>
    <d v="2010-07-17T00:00:00"/>
    <n v="2010"/>
    <x v="19"/>
    <s v="R"/>
    <s v="RS"/>
    <x v="9"/>
    <s v="PHX"/>
    <s v="A"/>
    <n v="0"/>
    <n v="2"/>
    <n v="-2"/>
    <n v="2"/>
    <n v="-16"/>
    <n v="16"/>
    <n v="1341.1641974118854"/>
    <n v="1506.9282705921619"/>
    <n v="0.16493413540987276"/>
    <n v="88"/>
    <n v="97"/>
    <n v="0"/>
    <n v="-9"/>
    <n v="0"/>
    <n v="0.35669838015455474"/>
    <n v="1"/>
    <n v="73"/>
    <n v="73"/>
    <n v="-4.2947169421012328"/>
    <n v="1336.8694804697841"/>
    <n v="0"/>
    <n v="1"/>
    <n v="0"/>
    <n v="0"/>
    <n v="0"/>
    <n v="0"/>
    <n v="0"/>
    <n v="0"/>
    <n v="0"/>
    <n v="0"/>
  </r>
  <r>
    <d v="2010-07-17T00:00:00"/>
    <n v="2010"/>
    <x v="19"/>
    <s v="R"/>
    <s v="RS"/>
    <x v="5"/>
    <s v="TUL"/>
    <s v="H"/>
    <n v="2"/>
    <n v="0"/>
    <n v="2"/>
    <n v="-2"/>
    <n v="16"/>
    <n v="-16"/>
    <n v="1506.9282705921619"/>
    <n v="1341.1641974118854"/>
    <n v="0.83506586459012722"/>
    <n v="97"/>
    <n v="88"/>
    <n v="0"/>
    <n v="9"/>
    <n v="1"/>
    <n v="0.35669838015455474"/>
    <n v="1"/>
    <n v="73"/>
    <n v="73"/>
    <n v="4.2947169421012337"/>
    <n v="1511.2229875342632"/>
    <n v="1"/>
    <n v="0"/>
    <n v="0"/>
    <n v="0"/>
    <n v="0"/>
    <n v="0"/>
    <n v="0"/>
    <n v="0"/>
    <n v="0"/>
    <n v="0"/>
  </r>
  <r>
    <d v="2010-07-18T00:00:00"/>
    <n v="2010"/>
    <x v="19"/>
    <s v="R"/>
    <s v="RS"/>
    <x v="3"/>
    <s v="NYL"/>
    <s v="A"/>
    <n v="1"/>
    <n v="2"/>
    <n v="-1"/>
    <n v="1"/>
    <n v="-8"/>
    <n v="8"/>
    <n v="1587.3133469929346"/>
    <n v="1501.6332138544522"/>
    <n v="0.47940371634157558"/>
    <n v="84"/>
    <n v="81"/>
    <n v="1"/>
    <n v="3"/>
    <n v="1"/>
    <n v="0.24376063276451679"/>
    <n v="1"/>
    <n v="73"/>
    <n v="73"/>
    <n v="9.2637642049186386"/>
    <n v="1596.5771111978534"/>
    <n v="1"/>
    <n v="0"/>
    <n v="0"/>
    <n v="0"/>
    <n v="0"/>
    <n v="0"/>
    <n v="0"/>
    <n v="0"/>
    <n v="0"/>
    <n v="0"/>
  </r>
  <r>
    <d v="2010-07-18T00:00:00"/>
    <n v="2010"/>
    <x v="18"/>
    <s v="R"/>
    <s v="RS"/>
    <x v="10"/>
    <s v="IND"/>
    <s v="H"/>
    <n v="2"/>
    <n v="1"/>
    <n v="1"/>
    <n v="-1"/>
    <n v="8"/>
    <n v="-8"/>
    <n v="1501.6332138544522"/>
    <n v="1587.3133469929346"/>
    <n v="0.52059628365842447"/>
    <n v="81"/>
    <n v="84"/>
    <n v="1"/>
    <n v="-3"/>
    <n v="0"/>
    <n v="0.24376063276451679"/>
    <n v="1"/>
    <n v="73.150000000000006"/>
    <n v="73.150000000000006"/>
    <n v="-9.2827993368465549"/>
    <n v="1492.3504145176055"/>
    <n v="0"/>
    <n v="1"/>
    <n v="0"/>
    <n v="0"/>
    <n v="0"/>
    <n v="0"/>
    <n v="0"/>
    <n v="0"/>
    <n v="0"/>
    <n v="0"/>
  </r>
  <r>
    <d v="2010-07-18T00:00:00"/>
    <n v="2010"/>
    <x v="19"/>
    <s v="R"/>
    <s v="RS"/>
    <x v="4"/>
    <s v="SAS"/>
    <s v="A"/>
    <n v="1"/>
    <n v="1"/>
    <n v="0"/>
    <n v="0"/>
    <n v="0"/>
    <n v="0"/>
    <n v="1425.8714050050542"/>
    <n v="1409.7196531751408"/>
    <n v="0.40358107632295792"/>
    <n v="73"/>
    <n v="83"/>
    <n v="0"/>
    <n v="-10"/>
    <n v="0"/>
    <n v="0.41751009973445619"/>
    <n v="1"/>
    <n v="73"/>
    <n v="73"/>
    <n v="-12.300439806137225"/>
    <n v="1413.5709651989168"/>
    <n v="0"/>
    <n v="1"/>
    <n v="0"/>
    <n v="0"/>
    <n v="0"/>
    <n v="0"/>
    <n v="0"/>
    <n v="0"/>
    <n v="0"/>
    <n v="0"/>
  </r>
  <r>
    <d v="2010-07-18T00:00:00"/>
    <n v="2010"/>
    <x v="18"/>
    <s v="R"/>
    <s v="RS"/>
    <x v="7"/>
    <s v="LAS"/>
    <s v="H"/>
    <n v="1"/>
    <n v="1"/>
    <n v="0"/>
    <n v="0"/>
    <n v="0"/>
    <n v="0"/>
    <n v="1409.7196531751408"/>
    <n v="1425.8714050050542"/>
    <n v="0.59641892367704208"/>
    <n v="83"/>
    <n v="73"/>
    <n v="0"/>
    <n v="10"/>
    <n v="1"/>
    <n v="0.41751009973445619"/>
    <n v="1"/>
    <n v="73.150000000000006"/>
    <n v="73.150000000000006"/>
    <n v="12.325714682451206"/>
    <n v="1422.0453678575921"/>
    <n v="1"/>
    <n v="0"/>
    <n v="0"/>
    <n v="0"/>
    <n v="0"/>
    <n v="0"/>
    <n v="0"/>
    <n v="0"/>
    <n v="0"/>
    <n v="0"/>
  </r>
  <r>
    <d v="2010-07-18T00:00:00"/>
    <n v="2010"/>
    <x v="21"/>
    <s v="R"/>
    <s v="RS"/>
    <x v="0"/>
    <s v="WAS"/>
    <s v="A"/>
    <n v="1"/>
    <n v="2"/>
    <n v="-1"/>
    <n v="1"/>
    <n v="-8"/>
    <n v="8"/>
    <n v="1501.4388019649443"/>
    <n v="1552.329942080285"/>
    <n v="0.29554585776831221"/>
    <n v="61"/>
    <n v="59"/>
    <n v="0"/>
    <n v="2"/>
    <n v="1"/>
    <n v="0.25694448914392959"/>
    <n v="1"/>
    <n v="72.7"/>
    <n v="72.7"/>
    <n v="13.159107825266053"/>
    <n v="1514.5979097902105"/>
    <n v="1"/>
    <n v="0"/>
    <n v="0"/>
    <n v="0"/>
    <n v="0"/>
    <n v="0"/>
    <n v="0"/>
    <n v="0"/>
    <n v="0"/>
    <n v="0"/>
  </r>
  <r>
    <d v="2010-07-18T00:00:00"/>
    <n v="2010"/>
    <x v="18"/>
    <s v="R"/>
    <s v="RS"/>
    <x v="2"/>
    <s v="CHI"/>
    <s v="H"/>
    <n v="2"/>
    <n v="1"/>
    <n v="1"/>
    <n v="-1"/>
    <n v="8"/>
    <n v="-8"/>
    <n v="1552.329942080285"/>
    <n v="1501.4388019649443"/>
    <n v="0.70445414223168779"/>
    <n v="59"/>
    <n v="61"/>
    <n v="0"/>
    <n v="-2"/>
    <n v="0"/>
    <n v="0.25694448914392959"/>
    <n v="1"/>
    <n v="73.150000000000006"/>
    <n v="73.150000000000006"/>
    <n v="-13.240560349631526"/>
    <n v="1539.0893817306535"/>
    <n v="0"/>
    <n v="1"/>
    <n v="0"/>
    <n v="0"/>
    <n v="0"/>
    <n v="0"/>
    <n v="0"/>
    <n v="0"/>
    <n v="0"/>
    <n v="0"/>
  </r>
  <r>
    <d v="2010-07-20T00:00:00"/>
    <n v="2010"/>
    <x v="19"/>
    <s v="R"/>
    <s v="RS"/>
    <x v="10"/>
    <s v="CON"/>
    <s v="A"/>
    <n v="1"/>
    <n v="2"/>
    <n v="-1"/>
    <n v="1"/>
    <n v="-8"/>
    <n v="8"/>
    <n v="1492.3504145176055"/>
    <n v="1536.3116179778997"/>
    <n v="0.30391847359395413"/>
    <n v="82"/>
    <n v="74"/>
    <n v="1"/>
    <n v="8"/>
    <n v="1"/>
    <n v="0.33713332589204992"/>
    <n v="1"/>
    <n v="73"/>
    <n v="73"/>
    <n v="17.131076446517806"/>
    <n v="1509.4814909641234"/>
    <n v="1"/>
    <n v="0"/>
    <n v="0"/>
    <n v="0"/>
    <n v="0"/>
    <n v="0"/>
    <n v="0"/>
    <n v="0"/>
    <n v="0"/>
    <n v="0"/>
  </r>
  <r>
    <d v="2010-07-20T00:00:00"/>
    <n v="2010"/>
    <x v="20"/>
    <s v="R"/>
    <s v="RS"/>
    <x v="1"/>
    <s v="NYL"/>
    <s v="H"/>
    <n v="2"/>
    <n v="1"/>
    <n v="1"/>
    <n v="-1"/>
    <n v="8"/>
    <n v="-8"/>
    <n v="1536.3116179778997"/>
    <n v="1492.3504145176055"/>
    <n v="0.69608152640604593"/>
    <n v="74"/>
    <n v="82"/>
    <n v="1"/>
    <n v="-8"/>
    <n v="0"/>
    <n v="0.33713332589204992"/>
    <n v="1"/>
    <n v="72.849999999999994"/>
    <n v="72.849999999999994"/>
    <n v="-17.095875604504414"/>
    <n v="1519.2157423733952"/>
    <n v="0"/>
    <n v="1"/>
    <n v="0"/>
    <n v="0"/>
    <n v="0"/>
    <n v="0"/>
    <n v="0"/>
    <n v="0"/>
    <n v="0"/>
    <n v="0"/>
  </r>
  <r>
    <d v="2010-07-20T00:00:00"/>
    <n v="2010"/>
    <x v="20"/>
    <s v="R"/>
    <s v="RS"/>
    <x v="9"/>
    <s v="LAS"/>
    <s v="A"/>
    <n v="2"/>
    <n v="1"/>
    <n v="1"/>
    <n v="-1"/>
    <n v="8"/>
    <n v="-8"/>
    <n v="1336.8694804697841"/>
    <n v="1413.5709651989168"/>
    <n v="0.30301771944429717"/>
    <n v="83"/>
    <n v="86"/>
    <n v="1"/>
    <n v="-3"/>
    <n v="0"/>
    <n v="0.24547492623390801"/>
    <n v="1"/>
    <n v="72.849999999999994"/>
    <n v="72.849999999999994"/>
    <n v="-5.4188199321061559"/>
    <n v="1331.450660537678"/>
    <n v="0"/>
    <n v="1"/>
    <n v="0"/>
    <n v="0"/>
    <n v="0"/>
    <n v="0"/>
    <n v="0"/>
    <n v="0"/>
    <n v="0"/>
    <n v="0"/>
  </r>
  <r>
    <d v="2010-07-20T00:00:00"/>
    <n v="2010"/>
    <x v="20"/>
    <s v="R"/>
    <s v="RS"/>
    <x v="4"/>
    <s v="TUL"/>
    <s v="H"/>
    <n v="1"/>
    <n v="2"/>
    <n v="-1"/>
    <n v="1"/>
    <n v="-8"/>
    <n v="8"/>
    <n v="1413.5709651989168"/>
    <n v="1336.8694804697841"/>
    <n v="0.69698228055570277"/>
    <n v="86"/>
    <n v="83"/>
    <n v="1"/>
    <n v="3"/>
    <n v="1"/>
    <n v="0.24547492623390801"/>
    <n v="1"/>
    <n v="72.849999999999994"/>
    <n v="72.849999999999994"/>
    <n v="5.4188199321061568"/>
    <n v="1418.9897851310229"/>
    <n v="1"/>
    <n v="0"/>
    <n v="0"/>
    <n v="0"/>
    <n v="0"/>
    <n v="0"/>
    <n v="0"/>
    <n v="0"/>
    <n v="0"/>
    <n v="0"/>
  </r>
  <r>
    <d v="2010-07-20T00:00:00"/>
    <n v="2010"/>
    <x v="20"/>
    <s v="R"/>
    <s v="RS"/>
    <x v="11"/>
    <s v="SAS"/>
    <s v="A"/>
    <n v="2"/>
    <n v="1"/>
    <n v="1"/>
    <n v="-1"/>
    <n v="8"/>
    <n v="-8"/>
    <n v="1672.9635461331823"/>
    <n v="1422.0453678575921"/>
    <n v="0.74134321664973957"/>
    <n v="80"/>
    <n v="74"/>
    <n v="0"/>
    <n v="6"/>
    <n v="1"/>
    <n v="0.29053114063963603"/>
    <n v="1"/>
    <n v="72.849999999999994"/>
    <n v="72.849999999999994"/>
    <n v="5.4745208944227777"/>
    <n v="1678.438067027605"/>
    <n v="1"/>
    <n v="0"/>
    <n v="0"/>
    <n v="0"/>
    <n v="0"/>
    <n v="0"/>
    <n v="0"/>
    <n v="0"/>
    <n v="0"/>
    <n v="0"/>
  </r>
  <r>
    <d v="2010-07-20T00:00:00"/>
    <n v="2010"/>
    <x v="19"/>
    <s v="R"/>
    <s v="RS"/>
    <x v="7"/>
    <s v="SEA"/>
    <s v="H"/>
    <n v="1"/>
    <n v="2"/>
    <n v="-1"/>
    <n v="1"/>
    <n v="-8"/>
    <n v="8"/>
    <n v="1422.0453678575921"/>
    <n v="1672.9635461331823"/>
    <n v="0.25865678335026038"/>
    <n v="74"/>
    <n v="80"/>
    <n v="0"/>
    <n v="-6"/>
    <n v="0"/>
    <n v="0.29053114063963603"/>
    <n v="1"/>
    <n v="73"/>
    <n v="73"/>
    <n v="-5.4857930719679171"/>
    <n v="1416.5595747856241"/>
    <n v="0"/>
    <n v="1"/>
    <n v="0"/>
    <n v="0"/>
    <n v="0"/>
    <n v="0"/>
    <n v="0"/>
    <n v="0"/>
    <n v="0"/>
    <n v="0"/>
  </r>
  <r>
    <d v="2010-07-21T00:00:00"/>
    <n v="2010"/>
    <x v="22"/>
    <s v="R"/>
    <s v="RS"/>
    <x v="6"/>
    <s v="WAS"/>
    <s v="A"/>
    <n v="3"/>
    <n v="2"/>
    <n v="1"/>
    <n v="-1"/>
    <n v="8"/>
    <n v="-8"/>
    <n v="1530.2615763452231"/>
    <n v="1539.0893817306535"/>
    <n v="0.39120344618598457"/>
    <n v="72"/>
    <n v="82"/>
    <n v="0"/>
    <n v="-10"/>
    <n v="0"/>
    <n v="0.42003967557384631"/>
    <n v="1"/>
    <n v="72.55"/>
    <n v="72.55"/>
    <n v="-11.921486273332508"/>
    <n v="1518.3400900718907"/>
    <n v="0"/>
    <n v="1"/>
    <n v="0"/>
    <n v="0"/>
    <n v="0"/>
    <n v="0"/>
    <n v="0"/>
    <n v="0"/>
    <n v="0"/>
    <n v="0"/>
  </r>
  <r>
    <d v="2010-07-21T00:00:00"/>
    <n v="2010"/>
    <x v="19"/>
    <s v="R"/>
    <s v="RS"/>
    <x v="2"/>
    <s v="ATL"/>
    <s v="H"/>
    <n v="2"/>
    <n v="3"/>
    <n v="-1"/>
    <n v="1"/>
    <n v="-8"/>
    <n v="8"/>
    <n v="1539.0893817306535"/>
    <n v="1530.2615763452231"/>
    <n v="0.60879655381401543"/>
    <n v="82"/>
    <n v="72"/>
    <n v="0"/>
    <n v="10"/>
    <n v="1"/>
    <n v="0.42003967557384631"/>
    <n v="1"/>
    <n v="73"/>
    <n v="73"/>
    <n v="11.995430709211206"/>
    <n v="1551.0848124398647"/>
    <n v="1"/>
    <n v="0"/>
    <n v="0"/>
    <n v="0"/>
    <n v="0"/>
    <n v="0"/>
    <n v="0"/>
    <n v="0"/>
    <n v="0"/>
    <n v="0"/>
  </r>
  <r>
    <d v="2010-07-22T00:00:00"/>
    <n v="2010"/>
    <x v="21"/>
    <s v="R"/>
    <s v="RS"/>
    <x v="4"/>
    <s v="IND"/>
    <s v="A"/>
    <n v="1"/>
    <n v="3"/>
    <n v="-2"/>
    <n v="2"/>
    <n v="-16"/>
    <n v="16"/>
    <n v="1418.9897851310229"/>
    <n v="1596.5771111978534"/>
    <n v="0.15577261800035366"/>
    <n v="57"/>
    <n v="76"/>
    <n v="0"/>
    <n v="-19"/>
    <n v="0"/>
    <n v="0.48866091791778166"/>
    <n v="1"/>
    <n v="72.7"/>
    <n v="72.7"/>
    <n v="-5.5339233092415885"/>
    <n v="1413.4558618217814"/>
    <n v="0"/>
    <n v="1"/>
    <n v="0"/>
    <n v="0"/>
    <n v="0"/>
    <n v="0"/>
    <n v="0"/>
    <n v="0"/>
    <n v="0"/>
    <n v="0"/>
  </r>
  <r>
    <d v="2010-07-22T00:00:00"/>
    <n v="2010"/>
    <x v="20"/>
    <s v="R"/>
    <s v="RS"/>
    <x v="3"/>
    <s v="LAS"/>
    <s v="H"/>
    <n v="3"/>
    <n v="1"/>
    <n v="2"/>
    <n v="-2"/>
    <n v="16"/>
    <n v="-16"/>
    <n v="1596.5771111978534"/>
    <n v="1418.9897851310229"/>
    <n v="0.8442273819996462"/>
    <n v="76"/>
    <n v="57"/>
    <n v="0"/>
    <n v="19"/>
    <n v="1"/>
    <n v="0.48866091791778166"/>
    <n v="1"/>
    <n v="72.849999999999994"/>
    <n v="72.849999999999994"/>
    <n v="5.5453413078163685"/>
    <n v="1602.1224525056698"/>
    <n v="1"/>
    <n v="0"/>
    <n v="0"/>
    <n v="0"/>
    <n v="0"/>
    <n v="0"/>
    <n v="0"/>
    <n v="0"/>
    <n v="0"/>
    <n v="0"/>
  </r>
  <r>
    <d v="2010-07-22T00:00:00"/>
    <n v="2010"/>
    <x v="20"/>
    <s v="R"/>
    <s v="RS"/>
    <x v="7"/>
    <s v="MIN"/>
    <s v="A"/>
    <n v="1"/>
    <n v="4"/>
    <n v="-3"/>
    <n v="3"/>
    <n v="-16"/>
    <n v="16"/>
    <n v="1416.5595747856241"/>
    <n v="1428.7324878465693"/>
    <n v="0.3234804651523705"/>
    <n v="74"/>
    <n v="72"/>
    <n v="0"/>
    <n v="2"/>
    <n v="1"/>
    <n v="0.26515159801747207"/>
    <n v="1"/>
    <n v="72.849999999999994"/>
    <n v="72.849999999999994"/>
    <n v="13.067850174743432"/>
    <n v="1429.6274249603675"/>
    <n v="1"/>
    <n v="0"/>
    <n v="0"/>
    <n v="0"/>
    <n v="0"/>
    <n v="0"/>
    <n v="0"/>
    <n v="0"/>
    <n v="0"/>
    <n v="0"/>
  </r>
  <r>
    <d v="2010-07-22T00:00:00"/>
    <n v="2010"/>
    <x v="19"/>
    <s v="R"/>
    <s v="RS"/>
    <x v="8"/>
    <s v="SAS"/>
    <s v="H"/>
    <n v="4"/>
    <n v="1"/>
    <n v="3"/>
    <n v="-3"/>
    <n v="16"/>
    <n v="-16"/>
    <n v="1428.7324878465693"/>
    <n v="1416.5595747856241"/>
    <n v="0.6765195348476295"/>
    <n v="72"/>
    <n v="74"/>
    <n v="0"/>
    <n v="-2"/>
    <n v="0"/>
    <n v="0.26515159801747207"/>
    <n v="1"/>
    <n v="73"/>
    <n v="73"/>
    <n v="-13.094757210106668"/>
    <n v="1415.6377306364625"/>
    <n v="0"/>
    <n v="1"/>
    <n v="0"/>
    <n v="0"/>
    <n v="0"/>
    <n v="0"/>
    <n v="0"/>
    <n v="0"/>
    <n v="0"/>
    <n v="0"/>
  </r>
  <r>
    <d v="2010-07-22T00:00:00"/>
    <n v="2010"/>
    <x v="20"/>
    <s v="R"/>
    <s v="RS"/>
    <x v="5"/>
    <s v="TUL"/>
    <s v="A"/>
    <n v="4"/>
    <n v="1"/>
    <n v="3"/>
    <n v="-3"/>
    <n v="16"/>
    <n v="-16"/>
    <n v="1511.2229875342632"/>
    <n v="1331.450660537678"/>
    <n v="0.67601469159466498"/>
    <n v="123"/>
    <n v="91"/>
    <n v="0"/>
    <n v="32"/>
    <n v="1"/>
    <n v="0.63257730118961364"/>
    <n v="1"/>
    <n v="72.849999999999994"/>
    <n v="72.849999999999994"/>
    <n v="14.930298034375175"/>
    <n v="1526.1532855686385"/>
    <n v="1"/>
    <n v="0"/>
    <n v="0"/>
    <n v="0"/>
    <n v="0"/>
    <n v="0"/>
    <n v="0"/>
    <n v="0"/>
    <n v="0"/>
    <n v="0"/>
  </r>
  <r>
    <d v="2010-07-22T00:00:00"/>
    <n v="2010"/>
    <x v="21"/>
    <s v="R"/>
    <s v="RS"/>
    <x v="9"/>
    <s v="PHX"/>
    <s v="H"/>
    <n v="1"/>
    <n v="4"/>
    <n v="-3"/>
    <n v="3"/>
    <n v="-16"/>
    <n v="16"/>
    <n v="1331.450660537678"/>
    <n v="1511.2229875342632"/>
    <n v="0.32398530840533502"/>
    <n v="91"/>
    <n v="123"/>
    <n v="0"/>
    <n v="-32"/>
    <n v="0"/>
    <n v="0.63257730118961364"/>
    <n v="1"/>
    <n v="72.7"/>
    <n v="72.7"/>
    <n v="-14.899556171572758"/>
    <n v="1316.5511043661052"/>
    <n v="0"/>
    <n v="1"/>
    <n v="0"/>
    <n v="0"/>
    <n v="0"/>
    <n v="0"/>
    <n v="0"/>
    <n v="0"/>
    <n v="0"/>
    <n v="0"/>
  </r>
  <r>
    <d v="2010-07-23T00:00:00"/>
    <n v="2010"/>
    <x v="20"/>
    <s v="R"/>
    <s v="RS"/>
    <x v="10"/>
    <s v="CHI"/>
    <s v="A"/>
    <n v="2"/>
    <n v="4"/>
    <n v="-2"/>
    <n v="2"/>
    <n v="-16"/>
    <n v="16"/>
    <n v="1509.4814909641234"/>
    <n v="1514.5979097902105"/>
    <n v="0.33243283854622058"/>
    <n v="79"/>
    <n v="71"/>
    <n v="0"/>
    <n v="8"/>
    <n v="1"/>
    <n v="0.38666691012103205"/>
    <n v="1"/>
    <n v="72.849999999999994"/>
    <n v="72.849999999999994"/>
    <n v="18.804488688342236"/>
    <n v="1528.2859796524656"/>
    <n v="1"/>
    <n v="0"/>
    <n v="0"/>
    <n v="0"/>
    <n v="0"/>
    <n v="0"/>
    <n v="0"/>
    <n v="0"/>
    <n v="0"/>
    <n v="0"/>
  </r>
  <r>
    <d v="2010-07-23T00:00:00"/>
    <n v="2010"/>
    <x v="22"/>
    <s v="R"/>
    <s v="RS"/>
    <x v="0"/>
    <s v="NYL"/>
    <s v="H"/>
    <n v="4"/>
    <n v="2"/>
    <n v="2"/>
    <n v="-2"/>
    <n v="16"/>
    <n v="-16"/>
    <n v="1514.5979097902105"/>
    <n v="1509.4814909641234"/>
    <n v="0.66756716145377937"/>
    <n v="71"/>
    <n v="79"/>
    <n v="0"/>
    <n v="-8"/>
    <n v="0"/>
    <n v="0.38666691012103205"/>
    <n v="1"/>
    <n v="72.55"/>
    <n v="72.55"/>
    <n v="-18.727050848856951"/>
    <n v="1495.8708589413534"/>
    <n v="0"/>
    <n v="1"/>
    <n v="0"/>
    <n v="0"/>
    <n v="0"/>
    <n v="0"/>
    <n v="0"/>
    <n v="0"/>
    <n v="0"/>
    <n v="0"/>
  </r>
  <r>
    <d v="2010-07-24T00:00:00"/>
    <n v="2010"/>
    <x v="22"/>
    <s v="R"/>
    <s v="RS"/>
    <x v="4"/>
    <s v="CON"/>
    <s v="A"/>
    <n v="1"/>
    <n v="3"/>
    <n v="-2"/>
    <n v="2"/>
    <n v="-16"/>
    <n v="16"/>
    <n v="1413.4558618217814"/>
    <n v="1519.2157423733952"/>
    <n v="0.21813763781111198"/>
    <n v="89"/>
    <n v="80"/>
    <n v="0"/>
    <n v="9"/>
    <n v="1"/>
    <n v="0.37308990713582796"/>
    <n v="1"/>
    <n v="72.55"/>
    <n v="72.55"/>
    <n v="21.16319456520382"/>
    <n v="1434.6190563869852"/>
    <n v="1"/>
    <n v="0"/>
    <n v="0"/>
    <n v="0"/>
    <n v="0"/>
    <n v="0"/>
    <n v="0"/>
    <n v="0"/>
    <n v="0"/>
    <n v="0"/>
  </r>
  <r>
    <d v="2010-07-24T00:00:00"/>
    <n v="2010"/>
    <x v="21"/>
    <s v="R"/>
    <s v="RS"/>
    <x v="1"/>
    <s v="LAS"/>
    <s v="H"/>
    <n v="3"/>
    <n v="1"/>
    <n v="2"/>
    <n v="-2"/>
    <n v="16"/>
    <n v="-16"/>
    <n v="1519.2157423733952"/>
    <n v="1413.4558618217814"/>
    <n v="0.78186236218888805"/>
    <n v="80"/>
    <n v="89"/>
    <n v="0"/>
    <n v="-9"/>
    <n v="0"/>
    <n v="0.37308990713582796"/>
    <n v="1"/>
    <n v="72.7"/>
    <n v="72.7"/>
    <n v="-21.206950308619135"/>
    <n v="1498.0087920647761"/>
    <n v="0"/>
    <n v="1"/>
    <n v="0"/>
    <n v="0"/>
    <n v="0"/>
    <n v="0"/>
    <n v="0"/>
    <n v="0"/>
    <n v="0"/>
    <n v="0"/>
  </r>
  <r>
    <d v="2010-07-24T00:00:00"/>
    <n v="2010"/>
    <x v="21"/>
    <s v="R"/>
    <s v="RS"/>
    <x v="5"/>
    <s v="MIN"/>
    <s v="A"/>
    <n v="1"/>
    <n v="1"/>
    <n v="0"/>
    <n v="0"/>
    <n v="0"/>
    <n v="0"/>
    <n v="1526.1532855686385"/>
    <n v="1415.6377306364625"/>
    <n v="0.5380850385305882"/>
    <n v="127"/>
    <n v="124"/>
    <n v="1"/>
    <n v="3"/>
    <n v="1"/>
    <n v="0.23914115449230527"/>
    <n v="1"/>
    <n v="72.7"/>
    <n v="72.7"/>
    <n v="8.0306511697547425"/>
    <n v="1534.1839367383932"/>
    <n v="1"/>
    <n v="0"/>
    <n v="0"/>
    <n v="0"/>
    <n v="0"/>
    <n v="0"/>
    <n v="0"/>
    <n v="0"/>
    <n v="0"/>
    <n v="0"/>
  </r>
  <r>
    <d v="2010-07-24T00:00:00"/>
    <n v="2010"/>
    <x v="20"/>
    <s v="R"/>
    <s v="RS"/>
    <x v="8"/>
    <s v="PHX"/>
    <s v="H"/>
    <n v="1"/>
    <n v="1"/>
    <n v="0"/>
    <n v="0"/>
    <n v="0"/>
    <n v="0"/>
    <n v="1415.6377306364625"/>
    <n v="1526.1532855686385"/>
    <n v="0.46191496146941186"/>
    <n v="124"/>
    <n v="127"/>
    <n v="1"/>
    <n v="-3"/>
    <n v="0"/>
    <n v="0.23914115449230527"/>
    <n v="1"/>
    <n v="72.849999999999994"/>
    <n v="72.849999999999994"/>
    <n v="-8.0472206013292027"/>
    <n v="1407.5905100351333"/>
    <n v="0"/>
    <n v="1"/>
    <n v="0"/>
    <n v="0"/>
    <n v="0"/>
    <n v="0"/>
    <n v="0"/>
    <n v="0"/>
    <n v="0"/>
    <n v="0"/>
  </r>
  <r>
    <d v="2010-07-24T00:00:00"/>
    <n v="2010"/>
    <x v="23"/>
    <s v="R"/>
    <s v="RS"/>
    <x v="0"/>
    <s v="SAS"/>
    <s v="A"/>
    <n v="0"/>
    <n v="1"/>
    <n v="-1"/>
    <n v="1"/>
    <n v="-8"/>
    <n v="8"/>
    <n v="1495.8708589413534"/>
    <n v="1429.6274249603675"/>
    <n v="0.45157268381441501"/>
    <n v="75"/>
    <n v="72"/>
    <n v="0"/>
    <n v="3"/>
    <n v="1"/>
    <n v="0.27500259110814756"/>
    <n v="1"/>
    <n v="72.400000000000006"/>
    <n v="72.400000000000006"/>
    <n v="10.91929074815188"/>
    <n v="1506.7901496895054"/>
    <n v="1"/>
    <n v="0"/>
    <n v="0"/>
    <n v="0"/>
    <n v="0"/>
    <n v="0"/>
    <n v="0"/>
    <n v="0"/>
    <n v="0"/>
    <n v="0"/>
  </r>
  <r>
    <d v="2010-07-24T00:00:00"/>
    <n v="2010"/>
    <x v="21"/>
    <s v="R"/>
    <s v="RS"/>
    <x v="7"/>
    <s v="CHI"/>
    <s v="H"/>
    <n v="1"/>
    <n v="0"/>
    <n v="1"/>
    <n v="-1"/>
    <n v="8"/>
    <n v="-8"/>
    <n v="1429.6274249603675"/>
    <n v="1495.8708589413534"/>
    <n v="0.54842731618558493"/>
    <n v="72"/>
    <n v="75"/>
    <n v="0"/>
    <n v="-3"/>
    <n v="0"/>
    <n v="0.27500259110814756"/>
    <n v="1"/>
    <n v="72.7"/>
    <n v="72.7"/>
    <n v="-10.964536428047534"/>
    <n v="1418.66288853232"/>
    <n v="0"/>
    <n v="1"/>
    <n v="0"/>
    <n v="0"/>
    <n v="0"/>
    <n v="0"/>
    <n v="0"/>
    <n v="0"/>
    <n v="0"/>
    <n v="0"/>
  </r>
  <r>
    <d v="2010-07-24T00:00:00"/>
    <n v="2010"/>
    <x v="21"/>
    <s v="R"/>
    <s v="RS"/>
    <x v="3"/>
    <s v="WAS"/>
    <s v="A"/>
    <n v="1"/>
    <n v="2"/>
    <n v="-1"/>
    <n v="1"/>
    <n v="-8"/>
    <n v="8"/>
    <n v="1602.1224525056698"/>
    <n v="1551.0848124398647"/>
    <n v="0.43000028232710308"/>
    <n v="78"/>
    <n v="73"/>
    <n v="0"/>
    <n v="5"/>
    <n v="1"/>
    <n v="0.31822157687642127"/>
    <n v="1"/>
    <n v="72.7"/>
    <n v="72.7"/>
    <n v="13.186777392626752"/>
    <n v="1615.3092298982965"/>
    <n v="1"/>
    <n v="0"/>
    <n v="0"/>
    <n v="0"/>
    <n v="0"/>
    <n v="0"/>
    <n v="0"/>
    <n v="0"/>
    <n v="0"/>
    <n v="0"/>
  </r>
  <r>
    <d v="2010-07-24T00:00:00"/>
    <n v="2010"/>
    <x v="20"/>
    <s v="R"/>
    <s v="RS"/>
    <x v="2"/>
    <s v="IND"/>
    <s v="H"/>
    <n v="2"/>
    <n v="1"/>
    <n v="1"/>
    <n v="-1"/>
    <n v="8"/>
    <n v="-8"/>
    <n v="1551.0848124398647"/>
    <n v="1602.1224525056698"/>
    <n v="0.56999971767289692"/>
    <n v="73"/>
    <n v="78"/>
    <n v="0"/>
    <n v="-5"/>
    <n v="0"/>
    <n v="0.31822157687642127"/>
    <n v="1"/>
    <n v="72.849999999999994"/>
    <n v="72.849999999999994"/>
    <n v="-13.213985323973297"/>
    <n v="1537.8708271158914"/>
    <n v="0"/>
    <n v="1"/>
    <n v="0"/>
    <n v="0"/>
    <n v="0"/>
    <n v="0"/>
    <n v="0"/>
    <n v="0"/>
    <n v="0"/>
    <n v="0"/>
  </r>
  <r>
    <d v="2010-07-25T00:00:00"/>
    <n v="2010"/>
    <x v="21"/>
    <s v="R"/>
    <s v="RS"/>
    <x v="10"/>
    <s v="ATL"/>
    <s v="A"/>
    <n v="1"/>
    <n v="3"/>
    <n v="-2"/>
    <n v="2"/>
    <n v="-16"/>
    <n v="16"/>
    <n v="1528.2859796524656"/>
    <n v="1518.3400900718907"/>
    <n v="0.35194594006479141"/>
    <n v="75"/>
    <n v="82"/>
    <n v="0"/>
    <n v="-7"/>
    <n v="0"/>
    <n v="0.36706485042776604"/>
    <n v="1"/>
    <n v="72.7"/>
    <n v="72.7"/>
    <n v="-9.391893725789016"/>
    <n v="1518.8940859266766"/>
    <n v="0"/>
    <n v="1"/>
    <n v="0"/>
    <n v="0"/>
    <n v="0"/>
    <n v="0"/>
    <n v="0"/>
    <n v="0"/>
    <n v="0"/>
    <n v="0"/>
  </r>
  <r>
    <d v="2010-07-25T00:00:00"/>
    <n v="2010"/>
    <x v="23"/>
    <s v="R"/>
    <s v="RS"/>
    <x v="6"/>
    <s v="NYL"/>
    <s v="H"/>
    <n v="3"/>
    <n v="1"/>
    <n v="2"/>
    <n v="-2"/>
    <n v="16"/>
    <n v="-16"/>
    <n v="1518.3400900718907"/>
    <n v="1528.2859796524656"/>
    <n v="0.64805405993520859"/>
    <n v="82"/>
    <n v="75"/>
    <n v="0"/>
    <n v="7"/>
    <n v="1"/>
    <n v="0.36706485042776604"/>
    <n v="1"/>
    <n v="72.400000000000006"/>
    <n v="72.400000000000006"/>
    <n v="9.3531376306344534"/>
    <n v="1527.6932277025251"/>
    <n v="1"/>
    <n v="0"/>
    <n v="0"/>
    <n v="0"/>
    <n v="0"/>
    <n v="0"/>
    <n v="0"/>
    <n v="0"/>
    <n v="0"/>
    <n v="0"/>
  </r>
  <r>
    <d v="2010-07-25T00:00:00"/>
    <n v="2010"/>
    <x v="22"/>
    <s v="R"/>
    <s v="RS"/>
    <x v="9"/>
    <s v="SEA"/>
    <s v="A"/>
    <n v="2"/>
    <n v="4"/>
    <n v="-2"/>
    <n v="2"/>
    <n v="-16"/>
    <n v="16"/>
    <n v="1316.5511043661052"/>
    <n v="1678.438067027605"/>
    <n v="6.0033669609423974E-2"/>
    <n v="59"/>
    <n v="75"/>
    <n v="0"/>
    <n v="-16"/>
    <n v="0"/>
    <n v="0.39781575337391106"/>
    <n v="1"/>
    <n v="72.55"/>
    <n v="72.55"/>
    <n v="-1.7326637309770001"/>
    <n v="1314.8184406351281"/>
    <n v="0"/>
    <n v="1"/>
    <n v="0"/>
    <n v="0"/>
    <n v="0"/>
    <n v="0"/>
    <n v="0"/>
    <n v="0"/>
    <n v="0"/>
    <n v="0"/>
  </r>
  <r>
    <d v="2010-07-25T00:00:00"/>
    <n v="2010"/>
    <x v="21"/>
    <s v="R"/>
    <s v="RS"/>
    <x v="11"/>
    <s v="TUL"/>
    <s v="H"/>
    <n v="4"/>
    <n v="2"/>
    <n v="2"/>
    <n v="-2"/>
    <n v="16"/>
    <n v="-16"/>
    <n v="1678.438067027605"/>
    <n v="1316.5511043661052"/>
    <n v="0.93996633039057598"/>
    <n v="75"/>
    <n v="59"/>
    <n v="0"/>
    <n v="16"/>
    <n v="1"/>
    <n v="0.39781575337391106"/>
    <n v="1"/>
    <n v="72.7"/>
    <n v="72.7"/>
    <n v="1.7362460819025225"/>
    <n v="1680.1743131095075"/>
    <n v="1"/>
    <n v="0"/>
    <n v="0"/>
    <n v="0"/>
    <n v="0"/>
    <n v="0"/>
    <n v="0"/>
    <n v="0"/>
    <n v="0"/>
    <n v="0"/>
  </r>
  <r>
    <d v="2010-07-27T00:00:00"/>
    <n v="2010"/>
    <x v="21"/>
    <s v="R"/>
    <s v="RS"/>
    <x v="2"/>
    <s v="CON"/>
    <s v="A"/>
    <n v="2"/>
    <n v="2"/>
    <n v="0"/>
    <n v="0"/>
    <n v="0"/>
    <n v="0"/>
    <n v="1537.8708271158914"/>
    <n v="1498.0087920647761"/>
    <n v="0.4368198847710496"/>
    <n v="78"/>
    <n v="88"/>
    <n v="0"/>
    <n v="-10"/>
    <n v="0"/>
    <n v="0.40952591888807022"/>
    <n v="1"/>
    <n v="72.7"/>
    <n v="72.7"/>
    <n v="-13.005235003649656"/>
    <n v="1524.8655921122418"/>
    <n v="0"/>
    <n v="1"/>
    <n v="0"/>
    <n v="0"/>
    <n v="0"/>
    <n v="0"/>
    <n v="0"/>
    <n v="0"/>
    <n v="0"/>
    <n v="0"/>
  </r>
  <r>
    <d v="2010-07-27T00:00:00"/>
    <n v="2010"/>
    <x v="22"/>
    <s v="R"/>
    <s v="RS"/>
    <x v="1"/>
    <s v="WAS"/>
    <s v="H"/>
    <n v="2"/>
    <n v="2"/>
    <n v="0"/>
    <n v="0"/>
    <n v="0"/>
    <n v="0"/>
    <n v="1498.0087920647761"/>
    <n v="1537.8708271158914"/>
    <n v="0.5631801152289504"/>
    <n v="88"/>
    <n v="78"/>
    <n v="0"/>
    <n v="10"/>
    <n v="1"/>
    <n v="0.40952591888807022"/>
    <n v="1"/>
    <n v="72.55"/>
    <n v="72.55"/>
    <n v="12.978401643944736"/>
    <n v="1510.987193708721"/>
    <n v="1"/>
    <n v="0"/>
    <n v="0"/>
    <n v="0"/>
    <n v="0"/>
    <n v="0"/>
    <n v="0"/>
    <n v="0"/>
    <n v="0"/>
    <n v="0"/>
  </r>
  <r>
    <d v="2010-07-27T00:00:00"/>
    <n v="2010"/>
    <x v="24"/>
    <s v="R"/>
    <s v="RS"/>
    <x v="0"/>
    <s v="IND"/>
    <s v="A"/>
    <n v="2"/>
    <n v="2"/>
    <n v="0"/>
    <n v="0"/>
    <n v="0"/>
    <n v="0"/>
    <n v="1506.7901496895054"/>
    <n v="1615.3092298982965"/>
    <n v="0.24820122180874205"/>
    <n v="74"/>
    <n v="78"/>
    <n v="0"/>
    <n v="-4"/>
    <n v="0"/>
    <n v="0.28560476307691551"/>
    <n v="1"/>
    <n v="72.25"/>
    <n v="72.25"/>
    <n v="-5.1216183455937667"/>
    <n v="1501.6685313439116"/>
    <n v="0"/>
    <n v="1"/>
    <n v="0"/>
    <n v="0"/>
    <n v="0"/>
    <n v="0"/>
    <n v="0"/>
    <n v="0"/>
    <n v="0"/>
    <n v="0"/>
  </r>
  <r>
    <d v="2010-07-27T00:00:00"/>
    <n v="2010"/>
    <x v="22"/>
    <s v="R"/>
    <s v="RS"/>
    <x v="3"/>
    <s v="CHI"/>
    <s v="H"/>
    <n v="2"/>
    <n v="2"/>
    <n v="0"/>
    <n v="0"/>
    <n v="0"/>
    <n v="0"/>
    <n v="1615.3092298982965"/>
    <n v="1506.7901496895054"/>
    <n v="0.75179877819125784"/>
    <n v="78"/>
    <n v="74"/>
    <n v="0"/>
    <n v="4"/>
    <n v="1"/>
    <n v="0.28560476307691551"/>
    <n v="1"/>
    <n v="72.55"/>
    <n v="72.55"/>
    <n v="5.1428845809387935"/>
    <n v="1620.4521144792352"/>
    <n v="1"/>
    <n v="0"/>
    <n v="0"/>
    <n v="0"/>
    <n v="0"/>
    <n v="0"/>
    <n v="0"/>
    <n v="0"/>
    <n v="0"/>
    <n v="0"/>
  </r>
  <r>
    <d v="2010-07-27T00:00:00"/>
    <n v="2010"/>
    <x v="23"/>
    <s v="R"/>
    <s v="RS"/>
    <x v="4"/>
    <s v="MIN"/>
    <s v="A"/>
    <n v="2"/>
    <n v="2"/>
    <n v="0"/>
    <n v="0"/>
    <n v="0"/>
    <n v="0"/>
    <n v="1434.6190563869852"/>
    <n v="1407.5905100351333"/>
    <n v="0.41873851748449314"/>
    <n v="71"/>
    <n v="58"/>
    <n v="0"/>
    <n v="13"/>
    <n v="1"/>
    <n v="0.46164574447847456"/>
    <n v="1"/>
    <n v="72.400000000000006"/>
    <n v="72.400000000000006"/>
    <n v="19.427590823875395"/>
    <n v="1454.0466472108606"/>
    <n v="1"/>
    <n v="0"/>
    <n v="0"/>
    <n v="0"/>
    <n v="0"/>
    <n v="0"/>
    <n v="0"/>
    <n v="0"/>
    <n v="0"/>
    <n v="0"/>
  </r>
  <r>
    <d v="2010-07-27T00:00:00"/>
    <n v="2010"/>
    <x v="21"/>
    <s v="R"/>
    <s v="RS"/>
    <x v="8"/>
    <s v="LAS"/>
    <s v="H"/>
    <n v="2"/>
    <n v="2"/>
    <n v="0"/>
    <n v="0"/>
    <n v="0"/>
    <n v="0"/>
    <n v="1407.5905100351333"/>
    <n v="1434.6190563869852"/>
    <n v="0.58126148251550691"/>
    <n v="58"/>
    <n v="71"/>
    <n v="0"/>
    <n v="-13"/>
    <n v="0"/>
    <n v="0.46164574447847456"/>
    <n v="1"/>
    <n v="72.7"/>
    <n v="72.7"/>
    <n v="-19.508091890825149"/>
    <n v="1388.0824181443081"/>
    <n v="0"/>
    <n v="1"/>
    <n v="0"/>
    <n v="0"/>
    <n v="0"/>
    <n v="0"/>
    <n v="0"/>
    <n v="0"/>
    <n v="0"/>
    <n v="0"/>
  </r>
  <r>
    <d v="2010-07-27T00:00:00"/>
    <n v="2010"/>
    <x v="22"/>
    <s v="R"/>
    <s v="RS"/>
    <x v="7"/>
    <s v="NYL"/>
    <s v="A"/>
    <n v="2"/>
    <n v="1"/>
    <n v="1"/>
    <n v="-1"/>
    <n v="8"/>
    <n v="-8"/>
    <n v="1418.66288853232"/>
    <n v="1518.8940859266766"/>
    <n v="0.27519621625113955"/>
    <n v="72"/>
    <n v="77"/>
    <n v="0"/>
    <n v="-5"/>
    <n v="0"/>
    <n v="0.30618183239357583"/>
    <n v="1"/>
    <n v="72.55"/>
    <n v="72.55"/>
    <n v="-6.1130689316555449"/>
    <n v="1412.5498196006645"/>
    <n v="0"/>
    <n v="1"/>
    <n v="0"/>
    <n v="0"/>
    <n v="0"/>
    <n v="0"/>
    <n v="0"/>
    <n v="0"/>
    <n v="0"/>
    <n v="0"/>
  </r>
  <r>
    <d v="2010-07-27T00:00:00"/>
    <n v="2010"/>
    <x v="22"/>
    <s v="R"/>
    <s v="RS"/>
    <x v="10"/>
    <s v="SAS"/>
    <s v="H"/>
    <n v="1"/>
    <n v="2"/>
    <n v="-1"/>
    <n v="1"/>
    <n v="-8"/>
    <n v="8"/>
    <n v="1518.8940859266766"/>
    <n v="1418.66288853232"/>
    <n v="0.72480378374886045"/>
    <n v="77"/>
    <n v="72"/>
    <n v="0"/>
    <n v="5"/>
    <n v="1"/>
    <n v="0.30618183239357583"/>
    <n v="1"/>
    <n v="72.55"/>
    <n v="72.55"/>
    <n v="6.1130689316555449"/>
    <n v="1525.0071548583321"/>
    <n v="1"/>
    <n v="0"/>
    <n v="0"/>
    <n v="0"/>
    <n v="0"/>
    <n v="0"/>
    <n v="0"/>
    <n v="0"/>
    <n v="0"/>
    <n v="0"/>
  </r>
  <r>
    <d v="2010-07-27T00:00:00"/>
    <n v="2010"/>
    <x v="22"/>
    <s v="R"/>
    <s v="RS"/>
    <x v="5"/>
    <s v="SEA"/>
    <s v="A"/>
    <n v="2"/>
    <n v="1"/>
    <n v="1"/>
    <n v="-1"/>
    <n v="8"/>
    <n v="-8"/>
    <n v="1534.1839367383932"/>
    <n v="1680.1743131095075"/>
    <n v="0.22586170840215977"/>
    <n v="85"/>
    <n v="91"/>
    <n v="0"/>
    <n v="-6"/>
    <n v="0"/>
    <n v="0.31317973791587089"/>
    <n v="1"/>
    <n v="72.55"/>
    <n v="72.55"/>
    <n v="-5.1318467871220266"/>
    <n v="1529.0520899512712"/>
    <n v="0"/>
    <n v="1"/>
    <n v="0"/>
    <n v="0"/>
    <n v="0"/>
    <n v="0"/>
    <n v="0"/>
    <n v="0"/>
    <n v="0"/>
    <n v="0"/>
  </r>
  <r>
    <d v="2010-07-27T00:00:00"/>
    <n v="2010"/>
    <x v="22"/>
    <s v="R"/>
    <s v="RS"/>
    <x v="11"/>
    <s v="PHX"/>
    <s v="H"/>
    <n v="1"/>
    <n v="2"/>
    <n v="-1"/>
    <n v="1"/>
    <n v="-8"/>
    <n v="8"/>
    <n v="1680.1743131095075"/>
    <n v="1534.1839367383932"/>
    <n v="0.7741382915978402"/>
    <n v="91"/>
    <n v="85"/>
    <n v="0"/>
    <n v="6"/>
    <n v="1"/>
    <n v="0.31317973791587089"/>
    <n v="1"/>
    <n v="72.55"/>
    <n v="72.55"/>
    <n v="5.1318467871220275"/>
    <n v="1685.3061598966294"/>
    <n v="1"/>
    <n v="0"/>
    <n v="0"/>
    <n v="0"/>
    <n v="0"/>
    <n v="0"/>
    <n v="0"/>
    <n v="0"/>
    <n v="0"/>
    <n v="0"/>
  </r>
  <r>
    <d v="2010-07-27T00:00:00"/>
    <n v="2010"/>
    <x v="24"/>
    <s v="R"/>
    <s v="RS"/>
    <x v="6"/>
    <s v="TUL"/>
    <s v="A"/>
    <n v="1"/>
    <n v="1"/>
    <n v="0"/>
    <n v="0"/>
    <n v="0"/>
    <n v="0"/>
    <n v="1527.6932277025251"/>
    <n v="1314.8184406351281"/>
    <n v="0.67740308873214272"/>
    <n v="105"/>
    <n v="89"/>
    <n v="0"/>
    <n v="16"/>
    <n v="1"/>
    <n v="0.43977233115310377"/>
    <n v="1"/>
    <n v="72.25"/>
    <n v="72.25"/>
    <n v="10.250049388678837"/>
    <n v="1537.943277091204"/>
    <n v="1"/>
    <n v="0"/>
    <n v="0"/>
    <n v="0"/>
    <n v="0"/>
    <n v="0"/>
    <n v="0"/>
    <n v="0"/>
    <n v="0"/>
    <n v="0"/>
  </r>
  <r>
    <d v="2010-07-27T00:00:00"/>
    <n v="2010"/>
    <x v="23"/>
    <s v="R"/>
    <s v="RS"/>
    <x v="9"/>
    <s v="ATL"/>
    <s v="H"/>
    <n v="1"/>
    <n v="1"/>
    <n v="0"/>
    <n v="0"/>
    <n v="0"/>
    <n v="0"/>
    <n v="1314.8184406351281"/>
    <n v="1527.6932277025251"/>
    <n v="0.32259691126785733"/>
    <n v="89"/>
    <n v="105"/>
    <n v="0"/>
    <n v="-16"/>
    <n v="0"/>
    <n v="0.43977233115310377"/>
    <n v="1"/>
    <n v="72.400000000000006"/>
    <n v="72.400000000000006"/>
    <n v="-10.271329768032498"/>
    <n v="1304.5471108670956"/>
    <n v="0"/>
    <n v="1"/>
    <n v="0"/>
    <n v="0"/>
    <n v="0"/>
    <n v="0"/>
    <n v="0"/>
    <n v="0"/>
    <n v="0"/>
    <n v="0"/>
  </r>
  <r>
    <d v="2010-07-29T00:00:00"/>
    <n v="2010"/>
    <x v="22"/>
    <s v="R"/>
    <s v="RS"/>
    <x v="8"/>
    <s v="PHX"/>
    <s v="A"/>
    <n v="1"/>
    <n v="1"/>
    <n v="0"/>
    <n v="0"/>
    <n v="0"/>
    <n v="0"/>
    <n v="1388.0824181443081"/>
    <n v="1529.0520899512712"/>
    <n v="0.21500272707201329"/>
    <n v="92"/>
    <n v="110"/>
    <n v="0"/>
    <n v="-18"/>
    <n v="0"/>
    <n v="0.48934791915715131"/>
    <n v="1"/>
    <n v="72.55"/>
    <n v="72.55"/>
    <n v="-7.6330679970259805"/>
    <n v="1380.4493501472821"/>
    <n v="0"/>
    <n v="1"/>
    <n v="0"/>
    <n v="0"/>
    <n v="0"/>
    <n v="0"/>
    <n v="0"/>
    <n v="0"/>
    <n v="0"/>
    <n v="0"/>
  </r>
  <r>
    <d v="2010-07-29T00:00:00"/>
    <n v="2010"/>
    <x v="23"/>
    <s v="R"/>
    <s v="RS"/>
    <x v="5"/>
    <s v="MIN"/>
    <s v="H"/>
    <n v="1"/>
    <n v="1"/>
    <n v="0"/>
    <n v="0"/>
    <n v="0"/>
    <n v="0"/>
    <n v="1529.0520899512712"/>
    <n v="1388.0824181443081"/>
    <n v="0.78499727292798671"/>
    <n v="110"/>
    <n v="92"/>
    <n v="0"/>
    <n v="18"/>
    <n v="1"/>
    <n v="0.48934791915715131"/>
    <n v="1"/>
    <n v="72.400000000000006"/>
    <n v="72.400000000000006"/>
    <n v="7.6172863264601114"/>
    <n v="1536.6693762777313"/>
    <n v="1"/>
    <n v="0"/>
    <n v="0"/>
    <n v="0"/>
    <n v="0"/>
    <n v="0"/>
    <n v="0"/>
    <n v="0"/>
    <n v="0"/>
    <n v="0"/>
  </r>
  <r>
    <d v="2010-07-29T00:00:00"/>
    <n v="2010"/>
    <x v="23"/>
    <s v="R"/>
    <s v="RS"/>
    <x v="7"/>
    <s v="WAS"/>
    <s v="A"/>
    <n v="1"/>
    <n v="1"/>
    <n v="0"/>
    <n v="0"/>
    <n v="0"/>
    <n v="0"/>
    <n v="1412.5498196006645"/>
    <n v="1524.8655921122418"/>
    <n v="0.24414552030508568"/>
    <n v="79"/>
    <n v="75"/>
    <n v="0"/>
    <n v="4"/>
    <n v="1"/>
    <n v="0.28477847307238568"/>
    <n v="1"/>
    <n v="72.400000000000006"/>
    <n v="72.400000000000006"/>
    <n v="15.584178524492673"/>
    <n v="1428.1339981251572"/>
    <n v="1"/>
    <n v="0"/>
    <n v="0"/>
    <n v="0"/>
    <n v="0"/>
    <n v="0"/>
    <n v="0"/>
    <n v="0"/>
    <n v="0"/>
    <n v="0"/>
  </r>
  <r>
    <d v="2010-07-29T00:00:00"/>
    <n v="2010"/>
    <x v="22"/>
    <s v="R"/>
    <s v="RS"/>
    <x v="2"/>
    <s v="SAS"/>
    <s v="H"/>
    <n v="1"/>
    <n v="1"/>
    <n v="0"/>
    <n v="0"/>
    <n v="0"/>
    <n v="0"/>
    <n v="1524.8655921122418"/>
    <n v="1412.5498196006645"/>
    <n v="0.75585447969491426"/>
    <n v="75"/>
    <n v="79"/>
    <n v="0"/>
    <n v="-4"/>
    <n v="0"/>
    <n v="0.28477847307238568"/>
    <n v="1"/>
    <n v="72.55"/>
    <n v="72.55"/>
    <n v="-15.616466187181539"/>
    <n v="1509.2491259250603"/>
    <n v="0"/>
    <n v="1"/>
    <n v="0"/>
    <n v="0"/>
    <n v="0"/>
    <n v="0"/>
    <n v="0"/>
    <n v="0"/>
    <n v="0"/>
    <n v="0"/>
  </r>
  <r>
    <d v="2010-07-30T00:00:00"/>
    <n v="2010"/>
    <x v="25"/>
    <s v="R"/>
    <s v="RS"/>
    <x v="6"/>
    <s v="CON"/>
    <s v="A"/>
    <n v="2"/>
    <n v="2"/>
    <n v="0"/>
    <n v="0"/>
    <n v="0"/>
    <n v="0"/>
    <n v="1537.943277091204"/>
    <n v="1510.987193708721"/>
    <n v="0.41863699282231925"/>
    <n v="94"/>
    <n v="62"/>
    <n v="0"/>
    <n v="32"/>
    <n v="1"/>
    <n v="0.71136421807489281"/>
    <n v="1"/>
    <n v="72.099999999999994"/>
    <n v="72.099999999999994"/>
    <n v="29.81773663744244"/>
    <n v="1567.7610137286465"/>
    <n v="1"/>
    <n v="0"/>
    <n v="0"/>
    <n v="0"/>
    <n v="0"/>
    <n v="0"/>
    <n v="0"/>
    <n v="0"/>
    <n v="0"/>
    <n v="0"/>
  </r>
  <r>
    <d v="2010-07-30T00:00:00"/>
    <n v="2010"/>
    <x v="23"/>
    <s v="R"/>
    <s v="RS"/>
    <x v="1"/>
    <s v="ATL"/>
    <s v="H"/>
    <n v="2"/>
    <n v="2"/>
    <n v="0"/>
    <n v="0"/>
    <n v="0"/>
    <n v="0"/>
    <n v="1510.987193708721"/>
    <n v="1537.943277091204"/>
    <n v="0.58136300717768075"/>
    <n v="62"/>
    <n v="94"/>
    <n v="0"/>
    <n v="-32"/>
    <n v="0"/>
    <n v="0.71136421807489281"/>
    <n v="1"/>
    <n v="72.400000000000006"/>
    <n v="72.400000000000006"/>
    <n v="-29.941804889748028"/>
    <n v="1481.0453888189729"/>
    <n v="0"/>
    <n v="1"/>
    <n v="0"/>
    <n v="0"/>
    <n v="0"/>
    <n v="0"/>
    <n v="0"/>
    <n v="0"/>
    <n v="0"/>
    <n v="0"/>
  </r>
  <r>
    <d v="2010-07-30T00:00:00"/>
    <n v="2010"/>
    <x v="23"/>
    <s v="R"/>
    <s v="RS"/>
    <x v="2"/>
    <s v="IND"/>
    <s v="A"/>
    <n v="0"/>
    <n v="2"/>
    <n v="-2"/>
    <n v="2"/>
    <n v="-16"/>
    <n v="16"/>
    <n v="1509.2491259250603"/>
    <n v="1620.4521144792352"/>
    <n v="0.21284088551090408"/>
    <n v="77"/>
    <n v="73"/>
    <n v="0"/>
    <n v="4"/>
    <n v="1"/>
    <n v="0.28502015717394336"/>
    <n v="1"/>
    <n v="72.400000000000006"/>
    <n v="72.400000000000006"/>
    <n v="16.243389932159097"/>
    <n v="1525.4925158572194"/>
    <n v="1"/>
    <n v="0"/>
    <n v="0"/>
    <n v="0"/>
    <n v="0"/>
    <n v="0"/>
    <n v="0"/>
    <n v="0"/>
    <n v="0"/>
    <n v="0"/>
  </r>
  <r>
    <d v="2010-07-30T00:00:00"/>
    <n v="2010"/>
    <x v="23"/>
    <s v="R"/>
    <s v="RS"/>
    <x v="3"/>
    <s v="WAS"/>
    <s v="H"/>
    <n v="2"/>
    <n v="0"/>
    <n v="2"/>
    <n v="-2"/>
    <n v="16"/>
    <n v="-16"/>
    <n v="1620.4521144792352"/>
    <n v="1509.2491259250603"/>
    <n v="0.78715911448909592"/>
    <n v="73"/>
    <n v="77"/>
    <n v="0"/>
    <n v="-4"/>
    <n v="0"/>
    <n v="0.28502015717394336"/>
    <n v="1"/>
    <n v="72.400000000000006"/>
    <n v="72.400000000000006"/>
    <n v="-16.243389932159097"/>
    <n v="1604.2087245470761"/>
    <n v="0"/>
    <n v="1"/>
    <n v="0"/>
    <n v="0"/>
    <n v="0"/>
    <n v="0"/>
    <n v="0"/>
    <n v="0"/>
    <n v="0"/>
    <n v="0"/>
  </r>
  <r>
    <d v="2010-07-30T00:00:00"/>
    <n v="2010"/>
    <x v="24"/>
    <s v="R"/>
    <s v="RS"/>
    <x v="4"/>
    <s v="NYL"/>
    <s v="A"/>
    <n v="2"/>
    <n v="2"/>
    <n v="0"/>
    <n v="0"/>
    <n v="0"/>
    <n v="0"/>
    <n v="1454.0466472108606"/>
    <n v="1525.0071548583321"/>
    <n v="0.29069224169286378"/>
    <n v="79"/>
    <n v="88"/>
    <n v="0"/>
    <n v="-9"/>
    <n v="0"/>
    <n v="0.3833052479958074"/>
    <n v="1"/>
    <n v="72.25"/>
    <n v="72.25"/>
    <n v="-8.0503740145110392"/>
    <n v="1445.9962731963494"/>
    <n v="0"/>
    <n v="1"/>
    <n v="0"/>
    <n v="0"/>
    <n v="0"/>
    <n v="0"/>
    <n v="0"/>
    <n v="0"/>
    <n v="0"/>
    <n v="0"/>
  </r>
  <r>
    <d v="2010-07-30T00:00:00"/>
    <n v="2010"/>
    <x v="23"/>
    <s v="R"/>
    <s v="RS"/>
    <x v="10"/>
    <s v="LAS"/>
    <s v="H"/>
    <n v="2"/>
    <n v="2"/>
    <n v="0"/>
    <n v="0"/>
    <n v="0"/>
    <n v="0"/>
    <n v="1525.0071548583321"/>
    <n v="1454.0466472108606"/>
    <n v="0.70930775830713622"/>
    <n v="88"/>
    <n v="79"/>
    <n v="0"/>
    <n v="9"/>
    <n v="1"/>
    <n v="0.3833052479958074"/>
    <n v="1"/>
    <n v="72.400000000000006"/>
    <n v="72.400000000000006"/>
    <n v="8.0670875937799202"/>
    <n v="1533.074242452112"/>
    <n v="1"/>
    <n v="0"/>
    <n v="0"/>
    <n v="0"/>
    <n v="0"/>
    <n v="0"/>
    <n v="0"/>
    <n v="0"/>
    <n v="0"/>
    <n v="0"/>
  </r>
  <r>
    <d v="2010-07-30T00:00:00"/>
    <n v="2010"/>
    <x v="25"/>
    <s v="R"/>
    <s v="RS"/>
    <x v="0"/>
    <s v="SEA"/>
    <s v="A"/>
    <n v="2"/>
    <n v="2"/>
    <n v="0"/>
    <n v="0"/>
    <n v="0"/>
    <n v="0"/>
    <n v="1501.6685313439116"/>
    <n v="1685.3061598966294"/>
    <n v="0.17644137998820439"/>
    <n v="60"/>
    <n v="80"/>
    <n v="0"/>
    <n v="-20"/>
    <n v="0"/>
    <n v="0.49858779242091333"/>
    <n v="1"/>
    <n v="72.099999999999994"/>
    <n v="72.099999999999994"/>
    <n v="-6.3427464578953217"/>
    <n v="1495.3257848860162"/>
    <n v="0"/>
    <n v="1"/>
    <n v="0"/>
    <n v="0"/>
    <n v="0"/>
    <n v="0"/>
    <n v="0"/>
    <n v="0"/>
    <n v="0"/>
    <n v="0"/>
  </r>
  <r>
    <d v="2010-07-30T00:00:00"/>
    <n v="2010"/>
    <x v="23"/>
    <s v="R"/>
    <s v="RS"/>
    <x v="11"/>
    <s v="CHI"/>
    <s v="H"/>
    <n v="2"/>
    <n v="2"/>
    <n v="0"/>
    <n v="0"/>
    <n v="0"/>
    <n v="0"/>
    <n v="1685.3061598966294"/>
    <n v="1501.6685313439116"/>
    <n v="0.82355862001179558"/>
    <n v="80"/>
    <n v="60"/>
    <n v="0"/>
    <n v="20"/>
    <n v="1"/>
    <n v="0.49858779242091333"/>
    <n v="1"/>
    <n v="72.400000000000006"/>
    <n v="72.400000000000006"/>
    <n v="6.3691379133373296"/>
    <n v="1691.6752978099667"/>
    <n v="1"/>
    <n v="0"/>
    <n v="0"/>
    <n v="0"/>
    <n v="0"/>
    <n v="0"/>
    <n v="0"/>
    <n v="0"/>
    <n v="0"/>
    <n v="0"/>
  </r>
  <r>
    <d v="2010-07-30T00:00:00"/>
    <n v="2010"/>
    <x v="24"/>
    <s v="R"/>
    <s v="RS"/>
    <x v="7"/>
    <s v="TUL"/>
    <s v="A"/>
    <n v="0"/>
    <n v="2"/>
    <n v="-2"/>
    <n v="2"/>
    <n v="-16"/>
    <n v="16"/>
    <n v="1428.1339981251572"/>
    <n v="1304.5471108670956"/>
    <n v="0.51091667330156332"/>
    <n v="101"/>
    <n v="85"/>
    <n v="0"/>
    <n v="16"/>
    <n v="1"/>
    <n v="0.46943895011172782"/>
    <n v="1"/>
    <n v="72.25"/>
    <n v="72.25"/>
    <n v="16.588221655828118"/>
    <n v="1444.7222197809854"/>
    <n v="1"/>
    <n v="0"/>
    <n v="0"/>
    <n v="0"/>
    <n v="0"/>
    <n v="0"/>
    <n v="0"/>
    <n v="0"/>
    <n v="0"/>
    <n v="0"/>
  </r>
  <r>
    <d v="2010-07-30T00:00:00"/>
    <n v="2010"/>
    <x v="24"/>
    <s v="R"/>
    <s v="RS"/>
    <x v="9"/>
    <s v="SAS"/>
    <s v="H"/>
    <n v="2"/>
    <n v="0"/>
    <n v="2"/>
    <n v="-2"/>
    <n v="16"/>
    <n v="-16"/>
    <n v="1304.5471108670956"/>
    <n v="1428.1339981251572"/>
    <n v="0.48908332669843668"/>
    <n v="85"/>
    <n v="101"/>
    <n v="0"/>
    <n v="-16"/>
    <n v="0"/>
    <n v="0.46943895011172782"/>
    <n v="1"/>
    <n v="72.25"/>
    <n v="72.25"/>
    <n v="-16.588221655828118"/>
    <n v="1287.9588892112674"/>
    <n v="0"/>
    <n v="1"/>
    <n v="0"/>
    <n v="0"/>
    <n v="0"/>
    <n v="0"/>
    <n v="0"/>
    <n v="0"/>
    <n v="0"/>
    <n v="0"/>
  </r>
  <r>
    <d v="2010-08-01T00:00:00"/>
    <n v="2010"/>
    <x v="24"/>
    <s v="R"/>
    <s v="RS"/>
    <x v="3"/>
    <s v="ATL"/>
    <s v="A"/>
    <n v="1"/>
    <n v="1"/>
    <n v="0"/>
    <n v="0"/>
    <n v="0"/>
    <n v="0"/>
    <n v="1604.2087245470761"/>
    <n v="1567.7610137286465"/>
    <n v="0.43199088429456295"/>
    <n v="74"/>
    <n v="90"/>
    <n v="0"/>
    <n v="-16"/>
    <n v="0"/>
    <n v="0.50252285907407657"/>
    <n v="1"/>
    <n v="72.25"/>
    <n v="72.25"/>
    <n v="-15.684412510981662"/>
    <n v="1588.5243120360944"/>
    <n v="0"/>
    <n v="1"/>
    <n v="0"/>
    <n v="0"/>
    <n v="0"/>
    <n v="0"/>
    <n v="0"/>
    <n v="0"/>
    <n v="0"/>
    <n v="0"/>
  </r>
  <r>
    <d v="2010-08-01T00:00:00"/>
    <n v="2010"/>
    <x v="26"/>
    <s v="R"/>
    <s v="RS"/>
    <x v="6"/>
    <s v="IND"/>
    <s v="H"/>
    <n v="1"/>
    <n v="1"/>
    <n v="0"/>
    <n v="0"/>
    <n v="0"/>
    <n v="0"/>
    <n v="1567.7610137286465"/>
    <n v="1604.2087245470761"/>
    <n v="0.56800911570543711"/>
    <n v="90"/>
    <n v="74"/>
    <n v="0"/>
    <n v="16"/>
    <n v="1"/>
    <n v="0.50252285907407657"/>
    <n v="1"/>
    <n v="71.95"/>
    <n v="71.95"/>
    <n v="15.619286922700768"/>
    <n v="1583.3803006513472"/>
    <n v="1"/>
    <n v="0"/>
    <n v="0"/>
    <n v="0"/>
    <n v="0"/>
    <n v="0"/>
    <n v="0"/>
    <n v="0"/>
    <n v="0"/>
    <n v="0"/>
  </r>
  <r>
    <d v="2010-08-01T00:00:00"/>
    <n v="2010"/>
    <x v="24"/>
    <s v="R"/>
    <s v="RS"/>
    <x v="11"/>
    <s v="MIN"/>
    <s v="A"/>
    <n v="1"/>
    <n v="2"/>
    <n v="-1"/>
    <n v="1"/>
    <n v="-8"/>
    <n v="8"/>
    <n v="1691.6752978099667"/>
    <n v="1380.4493501472821"/>
    <n v="0.77134374227318847"/>
    <n v="71"/>
    <n v="72"/>
    <n v="0"/>
    <n v="-1"/>
    <n v="0"/>
    <n v="0.1938926509378299"/>
    <n v="1"/>
    <n v="72.25"/>
    <n v="72.25"/>
    <n v="-10.805557044846557"/>
    <n v="1680.86974076512"/>
    <n v="0"/>
    <n v="1"/>
    <n v="0"/>
    <n v="0"/>
    <n v="0"/>
    <n v="0"/>
    <n v="0"/>
    <n v="0"/>
    <n v="0"/>
    <n v="0"/>
  </r>
  <r>
    <d v="2010-08-01T00:00:00"/>
    <n v="2010"/>
    <x v="23"/>
    <s v="R"/>
    <s v="RS"/>
    <x v="8"/>
    <s v="SEA"/>
    <s v="H"/>
    <n v="2"/>
    <n v="1"/>
    <n v="1"/>
    <n v="-1"/>
    <n v="8"/>
    <n v="-8"/>
    <n v="1380.4493501472821"/>
    <n v="1691.6752978099667"/>
    <n v="0.22865625772681158"/>
    <n v="72"/>
    <n v="71"/>
    <n v="0"/>
    <n v="1"/>
    <n v="1"/>
    <n v="0.1938926509378299"/>
    <n v="1"/>
    <n v="72.400000000000006"/>
    <n v="72.400000000000006"/>
    <n v="10.827990727292603"/>
    <n v="1391.2773408745747"/>
    <n v="1"/>
    <n v="0"/>
    <n v="0"/>
    <n v="0"/>
    <n v="0"/>
    <n v="0"/>
    <n v="0"/>
    <n v="0"/>
    <n v="0"/>
    <n v="0"/>
  </r>
  <r>
    <d v="2010-08-01T00:00:00"/>
    <n v="2010"/>
    <x v="24"/>
    <s v="R"/>
    <s v="RS"/>
    <x v="1"/>
    <s v="NYL"/>
    <s v="A"/>
    <n v="1"/>
    <n v="1"/>
    <n v="0"/>
    <n v="0"/>
    <n v="0"/>
    <n v="0"/>
    <n v="1481.0453888189729"/>
    <n v="1533.074242452112"/>
    <n v="0.31366398449226984"/>
    <n v="67"/>
    <n v="71"/>
    <n v="0"/>
    <n v="-4"/>
    <n v="0"/>
    <n v="0.29849094994911346"/>
    <n v="1"/>
    <n v="72.25"/>
    <n v="72.25"/>
    <n v="-6.7644684352803361"/>
    <n v="1474.2809203836925"/>
    <n v="0"/>
    <n v="1"/>
    <n v="0"/>
    <n v="0"/>
    <n v="0"/>
    <n v="0"/>
    <n v="0"/>
    <n v="0"/>
    <n v="0"/>
    <n v="0"/>
  </r>
  <r>
    <d v="2010-08-01T00:00:00"/>
    <n v="2010"/>
    <x v="24"/>
    <s v="R"/>
    <s v="RS"/>
    <x v="10"/>
    <s v="CON"/>
    <s v="H"/>
    <n v="1"/>
    <n v="1"/>
    <n v="0"/>
    <n v="0"/>
    <n v="0"/>
    <n v="0"/>
    <n v="1533.074242452112"/>
    <n v="1481.0453888189729"/>
    <n v="0.68633601550773016"/>
    <n v="71"/>
    <n v="67"/>
    <n v="0"/>
    <n v="4"/>
    <n v="1"/>
    <n v="0.29849094994911346"/>
    <n v="1"/>
    <n v="72.25"/>
    <n v="72.25"/>
    <n v="6.7644684352803361"/>
    <n v="1539.8387108873924"/>
    <n v="1"/>
    <n v="0"/>
    <n v="0"/>
    <n v="0"/>
    <n v="0"/>
    <n v="0"/>
    <n v="0"/>
    <n v="0"/>
    <n v="0"/>
    <n v="0"/>
  </r>
  <r>
    <d v="2010-08-01T00:00:00"/>
    <n v="2010"/>
    <x v="26"/>
    <s v="R"/>
    <s v="RS"/>
    <x v="0"/>
    <s v="PHX"/>
    <s v="A"/>
    <n v="1"/>
    <n v="2"/>
    <n v="-1"/>
    <n v="1"/>
    <n v="-8"/>
    <n v="8"/>
    <n v="1495.3257848860162"/>
    <n v="1536.6693762777313"/>
    <n v="0.30711556468534279"/>
    <n v="96"/>
    <n v="97"/>
    <n v="0"/>
    <n v="-1"/>
    <n v="0"/>
    <n v="0.23604714052605028"/>
    <n v="1"/>
    <n v="71.95"/>
    <n v="71.95"/>
    <n v="-5.2159253740185738"/>
    <n v="1490.1098595119977"/>
    <n v="0"/>
    <n v="1"/>
    <n v="0"/>
    <n v="0"/>
    <n v="0"/>
    <n v="0"/>
    <n v="0"/>
    <n v="0"/>
    <n v="0"/>
    <n v="0"/>
  </r>
  <r>
    <d v="2010-08-01T00:00:00"/>
    <n v="2010"/>
    <x v="24"/>
    <s v="R"/>
    <s v="RS"/>
    <x v="5"/>
    <s v="CHI"/>
    <s v="H"/>
    <n v="2"/>
    <n v="1"/>
    <n v="1"/>
    <n v="-1"/>
    <n v="8"/>
    <n v="-8"/>
    <n v="1536.6693762777313"/>
    <n v="1495.3257848860162"/>
    <n v="0.69288443531465727"/>
    <n v="97"/>
    <n v="96"/>
    <n v="0"/>
    <n v="1"/>
    <n v="1"/>
    <n v="0.23604714052605028"/>
    <n v="1"/>
    <n v="72.25"/>
    <n v="72.25"/>
    <n v="5.2376734992750782"/>
    <n v="1541.9070497770065"/>
    <n v="1"/>
    <n v="0"/>
    <n v="0"/>
    <n v="0"/>
    <n v="0"/>
    <n v="0"/>
    <n v="0"/>
    <n v="0"/>
    <n v="0"/>
    <n v="0"/>
  </r>
  <r>
    <d v="2010-08-01T00:00:00"/>
    <n v="2010"/>
    <x v="25"/>
    <s v="R"/>
    <s v="RS"/>
    <x v="9"/>
    <s v="WAS"/>
    <s v="A"/>
    <n v="1"/>
    <n v="1"/>
    <n v="0"/>
    <n v="0"/>
    <n v="0"/>
    <n v="0"/>
    <n v="1287.9588892112674"/>
    <n v="1525.4925158572194"/>
    <n v="0.1357676908858895"/>
    <n v="62"/>
    <n v="87"/>
    <n v="0"/>
    <n v="-25"/>
    <n v="0"/>
    <n v="0.53537087397966998"/>
    <n v="1"/>
    <n v="72.099999999999994"/>
    <n v="72.099999999999994"/>
    <n v="-5.2406654543329623"/>
    <n v="1282.7182237569345"/>
    <n v="0"/>
    <n v="1"/>
    <n v="0"/>
    <n v="0"/>
    <n v="0"/>
    <n v="0"/>
    <n v="0"/>
    <n v="0"/>
    <n v="0"/>
    <n v="0"/>
  </r>
  <r>
    <d v="2010-08-01T00:00:00"/>
    <n v="2010"/>
    <x v="24"/>
    <s v="R"/>
    <s v="RS"/>
    <x v="2"/>
    <s v="TUL"/>
    <s v="H"/>
    <n v="1"/>
    <n v="1"/>
    <n v="0"/>
    <n v="0"/>
    <n v="0"/>
    <n v="0"/>
    <n v="1525.4925158572194"/>
    <n v="1287.9588892112674"/>
    <n v="0.86423230911411064"/>
    <n v="87"/>
    <n v="62"/>
    <n v="0"/>
    <n v="25"/>
    <n v="1"/>
    <n v="0.53537087397966998"/>
    <n v="1"/>
    <n v="72.25"/>
    <n v="72.25"/>
    <n v="5.2515683644321243"/>
    <n v="1530.7440842216515"/>
    <n v="1"/>
    <n v="0"/>
    <n v="0"/>
    <n v="0"/>
    <n v="0"/>
    <n v="0"/>
    <n v="0"/>
    <n v="0"/>
    <n v="0"/>
    <n v="0"/>
  </r>
  <r>
    <d v="2010-08-03T00:00:00"/>
    <n v="2010"/>
    <x v="25"/>
    <s v="R"/>
    <s v="RS"/>
    <x v="2"/>
    <s v="ATL"/>
    <s v="A"/>
    <n v="1"/>
    <n v="1"/>
    <n v="0"/>
    <n v="0"/>
    <n v="0"/>
    <n v="0"/>
    <n v="1530.7440842216515"/>
    <n v="1583.3803006513472"/>
    <n v="0.31291180403835089"/>
    <n v="86"/>
    <n v="78"/>
    <n v="0"/>
    <n v="8"/>
    <n v="1"/>
    <n v="0.37199837901202792"/>
    <n v="1"/>
    <n v="72.099999999999994"/>
    <n v="72.099999999999994"/>
    <n v="18.428449619307909"/>
    <n v="1549.1725338409594"/>
    <n v="1"/>
    <n v="0"/>
    <n v="0"/>
    <n v="0"/>
    <n v="0"/>
    <n v="0"/>
    <n v="0"/>
    <n v="0"/>
    <n v="0"/>
    <n v="0"/>
  </r>
  <r>
    <d v="2010-08-03T00:00:00"/>
    <n v="2010"/>
    <x v="27"/>
    <s v="R"/>
    <s v="RS"/>
    <x v="6"/>
    <s v="WAS"/>
    <s v="H"/>
    <n v="1"/>
    <n v="1"/>
    <n v="0"/>
    <n v="0"/>
    <n v="0"/>
    <n v="0"/>
    <n v="1583.3803006513472"/>
    <n v="1530.7440842216515"/>
    <n v="0.68708819596164905"/>
    <n v="78"/>
    <n v="86"/>
    <n v="0"/>
    <n v="-8"/>
    <n v="0"/>
    <n v="0.37199837901202792"/>
    <n v="1"/>
    <n v="71.8"/>
    <n v="71.8"/>
    <n v="-18.351770910767101"/>
    <n v="1565.0285297405801"/>
    <n v="0"/>
    <n v="1"/>
    <n v="0"/>
    <n v="0"/>
    <n v="0"/>
    <n v="0"/>
    <n v="0"/>
    <n v="0"/>
    <n v="0"/>
    <n v="0"/>
  </r>
  <r>
    <d v="2010-08-03T00:00:00"/>
    <n v="2010"/>
    <x v="25"/>
    <s v="R"/>
    <s v="RS"/>
    <x v="10"/>
    <s v="IND"/>
    <s v="A"/>
    <n v="1"/>
    <n v="1"/>
    <n v="0"/>
    <n v="0"/>
    <n v="0"/>
    <n v="0"/>
    <n v="1539.8387108873924"/>
    <n v="1588.5243120360944"/>
    <n v="0.31782187534927198"/>
    <n v="82"/>
    <n v="72"/>
    <n v="0"/>
    <n v="10"/>
    <n v="1"/>
    <n v="0.40663209276349599"/>
    <n v="1"/>
    <n v="72.099999999999994"/>
    <n v="72.099999999999994"/>
    <n v="20.000216881269004"/>
    <n v="1559.8389277686613"/>
    <n v="1"/>
    <n v="0"/>
    <n v="0"/>
    <n v="0"/>
    <n v="0"/>
    <n v="0"/>
    <n v="0"/>
    <n v="0"/>
    <n v="0"/>
    <n v="0"/>
  </r>
  <r>
    <d v="2010-08-03T00:00:00"/>
    <n v="2010"/>
    <x v="25"/>
    <s v="R"/>
    <s v="RS"/>
    <x v="3"/>
    <s v="NYL"/>
    <s v="H"/>
    <n v="1"/>
    <n v="1"/>
    <n v="0"/>
    <n v="0"/>
    <n v="0"/>
    <n v="0"/>
    <n v="1588.5243120360944"/>
    <n v="1539.8387108873924"/>
    <n v="0.68217812465072802"/>
    <n v="72"/>
    <n v="82"/>
    <n v="0"/>
    <n v="-10"/>
    <n v="0"/>
    <n v="0.40663209276349599"/>
    <n v="1"/>
    <n v="72.099999999999994"/>
    <n v="72.099999999999994"/>
    <n v="-20.000216881269004"/>
    <n v="1568.5240951548255"/>
    <n v="0"/>
    <n v="1"/>
    <n v="0"/>
    <n v="0"/>
    <n v="0"/>
    <n v="0"/>
    <n v="0"/>
    <n v="0"/>
    <n v="0"/>
    <n v="0"/>
  </r>
  <r>
    <d v="2010-08-03T00:00:00"/>
    <n v="2010"/>
    <x v="25"/>
    <s v="R"/>
    <s v="RS"/>
    <x v="1"/>
    <s v="MIN"/>
    <s v="A"/>
    <n v="1"/>
    <n v="1"/>
    <n v="0"/>
    <n v="0"/>
    <n v="0"/>
    <n v="0"/>
    <n v="1474.2809203836925"/>
    <n v="1391.2773408745747"/>
    <n v="0.49856603957603457"/>
    <n v="103"/>
    <n v="111"/>
    <n v="1"/>
    <n v="-8"/>
    <n v="0"/>
    <n v="0.32687420713487231"/>
    <n v="1"/>
    <n v="72.099999999999994"/>
    <n v="72.099999999999994"/>
    <n v="-11.750020118025933"/>
    <n v="1462.5309002656666"/>
    <n v="0"/>
    <n v="1"/>
    <n v="0"/>
    <n v="0"/>
    <n v="0"/>
    <n v="0"/>
    <n v="0"/>
    <n v="0"/>
    <n v="0"/>
    <n v="0"/>
  </r>
  <r>
    <d v="2010-08-03T00:00:00"/>
    <n v="2010"/>
    <x v="24"/>
    <s v="R"/>
    <s v="RS"/>
    <x v="8"/>
    <s v="CON"/>
    <s v="H"/>
    <n v="1"/>
    <n v="1"/>
    <n v="0"/>
    <n v="0"/>
    <n v="0"/>
    <n v="0"/>
    <n v="1391.2773408745747"/>
    <n v="1474.2809203836925"/>
    <n v="0.50143396042396537"/>
    <n v="111"/>
    <n v="103"/>
    <n v="1"/>
    <n v="8"/>
    <n v="1"/>
    <n v="0.32687420713487231"/>
    <n v="1"/>
    <n v="72.25"/>
    <n v="72.25"/>
    <n v="11.774465374859554"/>
    <n v="1403.0518062494343"/>
    <n v="1"/>
    <n v="0"/>
    <n v="0"/>
    <n v="0"/>
    <n v="0"/>
    <n v="0"/>
    <n v="0"/>
    <n v="0"/>
    <n v="0"/>
    <n v="0"/>
  </r>
  <r>
    <d v="2010-08-03T00:00:00"/>
    <n v="2010"/>
    <x v="25"/>
    <s v="R"/>
    <s v="RS"/>
    <x v="5"/>
    <s v="SAS"/>
    <s v="A"/>
    <n v="1"/>
    <n v="3"/>
    <n v="-2"/>
    <n v="2"/>
    <n v="-16"/>
    <n v="16"/>
    <n v="1541.9070497770065"/>
    <n v="1444.7222197809854"/>
    <n v="0.47294923253008198"/>
    <n v="103"/>
    <n v="92"/>
    <n v="0"/>
    <n v="11"/>
    <n v="1"/>
    <n v="0.40688354666526327"/>
    <n v="1"/>
    <n v="72.099999999999994"/>
    <n v="72.099999999999994"/>
    <n v="15.461721387492346"/>
    <n v="1557.3687711644989"/>
    <n v="1"/>
    <n v="0"/>
    <n v="0"/>
    <n v="0"/>
    <n v="0"/>
    <n v="0"/>
    <n v="0"/>
    <n v="0"/>
    <n v="0"/>
    <n v="0"/>
  </r>
  <r>
    <d v="2010-08-03T00:00:00"/>
    <n v="2010"/>
    <x v="25"/>
    <s v="R"/>
    <s v="RS"/>
    <x v="7"/>
    <s v="PHX"/>
    <s v="H"/>
    <n v="3"/>
    <n v="1"/>
    <n v="2"/>
    <n v="-2"/>
    <n v="16"/>
    <n v="-16"/>
    <n v="1444.7222197809854"/>
    <n v="1541.9070497770065"/>
    <n v="0.52705076746991808"/>
    <n v="92"/>
    <n v="103"/>
    <n v="0"/>
    <n v="-11"/>
    <n v="0"/>
    <n v="0.40688354666526327"/>
    <n v="1"/>
    <n v="72.099999999999994"/>
    <n v="72.099999999999994"/>
    <n v="-15.461721387492346"/>
    <n v="1429.260498393493"/>
    <n v="0"/>
    <n v="1"/>
    <n v="0"/>
    <n v="0"/>
    <n v="0"/>
    <n v="0"/>
    <n v="0"/>
    <n v="0"/>
    <n v="0"/>
    <n v="0"/>
  </r>
  <r>
    <d v="2010-08-03T00:00:00"/>
    <n v="2010"/>
    <x v="25"/>
    <s v="R"/>
    <s v="RS"/>
    <x v="11"/>
    <s v="TUL"/>
    <s v="A"/>
    <n v="1"/>
    <n v="1"/>
    <n v="0"/>
    <n v="0"/>
    <n v="0"/>
    <n v="0"/>
    <n v="1680.86974076512"/>
    <n v="1282.7182237569345"/>
    <n v="0.8591685700859929"/>
    <n v="75"/>
    <n v="84"/>
    <n v="0"/>
    <n v="-9"/>
    <n v="0"/>
    <n v="0.30483081697327963"/>
    <n v="1"/>
    <n v="72.099999999999994"/>
    <n v="72.099999999999994"/>
    <n v="-18.883066219583299"/>
    <n v="1661.9866745455367"/>
    <n v="0"/>
    <n v="1"/>
    <n v="0"/>
    <n v="0"/>
    <n v="0"/>
    <n v="0"/>
    <n v="0"/>
    <n v="0"/>
    <n v="0"/>
    <n v="0"/>
  </r>
  <r>
    <d v="2010-08-03T00:00:00"/>
    <n v="2010"/>
    <x v="26"/>
    <s v="R"/>
    <s v="RS"/>
    <x v="9"/>
    <s v="SEA"/>
    <s v="H"/>
    <n v="1"/>
    <n v="1"/>
    <n v="0"/>
    <n v="0"/>
    <n v="0"/>
    <n v="0"/>
    <n v="1282.7182237569345"/>
    <n v="1680.86974076512"/>
    <n v="0.14083142991400696"/>
    <n v="84"/>
    <n v="75"/>
    <n v="0"/>
    <n v="9"/>
    <n v="1"/>
    <n v="0.30483081697327963"/>
    <n v="1"/>
    <n v="71.95"/>
    <n v="71.95"/>
    <n v="18.843781061012741"/>
    <n v="1301.5620048179474"/>
    <n v="1"/>
    <n v="0"/>
    <n v="0"/>
    <n v="0"/>
    <n v="0"/>
    <n v="0"/>
    <n v="0"/>
    <n v="0"/>
    <n v="0"/>
    <n v="0"/>
  </r>
  <r>
    <d v="2010-08-04T00:00:00"/>
    <n v="2010"/>
    <x v="27"/>
    <s v="R"/>
    <s v="RS"/>
    <x v="0"/>
    <s v="LAS"/>
    <s v="A"/>
    <n v="2"/>
    <n v="4"/>
    <n v="-2"/>
    <n v="2"/>
    <n v="-16"/>
    <n v="16"/>
    <n v="1490.1098595119977"/>
    <n v="1445.9962731963494"/>
    <n v="0.39799855731631711"/>
    <n v="77"/>
    <n v="82"/>
    <n v="0"/>
    <n v="-5"/>
    <n v="0"/>
    <n v="0.31999262360960357"/>
    <n v="1"/>
    <n v="71.8"/>
    <n v="71.8"/>
    <n v="-9.1442040629812578"/>
    <n v="1480.9656554490164"/>
    <n v="0"/>
    <n v="1"/>
    <n v="0"/>
    <n v="0"/>
    <n v="0"/>
    <n v="0"/>
    <n v="0"/>
    <n v="0"/>
    <n v="0"/>
    <n v="0"/>
  </r>
  <r>
    <d v="2010-08-04T00:00:00"/>
    <n v="2010"/>
    <x v="25"/>
    <s v="R"/>
    <s v="RS"/>
    <x v="4"/>
    <s v="CHI"/>
    <s v="H"/>
    <n v="4"/>
    <n v="2"/>
    <n v="2"/>
    <n v="-2"/>
    <n v="16"/>
    <n v="-16"/>
    <n v="1445.9962731963494"/>
    <n v="1490.1098595119977"/>
    <n v="0.60200144268368294"/>
    <n v="82"/>
    <n v="77"/>
    <n v="0"/>
    <n v="5"/>
    <n v="1"/>
    <n v="0.31999262360960357"/>
    <n v="1"/>
    <n v="72.099999999999994"/>
    <n v="72.099999999999994"/>
    <n v="9.1824110437458017"/>
    <n v="1455.1786842400952"/>
    <n v="1"/>
    <n v="0"/>
    <n v="0"/>
    <n v="0"/>
    <n v="0"/>
    <n v="0"/>
    <n v="0"/>
    <n v="0"/>
    <n v="0"/>
    <n v="0"/>
  </r>
  <r>
    <d v="2010-08-05T00:00:00"/>
    <n v="2010"/>
    <x v="26"/>
    <s v="R"/>
    <s v="RS"/>
    <x v="1"/>
    <s v="SEA"/>
    <s v="A"/>
    <n v="1"/>
    <n v="1"/>
    <n v="0"/>
    <n v="0"/>
    <n v="0"/>
    <n v="0"/>
    <n v="1462.5309002656666"/>
    <n v="1661.9866745455367"/>
    <n v="0.16359725544095272"/>
    <n v="82"/>
    <n v="83"/>
    <n v="0"/>
    <n v="-1"/>
    <n v="0"/>
    <n v="0.20937825299204732"/>
    <n v="1"/>
    <n v="71.95"/>
    <n v="71.95"/>
    <n v="-2.464554257396542"/>
    <n v="1460.0663460082701"/>
    <n v="0"/>
    <n v="1"/>
    <n v="0"/>
    <n v="0"/>
    <n v="0"/>
    <n v="0"/>
    <n v="0"/>
    <n v="0"/>
    <n v="0"/>
    <n v="0"/>
  </r>
  <r>
    <d v="2010-08-05T00:00:00"/>
    <n v="2010"/>
    <x v="26"/>
    <s v="R"/>
    <s v="RS"/>
    <x v="11"/>
    <s v="CON"/>
    <s v="H"/>
    <n v="1"/>
    <n v="1"/>
    <n v="0"/>
    <n v="0"/>
    <n v="0"/>
    <n v="0"/>
    <n v="1661.9866745455367"/>
    <n v="1462.5309002656666"/>
    <n v="0.83640274455904728"/>
    <n v="83"/>
    <n v="82"/>
    <n v="0"/>
    <n v="1"/>
    <n v="1"/>
    <n v="0.20937825299204732"/>
    <n v="1"/>
    <n v="71.95"/>
    <n v="71.95"/>
    <n v="2.464554257396542"/>
    <n v="1664.4512288029332"/>
    <n v="1"/>
    <n v="0"/>
    <n v="0"/>
    <n v="0"/>
    <n v="0"/>
    <n v="0"/>
    <n v="0"/>
    <n v="0"/>
    <n v="0"/>
    <n v="0"/>
  </r>
  <r>
    <d v="2010-08-06T00:00:00"/>
    <n v="2010"/>
    <x v="28"/>
    <s v="R"/>
    <s v="RS"/>
    <x v="6"/>
    <s v="IND"/>
    <s v="A"/>
    <n v="2"/>
    <n v="2"/>
    <n v="0"/>
    <n v="0"/>
    <n v="0"/>
    <n v="0"/>
    <n v="1565.0285297405801"/>
    <n v="1568.5240951548255"/>
    <n v="0.37667977656491858"/>
    <n v="93"/>
    <n v="95"/>
    <n v="0"/>
    <n v="-2"/>
    <n v="0"/>
    <n v="0.26706337290156451"/>
    <n v="1"/>
    <n v="71.650000000000006"/>
    <n v="71.650000000000006"/>
    <n v="-7.2078016775212772"/>
    <n v="1557.8207280630588"/>
    <n v="0"/>
    <n v="1"/>
    <n v="0"/>
    <n v="0"/>
    <n v="0"/>
    <n v="0"/>
    <n v="0"/>
    <n v="0"/>
    <n v="0"/>
    <n v="0"/>
  </r>
  <r>
    <d v="2010-08-06T00:00:00"/>
    <n v="2010"/>
    <x v="26"/>
    <s v="R"/>
    <s v="RS"/>
    <x v="3"/>
    <s v="ATL"/>
    <s v="H"/>
    <n v="2"/>
    <n v="2"/>
    <n v="0"/>
    <n v="0"/>
    <n v="0"/>
    <n v="0"/>
    <n v="1568.5240951548255"/>
    <n v="1565.0285297405801"/>
    <n v="0.62332022343508142"/>
    <n v="95"/>
    <n v="93"/>
    <n v="0"/>
    <n v="2"/>
    <n v="1"/>
    <n v="0.26706337290156451"/>
    <n v="1"/>
    <n v="71.95"/>
    <n v="71.95"/>
    <n v="7.2379808890112471"/>
    <n v="1575.7620760438367"/>
    <n v="1"/>
    <n v="0"/>
    <n v="0"/>
    <n v="0"/>
    <n v="0"/>
    <n v="0"/>
    <n v="0"/>
    <n v="0"/>
    <n v="0"/>
    <n v="0"/>
  </r>
  <r>
    <d v="2010-08-06T00:00:00"/>
    <n v="2010"/>
    <x v="27"/>
    <s v="R"/>
    <s v="RS"/>
    <x v="9"/>
    <s v="LAS"/>
    <s v="A"/>
    <n v="2"/>
    <n v="1"/>
    <n v="1"/>
    <n v="-1"/>
    <n v="8"/>
    <n v="-8"/>
    <n v="1301.5620048179474"/>
    <n v="1455.1786842400952"/>
    <n v="0.21827826326868247"/>
    <n v="70"/>
    <n v="77"/>
    <n v="0"/>
    <n v="-7"/>
    <n v="0"/>
    <n v="0.32810515246766925"/>
    <n v="1"/>
    <n v="71.8"/>
    <n v="71.8"/>
    <n v="-5.1421884006407064"/>
    <n v="1296.4198164173067"/>
    <n v="0"/>
    <n v="1"/>
    <n v="0"/>
    <n v="0"/>
    <n v="0"/>
    <n v="0"/>
    <n v="0"/>
    <n v="0"/>
    <n v="0"/>
    <n v="0"/>
  </r>
  <r>
    <d v="2010-08-06T00:00:00"/>
    <n v="2010"/>
    <x v="26"/>
    <s v="R"/>
    <s v="RS"/>
    <x v="4"/>
    <s v="TUL"/>
    <s v="H"/>
    <n v="1"/>
    <n v="2"/>
    <n v="-1"/>
    <n v="1"/>
    <n v="-8"/>
    <n v="8"/>
    <n v="1455.1786842400952"/>
    <n v="1301.5620048179474"/>
    <n v="0.78172173673131751"/>
    <n v="77"/>
    <n v="70"/>
    <n v="0"/>
    <n v="7"/>
    <n v="1"/>
    <n v="0.32810515246766925"/>
    <n v="1"/>
    <n v="71.95"/>
    <n v="71.95"/>
    <n v="5.1529311340682291"/>
    <n v="1460.3316153741634"/>
    <n v="1"/>
    <n v="0"/>
    <n v="0"/>
    <n v="0"/>
    <n v="0"/>
    <n v="0"/>
    <n v="0"/>
    <n v="0"/>
    <n v="0"/>
    <n v="0"/>
  </r>
  <r>
    <d v="2010-08-06T00:00:00"/>
    <n v="2010"/>
    <x v="26"/>
    <s v="R"/>
    <s v="RS"/>
    <x v="2"/>
    <s v="NYL"/>
    <s v="A"/>
    <n v="2"/>
    <n v="2"/>
    <n v="0"/>
    <n v="0"/>
    <n v="0"/>
    <n v="0"/>
    <n v="1549.1725338409594"/>
    <n v="1559.8389277686613"/>
    <n v="0.36703833341669512"/>
    <n v="77"/>
    <n v="85"/>
    <n v="0"/>
    <n v="-8"/>
    <n v="0"/>
    <n v="0.38489433946527285"/>
    <n v="1"/>
    <n v="71.95"/>
    <n v="71.95"/>
    <n v="-10.164446787872507"/>
    <n v="1539.0080870530869"/>
    <n v="0"/>
    <n v="1"/>
    <n v="0"/>
    <n v="0"/>
    <n v="0"/>
    <n v="0"/>
    <n v="0"/>
    <n v="0"/>
    <n v="0"/>
    <n v="0"/>
  </r>
  <r>
    <d v="2010-08-06T00:00:00"/>
    <n v="2010"/>
    <x v="26"/>
    <s v="R"/>
    <s v="RS"/>
    <x v="10"/>
    <s v="WAS"/>
    <s v="H"/>
    <n v="2"/>
    <n v="2"/>
    <n v="0"/>
    <n v="0"/>
    <n v="0"/>
    <n v="0"/>
    <n v="1559.8389277686613"/>
    <n v="1549.1725338409594"/>
    <n v="0.63296166658330488"/>
    <n v="85"/>
    <n v="77"/>
    <n v="0"/>
    <n v="8"/>
    <n v="1"/>
    <n v="0.38489433946527285"/>
    <n v="1"/>
    <n v="71.95"/>
    <n v="71.95"/>
    <n v="10.164446787872507"/>
    <n v="1570.0033745565338"/>
    <n v="1"/>
    <n v="0"/>
    <n v="0"/>
    <n v="0"/>
    <n v="0"/>
    <n v="0"/>
    <n v="0"/>
    <n v="0"/>
    <n v="0"/>
    <n v="0"/>
  </r>
  <r>
    <d v="2010-08-06T00:00:00"/>
    <n v="2010"/>
    <x v="26"/>
    <s v="R"/>
    <s v="RS"/>
    <x v="7"/>
    <s v="PHX"/>
    <s v="A"/>
    <n v="2"/>
    <n v="2"/>
    <n v="0"/>
    <n v="0"/>
    <n v="0"/>
    <n v="0"/>
    <n v="1429.260498393493"/>
    <n v="1557.3687711644989"/>
    <n v="0.22776168359905383"/>
    <n v="87"/>
    <n v="103"/>
    <n v="0"/>
    <n v="-16"/>
    <n v="0"/>
    <n v="0.46784080144285572"/>
    <n v="1"/>
    <n v="71.95"/>
    <n v="71.95"/>
    <n v="-7.6667192082631468"/>
    <n v="1421.5937791852298"/>
    <n v="0"/>
    <n v="1"/>
    <n v="0"/>
    <n v="0"/>
    <n v="0"/>
    <n v="0"/>
    <n v="0"/>
    <n v="0"/>
    <n v="0"/>
    <n v="0"/>
  </r>
  <r>
    <d v="2010-08-06T00:00:00"/>
    <n v="2010"/>
    <x v="26"/>
    <s v="R"/>
    <s v="RS"/>
    <x v="5"/>
    <s v="SAS"/>
    <s v="H"/>
    <n v="2"/>
    <n v="2"/>
    <n v="0"/>
    <n v="0"/>
    <n v="0"/>
    <n v="0"/>
    <n v="1557.3687711644989"/>
    <n v="1429.260498393493"/>
    <n v="0.77223831640094609"/>
    <n v="103"/>
    <n v="87"/>
    <n v="0"/>
    <n v="16"/>
    <n v="1"/>
    <n v="0.46784080144285572"/>
    <n v="1"/>
    <n v="71.95"/>
    <n v="71.95"/>
    <n v="7.6667192082631495"/>
    <n v="1565.0354903727621"/>
    <n v="1"/>
    <n v="0"/>
    <n v="0"/>
    <n v="0"/>
    <n v="0"/>
    <n v="0"/>
    <n v="0"/>
    <n v="0"/>
    <n v="0"/>
    <n v="0"/>
  </r>
  <r>
    <d v="2010-08-07T00:00:00"/>
    <n v="2010"/>
    <x v="25"/>
    <s v="R"/>
    <s v="RS"/>
    <x v="8"/>
    <s v="CHI"/>
    <s v="A"/>
    <n v="3"/>
    <n v="2"/>
    <n v="1"/>
    <n v="-1"/>
    <n v="8"/>
    <n v="-8"/>
    <n v="1403.0518062494343"/>
    <n v="1480.9656554490164"/>
    <n v="0.30154581277139192"/>
    <n v="87"/>
    <n v="82"/>
    <n v="1"/>
    <n v="5"/>
    <n v="1"/>
    <n v="0.28037606269199256"/>
    <n v="1"/>
    <n v="72.099999999999994"/>
    <n v="72.099999999999994"/>
    <n v="14.119331102482878"/>
    <n v="1417.1711373519172"/>
    <n v="1"/>
    <n v="0"/>
    <n v="0"/>
    <n v="0"/>
    <n v="0"/>
    <n v="0"/>
    <n v="0"/>
    <n v="0"/>
    <n v="0"/>
    <n v="0"/>
  </r>
  <r>
    <d v="2010-08-07T00:00:00"/>
    <n v="2010"/>
    <x v="28"/>
    <s v="R"/>
    <s v="RS"/>
    <x v="0"/>
    <s v="MIN"/>
    <s v="H"/>
    <n v="2"/>
    <n v="3"/>
    <n v="-1"/>
    <n v="1"/>
    <n v="-8"/>
    <n v="8"/>
    <n v="1480.9656554490164"/>
    <n v="1403.0518062494343"/>
    <n v="0.69845418722860808"/>
    <n v="82"/>
    <n v="87"/>
    <n v="1"/>
    <n v="-5"/>
    <n v="0"/>
    <n v="0.28037606269199256"/>
    <n v="1"/>
    <n v="71.650000000000006"/>
    <n v="71.650000000000006"/>
    <n v="-14.03120767673923"/>
    <n v="1466.9344477722771"/>
    <n v="0"/>
    <n v="1"/>
    <n v="0"/>
    <n v="0"/>
    <n v="0"/>
    <n v="0"/>
    <n v="0"/>
    <n v="0"/>
    <n v="0"/>
    <n v="0"/>
  </r>
  <r>
    <d v="2010-08-07T00:00:00"/>
    <n v="2010"/>
    <x v="28"/>
    <s v="R"/>
    <s v="RS"/>
    <x v="9"/>
    <s v="SEA"/>
    <s v="A"/>
    <n v="0"/>
    <n v="1"/>
    <n v="-1"/>
    <n v="1"/>
    <n v="-8"/>
    <n v="8"/>
    <n v="1296.4198164173067"/>
    <n v="1664.4512288029332"/>
    <n v="6.3316150282705291E-2"/>
    <n v="65"/>
    <n v="111"/>
    <n v="0"/>
    <n v="-46"/>
    <n v="0"/>
    <n v="0.67481906999202601"/>
    <n v="1"/>
    <n v="71.650000000000006"/>
    <n v="71.650000000000006"/>
    <n v="-3.0613856557688015"/>
    <n v="1293.3584307615379"/>
    <n v="0"/>
    <n v="1"/>
    <n v="0"/>
    <n v="0"/>
    <n v="0"/>
    <n v="0"/>
    <n v="0"/>
    <n v="0"/>
    <n v="0"/>
    <n v="0"/>
  </r>
  <r>
    <d v="2010-08-07T00:00:00"/>
    <n v="2010"/>
    <x v="27"/>
    <s v="R"/>
    <s v="RS"/>
    <x v="11"/>
    <s v="TUL"/>
    <s v="H"/>
    <n v="1"/>
    <n v="0"/>
    <n v="1"/>
    <n v="-1"/>
    <n v="8"/>
    <n v="-8"/>
    <n v="1664.4512288029332"/>
    <n v="1296.4198164173067"/>
    <n v="0.93668384971729479"/>
    <n v="111"/>
    <n v="65"/>
    <n v="0"/>
    <n v="46"/>
    <n v="1"/>
    <n v="0.67481906999202601"/>
    <n v="1"/>
    <n v="71.8"/>
    <n v="71.8"/>
    <n v="3.0677946976161845"/>
    <n v="1667.5190235005493"/>
    <n v="1"/>
    <n v="0"/>
    <n v="0"/>
    <n v="0"/>
    <n v="0"/>
    <n v="0"/>
    <n v="0"/>
    <n v="0"/>
    <n v="0"/>
    <n v="0"/>
  </r>
  <r>
    <d v="2010-08-08T00:00:00"/>
    <n v="2010"/>
    <x v="27"/>
    <s v="R"/>
    <s v="RS"/>
    <x v="2"/>
    <s v="CON"/>
    <s v="A"/>
    <n v="1"/>
    <n v="2"/>
    <n v="-1"/>
    <n v="1"/>
    <n v="-8"/>
    <n v="8"/>
    <n v="1539.0080870530869"/>
    <n v="1460.0663460082701"/>
    <n v="0.46973178502292107"/>
    <n v="67"/>
    <n v="76"/>
    <n v="0"/>
    <n v="-9"/>
    <n v="0"/>
    <n v="0.38091323235623448"/>
    <n v="1"/>
    <n v="71.8"/>
    <n v="71.8"/>
    <n v="-12.84696237478051"/>
    <n v="1526.1611246783064"/>
    <n v="0"/>
    <n v="1"/>
    <n v="0"/>
    <n v="0"/>
    <n v="0"/>
    <n v="0"/>
    <n v="0"/>
    <n v="0"/>
    <n v="0"/>
    <n v="0"/>
  </r>
  <r>
    <d v="2010-08-08T00:00:00"/>
    <n v="2010"/>
    <x v="27"/>
    <s v="R"/>
    <s v="RS"/>
    <x v="1"/>
    <s v="WAS"/>
    <s v="H"/>
    <n v="2"/>
    <n v="1"/>
    <n v="1"/>
    <n v="-1"/>
    <n v="8"/>
    <n v="-8"/>
    <n v="1460.0663460082701"/>
    <n v="1539.0080870530869"/>
    <n v="0.53026821497707899"/>
    <n v="76"/>
    <n v="67"/>
    <n v="0"/>
    <n v="9"/>
    <n v="1"/>
    <n v="0.38091323235623448"/>
    <n v="1"/>
    <n v="71.8"/>
    <n v="71.8"/>
    <n v="12.846962374780508"/>
    <n v="1472.9133083830507"/>
    <n v="1"/>
    <n v="0"/>
    <n v="0"/>
    <n v="0"/>
    <n v="0"/>
    <n v="0"/>
    <n v="0"/>
    <n v="0"/>
    <n v="0"/>
    <n v="0"/>
  </r>
  <r>
    <d v="2010-08-08T00:00:00"/>
    <n v="2010"/>
    <x v="27"/>
    <s v="R"/>
    <s v="RS"/>
    <x v="7"/>
    <s v="LAS"/>
    <s v="A"/>
    <n v="1"/>
    <n v="1"/>
    <n v="0"/>
    <n v="0"/>
    <n v="0"/>
    <n v="0"/>
    <n v="1421.5937791852298"/>
    <n v="1460.3316153741634"/>
    <n v="0.3303647575610324"/>
    <n v="92"/>
    <n v="83"/>
    <n v="0"/>
    <n v="9"/>
    <n v="1"/>
    <n v="0.39327597684066246"/>
    <n v="1"/>
    <n v="71.8"/>
    <n v="71.8"/>
    <n v="18.908634404173128"/>
    <n v="1440.502413589403"/>
    <n v="1"/>
    <n v="0"/>
    <n v="0"/>
    <n v="0"/>
    <n v="0"/>
    <n v="0"/>
    <n v="0"/>
    <n v="0"/>
    <n v="0"/>
    <n v="0"/>
  </r>
  <r>
    <d v="2010-08-08T00:00:00"/>
    <n v="2010"/>
    <x v="27"/>
    <s v="R"/>
    <s v="RS"/>
    <x v="4"/>
    <s v="SAS"/>
    <s v="H"/>
    <n v="1"/>
    <n v="1"/>
    <n v="0"/>
    <n v="0"/>
    <n v="0"/>
    <n v="0"/>
    <n v="1460.3316153741634"/>
    <n v="1421.5937791852298"/>
    <n v="0.66963524243896766"/>
    <n v="83"/>
    <n v="92"/>
    <n v="0"/>
    <n v="-9"/>
    <n v="0"/>
    <n v="0.39327597684066246"/>
    <n v="1"/>
    <n v="71.8"/>
    <n v="71.8"/>
    <n v="-18.908634404173132"/>
    <n v="1441.4229809699902"/>
    <n v="0"/>
    <n v="1"/>
    <n v="0"/>
    <n v="0"/>
    <n v="0"/>
    <n v="0"/>
    <n v="0"/>
    <n v="0"/>
    <n v="0"/>
    <n v="0"/>
  </r>
  <r>
    <d v="2010-08-08T00:00:00"/>
    <n v="2010"/>
    <x v="27"/>
    <s v="R"/>
    <s v="RS"/>
    <x v="10"/>
    <s v="MIN"/>
    <s v="A"/>
    <n v="1"/>
    <n v="0"/>
    <n v="1"/>
    <n v="-1"/>
    <n v="8"/>
    <n v="-8"/>
    <n v="1570.0033745565338"/>
    <n v="1417.1711373519172"/>
    <n v="0.61971379541764215"/>
    <n v="74"/>
    <n v="72"/>
    <n v="0"/>
    <n v="2"/>
    <n v="1"/>
    <n v="0.23758273652299911"/>
    <n v="1"/>
    <n v="71.8"/>
    <n v="71.8"/>
    <n v="6.4870895871274357"/>
    <n v="1576.4904641436613"/>
    <n v="1"/>
    <n v="0"/>
    <n v="0"/>
    <n v="0"/>
    <n v="0"/>
    <n v="0"/>
    <n v="0"/>
    <n v="0"/>
    <n v="0"/>
    <n v="0"/>
  </r>
  <r>
    <d v="2010-08-08T00:00:00"/>
    <n v="2010"/>
    <x v="26"/>
    <s v="R"/>
    <s v="RS"/>
    <x v="8"/>
    <s v="NYL"/>
    <s v="H"/>
    <n v="0"/>
    <n v="1"/>
    <n v="-1"/>
    <n v="1"/>
    <n v="-8"/>
    <n v="8"/>
    <n v="1417.1711373519172"/>
    <n v="1570.0033745565338"/>
    <n v="0.38028620458235785"/>
    <n v="72"/>
    <n v="74"/>
    <n v="0"/>
    <n v="-2"/>
    <n v="0"/>
    <n v="0.23758273652299911"/>
    <n v="1"/>
    <n v="71.95"/>
    <n v="71.95"/>
    <n v="-6.5006420026994292"/>
    <n v="1410.6704953492178"/>
    <n v="0"/>
    <n v="1"/>
    <n v="0"/>
    <n v="0"/>
    <n v="0"/>
    <n v="0"/>
    <n v="0"/>
    <n v="0"/>
    <n v="0"/>
    <n v="0"/>
  </r>
  <r>
    <d v="2010-08-08T00:00:00"/>
    <n v="2010"/>
    <x v="27"/>
    <s v="R"/>
    <s v="RS"/>
    <x v="3"/>
    <s v="PHX"/>
    <s v="A"/>
    <n v="1"/>
    <n v="1"/>
    <n v="0"/>
    <n v="0"/>
    <n v="0"/>
    <n v="0"/>
    <n v="1575.7620760438367"/>
    <n v="1565.0354903727621"/>
    <n v="0.39608713990076211"/>
    <n v="104"/>
    <n v="82"/>
    <n v="0"/>
    <n v="22"/>
    <n v="1"/>
    <n v="0.59672217834694896"/>
    <n v="1"/>
    <n v="71.8"/>
    <n v="71.8"/>
    <n v="25.874436574049014"/>
    <n v="1601.6365126178857"/>
    <n v="1"/>
    <n v="0"/>
    <n v="0"/>
    <n v="0"/>
    <n v="0"/>
    <n v="0"/>
    <n v="0"/>
    <n v="0"/>
    <n v="0"/>
    <n v="0"/>
  </r>
  <r>
    <d v="2010-08-08T00:00:00"/>
    <n v="2010"/>
    <x v="27"/>
    <s v="R"/>
    <s v="RS"/>
    <x v="5"/>
    <s v="IND"/>
    <s v="H"/>
    <n v="1"/>
    <n v="1"/>
    <n v="0"/>
    <n v="0"/>
    <n v="0"/>
    <n v="0"/>
    <n v="1565.0354903727621"/>
    <n v="1575.7620760438367"/>
    <n v="0.60391286009923795"/>
    <n v="82"/>
    <n v="104"/>
    <n v="0"/>
    <n v="-22"/>
    <n v="0"/>
    <n v="0.59672217834694896"/>
    <n v="1"/>
    <n v="71.8"/>
    <n v="71.8"/>
    <n v="-25.874436574049017"/>
    <n v="1539.1610537987131"/>
    <n v="0"/>
    <n v="1"/>
    <n v="0"/>
    <n v="0"/>
    <n v="0"/>
    <n v="0"/>
    <n v="0"/>
    <n v="0"/>
    <n v="0"/>
    <n v="0"/>
  </r>
  <r>
    <d v="2010-08-10T00:00:00"/>
    <n v="2010"/>
    <x v="28"/>
    <s v="R"/>
    <s v="RS"/>
    <x v="11"/>
    <s v="ATL"/>
    <s v="A"/>
    <n v="2"/>
    <n v="3"/>
    <n v="-1"/>
    <n v="1"/>
    <n v="-8"/>
    <n v="8"/>
    <n v="1667.5190235005493"/>
    <n v="1557.8207280630588"/>
    <n v="0.51395334515911362"/>
    <n v="80"/>
    <n v="70"/>
    <n v="0"/>
    <n v="10"/>
    <n v="1"/>
    <n v="0.38768901278071105"/>
    <n v="1"/>
    <n v="71.650000000000006"/>
    <n v="71.650000000000006"/>
    <n v="13.50136400848216"/>
    <n v="1681.0203875090315"/>
    <n v="1"/>
    <n v="0"/>
    <n v="0"/>
    <n v="0"/>
    <n v="0"/>
    <n v="0"/>
    <n v="0"/>
    <n v="0"/>
    <n v="0"/>
    <n v="0"/>
  </r>
  <r>
    <d v="2010-08-10T00:00:00"/>
    <n v="2010"/>
    <x v="29"/>
    <s v="R"/>
    <s v="RS"/>
    <x v="6"/>
    <s v="SEA"/>
    <s v="H"/>
    <n v="3"/>
    <n v="2"/>
    <n v="1"/>
    <n v="-1"/>
    <n v="8"/>
    <n v="-8"/>
    <n v="1557.8207280630588"/>
    <n v="1667.5190235005493"/>
    <n v="0.48604665484088627"/>
    <n v="70"/>
    <n v="80"/>
    <n v="0"/>
    <n v="-10"/>
    <n v="0"/>
    <n v="0.38768901278071105"/>
    <n v="1"/>
    <n v="71.5"/>
    <n v="71.5"/>
    <n v="-13.47309876631506"/>
    <n v="1544.3476292967437"/>
    <n v="0"/>
    <n v="1"/>
    <n v="0"/>
    <n v="0"/>
    <n v="0"/>
    <n v="0"/>
    <n v="0"/>
    <n v="0"/>
    <n v="0"/>
    <n v="0"/>
  </r>
  <r>
    <d v="2010-08-10T00:00:00"/>
    <n v="2010"/>
    <x v="28"/>
    <s v="R"/>
    <s v="RS"/>
    <x v="5"/>
    <s v="CHI"/>
    <s v="A"/>
    <n v="1"/>
    <n v="2"/>
    <n v="-1"/>
    <n v="1"/>
    <n v="-8"/>
    <n v="8"/>
    <n v="1539.1610537987131"/>
    <n v="1466.9344477722771"/>
    <n v="0.46011579200652136"/>
    <n v="82"/>
    <n v="91"/>
    <n v="0"/>
    <n v="-9"/>
    <n v="0"/>
    <n v="0.38292378910252756"/>
    <n v="1"/>
    <n v="71.650000000000006"/>
    <n v="71.650000000000006"/>
    <n v="-12.623962091200063"/>
    <n v="1526.5370917075129"/>
    <n v="0"/>
    <n v="1"/>
    <n v="0"/>
    <n v="0"/>
    <n v="0"/>
    <n v="0"/>
    <n v="0"/>
    <n v="0"/>
    <n v="0"/>
    <n v="0"/>
  </r>
  <r>
    <d v="2010-08-10T00:00:00"/>
    <n v="2010"/>
    <x v="29"/>
    <s v="R"/>
    <s v="RS"/>
    <x v="0"/>
    <s v="PHX"/>
    <s v="H"/>
    <n v="2"/>
    <n v="1"/>
    <n v="1"/>
    <n v="-1"/>
    <n v="8"/>
    <n v="-8"/>
    <n v="1466.9344477722771"/>
    <n v="1539.1610537987131"/>
    <n v="0.53988420799347858"/>
    <n v="91"/>
    <n v="82"/>
    <n v="0"/>
    <n v="9"/>
    <n v="1"/>
    <n v="0.38292378910252756"/>
    <n v="1"/>
    <n v="71.5"/>
    <n v="71.5"/>
    <n v="12.597533698824908"/>
    <n v="1479.531981471102"/>
    <n v="1"/>
    <n v="0"/>
    <n v="0"/>
    <n v="0"/>
    <n v="0"/>
    <n v="0"/>
    <n v="0"/>
    <n v="0"/>
    <n v="0"/>
    <n v="0"/>
  </r>
  <r>
    <d v="2010-08-10T00:00:00"/>
    <n v="2010"/>
    <x v="28"/>
    <s v="R"/>
    <s v="RS"/>
    <x v="3"/>
    <s v="LAS"/>
    <s v="A"/>
    <n v="1"/>
    <n v="1"/>
    <n v="0"/>
    <n v="0"/>
    <n v="0"/>
    <n v="0"/>
    <n v="1601.6365126178857"/>
    <n v="1441.4229809699902"/>
    <n v="0.60795407466843554"/>
    <n v="82"/>
    <n v="76"/>
    <n v="0"/>
    <n v="6"/>
    <n v="1"/>
    <n v="0.30990495499519038"/>
    <n v="1"/>
    <n v="71.650000000000006"/>
    <n v="71.650000000000006"/>
    <n v="8.7052582477106171"/>
    <n v="1610.3417708655963"/>
    <n v="1"/>
    <n v="0"/>
    <n v="0"/>
    <n v="0"/>
    <n v="0"/>
    <n v="0"/>
    <n v="0"/>
    <n v="0"/>
    <n v="0"/>
    <n v="0"/>
  </r>
  <r>
    <d v="2010-08-10T00:00:00"/>
    <n v="2010"/>
    <x v="28"/>
    <s v="R"/>
    <s v="RS"/>
    <x v="4"/>
    <s v="IND"/>
    <s v="H"/>
    <n v="1"/>
    <n v="1"/>
    <n v="0"/>
    <n v="0"/>
    <n v="0"/>
    <n v="0"/>
    <n v="1441.4229809699902"/>
    <n v="1601.6365126178857"/>
    <n v="0.39204592533156452"/>
    <n v="76"/>
    <n v="82"/>
    <n v="0"/>
    <n v="-6"/>
    <n v="0"/>
    <n v="0.30990495499519038"/>
    <n v="1"/>
    <n v="71.650000000000006"/>
    <n v="71.650000000000006"/>
    <n v="-8.7052582477106188"/>
    <n v="1432.7177227222796"/>
    <n v="0"/>
    <n v="1"/>
    <n v="0"/>
    <n v="0"/>
    <n v="0"/>
    <n v="0"/>
    <n v="0"/>
    <n v="0"/>
    <n v="0"/>
    <n v="0"/>
  </r>
  <r>
    <d v="2010-08-10T00:00:00"/>
    <n v="2010"/>
    <x v="27"/>
    <s v="R"/>
    <s v="RS"/>
    <x v="8"/>
    <s v="SAS"/>
    <s v="A"/>
    <n v="1"/>
    <n v="1"/>
    <n v="0"/>
    <n v="0"/>
    <n v="0"/>
    <n v="0"/>
    <n v="1410.6704953492178"/>
    <n v="1440.502413589403"/>
    <n v="0.34180312053894624"/>
    <n v="73"/>
    <n v="66"/>
    <n v="0"/>
    <n v="7"/>
    <n v="1"/>
    <n v="0.36112951729217202"/>
    <n v="1"/>
    <n v="71.8"/>
    <n v="71.8"/>
    <n v="17.066452273862271"/>
    <n v="1427.7369476230801"/>
    <n v="1"/>
    <n v="0"/>
    <n v="0"/>
    <n v="0"/>
    <n v="0"/>
    <n v="0"/>
    <n v="0"/>
    <n v="0"/>
    <n v="0"/>
    <n v="0"/>
  </r>
  <r>
    <d v="2010-08-10T00:00:00"/>
    <n v="2010"/>
    <x v="28"/>
    <s v="R"/>
    <s v="RS"/>
    <x v="7"/>
    <s v="MIN"/>
    <s v="H"/>
    <n v="1"/>
    <n v="1"/>
    <n v="0"/>
    <n v="0"/>
    <n v="0"/>
    <n v="0"/>
    <n v="1440.502413589403"/>
    <n v="1410.6704953492178"/>
    <n v="0.65819687946105376"/>
    <n v="66"/>
    <n v="73"/>
    <n v="0"/>
    <n v="-7"/>
    <n v="0"/>
    <n v="0.36112951729217202"/>
    <n v="1"/>
    <n v="71.650000000000006"/>
    <n v="71.650000000000006"/>
    <n v="-17.030798125657824"/>
    <n v="1423.4716154637451"/>
    <n v="0"/>
    <n v="1"/>
    <n v="0"/>
    <n v="0"/>
    <n v="0"/>
    <n v="0"/>
    <n v="0"/>
    <n v="0"/>
    <n v="0"/>
    <n v="0"/>
  </r>
  <r>
    <d v="2010-08-10T00:00:00"/>
    <n v="2010"/>
    <x v="28"/>
    <s v="R"/>
    <s v="RS"/>
    <x v="1"/>
    <s v="WAS"/>
    <s v="A"/>
    <n v="1"/>
    <n v="1"/>
    <n v="0"/>
    <n v="0"/>
    <n v="0"/>
    <n v="0"/>
    <n v="1472.9133083830507"/>
    <n v="1526.1611246783064"/>
    <n v="0.31215536993469201"/>
    <n v="74"/>
    <n v="84"/>
    <n v="0"/>
    <n v="-10"/>
    <n v="0"/>
    <n v="0.40515182440111858"/>
    <n v="1"/>
    <n v="71.650000000000006"/>
    <n v="71.650000000000006"/>
    <n v="-9.0615982578775753"/>
    <n v="1463.851710125173"/>
    <n v="0"/>
    <n v="1"/>
    <n v="0"/>
    <n v="0"/>
    <n v="0"/>
    <n v="0"/>
    <n v="0"/>
    <n v="0"/>
    <n v="0"/>
    <n v="0"/>
  </r>
  <r>
    <d v="2010-08-10T00:00:00"/>
    <n v="2010"/>
    <x v="28"/>
    <s v="R"/>
    <s v="RS"/>
    <x v="2"/>
    <s v="CON"/>
    <s v="H"/>
    <n v="1"/>
    <n v="1"/>
    <n v="0"/>
    <n v="0"/>
    <n v="0"/>
    <n v="0"/>
    <n v="1526.1611246783064"/>
    <n v="1472.9133083830507"/>
    <n v="0.68784463006530794"/>
    <n v="84"/>
    <n v="74"/>
    <n v="0"/>
    <n v="10"/>
    <n v="1"/>
    <n v="0.40515182440111858"/>
    <n v="1"/>
    <n v="71.650000000000006"/>
    <n v="71.650000000000006"/>
    <n v="9.0615982578775771"/>
    <n v="1535.222722936184"/>
    <n v="1"/>
    <n v="0"/>
    <n v="0"/>
    <n v="0"/>
    <n v="0"/>
    <n v="0"/>
    <n v="0"/>
    <n v="0"/>
    <n v="0"/>
    <n v="0"/>
  </r>
  <r>
    <d v="2010-08-12T00:00:00"/>
    <n v="2010"/>
    <x v="29"/>
    <s v="R"/>
    <s v="RS"/>
    <x v="4"/>
    <s v="MIN"/>
    <s v="A"/>
    <n v="1"/>
    <n v="1"/>
    <n v="0"/>
    <n v="0"/>
    <n v="0"/>
    <n v="0"/>
    <n v="1432.7177227222796"/>
    <n v="1427.7369476230801"/>
    <n v="0.38820321521666656"/>
    <n v="78"/>
    <n v="77"/>
    <n v="0"/>
    <n v="1"/>
    <n v="1"/>
    <n v="0.24317035691646594"/>
    <n v="1"/>
    <n v="71.5"/>
    <n v="71.5"/>
    <n v="10.637115239901828"/>
    <n v="1443.3548379621814"/>
    <n v="1"/>
    <n v="0"/>
    <n v="0"/>
    <n v="0"/>
    <n v="0"/>
    <n v="0"/>
    <n v="0"/>
    <n v="0"/>
    <n v="0"/>
    <n v="0"/>
  </r>
  <r>
    <d v="2010-08-12T00:00:00"/>
    <n v="2010"/>
    <x v="28"/>
    <s v="R"/>
    <s v="RS"/>
    <x v="8"/>
    <s v="LAS"/>
    <s v="H"/>
    <n v="1"/>
    <n v="1"/>
    <n v="0"/>
    <n v="0"/>
    <n v="0"/>
    <n v="0"/>
    <n v="1427.7369476230801"/>
    <n v="1432.7177227222796"/>
    <n v="0.61179678478333344"/>
    <n v="77"/>
    <n v="78"/>
    <n v="0"/>
    <n v="-1"/>
    <n v="0"/>
    <n v="0.24317035691646594"/>
    <n v="1"/>
    <n v="71.650000000000006"/>
    <n v="71.650000000000006"/>
    <n v="-10.659430866279244"/>
    <n v="1417.0775167568008"/>
    <n v="0"/>
    <n v="1"/>
    <n v="0"/>
    <n v="0"/>
    <n v="0"/>
    <n v="0"/>
    <n v="0"/>
    <n v="0"/>
    <n v="0"/>
    <n v="0"/>
  </r>
  <r>
    <d v="2010-08-13T00:00:00"/>
    <n v="2010"/>
    <x v="28"/>
    <s v="R"/>
    <s v="RS"/>
    <x v="10"/>
    <s v="ATL"/>
    <s v="A"/>
    <n v="4"/>
    <n v="2"/>
    <n v="2"/>
    <n v="-2"/>
    <n v="16"/>
    <n v="-16"/>
    <n v="1576.4904641436613"/>
    <n v="1544.3476292967437"/>
    <n v="0.47145431716199759"/>
    <n v="90"/>
    <n v="83"/>
    <n v="0"/>
    <n v="7"/>
    <n v="1"/>
    <n v="0.36045220929257188"/>
    <n v="1"/>
    <n v="71.650000000000006"/>
    <n v="71.650000000000006"/>
    <n v="13.650432643870793"/>
    <n v="1590.140896787532"/>
    <n v="1"/>
    <n v="0"/>
    <n v="0"/>
    <n v="0"/>
    <n v="0"/>
    <n v="0"/>
    <n v="0"/>
    <n v="0"/>
    <n v="0"/>
    <n v="0"/>
  </r>
  <r>
    <d v="2010-08-13T00:00:00"/>
    <n v="2010"/>
    <x v="30"/>
    <s v="R"/>
    <s v="RS"/>
    <x v="6"/>
    <s v="NYL"/>
    <s v="H"/>
    <n v="2"/>
    <n v="4"/>
    <n v="-2"/>
    <n v="2"/>
    <n v="-16"/>
    <n v="16"/>
    <n v="1544.3476292967437"/>
    <n v="1576.4904641436613"/>
    <n v="0.52854568283800241"/>
    <n v="83"/>
    <n v="90"/>
    <n v="0"/>
    <n v="-7"/>
    <n v="0"/>
    <n v="0.36045220929257188"/>
    <n v="1"/>
    <n v="71.349999999999994"/>
    <n v="71.349999999999994"/>
    <n v="-13.593278006143489"/>
    <n v="1530.7543512906002"/>
    <n v="0"/>
    <n v="1"/>
    <n v="0"/>
    <n v="0"/>
    <n v="0"/>
    <n v="0"/>
    <n v="0"/>
    <n v="0"/>
    <n v="0"/>
    <n v="0"/>
  </r>
  <r>
    <d v="2010-08-13T00:00:00"/>
    <n v="2010"/>
    <x v="29"/>
    <s v="R"/>
    <s v="RS"/>
    <x v="11"/>
    <s v="CON"/>
    <s v="A"/>
    <n v="2"/>
    <n v="2"/>
    <n v="0"/>
    <n v="0"/>
    <n v="0"/>
    <n v="0"/>
    <n v="1681.0203875090315"/>
    <n v="1463.851710125173"/>
    <n v="0.68278072961666647"/>
    <n v="68"/>
    <n v="88"/>
    <n v="0"/>
    <n v="-20"/>
    <n v="0"/>
    <n v="0.48679091045401962"/>
    <n v="1"/>
    <n v="71.5"/>
    <n v="71.5"/>
    <n v="-23.764558890254815"/>
    <n v="1657.2558286187766"/>
    <n v="0"/>
    <n v="1"/>
    <n v="0"/>
    <n v="0"/>
    <n v="0"/>
    <n v="0"/>
    <n v="0"/>
    <n v="0"/>
    <n v="0"/>
    <n v="0"/>
  </r>
  <r>
    <d v="2010-08-13T00:00:00"/>
    <n v="2010"/>
    <x v="29"/>
    <s v="R"/>
    <s v="RS"/>
    <x v="1"/>
    <s v="SEA"/>
    <s v="H"/>
    <n v="2"/>
    <n v="2"/>
    <n v="0"/>
    <n v="0"/>
    <n v="0"/>
    <n v="0"/>
    <n v="1463.851710125173"/>
    <n v="1681.0203875090315"/>
    <n v="0.31721927038333358"/>
    <n v="88"/>
    <n v="68"/>
    <n v="0"/>
    <n v="20"/>
    <n v="1"/>
    <n v="0.48679091045401962"/>
    <n v="1"/>
    <n v="71.5"/>
    <n v="71.5"/>
    <n v="23.764558890254811"/>
    <n v="1487.6162690154279"/>
    <n v="1"/>
    <n v="0"/>
    <n v="0"/>
    <n v="0"/>
    <n v="0"/>
    <n v="0"/>
    <n v="0"/>
    <n v="0"/>
    <n v="0"/>
    <n v="0"/>
  </r>
  <r>
    <d v="2010-08-13T00:00:00"/>
    <n v="2010"/>
    <x v="29"/>
    <s v="R"/>
    <s v="RS"/>
    <x v="5"/>
    <s v="IND"/>
    <s v="A"/>
    <n v="2"/>
    <n v="2"/>
    <n v="0"/>
    <n v="0"/>
    <n v="0"/>
    <n v="0"/>
    <n v="1526.5370917075129"/>
    <n v="1610.3417708655963"/>
    <n v="0.27568621589843983"/>
    <n v="90"/>
    <n v="110"/>
    <n v="0"/>
    <n v="-20"/>
    <n v="0"/>
    <n v="0.53735964818497095"/>
    <n v="1"/>
    <n v="71.5"/>
    <n v="71.5"/>
    <n v="-10.592199330901158"/>
    <n v="1515.9448923766117"/>
    <n v="0"/>
    <n v="1"/>
    <n v="0"/>
    <n v="0"/>
    <n v="0"/>
    <n v="0"/>
    <n v="0"/>
    <n v="0"/>
    <n v="0"/>
    <n v="0"/>
  </r>
  <r>
    <d v="2010-08-13T00:00:00"/>
    <n v="2010"/>
    <x v="29"/>
    <s v="R"/>
    <s v="RS"/>
    <x v="3"/>
    <s v="PHX"/>
    <s v="H"/>
    <n v="2"/>
    <n v="2"/>
    <n v="0"/>
    <n v="0"/>
    <n v="0"/>
    <n v="0"/>
    <n v="1610.3417708655963"/>
    <n v="1526.5370917075129"/>
    <n v="0.72431378410156022"/>
    <n v="110"/>
    <n v="90"/>
    <n v="0"/>
    <n v="20"/>
    <n v="1"/>
    <n v="0.53735964818497095"/>
    <n v="1"/>
    <n v="71.5"/>
    <n v="71.5"/>
    <n v="10.592199330901154"/>
    <n v="1620.9339701964975"/>
    <n v="1"/>
    <n v="0"/>
    <n v="0"/>
    <n v="0"/>
    <n v="0"/>
    <n v="0"/>
    <n v="0"/>
    <n v="0"/>
    <n v="0"/>
    <n v="0"/>
  </r>
  <r>
    <d v="2010-08-13T00:00:00"/>
    <n v="2010"/>
    <x v="29"/>
    <s v="R"/>
    <s v="RS"/>
    <x v="9"/>
    <s v="SAS"/>
    <s v="A"/>
    <n v="5"/>
    <n v="2"/>
    <n v="3"/>
    <n v="-3"/>
    <n v="16"/>
    <n v="-16"/>
    <n v="1293.3584307615379"/>
    <n v="1423.4716154637451"/>
    <n v="0.25954634590659503"/>
    <n v="74"/>
    <n v="94"/>
    <n v="0"/>
    <n v="-20"/>
    <n v="0"/>
    <n v="0.51865122356866022"/>
    <n v="1"/>
    <n v="71.5"/>
    <n v="71.5"/>
    <n v="-9.6249031362219615"/>
    <n v="1283.7335276253159"/>
    <n v="0"/>
    <n v="1"/>
    <n v="0"/>
    <n v="0"/>
    <n v="0"/>
    <n v="0"/>
    <n v="0"/>
    <n v="0"/>
    <n v="0"/>
    <n v="0"/>
  </r>
  <r>
    <d v="2010-08-13T00:00:00"/>
    <n v="2010"/>
    <x v="29"/>
    <s v="R"/>
    <s v="RS"/>
    <x v="7"/>
    <s v="TUL"/>
    <s v="H"/>
    <n v="2"/>
    <n v="5"/>
    <n v="-3"/>
    <n v="3"/>
    <n v="-16"/>
    <n v="16"/>
    <n v="1423.4716154637451"/>
    <n v="1293.3584307615379"/>
    <n v="0.74045365409340502"/>
    <n v="94"/>
    <n v="74"/>
    <n v="0"/>
    <n v="20"/>
    <n v="1"/>
    <n v="0.51865122356866022"/>
    <n v="1"/>
    <n v="71.5"/>
    <n v="71.5"/>
    <n v="9.6249031362219597"/>
    <n v="1433.0965185999671"/>
    <n v="1"/>
    <n v="0"/>
    <n v="0"/>
    <n v="0"/>
    <n v="0"/>
    <n v="0"/>
    <n v="0"/>
    <n v="0"/>
    <n v="0"/>
    <n v="0"/>
  </r>
  <r>
    <d v="2010-08-13T00:00:00"/>
    <n v="2010"/>
    <x v="29"/>
    <s v="R"/>
    <s v="RS"/>
    <x v="8"/>
    <s v="WAS"/>
    <s v="A"/>
    <n v="0"/>
    <n v="2"/>
    <n v="-2"/>
    <n v="2"/>
    <n v="-16"/>
    <n v="16"/>
    <n v="1417.0775167568008"/>
    <n v="1535.222722936184"/>
    <n v="0.20622239505899628"/>
    <n v="58"/>
    <n v="61"/>
    <n v="0"/>
    <n v="-3"/>
    <n v="0"/>
    <n v="0.26417440482733978"/>
    <n v="1"/>
    <n v="71.5"/>
    <n v="71.5"/>
    <n v="-3.8952255110896901"/>
    <n v="1413.1822912457112"/>
    <n v="0"/>
    <n v="1"/>
    <n v="0"/>
    <n v="0"/>
    <n v="0"/>
    <n v="0"/>
    <n v="0"/>
    <n v="0"/>
    <n v="0"/>
    <n v="0"/>
  </r>
  <r>
    <d v="2010-08-13T00:00:00"/>
    <n v="2010"/>
    <x v="29"/>
    <s v="R"/>
    <s v="RS"/>
    <x v="2"/>
    <s v="MIN"/>
    <s v="H"/>
    <n v="2"/>
    <n v="0"/>
    <n v="2"/>
    <n v="-2"/>
    <n v="16"/>
    <n v="-16"/>
    <n v="1535.222722936184"/>
    <n v="1417.0775167568008"/>
    <n v="0.79377760494100369"/>
    <n v="61"/>
    <n v="58"/>
    <n v="0"/>
    <n v="3"/>
    <n v="1"/>
    <n v="0.26417440482733978"/>
    <n v="1"/>
    <n v="71.5"/>
    <n v="71.5"/>
    <n v="3.8952255110896905"/>
    <n v="1539.1179484472736"/>
    <n v="1"/>
    <n v="0"/>
    <n v="0"/>
    <n v="0"/>
    <n v="0"/>
    <n v="0"/>
    <n v="0"/>
    <n v="0"/>
    <n v="0"/>
    <n v="0"/>
  </r>
  <r>
    <d v="2010-08-14T00:00:00"/>
    <n v="2010"/>
    <x v="31"/>
    <s v="R"/>
    <s v="RS"/>
    <x v="6"/>
    <s v="CHI"/>
    <s v="A"/>
    <n v="0"/>
    <n v="3"/>
    <n v="-3"/>
    <n v="3"/>
    <n v="-16"/>
    <n v="16"/>
    <n v="1530.7543512906002"/>
    <n v="1479.531981471102"/>
    <n v="0.40784287730652286"/>
    <n v="98"/>
    <n v="74"/>
    <n v="0"/>
    <n v="24"/>
    <n v="1"/>
    <n v="0.60270431182152961"/>
    <n v="1"/>
    <n v="71.2"/>
    <n v="71.2"/>
    <n v="25.410970359971074"/>
    <n v="1556.1653216505713"/>
    <n v="1"/>
    <n v="0"/>
    <n v="0"/>
    <n v="0"/>
    <n v="0"/>
    <n v="0"/>
    <n v="0"/>
    <n v="0"/>
    <n v="0"/>
    <n v="0"/>
  </r>
  <r>
    <d v="2010-08-14T00:00:00"/>
    <n v="2010"/>
    <x v="30"/>
    <s v="R"/>
    <s v="RS"/>
    <x v="0"/>
    <s v="ATL"/>
    <s v="H"/>
    <n v="3"/>
    <n v="0"/>
    <n v="3"/>
    <n v="-3"/>
    <n v="16"/>
    <n v="-16"/>
    <n v="1479.531981471102"/>
    <n v="1530.7543512906002"/>
    <n v="0.59215712269347731"/>
    <n v="74"/>
    <n v="98"/>
    <n v="0"/>
    <n v="-24"/>
    <n v="0"/>
    <n v="0.60270431182152961"/>
    <n v="1"/>
    <n v="71.349999999999994"/>
    <n v="71.349999999999994"/>
    <n v="-25.464504707639556"/>
    <n v="1454.0674767634623"/>
    <n v="0"/>
    <n v="1"/>
    <n v="0"/>
    <n v="0"/>
    <n v="0"/>
    <n v="0"/>
    <n v="0"/>
    <n v="0"/>
    <n v="0"/>
    <n v="0"/>
  </r>
  <r>
    <d v="2010-08-14T00:00:00"/>
    <n v="2010"/>
    <x v="30"/>
    <s v="R"/>
    <s v="RS"/>
    <x v="5"/>
    <s v="NYL"/>
    <s v="A"/>
    <n v="0"/>
    <n v="0"/>
    <n v="0"/>
    <n v="0"/>
    <n v="0"/>
    <n v="0"/>
    <n v="1515.9448923766117"/>
    <n v="1590.140896787532"/>
    <n v="0.28686696752337654"/>
    <n v="69"/>
    <n v="107"/>
    <n v="0"/>
    <n v="-38"/>
    <n v="0"/>
    <n v="0.74962633357140362"/>
    <n v="1"/>
    <n v="71.349999999999994"/>
    <n v="71.349999999999994"/>
    <n v="-15.343320410778544"/>
    <n v="1500.6015719658333"/>
    <n v="0"/>
    <n v="1"/>
    <n v="0"/>
    <n v="0"/>
    <n v="0"/>
    <n v="0"/>
    <n v="0"/>
    <n v="0"/>
    <n v="0"/>
    <n v="0"/>
  </r>
  <r>
    <d v="2010-08-14T00:00:00"/>
    <n v="2010"/>
    <x v="29"/>
    <s v="R"/>
    <s v="RS"/>
    <x v="10"/>
    <s v="PHX"/>
    <s v="H"/>
    <n v="0"/>
    <n v="0"/>
    <n v="0"/>
    <n v="0"/>
    <n v="0"/>
    <n v="0"/>
    <n v="1590.140896787532"/>
    <n v="1515.9448923766117"/>
    <n v="0.71313303247662352"/>
    <n v="107"/>
    <n v="69"/>
    <n v="0"/>
    <n v="38"/>
    <n v="1"/>
    <n v="0.74962633357140362"/>
    <n v="1"/>
    <n v="71.5"/>
    <n v="71.5"/>
    <n v="15.375576865741637"/>
    <n v="1605.5164736532736"/>
    <n v="1"/>
    <n v="0"/>
    <n v="0"/>
    <n v="0"/>
    <n v="0"/>
    <n v="0"/>
    <n v="0"/>
    <n v="0"/>
    <n v="0"/>
    <n v="0"/>
  </r>
  <r>
    <d v="2010-08-14T00:00:00"/>
    <n v="2010"/>
    <x v="30"/>
    <s v="R"/>
    <s v="RS"/>
    <x v="4"/>
    <s v="TUL"/>
    <s v="A"/>
    <n v="1"/>
    <n v="0"/>
    <n v="1"/>
    <n v="-1"/>
    <n v="8"/>
    <n v="-8"/>
    <n v="1443.3548379621814"/>
    <n v="1283.7335276253159"/>
    <n v="0.62887992051055663"/>
    <n v="92"/>
    <n v="87"/>
    <n v="0"/>
    <n v="5"/>
    <n v="1"/>
    <n v="0.2928073924163932"/>
    <n v="1"/>
    <n v="71.349999999999994"/>
    <n v="71.349999999999994"/>
    <n v="7.753369241117495"/>
    <n v="1451.1082072032989"/>
    <n v="1"/>
    <n v="0"/>
    <n v="0"/>
    <n v="0"/>
    <n v="0"/>
    <n v="0"/>
    <n v="0"/>
    <n v="0"/>
    <n v="0"/>
    <n v="0"/>
  </r>
  <r>
    <d v="2010-08-14T00:00:00"/>
    <n v="2010"/>
    <x v="30"/>
    <s v="R"/>
    <s v="RS"/>
    <x v="9"/>
    <s v="LAS"/>
    <s v="H"/>
    <n v="0"/>
    <n v="1"/>
    <n v="-1"/>
    <n v="1"/>
    <n v="-8"/>
    <n v="8"/>
    <n v="1283.7335276253159"/>
    <n v="1443.3548379621814"/>
    <n v="0.37112007948944337"/>
    <n v="87"/>
    <n v="92"/>
    <n v="0"/>
    <n v="-5"/>
    <n v="0"/>
    <n v="0.2928073924163932"/>
    <n v="1"/>
    <n v="71.349999999999994"/>
    <n v="71.349999999999994"/>
    <n v="-7.753369241117495"/>
    <n v="1275.9801583841984"/>
    <n v="0"/>
    <n v="1"/>
    <n v="0"/>
    <n v="0"/>
    <n v="0"/>
    <n v="0"/>
    <n v="0"/>
    <n v="0"/>
    <n v="0"/>
    <n v="0"/>
  </r>
  <r>
    <d v="2010-08-15T00:00:00"/>
    <n v="2010"/>
    <x v="30"/>
    <s v="R"/>
    <s v="RS"/>
    <x v="3"/>
    <s v="CON"/>
    <s v="A"/>
    <n v="1"/>
    <n v="1"/>
    <n v="0"/>
    <n v="0"/>
    <n v="0"/>
    <n v="0"/>
    <n v="1620.9339701964975"/>
    <n v="1487.6162690154279"/>
    <n v="0.57050099997171955"/>
    <n v="79"/>
    <n v="66"/>
    <n v="0"/>
    <n v="13"/>
    <n v="1"/>
    <n v="0.42484436100651052"/>
    <n v="1"/>
    <n v="71.349999999999994"/>
    <n v="71.349999999999994"/>
    <n v="13.019250783493435"/>
    <n v="1633.9532209799909"/>
    <n v="1"/>
    <n v="0"/>
    <n v="0"/>
    <n v="0"/>
    <n v="0"/>
    <n v="0"/>
    <n v="0"/>
    <n v="0"/>
    <n v="0"/>
    <n v="0"/>
  </r>
  <r>
    <d v="2010-08-15T00:00:00"/>
    <n v="2010"/>
    <x v="30"/>
    <s v="R"/>
    <s v="RS"/>
    <x v="1"/>
    <s v="IND"/>
    <s v="H"/>
    <n v="1"/>
    <n v="1"/>
    <n v="0"/>
    <n v="0"/>
    <n v="0"/>
    <n v="0"/>
    <n v="1487.6162690154279"/>
    <n v="1620.9339701964975"/>
    <n v="0.42949900002828051"/>
    <n v="66"/>
    <n v="79"/>
    <n v="0"/>
    <n v="-13"/>
    <n v="0"/>
    <n v="0.42484436100651052"/>
    <n v="1"/>
    <n v="71.349999999999994"/>
    <n v="71.349999999999994"/>
    <n v="-13.019250783493437"/>
    <n v="1474.5970182319345"/>
    <n v="0"/>
    <n v="1"/>
    <n v="0"/>
    <n v="0"/>
    <n v="0"/>
    <n v="0"/>
    <n v="0"/>
    <n v="0"/>
    <n v="0"/>
    <n v="0"/>
  </r>
  <r>
    <d v="2010-08-15T00:00:00"/>
    <n v="2010"/>
    <x v="30"/>
    <s v="R"/>
    <s v="RS"/>
    <x v="7"/>
    <s v="MIN"/>
    <s v="A"/>
    <n v="1"/>
    <n v="1"/>
    <n v="0"/>
    <n v="0"/>
    <n v="0"/>
    <n v="0"/>
    <n v="1433.0965185999671"/>
    <n v="1413.1822912457112"/>
    <n v="0.40880506780942222"/>
    <n v="78"/>
    <n v="84"/>
    <n v="0"/>
    <n v="-6"/>
    <n v="0"/>
    <n v="0.34554635388048321"/>
    <n v="1"/>
    <n v="71.349999999999994"/>
    <n v="71.349999999999994"/>
    <n v="-10.078979529908372"/>
    <n v="1423.0175390700588"/>
    <n v="0"/>
    <n v="1"/>
    <n v="0"/>
    <n v="0"/>
    <n v="0"/>
    <n v="0"/>
    <n v="0"/>
    <n v="0"/>
    <n v="0"/>
    <n v="0"/>
  </r>
  <r>
    <d v="2010-08-15T00:00:00"/>
    <n v="2010"/>
    <x v="30"/>
    <s v="R"/>
    <s v="RS"/>
    <x v="8"/>
    <s v="SAS"/>
    <s v="H"/>
    <n v="1"/>
    <n v="1"/>
    <n v="0"/>
    <n v="0"/>
    <n v="0"/>
    <n v="0"/>
    <n v="1413.1822912457112"/>
    <n v="1433.0965185999671"/>
    <n v="0.59119493219057773"/>
    <n v="84"/>
    <n v="78"/>
    <n v="0"/>
    <n v="6"/>
    <n v="1"/>
    <n v="0.34554635388048321"/>
    <n v="1"/>
    <n v="71.349999999999994"/>
    <n v="71.349999999999994"/>
    <n v="10.078979529908372"/>
    <n v="1423.2612707756196"/>
    <n v="1"/>
    <n v="0"/>
    <n v="0"/>
    <n v="0"/>
    <n v="0"/>
    <n v="0"/>
    <n v="0"/>
    <n v="0"/>
    <n v="0"/>
    <n v="0"/>
  </r>
  <r>
    <d v="2010-08-15T00:00:00"/>
    <n v="2010"/>
    <x v="30"/>
    <s v="R"/>
    <s v="RS"/>
    <x v="11"/>
    <s v="WAS"/>
    <s v="A"/>
    <n v="1"/>
    <n v="1"/>
    <n v="0"/>
    <n v="0"/>
    <n v="0"/>
    <n v="0"/>
    <n v="1657.2558286187766"/>
    <n v="1539.1179484472736"/>
    <n v="0.54897086559221309"/>
    <n v="71"/>
    <n v="80"/>
    <n v="0"/>
    <n v="-9"/>
    <n v="0"/>
    <n v="0.36958639904446589"/>
    <n v="1"/>
    <n v="71.349999999999994"/>
    <n v="71.349999999999994"/>
    <n v="-14.476356000901108"/>
    <n v="1642.7794726178754"/>
    <n v="0"/>
    <n v="1"/>
    <n v="0"/>
    <n v="0"/>
    <n v="0"/>
    <n v="0"/>
    <n v="0"/>
    <n v="0"/>
    <n v="0"/>
    <n v="0"/>
  </r>
  <r>
    <d v="2010-08-15T00:00:00"/>
    <n v="2010"/>
    <x v="30"/>
    <s v="R"/>
    <s v="RS"/>
    <x v="2"/>
    <s v="SEA"/>
    <s v="H"/>
    <n v="1"/>
    <n v="1"/>
    <n v="0"/>
    <n v="0"/>
    <n v="0"/>
    <n v="0"/>
    <n v="1539.1179484472736"/>
    <n v="1657.2558286187766"/>
    <n v="0.45102913440778691"/>
    <n v="80"/>
    <n v="71"/>
    <n v="0"/>
    <n v="9"/>
    <n v="1"/>
    <n v="0.36958639904446589"/>
    <n v="1"/>
    <n v="71.349999999999994"/>
    <n v="71.349999999999994"/>
    <n v="14.476356000901108"/>
    <n v="1553.5943044481749"/>
    <n v="1"/>
    <n v="0"/>
    <n v="0"/>
    <n v="0"/>
    <n v="0"/>
    <n v="0"/>
    <n v="0"/>
    <n v="0"/>
    <n v="0"/>
    <n v="0"/>
  </r>
  <r>
    <d v="2010-08-17T00:00:00"/>
    <n v="2010"/>
    <x v="31"/>
    <s v="R"/>
    <s v="RS"/>
    <x v="0"/>
    <s v="ATL"/>
    <s v="A"/>
    <n v="2"/>
    <n v="2"/>
    <n v="0"/>
    <n v="0"/>
    <n v="0"/>
    <n v="0"/>
    <n v="1454.0674767634623"/>
    <n v="1556.1653216505713"/>
    <n v="0.25516253192808047"/>
    <n v="84"/>
    <n v="79"/>
    <n v="0"/>
    <n v="5"/>
    <n v="1"/>
    <n v="0.30574289951920852"/>
    <n v="1"/>
    <n v="71.2"/>
    <n v="71.2"/>
    <n v="16.214288221710447"/>
    <n v="1470.2817649851727"/>
    <n v="1"/>
    <n v="0"/>
    <n v="0"/>
    <n v="0"/>
    <n v="0"/>
    <n v="0"/>
    <n v="0"/>
    <n v="0"/>
    <n v="0"/>
    <n v="0"/>
  </r>
  <r>
    <d v="2010-08-17T00:00:00"/>
    <n v="2010"/>
    <x v="32"/>
    <s v="R"/>
    <s v="RS"/>
    <x v="6"/>
    <s v="CHI"/>
    <s v="H"/>
    <n v="2"/>
    <n v="2"/>
    <n v="0"/>
    <n v="0"/>
    <n v="0"/>
    <n v="0"/>
    <n v="1556.1653216505713"/>
    <n v="1454.0674767634623"/>
    <n v="0.74483746807191964"/>
    <n v="79"/>
    <n v="84"/>
    <n v="0"/>
    <n v="-5"/>
    <n v="0"/>
    <n v="0.30574289951920852"/>
    <n v="1"/>
    <n v="71.05"/>
    <n v="71.05"/>
    <n v="-16.180128906636618"/>
    <n v="1539.9851927439347"/>
    <n v="0"/>
    <n v="1"/>
    <n v="0"/>
    <n v="0"/>
    <n v="0"/>
    <n v="0"/>
    <n v="0"/>
    <n v="0"/>
    <n v="0"/>
    <n v="0"/>
  </r>
  <r>
    <d v="2010-08-17T00:00:00"/>
    <n v="2010"/>
    <x v="31"/>
    <s v="R"/>
    <s v="RS"/>
    <x v="9"/>
    <s v="CON"/>
    <s v="A"/>
    <n v="2"/>
    <n v="1"/>
    <n v="1"/>
    <n v="-1"/>
    <n v="8"/>
    <n v="-8"/>
    <n v="1275.9801583841984"/>
    <n v="1474.5970182319345"/>
    <n v="0.17729684694172435"/>
    <n v="62"/>
    <n v="90"/>
    <n v="0"/>
    <n v="-28"/>
    <n v="0"/>
    <n v="0.58265248723942864"/>
    <n v="1"/>
    <n v="71.2"/>
    <n v="71.2"/>
    <n v="-7.355134358141644"/>
    <n v="1268.6250240260567"/>
    <n v="0"/>
    <n v="1"/>
    <n v="0"/>
    <n v="0"/>
    <n v="0"/>
    <n v="0"/>
    <n v="0"/>
    <n v="0"/>
    <n v="0"/>
    <n v="0"/>
  </r>
  <r>
    <d v="2010-08-17T00:00:00"/>
    <n v="2010"/>
    <x v="31"/>
    <s v="R"/>
    <s v="RS"/>
    <x v="1"/>
    <s v="TUL"/>
    <s v="H"/>
    <n v="1"/>
    <n v="2"/>
    <n v="-1"/>
    <n v="1"/>
    <n v="-8"/>
    <n v="8"/>
    <n v="1474.5970182319345"/>
    <n v="1275.9801583841984"/>
    <n v="0.82270315305827568"/>
    <n v="90"/>
    <n v="62"/>
    <n v="0"/>
    <n v="28"/>
    <n v="1"/>
    <n v="0.58265248723942864"/>
    <n v="1"/>
    <n v="71.2"/>
    <n v="71.2"/>
    <n v="7.3551343581416431"/>
    <n v="1481.9521525900761"/>
    <n v="1"/>
    <n v="0"/>
    <n v="0"/>
    <n v="0"/>
    <n v="0"/>
    <n v="0"/>
    <n v="0"/>
    <n v="0"/>
    <n v="0"/>
    <n v="0"/>
  </r>
  <r>
    <d v="2010-08-17T00:00:00"/>
    <n v="2010"/>
    <x v="31"/>
    <s v="R"/>
    <s v="RS"/>
    <x v="5"/>
    <s v="LAS"/>
    <s v="A"/>
    <n v="2"/>
    <n v="2"/>
    <n v="0"/>
    <n v="0"/>
    <n v="0"/>
    <n v="0"/>
    <n v="1500.6015719658333"/>
    <n v="1451.1082072032989"/>
    <n v="0.45050359864007694"/>
    <n v="90"/>
    <n v="84"/>
    <n v="0"/>
    <n v="6"/>
    <n v="1"/>
    <n v="0.33736626795877617"/>
    <n v="1"/>
    <n v="71.2"/>
    <n v="71.2"/>
    <n v="13.199166373070542"/>
    <n v="1513.8007383389038"/>
    <n v="1"/>
    <n v="0"/>
    <n v="0"/>
    <n v="0"/>
    <n v="0"/>
    <n v="0"/>
    <n v="0"/>
    <n v="0"/>
    <n v="0"/>
    <n v="0"/>
  </r>
  <r>
    <d v="2010-08-17T00:00:00"/>
    <n v="2010"/>
    <x v="31"/>
    <s v="R"/>
    <s v="RS"/>
    <x v="4"/>
    <s v="PHX"/>
    <s v="H"/>
    <n v="2"/>
    <n v="2"/>
    <n v="0"/>
    <n v="0"/>
    <n v="0"/>
    <n v="0"/>
    <n v="1451.1082072032989"/>
    <n v="1500.6015719658333"/>
    <n v="0.54949640135992306"/>
    <n v="84"/>
    <n v="90"/>
    <n v="0"/>
    <n v="-6"/>
    <n v="0"/>
    <n v="0.33736626795877617"/>
    <n v="1"/>
    <n v="71.2"/>
    <n v="71.2"/>
    <n v="-13.199166373070542"/>
    <n v="1437.9090408302284"/>
    <n v="0"/>
    <n v="1"/>
    <n v="0"/>
    <n v="0"/>
    <n v="0"/>
    <n v="0"/>
    <n v="0"/>
    <n v="0"/>
    <n v="0"/>
    <n v="0"/>
  </r>
  <r>
    <d v="2010-08-17T00:00:00"/>
    <n v="2010"/>
    <x v="31"/>
    <s v="R"/>
    <s v="RS"/>
    <x v="3"/>
    <s v="NYL"/>
    <s v="A"/>
    <n v="1"/>
    <n v="2"/>
    <n v="-1"/>
    <n v="1"/>
    <n v="-8"/>
    <n v="8"/>
    <n v="1633.9532209799909"/>
    <n v="1605.5164736532736"/>
    <n v="0.3984443531191097"/>
    <n v="57"/>
    <n v="78"/>
    <n v="0"/>
    <n v="-21"/>
    <n v="0"/>
    <n v="0.57495149739039675"/>
    <n v="1"/>
    <n v="71.2"/>
    <n v="71.2"/>
    <n v="-16.310935834623706"/>
    <n v="1617.6422851453672"/>
    <n v="0"/>
    <n v="1"/>
    <n v="0"/>
    <n v="0"/>
    <n v="0"/>
    <n v="0"/>
    <n v="0"/>
    <n v="0"/>
    <n v="0"/>
    <n v="0"/>
  </r>
  <r>
    <d v="2010-08-17T00:00:00"/>
    <n v="2010"/>
    <x v="30"/>
    <s v="R"/>
    <s v="RS"/>
    <x v="10"/>
    <s v="IND"/>
    <s v="H"/>
    <n v="2"/>
    <n v="1"/>
    <n v="1"/>
    <n v="-1"/>
    <n v="8"/>
    <n v="-8"/>
    <n v="1605.5164736532736"/>
    <n v="1633.9532209799909"/>
    <n v="0.60155564688089036"/>
    <n v="78"/>
    <n v="57"/>
    <n v="0"/>
    <n v="21"/>
    <n v="1"/>
    <n v="0.57495149739039675"/>
    <n v="1"/>
    <n v="71.349999999999994"/>
    <n v="71.349999999999994"/>
    <n v="16.345298761241587"/>
    <n v="1621.8617724145151"/>
    <n v="1"/>
    <n v="0"/>
    <n v="0"/>
    <n v="0"/>
    <n v="0"/>
    <n v="0"/>
    <n v="0"/>
    <n v="0"/>
    <n v="0"/>
    <n v="0"/>
  </r>
  <r>
    <d v="2010-08-17T00:00:00"/>
    <n v="2010"/>
    <x v="31"/>
    <s v="R"/>
    <s v="RS"/>
    <x v="2"/>
    <s v="SAS"/>
    <s v="A"/>
    <n v="1"/>
    <n v="1"/>
    <n v="0"/>
    <n v="0"/>
    <n v="0"/>
    <n v="0"/>
    <n v="1553.5943044481749"/>
    <n v="1423.0175390700588"/>
    <n v="0.56663067462438699"/>
    <n v="76"/>
    <n v="66"/>
    <n v="0"/>
    <n v="10"/>
    <n v="1"/>
    <n v="0.38160567087194669"/>
    <n v="1"/>
    <n v="71.2"/>
    <n v="71.2"/>
    <n v="11.774784880744205"/>
    <n v="1565.369089328919"/>
    <n v="1"/>
    <n v="0"/>
    <n v="0"/>
    <n v="0"/>
    <n v="0"/>
    <n v="0"/>
    <n v="0"/>
    <n v="0"/>
    <n v="0"/>
    <n v="0"/>
  </r>
  <r>
    <d v="2010-08-17T00:00:00"/>
    <n v="2010"/>
    <x v="31"/>
    <s v="R"/>
    <s v="RS"/>
    <x v="7"/>
    <s v="WAS"/>
    <s v="H"/>
    <n v="1"/>
    <n v="1"/>
    <n v="0"/>
    <n v="0"/>
    <n v="0"/>
    <n v="0"/>
    <n v="1423.0175390700588"/>
    <n v="1553.5943044481749"/>
    <n v="0.43336932537561301"/>
    <n v="66"/>
    <n v="76"/>
    <n v="0"/>
    <n v="-10"/>
    <n v="0"/>
    <n v="0.38160567087194669"/>
    <n v="1"/>
    <n v="71.2"/>
    <n v="71.2"/>
    <n v="-11.774784880744205"/>
    <n v="1411.2427541893146"/>
    <n v="0"/>
    <n v="1"/>
    <n v="0"/>
    <n v="0"/>
    <n v="0"/>
    <n v="0"/>
    <n v="0"/>
    <n v="0"/>
    <n v="0"/>
    <n v="0"/>
  </r>
  <r>
    <d v="2010-08-17T00:00:00"/>
    <n v="2010"/>
    <x v="31"/>
    <s v="R"/>
    <s v="RS"/>
    <x v="8"/>
    <s v="SEA"/>
    <s v="A"/>
    <n v="1"/>
    <n v="1"/>
    <n v="0"/>
    <n v="0"/>
    <n v="0"/>
    <n v="0"/>
    <n v="1423.2612707756196"/>
    <n v="1642.7794726178754"/>
    <n v="0.14840181791710019"/>
    <n v="64"/>
    <n v="68"/>
    <n v="0"/>
    <n v="-4"/>
    <n v="0"/>
    <n v="0.26327191958485702"/>
    <n v="1"/>
    <n v="71.2"/>
    <n v="71.2"/>
    <n v="-2.7817862408717189"/>
    <n v="1420.4794845347478"/>
    <n v="0"/>
    <n v="1"/>
    <n v="0"/>
    <n v="0"/>
    <n v="0"/>
    <n v="0"/>
    <n v="0"/>
    <n v="0"/>
    <n v="0"/>
    <n v="0"/>
  </r>
  <r>
    <d v="2010-08-17T00:00:00"/>
    <n v="2010"/>
    <x v="31"/>
    <s v="R"/>
    <s v="RS"/>
    <x v="11"/>
    <s v="MIN"/>
    <s v="H"/>
    <n v="1"/>
    <n v="1"/>
    <n v="0"/>
    <n v="0"/>
    <n v="0"/>
    <n v="0"/>
    <n v="1642.7794726178754"/>
    <n v="1423.2612707756196"/>
    <n v="0.85159818208289983"/>
    <n v="68"/>
    <n v="64"/>
    <n v="0"/>
    <n v="4"/>
    <n v="1"/>
    <n v="0.26327191958485702"/>
    <n v="1"/>
    <n v="71.2"/>
    <n v="71.2"/>
    <n v="2.781786240871718"/>
    <n v="1645.5612588587471"/>
    <n v="1"/>
    <n v="0"/>
    <n v="0"/>
    <n v="0"/>
    <n v="0"/>
    <n v="0"/>
    <n v="0"/>
    <n v="0"/>
    <n v="0"/>
    <n v="0"/>
  </r>
  <r>
    <d v="2010-08-19T00:00:00"/>
    <n v="2010"/>
    <x v="32"/>
    <s v="R"/>
    <s v="RS"/>
    <x v="9"/>
    <s v="NYL"/>
    <s v="A"/>
    <n v="1"/>
    <n v="1"/>
    <n v="0"/>
    <n v="0"/>
    <n v="0"/>
    <n v="0"/>
    <n v="1268.6250240260567"/>
    <n v="1621.8617724145151"/>
    <n v="7.467932677390568E-2"/>
    <n v="85"/>
    <n v="95"/>
    <n v="0"/>
    <n v="-10"/>
    <n v="0"/>
    <n v="0.32690163925464444"/>
    <n v="1"/>
    <n v="71.05"/>
    <n v="71.05"/>
    <n v="-1.7345290379154759"/>
    <n v="1266.8904949881412"/>
    <n v="0"/>
    <n v="1"/>
    <n v="0"/>
    <n v="0"/>
    <n v="0"/>
    <n v="0"/>
    <n v="0"/>
    <n v="0"/>
    <n v="0"/>
    <n v="0"/>
  </r>
  <r>
    <d v="2010-08-19T00:00:00"/>
    <n v="2010"/>
    <x v="31"/>
    <s v="R"/>
    <s v="RS"/>
    <x v="10"/>
    <s v="TUL"/>
    <s v="H"/>
    <n v="1"/>
    <n v="1"/>
    <n v="0"/>
    <n v="0"/>
    <n v="0"/>
    <n v="0"/>
    <n v="1621.8617724145151"/>
    <n v="1268.6250240260567"/>
    <n v="0.92532067322609424"/>
    <n v="95"/>
    <n v="85"/>
    <n v="0"/>
    <n v="10"/>
    <n v="1"/>
    <n v="0.32690163925464444"/>
    <n v="1"/>
    <n v="71.2"/>
    <n v="71.2"/>
    <n v="1.7381909570666014"/>
    <n v="1623.5999633715817"/>
    <n v="1"/>
    <n v="0"/>
    <n v="0"/>
    <n v="0"/>
    <n v="0"/>
    <n v="0"/>
    <n v="0"/>
    <n v="0"/>
    <n v="0"/>
    <n v="0"/>
  </r>
  <r>
    <d v="2010-08-20T00:00:00"/>
    <n v="2010"/>
    <x v="32"/>
    <s v="R"/>
    <s v="RS"/>
    <x v="1"/>
    <s v="CHI"/>
    <s v="A"/>
    <n v="2"/>
    <n v="2"/>
    <n v="0"/>
    <n v="0"/>
    <n v="0"/>
    <n v="0"/>
    <n v="1481.9521525900761"/>
    <n v="1470.2817649851727"/>
    <n v="0.39738744649018293"/>
    <n v="78"/>
    <n v="71"/>
    <n v="0"/>
    <n v="7"/>
    <n v="1"/>
    <n v="0.36654242897071082"/>
    <n v="1"/>
    <n v="71.05"/>
    <n v="71.05"/>
    <n v="15.693742058967469"/>
    <n v="1497.6458946490436"/>
    <n v="1"/>
    <n v="0"/>
    <n v="0"/>
    <n v="0"/>
    <n v="0"/>
    <n v="0"/>
    <n v="0"/>
    <n v="0"/>
    <n v="0"/>
    <n v="0"/>
  </r>
  <r>
    <d v="2010-08-20T00:00:00"/>
    <n v="2010"/>
    <x v="32"/>
    <s v="R"/>
    <s v="RS"/>
    <x v="0"/>
    <s v="CON"/>
    <s v="H"/>
    <n v="2"/>
    <n v="2"/>
    <n v="0"/>
    <n v="0"/>
    <n v="0"/>
    <n v="0"/>
    <n v="1470.2817649851727"/>
    <n v="1481.9521525900761"/>
    <n v="0.60261255350981702"/>
    <n v="71"/>
    <n v="78"/>
    <n v="0"/>
    <n v="-7"/>
    <n v="0"/>
    <n v="0.36654242897071082"/>
    <n v="1"/>
    <n v="71.05"/>
    <n v="71.05"/>
    <n v="-15.693742058967469"/>
    <n v="1454.5880229262052"/>
    <n v="0"/>
    <n v="1"/>
    <n v="0"/>
    <n v="0"/>
    <n v="0"/>
    <n v="0"/>
    <n v="0"/>
    <n v="0"/>
    <n v="0"/>
    <n v="0"/>
  </r>
  <r>
    <d v="2010-08-20T00:00:00"/>
    <n v="2010"/>
    <x v="32"/>
    <s v="R"/>
    <s v="RS"/>
    <x v="8"/>
    <s v="LAS"/>
    <s v="A"/>
    <n v="2"/>
    <n v="2"/>
    <n v="0"/>
    <n v="0"/>
    <n v="0"/>
    <n v="0"/>
    <n v="1420.4794845347478"/>
    <n v="1437.9090408302284"/>
    <n v="0.3580413385546134"/>
    <n v="91"/>
    <n v="98"/>
    <n v="0"/>
    <n v="-7"/>
    <n v="0"/>
    <n v="0.3648084644306025"/>
    <n v="1"/>
    <n v="71.05"/>
    <n v="71.05"/>
    <n v="-9.2803031009218451"/>
    <n v="1411.199181433826"/>
    <n v="0"/>
    <n v="1"/>
    <n v="0"/>
    <n v="0"/>
    <n v="0"/>
    <n v="0"/>
    <n v="0"/>
    <n v="0"/>
    <n v="0"/>
    <n v="0"/>
  </r>
  <r>
    <d v="2010-08-20T00:00:00"/>
    <n v="2010"/>
    <x v="32"/>
    <s v="R"/>
    <s v="RS"/>
    <x v="4"/>
    <s v="MIN"/>
    <s v="H"/>
    <n v="2"/>
    <n v="2"/>
    <n v="0"/>
    <n v="0"/>
    <n v="0"/>
    <n v="0"/>
    <n v="1437.9090408302284"/>
    <n v="1420.4794845347478"/>
    <n v="0.64195866144538671"/>
    <n v="98"/>
    <n v="91"/>
    <n v="0"/>
    <n v="7"/>
    <n v="1"/>
    <n v="0.3648084644306025"/>
    <n v="1"/>
    <n v="71.05"/>
    <n v="71.05"/>
    <n v="9.2803031009218415"/>
    <n v="1447.1893439311502"/>
    <n v="1"/>
    <n v="0"/>
    <n v="0"/>
    <n v="0"/>
    <n v="0"/>
    <n v="0"/>
    <n v="0"/>
    <n v="0"/>
    <n v="0"/>
    <n v="0"/>
  </r>
  <r>
    <d v="2010-08-20T00:00:00"/>
    <n v="2010"/>
    <x v="32"/>
    <s v="R"/>
    <s v="RS"/>
    <x v="11"/>
    <s v="PHX"/>
    <s v="A"/>
    <n v="2"/>
    <n v="2"/>
    <n v="0"/>
    <n v="0"/>
    <n v="0"/>
    <n v="0"/>
    <n v="1645.5612588587471"/>
    <n v="1513.8007383389038"/>
    <n v="0.56830321651580795"/>
    <n v="78"/>
    <n v="73"/>
    <n v="0"/>
    <n v="5"/>
    <n v="1"/>
    <n v="0.29893300215724894"/>
    <n v="1"/>
    <n v="71.05"/>
    <n v="71.05"/>
    <n v="9.1688899218830038"/>
    <n v="1654.7301487806301"/>
    <n v="1"/>
    <n v="0"/>
    <n v="0"/>
    <n v="0"/>
    <n v="0"/>
    <n v="0"/>
    <n v="0"/>
    <n v="0"/>
    <n v="0"/>
    <n v="0"/>
  </r>
  <r>
    <d v="2010-08-20T00:00:00"/>
    <n v="2010"/>
    <x v="32"/>
    <s v="R"/>
    <s v="RS"/>
    <x v="5"/>
    <s v="SEA"/>
    <s v="H"/>
    <n v="2"/>
    <n v="2"/>
    <n v="0"/>
    <n v="0"/>
    <n v="0"/>
    <n v="0"/>
    <n v="1513.8007383389038"/>
    <n v="1645.5612588587471"/>
    <n v="0.43169678348419205"/>
    <n v="73"/>
    <n v="78"/>
    <n v="0"/>
    <n v="-5"/>
    <n v="0"/>
    <n v="0.29893300215724894"/>
    <n v="1"/>
    <n v="71.05"/>
    <n v="71.05"/>
    <n v="-9.1688899218830038"/>
    <n v="1504.6318484170208"/>
    <n v="0"/>
    <n v="1"/>
    <n v="0"/>
    <n v="0"/>
    <n v="0"/>
    <n v="0"/>
    <n v="0"/>
    <n v="0"/>
    <n v="0"/>
    <n v="0"/>
  </r>
  <r>
    <d v="2010-08-20T00:00:00"/>
    <n v="2010"/>
    <x v="32"/>
    <s v="R"/>
    <s v="RS"/>
    <x v="3"/>
    <s v="SAS"/>
    <s v="A"/>
    <n v="2"/>
    <n v="2"/>
    <n v="0"/>
    <n v="0"/>
    <n v="0"/>
    <n v="0"/>
    <n v="1617.6422851453672"/>
    <n v="1411.2427541893146"/>
    <n v="0.66920427963875129"/>
    <n v="61"/>
    <n v="75"/>
    <n v="0"/>
    <n v="-14"/>
    <n v="0"/>
    <n v="0.416048008664478"/>
    <n v="1"/>
    <n v="71.05"/>
    <n v="71.05"/>
    <n v="-19.781819718671546"/>
    <n v="1597.8604654266956"/>
    <n v="0"/>
    <n v="1"/>
    <n v="0"/>
    <n v="0"/>
    <n v="0"/>
    <n v="0"/>
    <n v="0"/>
    <n v="0"/>
    <n v="0"/>
    <n v="0"/>
  </r>
  <r>
    <d v="2010-08-20T00:00:00"/>
    <n v="2010"/>
    <x v="32"/>
    <s v="R"/>
    <s v="RS"/>
    <x v="7"/>
    <s v="IND"/>
    <s v="H"/>
    <n v="2"/>
    <n v="2"/>
    <n v="0"/>
    <n v="0"/>
    <n v="0"/>
    <n v="0"/>
    <n v="1411.2427541893146"/>
    <n v="1617.6422851453672"/>
    <n v="0.33079572036124877"/>
    <n v="75"/>
    <n v="61"/>
    <n v="0"/>
    <n v="14"/>
    <n v="1"/>
    <n v="0.416048008664478"/>
    <n v="1"/>
    <n v="71.05"/>
    <n v="71.05"/>
    <n v="19.781819718671542"/>
    <n v="1431.0245739079862"/>
    <n v="1"/>
    <n v="0"/>
    <n v="0"/>
    <n v="0"/>
    <n v="0"/>
    <n v="0"/>
    <n v="0"/>
    <n v="0"/>
    <n v="0"/>
    <n v="0"/>
  </r>
  <r>
    <d v="2010-08-20T00:00:00"/>
    <n v="2010"/>
    <x v="32"/>
    <s v="R"/>
    <s v="RS"/>
    <x v="10"/>
    <s v="WAS"/>
    <s v="A"/>
    <n v="0"/>
    <n v="2"/>
    <n v="-2"/>
    <n v="2"/>
    <n v="-16"/>
    <n v="16"/>
    <n v="1623.5999633715817"/>
    <n v="1565.369089328919"/>
    <n v="0.41762131501480576"/>
    <n v="74"/>
    <n v="75"/>
    <n v="0"/>
    <n v="-1"/>
    <n v="0"/>
    <n v="0.23287904565312462"/>
    <n v="1"/>
    <n v="71.05"/>
    <n v="71.05"/>
    <n v="-6.9099857459028655"/>
    <n v="1616.6899776256789"/>
    <n v="0"/>
    <n v="1"/>
    <n v="0"/>
    <n v="0"/>
    <n v="0"/>
    <n v="0"/>
    <n v="0"/>
    <n v="0"/>
    <n v="0"/>
    <n v="0"/>
  </r>
  <r>
    <d v="2010-08-20T00:00:00"/>
    <n v="2010"/>
    <x v="32"/>
    <s v="R"/>
    <s v="RS"/>
    <x v="2"/>
    <s v="NYL"/>
    <s v="H"/>
    <n v="2"/>
    <n v="0"/>
    <n v="2"/>
    <n v="-2"/>
    <n v="16"/>
    <n v="-16"/>
    <n v="1565.369089328919"/>
    <n v="1623.5999633715817"/>
    <n v="0.58237868498519429"/>
    <n v="75"/>
    <n v="74"/>
    <n v="0"/>
    <n v="1"/>
    <n v="1"/>
    <n v="0.23287904565312462"/>
    <n v="1"/>
    <n v="71.05"/>
    <n v="71.05"/>
    <n v="6.9099857459028646"/>
    <n v="1572.2790750748218"/>
    <n v="1"/>
    <n v="0"/>
    <n v="0"/>
    <n v="0"/>
    <n v="0"/>
    <n v="0"/>
    <n v="0"/>
    <n v="0"/>
    <n v="0"/>
    <n v="0"/>
  </r>
  <r>
    <d v="2010-08-21T00:00:00"/>
    <n v="2010"/>
    <x v="33"/>
    <s v="R"/>
    <s v="RS"/>
    <x v="4"/>
    <s v="SEA"/>
    <s v="A"/>
    <n v="0"/>
    <n v="0"/>
    <n v="0"/>
    <n v="0"/>
    <n v="0"/>
    <n v="0"/>
    <n v="1447.1893439311502"/>
    <n v="1654.7301487806301"/>
    <n v="0.1573281616816794"/>
    <n v="75"/>
    <n v="76"/>
    <n v="0"/>
    <n v="-1"/>
    <n v="0"/>
    <n v="0.20817556702356968"/>
    <n v="1"/>
    <n v="70.900000000000006"/>
    <n v="70.900000000000006"/>
    <n v="-2.3221082400203357"/>
    <n v="1444.86723569113"/>
    <n v="0"/>
    <n v="1"/>
    <n v="0"/>
    <n v="0"/>
    <n v="0"/>
    <n v="0"/>
    <n v="0"/>
    <n v="0"/>
    <n v="0"/>
    <n v="0"/>
  </r>
  <r>
    <d v="2010-08-21T00:00:00"/>
    <n v="2010"/>
    <x v="33"/>
    <s v="R"/>
    <s v="RS"/>
    <x v="11"/>
    <s v="LAS"/>
    <s v="H"/>
    <n v="0"/>
    <n v="0"/>
    <n v="0"/>
    <n v="0"/>
    <n v="0"/>
    <n v="0"/>
    <n v="1654.7301487806301"/>
    <n v="1447.1893439311502"/>
    <n v="0.8426718383183206"/>
    <n v="76"/>
    <n v="75"/>
    <n v="0"/>
    <n v="1"/>
    <n v="1"/>
    <n v="0.20817556702356968"/>
    <n v="1"/>
    <n v="70.900000000000006"/>
    <n v="70.900000000000006"/>
    <n v="2.3221082400203357"/>
    <n v="1657.0522570206504"/>
    <n v="1"/>
    <n v="0"/>
    <n v="0"/>
    <n v="0"/>
    <n v="0"/>
    <n v="0"/>
    <n v="0"/>
    <n v="0"/>
    <n v="0"/>
    <n v="0"/>
  </r>
  <r>
    <d v="2010-08-21T00:00:00"/>
    <n v="2010"/>
    <x v="33"/>
    <s v="R"/>
    <s v="RS"/>
    <x v="0"/>
    <s v="TUL"/>
    <s v="A"/>
    <n v="0"/>
    <n v="1"/>
    <n v="-1"/>
    <n v="1"/>
    <n v="-8"/>
    <n v="8"/>
    <n v="1454.5880229262052"/>
    <n v="1266.8904949881412"/>
    <n v="0.62359315118750869"/>
    <n v="71"/>
    <n v="84"/>
    <n v="0"/>
    <n v="-13"/>
    <n v="0"/>
    <n v="0.40819594715183716"/>
    <n v="1"/>
    <n v="70.900000000000006"/>
    <n v="70.900000000000006"/>
    <n v="-18.04746716633462"/>
    <n v="1436.5405557598706"/>
    <n v="0"/>
    <n v="1"/>
    <n v="0"/>
    <n v="0"/>
    <n v="0"/>
    <n v="0"/>
    <n v="0"/>
    <n v="0"/>
    <n v="0"/>
    <n v="0"/>
  </r>
  <r>
    <d v="2010-08-21T00:00:00"/>
    <n v="2010"/>
    <x v="33"/>
    <s v="R"/>
    <s v="RS"/>
    <x v="9"/>
    <s v="CHI"/>
    <s v="H"/>
    <n v="1"/>
    <n v="0"/>
    <n v="1"/>
    <n v="-1"/>
    <n v="8"/>
    <n v="-8"/>
    <n v="1266.8904949881412"/>
    <n v="1454.5880229262052"/>
    <n v="0.37640684881249131"/>
    <n v="84"/>
    <n v="71"/>
    <n v="0"/>
    <n v="13"/>
    <n v="1"/>
    <n v="0.40819594715183716"/>
    <n v="1"/>
    <n v="70.900000000000006"/>
    <n v="70.900000000000006"/>
    <n v="18.04746716633462"/>
    <n v="1284.9379621544758"/>
    <n v="1"/>
    <n v="0"/>
    <n v="0"/>
    <n v="0"/>
    <n v="0"/>
    <n v="0"/>
    <n v="0"/>
    <n v="0"/>
    <n v="0"/>
    <n v="0"/>
  </r>
  <r>
    <d v="2010-08-22T00:00:00"/>
    <n v="2010"/>
    <x v="33"/>
    <s v="R"/>
    <s v="RS"/>
    <x v="2"/>
    <s v="ATL"/>
    <s v="A"/>
    <n v="1"/>
    <n v="4"/>
    <n v="-3"/>
    <n v="3"/>
    <n v="-16"/>
    <n v="16"/>
    <n v="1572.2790750748218"/>
    <n v="1539.9851927439347"/>
    <n v="0.38181509924288209"/>
    <n v="90"/>
    <n v="81"/>
    <n v="0"/>
    <n v="9"/>
    <n v="1"/>
    <n v="0.39533250920244445"/>
    <n v="1"/>
    <n v="70.900000000000006"/>
    <n v="70.900000000000006"/>
    <n v="17.327150886886923"/>
    <n v="1589.6062259617088"/>
    <n v="1"/>
    <n v="0"/>
    <n v="0"/>
    <n v="0"/>
    <n v="0"/>
    <n v="0"/>
    <n v="0"/>
    <n v="0"/>
    <n v="0"/>
    <n v="0"/>
  </r>
  <r>
    <d v="2010-08-22T00:00:00"/>
    <n v="2010"/>
    <x v="33"/>
    <s v="R"/>
    <s v="RS"/>
    <x v="6"/>
    <s v="WAS"/>
    <s v="H"/>
    <n v="4"/>
    <n v="1"/>
    <n v="3"/>
    <n v="-3"/>
    <n v="16"/>
    <n v="-16"/>
    <n v="1539.9851927439347"/>
    <n v="1572.2790750748218"/>
    <n v="0.61818490075711785"/>
    <n v="81"/>
    <n v="90"/>
    <n v="0"/>
    <n v="-9"/>
    <n v="0"/>
    <n v="0.39533250920244445"/>
    <n v="1"/>
    <n v="70.900000000000006"/>
    <n v="70.900000000000006"/>
    <n v="-17.327150886886923"/>
    <n v="1522.6580418570477"/>
    <n v="0"/>
    <n v="1"/>
    <n v="0"/>
    <n v="0"/>
    <n v="0"/>
    <n v="0"/>
    <n v="0"/>
    <n v="0"/>
    <n v="0"/>
    <n v="0"/>
  </r>
  <r>
    <d v="2010-08-22T00:00:00"/>
    <n v="2010"/>
    <x v="33"/>
    <s v="R"/>
    <s v="RS"/>
    <x v="8"/>
    <s v="IND"/>
    <s v="A"/>
    <n v="1"/>
    <n v="1"/>
    <n v="0"/>
    <n v="0"/>
    <n v="0"/>
    <n v="0"/>
    <n v="1411.199181433826"/>
    <n v="1597.8604654266956"/>
    <n v="0.17392640833496606"/>
    <n v="83"/>
    <n v="79"/>
    <n v="1"/>
    <n v="4"/>
    <n v="1"/>
    <n v="0.24255912931215817"/>
    <n v="1"/>
    <n v="70.900000000000006"/>
    <n v="70.900000000000006"/>
    <n v="14.20635290197049"/>
    <n v="1425.4055343357963"/>
    <n v="1"/>
    <n v="0"/>
    <n v="0"/>
    <n v="0"/>
    <n v="0"/>
    <n v="0"/>
    <n v="0"/>
    <n v="0"/>
    <n v="0"/>
    <n v="0"/>
  </r>
  <r>
    <d v="2010-08-22T00:00:00"/>
    <n v="2010"/>
    <x v="33"/>
    <s v="R"/>
    <s v="RS"/>
    <x v="3"/>
    <s v="MIN"/>
    <s v="H"/>
    <n v="1"/>
    <n v="1"/>
    <n v="0"/>
    <n v="0"/>
    <n v="0"/>
    <n v="0"/>
    <n v="1597.8604654266956"/>
    <n v="1411.199181433826"/>
    <n v="0.82607359166503402"/>
    <n v="79"/>
    <n v="83"/>
    <n v="1"/>
    <n v="-4"/>
    <n v="0"/>
    <n v="0.24255912931215817"/>
    <n v="1"/>
    <n v="70.900000000000006"/>
    <n v="70.900000000000006"/>
    <n v="-14.206352901970492"/>
    <n v="1583.654112524725"/>
    <n v="0"/>
    <n v="1"/>
    <n v="0"/>
    <n v="0"/>
    <n v="0"/>
    <n v="0"/>
    <n v="0"/>
    <n v="0"/>
    <n v="0"/>
    <n v="0"/>
  </r>
  <r>
    <d v="2010-08-22T00:00:00"/>
    <n v="2010"/>
    <x v="33"/>
    <s v="R"/>
    <s v="RS"/>
    <x v="1"/>
    <s v="NYL"/>
    <s v="A"/>
    <n v="1"/>
    <n v="1"/>
    <n v="0"/>
    <n v="0"/>
    <n v="0"/>
    <n v="0"/>
    <n v="1497.6458946490436"/>
    <n v="1616.6899776256789"/>
    <n v="0.23706911936926026"/>
    <n v="87"/>
    <n v="88"/>
    <n v="1"/>
    <n v="-1"/>
    <n v="0"/>
    <n v="0.19992815103450048"/>
    <n v="1"/>
    <n v="70.900000000000006"/>
    <n v="70.900000000000006"/>
    <n v="-3.3604324608337306"/>
    <n v="1494.28546218821"/>
    <n v="0"/>
    <n v="1"/>
    <n v="0"/>
    <n v="0"/>
    <n v="0"/>
    <n v="0"/>
    <n v="0"/>
    <n v="0"/>
    <n v="0"/>
    <n v="0"/>
  </r>
  <r>
    <d v="2010-08-22T00:00:00"/>
    <n v="2010"/>
    <x v="33"/>
    <s v="R"/>
    <s v="RS"/>
    <x v="10"/>
    <s v="CON"/>
    <s v="H"/>
    <n v="1"/>
    <n v="1"/>
    <n v="0"/>
    <n v="0"/>
    <n v="0"/>
    <n v="0"/>
    <n v="1616.6899776256789"/>
    <n v="1497.6458946490436"/>
    <n v="0.76293088063073977"/>
    <n v="88"/>
    <n v="87"/>
    <n v="1"/>
    <n v="1"/>
    <n v="1"/>
    <n v="0.19992815103450048"/>
    <n v="1"/>
    <n v="70.900000000000006"/>
    <n v="70.900000000000006"/>
    <n v="3.3604324608337302"/>
    <n v="1620.0504100865126"/>
    <n v="1"/>
    <n v="0"/>
    <n v="0"/>
    <n v="0"/>
    <n v="0"/>
    <n v="0"/>
    <n v="0"/>
    <n v="0"/>
    <n v="0"/>
    <n v="0"/>
  </r>
  <r>
    <d v="2010-08-22T00:00:00"/>
    <n v="2010"/>
    <x v="33"/>
    <s v="R"/>
    <s v="RS"/>
    <x v="5"/>
    <s v="SAS"/>
    <s v="A"/>
    <n v="1"/>
    <n v="1"/>
    <n v="0"/>
    <n v="0"/>
    <n v="0"/>
    <n v="0"/>
    <n v="1504.6318484170208"/>
    <n v="1431.0245739079862"/>
    <n v="0.48504812497470884"/>
    <n v="82"/>
    <n v="83"/>
    <n v="0"/>
    <n v="-1"/>
    <n v="0"/>
    <n v="0.23006747136499142"/>
    <n v="1"/>
    <n v="70.900000000000006"/>
    <n v="70.900000000000006"/>
    <n v="-7.9120001082712479"/>
    <n v="1496.7198483087495"/>
    <n v="0"/>
    <n v="1"/>
    <n v="0"/>
    <n v="0"/>
    <n v="0"/>
    <n v="0"/>
    <n v="0"/>
    <n v="0"/>
    <n v="0"/>
    <n v="0"/>
  </r>
  <r>
    <d v="2010-08-22T00:00:00"/>
    <n v="2010"/>
    <x v="33"/>
    <s v="R"/>
    <s v="RS"/>
    <x v="7"/>
    <s v="PHX"/>
    <s v="H"/>
    <n v="1"/>
    <n v="1"/>
    <n v="0"/>
    <n v="0"/>
    <n v="0"/>
    <n v="0"/>
    <n v="1431.0245739079862"/>
    <n v="1504.6318484170208"/>
    <n v="0.51495187502529105"/>
    <n v="83"/>
    <n v="82"/>
    <n v="0"/>
    <n v="1"/>
    <n v="1"/>
    <n v="0.23006747136499142"/>
    <n v="1"/>
    <n v="70.900000000000006"/>
    <n v="70.900000000000006"/>
    <n v="7.9120001082712497"/>
    <n v="1438.9365740162575"/>
    <n v="1"/>
    <n v="0"/>
    <n v="0"/>
    <n v="0"/>
    <n v="0"/>
    <n v="0"/>
    <n v="0"/>
    <n v="0"/>
    <n v="0"/>
    <n v="0"/>
  </r>
  <r>
    <d v="2010-08-25T00:00:00"/>
    <n v="2010"/>
    <x v="34"/>
    <s v="R"/>
    <s v="RS"/>
    <x v="4"/>
    <s v="SEA"/>
    <s v="A"/>
    <n v="3"/>
    <n v="3"/>
    <n v="0"/>
    <n v="0"/>
    <n v="0"/>
    <n v="0"/>
    <n v="1444.86723569113"/>
    <n v="1657.0522570206504"/>
    <n v="0.15381622256458835"/>
    <n v="66"/>
    <n v="79"/>
    <n v="0"/>
    <n v="-13"/>
    <n v="0"/>
    <n v="0.40111777013726346"/>
    <n v="1"/>
    <n v="70.75"/>
    <n v="70.75"/>
    <n v="-4.3651632295776626"/>
    <n v="1440.5020724615522"/>
    <n v="0"/>
    <n v="1"/>
    <n v="0"/>
    <n v="0"/>
    <n v="0"/>
    <n v="0"/>
    <n v="0"/>
    <n v="0"/>
    <n v="0"/>
    <n v="0"/>
  </r>
  <r>
    <d v="2010-08-25T00:00:00"/>
    <n v="2010"/>
    <x v="34"/>
    <s v="R"/>
    <s v="RS"/>
    <x v="11"/>
    <s v="LAS"/>
    <s v="H"/>
    <n v="3"/>
    <n v="3"/>
    <n v="0"/>
    <n v="0"/>
    <n v="0"/>
    <n v="0"/>
    <n v="1657.0522570206504"/>
    <n v="1444.86723569113"/>
    <n v="0.84618377743541162"/>
    <n v="79"/>
    <n v="66"/>
    <n v="0"/>
    <n v="13"/>
    <n v="1"/>
    <n v="0.40111777013726346"/>
    <n v="1"/>
    <n v="70.75"/>
    <n v="70.75"/>
    <n v="4.3651632295776635"/>
    <n v="1661.4174202502281"/>
    <n v="1"/>
    <n v="0"/>
    <n v="0"/>
    <n v="0"/>
    <n v="0"/>
    <n v="0"/>
    <n v="0"/>
    <n v="0"/>
    <n v="0"/>
    <n v="0"/>
  </r>
  <r>
    <d v="2010-08-25T00:00:00"/>
    <n v="2010"/>
    <x v="34"/>
    <s v="R"/>
    <s v="RS"/>
    <x v="6"/>
    <s v="WAS"/>
    <s v="A"/>
    <n v="2"/>
    <n v="2"/>
    <n v="0"/>
    <n v="0"/>
    <n v="0"/>
    <n v="0"/>
    <n v="1522.6580418570477"/>
    <n v="1589.6062259617088"/>
    <n v="0.29547749588303246"/>
    <n v="95"/>
    <n v="90"/>
    <n v="0"/>
    <n v="5"/>
    <n v="1"/>
    <n v="0.31422529788369791"/>
    <n v="1"/>
    <n v="70.75"/>
    <n v="70.75"/>
    <n v="15.662549655826046"/>
    <n v="1538.3205915128738"/>
    <n v="1"/>
    <n v="0"/>
    <n v="0"/>
    <n v="0"/>
    <n v="0"/>
    <n v="0"/>
    <n v="0"/>
    <n v="0"/>
    <n v="0"/>
    <n v="0"/>
  </r>
  <r>
    <d v="2010-08-25T00:00:00"/>
    <n v="2010"/>
    <x v="34"/>
    <s v="R"/>
    <s v="RS"/>
    <x v="2"/>
    <s v="ATL"/>
    <s v="H"/>
    <n v="2"/>
    <n v="2"/>
    <n v="0"/>
    <n v="0"/>
    <n v="0"/>
    <n v="0"/>
    <n v="1589.6062259617088"/>
    <n v="1522.6580418570477"/>
    <n v="0.70452250411696749"/>
    <n v="90"/>
    <n v="95"/>
    <n v="0"/>
    <n v="-5"/>
    <n v="0"/>
    <n v="0.31422529788369791"/>
    <n v="1"/>
    <n v="70.75"/>
    <n v="70.75"/>
    <n v="-15.662549655826043"/>
    <n v="1573.9436763058827"/>
    <n v="0"/>
    <n v="1"/>
    <n v="0"/>
    <n v="0"/>
    <n v="0"/>
    <n v="0"/>
    <n v="0"/>
    <n v="0"/>
    <n v="0"/>
    <n v="0"/>
  </r>
  <r>
    <d v="2010-08-26T00:00:00"/>
    <n v="2010"/>
    <x v="34"/>
    <s v="R"/>
    <s v="RS"/>
    <x v="3"/>
    <s v="NYL"/>
    <s v="A"/>
    <n v="3"/>
    <n v="3"/>
    <n v="0"/>
    <n v="0"/>
    <n v="0"/>
    <n v="0"/>
    <n v="1583.654112524725"/>
    <n v="1620.0504100865126"/>
    <n v="0.33335341819505004"/>
    <n v="73"/>
    <n v="85"/>
    <n v="0"/>
    <n v="-12"/>
    <n v="0"/>
    <n v="0.44270217629351594"/>
    <n v="1"/>
    <n v="70.75"/>
    <n v="70.75"/>
    <n v="-10.441022072470556"/>
    <n v="1573.2130904522544"/>
    <n v="0"/>
    <n v="1"/>
    <n v="0"/>
    <n v="0"/>
    <n v="0"/>
    <n v="0"/>
    <n v="0"/>
    <n v="0"/>
    <n v="0"/>
    <n v="0"/>
  </r>
  <r>
    <d v="2010-08-26T00:00:00"/>
    <n v="2010"/>
    <x v="34"/>
    <s v="R"/>
    <s v="RS"/>
    <x v="10"/>
    <s v="IND"/>
    <s v="H"/>
    <n v="3"/>
    <n v="3"/>
    <n v="0"/>
    <n v="0"/>
    <n v="0"/>
    <n v="0"/>
    <n v="1620.0504100865126"/>
    <n v="1583.654112524725"/>
    <n v="0.66664658180494996"/>
    <n v="85"/>
    <n v="73"/>
    <n v="0"/>
    <n v="12"/>
    <n v="1"/>
    <n v="0.44270217629351594"/>
    <n v="1"/>
    <n v="70.75"/>
    <n v="70.75"/>
    <n v="10.441022072470556"/>
    <n v="1630.4914321589831"/>
    <n v="1"/>
    <n v="0"/>
    <n v="0"/>
    <n v="0"/>
    <n v="0"/>
    <n v="0"/>
    <n v="0"/>
    <n v="0"/>
    <n v="0"/>
    <n v="0"/>
  </r>
  <r>
    <d v="2010-08-26T00:00:00"/>
    <n v="2010"/>
    <x v="34"/>
    <s v="R"/>
    <s v="RS"/>
    <x v="7"/>
    <s v="PHX"/>
    <s v="A"/>
    <n v="3"/>
    <n v="3"/>
    <n v="0"/>
    <n v="0"/>
    <n v="0"/>
    <n v="0"/>
    <n v="1438.9365740162575"/>
    <n v="1496.7198483087495"/>
    <n v="0.30657723825072142"/>
    <n v="93"/>
    <n v="106"/>
    <n v="0"/>
    <n v="-13"/>
    <n v="0"/>
    <n v="0.45035779879929855"/>
    <n v="1"/>
    <n v="70.75"/>
    <n v="70.75"/>
    <n v="-9.7684136002748332"/>
    <n v="1429.1681604159826"/>
    <n v="0"/>
    <n v="1"/>
    <n v="0"/>
    <n v="0"/>
    <n v="0"/>
    <n v="0"/>
    <n v="0"/>
    <n v="0"/>
    <n v="0"/>
    <n v="0"/>
  </r>
  <r>
    <d v="2010-08-26T00:00:00"/>
    <n v="2010"/>
    <x v="34"/>
    <s v="R"/>
    <s v="RS"/>
    <x v="5"/>
    <s v="SAS"/>
    <s v="H"/>
    <n v="3"/>
    <n v="3"/>
    <n v="0"/>
    <n v="0"/>
    <n v="0"/>
    <n v="0"/>
    <n v="1496.7198483087495"/>
    <n v="1438.9365740162575"/>
    <n v="0.69342276174927864"/>
    <n v="106"/>
    <n v="93"/>
    <n v="0"/>
    <n v="13"/>
    <n v="1"/>
    <n v="0.45035779879929855"/>
    <n v="1"/>
    <n v="70.75"/>
    <n v="70.75"/>
    <n v="9.7684136002748314"/>
    <n v="1506.4882619090245"/>
    <n v="1"/>
    <n v="0"/>
    <n v="0"/>
    <n v="0"/>
    <n v="0"/>
    <n v="0"/>
    <n v="0"/>
    <n v="0"/>
    <n v="0"/>
    <n v="0"/>
  </r>
  <r>
    <d v="2010-08-27T00:00:00"/>
    <n v="2010"/>
    <x v="35"/>
    <s v="R"/>
    <s v="RS"/>
    <x v="2"/>
    <s v="ATL"/>
    <s v="A"/>
    <n v="1"/>
    <n v="1"/>
    <n v="0"/>
    <n v="0"/>
    <n v="0"/>
    <n v="0"/>
    <n v="1573.9436763058827"/>
    <n v="1538.3205915128738"/>
    <n v="0.43082648582803368"/>
    <n v="77"/>
    <n v="101"/>
    <n v="0"/>
    <n v="-24"/>
    <n v="0"/>
    <n v="0.61031323112912983"/>
    <n v="1"/>
    <n v="70.599999999999994"/>
    <n v="70.599999999999994"/>
    <n v="-18.563500786293112"/>
    <n v="1555.3801755195896"/>
    <n v="0"/>
    <n v="1"/>
    <n v="0"/>
    <n v="0"/>
    <n v="0"/>
    <n v="0"/>
    <n v="0"/>
    <n v="0"/>
    <n v="0"/>
    <n v="0"/>
  </r>
  <r>
    <d v="2010-08-27T00:00:00"/>
    <n v="2010"/>
    <x v="35"/>
    <s v="R"/>
    <s v="RS"/>
    <x v="6"/>
    <s v="WAS"/>
    <s v="H"/>
    <n v="1"/>
    <n v="1"/>
    <n v="0"/>
    <n v="0"/>
    <n v="0"/>
    <n v="0"/>
    <n v="1538.3205915128738"/>
    <n v="1573.9436763058827"/>
    <n v="0.56917351417196638"/>
    <n v="101"/>
    <n v="77"/>
    <n v="0"/>
    <n v="24"/>
    <n v="1"/>
    <n v="0.61031323112912983"/>
    <n v="1"/>
    <n v="70.599999999999994"/>
    <n v="70.599999999999994"/>
    <n v="18.563500786293112"/>
    <n v="1556.8840922991669"/>
    <n v="1"/>
    <n v="0"/>
    <n v="0"/>
    <n v="0"/>
    <n v="0"/>
    <n v="0"/>
    <n v="0"/>
    <n v="0"/>
    <n v="0"/>
    <n v="0"/>
  </r>
  <r>
    <d v="2010-08-28T00:00:00"/>
    <n v="2010"/>
    <x v="35"/>
    <s v="R"/>
    <s v="RS"/>
    <x v="11"/>
    <s v="LAS"/>
    <s v="A"/>
    <n v="2"/>
    <n v="2"/>
    <n v="0"/>
    <n v="0"/>
    <n v="0"/>
    <n v="0"/>
    <n v="1661.4174202502281"/>
    <n v="1440.5020724615522"/>
    <n v="0.68743355285745389"/>
    <n v="81"/>
    <n v="66"/>
    <n v="0"/>
    <n v="15"/>
    <n v="1"/>
    <n v="0.42466824965582595"/>
    <n v="1"/>
    <n v="70.599999999999994"/>
    <n v="70.599999999999994"/>
    <n v="9.3712354482470683"/>
    <n v="1670.7886556984752"/>
    <n v="1"/>
    <n v="0"/>
    <n v="0"/>
    <n v="0"/>
    <n v="0"/>
    <n v="0"/>
    <n v="0"/>
    <n v="0"/>
    <n v="0"/>
    <n v="0"/>
  </r>
  <r>
    <d v="2010-08-28T00:00:00"/>
    <n v="2010"/>
    <x v="35"/>
    <s v="R"/>
    <s v="RS"/>
    <x v="4"/>
    <s v="SEA"/>
    <s v="H"/>
    <n v="2"/>
    <n v="2"/>
    <n v="0"/>
    <n v="0"/>
    <n v="0"/>
    <n v="0"/>
    <n v="1440.5020724615522"/>
    <n v="1661.4174202502281"/>
    <n v="0.31256644714254611"/>
    <n v="66"/>
    <n v="81"/>
    <n v="0"/>
    <n v="-15"/>
    <n v="0"/>
    <n v="0.42466824965582595"/>
    <n v="1"/>
    <n v="70.599999999999994"/>
    <n v="70.599999999999994"/>
    <n v="-9.3712354482470683"/>
    <n v="1431.1308370133052"/>
    <n v="0"/>
    <n v="1"/>
    <n v="0"/>
    <n v="0"/>
    <n v="0"/>
    <n v="0"/>
    <n v="0"/>
    <n v="0"/>
    <n v="0"/>
    <n v="0"/>
  </r>
  <r>
    <d v="2010-08-28T00:00:00"/>
    <n v="2010"/>
    <x v="35"/>
    <s v="R"/>
    <s v="RS"/>
    <x v="5"/>
    <s v="SAS"/>
    <s v="A"/>
    <n v="1"/>
    <n v="1"/>
    <n v="0"/>
    <n v="0"/>
    <n v="0"/>
    <n v="0"/>
    <n v="1506.4882619090245"/>
    <n v="1429.1681604159826"/>
    <n v="0.49038803762290428"/>
    <n v="92"/>
    <n v="73"/>
    <n v="0"/>
    <n v="19"/>
    <n v="1"/>
    <n v="0.52701988051456872"/>
    <n v="1"/>
    <n v="70.599999999999994"/>
    <n v="70.599999999999994"/>
    <n v="18.961439867766494"/>
    <n v="1525.449701776791"/>
    <n v="1"/>
    <n v="0"/>
    <n v="0"/>
    <n v="0"/>
    <n v="0"/>
    <n v="0"/>
    <n v="0"/>
    <n v="0"/>
    <n v="0"/>
    <n v="0"/>
  </r>
  <r>
    <d v="2010-08-28T00:00:00"/>
    <n v="2010"/>
    <x v="35"/>
    <s v="R"/>
    <s v="RS"/>
    <x v="7"/>
    <s v="PHX"/>
    <s v="H"/>
    <n v="1"/>
    <n v="1"/>
    <n v="0"/>
    <n v="0"/>
    <n v="0"/>
    <n v="0"/>
    <n v="1429.1681604159826"/>
    <n v="1506.4882619090245"/>
    <n v="0.50961196237709561"/>
    <n v="73"/>
    <n v="92"/>
    <n v="0"/>
    <n v="-19"/>
    <n v="0"/>
    <n v="0.52701988051456872"/>
    <n v="1"/>
    <n v="70.599999999999994"/>
    <n v="70.599999999999994"/>
    <n v="-18.96143986776649"/>
    <n v="1410.206720548216"/>
    <n v="0"/>
    <n v="1"/>
    <n v="0"/>
    <n v="0"/>
    <n v="0"/>
    <n v="0"/>
    <n v="0"/>
    <n v="0"/>
    <n v="0"/>
    <n v="0"/>
  </r>
  <r>
    <d v="2010-08-29T00:00:00"/>
    <n v="2010"/>
    <x v="35"/>
    <s v="R"/>
    <s v="RS"/>
    <x v="10"/>
    <s v="IND"/>
    <s v="A"/>
    <n v="2"/>
    <n v="2"/>
    <n v="0"/>
    <n v="0"/>
    <n v="0"/>
    <n v="0"/>
    <n v="1630.4914321589831"/>
    <n v="1573.2130904522544"/>
    <n v="0.46162008912450825"/>
    <n v="67"/>
    <n v="75"/>
    <n v="0"/>
    <n v="-8"/>
    <n v="0"/>
    <n v="0.37062488595091081"/>
    <n v="1"/>
    <n v="70.599999999999994"/>
    <n v="70.599999999999994"/>
    <n v="-12.078805237640063"/>
    <n v="1618.412626921343"/>
    <n v="0"/>
    <n v="1"/>
    <n v="0"/>
    <n v="0"/>
    <n v="0"/>
    <n v="0"/>
    <n v="0"/>
    <n v="0"/>
    <n v="0"/>
    <n v="0"/>
  </r>
  <r>
    <d v="2010-08-29T00:00:00"/>
    <n v="2010"/>
    <x v="35"/>
    <s v="R"/>
    <s v="RS"/>
    <x v="3"/>
    <s v="NYL"/>
    <s v="H"/>
    <n v="2"/>
    <n v="2"/>
    <n v="0"/>
    <n v="0"/>
    <n v="0"/>
    <n v="0"/>
    <n v="1573.2130904522544"/>
    <n v="1630.4914321589831"/>
    <n v="0.53837991087549164"/>
    <n v="75"/>
    <n v="67"/>
    <n v="0"/>
    <n v="8"/>
    <n v="1"/>
    <n v="0.37062488595091081"/>
    <n v="1"/>
    <n v="70.599999999999994"/>
    <n v="70.599999999999994"/>
    <n v="12.078805237640065"/>
    <n v="1585.2918956898945"/>
    <n v="1"/>
    <n v="0"/>
    <n v="0"/>
    <n v="0"/>
    <n v="0"/>
    <n v="0"/>
    <n v="0"/>
    <n v="0"/>
    <n v="0"/>
    <n v="0"/>
  </r>
  <r>
    <d v="2010-09-01T00:00:00"/>
    <n v="2010"/>
    <x v="36"/>
    <s v="R"/>
    <s v="RS"/>
    <x v="3"/>
    <s v="NYL"/>
    <s v="A"/>
    <n v="2"/>
    <n v="2"/>
    <n v="0"/>
    <n v="0"/>
    <n v="0"/>
    <n v="0"/>
    <n v="1585.2918956898945"/>
    <n v="1618.412626921343"/>
    <n v="0.33755677794108246"/>
    <n v="74"/>
    <n v="77"/>
    <n v="0"/>
    <n v="-3"/>
    <n v="0"/>
    <n v="0.28238940153954079"/>
    <n v="1"/>
    <n v="70.45"/>
    <n v="70.45"/>
    <n v="-6.7154670610166347"/>
    <n v="1578.5764286288779"/>
    <n v="0"/>
    <n v="1"/>
    <n v="0"/>
    <n v="0"/>
    <n v="0"/>
    <n v="0"/>
    <n v="0"/>
    <n v="0"/>
    <n v="0"/>
    <n v="0"/>
  </r>
  <r>
    <d v="2010-09-01T00:00:00"/>
    <n v="2010"/>
    <x v="36"/>
    <s v="R"/>
    <s v="RS"/>
    <x v="10"/>
    <s v="IND"/>
    <s v="H"/>
    <n v="2"/>
    <n v="2"/>
    <n v="0"/>
    <n v="0"/>
    <n v="0"/>
    <n v="0"/>
    <n v="1618.412626921343"/>
    <n v="1585.2918956898945"/>
    <n v="0.66244322205891748"/>
    <n v="77"/>
    <n v="74"/>
    <n v="0"/>
    <n v="3"/>
    <n v="1"/>
    <n v="0.28238940153954079"/>
    <n v="1"/>
    <n v="70.45"/>
    <n v="70.45"/>
    <n v="6.7154670610166356"/>
    <n v="1625.1280939823596"/>
    <n v="1"/>
    <n v="0"/>
    <n v="0"/>
    <n v="0"/>
    <n v="0"/>
    <n v="0"/>
    <n v="0"/>
    <n v="0"/>
    <n v="0"/>
    <n v="0"/>
  </r>
  <r>
    <d v="2010-09-02T00:00:00"/>
    <n v="2010"/>
    <x v="36"/>
    <s v="R"/>
    <s v="RS"/>
    <x v="5"/>
    <s v="SEA"/>
    <s v="A"/>
    <n v="4"/>
    <n v="4"/>
    <n v="0"/>
    <n v="0"/>
    <n v="0"/>
    <n v="0"/>
    <n v="1525.449701776791"/>
    <n v="1670.7886556984752"/>
    <n v="0.21078815785499558"/>
    <n v="74"/>
    <n v="82"/>
    <n v="0"/>
    <n v="-8"/>
    <n v="0"/>
    <n v="0.34636523431159971"/>
    <n v="1"/>
    <n v="70.45"/>
    <n v="70.45"/>
    <n v="-5.1435326383474207"/>
    <n v="1520.3061691384437"/>
    <n v="0"/>
    <n v="1"/>
    <n v="0"/>
    <n v="0"/>
    <n v="0"/>
    <n v="0"/>
    <n v="0"/>
    <n v="0"/>
    <n v="0"/>
    <n v="0"/>
  </r>
  <r>
    <d v="2010-09-02T00:00:00"/>
    <n v="2010"/>
    <x v="36"/>
    <s v="R"/>
    <s v="RS"/>
    <x v="11"/>
    <s v="PHX"/>
    <s v="H"/>
    <n v="4"/>
    <n v="4"/>
    <n v="0"/>
    <n v="0"/>
    <n v="0"/>
    <n v="0"/>
    <n v="1670.7886556984752"/>
    <n v="1525.449701776791"/>
    <n v="0.78921184214500439"/>
    <n v="82"/>
    <n v="74"/>
    <n v="0"/>
    <n v="8"/>
    <n v="1"/>
    <n v="0.34636523431159971"/>
    <n v="1"/>
    <n v="70.45"/>
    <n v="70.45"/>
    <n v="5.1435326383474216"/>
    <n v="1675.9321883368225"/>
    <n v="1"/>
    <n v="0"/>
    <n v="0"/>
    <n v="0"/>
    <n v="0"/>
    <n v="0"/>
    <n v="0"/>
    <n v="0"/>
    <n v="0"/>
    <n v="0"/>
  </r>
  <r>
    <d v="2010-09-05T00:00:00"/>
    <n v="2010"/>
    <x v="36"/>
    <s v="R"/>
    <s v="RS"/>
    <x v="6"/>
    <s v="NYL"/>
    <s v="A"/>
    <n v="8"/>
    <n v="3"/>
    <n v="5"/>
    <n v="-5"/>
    <n v="16"/>
    <n v="-16"/>
    <n v="1556.8840922991669"/>
    <n v="1625.1280939823596"/>
    <n v="0.3335482715299925"/>
    <n v="81"/>
    <n v="75"/>
    <n v="0"/>
    <n v="6"/>
    <n v="1"/>
    <n v="0.332378400962065"/>
    <n v="1"/>
    <n v="70.45"/>
    <n v="70.45"/>
    <n v="15.60567255983085"/>
    <n v="1572.4897648589977"/>
    <n v="1"/>
    <n v="0"/>
    <n v="0"/>
    <n v="0"/>
    <n v="0"/>
    <n v="0"/>
    <n v="0"/>
    <n v="0"/>
    <n v="0"/>
    <n v="0"/>
  </r>
  <r>
    <d v="2010-09-05T00:00:00"/>
    <n v="2010"/>
    <x v="37"/>
    <s v="R"/>
    <s v="RS"/>
    <x v="10"/>
    <s v="ATL"/>
    <s v="H"/>
    <n v="3"/>
    <n v="8"/>
    <n v="-5"/>
    <n v="5"/>
    <n v="-16"/>
    <n v="16"/>
    <n v="1625.1280939823596"/>
    <n v="1556.8840922991669"/>
    <n v="0.66645172847000755"/>
    <n v="75"/>
    <n v="81"/>
    <n v="0"/>
    <n v="-6"/>
    <n v="0"/>
    <n v="0.332378400962065"/>
    <n v="1"/>
    <n v="70.3"/>
    <n v="70.3"/>
    <n v="-15.572445435856759"/>
    <n v="1609.5556485465029"/>
    <n v="0"/>
    <n v="1"/>
    <n v="0"/>
    <n v="0"/>
    <n v="0"/>
    <n v="0"/>
    <n v="0"/>
    <n v="0"/>
    <n v="0"/>
    <n v="0"/>
  </r>
  <r>
    <d v="2010-09-05T00:00:00"/>
    <n v="2010"/>
    <x v="37"/>
    <s v="R"/>
    <s v="RS"/>
    <x v="11"/>
    <s v="PHX"/>
    <s v="A"/>
    <n v="2"/>
    <n v="2"/>
    <n v="0"/>
    <n v="0"/>
    <n v="0"/>
    <n v="0"/>
    <n v="1675.9321883368225"/>
    <n v="1520.3061691384437"/>
    <n v="0.60164224557183354"/>
    <n v="91"/>
    <n v="88"/>
    <n v="0"/>
    <n v="3"/>
    <n v="1"/>
    <n v="0.25687042029804236"/>
    <n v="1"/>
    <n v="70.3"/>
    <n v="70.3"/>
    <n v="7.1935405637690071"/>
    <n v="1683.1257289005914"/>
    <n v="1"/>
    <n v="0"/>
    <n v="0"/>
    <n v="0"/>
    <n v="0"/>
    <n v="0"/>
    <n v="0"/>
    <n v="0"/>
    <n v="0"/>
    <n v="0"/>
  </r>
  <r>
    <d v="2010-09-05T00:00:00"/>
    <n v="2010"/>
    <x v="37"/>
    <s v="R"/>
    <s v="RS"/>
    <x v="5"/>
    <s v="SEA"/>
    <s v="H"/>
    <n v="2"/>
    <n v="2"/>
    <n v="0"/>
    <n v="0"/>
    <n v="0"/>
    <n v="0"/>
    <n v="1520.3061691384437"/>
    <n v="1675.9321883368225"/>
    <n v="0.39835775442816646"/>
    <n v="88"/>
    <n v="91"/>
    <n v="0"/>
    <n v="-3"/>
    <n v="0"/>
    <n v="0.25687042029804236"/>
    <n v="1"/>
    <n v="70.3"/>
    <n v="70.3"/>
    <n v="-7.1935405637690071"/>
    <n v="1513.1126285746748"/>
    <n v="0"/>
    <n v="1"/>
    <n v="0"/>
    <n v="0"/>
    <n v="0"/>
    <n v="0"/>
    <n v="0"/>
    <n v="0"/>
    <n v="0"/>
    <n v="0"/>
  </r>
  <r>
    <d v="2010-09-07T00:00:00"/>
    <n v="2010"/>
    <x v="38"/>
    <s v="R"/>
    <s v="RS"/>
    <x v="10"/>
    <s v="ATL"/>
    <s v="A"/>
    <n v="1"/>
    <n v="1"/>
    <n v="0"/>
    <n v="0"/>
    <n v="0"/>
    <n v="0"/>
    <n v="1609.5556485465029"/>
    <n v="1572.4897648589977"/>
    <n v="0.43286425814325019"/>
    <n v="93"/>
    <n v="105"/>
    <n v="0"/>
    <n v="-12"/>
    <n v="0"/>
    <n v="0.44246255507448473"/>
    <n v="1"/>
    <n v="70.150000000000006"/>
    <n v="70.150000000000006"/>
    <n v="-13.435564729942641"/>
    <n v="1596.1200838165603"/>
    <n v="0"/>
    <n v="1"/>
    <n v="0"/>
    <n v="0"/>
    <n v="0"/>
    <n v="0"/>
    <n v="0"/>
    <n v="0"/>
    <n v="0"/>
    <n v="0"/>
  </r>
  <r>
    <d v="2010-09-07T00:00:00"/>
    <n v="2010"/>
    <x v="37"/>
    <s v="R"/>
    <s v="RS"/>
    <x v="6"/>
    <s v="NYL"/>
    <s v="H"/>
    <n v="1"/>
    <n v="1"/>
    <n v="0"/>
    <n v="0"/>
    <n v="0"/>
    <n v="0"/>
    <n v="1572.4897648589977"/>
    <n v="1609.5556485465029"/>
    <n v="0.56713574185674975"/>
    <n v="105"/>
    <n v="93"/>
    <n v="0"/>
    <n v="12"/>
    <n v="1"/>
    <n v="0.44246255507448473"/>
    <n v="1"/>
    <n v="70.3"/>
    <n v="70.3"/>
    <n v="13.464293663791414"/>
    <n v="1585.9540585227892"/>
    <n v="1"/>
    <n v="0"/>
    <n v="0"/>
    <n v="0"/>
    <n v="0"/>
    <n v="0"/>
    <n v="0"/>
    <n v="0"/>
    <n v="0"/>
    <n v="0"/>
  </r>
  <r>
    <d v="2010-09-12T00:00:00"/>
    <n v="2010"/>
    <x v="38"/>
    <s v="R"/>
    <s v="RS"/>
    <x v="6"/>
    <s v="SEA"/>
    <s v="A"/>
    <n v="4"/>
    <n v="6"/>
    <n v="-2"/>
    <n v="2"/>
    <n v="-16"/>
    <n v="16"/>
    <n v="1585.9540585227892"/>
    <n v="1683.1257289005914"/>
    <n v="0.2266868062989261"/>
    <n v="77"/>
    <n v="79"/>
    <n v="0"/>
    <n v="-2"/>
    <n v="0"/>
    <n v="0.2477772158545469"/>
    <n v="1"/>
    <n v="70.150000000000006"/>
    <n v="70.150000000000006"/>
    <n v="-3.9401729753598373"/>
    <n v="1582.0138855474293"/>
    <n v="0"/>
    <n v="1"/>
    <n v="0"/>
    <n v="0"/>
    <n v="0"/>
    <n v="0"/>
    <n v="0"/>
    <n v="0"/>
    <n v="0"/>
    <n v="0"/>
  </r>
  <r>
    <d v="2010-09-12T00:00:00"/>
    <n v="2010"/>
    <x v="38"/>
    <s v="R"/>
    <s v="RS"/>
    <x v="11"/>
    <s v="ATL"/>
    <s v="H"/>
    <n v="6"/>
    <n v="4"/>
    <n v="2"/>
    <n v="-2"/>
    <n v="16"/>
    <n v="-16"/>
    <n v="1683.1257289005914"/>
    <n v="1585.9540585227892"/>
    <n v="0.77331319370107399"/>
    <n v="79"/>
    <n v="77"/>
    <n v="0"/>
    <n v="2"/>
    <n v="1"/>
    <n v="0.2477772158545469"/>
    <n v="1"/>
    <n v="70.150000000000006"/>
    <n v="70.150000000000006"/>
    <n v="3.940172975359836"/>
    <n v="1687.0659018759513"/>
    <n v="1"/>
    <n v="0"/>
    <n v="0"/>
    <n v="0"/>
    <n v="0"/>
    <n v="0"/>
    <n v="0"/>
    <n v="0"/>
    <n v="0"/>
    <n v="0"/>
  </r>
  <r>
    <d v="2010-09-14T00:00:00"/>
    <n v="2010"/>
    <x v="39"/>
    <s v="R"/>
    <s v="RS"/>
    <x v="6"/>
    <s v="SEA"/>
    <s v="A"/>
    <n v="1"/>
    <n v="1"/>
    <n v="0"/>
    <n v="0"/>
    <n v="0"/>
    <n v="0"/>
    <n v="1582.0138855474293"/>
    <n v="1687.0659018759513"/>
    <n v="0.25194402155922074"/>
    <n v="84"/>
    <n v="87"/>
    <n v="0"/>
    <n v="-3"/>
    <n v="0"/>
    <n v="0.26682478626261269"/>
    <n v="1"/>
    <n v="70"/>
    <n v="70"/>
    <n v="-4.7057436791877514"/>
    <n v="1577.3081418682416"/>
    <n v="0"/>
    <n v="1"/>
    <n v="0"/>
    <n v="0"/>
    <n v="0"/>
    <n v="0"/>
    <n v="0"/>
    <n v="0"/>
    <n v="0"/>
    <n v="0"/>
  </r>
  <r>
    <d v="2010-09-14T00:00:00"/>
    <n v="2010"/>
    <x v="39"/>
    <s v="R"/>
    <s v="RS"/>
    <x v="11"/>
    <s v="ATL"/>
    <s v="H"/>
    <n v="1"/>
    <n v="1"/>
    <n v="0"/>
    <n v="0"/>
    <n v="0"/>
    <n v="0"/>
    <n v="1687.0659018759513"/>
    <n v="1582.0138855474293"/>
    <n v="0.74805597844077931"/>
    <n v="87"/>
    <n v="84"/>
    <n v="0"/>
    <n v="3"/>
    <n v="1"/>
    <n v="0.26682478626261269"/>
    <n v="1"/>
    <n v="70"/>
    <n v="70"/>
    <n v="4.7057436791877496"/>
    <n v="1691.771645555139"/>
    <n v="1"/>
    <n v="0"/>
    <n v="0"/>
    <n v="0"/>
    <n v="0"/>
    <n v="0"/>
    <n v="0"/>
    <n v="0"/>
    <n v="0"/>
    <n v="0"/>
  </r>
  <r>
    <d v="2010-09-16T00:00:00"/>
    <n v="2010"/>
    <x v="40"/>
    <s v="R"/>
    <s v="RS"/>
    <x v="11"/>
    <s v="ATL"/>
    <s v="A"/>
    <n v="1"/>
    <n v="1"/>
    <n v="0"/>
    <n v="0"/>
    <n v="0"/>
    <n v="0"/>
    <n v="1691.771645555139"/>
    <n v="1577.3081418682416"/>
    <n v="0.54372850232145187"/>
    <n v="87"/>
    <n v="84"/>
    <n v="0"/>
    <n v="3"/>
    <n v="1"/>
    <n v="0.26491433527194758"/>
    <n v="1"/>
    <n v="69.849999999999994"/>
    <n v="69.849999999999994"/>
    <n v="8.4429693066967406"/>
    <n v="1700.2146148618358"/>
    <n v="1"/>
    <n v="0"/>
    <n v="0"/>
    <n v="0"/>
    <n v="0"/>
    <n v="0"/>
    <n v="0"/>
    <n v="0"/>
    <n v="0"/>
    <n v="0"/>
  </r>
  <r>
    <d v="2010-09-16T00:00:00"/>
    <n v="2010"/>
    <x v="40"/>
    <s v="R"/>
    <s v="RS"/>
    <x v="6"/>
    <s v="SEA"/>
    <s v="H"/>
    <n v="1"/>
    <n v="1"/>
    <n v="0"/>
    <n v="0"/>
    <n v="0"/>
    <n v="0"/>
    <n v="1577.3081418682416"/>
    <n v="1691.771645555139"/>
    <n v="0.45627149767854802"/>
    <n v="84"/>
    <n v="87"/>
    <n v="0"/>
    <n v="-3"/>
    <n v="0"/>
    <n v="0.26491433527194758"/>
    <n v="1"/>
    <n v="69.849999999999994"/>
    <n v="69.849999999999994"/>
    <n v="-8.4429693066967388"/>
    <n v="1568.8651725615448"/>
    <n v="0"/>
    <n v="1"/>
    <n v="0"/>
    <n v="0"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48C267-77E2-45B0-81EA-9528BBCE6471}" name="PivotTable1" cacheId="7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16" firstHeaderRow="0" firstDataRow="1" firstDataCol="1"/>
  <pivotFields count="38">
    <pivotField showAll="0"/>
    <pivotField numFmtId="1" showAll="0"/>
    <pivotField numFmtId="1" showAll="0"/>
    <pivotField showAll="0"/>
    <pivotField showAll="0"/>
    <pivotField axis="axisRow" showAll="0" sortType="ascending">
      <items count="59">
        <item m="1" x="39"/>
        <item x="6"/>
        <item m="1" x="50"/>
        <item m="1" x="27"/>
        <item m="1" x="25"/>
        <item m="1" x="38"/>
        <item m="1" x="54"/>
        <item m="1" x="15"/>
        <item x="0"/>
        <item m="1" x="40"/>
        <item m="1" x="16"/>
        <item x="1"/>
        <item m="1" x="29"/>
        <item m="1" x="33"/>
        <item m="1" x="12"/>
        <item m="1" x="55"/>
        <item m="1" x="35"/>
        <item m="1" x="14"/>
        <item x="3"/>
        <item m="1" x="49"/>
        <item m="1" x="48"/>
        <item m="1" x="24"/>
        <item m="1" x="23"/>
        <item m="1" x="57"/>
        <item x="4"/>
        <item m="1" x="56"/>
        <item m="1" x="26"/>
        <item m="1" x="18"/>
        <item m="1" x="34"/>
        <item x="8"/>
        <item m="1" x="42"/>
        <item m="1" x="21"/>
        <item m="1" x="30"/>
        <item m="1" x="43"/>
        <item m="1" x="51"/>
        <item x="10"/>
        <item m="1" x="44"/>
        <item m="1" x="32"/>
        <item m="1" x="20"/>
        <item m="1" x="28"/>
        <item x="5"/>
        <item m="1" x="46"/>
        <item m="1" x="19"/>
        <item m="1" x="31"/>
        <item m="1" x="13"/>
        <item x="7"/>
        <item m="1" x="41"/>
        <item x="11"/>
        <item m="1" x="52"/>
        <item m="1" x="47"/>
        <item m="1" x="53"/>
        <item m="1" x="45"/>
        <item m="1" x="22"/>
        <item x="9"/>
        <item m="1" x="17"/>
        <item m="1" x="37"/>
        <item x="2"/>
        <item m="1" x="36"/>
        <item t="default"/>
      </items>
    </pivotField>
    <pivotField showAll="0"/>
    <pivotField showAll="0"/>
    <pivotField numFmtId="1" showAll="0"/>
    <pivotField numFmtId="1" showAll="0"/>
    <pivotField numFmtId="1" showAll="0"/>
    <pivotField numFmtId="1" showAll="0"/>
    <pivotField showAll="0"/>
    <pivotField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numFmtId="165" showAll="0"/>
    <pivotField numFmtId="166" showAll="0"/>
    <pivotField numFmtId="166" showAll="0"/>
    <pivotField numFmtId="165" showAll="0"/>
    <pivotField numFmtId="165" showAll="0"/>
    <pivotField numFmtId="165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</pivotFields>
  <rowFields count="1">
    <field x="5"/>
  </rowFields>
  <rowItems count="13">
    <i>
      <x v="1"/>
    </i>
    <i>
      <x v="8"/>
    </i>
    <i>
      <x v="11"/>
    </i>
    <i>
      <x v="18"/>
    </i>
    <i>
      <x v="24"/>
    </i>
    <i>
      <x v="29"/>
    </i>
    <i>
      <x v="35"/>
    </i>
    <i>
      <x v="40"/>
    </i>
    <i>
      <x v="45"/>
    </i>
    <i>
      <x v="47"/>
    </i>
    <i>
      <x v="53"/>
    </i>
    <i>
      <x v="56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Sum of W" fld="28" baseField="0" baseItem="0" numFmtId="1"/>
    <dataField name="Sum of L" fld="29" baseField="0" baseItem="0" numFmtId="1"/>
    <dataField name="Sum of R1W" fld="30" baseField="0" baseItem="0" numFmtId="1"/>
    <dataField name="Sum of R1L" fld="31" baseField="0" baseItem="0" numFmtId="1"/>
    <dataField name="Sum of R2W" fld="32" baseField="0" baseItem="0" numFmtId="1"/>
    <dataField name="Sum of R2L" fld="33" baseField="0" baseItem="0" numFmtId="1"/>
    <dataField name="Sum of R3W" fld="34" baseField="0" baseItem="0" numFmtId="1"/>
    <dataField name="Sum of R3L" fld="35" baseField="0" baseItem="0" numFmtId="1"/>
    <dataField name="Sum of FW" fld="36" baseField="0" baseItem="0" numFmtId="1"/>
    <dataField name="Sum of FL" fld="37" baseField="0" baseItem="0" numFmtId="1"/>
  </dataFields>
  <formats count="2">
    <format dxfId="59">
      <pivotArea outline="0" collapsedLevelsAreSubtotals="1" fieldPosition="0"/>
    </format>
    <format dxfId="5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28535-153F-4C68-8036-A7B493B7B668}" name="PivotTable1" cacheId="7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5" firstHeaderRow="1" firstDataRow="1" firstDataCol="1"/>
  <pivotFields count="38">
    <pivotField numFmtId="167" showAll="0"/>
    <pivotField numFmtId="1" showAll="0"/>
    <pivotField axis="axisRow" numFmtId="1" showAll="0">
      <items count="20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m="1" x="41"/>
        <item m="1" x="42"/>
        <item m="1" x="43"/>
        <item m="1" x="44"/>
        <item m="1" x="45"/>
        <item m="1" x="46"/>
        <item m="1" x="47"/>
        <item m="1" x="48"/>
        <item m="1" x="202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t="default"/>
      </items>
    </pivotField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showAll="0"/>
    <pivotField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numFmtId="165" showAll="0"/>
    <pivotField numFmtId="166" showAll="0"/>
    <pivotField numFmtId="2" showAll="0"/>
    <pivotField numFmtId="165" showAll="0"/>
    <pivotField numFmtId="165" showAll="0"/>
    <pivotField numFmtId="165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</pivotFields>
  <rowFields count="1">
    <field x="2"/>
  </rowFields>
  <rowItems count="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0411122-E0D9-44C2-8346-8B5172CF6F69}" name="ConfDiv" displayName="ConfDiv" ref="A1:D13" totalsRowShown="0">
  <autoFilter ref="A1:D13" xr:uid="{A0411122-E0D9-44C2-8346-8B5172CF6F69}">
    <filterColumn colId="0" hiddenButton="1"/>
    <filterColumn colId="1" hiddenButton="1"/>
    <filterColumn colId="2" hiddenButton="1"/>
    <filterColumn colId="3" hiddenButton="1"/>
  </autoFilter>
  <sortState xmlns:xlrd2="http://schemas.microsoft.com/office/spreadsheetml/2017/richdata2" ref="A2:D13">
    <sortCondition ref="C11:C13"/>
  </sortState>
  <tableColumns count="4">
    <tableColumn id="1" xr3:uid="{8C17ECDF-4459-4994-A3F5-8E8FEDF92B6F}" name="TeamID"/>
    <tableColumn id="4" xr3:uid="{789F069E-DAF9-4B19-A6DB-107BA6995CE5}" name="Logo" dataDxfId="62"/>
    <tableColumn id="5" xr3:uid="{A9DA91BA-5529-4913-978B-19C8EF225B29}" name="TeamName" dataDxfId="61"/>
    <tableColumn id="2" xr3:uid="{AA4C8157-DB69-4779-8EEE-6F419B992D71}" name="PreSeasonElo" dataDxfId="6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31CB27-66FD-438A-AAF6-82527D3C642A}" name="Games" displayName="Games" ref="A1:AL441" totalsRowShown="0" headerRowDxfId="57" dataDxfId="56">
  <autoFilter ref="A1:AL441" xr:uid="{DC31CB27-66FD-438A-AAF6-82527D3C642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</autoFilter>
  <tableColumns count="38">
    <tableColumn id="1" xr3:uid="{FF1E0701-17EB-4F45-BA0D-2BA8901E1EBC}" name="Date" dataDxfId="55"/>
    <tableColumn id="21" xr3:uid="{D754AB95-C77C-4DD5-B1B9-A24A4FEE7279}" name="Season" dataDxfId="54"/>
    <tableColumn id="19" xr3:uid="{4C42B78B-6AFC-42C3-A5F4-3266E247C458}" name="GamesPlayed" dataDxfId="53">
      <calculatedColumnFormula>COUNTIFS(Games[Team],Games[[#This Row],[Team]],Games[Season],Games[[#This Row],[Season]],Games[Date],"&lt;=" &amp; Games[[#This Row],[Date]])</calculatedColumnFormula>
    </tableColumn>
    <tableColumn id="20" xr3:uid="{57D65017-56B1-4253-988D-82A168A33AEF}" name="Type" dataDxfId="52"/>
    <tableColumn id="14" xr3:uid="{EFA83923-8CCA-4DC9-BC85-5D86949A45D9}" name="Round" dataDxfId="51"/>
    <tableColumn id="2" xr3:uid="{6E102E51-A49B-416B-8CD2-B93B2A4EA389}" name="Team" dataDxfId="50"/>
    <tableColumn id="3" xr3:uid="{19101345-1C34-4AF3-88E6-76A7F19B7FE6}" name="Opponent" dataDxfId="49"/>
    <tableColumn id="16" xr3:uid="{4CBCDF29-B095-48DF-8EF6-06DC7D78C844}" name="HomeAway" dataDxfId="48"/>
    <tableColumn id="32" xr3:uid="{E3FA53E3-DAD6-4BC2-969A-C53F4798E86D}" name="DaysOff" dataDxfId="47">
      <calculatedColumnFormula array="1">IFERROR(
    Games[[#This Row],[Date]]
    - LOOKUP(
        2,
        1/((Games[Team]=Games[[#This Row],[Team]]) * (Games[Date] &lt; Games[[#This Row],[Date]])),
        Games[Date]
    )
    - 1,
Games[[#This Row],[Date]]-$A$2)</calculatedColumnFormula>
    </tableColumn>
    <tableColumn id="33" xr3:uid="{1121987E-1D41-452F-B87B-43C155AB8246}" name="OppDaysOff" dataDxfId="46">
      <calculatedColumnFormula array="1">IFERROR(
    Games[[#This Row],[Date]]
    - LOOKUP(
        2,
        1/((Games[Opponent]=Games[[#This Row],[Opponent]]) * (Games[Date] &lt; Games[[#This Row],[Date]])),
        Games[Date]
    )
    - 1,
Games[[#This Row],[Date]]-$A$2)</calculatedColumnFormula>
    </tableColumn>
    <tableColumn id="34" xr3:uid="{F36FF437-DF9A-4AE2-9EBA-AF838836F0F0}" name="RestDiff" dataDxfId="45">
      <calculatedColumnFormula>Games[[#This Row],[DaysOff]]-Games[[#This Row],[OppDaysOff]]</calculatedColumnFormula>
    </tableColumn>
    <tableColumn id="35" xr3:uid="{3F2DB366-7372-41BA-8B0C-09F9BA7EA850}" name="OppRestDiff" dataDxfId="44">
      <calculatedColumnFormula>Games[[#This Row],[OppDaysOff]]-Games[[#This Row],[DaysOff]]</calculatedColumnFormula>
    </tableColumn>
    <tableColumn id="36" xr3:uid="{BDD0FD2C-608F-4CCC-867B-4481F0F4B802}" name="RestAdj" dataDxfId="43">
      <calculatedColumnFormula>MAX(-16, MIN(16, Games[[#This Row],[RestDiff]]*8))</calculatedColumnFormula>
    </tableColumn>
    <tableColumn id="37" xr3:uid="{5F89213A-4C28-428C-B766-3B05D4F530A5}" name="OppRestAdj" dataDxfId="42">
      <calculatedColumnFormula>MAX(-16, MIN(16, Games[[#This Row],[OppRestDiff]]*8))</calculatedColumnFormula>
    </tableColumn>
    <tableColumn id="4" xr3:uid="{68053CFA-948B-4F2C-A114-7C46ABD9EA33}" name="PreGmRate" dataDxfId="41">
      <calculatedColumnFormula array="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calculatedColumnFormula>
    </tableColumn>
    <tableColumn id="5" xr3:uid="{14B91314-96C2-44CD-B03B-905B04A3F3F0}" name="OppPreGmRate" dataDxfId="40">
      <calculatedColumnFormula array="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calculatedColumnFormula>
    </tableColumn>
    <tableColumn id="6" xr3:uid="{8BA0C013-5040-4A7D-AD77-5AB196967F62}" name="ExpectedWin%" dataDxfId="39">
      <calculatedColumnFormula>1/(1+10^(((Games[[#This Row],[OppPreGmRate]]+IF(Games[[#This Row],[HomeAway]]="A",HCA,0)+Games[[#This Row],[OppRestAdj]])-(Games[[#This Row],[PreGmRate]]+IF(Games[[#This Row],[HomeAway]]="H",HCA,0)+Games[[#This Row],[RestAdj]]))/400))</calculatedColumnFormula>
    </tableColumn>
    <tableColumn id="7" xr3:uid="{33F3D358-BA7C-41B4-84B5-FEE3DD78DE4C}" name="PointsFor" dataDxfId="38"/>
    <tableColumn id="8" xr3:uid="{0CDDF0F9-2F1E-487C-96DD-90F70CE7DAFC}" name="PointsAgainst" dataDxfId="37"/>
    <tableColumn id="22" xr3:uid="{AB7B5B5C-5BAD-4213-990E-8EB9B177497C}" name="OT" dataDxfId="36"/>
    <tableColumn id="9" xr3:uid="{CE171F1D-5E5D-4800-A6DC-8F6DBD74C939}" name="MOV" dataDxfId="35">
      <calculatedColumnFormula>Games[[#This Row],[PointsFor]]-Games[[#This Row],[PointsAgainst]]</calculatedColumnFormula>
    </tableColumn>
    <tableColumn id="10" xr3:uid="{883A3911-25F6-4C39-9637-F1C42D6A1FC2}" name="Result" dataDxfId="34">
      <calculatedColumnFormula>IF(Games[[#This Row],[MOV]]&gt;0,1,IF(Games[[#This Row],[MOV]]=0,0.5,0))</calculatedColumnFormula>
    </tableColumn>
    <tableColumn id="15" xr3:uid="{00048431-5FD6-47EE-807E-5B63FD521193}" name="MOVMult" dataDxfId="33">
      <calculatedColumnFormula>((ABS(Games[[#This Row],[MOV]])+5)^0.6)/(12+0.01*(ABS(Games[[#This Row],[PreGmRate]]-Games[[#This Row],[OppPreGmRate]])))*IF(Games[[#This Row],[OT]]=1,0.9,1)</calculatedColumnFormula>
    </tableColumn>
    <tableColumn id="13" xr3:uid="{ED5D2A79-52FB-495A-B144-3B1C3F39BBCA}" name="POMult" dataDxfId="32">
      <calculatedColumnFormula array="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calculatedColumnFormula>
    </tableColumn>
    <tableColumn id="30" xr3:uid="{F56B2662-6D39-4B84-BEBE-39C9D43603BC}" name="K" dataDxfId="31">
      <calculatedColumnFormula>MAX(kmin, kmax - 0.15 * MIN(Games[[#This Row],[GamesPlayed]], 82))</calculatedColumnFormula>
    </tableColumn>
    <tableColumn id="29" xr3:uid="{FBA5D644-15ED-4725-9E52-1D37FD0FAC64}" name="Keff" dataDxfId="30">
      <calculatedColumnFormula>Games[[#This Row],[K]]*Games[[#This Row],[POMult]]</calculatedColumnFormula>
    </tableColumn>
    <tableColumn id="11" xr3:uid="{309DAEBD-E62C-4090-89E9-A58FD32AB89B}" name="RatingChange" dataDxfId="29">
      <calculatedColumnFormula>(Games[[#This Row],[Keff]]*Games[[#This Row],[MOVMult]])*(Games[[#This Row],[Result]]-Games[[#This Row],[ExpectedWin%]])</calculatedColumnFormula>
    </tableColumn>
    <tableColumn id="12" xr3:uid="{14E27C62-5B5E-4445-96C7-EAFB6057D6D3}" name="PostGmRate" dataDxfId="28">
      <calculatedColumnFormula>Games[[#This Row],[PreGmRate]]+Games[[#This Row],[RatingChange]]</calculatedColumnFormula>
    </tableColumn>
    <tableColumn id="17" xr3:uid="{90B7BF87-E472-4474-A10D-555BD3BF8F04}" name="W" dataDxfId="27">
      <calculatedColumnFormula>IF(Games[[#This Row],[Type]]="R",IF(Games[[#This Row],[Result]]&gt;0.5,1,0),0)</calculatedColumnFormula>
    </tableColumn>
    <tableColumn id="18" xr3:uid="{29756EA1-783D-4C76-A7B8-F906AF0EC7E7}" name="L" dataDxfId="26">
      <calculatedColumnFormula>IF(Games[[#This Row],[Type]]="R",IF(Games[[#This Row],[Result]]&lt;0.5,1,0),0)</calculatedColumnFormula>
    </tableColumn>
    <tableColumn id="23" xr3:uid="{C253CFA7-28A4-4AE5-B131-DC1E8F2B73F8}" name="R1W" dataDxfId="25">
      <calculatedColumnFormula>IF(AND(Games[[#This Row],[Type]]="P",Games[[#This Row],[Round]]=1),IF(Games[[#This Row],[Result]]&gt;0.5,1,0),0)</calculatedColumnFormula>
    </tableColumn>
    <tableColumn id="24" xr3:uid="{2AF5B953-BFA7-49EF-8248-A3D18735544D}" name="R1L" dataDxfId="24">
      <calculatedColumnFormula>IF(AND(Games[[#This Row],[Type]]="P",Games[[#This Row],[Round]]=1),IF(Games[[#This Row],[Result]]&lt;0.5,1,0),0)</calculatedColumnFormula>
    </tableColumn>
    <tableColumn id="25" xr3:uid="{96DF5D4B-41B7-4FB9-B64B-4E1022883966}" name="R2W" dataDxfId="23">
      <calculatedColumnFormula>IF(AND(Games[[#This Row],[Type]]="P",Games[[#This Row],[Round]]=2),IF(Games[[#This Row],[Result]]&gt;0.5,1,0),0)</calculatedColumnFormula>
    </tableColumn>
    <tableColumn id="26" xr3:uid="{46BC3E94-34FA-489D-AF6A-98B7151E6EE4}" name="R2L" dataDxfId="22">
      <calculatedColumnFormula>IF(AND(Games[[#This Row],[Type]]="P",Games[[#This Row],[Round]]=2),IF(Games[[#This Row],[Result]]&lt;0.5,1,0),0)</calculatedColumnFormula>
    </tableColumn>
    <tableColumn id="27" xr3:uid="{FA030EAA-DF20-4A5C-8AF4-BB61B025DE1E}" name="R3W" dataDxfId="21">
      <calculatedColumnFormula>IF(AND(Games[[#This Row],[Type]]="P",Games[[#This Row],[Round]]=3),IF(Games[[#This Row],[Result]]&gt;0.5,1,0),0)</calculatedColumnFormula>
    </tableColumn>
    <tableColumn id="28" xr3:uid="{82A066C2-772E-492B-B693-B398BAF15EF5}" name="R3L" dataDxfId="20">
      <calculatedColumnFormula>IF(AND(Games[[#This Row],[Type]]="P",Games[[#This Row],[Round]]=3),IF(Games[[#This Row],[Result]]&lt;0.5,1,0),0)</calculatedColumnFormula>
    </tableColumn>
    <tableColumn id="31" xr3:uid="{C00D5D4A-27C3-430F-AB40-BC3DF8B6C167}" name="FW" dataDxfId="19">
      <calculatedColumnFormula>IF(AND(Games[[#This Row],[Type]]="P",Games[[#This Row],[Round]]=4),IF(Games[[#This Row],[Result]]&gt;0.5,1,0),0)</calculatedColumnFormula>
    </tableColumn>
    <tableColumn id="39" xr3:uid="{129081B0-EA02-402F-B2C7-46E36806E0D9}" name="FL" dataDxfId="18">
      <calculatedColumnFormula>IF(AND(Games[[#This Row],[Type]]="P",Games[[#This Row],[Round]]=4),IF(Games[[#This Row],[Result]]&lt;0.5,1,0),0)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07B67-F804-4D32-B73D-364A0973FEE5}">
  <dimension ref="A1:H25"/>
  <sheetViews>
    <sheetView tabSelected="1" workbookViewId="0">
      <selection activeCell="G2" sqref="G2"/>
    </sheetView>
  </sheetViews>
  <sheetFormatPr defaultRowHeight="15.5" x14ac:dyDescent="0.35"/>
  <cols>
    <col min="1" max="1" width="7.6640625" bestFit="1" customWidth="1"/>
    <col min="2" max="2" width="5.08203125" bestFit="1" customWidth="1"/>
    <col min="3" max="3" width="23" bestFit="1" customWidth="1"/>
    <col min="4" max="4" width="9.4140625" customWidth="1"/>
    <col min="7" max="7" width="17" bestFit="1" customWidth="1"/>
    <col min="8" max="8" width="8.6640625" style="12"/>
  </cols>
  <sheetData>
    <row r="1" spans="1:8" x14ac:dyDescent="0.35">
      <c r="A1" t="s">
        <v>33</v>
      </c>
      <c r="B1" t="s">
        <v>31</v>
      </c>
      <c r="C1" t="s">
        <v>32</v>
      </c>
      <c r="D1" t="s">
        <v>62</v>
      </c>
    </row>
    <row r="2" spans="1:8" x14ac:dyDescent="0.35">
      <c r="A2" t="s">
        <v>83</v>
      </c>
      <c r="B2" s="8"/>
      <c r="C2" s="15" t="s">
        <v>84</v>
      </c>
      <c r="D2" s="13">
        <v>1487.0966587178357</v>
      </c>
      <c r="G2" t="s">
        <v>84</v>
      </c>
      <c r="H2" s="12">
        <v>1570.9915899060293</v>
      </c>
    </row>
    <row r="3" spans="1:8" x14ac:dyDescent="0.35">
      <c r="A3" t="s">
        <v>81</v>
      </c>
      <c r="B3" s="8"/>
      <c r="C3" s="15" t="s">
        <v>82</v>
      </c>
      <c r="D3" s="13">
        <v>1444.7060848633819</v>
      </c>
      <c r="G3" t="s">
        <v>82</v>
      </c>
      <c r="H3" s="12">
        <v>1438.7539971141273</v>
      </c>
    </row>
    <row r="4" spans="1:8" x14ac:dyDescent="0.35">
      <c r="A4" t="s">
        <v>80</v>
      </c>
      <c r="B4" s="8"/>
      <c r="C4" s="15" t="s">
        <v>79</v>
      </c>
      <c r="D4" s="13">
        <v>1481.2330302334578</v>
      </c>
      <c r="G4" t="s">
        <v>79</v>
      </c>
      <c r="H4" s="12">
        <v>1496.7067849282851</v>
      </c>
    </row>
    <row r="5" spans="1:8" x14ac:dyDescent="0.35">
      <c r="A5" t="s">
        <v>73</v>
      </c>
      <c r="B5" s="8"/>
      <c r="C5" s="15" t="s">
        <v>74</v>
      </c>
      <c r="D5" s="13">
        <v>1567.8642438962959</v>
      </c>
      <c r="G5" t="s">
        <v>74</v>
      </c>
      <c r="H5" s="12">
        <v>1580.8212531256652</v>
      </c>
    </row>
    <row r="6" spans="1:8" x14ac:dyDescent="0.35">
      <c r="A6" t="s">
        <v>67</v>
      </c>
      <c r="B6" s="8"/>
      <c r="C6" s="15" t="s">
        <v>68</v>
      </c>
      <c r="D6" s="13">
        <v>1569.4792970594231</v>
      </c>
      <c r="G6" t="s">
        <v>68</v>
      </c>
      <c r="H6" s="12">
        <v>1434.3489518832757</v>
      </c>
    </row>
    <row r="7" spans="1:8" x14ac:dyDescent="0.35">
      <c r="A7" t="s">
        <v>71</v>
      </c>
      <c r="B7" s="8"/>
      <c r="C7" s="15" t="s">
        <v>72</v>
      </c>
      <c r="D7" s="13">
        <v>1415.1333914127954</v>
      </c>
      <c r="G7" t="s">
        <v>72</v>
      </c>
      <c r="H7" s="12">
        <v>1429.3214141698688</v>
      </c>
    </row>
    <row r="8" spans="1:8" x14ac:dyDescent="0.35">
      <c r="A8" t="s">
        <v>64</v>
      </c>
      <c r="B8" s="8"/>
      <c r="C8" s="15" t="s">
        <v>65</v>
      </c>
      <c r="D8" s="13">
        <v>1447.8121146417066</v>
      </c>
      <c r="G8" t="s">
        <v>65</v>
      </c>
      <c r="H8" s="12">
        <v>1598.3643154676781</v>
      </c>
    </row>
    <row r="9" spans="1:8" x14ac:dyDescent="0.35">
      <c r="A9" t="s">
        <v>44</v>
      </c>
      <c r="B9" s="8"/>
      <c r="C9" s="15" t="s">
        <v>66</v>
      </c>
      <c r="D9" s="13">
        <v>1641.46603157447</v>
      </c>
      <c r="G9" t="s">
        <v>66</v>
      </c>
      <c r="H9" s="12">
        <v>1516.8315670903664</v>
      </c>
    </row>
    <row r="10" spans="1:8" x14ac:dyDescent="0.35">
      <c r="A10" t="s">
        <v>78</v>
      </c>
      <c r="B10" s="8"/>
      <c r="C10" s="15" t="s">
        <v>77</v>
      </c>
      <c r="D10" s="13">
        <v>1479.4707119331638</v>
      </c>
      <c r="G10" t="s">
        <v>77</v>
      </c>
      <c r="H10" s="12">
        <v>1413.9306813902981</v>
      </c>
    </row>
    <row r="11" spans="1:8" x14ac:dyDescent="0.35">
      <c r="A11" t="s">
        <v>75</v>
      </c>
      <c r="B11" s="8"/>
      <c r="C11" s="15" t="s">
        <v>76</v>
      </c>
      <c r="D11" s="13">
        <v>1532.8247983899448</v>
      </c>
      <c r="G11" t="s">
        <v>76</v>
      </c>
      <c r="H11" s="12">
        <v>1702.5273759233144</v>
      </c>
    </row>
    <row r="12" spans="1:8" x14ac:dyDescent="0.35">
      <c r="A12" t="s">
        <v>85</v>
      </c>
      <c r="B12" s="8"/>
      <c r="C12" s="15" t="s">
        <v>86</v>
      </c>
      <c r="D12" s="13">
        <v>1586.7119818591416</v>
      </c>
      <c r="G12" t="s">
        <v>86</v>
      </c>
      <c r="H12" s="12">
        <v>1297.8818481897349</v>
      </c>
    </row>
    <row r="13" spans="1:8" x14ac:dyDescent="0.35">
      <c r="A13" t="s">
        <v>69</v>
      </c>
      <c r="B13" s="8"/>
      <c r="C13" s="15" t="s">
        <v>70</v>
      </c>
      <c r="D13" s="13">
        <v>1423.2363719907869</v>
      </c>
      <c r="G13" t="s">
        <v>70</v>
      </c>
      <c r="H13" s="12">
        <v>1557.634353446055</v>
      </c>
    </row>
    <row r="14" spans="1:8" x14ac:dyDescent="0.35">
      <c r="B14" s="8"/>
      <c r="C14" s="15"/>
      <c r="D14" s="13"/>
    </row>
    <row r="15" spans="1:8" x14ac:dyDescent="0.35">
      <c r="B15" s="8"/>
      <c r="C15" s="15"/>
      <c r="D15" s="13"/>
    </row>
    <row r="16" spans="1:8" x14ac:dyDescent="0.35">
      <c r="B16" s="8"/>
      <c r="C16" s="15"/>
      <c r="D16" s="13"/>
    </row>
    <row r="17" spans="2:4" x14ac:dyDescent="0.35">
      <c r="B17" s="8"/>
      <c r="C17" s="15"/>
      <c r="D17" s="13"/>
    </row>
    <row r="18" spans="2:4" x14ac:dyDescent="0.35">
      <c r="B18" s="8"/>
      <c r="C18" s="15"/>
      <c r="D18" s="13"/>
    </row>
    <row r="19" spans="2:4" x14ac:dyDescent="0.35">
      <c r="B19" s="8"/>
      <c r="C19" s="15"/>
      <c r="D19" s="13"/>
    </row>
    <row r="20" spans="2:4" x14ac:dyDescent="0.35">
      <c r="B20" s="8"/>
      <c r="C20" s="15"/>
      <c r="D20" s="13"/>
    </row>
    <row r="21" spans="2:4" x14ac:dyDescent="0.35">
      <c r="B21" s="8"/>
      <c r="C21" s="15"/>
      <c r="D21" s="13"/>
    </row>
    <row r="22" spans="2:4" x14ac:dyDescent="0.35">
      <c r="B22" s="8"/>
      <c r="C22" s="15"/>
      <c r="D22" s="13"/>
    </row>
    <row r="23" spans="2:4" x14ac:dyDescent="0.35">
      <c r="B23" s="8"/>
      <c r="C23" s="8"/>
      <c r="D23" s="13"/>
    </row>
    <row r="24" spans="2:4" x14ac:dyDescent="0.35">
      <c r="B24" s="8"/>
      <c r="C24" s="8"/>
      <c r="D24" s="13"/>
    </row>
    <row r="25" spans="2:4" x14ac:dyDescent="0.35">
      <c r="B25" s="8"/>
      <c r="C25" s="8"/>
      <c r="D25" s="13"/>
    </row>
  </sheetData>
  <sortState xmlns:xlrd2="http://schemas.microsoft.com/office/spreadsheetml/2017/richdata2" ref="G2:H13">
    <sortCondition ref="G2:G13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98F96-16C1-4B0D-8E6B-52874F1AE5CE}">
  <dimension ref="A2:BP36"/>
  <sheetViews>
    <sheetView workbookViewId="0">
      <selection activeCell="A2" sqref="A2"/>
    </sheetView>
  </sheetViews>
  <sheetFormatPr defaultRowHeight="15.5" x14ac:dyDescent="0.35"/>
  <cols>
    <col min="1" max="1" width="4.9140625" bestFit="1" customWidth="1"/>
    <col min="2" max="2" width="1.75" bestFit="1" customWidth="1"/>
    <col min="3" max="3" width="18.83203125" bestFit="1" customWidth="1"/>
    <col min="4" max="5" width="2.75" style="1" bestFit="1" customWidth="1"/>
    <col min="6" max="6" width="5.25" style="1" bestFit="1" customWidth="1"/>
    <col min="7" max="7" width="7.25" style="1" bestFit="1" customWidth="1"/>
    <col min="8" max="8" width="5.75" style="1" hidden="1" customWidth="1"/>
    <col min="9" max="9" width="3.58203125" customWidth="1"/>
    <col min="10" max="10" width="4.75" bestFit="1" customWidth="1"/>
    <col min="11" max="11" width="1.75" bestFit="1" customWidth="1"/>
    <col min="12" max="12" width="18.83203125" bestFit="1" customWidth="1"/>
    <col min="13" max="14" width="5.1640625" style="1" bestFit="1" customWidth="1"/>
    <col min="15" max="15" width="5.25" style="1" bestFit="1" customWidth="1"/>
    <col min="16" max="16" width="9.25" bestFit="1" customWidth="1"/>
    <col min="17" max="17" width="5.75" bestFit="1" customWidth="1"/>
    <col min="18" max="18" width="1.75" bestFit="1" customWidth="1"/>
    <col min="19" max="19" width="4.9140625" bestFit="1" customWidth="1"/>
    <col min="20" max="20" width="1.75" bestFit="1" customWidth="1"/>
    <col min="21" max="21" width="16" bestFit="1" customWidth="1"/>
    <col min="22" max="23" width="5.1640625" style="1" bestFit="1" customWidth="1"/>
    <col min="24" max="24" width="6.25" style="4" bestFit="1" customWidth="1"/>
    <col min="25" max="25" width="9.25" style="4" bestFit="1" customWidth="1"/>
    <col min="26" max="26" width="5.75" style="1" bestFit="1" customWidth="1"/>
    <col min="27" max="27" width="3.58203125" customWidth="1"/>
    <col min="28" max="28" width="4.75" bestFit="1" customWidth="1"/>
    <col min="29" max="29" width="1.75" bestFit="1" customWidth="1"/>
    <col min="30" max="30" width="18.83203125" bestFit="1" customWidth="1"/>
    <col min="31" max="32" width="5.1640625" style="1" bestFit="1" customWidth="1"/>
    <col min="33" max="33" width="6.25" style="4" bestFit="1" customWidth="1"/>
    <col min="34" max="34" width="9.25" style="4" bestFit="1" customWidth="1"/>
    <col min="35" max="35" width="5.75" style="1" bestFit="1" customWidth="1"/>
    <col min="37" max="37" width="4.9140625" bestFit="1" customWidth="1"/>
    <col min="38" max="38" width="1.75" bestFit="1" customWidth="1"/>
    <col min="39" max="39" width="18.83203125" bestFit="1" customWidth="1"/>
    <col min="40" max="48" width="1.75" style="1" bestFit="1" customWidth="1"/>
    <col min="49" max="49" width="1.75" style="1" customWidth="1"/>
    <col min="50" max="50" width="9.25" style="1" bestFit="1" customWidth="1"/>
    <col min="51" max="51" width="5.75" style="1" bestFit="1" customWidth="1"/>
    <col min="52" max="52" width="1.75" bestFit="1" customWidth="1"/>
    <col min="53" max="53" width="3.58203125" customWidth="1"/>
    <col min="54" max="54" width="5.5" bestFit="1" customWidth="1"/>
    <col min="55" max="55" width="5.1640625" bestFit="1" customWidth="1"/>
    <col min="56" max="56" width="18.83203125" bestFit="1" customWidth="1"/>
    <col min="57" max="64" width="1.75" style="1" bestFit="1" customWidth="1"/>
    <col min="65" max="66" width="2.75" style="1" bestFit="1" customWidth="1"/>
    <col min="67" max="67" width="9.25" bestFit="1" customWidth="1"/>
    <col min="68" max="68" width="5.75" bestFit="1" customWidth="1"/>
    <col min="69" max="69" width="2.75" bestFit="1" customWidth="1"/>
  </cols>
  <sheetData>
    <row r="2" spans="1:68" x14ac:dyDescent="0.35">
      <c r="A2" t="str" cm="1">
        <f t="array" ref="A2:H13">_xlfn.SORTBY(A25:H36,G25:G36,-1)</f>
        <v>SEA</v>
      </c>
      <c r="B2">
        <v>0</v>
      </c>
      <c r="C2" t="str">
        <v>Seattle Storm</v>
      </c>
      <c r="D2" s="1">
        <v>35</v>
      </c>
      <c r="E2" s="1">
        <v>6</v>
      </c>
      <c r="F2" s="3">
        <v>0.85365853658536583</v>
      </c>
      <c r="G2" s="9">
        <v>1702.5273759233144</v>
      </c>
      <c r="H2" s="1">
        <v>40437</v>
      </c>
      <c r="O2" s="4"/>
      <c r="P2" s="4"/>
      <c r="Q2" s="1"/>
      <c r="AK2" t="s">
        <v>2</v>
      </c>
      <c r="AL2" t="e">
        <f>_xlfn.XLOOKUP(AK2,ConfDiv[TeamID],ConfDiv[Logo])</f>
        <v>#N/A</v>
      </c>
      <c r="AM2" t="e">
        <f>_xlfn.XLOOKUP(AK2,ConfDiv[TeamID],ConfDiv[TeamName])</f>
        <v>#N/A</v>
      </c>
      <c r="AN2" s="1" t="e">
        <f>_xlfn.XLOOKUP($AK2,StandingsPivot!$A$4:$A$33,StandingsPivot!D$4:D$33)</f>
        <v>#N/A</v>
      </c>
      <c r="AO2" s="1" t="e">
        <f>_xlfn.XLOOKUP($AK2,StandingsPivot!$A$4:$A$33,StandingsPivot!E$4:E$33)</f>
        <v>#N/A</v>
      </c>
      <c r="AP2" s="1" t="e">
        <f>_xlfn.XLOOKUP($AK2,StandingsPivot!$A$4:$A$33,StandingsPivot!F$4:F$33)</f>
        <v>#N/A</v>
      </c>
      <c r="AQ2" s="1" t="e">
        <f>_xlfn.XLOOKUP($AK2,StandingsPivot!$A$4:$A$33,StandingsPivot!G$4:G$33)</f>
        <v>#N/A</v>
      </c>
      <c r="AR2" s="1" t="e">
        <f>_xlfn.XLOOKUP($AK2,StandingsPivot!$A$4:$A$33,StandingsPivot!H$4:H$33)</f>
        <v>#N/A</v>
      </c>
      <c r="AS2" s="1" t="e">
        <f>_xlfn.XLOOKUP($AK2,StandingsPivot!$A$4:$A$33,StandingsPivot!I$4:I$33)</f>
        <v>#N/A</v>
      </c>
      <c r="AT2" s="1" t="e">
        <f>_xlfn.XLOOKUP($AK2,StandingsPivot!$A$4:$A$33,StandingsPivot!J$4:J$33)</f>
        <v>#N/A</v>
      </c>
      <c r="AU2" s="1" t="e">
        <f>_xlfn.XLOOKUP($AK2,StandingsPivot!$A$4:$A$33,StandingsPivot!K$4:K$33)</f>
        <v>#N/A</v>
      </c>
      <c r="AV2" s="1" t="e">
        <f t="shared" ref="AV2:AV5" si="0">SUM(AN2,AP2,AR2,AT2)</f>
        <v>#N/A</v>
      </c>
      <c r="AW2" s="1" t="e">
        <f t="shared" ref="AW2:AW5" si="1">SUM(AO2,AQ2,AS2,AU2)</f>
        <v>#N/A</v>
      </c>
      <c r="AX2" s="4" cm="1">
        <f t="array" ref="AX2">_xlfn.IFNA(INDEX(Games[PostGmRate], MATCH(1, (Games[Team]=AK2)*(Games[Date]=AY2), 0)),0)</f>
        <v>0</v>
      </c>
      <c r="AY2" s="1">
        <f>_xlfn.MAXIFS(Games[Date], Games[Team], AK2)</f>
        <v>0</v>
      </c>
      <c r="AZ2" t="e">
        <f t="shared" ref="AZ2:AZ5" si="2">SUM(AV2:AW2)</f>
        <v>#N/A</v>
      </c>
    </row>
    <row r="3" spans="1:68" x14ac:dyDescent="0.35">
      <c r="A3" t="str">
        <v>NYL</v>
      </c>
      <c r="B3">
        <v>0</v>
      </c>
      <c r="C3" t="str">
        <v>New York Liberty</v>
      </c>
      <c r="D3" s="1">
        <v>24</v>
      </c>
      <c r="E3" s="1">
        <v>15</v>
      </c>
      <c r="F3" s="3">
        <v>0.61538461538461542</v>
      </c>
      <c r="G3" s="9">
        <v>1598.3643154676781</v>
      </c>
      <c r="H3" s="1">
        <v>40428</v>
      </c>
      <c r="O3" s="4"/>
      <c r="P3" s="4"/>
      <c r="Q3" s="1"/>
      <c r="AK3" t="s">
        <v>64</v>
      </c>
      <c r="AL3">
        <f>_xlfn.XLOOKUP(AK3,ConfDiv[TeamID],ConfDiv[Logo])</f>
        <v>0</v>
      </c>
      <c r="AM3" t="str">
        <f>_xlfn.XLOOKUP(AK3,ConfDiv[TeamID],ConfDiv[TeamName])</f>
        <v>New York Liberty</v>
      </c>
      <c r="AN3" s="1">
        <f>_xlfn.XLOOKUP($AK3,StandingsPivot!$A$4:$A$33,StandingsPivot!D$4:D$33)</f>
        <v>0</v>
      </c>
      <c r="AO3" s="1">
        <f>_xlfn.XLOOKUP($AK3,StandingsPivot!$A$4:$A$33,StandingsPivot!E$4:E$33)</f>
        <v>0</v>
      </c>
      <c r="AP3" s="1">
        <f>_xlfn.XLOOKUP($AK3,StandingsPivot!$A$4:$A$33,StandingsPivot!F$4:F$33)</f>
        <v>0</v>
      </c>
      <c r="AQ3" s="1">
        <f>_xlfn.XLOOKUP($AK3,StandingsPivot!$A$4:$A$33,StandingsPivot!G$4:G$33)</f>
        <v>0</v>
      </c>
      <c r="AR3" s="1">
        <f>_xlfn.XLOOKUP($AK3,StandingsPivot!$A$4:$A$33,StandingsPivot!H$4:H$33)</f>
        <v>0</v>
      </c>
      <c r="AS3" s="1">
        <f>_xlfn.XLOOKUP($AK3,StandingsPivot!$A$4:$A$33,StandingsPivot!I$4:I$33)</f>
        <v>0</v>
      </c>
      <c r="AT3" s="1">
        <f>_xlfn.XLOOKUP($AK3,StandingsPivot!$A$4:$A$33,StandingsPivot!J$4:J$33)</f>
        <v>0</v>
      </c>
      <c r="AU3" s="1">
        <f>_xlfn.XLOOKUP($AK3,StandingsPivot!$A$4:$A$33,StandingsPivot!K$4:K$33)</f>
        <v>0</v>
      </c>
      <c r="AV3" s="1">
        <f t="shared" si="0"/>
        <v>0</v>
      </c>
      <c r="AW3" s="1">
        <f t="shared" si="1"/>
        <v>0</v>
      </c>
      <c r="AX3" s="4" cm="1">
        <f t="array" ref="AX3">_xlfn.IFNA(INDEX(Games[PostGmRate], MATCH(1, (Games[Team]=AK3)*(Games[Date]=AY3), 0)),0)</f>
        <v>1598.3643154676781</v>
      </c>
      <c r="AY3" s="1">
        <f>_xlfn.MAXIFS(Games[Date], Games[Team], AK3)</f>
        <v>40428</v>
      </c>
      <c r="AZ3">
        <f t="shared" si="2"/>
        <v>0</v>
      </c>
    </row>
    <row r="4" spans="1:68" x14ac:dyDescent="0.35">
      <c r="A4" t="str">
        <v>IND</v>
      </c>
      <c r="B4">
        <v>0</v>
      </c>
      <c r="C4" t="str">
        <v>Indiana Fever</v>
      </c>
      <c r="D4" s="1">
        <v>22</v>
      </c>
      <c r="E4" s="1">
        <v>15</v>
      </c>
      <c r="F4" s="3">
        <v>0.59459459459459463</v>
      </c>
      <c r="G4" s="9">
        <v>1580.8212531256652</v>
      </c>
      <c r="H4" s="1">
        <v>40422</v>
      </c>
      <c r="O4" s="4"/>
      <c r="P4" s="4"/>
      <c r="Q4" s="1"/>
      <c r="AK4" t="s">
        <v>63</v>
      </c>
      <c r="AL4" t="e">
        <f>_xlfn.XLOOKUP(AK4,ConfDiv[TeamID],ConfDiv[Logo])</f>
        <v>#N/A</v>
      </c>
      <c r="AM4" t="e">
        <f>_xlfn.XLOOKUP(AK4,ConfDiv[TeamID],ConfDiv[TeamName])</f>
        <v>#N/A</v>
      </c>
      <c r="AN4" s="1" t="e">
        <f>_xlfn.XLOOKUP($AK4,StandingsPivot!$A$4:$A$33,StandingsPivot!D$4:D$33)</f>
        <v>#N/A</v>
      </c>
      <c r="AO4" s="1" t="e">
        <f>_xlfn.XLOOKUP($AK4,StandingsPivot!$A$4:$A$33,StandingsPivot!E$4:E$33)</f>
        <v>#N/A</v>
      </c>
      <c r="AP4" s="1" t="e">
        <f>_xlfn.XLOOKUP($AK4,StandingsPivot!$A$4:$A$33,StandingsPivot!F$4:F$33)</f>
        <v>#N/A</v>
      </c>
      <c r="AQ4" s="1" t="e">
        <f>_xlfn.XLOOKUP($AK4,StandingsPivot!$A$4:$A$33,StandingsPivot!G$4:G$33)</f>
        <v>#N/A</v>
      </c>
      <c r="AR4" s="1" t="e">
        <f>_xlfn.XLOOKUP($AK4,StandingsPivot!$A$4:$A$33,StandingsPivot!H$4:H$33)</f>
        <v>#N/A</v>
      </c>
      <c r="AS4" s="1" t="e">
        <f>_xlfn.XLOOKUP($AK4,StandingsPivot!$A$4:$A$33,StandingsPivot!I$4:I$33)</f>
        <v>#N/A</v>
      </c>
      <c r="AT4" s="1" t="e">
        <f>_xlfn.XLOOKUP($AK4,StandingsPivot!$A$4:$A$33,StandingsPivot!J$4:J$33)</f>
        <v>#N/A</v>
      </c>
      <c r="AU4" s="1" t="e">
        <f>_xlfn.XLOOKUP($AK4,StandingsPivot!$A$4:$A$33,StandingsPivot!K$4:K$33)</f>
        <v>#N/A</v>
      </c>
      <c r="AV4" s="1" t="e">
        <f t="shared" si="0"/>
        <v>#N/A</v>
      </c>
      <c r="AW4" s="1" t="e">
        <f t="shared" si="1"/>
        <v>#N/A</v>
      </c>
      <c r="AX4" s="4" cm="1">
        <f t="array" ref="AX4">_xlfn.IFNA(INDEX(Games[PostGmRate], MATCH(1, (Games[Team]=AK4)*(Games[Date]=AY4), 0)),0)</f>
        <v>0</v>
      </c>
      <c r="AY4" s="1">
        <f>_xlfn.MAXIFS(Games[Date], Games[Team], AK4)</f>
        <v>0</v>
      </c>
      <c r="AZ4" t="e">
        <f t="shared" si="2"/>
        <v>#N/A</v>
      </c>
    </row>
    <row r="5" spans="1:68" x14ac:dyDescent="0.35">
      <c r="A5" t="str">
        <v>ATL</v>
      </c>
      <c r="B5">
        <v>0</v>
      </c>
      <c r="C5" t="str">
        <v>Atlanta Dream</v>
      </c>
      <c r="D5" s="1">
        <v>23</v>
      </c>
      <c r="E5" s="1">
        <v>18</v>
      </c>
      <c r="F5" s="3">
        <v>0.56097560975609762</v>
      </c>
      <c r="G5" s="9">
        <v>1570.9915899060293</v>
      </c>
      <c r="H5" s="1">
        <v>40437</v>
      </c>
      <c r="O5" s="4"/>
      <c r="P5" s="4"/>
      <c r="Q5" s="1"/>
      <c r="AK5" t="s">
        <v>1</v>
      </c>
      <c r="AL5" t="e">
        <f>_xlfn.XLOOKUP(AK5,ConfDiv[TeamID],ConfDiv[Logo])</f>
        <v>#N/A</v>
      </c>
      <c r="AM5" t="e">
        <f>_xlfn.XLOOKUP(AK5,ConfDiv[TeamID],ConfDiv[TeamName])</f>
        <v>#N/A</v>
      </c>
      <c r="AN5" s="1" t="e">
        <f>_xlfn.XLOOKUP($AK5,StandingsPivot!$A$4:$A$33,StandingsPivot!D$4:D$33)</f>
        <v>#N/A</v>
      </c>
      <c r="AO5" s="1" t="e">
        <f>_xlfn.XLOOKUP($AK5,StandingsPivot!$A$4:$A$33,StandingsPivot!E$4:E$33)</f>
        <v>#N/A</v>
      </c>
      <c r="AP5" s="1" t="e">
        <f>_xlfn.XLOOKUP($AK5,StandingsPivot!$A$4:$A$33,StandingsPivot!F$4:F$33)</f>
        <v>#N/A</v>
      </c>
      <c r="AQ5" s="1" t="e">
        <f>_xlfn.XLOOKUP($AK5,StandingsPivot!$A$4:$A$33,StandingsPivot!G$4:G$33)</f>
        <v>#N/A</v>
      </c>
      <c r="AR5" s="1" t="e">
        <f>_xlfn.XLOOKUP($AK5,StandingsPivot!$A$4:$A$33,StandingsPivot!H$4:H$33)</f>
        <v>#N/A</v>
      </c>
      <c r="AS5" s="1" t="e">
        <f>_xlfn.XLOOKUP($AK5,StandingsPivot!$A$4:$A$33,StandingsPivot!I$4:I$33)</f>
        <v>#N/A</v>
      </c>
      <c r="AT5" s="1" t="e">
        <f>_xlfn.XLOOKUP($AK5,StandingsPivot!$A$4:$A$33,StandingsPivot!J$4:J$33)</f>
        <v>#N/A</v>
      </c>
      <c r="AU5" s="1" t="e">
        <f>_xlfn.XLOOKUP($AK5,StandingsPivot!$A$4:$A$33,StandingsPivot!K$4:K$33)</f>
        <v>#N/A</v>
      </c>
      <c r="AV5" s="1" t="e">
        <f t="shared" si="0"/>
        <v>#N/A</v>
      </c>
      <c r="AW5" s="1" t="e">
        <f t="shared" si="1"/>
        <v>#N/A</v>
      </c>
      <c r="AX5" s="4" cm="1">
        <f t="array" ref="AX5">_xlfn.IFNA(INDEX(Games[PostGmRate], MATCH(1, (Games[Team]=AK5)*(Games[Date]=AY5), 0)),0)</f>
        <v>0</v>
      </c>
      <c r="AY5" s="1">
        <f>_xlfn.MAXIFS(Games[Date], Games[Team], AK5)</f>
        <v>0</v>
      </c>
      <c r="AZ5" t="e">
        <f t="shared" si="2"/>
        <v>#N/A</v>
      </c>
    </row>
    <row r="6" spans="1:68" x14ac:dyDescent="0.35">
      <c r="A6" t="str">
        <v>WAS</v>
      </c>
      <c r="B6">
        <v>0</v>
      </c>
      <c r="C6" t="str">
        <v>Washington Mystics</v>
      </c>
      <c r="D6" s="1">
        <v>22</v>
      </c>
      <c r="E6" s="1">
        <v>14</v>
      </c>
      <c r="F6" s="3">
        <v>0.61111111111111116</v>
      </c>
      <c r="G6" s="9">
        <v>1557.634353446055</v>
      </c>
      <c r="H6" s="1">
        <v>40417</v>
      </c>
      <c r="O6" s="3"/>
      <c r="P6" s="4"/>
      <c r="Q6" s="1"/>
      <c r="AK6" t="s">
        <v>44</v>
      </c>
      <c r="AL6">
        <f>_xlfn.XLOOKUP(AK6,ConfDiv[TeamID],ConfDiv[Logo])</f>
        <v>0</v>
      </c>
      <c r="AM6" t="str">
        <f>_xlfn.XLOOKUP(AK6,ConfDiv[TeamID],ConfDiv[TeamName])</f>
        <v>Phoenix Mercury</v>
      </c>
      <c r="AN6" s="1">
        <f>_xlfn.XLOOKUP($AK6,StandingsPivot!$A$4:$A$33,StandingsPivot!D$4:D$33)</f>
        <v>0</v>
      </c>
      <c r="AO6" s="1">
        <f>_xlfn.XLOOKUP($AK6,StandingsPivot!$A$4:$A$33,StandingsPivot!E$4:E$33)</f>
        <v>0</v>
      </c>
      <c r="AP6" s="1">
        <f>_xlfn.XLOOKUP($AK6,StandingsPivot!$A$4:$A$33,StandingsPivot!F$4:F$33)</f>
        <v>0</v>
      </c>
      <c r="AQ6" s="1">
        <f>_xlfn.XLOOKUP($AK6,StandingsPivot!$A$4:$A$33,StandingsPivot!G$4:G$33)</f>
        <v>0</v>
      </c>
      <c r="AR6" s="1">
        <f>_xlfn.XLOOKUP($AK6,StandingsPivot!$A$4:$A$33,StandingsPivot!H$4:H$33)</f>
        <v>0</v>
      </c>
      <c r="AS6" s="1">
        <f>_xlfn.XLOOKUP($AK6,StandingsPivot!$A$4:$A$33,StandingsPivot!I$4:I$33)</f>
        <v>0</v>
      </c>
      <c r="AT6" s="1">
        <f>_xlfn.XLOOKUP($AK6,StandingsPivot!$A$4:$A$33,StandingsPivot!J$4:J$33)</f>
        <v>0</v>
      </c>
      <c r="AU6" s="1">
        <f>_xlfn.XLOOKUP($AK6,StandingsPivot!$A$4:$A$33,StandingsPivot!K$4:K$33)</f>
        <v>0</v>
      </c>
      <c r="AV6" s="1">
        <f t="shared" ref="AV6:AW9" si="3">SUM(AN6,AP6,AR6,AT6)</f>
        <v>0</v>
      </c>
      <c r="AW6" s="1">
        <f t="shared" si="3"/>
        <v>0</v>
      </c>
      <c r="AX6" s="4" cm="1">
        <f t="array" ref="AX6">_xlfn.IFNA(INDEX(Games[PostGmRate], MATCH(1, (Games[Team]=AK6)*(Games[Date]=AY6), 0)),0)</f>
        <v>1516.8315670903664</v>
      </c>
      <c r="AY6" s="1">
        <f>_xlfn.MAXIFS(Games[Date], Games[Team], AK6)</f>
        <v>40426</v>
      </c>
      <c r="AZ6">
        <f>SUM(AV6:AW6)</f>
        <v>0</v>
      </c>
      <c r="BO6" s="4"/>
      <c r="BP6" s="1"/>
    </row>
    <row r="7" spans="1:68" x14ac:dyDescent="0.35">
      <c r="A7" t="str">
        <v>PHX</v>
      </c>
      <c r="B7">
        <v>0</v>
      </c>
      <c r="C7" t="str">
        <v>Phoenix Mercury</v>
      </c>
      <c r="D7" s="1">
        <v>17</v>
      </c>
      <c r="E7" s="1">
        <v>21</v>
      </c>
      <c r="F7" s="3">
        <v>0.44736842105263158</v>
      </c>
      <c r="G7" s="9">
        <v>1516.8315670903664</v>
      </c>
      <c r="H7" s="1">
        <v>40426</v>
      </c>
      <c r="AK7" t="s">
        <v>67</v>
      </c>
      <c r="AL7">
        <f>_xlfn.XLOOKUP(AK7,ConfDiv[TeamID],ConfDiv[Logo])</f>
        <v>0</v>
      </c>
      <c r="AM7" t="str">
        <f>_xlfn.XLOOKUP(AK7,ConfDiv[TeamID],ConfDiv[TeamName])</f>
        <v>Los Angeles Sparks</v>
      </c>
      <c r="AN7" s="1">
        <f>_xlfn.XLOOKUP($AK7,StandingsPivot!$A$4:$A$33,StandingsPivot!D$4:D$33)</f>
        <v>0</v>
      </c>
      <c r="AO7" s="1">
        <f>_xlfn.XLOOKUP($AK7,StandingsPivot!$A$4:$A$33,StandingsPivot!E$4:E$33)</f>
        <v>0</v>
      </c>
      <c r="AP7" s="1">
        <f>_xlfn.XLOOKUP($AK7,StandingsPivot!$A$4:$A$33,StandingsPivot!F$4:F$33)</f>
        <v>0</v>
      </c>
      <c r="AQ7" s="1">
        <f>_xlfn.XLOOKUP($AK7,StandingsPivot!$A$4:$A$33,StandingsPivot!G$4:G$33)</f>
        <v>0</v>
      </c>
      <c r="AR7" s="1">
        <f>_xlfn.XLOOKUP($AK7,StandingsPivot!$A$4:$A$33,StandingsPivot!H$4:H$33)</f>
        <v>0</v>
      </c>
      <c r="AS7" s="1">
        <f>_xlfn.XLOOKUP($AK7,StandingsPivot!$A$4:$A$33,StandingsPivot!I$4:I$33)</f>
        <v>0</v>
      </c>
      <c r="AT7" s="1">
        <f>_xlfn.XLOOKUP($AK7,StandingsPivot!$A$4:$A$33,StandingsPivot!J$4:J$33)</f>
        <v>0</v>
      </c>
      <c r="AU7" s="1">
        <f>_xlfn.XLOOKUP($AK7,StandingsPivot!$A$4:$A$33,StandingsPivot!K$4:K$33)</f>
        <v>0</v>
      </c>
      <c r="AV7" s="1">
        <f t="shared" si="3"/>
        <v>0</v>
      </c>
      <c r="AW7" s="1">
        <f t="shared" si="3"/>
        <v>0</v>
      </c>
      <c r="AX7" s="4" cm="1">
        <f t="array" ref="AX7">_xlfn.IFNA(INDEX(Games[PostGmRate], MATCH(1, (Games[Team]=AK7)*(Games[Date]=AY7), 0)),0)</f>
        <v>1434.3489518832757</v>
      </c>
      <c r="AY7" s="1">
        <f>_xlfn.MAXIFS(Games[Date], Games[Team], AK7)</f>
        <v>40418</v>
      </c>
      <c r="AZ7">
        <f>SUM(AV7:AW7)</f>
        <v>0</v>
      </c>
      <c r="BO7" s="4"/>
      <c r="BP7" s="1"/>
    </row>
    <row r="8" spans="1:68" x14ac:dyDescent="0.35">
      <c r="A8" t="str">
        <v>CON</v>
      </c>
      <c r="B8">
        <v>0</v>
      </c>
      <c r="C8" t="str">
        <v>Connecticut Sun</v>
      </c>
      <c r="D8" s="1">
        <v>17</v>
      </c>
      <c r="E8" s="1">
        <v>17</v>
      </c>
      <c r="F8" s="3">
        <v>0.5</v>
      </c>
      <c r="G8" s="9">
        <v>1496.7067849282851</v>
      </c>
      <c r="H8" s="1">
        <v>40412</v>
      </c>
      <c r="O8" s="3"/>
      <c r="P8" s="4"/>
      <c r="Q8" s="1"/>
      <c r="AK8" t="s">
        <v>45</v>
      </c>
      <c r="AL8" t="e">
        <f>_xlfn.XLOOKUP(AK8,ConfDiv[TeamID],ConfDiv[Logo])</f>
        <v>#N/A</v>
      </c>
      <c r="AM8" t="e">
        <f>_xlfn.XLOOKUP(AK8,ConfDiv[TeamID],ConfDiv[TeamName])</f>
        <v>#N/A</v>
      </c>
      <c r="AN8" s="1" t="e">
        <f>_xlfn.XLOOKUP($AK8,StandingsPivot!$A$4:$A$33,StandingsPivot!D$4:D$33)</f>
        <v>#N/A</v>
      </c>
      <c r="AO8" s="1" t="e">
        <f>_xlfn.XLOOKUP($AK8,StandingsPivot!$A$4:$A$33,StandingsPivot!E$4:E$33)</f>
        <v>#N/A</v>
      </c>
      <c r="AP8" s="1" t="e">
        <f>_xlfn.XLOOKUP($AK8,StandingsPivot!$A$4:$A$33,StandingsPivot!F$4:F$33)</f>
        <v>#N/A</v>
      </c>
      <c r="AQ8" s="1" t="e">
        <f>_xlfn.XLOOKUP($AK8,StandingsPivot!$A$4:$A$33,StandingsPivot!G$4:G$33)</f>
        <v>#N/A</v>
      </c>
      <c r="AR8" s="1" t="e">
        <f>_xlfn.XLOOKUP($AK8,StandingsPivot!$A$4:$A$33,StandingsPivot!H$4:H$33)</f>
        <v>#N/A</v>
      </c>
      <c r="AS8" s="1" t="e">
        <f>_xlfn.XLOOKUP($AK8,StandingsPivot!$A$4:$A$33,StandingsPivot!I$4:I$33)</f>
        <v>#N/A</v>
      </c>
      <c r="AT8" s="1" t="e">
        <f>_xlfn.XLOOKUP($AK8,StandingsPivot!$A$4:$A$33,StandingsPivot!J$4:J$33)</f>
        <v>#N/A</v>
      </c>
      <c r="AU8" s="1" t="e">
        <f>_xlfn.XLOOKUP($AK8,StandingsPivot!$A$4:$A$33,StandingsPivot!K$4:K$33)</f>
        <v>#N/A</v>
      </c>
      <c r="AV8" s="1" t="e">
        <f t="shared" si="3"/>
        <v>#N/A</v>
      </c>
      <c r="AW8" s="1" t="e">
        <f t="shared" si="3"/>
        <v>#N/A</v>
      </c>
      <c r="AX8" s="4" cm="1">
        <f t="array" ref="AX8">_xlfn.IFNA(INDEX(Games[PostGmRate], MATCH(1, (Games[Team]=AK8)*(Games[Date]=AY8), 0)),0)</f>
        <v>0</v>
      </c>
      <c r="AY8" s="1">
        <f>_xlfn.MAXIFS(Games[Date], Games[Team], AK8)</f>
        <v>0</v>
      </c>
      <c r="AZ8" t="e">
        <f>SUM(AV8:AW8)</f>
        <v>#N/A</v>
      </c>
      <c r="BO8" s="4"/>
      <c r="BP8" s="1"/>
    </row>
    <row r="9" spans="1:68" x14ac:dyDescent="0.35">
      <c r="A9" t="str">
        <v>CHI</v>
      </c>
      <c r="B9">
        <v>0</v>
      </c>
      <c r="C9" t="str">
        <v>Chicago Sky</v>
      </c>
      <c r="D9" s="1">
        <v>14</v>
      </c>
      <c r="E9" s="1">
        <v>20</v>
      </c>
      <c r="F9" s="3">
        <v>0.41176470588235292</v>
      </c>
      <c r="G9" s="9">
        <v>1438.7539971141273</v>
      </c>
      <c r="H9" s="1">
        <v>40411</v>
      </c>
      <c r="O9" s="3"/>
      <c r="P9" s="4"/>
      <c r="Q9" s="1"/>
      <c r="AK9" t="s">
        <v>43</v>
      </c>
      <c r="AL9" t="e">
        <f>_xlfn.XLOOKUP(AK9,ConfDiv[TeamID],ConfDiv[Logo])</f>
        <v>#N/A</v>
      </c>
      <c r="AM9" t="e">
        <f>_xlfn.XLOOKUP(AK9,ConfDiv[TeamID],ConfDiv[TeamName])</f>
        <v>#N/A</v>
      </c>
      <c r="AN9" s="1" t="e">
        <f>_xlfn.XLOOKUP($AK9,StandingsPivot!$A$4:$A$33,StandingsPivot!D$4:D$33)</f>
        <v>#N/A</v>
      </c>
      <c r="AO9" s="1" t="e">
        <f>_xlfn.XLOOKUP($AK9,StandingsPivot!$A$4:$A$33,StandingsPivot!E$4:E$33)</f>
        <v>#N/A</v>
      </c>
      <c r="AP9" s="1" t="e">
        <f>_xlfn.XLOOKUP($AK9,StandingsPivot!$A$4:$A$33,StandingsPivot!F$4:F$33)</f>
        <v>#N/A</v>
      </c>
      <c r="AQ9" s="1" t="e">
        <f>_xlfn.XLOOKUP($AK9,StandingsPivot!$A$4:$A$33,StandingsPivot!G$4:G$33)</f>
        <v>#N/A</v>
      </c>
      <c r="AR9" s="1" t="e">
        <f>_xlfn.XLOOKUP($AK9,StandingsPivot!$A$4:$A$33,StandingsPivot!H$4:H$33)</f>
        <v>#N/A</v>
      </c>
      <c r="AS9" s="1" t="e">
        <f>_xlfn.XLOOKUP($AK9,StandingsPivot!$A$4:$A$33,StandingsPivot!I$4:I$33)</f>
        <v>#N/A</v>
      </c>
      <c r="AT9" s="1" t="e">
        <f>_xlfn.XLOOKUP($AK9,StandingsPivot!$A$4:$A$33,StandingsPivot!J$4:J$33)</f>
        <v>#N/A</v>
      </c>
      <c r="AU9" s="1" t="e">
        <f>_xlfn.XLOOKUP($AK9,StandingsPivot!$A$4:$A$33,StandingsPivot!K$4:K$33)</f>
        <v>#N/A</v>
      </c>
      <c r="AV9" s="1" t="e">
        <f t="shared" si="3"/>
        <v>#N/A</v>
      </c>
      <c r="AW9" s="1" t="e">
        <f t="shared" si="3"/>
        <v>#N/A</v>
      </c>
      <c r="AX9" s="4" cm="1">
        <f t="array" ref="AX9">_xlfn.IFNA(INDEX(Games[PostGmRate], MATCH(1, (Games[Team]=AK9)*(Games[Date]=AY9), 0)),0)</f>
        <v>0</v>
      </c>
      <c r="AY9" s="1">
        <f>_xlfn.MAXIFS(Games[Date], Games[Team], AK9)</f>
        <v>0</v>
      </c>
      <c r="AZ9" t="e">
        <f>SUM(AV9:AW9)</f>
        <v>#N/A</v>
      </c>
      <c r="BO9" s="4"/>
      <c r="BP9" s="1"/>
    </row>
    <row r="10" spans="1:68" x14ac:dyDescent="0.35">
      <c r="A10" t="str">
        <v>LAS</v>
      </c>
      <c r="B10">
        <v>0</v>
      </c>
      <c r="C10" t="str">
        <v>Los Angeles Sparks</v>
      </c>
      <c r="D10" s="1">
        <v>13</v>
      </c>
      <c r="E10" s="1">
        <v>23</v>
      </c>
      <c r="F10" s="3">
        <v>0.3611111111111111</v>
      </c>
      <c r="G10" s="9">
        <v>1434.3489518832757</v>
      </c>
      <c r="H10" s="1">
        <v>40418</v>
      </c>
      <c r="O10" s="3"/>
      <c r="P10" s="4"/>
      <c r="Q10" s="1"/>
      <c r="AX10" s="4"/>
      <c r="BO10" s="4"/>
      <c r="BP10" s="1"/>
    </row>
    <row r="11" spans="1:68" x14ac:dyDescent="0.35">
      <c r="A11" t="str">
        <v>MIN</v>
      </c>
      <c r="B11">
        <v>0</v>
      </c>
      <c r="C11" t="str">
        <v>Minnesota Lynx</v>
      </c>
      <c r="D11" s="1">
        <v>13</v>
      </c>
      <c r="E11" s="1">
        <v>21</v>
      </c>
      <c r="F11" s="3">
        <v>0.38235294117647056</v>
      </c>
      <c r="G11" s="9">
        <v>1429.3214141698688</v>
      </c>
      <c r="H11" s="1">
        <v>40412</v>
      </c>
      <c r="O11" s="3"/>
      <c r="P11" s="4"/>
      <c r="Q11" s="1"/>
      <c r="AX11" s="4"/>
      <c r="BO11" s="4"/>
      <c r="BP11" s="1"/>
    </row>
    <row r="12" spans="1:68" x14ac:dyDescent="0.35">
      <c r="A12" t="str">
        <v>SAS</v>
      </c>
      <c r="B12">
        <v>0</v>
      </c>
      <c r="C12" t="str">
        <v>San Antonio Silver Stars</v>
      </c>
      <c r="D12" s="1">
        <v>14</v>
      </c>
      <c r="E12" s="1">
        <v>22</v>
      </c>
      <c r="F12" s="3">
        <v>0.3888888888888889</v>
      </c>
      <c r="G12" s="9">
        <v>1413.9306813902981</v>
      </c>
      <c r="H12" s="1">
        <v>40418</v>
      </c>
      <c r="O12" s="3"/>
      <c r="P12" s="4"/>
      <c r="Q12" s="1"/>
      <c r="AX12" s="4"/>
      <c r="BO12" s="4"/>
      <c r="BP12" s="1"/>
    </row>
    <row r="13" spans="1:68" x14ac:dyDescent="0.35">
      <c r="A13" t="str">
        <v>TUL</v>
      </c>
      <c r="B13">
        <v>0</v>
      </c>
      <c r="C13" t="str">
        <v>Tulsa Shock</v>
      </c>
      <c r="D13" s="1">
        <v>6</v>
      </c>
      <c r="E13" s="1">
        <v>28</v>
      </c>
      <c r="F13" s="3">
        <v>0.17647058823529413</v>
      </c>
      <c r="G13" s="9">
        <v>1297.8818481897349</v>
      </c>
      <c r="H13" s="1">
        <v>40411</v>
      </c>
      <c r="AX13" s="4"/>
      <c r="BO13" s="4"/>
      <c r="BP13" s="1"/>
    </row>
    <row r="14" spans="1:68" x14ac:dyDescent="0.35">
      <c r="F14" s="3"/>
      <c r="G14" s="9"/>
      <c r="O14" s="3"/>
      <c r="P14" s="4"/>
      <c r="Q14" s="1"/>
      <c r="AX14" s="4"/>
      <c r="BO14" s="4"/>
      <c r="BP14" s="1"/>
    </row>
    <row r="15" spans="1:68" x14ac:dyDescent="0.35">
      <c r="F15" s="3"/>
      <c r="G15" s="9"/>
      <c r="O15" s="3"/>
      <c r="P15" s="4"/>
      <c r="Q15" s="1"/>
      <c r="AX15" s="4"/>
      <c r="BO15" s="4"/>
      <c r="BP15" s="1"/>
    </row>
    <row r="16" spans="1:68" x14ac:dyDescent="0.35">
      <c r="F16" s="3"/>
      <c r="G16" s="9"/>
      <c r="O16" s="3"/>
      <c r="P16" s="4"/>
      <c r="Q16" s="1"/>
      <c r="AX16" s="4"/>
      <c r="BO16" s="4"/>
      <c r="BP16" s="1"/>
    </row>
    <row r="17" spans="1:60" x14ac:dyDescent="0.35">
      <c r="F17" s="3"/>
      <c r="G17" s="9"/>
      <c r="O17" s="3"/>
      <c r="P17" s="4"/>
      <c r="Q17" s="1"/>
    </row>
    <row r="18" spans="1:60" x14ac:dyDescent="0.35">
      <c r="F18" s="3"/>
      <c r="G18" s="9"/>
      <c r="O18" s="3"/>
      <c r="P18" s="4"/>
      <c r="Q18" s="1"/>
    </row>
    <row r="19" spans="1:60" x14ac:dyDescent="0.35">
      <c r="F19" s="3"/>
      <c r="G19" s="9"/>
    </row>
    <row r="20" spans="1:60" x14ac:dyDescent="0.35">
      <c r="F20" s="3"/>
      <c r="G20" s="9"/>
      <c r="O20" s="3"/>
      <c r="P20" s="4"/>
      <c r="Q20" s="1"/>
    </row>
    <row r="21" spans="1:60" x14ac:dyDescent="0.35">
      <c r="F21" s="3"/>
      <c r="G21" s="9"/>
      <c r="AR21" s="3"/>
      <c r="AS21" s="4"/>
      <c r="BD21" s="1"/>
      <c r="BG21" s="3"/>
      <c r="BH21" s="4"/>
    </row>
    <row r="22" spans="1:60" x14ac:dyDescent="0.35">
      <c r="F22" s="3"/>
      <c r="G22" s="9"/>
      <c r="AR22" s="3"/>
      <c r="AS22" s="4"/>
      <c r="BD22" s="1"/>
      <c r="BG22" s="3"/>
      <c r="BH22" s="4"/>
    </row>
    <row r="23" spans="1:60" x14ac:dyDescent="0.35">
      <c r="F23" s="3"/>
      <c r="G23" s="9"/>
      <c r="AR23" s="3"/>
      <c r="AS23" s="4"/>
      <c r="BD23" s="1"/>
      <c r="BG23" s="3"/>
      <c r="BH23" s="4"/>
    </row>
    <row r="24" spans="1:60" x14ac:dyDescent="0.35">
      <c r="F24" s="3"/>
      <c r="G24" s="9"/>
      <c r="AR24" s="3"/>
      <c r="AS24" s="4"/>
      <c r="BD24" s="1"/>
      <c r="BG24" s="3"/>
      <c r="BH24" s="4"/>
    </row>
    <row r="25" spans="1:60" x14ac:dyDescent="0.35">
      <c r="A25" t="s">
        <v>83</v>
      </c>
      <c r="B25">
        <f>_xlfn.XLOOKUP(A25,ConfDiv[TeamID],ConfDiv[Logo])</f>
        <v>0</v>
      </c>
      <c r="C25" t="str">
        <f>_xlfn.XLOOKUP(A25,ConfDiv[TeamID],ConfDiv[TeamName])</f>
        <v>Atlanta Dream</v>
      </c>
      <c r="D25" s="1">
        <f>_xlfn.XLOOKUP($A25,StandingsPivot!$A$4:$A$35,StandingsPivot!B$4:B$35)</f>
        <v>23</v>
      </c>
      <c r="E25" s="1">
        <f>_xlfn.XLOOKUP($A25,StandingsPivot!$A$4:$A$35,StandingsPivot!C$4:C$35)</f>
        <v>18</v>
      </c>
      <c r="F25" s="3">
        <f>(D25)/(D25+E25)</f>
        <v>0.56097560975609762</v>
      </c>
      <c r="G25" s="9" cm="1">
        <f t="array" ref="G25">INDEX(Games[PostGmRate], MATCH(1, (Games[Team]=A25)*(Games[Date]=H25), 0))</f>
        <v>1570.9915899060293</v>
      </c>
      <c r="H25" s="1">
        <f>_xlfn.MAXIFS(Games[Date], Games[Team], A25)</f>
        <v>40437</v>
      </c>
      <c r="AR25" s="3"/>
      <c r="AS25" s="4"/>
      <c r="BD25" s="1"/>
      <c r="BG25" s="3"/>
      <c r="BH25" s="4"/>
    </row>
    <row r="26" spans="1:60" x14ac:dyDescent="0.35">
      <c r="A26" t="s">
        <v>81</v>
      </c>
      <c r="B26">
        <f>_xlfn.XLOOKUP(A26,ConfDiv[TeamID],ConfDiv[Logo])</f>
        <v>0</v>
      </c>
      <c r="C26" t="str">
        <f>_xlfn.XLOOKUP(A26,ConfDiv[TeamID],ConfDiv[TeamName])</f>
        <v>Chicago Sky</v>
      </c>
      <c r="D26" s="1">
        <f>_xlfn.XLOOKUP($A26,StandingsPivot!$A$4:$A$35,StandingsPivot!B$4:B$35)</f>
        <v>14</v>
      </c>
      <c r="E26" s="1">
        <f>_xlfn.XLOOKUP($A26,StandingsPivot!$A$4:$A$35,StandingsPivot!C$4:C$35)</f>
        <v>20</v>
      </c>
      <c r="F26" s="3">
        <f>(D26)/(D26+E26)</f>
        <v>0.41176470588235292</v>
      </c>
      <c r="G26" s="9" cm="1">
        <f t="array" ref="G26">INDEX(Games[PostGmRate], MATCH(1, (Games[Team]=A26)*(Games[Date]=H26), 0))</f>
        <v>1438.7539971141273</v>
      </c>
      <c r="H26" s="1">
        <f>_xlfn.MAXIFS(Games[Date], Games[Team], A26)</f>
        <v>40411</v>
      </c>
      <c r="AR26" s="3"/>
      <c r="AS26" s="4"/>
      <c r="BD26" s="1"/>
      <c r="BG26" s="3"/>
      <c r="BH26" s="4"/>
    </row>
    <row r="27" spans="1:60" x14ac:dyDescent="0.35">
      <c r="A27" t="s">
        <v>80</v>
      </c>
      <c r="B27">
        <f>_xlfn.XLOOKUP(A27,ConfDiv[TeamID],ConfDiv[Logo])</f>
        <v>0</v>
      </c>
      <c r="C27" t="str">
        <f>_xlfn.XLOOKUP(A27,ConfDiv[TeamID],ConfDiv[TeamName])</f>
        <v>Connecticut Sun</v>
      </c>
      <c r="D27" s="1">
        <f>_xlfn.XLOOKUP($A27,StandingsPivot!$A$4:$A$35,StandingsPivot!B$4:B$35)</f>
        <v>17</v>
      </c>
      <c r="E27" s="1">
        <f>_xlfn.XLOOKUP($A27,StandingsPivot!$A$4:$A$35,StandingsPivot!C$4:C$35)</f>
        <v>17</v>
      </c>
      <c r="F27" s="3">
        <f>(D27)/(D27+E27)</f>
        <v>0.5</v>
      </c>
      <c r="G27" s="9" cm="1">
        <f t="array" ref="G27">INDEX(Games[PostGmRate], MATCH(1, (Games[Team]=A27)*(Games[Date]=H27), 0))</f>
        <v>1496.7067849282851</v>
      </c>
      <c r="H27" s="1">
        <f>_xlfn.MAXIFS(Games[Date], Games[Team], A27)</f>
        <v>40412</v>
      </c>
      <c r="AR27" s="3"/>
      <c r="AS27" s="4"/>
      <c r="BD27" s="1"/>
      <c r="BG27" s="3"/>
      <c r="BH27" s="4"/>
    </row>
    <row r="28" spans="1:60" x14ac:dyDescent="0.35">
      <c r="A28" t="s">
        <v>73</v>
      </c>
      <c r="B28">
        <f>_xlfn.XLOOKUP(A28,ConfDiv[TeamID],ConfDiv[Logo])</f>
        <v>0</v>
      </c>
      <c r="C28" t="str">
        <f>_xlfn.XLOOKUP(A28,ConfDiv[TeamID],ConfDiv[TeamName])</f>
        <v>Indiana Fever</v>
      </c>
      <c r="D28" s="1">
        <f>_xlfn.XLOOKUP($A28,StandingsPivot!$A$4:$A$35,StandingsPivot!B$4:B$35)</f>
        <v>22</v>
      </c>
      <c r="E28" s="1">
        <f>_xlfn.XLOOKUP($A28,StandingsPivot!$A$4:$A$35,StandingsPivot!C$4:C$35)</f>
        <v>15</v>
      </c>
      <c r="F28" s="3">
        <f>(D28)/(D28+E28)</f>
        <v>0.59459459459459463</v>
      </c>
      <c r="G28" s="9" cm="1">
        <f t="array" ref="G28">INDEX(Games[PostGmRate], MATCH(1, (Games[Team]=A28)*(Games[Date]=H28), 0))</f>
        <v>1580.8212531256652</v>
      </c>
      <c r="H28" s="1">
        <f>_xlfn.MAXIFS(Games[Date], Games[Team], A28)</f>
        <v>40422</v>
      </c>
      <c r="AR28" s="3"/>
      <c r="AS28" s="4"/>
      <c r="BD28" s="1"/>
      <c r="BG28" s="3"/>
      <c r="BH28" s="4"/>
    </row>
    <row r="29" spans="1:60" x14ac:dyDescent="0.35">
      <c r="A29" t="s">
        <v>67</v>
      </c>
      <c r="B29">
        <f>_xlfn.XLOOKUP(A29,ConfDiv[TeamID],ConfDiv[Logo])</f>
        <v>0</v>
      </c>
      <c r="C29" t="str">
        <f>_xlfn.XLOOKUP(A29,ConfDiv[TeamID],ConfDiv[TeamName])</f>
        <v>Los Angeles Sparks</v>
      </c>
      <c r="D29" s="1">
        <f>_xlfn.XLOOKUP($A29,StandingsPivot!$A$4:$A$35,StandingsPivot!B$4:B$35)</f>
        <v>13</v>
      </c>
      <c r="E29" s="1">
        <f>_xlfn.XLOOKUP($A29,StandingsPivot!$A$4:$A$35,StandingsPivot!C$4:C$35)</f>
        <v>23</v>
      </c>
      <c r="F29" s="3">
        <f>(D29)/(D29+E29)</f>
        <v>0.3611111111111111</v>
      </c>
      <c r="G29" s="9" cm="1">
        <f t="array" ref="G29">INDEX(Games[PostGmRate], MATCH(1, (Games[Team]=A29)*(Games[Date]=H29), 0))</f>
        <v>1434.3489518832757</v>
      </c>
      <c r="H29" s="1">
        <f>_xlfn.MAXIFS(Games[Date], Games[Team], A29)</f>
        <v>40418</v>
      </c>
      <c r="AR29" s="3"/>
      <c r="AS29" s="4"/>
      <c r="BD29" s="1"/>
      <c r="BG29" s="3"/>
      <c r="BH29" s="4"/>
    </row>
    <row r="30" spans="1:60" x14ac:dyDescent="0.35">
      <c r="A30" t="s">
        <v>71</v>
      </c>
      <c r="B30">
        <f>_xlfn.XLOOKUP(A30,ConfDiv[TeamID],ConfDiv[Logo])</f>
        <v>0</v>
      </c>
      <c r="C30" t="str">
        <f>_xlfn.XLOOKUP(A30,ConfDiv[TeamID],ConfDiv[TeamName])</f>
        <v>Minnesota Lynx</v>
      </c>
      <c r="D30" s="1">
        <f>_xlfn.XLOOKUP($A30,StandingsPivot!$A$4:$A$35,StandingsPivot!B$4:B$35)</f>
        <v>13</v>
      </c>
      <c r="E30" s="1">
        <f>_xlfn.XLOOKUP($A30,StandingsPivot!$A$4:$A$35,StandingsPivot!C$4:C$35)</f>
        <v>21</v>
      </c>
      <c r="F30" s="3">
        <f>(D30)/(D30+E30)</f>
        <v>0.38235294117647056</v>
      </c>
      <c r="G30" s="9" cm="1">
        <f t="array" ref="G30">INDEX(Games[PostGmRate], MATCH(1, (Games[Team]=A30)*(Games[Date]=H30), 0))</f>
        <v>1429.3214141698688</v>
      </c>
      <c r="H30" s="1">
        <f>_xlfn.MAXIFS(Games[Date], Games[Team], A30)</f>
        <v>40412</v>
      </c>
      <c r="AR30" s="3"/>
      <c r="AS30" s="4"/>
      <c r="BD30" s="1"/>
      <c r="BG30" s="3"/>
      <c r="BH30" s="4"/>
    </row>
    <row r="31" spans="1:60" x14ac:dyDescent="0.35">
      <c r="A31" t="s">
        <v>64</v>
      </c>
      <c r="B31">
        <f>_xlfn.XLOOKUP(A31,ConfDiv[TeamID],ConfDiv[Logo])</f>
        <v>0</v>
      </c>
      <c r="C31" t="str">
        <f>_xlfn.XLOOKUP(A31,ConfDiv[TeamID],ConfDiv[TeamName])</f>
        <v>New York Liberty</v>
      </c>
      <c r="D31" s="1">
        <f>_xlfn.XLOOKUP($A31,StandingsPivot!$A$4:$A$35,StandingsPivot!B$4:B$35)</f>
        <v>24</v>
      </c>
      <c r="E31" s="1">
        <f>_xlfn.XLOOKUP($A31,StandingsPivot!$A$4:$A$35,StandingsPivot!C$4:C$35)</f>
        <v>15</v>
      </c>
      <c r="F31" s="3">
        <f>(D31)/(D31+E31)</f>
        <v>0.61538461538461542</v>
      </c>
      <c r="G31" s="9" cm="1">
        <f t="array" ref="G31">INDEX(Games[PostGmRate], MATCH(1, (Games[Team]=A31)*(Games[Date]=H31), 0))</f>
        <v>1598.3643154676781</v>
      </c>
      <c r="H31" s="1">
        <f>_xlfn.MAXIFS(Games[Date], Games[Team], A31)</f>
        <v>40428</v>
      </c>
      <c r="AR31" s="3"/>
      <c r="AS31" s="4"/>
      <c r="BD31" s="1"/>
      <c r="BG31" s="3"/>
      <c r="BH31" s="4"/>
    </row>
    <row r="32" spans="1:60" x14ac:dyDescent="0.35">
      <c r="A32" t="s">
        <v>44</v>
      </c>
      <c r="B32">
        <f>_xlfn.XLOOKUP(A32,ConfDiv[TeamID],ConfDiv[Logo])</f>
        <v>0</v>
      </c>
      <c r="C32" t="str">
        <f>_xlfn.XLOOKUP(A32,ConfDiv[TeamID],ConfDiv[TeamName])</f>
        <v>Phoenix Mercury</v>
      </c>
      <c r="D32" s="1">
        <f>_xlfn.XLOOKUP($A32,StandingsPivot!$A$4:$A$35,StandingsPivot!B$4:B$35)</f>
        <v>17</v>
      </c>
      <c r="E32" s="1">
        <f>_xlfn.XLOOKUP($A32,StandingsPivot!$A$4:$A$35,StandingsPivot!C$4:C$35)</f>
        <v>21</v>
      </c>
      <c r="F32" s="3">
        <f>(D32)/(D32+E32)</f>
        <v>0.44736842105263158</v>
      </c>
      <c r="G32" s="9" cm="1">
        <f t="array" ref="G32">INDEX(Games[PostGmRate], MATCH(1, (Games[Team]=A32)*(Games[Date]=H32), 0))</f>
        <v>1516.8315670903664</v>
      </c>
      <c r="H32" s="1">
        <f>_xlfn.MAXIFS(Games[Date], Games[Team], A32)</f>
        <v>40426</v>
      </c>
    </row>
    <row r="33" spans="1:8" x14ac:dyDescent="0.35">
      <c r="A33" t="s">
        <v>78</v>
      </c>
      <c r="B33">
        <f>_xlfn.XLOOKUP(A33,ConfDiv[TeamID],ConfDiv[Logo])</f>
        <v>0</v>
      </c>
      <c r="C33" t="str">
        <f>_xlfn.XLOOKUP(A33,ConfDiv[TeamID],ConfDiv[TeamName])</f>
        <v>San Antonio Silver Stars</v>
      </c>
      <c r="D33" s="1">
        <f>_xlfn.XLOOKUP($A33,StandingsPivot!$A$4:$A$35,StandingsPivot!B$4:B$35)</f>
        <v>14</v>
      </c>
      <c r="E33" s="1">
        <f>_xlfn.XLOOKUP($A33,StandingsPivot!$A$4:$A$35,StandingsPivot!C$4:C$35)</f>
        <v>22</v>
      </c>
      <c r="F33" s="3">
        <f>(D33)/(D33+E33)</f>
        <v>0.3888888888888889</v>
      </c>
      <c r="G33" s="9" cm="1">
        <f t="array" ref="G33">INDEX(Games[PostGmRate], MATCH(1, (Games[Team]=A33)*(Games[Date]=H33), 0))</f>
        <v>1413.9306813902981</v>
      </c>
      <c r="H33" s="1">
        <f>_xlfn.MAXIFS(Games[Date], Games[Team], A33)</f>
        <v>40418</v>
      </c>
    </row>
    <row r="34" spans="1:8" x14ac:dyDescent="0.35">
      <c r="A34" t="s">
        <v>75</v>
      </c>
      <c r="B34">
        <f>_xlfn.XLOOKUP(A34,ConfDiv[TeamID],ConfDiv[Logo])</f>
        <v>0</v>
      </c>
      <c r="C34" t="str">
        <f>_xlfn.XLOOKUP(A34,ConfDiv[TeamID],ConfDiv[TeamName])</f>
        <v>Seattle Storm</v>
      </c>
      <c r="D34" s="1">
        <f>_xlfn.XLOOKUP($A34,StandingsPivot!$A$4:$A$35,StandingsPivot!B$4:B$35)</f>
        <v>35</v>
      </c>
      <c r="E34" s="1">
        <f>_xlfn.XLOOKUP($A34,StandingsPivot!$A$4:$A$35,StandingsPivot!C$4:C$35)</f>
        <v>6</v>
      </c>
      <c r="F34" s="3">
        <f>(D34)/(D34+E34)</f>
        <v>0.85365853658536583</v>
      </c>
      <c r="G34" s="9" cm="1">
        <f t="array" ref="G34">INDEX(Games[PostGmRate], MATCH(1, (Games[Team]=A34)*(Games[Date]=H34), 0))</f>
        <v>1702.5273759233144</v>
      </c>
      <c r="H34" s="1">
        <f>_xlfn.MAXIFS(Games[Date], Games[Team], A34)</f>
        <v>40437</v>
      </c>
    </row>
    <row r="35" spans="1:8" x14ac:dyDescent="0.35">
      <c r="A35" t="s">
        <v>85</v>
      </c>
      <c r="B35">
        <f>_xlfn.XLOOKUP(A35,ConfDiv[TeamID],ConfDiv[Logo])</f>
        <v>0</v>
      </c>
      <c r="C35" t="str">
        <f>_xlfn.XLOOKUP(A35,ConfDiv[TeamID],ConfDiv[TeamName])</f>
        <v>Tulsa Shock</v>
      </c>
      <c r="D35" s="1">
        <f>_xlfn.XLOOKUP($A35,StandingsPivot!$A$4:$A$35,StandingsPivot!B$4:B$35)</f>
        <v>6</v>
      </c>
      <c r="E35" s="1">
        <f>_xlfn.XLOOKUP($A35,StandingsPivot!$A$4:$A$35,StandingsPivot!C$4:C$35)</f>
        <v>28</v>
      </c>
      <c r="F35" s="3">
        <f>(D35)/(D35+E35)</f>
        <v>0.17647058823529413</v>
      </c>
      <c r="G35" s="9" cm="1">
        <f t="array" ref="G35">INDEX(Games[PostGmRate], MATCH(1, (Games[Team]=A35)*(Games[Date]=H35), 0))</f>
        <v>1297.8818481897349</v>
      </c>
      <c r="H35" s="1">
        <f>_xlfn.MAXIFS(Games[Date], Games[Team], A35)</f>
        <v>40411</v>
      </c>
    </row>
    <row r="36" spans="1:8" x14ac:dyDescent="0.35">
      <c r="A36" t="s">
        <v>69</v>
      </c>
      <c r="B36">
        <f>_xlfn.XLOOKUP(A36,ConfDiv[TeamID],ConfDiv[Logo])</f>
        <v>0</v>
      </c>
      <c r="C36" t="str">
        <f>_xlfn.XLOOKUP(A36,ConfDiv[TeamID],ConfDiv[TeamName])</f>
        <v>Washington Mystics</v>
      </c>
      <c r="D36" s="1">
        <f>_xlfn.XLOOKUP($A36,StandingsPivot!$A$4:$A$35,StandingsPivot!B$4:B$35)</f>
        <v>22</v>
      </c>
      <c r="E36" s="1">
        <f>_xlfn.XLOOKUP($A36,StandingsPivot!$A$4:$A$35,StandingsPivot!C$4:C$35)</f>
        <v>14</v>
      </c>
      <c r="F36" s="3">
        <f>(D36)/(D36+E36)</f>
        <v>0.61111111111111116</v>
      </c>
      <c r="G36" s="9" cm="1">
        <f t="array" ref="G36">INDEX(Games[PostGmRate], MATCH(1, (Games[Team]=A36)*(Games[Date]=H36), 0))</f>
        <v>1557.634353446055</v>
      </c>
      <c r="H36" s="1">
        <f>_xlfn.MAXIFS(Games[Date], Games[Team], A36)</f>
        <v>40417</v>
      </c>
    </row>
  </sheetData>
  <sortState xmlns:xlrd2="http://schemas.microsoft.com/office/spreadsheetml/2017/richdata2" ref="A25:G36">
    <sortCondition ref="A25:A3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A0A15-B55D-4E54-BB57-CA2740C4AA06}">
  <dimension ref="A3:K37"/>
  <sheetViews>
    <sheetView workbookViewId="0">
      <selection activeCell="A3" sqref="A3"/>
    </sheetView>
  </sheetViews>
  <sheetFormatPr defaultRowHeight="15.5" x14ac:dyDescent="0.35"/>
  <cols>
    <col min="1" max="1" width="12.83203125" bestFit="1" customWidth="1"/>
    <col min="2" max="2" width="9" style="1" bestFit="1" customWidth="1"/>
    <col min="3" max="3" width="8.4140625" style="1" bestFit="1" customWidth="1"/>
    <col min="4" max="4" width="11.4140625" style="1" bestFit="1" customWidth="1"/>
    <col min="5" max="5" width="10.83203125" bestFit="1" customWidth="1"/>
    <col min="6" max="6" width="11.4140625" bestFit="1" customWidth="1"/>
    <col min="7" max="7" width="10.83203125" bestFit="1" customWidth="1"/>
    <col min="8" max="8" width="11.4140625" bestFit="1" customWidth="1"/>
    <col min="9" max="9" width="10.83203125" bestFit="1" customWidth="1"/>
    <col min="10" max="10" width="10.25" bestFit="1" customWidth="1"/>
    <col min="11" max="11" width="9.6640625" bestFit="1" customWidth="1"/>
  </cols>
  <sheetData>
    <row r="3" spans="1:11" x14ac:dyDescent="0.35">
      <c r="A3" s="5" t="s">
        <v>19</v>
      </c>
      <c r="B3" s="1" t="s">
        <v>21</v>
      </c>
      <c r="C3" s="1" t="s">
        <v>22</v>
      </c>
      <c r="D3" t="s">
        <v>54</v>
      </c>
      <c r="E3" t="s">
        <v>55</v>
      </c>
      <c r="F3" t="s">
        <v>56</v>
      </c>
      <c r="G3" t="s">
        <v>57</v>
      </c>
      <c r="H3" t="s">
        <v>58</v>
      </c>
      <c r="I3" t="s">
        <v>59</v>
      </c>
      <c r="J3" t="s">
        <v>60</v>
      </c>
      <c r="K3" t="s">
        <v>61</v>
      </c>
    </row>
    <row r="4" spans="1:11" x14ac:dyDescent="0.35">
      <c r="A4" s="6" t="s">
        <v>83</v>
      </c>
      <c r="B4" s="2">
        <v>23</v>
      </c>
      <c r="C4" s="2">
        <v>18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</row>
    <row r="5" spans="1:11" x14ac:dyDescent="0.35">
      <c r="A5" s="6" t="s">
        <v>81</v>
      </c>
      <c r="B5" s="2">
        <v>14</v>
      </c>
      <c r="C5" s="2">
        <v>20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</row>
    <row r="6" spans="1:11" x14ac:dyDescent="0.35">
      <c r="A6" s="6" t="s">
        <v>80</v>
      </c>
      <c r="B6" s="2">
        <v>17</v>
      </c>
      <c r="C6" s="2">
        <v>17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</row>
    <row r="7" spans="1:11" x14ac:dyDescent="0.35">
      <c r="A7" s="6" t="s">
        <v>73</v>
      </c>
      <c r="B7" s="2">
        <v>22</v>
      </c>
      <c r="C7" s="2">
        <v>15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</row>
    <row r="8" spans="1:11" x14ac:dyDescent="0.35">
      <c r="A8" s="6" t="s">
        <v>67</v>
      </c>
      <c r="B8" s="2">
        <v>13</v>
      </c>
      <c r="C8" s="2">
        <v>23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</row>
    <row r="9" spans="1:11" x14ac:dyDescent="0.35">
      <c r="A9" s="6" t="s">
        <v>71</v>
      </c>
      <c r="B9" s="2">
        <v>13</v>
      </c>
      <c r="C9" s="2">
        <v>21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</row>
    <row r="10" spans="1:11" x14ac:dyDescent="0.35">
      <c r="A10" s="6" t="s">
        <v>64</v>
      </c>
      <c r="B10" s="2">
        <v>24</v>
      </c>
      <c r="C10" s="2">
        <v>15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</row>
    <row r="11" spans="1:11" x14ac:dyDescent="0.35">
      <c r="A11" s="6" t="s">
        <v>44</v>
      </c>
      <c r="B11" s="2">
        <v>17</v>
      </c>
      <c r="C11" s="2">
        <v>21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</row>
    <row r="12" spans="1:11" x14ac:dyDescent="0.35">
      <c r="A12" s="6" t="s">
        <v>78</v>
      </c>
      <c r="B12" s="2">
        <v>14</v>
      </c>
      <c r="C12" s="2">
        <v>22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</row>
    <row r="13" spans="1:11" x14ac:dyDescent="0.35">
      <c r="A13" s="6" t="s">
        <v>75</v>
      </c>
      <c r="B13" s="2">
        <v>35</v>
      </c>
      <c r="C13" s="2">
        <v>6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</row>
    <row r="14" spans="1:11" x14ac:dyDescent="0.35">
      <c r="A14" s="6" t="s">
        <v>85</v>
      </c>
      <c r="B14" s="2">
        <v>6</v>
      </c>
      <c r="C14" s="2">
        <v>28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</row>
    <row r="15" spans="1:11" x14ac:dyDescent="0.35">
      <c r="A15" s="6" t="s">
        <v>69</v>
      </c>
      <c r="B15" s="2">
        <v>22</v>
      </c>
      <c r="C15" s="2">
        <v>14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</row>
    <row r="16" spans="1:11" x14ac:dyDescent="0.35">
      <c r="A16" s="6" t="s">
        <v>20</v>
      </c>
      <c r="B16" s="2">
        <v>220</v>
      </c>
      <c r="C16" s="2">
        <v>220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</row>
    <row r="17" customFormat="1" x14ac:dyDescent="0.35"/>
    <row r="18" customFormat="1" x14ac:dyDescent="0.35"/>
    <row r="19" customFormat="1" x14ac:dyDescent="0.35"/>
    <row r="20" customFormat="1" x14ac:dyDescent="0.35"/>
    <row r="21" customFormat="1" x14ac:dyDescent="0.35"/>
    <row r="22" customFormat="1" x14ac:dyDescent="0.35"/>
    <row r="23" customFormat="1" x14ac:dyDescent="0.35"/>
    <row r="24" customFormat="1" x14ac:dyDescent="0.35"/>
    <row r="25" customFormat="1" x14ac:dyDescent="0.35"/>
    <row r="26" customFormat="1" x14ac:dyDescent="0.35"/>
    <row r="27" customFormat="1" x14ac:dyDescent="0.35"/>
    <row r="28" customFormat="1" x14ac:dyDescent="0.35"/>
    <row r="29" customFormat="1" x14ac:dyDescent="0.35"/>
    <row r="30" customFormat="1" x14ac:dyDescent="0.35"/>
    <row r="31" customFormat="1" x14ac:dyDescent="0.35"/>
    <row r="32" customFormat="1" x14ac:dyDescent="0.35"/>
    <row r="33" customFormat="1" x14ac:dyDescent="0.35"/>
    <row r="34" customFormat="1" x14ac:dyDescent="0.35"/>
    <row r="35" customFormat="1" x14ac:dyDescent="0.35"/>
    <row r="36" customFormat="1" x14ac:dyDescent="0.35"/>
    <row r="37" customFormat="1" x14ac:dyDescent="0.3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B17C5-B3BB-411D-8ED5-B5306526185C}">
  <dimension ref="A3:A45"/>
  <sheetViews>
    <sheetView workbookViewId="0">
      <selection activeCell="A3" sqref="A3"/>
    </sheetView>
  </sheetViews>
  <sheetFormatPr defaultRowHeight="15.5" x14ac:dyDescent="0.35"/>
  <cols>
    <col min="1" max="1" width="12.83203125" bestFit="1" customWidth="1"/>
    <col min="2" max="2" width="18.75" bestFit="1" customWidth="1"/>
  </cols>
  <sheetData>
    <row r="3" spans="1:1" x14ac:dyDescent="0.35">
      <c r="A3" s="5" t="s">
        <v>19</v>
      </c>
    </row>
    <row r="4" spans="1:1" x14ac:dyDescent="0.35">
      <c r="A4" s="11">
        <v>1</v>
      </c>
    </row>
    <row r="5" spans="1:1" x14ac:dyDescent="0.35">
      <c r="A5" s="11">
        <v>2</v>
      </c>
    </row>
    <row r="6" spans="1:1" x14ac:dyDescent="0.35">
      <c r="A6" s="11">
        <v>3</v>
      </c>
    </row>
    <row r="7" spans="1:1" x14ac:dyDescent="0.35">
      <c r="A7" s="11">
        <v>4</v>
      </c>
    </row>
    <row r="8" spans="1:1" x14ac:dyDescent="0.35">
      <c r="A8" s="11">
        <v>5</v>
      </c>
    </row>
    <row r="9" spans="1:1" x14ac:dyDescent="0.35">
      <c r="A9" s="11">
        <v>6</v>
      </c>
    </row>
    <row r="10" spans="1:1" x14ac:dyDescent="0.35">
      <c r="A10" s="11">
        <v>7</v>
      </c>
    </row>
    <row r="11" spans="1:1" x14ac:dyDescent="0.35">
      <c r="A11" s="11">
        <v>8</v>
      </c>
    </row>
    <row r="12" spans="1:1" x14ac:dyDescent="0.35">
      <c r="A12" s="11">
        <v>9</v>
      </c>
    </row>
    <row r="13" spans="1:1" x14ac:dyDescent="0.35">
      <c r="A13" s="11">
        <v>10</v>
      </c>
    </row>
    <row r="14" spans="1:1" x14ac:dyDescent="0.35">
      <c r="A14" s="11">
        <v>11</v>
      </c>
    </row>
    <row r="15" spans="1:1" x14ac:dyDescent="0.35">
      <c r="A15" s="11">
        <v>12</v>
      </c>
    </row>
    <row r="16" spans="1:1" x14ac:dyDescent="0.35">
      <c r="A16" s="11">
        <v>13</v>
      </c>
    </row>
    <row r="17" spans="1:1" x14ac:dyDescent="0.35">
      <c r="A17" s="11">
        <v>14</v>
      </c>
    </row>
    <row r="18" spans="1:1" x14ac:dyDescent="0.35">
      <c r="A18" s="11">
        <v>15</v>
      </c>
    </row>
    <row r="19" spans="1:1" x14ac:dyDescent="0.35">
      <c r="A19" s="11">
        <v>16</v>
      </c>
    </row>
    <row r="20" spans="1:1" x14ac:dyDescent="0.35">
      <c r="A20" s="11">
        <v>17</v>
      </c>
    </row>
    <row r="21" spans="1:1" x14ac:dyDescent="0.35">
      <c r="A21" s="11">
        <v>18</v>
      </c>
    </row>
    <row r="22" spans="1:1" x14ac:dyDescent="0.35">
      <c r="A22" s="11">
        <v>19</v>
      </c>
    </row>
    <row r="23" spans="1:1" x14ac:dyDescent="0.35">
      <c r="A23" s="11">
        <v>20</v>
      </c>
    </row>
    <row r="24" spans="1:1" x14ac:dyDescent="0.35">
      <c r="A24" s="11">
        <v>21</v>
      </c>
    </row>
    <row r="25" spans="1:1" x14ac:dyDescent="0.35">
      <c r="A25" s="11">
        <v>22</v>
      </c>
    </row>
    <row r="26" spans="1:1" x14ac:dyDescent="0.35">
      <c r="A26" s="11">
        <v>23</v>
      </c>
    </row>
    <row r="27" spans="1:1" x14ac:dyDescent="0.35">
      <c r="A27" s="11">
        <v>24</v>
      </c>
    </row>
    <row r="28" spans="1:1" x14ac:dyDescent="0.35">
      <c r="A28" s="11">
        <v>25</v>
      </c>
    </row>
    <row r="29" spans="1:1" x14ac:dyDescent="0.35">
      <c r="A29" s="11">
        <v>26</v>
      </c>
    </row>
    <row r="30" spans="1:1" x14ac:dyDescent="0.35">
      <c r="A30" s="11">
        <v>27</v>
      </c>
    </row>
    <row r="31" spans="1:1" x14ac:dyDescent="0.35">
      <c r="A31" s="11">
        <v>28</v>
      </c>
    </row>
    <row r="32" spans="1:1" x14ac:dyDescent="0.35">
      <c r="A32" s="11">
        <v>29</v>
      </c>
    </row>
    <row r="33" spans="1:1" x14ac:dyDescent="0.35">
      <c r="A33" s="11">
        <v>30</v>
      </c>
    </row>
    <row r="34" spans="1:1" x14ac:dyDescent="0.35">
      <c r="A34" s="11">
        <v>31</v>
      </c>
    </row>
    <row r="35" spans="1:1" x14ac:dyDescent="0.35">
      <c r="A35" s="11">
        <v>32</v>
      </c>
    </row>
    <row r="36" spans="1:1" x14ac:dyDescent="0.35">
      <c r="A36" s="11">
        <v>33</v>
      </c>
    </row>
    <row r="37" spans="1:1" x14ac:dyDescent="0.35">
      <c r="A37" s="11">
        <v>34</v>
      </c>
    </row>
    <row r="38" spans="1:1" x14ac:dyDescent="0.35">
      <c r="A38" s="11">
        <v>35</v>
      </c>
    </row>
    <row r="39" spans="1:1" x14ac:dyDescent="0.35">
      <c r="A39" s="11">
        <v>36</v>
      </c>
    </row>
    <row r="40" spans="1:1" x14ac:dyDescent="0.35">
      <c r="A40" s="11">
        <v>37</v>
      </c>
    </row>
    <row r="41" spans="1:1" x14ac:dyDescent="0.35">
      <c r="A41" s="11">
        <v>38</v>
      </c>
    </row>
    <row r="42" spans="1:1" x14ac:dyDescent="0.35">
      <c r="A42" s="11">
        <v>39</v>
      </c>
    </row>
    <row r="43" spans="1:1" x14ac:dyDescent="0.35">
      <c r="A43" s="11">
        <v>40</v>
      </c>
    </row>
    <row r="44" spans="1:1" x14ac:dyDescent="0.35">
      <c r="A44" s="11">
        <v>41</v>
      </c>
    </row>
    <row r="45" spans="1:1" x14ac:dyDescent="0.35">
      <c r="A45" s="11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17D06-CBFA-4044-83DA-87079ECEE129}">
  <dimension ref="A1:AT441"/>
  <sheetViews>
    <sheetView workbookViewId="0">
      <selection activeCell="A2" sqref="A2"/>
    </sheetView>
  </sheetViews>
  <sheetFormatPr defaultRowHeight="15.5" x14ac:dyDescent="0.35"/>
  <cols>
    <col min="1" max="1" width="7.9140625" bestFit="1" customWidth="1"/>
    <col min="2" max="2" width="6.58203125" bestFit="1" customWidth="1"/>
    <col min="3" max="3" width="12.33203125" bestFit="1" customWidth="1"/>
    <col min="4" max="4" width="5" bestFit="1" customWidth="1"/>
    <col min="5" max="5" width="6.4140625" bestFit="1" customWidth="1"/>
    <col min="6" max="6" width="5.5" bestFit="1" customWidth="1"/>
    <col min="7" max="7" width="9.25" bestFit="1" customWidth="1"/>
    <col min="8" max="8" width="10.6640625" bestFit="1" customWidth="1"/>
    <col min="9" max="9" width="7.6640625" bestFit="1" customWidth="1"/>
    <col min="10" max="10" width="11.4140625" bestFit="1" customWidth="1"/>
    <col min="11" max="11" width="7.6640625" bestFit="1" customWidth="1"/>
    <col min="12" max="12" width="11.4140625" bestFit="1" customWidth="1"/>
    <col min="13" max="13" width="7.6640625" bestFit="1" customWidth="1"/>
    <col min="14" max="14" width="11.4140625" bestFit="1" customWidth="1"/>
    <col min="15" max="15" width="10.9140625" bestFit="1" customWidth="1"/>
    <col min="16" max="16" width="14.75" bestFit="1" customWidth="1"/>
    <col min="17" max="17" width="14.4140625" bestFit="1" customWidth="1"/>
    <col min="18" max="18" width="9.25" bestFit="1" customWidth="1"/>
    <col min="19" max="19" width="12.58203125" bestFit="1" customWidth="1"/>
    <col min="20" max="20" width="3.58203125" bestFit="1" customWidth="1"/>
    <col min="21" max="21" width="5.6640625" bestFit="1" customWidth="1"/>
    <col min="22" max="22" width="6.1640625" customWidth="1"/>
    <col min="23" max="23" width="9.9140625" customWidth="1"/>
    <col min="24" max="24" width="7.83203125" bestFit="1" customWidth="1"/>
    <col min="25" max="25" width="5.25" bestFit="1" customWidth="1"/>
    <col min="26" max="26" width="7.25" bestFit="1" customWidth="1"/>
    <col min="27" max="27" width="13.08203125" bestFit="1" customWidth="1"/>
    <col min="28" max="28" width="11.5" bestFit="1" customWidth="1"/>
    <col min="29" max="29" width="2.6640625" customWidth="1"/>
    <col min="30" max="30" width="2.08203125" customWidth="1"/>
    <col min="31" max="31" width="5.08203125" bestFit="1" customWidth="1"/>
    <col min="32" max="32" width="4.5" bestFit="1" customWidth="1"/>
    <col min="33" max="33" width="5.08203125" bestFit="1" customWidth="1"/>
    <col min="34" max="34" width="4.5" bestFit="1" customWidth="1"/>
    <col min="35" max="35" width="5.08203125" bestFit="1" customWidth="1"/>
    <col min="36" max="36" width="4.5" bestFit="1" customWidth="1"/>
    <col min="37" max="37" width="3.9140625" bestFit="1" customWidth="1"/>
    <col min="38" max="38" width="3.33203125" bestFit="1" customWidth="1"/>
    <col min="42" max="42" width="4.75" style="1" bestFit="1" customWidth="1"/>
    <col min="43" max="43" width="2.75" bestFit="1" customWidth="1"/>
    <col min="44" max="44" width="6.25" bestFit="1" customWidth="1"/>
    <col min="46" max="46" width="4.75" bestFit="1" customWidth="1"/>
    <col min="47" max="51" width="11.75" bestFit="1" customWidth="1"/>
    <col min="52" max="52" width="3.75" bestFit="1" customWidth="1"/>
    <col min="53" max="53" width="2.75" bestFit="1" customWidth="1"/>
  </cols>
  <sheetData>
    <row r="1" spans="1:46" x14ac:dyDescent="0.35">
      <c r="A1" s="1" t="s">
        <v>35</v>
      </c>
      <c r="B1" s="1" t="s">
        <v>30</v>
      </c>
      <c r="C1" s="1" t="s">
        <v>34</v>
      </c>
      <c r="D1" s="1" t="s">
        <v>28</v>
      </c>
      <c r="E1" s="1" t="s">
        <v>27</v>
      </c>
      <c r="F1" s="1" t="s">
        <v>0</v>
      </c>
      <c r="G1" s="1" t="s">
        <v>3</v>
      </c>
      <c r="H1" s="1" t="s">
        <v>14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</v>
      </c>
      <c r="P1" s="1" t="s">
        <v>5</v>
      </c>
      <c r="Q1" s="1" t="s">
        <v>6</v>
      </c>
      <c r="R1" s="1" t="s">
        <v>7</v>
      </c>
      <c r="S1" s="1" t="s">
        <v>8</v>
      </c>
      <c r="T1" s="1" t="s">
        <v>24</v>
      </c>
      <c r="U1" s="1" t="s">
        <v>9</v>
      </c>
      <c r="V1" s="1" t="s">
        <v>10</v>
      </c>
      <c r="W1" s="1" t="s">
        <v>13</v>
      </c>
      <c r="X1" s="1" t="s">
        <v>26</v>
      </c>
      <c r="Y1" s="1" t="s">
        <v>36</v>
      </c>
      <c r="Z1" s="1" t="s">
        <v>25</v>
      </c>
      <c r="AA1" s="1" t="s">
        <v>11</v>
      </c>
      <c r="AB1" s="1" t="s">
        <v>12</v>
      </c>
      <c r="AC1" s="1" t="s">
        <v>17</v>
      </c>
      <c r="AD1" s="1" t="s">
        <v>18</v>
      </c>
      <c r="AE1" s="1" t="s">
        <v>46</v>
      </c>
      <c r="AF1" s="1" t="s">
        <v>47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P1" s="1">
        <v>6</v>
      </c>
      <c r="AQ1">
        <v>76</v>
      </c>
    </row>
    <row r="2" spans="1:46" x14ac:dyDescent="0.35">
      <c r="A2" s="10">
        <v>40313</v>
      </c>
      <c r="B2" s="2">
        <v>2010</v>
      </c>
      <c r="C2" s="2">
        <f>COUNTIFS(Games[Team],Games[[#This Row],[Team]],Games[Season],Games[[#This Row],[Season]],Games[Date],"&lt;=" &amp; Games[[#This Row],[Date]])</f>
        <v>1</v>
      </c>
      <c r="D2" s="2" t="s">
        <v>23</v>
      </c>
      <c r="E2" s="2" t="s">
        <v>29</v>
      </c>
      <c r="F2" s="1" t="s">
        <v>81</v>
      </c>
      <c r="G2" s="1" t="s">
        <v>80</v>
      </c>
      <c r="H2" s="1" t="s">
        <v>16</v>
      </c>
      <c r="I2" s="2" cm="1">
        <f t="array" ref="I2">IFERROR(
    Games[[#This Row],[Date]]
    - LOOKUP(
        2,
        1/((Games[Team]=Games[[#This Row],[Team]]) * (Games[Date] &lt; Games[[#This Row],[Date]])),
        Games[Date]
    )
    - 1,
Games[[#This Row],[Date]]-$A$2)</f>
        <v>0</v>
      </c>
      <c r="J2" s="2" cm="1">
        <f t="array" ref="J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" s="2">
        <f>Games[[#This Row],[DaysOff]]-Games[[#This Row],[OppDaysOff]]</f>
        <v>0</v>
      </c>
      <c r="L2" s="2">
        <f>Games[[#This Row],[OppDaysOff]]-Games[[#This Row],[DaysOff]]</f>
        <v>0</v>
      </c>
      <c r="M2" s="1">
        <f>MAX(-16, MIN(16, Games[[#This Row],[RestDiff]]*8))</f>
        <v>0</v>
      </c>
      <c r="N2" s="1">
        <f>MAX(-16, MIN(16, Games[[#This Row],[OppRestDiff]]*8))</f>
        <v>0</v>
      </c>
      <c r="O2" s="4" cm="1">
        <f t="array" ref="O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1472.3530424316909</v>
      </c>
      <c r="P2" s="4" cm="1">
        <f t="array" ref="P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1490.6165151167288</v>
      </c>
      <c r="Q2" s="4">
        <f>1/(1+10^(((Games[[#This Row],[OppPreGmRate]]+IF(Games[[#This Row],[HomeAway]]="A",HCA,0)+Games[[#This Row],[OppRestAdj]])-(Games[[#This Row],[PreGmRate]]+IF(Games[[#This Row],[HomeAway]]="H",HCA,0)+Games[[#This Row],[RestAdj]]))/400))</f>
        <v>0.35693872899128332</v>
      </c>
      <c r="R2" s="1">
        <v>61</v>
      </c>
      <c r="S2" s="1">
        <v>74</v>
      </c>
      <c r="T2" s="1">
        <v>0</v>
      </c>
      <c r="U2" s="1">
        <f>Games[[#This Row],[PointsFor]]-Games[[#This Row],[PointsAgainst]]</f>
        <v>-13</v>
      </c>
      <c r="V2" s="1">
        <f>IF(Games[[#This Row],[MOV]]&gt;0,1,IF(Games[[#This Row],[MOV]]=0,0.5,0))</f>
        <v>0</v>
      </c>
      <c r="W2" s="4">
        <f>((ABS(Games[[#This Row],[MOV]])+5)^0.6)/(12+0.01*(ABS(Games[[#This Row],[PreGmRate]]-Games[[#This Row],[OppPreGmRate]])))*IF(Games[[#This Row],[OT]]=1,0.9,1)</f>
        <v>0.46496715979548053</v>
      </c>
      <c r="X2" s="7" cm="1">
        <f t="array" ref="X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" s="9">
        <f>MAX(kmin, kmax - 0.15 * MIN(Games[[#This Row],[GamesPlayed]], 82))</f>
        <v>75.849999999999994</v>
      </c>
      <c r="Z2" s="4">
        <f>Games[[#This Row],[K]]*Games[[#This Row],[POMult]]</f>
        <v>75.849999999999994</v>
      </c>
      <c r="AA2" s="4">
        <f>(Games[[#This Row],[Keff]]*Games[[#This Row],[MOVMult]])*(Games[[#This Row],[Result]]-Games[[#This Row],[ExpectedWin%]])</f>
        <v>-12.588429096990502</v>
      </c>
      <c r="AB2" s="4">
        <f>Games[[#This Row],[PreGmRate]]+Games[[#This Row],[RatingChange]]</f>
        <v>1459.7646133347005</v>
      </c>
      <c r="AC2" s="2">
        <f>IF(Games[[#This Row],[Type]]="R",IF(Games[[#This Row],[Result]]&gt;0.5,1,0),0)</f>
        <v>0</v>
      </c>
      <c r="AD2" s="2">
        <f>IF(Games[[#This Row],[Type]]="R",IF(Games[[#This Row],[Result]]&lt;0.5,1,0),0)</f>
        <v>1</v>
      </c>
      <c r="AE2" s="2">
        <f>IF(AND(Games[[#This Row],[Type]]="P",Games[[#This Row],[Round]]=1),IF(Games[[#This Row],[Result]]&gt;0.5,1,0),0)</f>
        <v>0</v>
      </c>
      <c r="AF2" s="2">
        <f>IF(AND(Games[[#This Row],[Type]]="P",Games[[#This Row],[Round]]=1),IF(Games[[#This Row],[Result]]&lt;0.5,1,0),0)</f>
        <v>0</v>
      </c>
      <c r="AG2" s="2">
        <f>IF(AND(Games[[#This Row],[Type]]="P",Games[[#This Row],[Round]]=2),IF(Games[[#This Row],[Result]]&gt;0.5,1,0),0)</f>
        <v>0</v>
      </c>
      <c r="AH2" s="2">
        <f>IF(AND(Games[[#This Row],[Type]]="P",Games[[#This Row],[Round]]=2),IF(Games[[#This Row],[Result]]&lt;0.5,1,0),0)</f>
        <v>0</v>
      </c>
      <c r="AI2" s="2">
        <f>IF(AND(Games[[#This Row],[Type]]="P",Games[[#This Row],[Round]]=3),IF(Games[[#This Row],[Result]]&gt;0.5,1,0),0)</f>
        <v>0</v>
      </c>
      <c r="AJ2" s="2">
        <f>IF(AND(Games[[#This Row],[Type]]="P",Games[[#This Row],[Round]]=3),IF(Games[[#This Row],[Result]]&lt;0.5,1,0),0)</f>
        <v>0</v>
      </c>
      <c r="AK2" s="2">
        <f>IF(AND(Games[[#This Row],[Type]]="P",Games[[#This Row],[Round]]=4),IF(Games[[#This Row],[Result]]&gt;0.5,1,0),0)</f>
        <v>0</v>
      </c>
      <c r="AL2" s="2">
        <f>IF(AND(Games[[#This Row],[Type]]="P",Games[[#This Row],[Round]]=4),IF(Games[[#This Row],[Result]]&lt;0.5,1,0),0)</f>
        <v>0</v>
      </c>
      <c r="AP2" s="1">
        <v>84</v>
      </c>
    </row>
    <row r="3" spans="1:46" x14ac:dyDescent="0.35">
      <c r="A3" s="10">
        <v>40313</v>
      </c>
      <c r="B3" s="2">
        <v>2010</v>
      </c>
      <c r="C3" s="2">
        <f>COUNTIFS(Games[Team],Games[[#This Row],[Team]],Games[Season],Games[[#This Row],[Season]],Games[Date],"&lt;=" &amp; Games[[#This Row],[Date]])</f>
        <v>1</v>
      </c>
      <c r="D3" s="2" t="s">
        <v>23</v>
      </c>
      <c r="E3" s="2" t="s">
        <v>29</v>
      </c>
      <c r="F3" s="1" t="s">
        <v>80</v>
      </c>
      <c r="G3" s="1" t="s">
        <v>81</v>
      </c>
      <c r="H3" s="1" t="s">
        <v>15</v>
      </c>
      <c r="I3" s="2" cm="1">
        <f t="array" ref="I3">IFERROR(
    Games[[#This Row],[Date]]
    - LOOKUP(
        2,
        1/((Games[Team]=Games[[#This Row],[Team]]) * (Games[Date] &lt; Games[[#This Row],[Date]])),
        Games[Date]
    )
    - 1,
Games[[#This Row],[Date]]-$A$2)</f>
        <v>0</v>
      </c>
      <c r="J3" s="2" cm="1">
        <f t="array" ref="J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" s="2">
        <f>Games[[#This Row],[DaysOff]]-Games[[#This Row],[OppDaysOff]]</f>
        <v>0</v>
      </c>
      <c r="L3" s="2">
        <f>Games[[#This Row],[OppDaysOff]]-Games[[#This Row],[DaysOff]]</f>
        <v>0</v>
      </c>
      <c r="M3" s="1">
        <f>MAX(-16, MIN(16, Games[[#This Row],[RestDiff]]*8))</f>
        <v>0</v>
      </c>
      <c r="N3" s="1">
        <f>MAX(-16, MIN(16, Games[[#This Row],[OppRestDiff]]*8))</f>
        <v>0</v>
      </c>
      <c r="O3" s="4" cm="1">
        <f t="array" ref="O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1490.6165151167288</v>
      </c>
      <c r="P3" s="4" cm="1">
        <f t="array" ref="P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1472.3530424316909</v>
      </c>
      <c r="Q3" s="4">
        <f>1/(1+10^(((Games[[#This Row],[OppPreGmRate]]+IF(Games[[#This Row],[HomeAway]]="A",HCA,0)+Games[[#This Row],[OppRestAdj]])-(Games[[#This Row],[PreGmRate]]+IF(Games[[#This Row],[HomeAway]]="H",HCA,0)+Games[[#This Row],[RestAdj]]))/400))</f>
        <v>0.64306127100871657</v>
      </c>
      <c r="R3" s="1">
        <v>74</v>
      </c>
      <c r="S3" s="1">
        <v>61</v>
      </c>
      <c r="T3" s="1">
        <v>0</v>
      </c>
      <c r="U3" s="1">
        <f>Games[[#This Row],[PointsFor]]-Games[[#This Row],[PointsAgainst]]</f>
        <v>13</v>
      </c>
      <c r="V3" s="1">
        <f>IF(Games[[#This Row],[MOV]]&gt;0,1,IF(Games[[#This Row],[MOV]]=0,0.5,0))</f>
        <v>1</v>
      </c>
      <c r="W3" s="4">
        <f>((ABS(Games[[#This Row],[MOV]])+5)^0.6)/(12+0.01*(ABS(Games[[#This Row],[PreGmRate]]-Games[[#This Row],[OppPreGmRate]])))*IF(Games[[#This Row],[OT]]=1,0.9,1)</f>
        <v>0.46496715979548053</v>
      </c>
      <c r="X3" s="7" cm="1">
        <f t="array" ref="X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" s="9">
        <f>MAX(kmin, kmax - 0.15 * MIN(Games[[#This Row],[GamesPlayed]], 82))</f>
        <v>75.849999999999994</v>
      </c>
      <c r="Z3" s="4">
        <f>Games[[#This Row],[K]]*Games[[#This Row],[POMult]]</f>
        <v>75.849999999999994</v>
      </c>
      <c r="AA3" s="4">
        <f>(Games[[#This Row],[Keff]]*Games[[#This Row],[MOVMult]])*(Games[[#This Row],[Result]]-Games[[#This Row],[ExpectedWin%]])</f>
        <v>12.588429096990506</v>
      </c>
      <c r="AB3" s="4">
        <f>Games[[#This Row],[PreGmRate]]+Games[[#This Row],[RatingChange]]</f>
        <v>1503.2049442137193</v>
      </c>
      <c r="AC3" s="2">
        <f>IF(Games[[#This Row],[Type]]="R",IF(Games[[#This Row],[Result]]&gt;0.5,1,0),0)</f>
        <v>1</v>
      </c>
      <c r="AD3" s="2">
        <f>IF(Games[[#This Row],[Type]]="R",IF(Games[[#This Row],[Result]]&lt;0.5,1,0),0)</f>
        <v>0</v>
      </c>
      <c r="AE3" s="2">
        <f>IF(AND(Games[[#This Row],[Type]]="P",Games[[#This Row],[Round]]=1),IF(Games[[#This Row],[Result]]&gt;0.5,1,0),0)</f>
        <v>0</v>
      </c>
      <c r="AF3" s="2">
        <f>IF(AND(Games[[#This Row],[Type]]="P",Games[[#This Row],[Round]]=1),IF(Games[[#This Row],[Result]]&lt;0.5,1,0),0)</f>
        <v>0</v>
      </c>
      <c r="AG3" s="2">
        <f>IF(AND(Games[[#This Row],[Type]]="P",Games[[#This Row],[Round]]=2),IF(Games[[#This Row],[Result]]&gt;0.5,1,0),0)</f>
        <v>0</v>
      </c>
      <c r="AH3" s="2">
        <f>IF(AND(Games[[#This Row],[Type]]="P",Games[[#This Row],[Round]]=2),IF(Games[[#This Row],[Result]]&lt;0.5,1,0),0)</f>
        <v>0</v>
      </c>
      <c r="AI3" s="2">
        <f>IF(AND(Games[[#This Row],[Type]]="P",Games[[#This Row],[Round]]=3),IF(Games[[#This Row],[Result]]&gt;0.5,1,0),0)</f>
        <v>0</v>
      </c>
      <c r="AJ3" s="2">
        <f>IF(AND(Games[[#This Row],[Type]]="P",Games[[#This Row],[Round]]=3),IF(Games[[#This Row],[Result]]&lt;0.5,1,0),0)</f>
        <v>0</v>
      </c>
      <c r="AK3" s="2">
        <f>IF(AND(Games[[#This Row],[Type]]="P",Games[[#This Row],[Round]]=4),IF(Games[[#This Row],[Result]]&gt;0.5,1,0),0)</f>
        <v>0</v>
      </c>
      <c r="AL3" s="2">
        <f>IF(AND(Games[[#This Row],[Type]]="P",Games[[#This Row],[Round]]=4),IF(Games[[#This Row],[Result]]&lt;0.5,1,0),0)</f>
        <v>0</v>
      </c>
      <c r="AP3" s="9">
        <v>0.5</v>
      </c>
      <c r="AR3" s="13"/>
    </row>
    <row r="4" spans="1:46" x14ac:dyDescent="0.35">
      <c r="A4" s="10">
        <v>40313</v>
      </c>
      <c r="B4" s="2">
        <v>2010</v>
      </c>
      <c r="C4" s="2">
        <f>COUNTIFS(Games[Team],Games[[#This Row],[Team]],Games[Season],Games[[#This Row],[Season]],Games[Date],"&lt;=" &amp; Games[[#This Row],[Date]])</f>
        <v>1</v>
      </c>
      <c r="D4" s="2" t="s">
        <v>23</v>
      </c>
      <c r="E4" s="2" t="s">
        <v>29</v>
      </c>
      <c r="F4" s="1" t="s">
        <v>69</v>
      </c>
      <c r="G4" s="1" t="s">
        <v>73</v>
      </c>
      <c r="H4" s="1" t="s">
        <v>16</v>
      </c>
      <c r="I4" s="2" cm="1">
        <f t="array" ref="I4">IFERROR(
    Games[[#This Row],[Date]]
    - LOOKUP(
        2,
        1/((Games[Team]=Games[[#This Row],[Team]]) * (Games[Date] &lt; Games[[#This Row],[Date]])),
        Games[Date]
    )
    - 1,
Games[[#This Row],[Date]]-$A$2)</f>
        <v>0</v>
      </c>
      <c r="J4" s="2" cm="1">
        <f t="array" ref="J4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" s="2">
        <f>Games[[#This Row],[DaysOff]]-Games[[#This Row],[OppDaysOff]]</f>
        <v>0</v>
      </c>
      <c r="L4" s="2">
        <f>Games[[#This Row],[OppDaysOff]]-Games[[#This Row],[DaysOff]]</f>
        <v>0</v>
      </c>
      <c r="M4" s="1">
        <f>MAX(-16, MIN(16, Games[[#This Row],[RestDiff]]*8))</f>
        <v>0</v>
      </c>
      <c r="N4" s="1">
        <f>MAX(-16, MIN(16, Games[[#This Row],[OppRestDiff]]*8))</f>
        <v>0</v>
      </c>
      <c r="O4" s="4" cm="1">
        <f t="array" ref="O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1461.6181859953936</v>
      </c>
      <c r="P4" s="4" cm="1">
        <f t="array" ref="P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1533.9321219481481</v>
      </c>
      <c r="Q4" s="4">
        <f>1/(1+10^(((Games[[#This Row],[OppPreGmRate]]+IF(Games[[#This Row],[HomeAway]]="A",HCA,0)+Games[[#This Row],[OppRestAdj]])-(Games[[#This Row],[PreGmRate]]+IF(Games[[#This Row],[HomeAway]]="H",HCA,0)+Games[[#This Row],[RestAdj]]))/400))</f>
        <v>0.28908844512593929</v>
      </c>
      <c r="R4" s="1">
        <v>72</v>
      </c>
      <c r="S4" s="1">
        <v>65</v>
      </c>
      <c r="T4" s="1">
        <v>0</v>
      </c>
      <c r="U4" s="1">
        <f>Games[[#This Row],[PointsFor]]-Games[[#This Row],[PointsAgainst]]</f>
        <v>7</v>
      </c>
      <c r="V4" s="1">
        <f>IF(Games[[#This Row],[MOV]]&gt;0,1,IF(Games[[#This Row],[MOV]]=0,0.5,0))</f>
        <v>1</v>
      </c>
      <c r="W4" s="4">
        <f>((ABS(Games[[#This Row],[MOV]])+5)^0.6)/(12+0.01*(ABS(Games[[#This Row],[PreGmRate]]-Games[[#This Row],[OppPreGmRate]])))*IF(Games[[#This Row],[OT]]=1,0.9,1)</f>
        <v>0.3490715572898323</v>
      </c>
      <c r="X4" s="7" cm="1">
        <f t="array" ref="X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" s="9">
        <f>MAX(kmin, kmax - 0.15 * MIN(Games[[#This Row],[GamesPlayed]], 82))</f>
        <v>75.849999999999994</v>
      </c>
      <c r="Z4" s="4">
        <f>Games[[#This Row],[K]]*Games[[#This Row],[POMult]]</f>
        <v>75.849999999999994</v>
      </c>
      <c r="AA4" s="4">
        <f>(Games[[#This Row],[Keff]]*Games[[#This Row],[MOVMult]])*(Games[[#This Row],[Result]]-Games[[#This Row],[ExpectedWin%]])</f>
        <v>18.822860419663776</v>
      </c>
      <c r="AB4" s="4">
        <f>Games[[#This Row],[PreGmRate]]+Games[[#This Row],[RatingChange]]</f>
        <v>1480.4410464150574</v>
      </c>
      <c r="AC4" s="2">
        <f>IF(Games[[#This Row],[Type]]="R",IF(Games[[#This Row],[Result]]&gt;0.5,1,0),0)</f>
        <v>1</v>
      </c>
      <c r="AD4" s="2">
        <f>IF(Games[[#This Row],[Type]]="R",IF(Games[[#This Row],[Result]]&lt;0.5,1,0),0)</f>
        <v>0</v>
      </c>
      <c r="AE4" s="2">
        <f>IF(AND(Games[[#This Row],[Type]]="P",Games[[#This Row],[Round]]=1),IF(Games[[#This Row],[Result]]&gt;0.5,1,0),0)</f>
        <v>0</v>
      </c>
      <c r="AF4" s="2">
        <f>IF(AND(Games[[#This Row],[Type]]="P",Games[[#This Row],[Round]]=1),IF(Games[[#This Row],[Result]]&lt;0.5,1,0),0)</f>
        <v>0</v>
      </c>
      <c r="AG4" s="2">
        <f>IF(AND(Games[[#This Row],[Type]]="P",Games[[#This Row],[Round]]=2),IF(Games[[#This Row],[Result]]&gt;0.5,1,0),0)</f>
        <v>0</v>
      </c>
      <c r="AH4" s="2">
        <f>IF(AND(Games[[#This Row],[Type]]="P",Games[[#This Row],[Round]]=2),IF(Games[[#This Row],[Result]]&lt;0.5,1,0),0)</f>
        <v>0</v>
      </c>
      <c r="AI4" s="2">
        <f>IF(AND(Games[[#This Row],[Type]]="P",Games[[#This Row],[Round]]=3),IF(Games[[#This Row],[Result]]&gt;0.5,1,0),0)</f>
        <v>0</v>
      </c>
      <c r="AJ4" s="2">
        <f>IF(AND(Games[[#This Row],[Type]]="P",Games[[#This Row],[Round]]=3),IF(Games[[#This Row],[Result]]&lt;0.5,1,0),0)</f>
        <v>0</v>
      </c>
      <c r="AK4" s="2">
        <f>IF(AND(Games[[#This Row],[Type]]="P",Games[[#This Row],[Round]]=4),IF(Games[[#This Row],[Result]]&gt;0.5,1,0),0)</f>
        <v>0</v>
      </c>
      <c r="AL4" s="2">
        <f>IF(AND(Games[[#This Row],[Type]]="P",Games[[#This Row],[Round]]=4),IF(Games[[#This Row],[Result]]&lt;0.5,1,0),0)</f>
        <v>0</v>
      </c>
      <c r="AP4" s="1">
        <v>1500</v>
      </c>
    </row>
    <row r="5" spans="1:46" x14ac:dyDescent="0.35">
      <c r="A5" s="10">
        <v>40313</v>
      </c>
      <c r="B5" s="2">
        <v>2010</v>
      </c>
      <c r="C5" s="2">
        <f>COUNTIFS(Games[Team],Games[[#This Row],[Team]],Games[Season],Games[[#This Row],[Season]],Games[Date],"&lt;=" &amp; Games[[#This Row],[Date]])</f>
        <v>1</v>
      </c>
      <c r="D5" s="2" t="s">
        <v>23</v>
      </c>
      <c r="E5" s="2" t="s">
        <v>29</v>
      </c>
      <c r="F5" s="1" t="s">
        <v>73</v>
      </c>
      <c r="G5" s="1" t="s">
        <v>69</v>
      </c>
      <c r="H5" s="1" t="s">
        <v>15</v>
      </c>
      <c r="I5" s="2" cm="1">
        <f t="array" ref="I5">IFERROR(
    Games[[#This Row],[Date]]
    - LOOKUP(
        2,
        1/((Games[Team]=Games[[#This Row],[Team]]) * (Games[Date] &lt; Games[[#This Row],[Date]])),
        Games[Date]
    )
    - 1,
Games[[#This Row],[Date]]-$A$2)</f>
        <v>0</v>
      </c>
      <c r="J5" s="2" cm="1">
        <f t="array" ref="J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5" s="2">
        <f>Games[[#This Row],[DaysOff]]-Games[[#This Row],[OppDaysOff]]</f>
        <v>0</v>
      </c>
      <c r="L5" s="2">
        <f>Games[[#This Row],[OppDaysOff]]-Games[[#This Row],[DaysOff]]</f>
        <v>0</v>
      </c>
      <c r="M5" s="1">
        <f>MAX(-16, MIN(16, Games[[#This Row],[RestDiff]]*8))</f>
        <v>0</v>
      </c>
      <c r="N5" s="1">
        <f>MAX(-16, MIN(16, Games[[#This Row],[OppRestDiff]]*8))</f>
        <v>0</v>
      </c>
      <c r="O5" s="4" cm="1">
        <f t="array" ref="O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1533.9321219481481</v>
      </c>
      <c r="P5" s="4" cm="1">
        <f t="array" ref="P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1461.6181859953936</v>
      </c>
      <c r="Q5" s="4">
        <f>1/(1+10^(((Games[[#This Row],[OppPreGmRate]]+IF(Games[[#This Row],[HomeAway]]="A",HCA,0)+Games[[#This Row],[OppRestAdj]])-(Games[[#This Row],[PreGmRate]]+IF(Games[[#This Row],[HomeAway]]="H",HCA,0)+Games[[#This Row],[RestAdj]]))/400))</f>
        <v>0.71091155487406066</v>
      </c>
      <c r="R5" s="1">
        <v>65</v>
      </c>
      <c r="S5" s="1">
        <v>72</v>
      </c>
      <c r="T5" s="1">
        <v>0</v>
      </c>
      <c r="U5" s="1">
        <f>Games[[#This Row],[PointsFor]]-Games[[#This Row],[PointsAgainst]]</f>
        <v>-7</v>
      </c>
      <c r="V5" s="1">
        <f>IF(Games[[#This Row],[MOV]]&gt;0,1,IF(Games[[#This Row],[MOV]]=0,0.5,0))</f>
        <v>0</v>
      </c>
      <c r="W5" s="4">
        <f>((ABS(Games[[#This Row],[MOV]])+5)^0.6)/(12+0.01*(ABS(Games[[#This Row],[PreGmRate]]-Games[[#This Row],[OppPreGmRate]])))*IF(Games[[#This Row],[OT]]=1,0.9,1)</f>
        <v>0.3490715572898323</v>
      </c>
      <c r="X5" s="7" cm="1">
        <f t="array" ref="X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" s="9">
        <f>MAX(kmin, kmax - 0.15 * MIN(Games[[#This Row],[GamesPlayed]], 82))</f>
        <v>75.849999999999994</v>
      </c>
      <c r="Z5" s="4">
        <f>Games[[#This Row],[K]]*Games[[#This Row],[POMult]]</f>
        <v>75.849999999999994</v>
      </c>
      <c r="AA5" s="4">
        <f>(Games[[#This Row],[Keff]]*Games[[#This Row],[MOVMult]])*(Games[[#This Row],[Result]]-Games[[#This Row],[ExpectedWin%]])</f>
        <v>-18.822860419663773</v>
      </c>
      <c r="AB5" s="4">
        <f>Games[[#This Row],[PreGmRate]]+Games[[#This Row],[RatingChange]]</f>
        <v>1515.1092615284842</v>
      </c>
      <c r="AC5" s="2">
        <f>IF(Games[[#This Row],[Type]]="R",IF(Games[[#This Row],[Result]]&gt;0.5,1,0),0)</f>
        <v>0</v>
      </c>
      <c r="AD5" s="2">
        <f>IF(Games[[#This Row],[Type]]="R",IF(Games[[#This Row],[Result]]&lt;0.5,1,0),0)</f>
        <v>1</v>
      </c>
      <c r="AE5" s="2">
        <f>IF(AND(Games[[#This Row],[Type]]="P",Games[[#This Row],[Round]]=1),IF(Games[[#This Row],[Result]]&gt;0.5,1,0),0)</f>
        <v>0</v>
      </c>
      <c r="AF5" s="2">
        <f>IF(AND(Games[[#This Row],[Type]]="P",Games[[#This Row],[Round]]=1),IF(Games[[#This Row],[Result]]&lt;0.5,1,0),0)</f>
        <v>0</v>
      </c>
      <c r="AG5" s="2">
        <f>IF(AND(Games[[#This Row],[Type]]="P",Games[[#This Row],[Round]]=2),IF(Games[[#This Row],[Result]]&gt;0.5,1,0),0)</f>
        <v>0</v>
      </c>
      <c r="AH5" s="2">
        <f>IF(AND(Games[[#This Row],[Type]]="P",Games[[#This Row],[Round]]=2),IF(Games[[#This Row],[Result]]&lt;0.5,1,0),0)</f>
        <v>0</v>
      </c>
      <c r="AI5" s="2">
        <f>IF(AND(Games[[#This Row],[Type]]="P",Games[[#This Row],[Round]]=3),IF(Games[[#This Row],[Result]]&gt;0.5,1,0),0)</f>
        <v>0</v>
      </c>
      <c r="AJ5" s="2">
        <f>IF(AND(Games[[#This Row],[Type]]="P",Games[[#This Row],[Round]]=3),IF(Games[[#This Row],[Result]]&lt;0.5,1,0),0)</f>
        <v>0</v>
      </c>
      <c r="AK5" s="2">
        <f>IF(AND(Games[[#This Row],[Type]]="P",Games[[#This Row],[Round]]=4),IF(Games[[#This Row],[Result]]&gt;0.5,1,0),0)</f>
        <v>0</v>
      </c>
      <c r="AL5" s="2">
        <f>IF(AND(Games[[#This Row],[Type]]="P",Games[[#This Row],[Round]]=4),IF(Games[[#This Row],[Result]]&lt;0.5,1,0),0)</f>
        <v>0</v>
      </c>
    </row>
    <row r="6" spans="1:46" x14ac:dyDescent="0.35">
      <c r="A6" s="10">
        <v>40313</v>
      </c>
      <c r="B6" s="2">
        <v>2010</v>
      </c>
      <c r="C6" s="2">
        <f>COUNTIFS(Games[Team],Games[[#This Row],[Team]],Games[Season],Games[[#This Row],[Season]],Games[Date],"&lt;=" &amp; Games[[#This Row],[Date]])</f>
        <v>1</v>
      </c>
      <c r="D6" s="2" t="s">
        <v>23</v>
      </c>
      <c r="E6" s="2" t="s">
        <v>29</v>
      </c>
      <c r="F6" s="1" t="s">
        <v>67</v>
      </c>
      <c r="G6" s="1" t="s">
        <v>44</v>
      </c>
      <c r="H6" s="1" t="s">
        <v>16</v>
      </c>
      <c r="I6" s="2" cm="1">
        <f t="array" ref="I6">IFERROR(
    Games[[#This Row],[Date]]
    - LOOKUP(
        2,
        1/((Games[Team]=Games[[#This Row],[Team]]) * (Games[Date] &lt; Games[[#This Row],[Date]])),
        Games[Date]
    )
    - 1,
Games[[#This Row],[Date]]-$A$2)</f>
        <v>0</v>
      </c>
      <c r="J6" s="2" cm="1">
        <f t="array" ref="J6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6" s="2">
        <f>Games[[#This Row],[DaysOff]]-Games[[#This Row],[OppDaysOff]]</f>
        <v>0</v>
      </c>
      <c r="L6" s="2">
        <f>Games[[#This Row],[OppDaysOff]]-Games[[#This Row],[DaysOff]]</f>
        <v>0</v>
      </c>
      <c r="M6" s="1">
        <f>MAX(-16, MIN(16, Games[[#This Row],[RestDiff]]*8))</f>
        <v>0</v>
      </c>
      <c r="N6" s="1">
        <f>MAX(-16, MIN(16, Games[[#This Row],[OppRestDiff]]*8))</f>
        <v>0</v>
      </c>
      <c r="O6" s="4" cm="1">
        <f t="array" ref="O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1534.7396485297115</v>
      </c>
      <c r="P6" s="4" cm="1">
        <f t="array" ref="P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1570.733015787235</v>
      </c>
      <c r="Q6" s="4">
        <f>1/(1+10^(((Games[[#This Row],[OppPreGmRate]]+IF(Games[[#This Row],[HomeAway]]="A",HCA,0)+Games[[#This Row],[OppRestAdj]])-(Games[[#This Row],[PreGmRate]]+IF(Games[[#This Row],[HomeAway]]="H",HCA,0)+Games[[#This Row],[RestAdj]]))/400))</f>
        <v>0.33386906686700157</v>
      </c>
      <c r="R6" s="1">
        <v>77</v>
      </c>
      <c r="S6" s="1">
        <v>78</v>
      </c>
      <c r="T6" s="1">
        <v>0</v>
      </c>
      <c r="U6" s="1">
        <f>Games[[#This Row],[PointsFor]]-Games[[#This Row],[PointsAgainst]]</f>
        <v>-1</v>
      </c>
      <c r="V6" s="1">
        <f>IF(Games[[#This Row],[MOV]]&gt;0,1,IF(Games[[#This Row],[MOV]]=0,0.5,0))</f>
        <v>0</v>
      </c>
      <c r="W6" s="4">
        <f>((ABS(Games[[#This Row],[MOV]])+5)^0.6)/(12+0.01*(ABS(Games[[#This Row],[PreGmRate]]-Games[[#This Row],[OppPreGmRate]])))*IF(Games[[#This Row],[OT]]=1,0.9,1)</f>
        <v>0.23706891389596052</v>
      </c>
      <c r="X6" s="7" cm="1">
        <f t="array" ref="X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" s="9">
        <f>MAX(kmin, kmax - 0.15 * MIN(Games[[#This Row],[GamesPlayed]], 82))</f>
        <v>75.849999999999994</v>
      </c>
      <c r="Z6" s="4">
        <f>Games[[#This Row],[K]]*Games[[#This Row],[POMult]]</f>
        <v>75.849999999999994</v>
      </c>
      <c r="AA6" s="4">
        <f>(Games[[#This Row],[Keff]]*Games[[#This Row],[MOVMult]])*(Games[[#This Row],[Result]]-Games[[#This Row],[ExpectedWin%]])</f>
        <v>-6.0035257604271166</v>
      </c>
      <c r="AB6" s="4">
        <f>Games[[#This Row],[PreGmRate]]+Games[[#This Row],[RatingChange]]</f>
        <v>1528.7361227692845</v>
      </c>
      <c r="AC6" s="2">
        <f>IF(Games[[#This Row],[Type]]="R",IF(Games[[#This Row],[Result]]&gt;0.5,1,0),0)</f>
        <v>0</v>
      </c>
      <c r="AD6" s="2">
        <f>IF(Games[[#This Row],[Type]]="R",IF(Games[[#This Row],[Result]]&lt;0.5,1,0),0)</f>
        <v>1</v>
      </c>
      <c r="AE6" s="2">
        <f>IF(AND(Games[[#This Row],[Type]]="P",Games[[#This Row],[Round]]=1),IF(Games[[#This Row],[Result]]&gt;0.5,1,0),0)</f>
        <v>0</v>
      </c>
      <c r="AF6" s="2">
        <f>IF(AND(Games[[#This Row],[Type]]="P",Games[[#This Row],[Round]]=1),IF(Games[[#This Row],[Result]]&lt;0.5,1,0),0)</f>
        <v>0</v>
      </c>
      <c r="AG6" s="2">
        <f>IF(AND(Games[[#This Row],[Type]]="P",Games[[#This Row],[Round]]=2),IF(Games[[#This Row],[Result]]&gt;0.5,1,0),0)</f>
        <v>0</v>
      </c>
      <c r="AH6" s="2">
        <f>IF(AND(Games[[#This Row],[Type]]="P",Games[[#This Row],[Round]]=2),IF(Games[[#This Row],[Result]]&lt;0.5,1,0),0)</f>
        <v>0</v>
      </c>
      <c r="AI6" s="2">
        <f>IF(AND(Games[[#This Row],[Type]]="P",Games[[#This Row],[Round]]=3),IF(Games[[#This Row],[Result]]&gt;0.5,1,0),0)</f>
        <v>0</v>
      </c>
      <c r="AJ6" s="2">
        <f>IF(AND(Games[[#This Row],[Type]]="P",Games[[#This Row],[Round]]=3),IF(Games[[#This Row],[Result]]&lt;0.5,1,0),0)</f>
        <v>0</v>
      </c>
      <c r="AK6" s="2">
        <f>IF(AND(Games[[#This Row],[Type]]="P",Games[[#This Row],[Round]]=4),IF(Games[[#This Row],[Result]]&gt;0.5,1,0),0)</f>
        <v>0</v>
      </c>
      <c r="AL6" s="2">
        <f>IF(AND(Games[[#This Row],[Type]]="P",Games[[#This Row],[Round]]=4),IF(Games[[#This Row],[Result]]&lt;0.5,1,0),0)</f>
        <v>0</v>
      </c>
    </row>
    <row r="7" spans="1:46" x14ac:dyDescent="0.35">
      <c r="A7" s="10">
        <v>40313</v>
      </c>
      <c r="B7" s="2">
        <v>2010</v>
      </c>
      <c r="C7" s="2">
        <f>COUNTIFS(Games[Team],Games[[#This Row],[Team]],Games[Season],Games[[#This Row],[Season]],Games[Date],"&lt;=" &amp; Games[[#This Row],[Date]])</f>
        <v>1</v>
      </c>
      <c r="D7" s="2" t="s">
        <v>23</v>
      </c>
      <c r="E7" s="2" t="s">
        <v>29</v>
      </c>
      <c r="F7" s="1" t="s">
        <v>44</v>
      </c>
      <c r="G7" s="1" t="s">
        <v>67</v>
      </c>
      <c r="H7" s="1" t="s">
        <v>15</v>
      </c>
      <c r="I7" s="2" cm="1">
        <f t="array" ref="I7">IFERROR(
    Games[[#This Row],[Date]]
    - LOOKUP(
        2,
        1/((Games[Team]=Games[[#This Row],[Team]]) * (Games[Date] &lt; Games[[#This Row],[Date]])),
        Games[Date]
    )
    - 1,
Games[[#This Row],[Date]]-$A$2)</f>
        <v>0</v>
      </c>
      <c r="J7" s="2" cm="1">
        <f t="array" ref="J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7" s="2">
        <f>Games[[#This Row],[DaysOff]]-Games[[#This Row],[OppDaysOff]]</f>
        <v>0</v>
      </c>
      <c r="L7" s="2">
        <f>Games[[#This Row],[OppDaysOff]]-Games[[#This Row],[DaysOff]]</f>
        <v>0</v>
      </c>
      <c r="M7" s="1">
        <f>MAX(-16, MIN(16, Games[[#This Row],[RestDiff]]*8))</f>
        <v>0</v>
      </c>
      <c r="N7" s="1">
        <f>MAX(-16, MIN(16, Games[[#This Row],[OppRestDiff]]*8))</f>
        <v>0</v>
      </c>
      <c r="O7" s="4" cm="1">
        <f t="array" ref="O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1570.733015787235</v>
      </c>
      <c r="P7" s="4" cm="1">
        <f t="array" ref="P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1534.7396485297115</v>
      </c>
      <c r="Q7" s="4">
        <f>1/(1+10^(((Games[[#This Row],[OppPreGmRate]]+IF(Games[[#This Row],[HomeAway]]="A",HCA,0)+Games[[#This Row],[OppRestAdj]])-(Games[[#This Row],[PreGmRate]]+IF(Games[[#This Row],[HomeAway]]="H",HCA,0)+Games[[#This Row],[RestAdj]]))/400))</f>
        <v>0.66613093313299854</v>
      </c>
      <c r="R7" s="1">
        <v>78</v>
      </c>
      <c r="S7" s="1">
        <v>77</v>
      </c>
      <c r="T7" s="1">
        <v>0</v>
      </c>
      <c r="U7" s="1">
        <f>Games[[#This Row],[PointsFor]]-Games[[#This Row],[PointsAgainst]]</f>
        <v>1</v>
      </c>
      <c r="V7" s="1">
        <f>IF(Games[[#This Row],[MOV]]&gt;0,1,IF(Games[[#This Row],[MOV]]=0,0.5,0))</f>
        <v>1</v>
      </c>
      <c r="W7" s="4">
        <f>((ABS(Games[[#This Row],[MOV]])+5)^0.6)/(12+0.01*(ABS(Games[[#This Row],[PreGmRate]]-Games[[#This Row],[OppPreGmRate]])))*IF(Games[[#This Row],[OT]]=1,0.9,1)</f>
        <v>0.23706891389596052</v>
      </c>
      <c r="X7" s="7" cm="1">
        <f t="array" ref="X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" s="9">
        <f>MAX(kmin, kmax - 0.15 * MIN(Games[[#This Row],[GamesPlayed]], 82))</f>
        <v>75.849999999999994</v>
      </c>
      <c r="Z7" s="4">
        <f>Games[[#This Row],[K]]*Games[[#This Row],[POMult]]</f>
        <v>75.849999999999994</v>
      </c>
      <c r="AA7" s="4">
        <f>(Games[[#This Row],[Keff]]*Games[[#This Row],[MOVMult]])*(Games[[#This Row],[Result]]-Games[[#This Row],[ExpectedWin%]])</f>
        <v>6.0035257604271139</v>
      </c>
      <c r="AB7" s="4">
        <f>Games[[#This Row],[PreGmRate]]+Games[[#This Row],[RatingChange]]</f>
        <v>1576.736541547662</v>
      </c>
      <c r="AC7" s="2">
        <f>IF(Games[[#This Row],[Type]]="R",IF(Games[[#This Row],[Result]]&gt;0.5,1,0),0)</f>
        <v>1</v>
      </c>
      <c r="AD7" s="2">
        <f>IF(Games[[#This Row],[Type]]="R",IF(Games[[#This Row],[Result]]&lt;0.5,1,0),0)</f>
        <v>0</v>
      </c>
      <c r="AE7" s="2">
        <f>IF(AND(Games[[#This Row],[Type]]="P",Games[[#This Row],[Round]]=1),IF(Games[[#This Row],[Result]]&gt;0.5,1,0),0)</f>
        <v>0</v>
      </c>
      <c r="AF7" s="2">
        <f>IF(AND(Games[[#This Row],[Type]]="P",Games[[#This Row],[Round]]=1),IF(Games[[#This Row],[Result]]&lt;0.5,1,0),0)</f>
        <v>0</v>
      </c>
      <c r="AG7" s="2">
        <f>IF(AND(Games[[#This Row],[Type]]="P",Games[[#This Row],[Round]]=2),IF(Games[[#This Row],[Result]]&gt;0.5,1,0),0)</f>
        <v>0</v>
      </c>
      <c r="AH7" s="2">
        <f>IF(AND(Games[[#This Row],[Type]]="P",Games[[#This Row],[Round]]=2),IF(Games[[#This Row],[Result]]&lt;0.5,1,0),0)</f>
        <v>0</v>
      </c>
      <c r="AI7" s="2">
        <f>IF(AND(Games[[#This Row],[Type]]="P",Games[[#This Row],[Round]]=3),IF(Games[[#This Row],[Result]]&gt;0.5,1,0),0)</f>
        <v>0</v>
      </c>
      <c r="AJ7" s="2">
        <f>IF(AND(Games[[#This Row],[Type]]="P",Games[[#This Row],[Round]]=3),IF(Games[[#This Row],[Result]]&lt;0.5,1,0),0)</f>
        <v>0</v>
      </c>
      <c r="AK7" s="2">
        <f>IF(AND(Games[[#This Row],[Type]]="P",Games[[#This Row],[Round]]=4),IF(Games[[#This Row],[Result]]&gt;0.5,1,0),0)</f>
        <v>0</v>
      </c>
      <c r="AL7" s="2">
        <f>IF(AND(Games[[#This Row],[Type]]="P",Games[[#This Row],[Round]]=4),IF(Games[[#This Row],[Result]]&lt;0.5,1,0),0)</f>
        <v>0</v>
      </c>
    </row>
    <row r="8" spans="1:46" x14ac:dyDescent="0.35">
      <c r="A8" s="10">
        <v>40313</v>
      </c>
      <c r="B8" s="2">
        <v>2010</v>
      </c>
      <c r="C8" s="2">
        <f>COUNTIFS(Games[Team],Games[[#This Row],[Team]],Games[Season],Games[[#This Row],[Season]],Games[Date],"&lt;=" &amp; Games[[#This Row],[Date]])</f>
        <v>1</v>
      </c>
      <c r="D8" s="2" t="s">
        <v>23</v>
      </c>
      <c r="E8" s="2" t="s">
        <v>29</v>
      </c>
      <c r="F8" s="1" t="s">
        <v>83</v>
      </c>
      <c r="G8" s="1" t="s">
        <v>78</v>
      </c>
      <c r="H8" s="1" t="s">
        <v>16</v>
      </c>
      <c r="I8" s="2" cm="1">
        <f t="array" ref="I8">IFERROR(
    Games[[#This Row],[Date]]
    - LOOKUP(
        2,
        1/((Games[Team]=Games[[#This Row],[Team]]) * (Games[Date] &lt; Games[[#This Row],[Date]])),
        Games[Date]
    )
    - 1,
Games[[#This Row],[Date]]-$A$2)</f>
        <v>0</v>
      </c>
      <c r="J8" s="2" cm="1">
        <f t="array" ref="J8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8" s="2">
        <f>Games[[#This Row],[DaysOff]]-Games[[#This Row],[OppDaysOff]]</f>
        <v>0</v>
      </c>
      <c r="L8" s="2">
        <f>Games[[#This Row],[OppDaysOff]]-Games[[#This Row],[DaysOff]]</f>
        <v>0</v>
      </c>
      <c r="M8" s="1">
        <f>MAX(-16, MIN(16, Games[[#This Row],[RestDiff]]*8))</f>
        <v>0</v>
      </c>
      <c r="N8" s="1">
        <f>MAX(-16, MIN(16, Games[[#This Row],[OppRestDiff]]*8))</f>
        <v>0</v>
      </c>
      <c r="O8" s="4" cm="1">
        <f t="array" ref="O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1493.5483293589177</v>
      </c>
      <c r="P8" s="4" cm="1">
        <f t="array" ref="P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1489.7353559665819</v>
      </c>
      <c r="Q8" s="4">
        <f>1/(1+10^(((Games[[#This Row],[OppPreGmRate]]+IF(Games[[#This Row],[HomeAway]]="A",HCA,0)+Games[[#This Row],[OppRestAdj]])-(Games[[#This Row],[PreGmRate]]+IF(Games[[#This Row],[HomeAway]]="H",HCA,0)+Games[[#This Row],[RestAdj]]))/400))</f>
        <v>0.38660783861416692</v>
      </c>
      <c r="R8" s="1">
        <v>75</v>
      </c>
      <c r="S8" s="1">
        <v>70</v>
      </c>
      <c r="T8" s="1">
        <v>0</v>
      </c>
      <c r="U8" s="1">
        <f>Games[[#This Row],[PointsFor]]-Games[[#This Row],[PointsAgainst]]</f>
        <v>5</v>
      </c>
      <c r="V8" s="1">
        <f>IF(Games[[#This Row],[MOV]]&gt;0,1,IF(Games[[#This Row],[MOV]]=0,0.5,0))</f>
        <v>1</v>
      </c>
      <c r="W8" s="4">
        <f>((ABS(Games[[#This Row],[MOV]])+5)^0.6)/(12+0.01*(ABS(Games[[#This Row],[PreGmRate]]-Games[[#This Row],[OppPreGmRate]])))*IF(Games[[#This Row],[OT]]=1,0.9,1)</f>
        <v>0.33070516712544995</v>
      </c>
      <c r="X8" s="7" cm="1">
        <f t="array" ref="X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" s="9">
        <f>MAX(kmin, kmax - 0.15 * MIN(Games[[#This Row],[GamesPlayed]], 82))</f>
        <v>75.849999999999994</v>
      </c>
      <c r="Z8" s="4">
        <f>Games[[#This Row],[K]]*Games[[#This Row],[POMult]]</f>
        <v>75.849999999999994</v>
      </c>
      <c r="AA8" s="4">
        <f>(Games[[#This Row],[Keff]]*Games[[#This Row],[MOVMult]])*(Games[[#This Row],[Result]]-Games[[#This Row],[ExpectedWin%]])</f>
        <v>15.386320956998578</v>
      </c>
      <c r="AB8" s="4">
        <f>Games[[#This Row],[PreGmRate]]+Games[[#This Row],[RatingChange]]</f>
        <v>1508.9346503159163</v>
      </c>
      <c r="AC8" s="2">
        <f>IF(Games[[#This Row],[Type]]="R",IF(Games[[#This Row],[Result]]&gt;0.5,1,0),0)</f>
        <v>1</v>
      </c>
      <c r="AD8" s="2">
        <f>IF(Games[[#This Row],[Type]]="R",IF(Games[[#This Row],[Result]]&lt;0.5,1,0),0)</f>
        <v>0</v>
      </c>
      <c r="AE8" s="2">
        <f>IF(AND(Games[[#This Row],[Type]]="P",Games[[#This Row],[Round]]=1),IF(Games[[#This Row],[Result]]&gt;0.5,1,0),0)</f>
        <v>0</v>
      </c>
      <c r="AF8" s="2">
        <f>IF(AND(Games[[#This Row],[Type]]="P",Games[[#This Row],[Round]]=1),IF(Games[[#This Row],[Result]]&lt;0.5,1,0),0)</f>
        <v>0</v>
      </c>
      <c r="AG8" s="2">
        <f>IF(AND(Games[[#This Row],[Type]]="P",Games[[#This Row],[Round]]=2),IF(Games[[#This Row],[Result]]&gt;0.5,1,0),0)</f>
        <v>0</v>
      </c>
      <c r="AH8" s="2">
        <f>IF(AND(Games[[#This Row],[Type]]="P",Games[[#This Row],[Round]]=2),IF(Games[[#This Row],[Result]]&lt;0.5,1,0),0)</f>
        <v>0</v>
      </c>
      <c r="AI8" s="2">
        <f>IF(AND(Games[[#This Row],[Type]]="P",Games[[#This Row],[Round]]=3),IF(Games[[#This Row],[Result]]&gt;0.5,1,0),0)</f>
        <v>0</v>
      </c>
      <c r="AJ8" s="2">
        <f>IF(AND(Games[[#This Row],[Type]]="P",Games[[#This Row],[Round]]=3),IF(Games[[#This Row],[Result]]&lt;0.5,1,0),0)</f>
        <v>0</v>
      </c>
      <c r="AK8" s="2">
        <f>IF(AND(Games[[#This Row],[Type]]="P",Games[[#This Row],[Round]]=4),IF(Games[[#This Row],[Result]]&gt;0.5,1,0),0)</f>
        <v>0</v>
      </c>
      <c r="AL8" s="2">
        <f>IF(AND(Games[[#This Row],[Type]]="P",Games[[#This Row],[Round]]=4),IF(Games[[#This Row],[Result]]&lt;0.5,1,0),0)</f>
        <v>0</v>
      </c>
      <c r="AT8" s="14"/>
    </row>
    <row r="9" spans="1:46" x14ac:dyDescent="0.35">
      <c r="A9" s="10">
        <v>40313</v>
      </c>
      <c r="B9" s="2">
        <v>2010</v>
      </c>
      <c r="C9" s="2">
        <f>COUNTIFS(Games[Team],Games[[#This Row],[Team]],Games[Season],Games[[#This Row],[Season]],Games[Date],"&lt;=" &amp; Games[[#This Row],[Date]])</f>
        <v>1</v>
      </c>
      <c r="D9" s="2" t="s">
        <v>23</v>
      </c>
      <c r="E9" s="2" t="s">
        <v>29</v>
      </c>
      <c r="F9" s="1" t="s">
        <v>78</v>
      </c>
      <c r="G9" s="1" t="s">
        <v>83</v>
      </c>
      <c r="H9" s="1" t="s">
        <v>15</v>
      </c>
      <c r="I9" s="2" cm="1">
        <f t="array" ref="I9">IFERROR(
    Games[[#This Row],[Date]]
    - LOOKUP(
        2,
        1/((Games[Team]=Games[[#This Row],[Team]]) * (Games[Date] &lt; Games[[#This Row],[Date]])),
        Games[Date]
    )
    - 1,
Games[[#This Row],[Date]]-$A$2)</f>
        <v>0</v>
      </c>
      <c r="J9" s="2" cm="1">
        <f t="array" ref="J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9" s="2">
        <f>Games[[#This Row],[DaysOff]]-Games[[#This Row],[OppDaysOff]]</f>
        <v>0</v>
      </c>
      <c r="L9" s="2">
        <f>Games[[#This Row],[OppDaysOff]]-Games[[#This Row],[DaysOff]]</f>
        <v>0</v>
      </c>
      <c r="M9" s="1">
        <f>MAX(-16, MIN(16, Games[[#This Row],[RestDiff]]*8))</f>
        <v>0</v>
      </c>
      <c r="N9" s="1">
        <f>MAX(-16, MIN(16, Games[[#This Row],[OppRestDiff]]*8))</f>
        <v>0</v>
      </c>
      <c r="O9" s="4" cm="1">
        <f t="array" ref="O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1489.7353559665819</v>
      </c>
      <c r="P9" s="4" cm="1">
        <f t="array" ref="P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1493.5483293589177</v>
      </c>
      <c r="Q9" s="4">
        <f>1/(1+10^(((Games[[#This Row],[OppPreGmRate]]+IF(Games[[#This Row],[HomeAway]]="A",HCA,0)+Games[[#This Row],[OppRestAdj]])-(Games[[#This Row],[PreGmRate]]+IF(Games[[#This Row],[HomeAway]]="H",HCA,0)+Games[[#This Row],[RestAdj]]))/400))</f>
        <v>0.61339216138583308</v>
      </c>
      <c r="R9" s="1">
        <v>70</v>
      </c>
      <c r="S9" s="1">
        <v>75</v>
      </c>
      <c r="T9" s="1">
        <v>0</v>
      </c>
      <c r="U9" s="1">
        <f>Games[[#This Row],[PointsFor]]-Games[[#This Row],[PointsAgainst]]</f>
        <v>-5</v>
      </c>
      <c r="V9" s="1">
        <f>IF(Games[[#This Row],[MOV]]&gt;0,1,IF(Games[[#This Row],[MOV]]=0,0.5,0))</f>
        <v>0</v>
      </c>
      <c r="W9" s="4">
        <f>((ABS(Games[[#This Row],[MOV]])+5)^0.6)/(12+0.01*(ABS(Games[[#This Row],[PreGmRate]]-Games[[#This Row],[OppPreGmRate]])))*IF(Games[[#This Row],[OT]]=1,0.9,1)</f>
        <v>0.33070516712544995</v>
      </c>
      <c r="X9" s="7" cm="1">
        <f t="array" ref="X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" s="9">
        <f>MAX(kmin, kmax - 0.15 * MIN(Games[[#This Row],[GamesPlayed]], 82))</f>
        <v>75.849999999999994</v>
      </c>
      <c r="Z9" s="4">
        <f>Games[[#This Row],[K]]*Games[[#This Row],[POMult]]</f>
        <v>75.849999999999994</v>
      </c>
      <c r="AA9" s="4">
        <f>(Games[[#This Row],[Keff]]*Games[[#This Row],[MOVMult]])*(Games[[#This Row],[Result]]-Games[[#This Row],[ExpectedWin%]])</f>
        <v>-15.386320956998578</v>
      </c>
      <c r="AB9" s="4">
        <f>Games[[#This Row],[PreGmRate]]+Games[[#This Row],[RatingChange]]</f>
        <v>1474.3490350095833</v>
      </c>
      <c r="AC9" s="2">
        <f>IF(Games[[#This Row],[Type]]="R",IF(Games[[#This Row],[Result]]&gt;0.5,1,0),0)</f>
        <v>0</v>
      </c>
      <c r="AD9" s="2">
        <f>IF(Games[[#This Row],[Type]]="R",IF(Games[[#This Row],[Result]]&lt;0.5,1,0),0)</f>
        <v>1</v>
      </c>
      <c r="AE9" s="2">
        <f>IF(AND(Games[[#This Row],[Type]]="P",Games[[#This Row],[Round]]=1),IF(Games[[#This Row],[Result]]&gt;0.5,1,0),0)</f>
        <v>0</v>
      </c>
      <c r="AF9" s="2">
        <f>IF(AND(Games[[#This Row],[Type]]="P",Games[[#This Row],[Round]]=1),IF(Games[[#This Row],[Result]]&lt;0.5,1,0),0)</f>
        <v>0</v>
      </c>
      <c r="AG9" s="2">
        <f>IF(AND(Games[[#This Row],[Type]]="P",Games[[#This Row],[Round]]=2),IF(Games[[#This Row],[Result]]&gt;0.5,1,0),0)</f>
        <v>0</v>
      </c>
      <c r="AH9" s="2">
        <f>IF(AND(Games[[#This Row],[Type]]="P",Games[[#This Row],[Round]]=2),IF(Games[[#This Row],[Result]]&lt;0.5,1,0),0)</f>
        <v>0</v>
      </c>
      <c r="AI9" s="2">
        <f>IF(AND(Games[[#This Row],[Type]]="P",Games[[#This Row],[Round]]=3),IF(Games[[#This Row],[Result]]&gt;0.5,1,0),0)</f>
        <v>0</v>
      </c>
      <c r="AJ9" s="2">
        <f>IF(AND(Games[[#This Row],[Type]]="P",Games[[#This Row],[Round]]=3),IF(Games[[#This Row],[Result]]&lt;0.5,1,0),0)</f>
        <v>0</v>
      </c>
      <c r="AK9" s="2">
        <f>IF(AND(Games[[#This Row],[Type]]="P",Games[[#This Row],[Round]]=4),IF(Games[[#This Row],[Result]]&gt;0.5,1,0),0)</f>
        <v>0</v>
      </c>
      <c r="AL9" s="2">
        <f>IF(AND(Games[[#This Row],[Type]]="P",Games[[#This Row],[Round]]=4),IF(Games[[#This Row],[Result]]&lt;0.5,1,0),0)</f>
        <v>0</v>
      </c>
    </row>
    <row r="10" spans="1:46" x14ac:dyDescent="0.35">
      <c r="A10" s="10">
        <v>40313</v>
      </c>
      <c r="B10" s="2">
        <v>2010</v>
      </c>
      <c r="C10" s="2">
        <f>COUNTIFS(Games[Team],Games[[#This Row],[Team]],Games[Season],Games[[#This Row],[Season]],Games[Date],"&lt;=" &amp; Games[[#This Row],[Date]])</f>
        <v>1</v>
      </c>
      <c r="D10" s="2" t="s">
        <v>23</v>
      </c>
      <c r="E10" s="2" t="s">
        <v>29</v>
      </c>
      <c r="F10" s="1" t="s">
        <v>71</v>
      </c>
      <c r="G10" s="1" t="s">
        <v>85</v>
      </c>
      <c r="H10" s="1" t="s">
        <v>16</v>
      </c>
      <c r="I10" s="2" cm="1">
        <f t="array" ref="I10">IFERROR(
    Games[[#This Row],[Date]]
    - LOOKUP(
        2,
        1/((Games[Team]=Games[[#This Row],[Team]]) * (Games[Date] &lt; Games[[#This Row],[Date]])),
        Games[Date]
    )
    - 1,
Games[[#This Row],[Date]]-$A$2)</f>
        <v>0</v>
      </c>
      <c r="J10" s="2" cm="1">
        <f t="array" ref="J10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0" s="2">
        <f>Games[[#This Row],[DaysOff]]-Games[[#This Row],[OppDaysOff]]</f>
        <v>0</v>
      </c>
      <c r="L10" s="2">
        <f>Games[[#This Row],[OppDaysOff]]-Games[[#This Row],[DaysOff]]</f>
        <v>0</v>
      </c>
      <c r="M10" s="1">
        <f>MAX(-16, MIN(16, Games[[#This Row],[RestDiff]]*8))</f>
        <v>0</v>
      </c>
      <c r="N10" s="1">
        <f>MAX(-16, MIN(16, Games[[#This Row],[OppRestDiff]]*8))</f>
        <v>0</v>
      </c>
      <c r="O10" s="4" cm="1">
        <f t="array" ref="O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1457.5666957063977</v>
      </c>
      <c r="P10" s="4" cm="1">
        <f t="array" ref="P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1543.3559909295709</v>
      </c>
      <c r="Q10" s="4">
        <f>1/(1+10^(((Games[[#This Row],[OppPreGmRate]]+IF(Games[[#This Row],[HomeAway]]="A",HCA,0)+Games[[#This Row],[OppRestAdj]])-(Games[[#This Row],[PreGmRate]]+IF(Games[[#This Row],[HomeAway]]="H",HCA,0)+Games[[#This Row],[RestAdj]]))/400))</f>
        <v>0.27341081579932991</v>
      </c>
      <c r="R10" s="1">
        <v>80</v>
      </c>
      <c r="S10" s="1">
        <v>74</v>
      </c>
      <c r="T10" s="1">
        <v>0</v>
      </c>
      <c r="U10" s="1">
        <f>Games[[#This Row],[PointsFor]]-Games[[#This Row],[PointsAgainst]]</f>
        <v>6</v>
      </c>
      <c r="V10" s="1">
        <f>IF(Games[[#This Row],[MOV]]&gt;0,1,IF(Games[[#This Row],[MOV]]=0,0.5,0))</f>
        <v>1</v>
      </c>
      <c r="W10" s="4">
        <f>((ABS(Games[[#This Row],[MOV]])+5)^0.6)/(12+0.01*(ABS(Games[[#This Row],[PreGmRate]]-Games[[#This Row],[OppPreGmRate]])))*IF(Games[[#This Row],[OT]]=1,0.9,1)</f>
        <v>0.32784291709010088</v>
      </c>
      <c r="X10" s="7" cm="1">
        <f t="array" ref="X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" s="9">
        <f>MAX(kmin, kmax - 0.15 * MIN(Games[[#This Row],[GamesPlayed]], 82))</f>
        <v>75.849999999999994</v>
      </c>
      <c r="Z10" s="4">
        <f>Games[[#This Row],[K]]*Games[[#This Row],[POMult]]</f>
        <v>75.849999999999994</v>
      </c>
      <c r="AA10" s="4">
        <f>(Games[[#This Row],[Keff]]*Games[[#This Row],[MOVMult]])*(Games[[#This Row],[Result]]-Games[[#This Row],[ExpectedWin%]])</f>
        <v>18.068009875608116</v>
      </c>
      <c r="AB10" s="4">
        <f>Games[[#This Row],[PreGmRate]]+Games[[#This Row],[RatingChange]]</f>
        <v>1475.6347055820058</v>
      </c>
      <c r="AC10" s="2">
        <f>IF(Games[[#This Row],[Type]]="R",IF(Games[[#This Row],[Result]]&gt;0.5,1,0),0)</f>
        <v>1</v>
      </c>
      <c r="AD10" s="2">
        <f>IF(Games[[#This Row],[Type]]="R",IF(Games[[#This Row],[Result]]&lt;0.5,1,0),0)</f>
        <v>0</v>
      </c>
      <c r="AE10" s="2">
        <f>IF(AND(Games[[#This Row],[Type]]="P",Games[[#This Row],[Round]]=1),IF(Games[[#This Row],[Result]]&gt;0.5,1,0),0)</f>
        <v>0</v>
      </c>
      <c r="AF10" s="2">
        <f>IF(AND(Games[[#This Row],[Type]]="P",Games[[#This Row],[Round]]=1),IF(Games[[#This Row],[Result]]&lt;0.5,1,0),0)</f>
        <v>0</v>
      </c>
      <c r="AG10" s="2">
        <f>IF(AND(Games[[#This Row],[Type]]="P",Games[[#This Row],[Round]]=2),IF(Games[[#This Row],[Result]]&gt;0.5,1,0),0)</f>
        <v>0</v>
      </c>
      <c r="AH10" s="2">
        <f>IF(AND(Games[[#This Row],[Type]]="P",Games[[#This Row],[Round]]=2),IF(Games[[#This Row],[Result]]&lt;0.5,1,0),0)</f>
        <v>0</v>
      </c>
      <c r="AI10" s="2">
        <f>IF(AND(Games[[#This Row],[Type]]="P",Games[[#This Row],[Round]]=3),IF(Games[[#This Row],[Result]]&gt;0.5,1,0),0)</f>
        <v>0</v>
      </c>
      <c r="AJ10" s="2">
        <f>IF(AND(Games[[#This Row],[Type]]="P",Games[[#This Row],[Round]]=3),IF(Games[[#This Row],[Result]]&lt;0.5,1,0),0)</f>
        <v>0</v>
      </c>
      <c r="AK10" s="2">
        <f>IF(AND(Games[[#This Row],[Type]]="P",Games[[#This Row],[Round]]=4),IF(Games[[#This Row],[Result]]&gt;0.5,1,0),0)</f>
        <v>0</v>
      </c>
      <c r="AL10" s="2">
        <f>IF(AND(Games[[#This Row],[Type]]="P",Games[[#This Row],[Round]]=4),IF(Games[[#This Row],[Result]]&lt;0.5,1,0),0)</f>
        <v>0</v>
      </c>
    </row>
    <row r="11" spans="1:46" x14ac:dyDescent="0.35">
      <c r="A11" s="10">
        <v>40313</v>
      </c>
      <c r="B11" s="2">
        <v>2010</v>
      </c>
      <c r="C11" s="2">
        <f>COUNTIFS(Games[Team],Games[[#This Row],[Team]],Games[Season],Games[[#This Row],[Season]],Games[Date],"&lt;=" &amp; Games[[#This Row],[Date]])</f>
        <v>1</v>
      </c>
      <c r="D11" s="2" t="s">
        <v>23</v>
      </c>
      <c r="E11" s="2" t="s">
        <v>29</v>
      </c>
      <c r="F11" s="1" t="s">
        <v>85</v>
      </c>
      <c r="G11" s="1" t="s">
        <v>71</v>
      </c>
      <c r="H11" s="1" t="s">
        <v>15</v>
      </c>
      <c r="I11" s="2" cm="1">
        <f t="array" ref="I11">IFERROR(
    Games[[#This Row],[Date]]
    - LOOKUP(
        2,
        1/((Games[Team]=Games[[#This Row],[Team]]) * (Games[Date] &lt; Games[[#This Row],[Date]])),
        Games[Date]
    )
    - 1,
Games[[#This Row],[Date]]-$A$2)</f>
        <v>0</v>
      </c>
      <c r="J11" s="2" cm="1">
        <f t="array" ref="J1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1" s="2">
        <f>Games[[#This Row],[DaysOff]]-Games[[#This Row],[OppDaysOff]]</f>
        <v>0</v>
      </c>
      <c r="L11" s="2">
        <f>Games[[#This Row],[OppDaysOff]]-Games[[#This Row],[DaysOff]]</f>
        <v>0</v>
      </c>
      <c r="M11" s="1">
        <f>MAX(-16, MIN(16, Games[[#This Row],[RestDiff]]*8))</f>
        <v>0</v>
      </c>
      <c r="N11" s="1">
        <f>MAX(-16, MIN(16, Games[[#This Row],[OppRestDiff]]*8))</f>
        <v>0</v>
      </c>
      <c r="O11" s="4" cm="1">
        <f t="array" ref="O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1543.3559909295709</v>
      </c>
      <c r="P11" s="4" cm="1">
        <f t="array" ref="P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1457.5666957063977</v>
      </c>
      <c r="Q11" s="4">
        <f>1/(1+10^(((Games[[#This Row],[OppPreGmRate]]+IF(Games[[#This Row],[HomeAway]]="A",HCA,0)+Games[[#This Row],[OppRestAdj]])-(Games[[#This Row],[PreGmRate]]+IF(Games[[#This Row],[HomeAway]]="H",HCA,0)+Games[[#This Row],[RestAdj]]))/400))</f>
        <v>0.72658918420066998</v>
      </c>
      <c r="R11" s="1">
        <v>74</v>
      </c>
      <c r="S11" s="1">
        <v>80</v>
      </c>
      <c r="T11" s="1">
        <v>0</v>
      </c>
      <c r="U11" s="1">
        <f>Games[[#This Row],[PointsFor]]-Games[[#This Row],[PointsAgainst]]</f>
        <v>-6</v>
      </c>
      <c r="V11" s="1">
        <f>IF(Games[[#This Row],[MOV]]&gt;0,1,IF(Games[[#This Row],[MOV]]=0,0.5,0))</f>
        <v>0</v>
      </c>
      <c r="W11" s="4">
        <f>((ABS(Games[[#This Row],[MOV]])+5)^0.6)/(12+0.01*(ABS(Games[[#This Row],[PreGmRate]]-Games[[#This Row],[OppPreGmRate]])))*IF(Games[[#This Row],[OT]]=1,0.9,1)</f>
        <v>0.32784291709010088</v>
      </c>
      <c r="X11" s="7" cm="1">
        <f t="array" ref="X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" s="9">
        <f>MAX(kmin, kmax - 0.15 * MIN(Games[[#This Row],[GamesPlayed]], 82))</f>
        <v>75.849999999999994</v>
      </c>
      <c r="Z11" s="4">
        <f>Games[[#This Row],[K]]*Games[[#This Row],[POMult]]</f>
        <v>75.849999999999994</v>
      </c>
      <c r="AA11" s="4">
        <f>(Games[[#This Row],[Keff]]*Games[[#This Row],[MOVMult]])*(Games[[#This Row],[Result]]-Games[[#This Row],[ExpectedWin%]])</f>
        <v>-18.068009875608116</v>
      </c>
      <c r="AB11" s="4">
        <f>Games[[#This Row],[PreGmRate]]+Games[[#This Row],[RatingChange]]</f>
        <v>1525.2879810539628</v>
      </c>
      <c r="AC11" s="2">
        <f>IF(Games[[#This Row],[Type]]="R",IF(Games[[#This Row],[Result]]&gt;0.5,1,0),0)</f>
        <v>0</v>
      </c>
      <c r="AD11" s="2">
        <f>IF(Games[[#This Row],[Type]]="R",IF(Games[[#This Row],[Result]]&lt;0.5,1,0),0)</f>
        <v>1</v>
      </c>
      <c r="AE11" s="2">
        <f>IF(AND(Games[[#This Row],[Type]]="P",Games[[#This Row],[Round]]=1),IF(Games[[#This Row],[Result]]&gt;0.5,1,0),0)</f>
        <v>0</v>
      </c>
      <c r="AF11" s="2">
        <f>IF(AND(Games[[#This Row],[Type]]="P",Games[[#This Row],[Round]]=1),IF(Games[[#This Row],[Result]]&lt;0.5,1,0),0)</f>
        <v>0</v>
      </c>
      <c r="AG11" s="2">
        <f>IF(AND(Games[[#This Row],[Type]]="P",Games[[#This Row],[Round]]=2),IF(Games[[#This Row],[Result]]&gt;0.5,1,0),0)</f>
        <v>0</v>
      </c>
      <c r="AH11" s="2">
        <f>IF(AND(Games[[#This Row],[Type]]="P",Games[[#This Row],[Round]]=2),IF(Games[[#This Row],[Result]]&lt;0.5,1,0),0)</f>
        <v>0</v>
      </c>
      <c r="AI11" s="2">
        <f>IF(AND(Games[[#This Row],[Type]]="P",Games[[#This Row],[Round]]=3),IF(Games[[#This Row],[Result]]&gt;0.5,1,0),0)</f>
        <v>0</v>
      </c>
      <c r="AJ11" s="2">
        <f>IF(AND(Games[[#This Row],[Type]]="P",Games[[#This Row],[Round]]=3),IF(Games[[#This Row],[Result]]&lt;0.5,1,0),0)</f>
        <v>0</v>
      </c>
      <c r="AK11" s="2">
        <f>IF(AND(Games[[#This Row],[Type]]="P",Games[[#This Row],[Round]]=4),IF(Games[[#This Row],[Result]]&gt;0.5,1,0),0)</f>
        <v>0</v>
      </c>
      <c r="AL11" s="2">
        <f>IF(AND(Games[[#This Row],[Type]]="P",Games[[#This Row],[Round]]=4),IF(Games[[#This Row],[Result]]&lt;0.5,1,0),0)</f>
        <v>0</v>
      </c>
    </row>
    <row r="12" spans="1:46" x14ac:dyDescent="0.35">
      <c r="A12" s="10">
        <v>40314</v>
      </c>
      <c r="B12" s="2">
        <v>2010</v>
      </c>
      <c r="C12" s="2">
        <f>COUNTIFS(Games[Team],Games[[#This Row],[Team]],Games[Season],Games[[#This Row],[Season]],Games[Date],"&lt;=" &amp; Games[[#This Row],[Date]])</f>
        <v>2</v>
      </c>
      <c r="D12" s="2" t="s">
        <v>23</v>
      </c>
      <c r="E12" s="2" t="s">
        <v>29</v>
      </c>
      <c r="F12" s="1" t="s">
        <v>73</v>
      </c>
      <c r="G12" s="1" t="s">
        <v>83</v>
      </c>
      <c r="H12" s="1" t="s">
        <v>16</v>
      </c>
      <c r="I12" s="2" cm="1">
        <f t="array" ref="I12">IFERROR(
    Games[[#This Row],[Date]]
    - LOOKUP(
        2,
        1/((Games[Team]=Games[[#This Row],[Team]]) * (Games[Date] &lt; Games[[#This Row],[Date]])),
        Games[Date]
    )
    - 1,
Games[[#This Row],[Date]]-$A$2)</f>
        <v>0</v>
      </c>
      <c r="J12" s="2" cm="1">
        <f t="array" ref="J1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2" s="2">
        <f>Games[[#This Row],[DaysOff]]-Games[[#This Row],[OppDaysOff]]</f>
        <v>0</v>
      </c>
      <c r="L12" s="2">
        <f>Games[[#This Row],[OppDaysOff]]-Games[[#This Row],[DaysOff]]</f>
        <v>0</v>
      </c>
      <c r="M12" s="1">
        <f>MAX(-16, MIN(16, Games[[#This Row],[RestDiff]]*8))</f>
        <v>0</v>
      </c>
      <c r="N12" s="1">
        <f>MAX(-16, MIN(16, Games[[#This Row],[OppRestDiff]]*8))</f>
        <v>0</v>
      </c>
      <c r="O12" s="4" cm="1">
        <f t="array" ref="O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1515.1092615284842</v>
      </c>
      <c r="P12" s="4" cm="1">
        <f t="array" ref="P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1508.9346503159163</v>
      </c>
      <c r="Q12" s="4">
        <f>1/(1+10^(((Games[[#This Row],[OppPreGmRate]]+IF(Games[[#This Row],[HomeAway]]="A",HCA,0)+Games[[#This Row],[OppRestAdj]])-(Games[[#This Row],[PreGmRate]]+IF(Games[[#This Row],[HomeAway]]="H",HCA,0)+Games[[#This Row],[RestAdj]]))/400))</f>
        <v>0.38983663876777053</v>
      </c>
      <c r="R12" s="1">
        <v>62</v>
      </c>
      <c r="S12" s="1">
        <v>66</v>
      </c>
      <c r="T12" s="1">
        <v>0</v>
      </c>
      <c r="U12" s="1">
        <f>Games[[#This Row],[PointsFor]]-Games[[#This Row],[PointsAgainst]]</f>
        <v>-4</v>
      </c>
      <c r="V12" s="1">
        <f>IF(Games[[#This Row],[MOV]]&gt;0,1,IF(Games[[#This Row],[MOV]]=0,0.5,0))</f>
        <v>0</v>
      </c>
      <c r="W12" s="4">
        <f>((ABS(Games[[#This Row],[MOV]])+5)^0.6)/(12+0.01*(ABS(Games[[#This Row],[PreGmRate]]-Games[[#This Row],[OppPreGmRate]])))*IF(Games[[#This Row],[OT]]=1,0.9,1)</f>
        <v>0.30983845822202727</v>
      </c>
      <c r="X12" s="7" cm="1">
        <f t="array" ref="X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" s="9">
        <f>MAX(kmin, kmax - 0.15 * MIN(Games[[#This Row],[GamesPlayed]], 82))</f>
        <v>75.7</v>
      </c>
      <c r="Z12" s="4">
        <f>Games[[#This Row],[K]]*Games[[#This Row],[POMult]]</f>
        <v>75.7</v>
      </c>
      <c r="AA12" s="4">
        <f>(Games[[#This Row],[Keff]]*Games[[#This Row],[MOVMult]])*(Games[[#This Row],[Result]]-Games[[#This Row],[ExpectedWin%]])</f>
        <v>-9.1435292017497396</v>
      </c>
      <c r="AB12" s="4">
        <f>Games[[#This Row],[PreGmRate]]+Games[[#This Row],[RatingChange]]</f>
        <v>1505.9657323267345</v>
      </c>
      <c r="AC12" s="2">
        <f>IF(Games[[#This Row],[Type]]="R",IF(Games[[#This Row],[Result]]&gt;0.5,1,0),0)</f>
        <v>0</v>
      </c>
      <c r="AD12" s="2">
        <f>IF(Games[[#This Row],[Type]]="R",IF(Games[[#This Row],[Result]]&lt;0.5,1,0),0)</f>
        <v>1</v>
      </c>
      <c r="AE12" s="2">
        <f>IF(AND(Games[[#This Row],[Type]]="P",Games[[#This Row],[Round]]=1),IF(Games[[#This Row],[Result]]&gt;0.5,1,0),0)</f>
        <v>0</v>
      </c>
      <c r="AF12" s="2">
        <f>IF(AND(Games[[#This Row],[Type]]="P",Games[[#This Row],[Round]]=1),IF(Games[[#This Row],[Result]]&lt;0.5,1,0),0)</f>
        <v>0</v>
      </c>
      <c r="AG12" s="2">
        <f>IF(AND(Games[[#This Row],[Type]]="P",Games[[#This Row],[Round]]=2),IF(Games[[#This Row],[Result]]&gt;0.5,1,0),0)</f>
        <v>0</v>
      </c>
      <c r="AH12" s="2">
        <f>IF(AND(Games[[#This Row],[Type]]="P",Games[[#This Row],[Round]]=2),IF(Games[[#This Row],[Result]]&lt;0.5,1,0),0)</f>
        <v>0</v>
      </c>
      <c r="AI12" s="2">
        <f>IF(AND(Games[[#This Row],[Type]]="P",Games[[#This Row],[Round]]=3),IF(Games[[#This Row],[Result]]&gt;0.5,1,0),0)</f>
        <v>0</v>
      </c>
      <c r="AJ12" s="2">
        <f>IF(AND(Games[[#This Row],[Type]]="P",Games[[#This Row],[Round]]=3),IF(Games[[#This Row],[Result]]&lt;0.5,1,0),0)</f>
        <v>0</v>
      </c>
      <c r="AK12" s="2">
        <f>IF(AND(Games[[#This Row],[Type]]="P",Games[[#This Row],[Round]]=4),IF(Games[[#This Row],[Result]]&gt;0.5,1,0),0)</f>
        <v>0</v>
      </c>
      <c r="AL12" s="2">
        <f>IF(AND(Games[[#This Row],[Type]]="P",Games[[#This Row],[Round]]=4),IF(Games[[#This Row],[Result]]&lt;0.5,1,0),0)</f>
        <v>0</v>
      </c>
    </row>
    <row r="13" spans="1:46" x14ac:dyDescent="0.35">
      <c r="A13" s="10">
        <v>40314</v>
      </c>
      <c r="B13" s="2">
        <v>2010</v>
      </c>
      <c r="C13" s="2">
        <f>COUNTIFS(Games[Team],Games[[#This Row],[Team]],Games[Season],Games[[#This Row],[Season]],Games[Date],"&lt;=" &amp; Games[[#This Row],[Date]])</f>
        <v>2</v>
      </c>
      <c r="D13" s="2" t="s">
        <v>23</v>
      </c>
      <c r="E13" s="2" t="s">
        <v>29</v>
      </c>
      <c r="F13" s="1" t="s">
        <v>83</v>
      </c>
      <c r="G13" s="1" t="s">
        <v>73</v>
      </c>
      <c r="H13" s="1" t="s">
        <v>15</v>
      </c>
      <c r="I13" s="2" cm="1">
        <f t="array" ref="I13">IFERROR(
    Games[[#This Row],[Date]]
    - LOOKUP(
        2,
        1/((Games[Team]=Games[[#This Row],[Team]]) * (Games[Date] &lt; Games[[#This Row],[Date]])),
        Games[Date]
    )
    - 1,
Games[[#This Row],[Date]]-$A$2)</f>
        <v>0</v>
      </c>
      <c r="J13" s="2" cm="1">
        <f t="array" ref="J1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3" s="2">
        <f>Games[[#This Row],[DaysOff]]-Games[[#This Row],[OppDaysOff]]</f>
        <v>0</v>
      </c>
      <c r="L13" s="2">
        <f>Games[[#This Row],[OppDaysOff]]-Games[[#This Row],[DaysOff]]</f>
        <v>0</v>
      </c>
      <c r="M13" s="1">
        <f>MAX(-16, MIN(16, Games[[#This Row],[RestDiff]]*8))</f>
        <v>0</v>
      </c>
      <c r="N13" s="1">
        <f>MAX(-16, MIN(16, Games[[#This Row],[OppRestDiff]]*8))</f>
        <v>0</v>
      </c>
      <c r="O13" s="4" cm="1">
        <f t="array" ref="O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1508.9346503159163</v>
      </c>
      <c r="P13" s="4" cm="1">
        <f t="array" ref="P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1515.1092615284842</v>
      </c>
      <c r="Q13" s="4">
        <f>1/(1+10^(((Games[[#This Row],[OppPreGmRate]]+IF(Games[[#This Row],[HomeAway]]="A",HCA,0)+Games[[#This Row],[OppRestAdj]])-(Games[[#This Row],[PreGmRate]]+IF(Games[[#This Row],[HomeAway]]="H",HCA,0)+Games[[#This Row],[RestAdj]]))/400))</f>
        <v>0.61016336123222947</v>
      </c>
      <c r="R13" s="1">
        <v>66</v>
      </c>
      <c r="S13" s="1">
        <v>62</v>
      </c>
      <c r="T13" s="1">
        <v>0</v>
      </c>
      <c r="U13" s="1">
        <f>Games[[#This Row],[PointsFor]]-Games[[#This Row],[PointsAgainst]]</f>
        <v>4</v>
      </c>
      <c r="V13" s="1">
        <f>IF(Games[[#This Row],[MOV]]&gt;0,1,IF(Games[[#This Row],[MOV]]=0,0.5,0))</f>
        <v>1</v>
      </c>
      <c r="W13" s="4">
        <f>((ABS(Games[[#This Row],[MOV]])+5)^0.6)/(12+0.01*(ABS(Games[[#This Row],[PreGmRate]]-Games[[#This Row],[OppPreGmRate]])))*IF(Games[[#This Row],[OT]]=1,0.9,1)</f>
        <v>0.30983845822202727</v>
      </c>
      <c r="X13" s="7" cm="1">
        <f t="array" ref="X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" s="9">
        <f>MAX(kmin, kmax - 0.15 * MIN(Games[[#This Row],[GamesPlayed]], 82))</f>
        <v>75.7</v>
      </c>
      <c r="Z13" s="4">
        <f>Games[[#This Row],[K]]*Games[[#This Row],[POMult]]</f>
        <v>75.7</v>
      </c>
      <c r="AA13" s="4">
        <f>(Games[[#This Row],[Keff]]*Games[[#This Row],[MOVMult]])*(Games[[#This Row],[Result]]-Games[[#This Row],[ExpectedWin%]])</f>
        <v>9.1435292017497396</v>
      </c>
      <c r="AB13" s="4">
        <f>Games[[#This Row],[PreGmRate]]+Games[[#This Row],[RatingChange]]</f>
        <v>1518.0781795176661</v>
      </c>
      <c r="AC13" s="2">
        <f>IF(Games[[#This Row],[Type]]="R",IF(Games[[#This Row],[Result]]&gt;0.5,1,0),0)</f>
        <v>1</v>
      </c>
      <c r="AD13" s="2">
        <f>IF(Games[[#This Row],[Type]]="R",IF(Games[[#This Row],[Result]]&lt;0.5,1,0),0)</f>
        <v>0</v>
      </c>
      <c r="AE13" s="2">
        <f>IF(AND(Games[[#This Row],[Type]]="P",Games[[#This Row],[Round]]=1),IF(Games[[#This Row],[Result]]&gt;0.5,1,0),0)</f>
        <v>0</v>
      </c>
      <c r="AF13" s="2">
        <f>IF(AND(Games[[#This Row],[Type]]="P",Games[[#This Row],[Round]]=1),IF(Games[[#This Row],[Result]]&lt;0.5,1,0),0)</f>
        <v>0</v>
      </c>
      <c r="AG13" s="2">
        <f>IF(AND(Games[[#This Row],[Type]]="P",Games[[#This Row],[Round]]=2),IF(Games[[#This Row],[Result]]&gt;0.5,1,0),0)</f>
        <v>0</v>
      </c>
      <c r="AH13" s="2">
        <f>IF(AND(Games[[#This Row],[Type]]="P",Games[[#This Row],[Round]]=2),IF(Games[[#This Row],[Result]]&lt;0.5,1,0),0)</f>
        <v>0</v>
      </c>
      <c r="AI13" s="2">
        <f>IF(AND(Games[[#This Row],[Type]]="P",Games[[#This Row],[Round]]=3),IF(Games[[#This Row],[Result]]&gt;0.5,1,0),0)</f>
        <v>0</v>
      </c>
      <c r="AJ13" s="2">
        <f>IF(AND(Games[[#This Row],[Type]]="P",Games[[#This Row],[Round]]=3),IF(Games[[#This Row],[Result]]&lt;0.5,1,0),0)</f>
        <v>0</v>
      </c>
      <c r="AK13" s="2">
        <f>IF(AND(Games[[#This Row],[Type]]="P",Games[[#This Row],[Round]]=4),IF(Games[[#This Row],[Result]]&gt;0.5,1,0),0)</f>
        <v>0</v>
      </c>
      <c r="AL13" s="2">
        <f>IF(AND(Games[[#This Row],[Type]]="P",Games[[#This Row],[Round]]=4),IF(Games[[#This Row],[Result]]&lt;0.5,1,0),0)</f>
        <v>0</v>
      </c>
    </row>
    <row r="14" spans="1:46" x14ac:dyDescent="0.35">
      <c r="A14" s="10">
        <v>40314</v>
      </c>
      <c r="B14" s="2">
        <v>2010</v>
      </c>
      <c r="C14" s="2">
        <f>COUNTIFS(Games[Team],Games[[#This Row],[Team]],Games[Season],Games[[#This Row],[Season]],Games[Date],"&lt;=" &amp; Games[[#This Row],[Date]])</f>
        <v>2</v>
      </c>
      <c r="D14" s="2" t="s">
        <v>23</v>
      </c>
      <c r="E14" s="2" t="s">
        <v>29</v>
      </c>
      <c r="F14" s="1" t="s">
        <v>69</v>
      </c>
      <c r="G14" s="1" t="s">
        <v>71</v>
      </c>
      <c r="H14" s="1" t="s">
        <v>16</v>
      </c>
      <c r="I14" s="2" cm="1">
        <f t="array" ref="I14">IFERROR(
    Games[[#This Row],[Date]]
    - LOOKUP(
        2,
        1/((Games[Team]=Games[[#This Row],[Team]]) * (Games[Date] &lt; Games[[#This Row],[Date]])),
        Games[Date]
    )
    - 1,
Games[[#This Row],[Date]]-$A$2)</f>
        <v>0</v>
      </c>
      <c r="J14" s="2" cm="1">
        <f t="array" ref="J14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4" s="2">
        <f>Games[[#This Row],[DaysOff]]-Games[[#This Row],[OppDaysOff]]</f>
        <v>0</v>
      </c>
      <c r="L14" s="2">
        <f>Games[[#This Row],[OppDaysOff]]-Games[[#This Row],[DaysOff]]</f>
        <v>0</v>
      </c>
      <c r="M14" s="1">
        <f>MAX(-16, MIN(16, Games[[#This Row],[RestDiff]]*8))</f>
        <v>0</v>
      </c>
      <c r="N14" s="1">
        <f>MAX(-16, MIN(16, Games[[#This Row],[OppRestDiff]]*8))</f>
        <v>0</v>
      </c>
      <c r="O14" s="4" cm="1">
        <f t="array" ref="O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1480.4410464150574</v>
      </c>
      <c r="P14" s="4" cm="1">
        <f t="array" ref="P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1475.6347055820058</v>
      </c>
      <c r="Q14" s="4">
        <f>1/(1+10^(((Games[[#This Row],[OppPreGmRate]]+IF(Games[[#This Row],[HomeAway]]="A",HCA,0)+Games[[#This Row],[OppRestAdj]])-(Games[[#This Row],[PreGmRate]]+IF(Games[[#This Row],[HomeAway]]="H",HCA,0)+Games[[#This Row],[RestAdj]]))/400))</f>
        <v>0.38796476098637239</v>
      </c>
      <c r="R14" s="1">
        <v>87</v>
      </c>
      <c r="S14" s="1">
        <v>76</v>
      </c>
      <c r="T14" s="1">
        <v>0</v>
      </c>
      <c r="U14" s="1">
        <f>Games[[#This Row],[PointsFor]]-Games[[#This Row],[PointsAgainst]]</f>
        <v>11</v>
      </c>
      <c r="V14" s="1">
        <f>IF(Games[[#This Row],[MOV]]&gt;0,1,IF(Games[[#This Row],[MOV]]=0,0.5,0))</f>
        <v>1</v>
      </c>
      <c r="W14" s="4">
        <f>((ABS(Games[[#This Row],[MOV]])+5)^0.6)/(12+0.01*(ABS(Games[[#This Row],[PreGmRate]]-Games[[#This Row],[OppPreGmRate]])))*IF(Games[[#This Row],[OT]]=1,0.9,1)</f>
        <v>0.4380813301034035</v>
      </c>
      <c r="X14" s="7" cm="1">
        <f t="array" ref="X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" s="9">
        <f>MAX(kmin, kmax - 0.15 * MIN(Games[[#This Row],[GamesPlayed]], 82))</f>
        <v>75.7</v>
      </c>
      <c r="Z14" s="4">
        <f>Games[[#This Row],[K]]*Games[[#This Row],[POMult]]</f>
        <v>75.7</v>
      </c>
      <c r="AA14" s="4">
        <f>(Games[[#This Row],[Keff]]*Games[[#This Row],[MOVMult]])*(Games[[#This Row],[Result]]-Games[[#This Row],[ExpectedWin%]])</f>
        <v>20.296775716397409</v>
      </c>
      <c r="AB14" s="4">
        <f>Games[[#This Row],[PreGmRate]]+Games[[#This Row],[RatingChange]]</f>
        <v>1500.7378221314548</v>
      </c>
      <c r="AC14" s="2">
        <f>IF(Games[[#This Row],[Type]]="R",IF(Games[[#This Row],[Result]]&gt;0.5,1,0),0)</f>
        <v>1</v>
      </c>
      <c r="AD14" s="2">
        <f>IF(Games[[#This Row],[Type]]="R",IF(Games[[#This Row],[Result]]&lt;0.5,1,0),0)</f>
        <v>0</v>
      </c>
      <c r="AE14" s="2">
        <f>IF(AND(Games[[#This Row],[Type]]="P",Games[[#This Row],[Round]]=1),IF(Games[[#This Row],[Result]]&gt;0.5,1,0),0)</f>
        <v>0</v>
      </c>
      <c r="AF14" s="2">
        <f>IF(AND(Games[[#This Row],[Type]]="P",Games[[#This Row],[Round]]=1),IF(Games[[#This Row],[Result]]&lt;0.5,1,0),0)</f>
        <v>0</v>
      </c>
      <c r="AG14" s="2">
        <f>IF(AND(Games[[#This Row],[Type]]="P",Games[[#This Row],[Round]]=2),IF(Games[[#This Row],[Result]]&gt;0.5,1,0),0)</f>
        <v>0</v>
      </c>
      <c r="AH14" s="2">
        <f>IF(AND(Games[[#This Row],[Type]]="P",Games[[#This Row],[Round]]=2),IF(Games[[#This Row],[Result]]&lt;0.5,1,0),0)</f>
        <v>0</v>
      </c>
      <c r="AI14" s="2">
        <f>IF(AND(Games[[#This Row],[Type]]="P",Games[[#This Row],[Round]]=3),IF(Games[[#This Row],[Result]]&gt;0.5,1,0),0)</f>
        <v>0</v>
      </c>
      <c r="AJ14" s="2">
        <f>IF(AND(Games[[#This Row],[Type]]="P",Games[[#This Row],[Round]]=3),IF(Games[[#This Row],[Result]]&lt;0.5,1,0),0)</f>
        <v>0</v>
      </c>
      <c r="AK14" s="2">
        <f>IF(AND(Games[[#This Row],[Type]]="P",Games[[#This Row],[Round]]=4),IF(Games[[#This Row],[Result]]&gt;0.5,1,0),0)</f>
        <v>0</v>
      </c>
      <c r="AL14" s="2">
        <f>IF(AND(Games[[#This Row],[Type]]="P",Games[[#This Row],[Round]]=4),IF(Games[[#This Row],[Result]]&lt;0.5,1,0),0)</f>
        <v>0</v>
      </c>
    </row>
    <row r="15" spans="1:46" x14ac:dyDescent="0.35">
      <c r="A15" s="10">
        <v>40314</v>
      </c>
      <c r="B15" s="2">
        <v>2010</v>
      </c>
      <c r="C15" s="2">
        <f>COUNTIFS(Games[Team],Games[[#This Row],[Team]],Games[Season],Games[[#This Row],[Season]],Games[Date],"&lt;=" &amp; Games[[#This Row],[Date]])</f>
        <v>2</v>
      </c>
      <c r="D15" s="2" t="s">
        <v>23</v>
      </c>
      <c r="E15" s="2" t="s">
        <v>29</v>
      </c>
      <c r="F15" s="1" t="s">
        <v>71</v>
      </c>
      <c r="G15" s="1" t="s">
        <v>69</v>
      </c>
      <c r="H15" s="1" t="s">
        <v>15</v>
      </c>
      <c r="I15" s="2" cm="1">
        <f t="array" ref="I15">IFERROR(
    Games[[#This Row],[Date]]
    - LOOKUP(
        2,
        1/((Games[Team]=Games[[#This Row],[Team]]) * (Games[Date] &lt; Games[[#This Row],[Date]])),
        Games[Date]
    )
    - 1,
Games[[#This Row],[Date]]-$A$2)</f>
        <v>0</v>
      </c>
      <c r="J15" s="2" cm="1">
        <f t="array" ref="J1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5" s="2">
        <f>Games[[#This Row],[DaysOff]]-Games[[#This Row],[OppDaysOff]]</f>
        <v>0</v>
      </c>
      <c r="L15" s="2">
        <f>Games[[#This Row],[OppDaysOff]]-Games[[#This Row],[DaysOff]]</f>
        <v>0</v>
      </c>
      <c r="M15" s="1">
        <f>MAX(-16, MIN(16, Games[[#This Row],[RestDiff]]*8))</f>
        <v>0</v>
      </c>
      <c r="N15" s="1">
        <f>MAX(-16, MIN(16, Games[[#This Row],[OppRestDiff]]*8))</f>
        <v>0</v>
      </c>
      <c r="O15" s="4" cm="1">
        <f t="array" ref="O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1475.6347055820058</v>
      </c>
      <c r="P15" s="4" cm="1">
        <f t="array" ref="P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1480.4410464150574</v>
      </c>
      <c r="Q15" s="4">
        <f>1/(1+10^(((Games[[#This Row],[OppPreGmRate]]+IF(Games[[#This Row],[HomeAway]]="A",HCA,0)+Games[[#This Row],[OppRestAdj]])-(Games[[#This Row],[PreGmRate]]+IF(Games[[#This Row],[HomeAway]]="H",HCA,0)+Games[[#This Row],[RestAdj]]))/400))</f>
        <v>0.61203523901362766</v>
      </c>
      <c r="R15" s="1">
        <v>76</v>
      </c>
      <c r="S15" s="1">
        <v>87</v>
      </c>
      <c r="T15" s="1">
        <v>0</v>
      </c>
      <c r="U15" s="1">
        <f>Games[[#This Row],[PointsFor]]-Games[[#This Row],[PointsAgainst]]</f>
        <v>-11</v>
      </c>
      <c r="V15" s="1">
        <f>IF(Games[[#This Row],[MOV]]&gt;0,1,IF(Games[[#This Row],[MOV]]=0,0.5,0))</f>
        <v>0</v>
      </c>
      <c r="W15" s="4">
        <f>((ABS(Games[[#This Row],[MOV]])+5)^0.6)/(12+0.01*(ABS(Games[[#This Row],[PreGmRate]]-Games[[#This Row],[OppPreGmRate]])))*IF(Games[[#This Row],[OT]]=1,0.9,1)</f>
        <v>0.4380813301034035</v>
      </c>
      <c r="X15" s="7" cm="1">
        <f t="array" ref="X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" s="9">
        <f>MAX(kmin, kmax - 0.15 * MIN(Games[[#This Row],[GamesPlayed]], 82))</f>
        <v>75.7</v>
      </c>
      <c r="Z15" s="4">
        <f>Games[[#This Row],[K]]*Games[[#This Row],[POMult]]</f>
        <v>75.7</v>
      </c>
      <c r="AA15" s="4">
        <f>(Games[[#This Row],[Keff]]*Games[[#This Row],[MOVMult]])*(Games[[#This Row],[Result]]-Games[[#This Row],[ExpectedWin%]])</f>
        <v>-20.296775716397409</v>
      </c>
      <c r="AB15" s="4">
        <f>Games[[#This Row],[PreGmRate]]+Games[[#This Row],[RatingChange]]</f>
        <v>1455.3379298656084</v>
      </c>
      <c r="AC15" s="2">
        <f>IF(Games[[#This Row],[Type]]="R",IF(Games[[#This Row],[Result]]&gt;0.5,1,0),0)</f>
        <v>0</v>
      </c>
      <c r="AD15" s="2">
        <f>IF(Games[[#This Row],[Type]]="R",IF(Games[[#This Row],[Result]]&lt;0.5,1,0),0)</f>
        <v>1</v>
      </c>
      <c r="AE15" s="2">
        <f>IF(AND(Games[[#This Row],[Type]]="P",Games[[#This Row],[Round]]=1),IF(Games[[#This Row],[Result]]&gt;0.5,1,0),0)</f>
        <v>0</v>
      </c>
      <c r="AF15" s="2">
        <f>IF(AND(Games[[#This Row],[Type]]="P",Games[[#This Row],[Round]]=1),IF(Games[[#This Row],[Result]]&lt;0.5,1,0),0)</f>
        <v>0</v>
      </c>
      <c r="AG15" s="2">
        <f>IF(AND(Games[[#This Row],[Type]]="P",Games[[#This Row],[Round]]=2),IF(Games[[#This Row],[Result]]&gt;0.5,1,0),0)</f>
        <v>0</v>
      </c>
      <c r="AH15" s="2">
        <f>IF(AND(Games[[#This Row],[Type]]="P",Games[[#This Row],[Round]]=2),IF(Games[[#This Row],[Result]]&lt;0.5,1,0),0)</f>
        <v>0</v>
      </c>
      <c r="AI15" s="2">
        <f>IF(AND(Games[[#This Row],[Type]]="P",Games[[#This Row],[Round]]=3),IF(Games[[#This Row],[Result]]&gt;0.5,1,0),0)</f>
        <v>0</v>
      </c>
      <c r="AJ15" s="2">
        <f>IF(AND(Games[[#This Row],[Type]]="P",Games[[#This Row],[Round]]=3),IF(Games[[#This Row],[Result]]&lt;0.5,1,0),0)</f>
        <v>0</v>
      </c>
      <c r="AK15" s="2">
        <f>IF(AND(Games[[#This Row],[Type]]="P",Games[[#This Row],[Round]]=4),IF(Games[[#This Row],[Result]]&gt;0.5,1,0),0)</f>
        <v>0</v>
      </c>
      <c r="AL15" s="2">
        <f>IF(AND(Games[[#This Row],[Type]]="P",Games[[#This Row],[Round]]=4),IF(Games[[#This Row],[Result]]&lt;0.5,1,0),0)</f>
        <v>0</v>
      </c>
    </row>
    <row r="16" spans="1:46" x14ac:dyDescent="0.35">
      <c r="A16" s="10">
        <v>40314</v>
      </c>
      <c r="B16" s="2">
        <v>2010</v>
      </c>
      <c r="C16" s="2">
        <f>COUNTIFS(Games[Team],Games[[#This Row],[Team]],Games[Season],Games[[#This Row],[Season]],Games[Date],"&lt;=" &amp; Games[[#This Row],[Date]])</f>
        <v>2</v>
      </c>
      <c r="D16" s="2" t="s">
        <v>23</v>
      </c>
      <c r="E16" s="2" t="s">
        <v>29</v>
      </c>
      <c r="F16" s="1" t="s">
        <v>81</v>
      </c>
      <c r="G16" s="1" t="s">
        <v>64</v>
      </c>
      <c r="H16" s="1" t="s">
        <v>16</v>
      </c>
      <c r="I16" s="2" cm="1">
        <f t="array" ref="I16">IFERROR(
    Games[[#This Row],[Date]]
    - LOOKUP(
        2,
        1/((Games[Team]=Games[[#This Row],[Team]]) * (Games[Date] &lt; Games[[#This Row],[Date]])),
        Games[Date]
    )
    - 1,
Games[[#This Row],[Date]]-$A$2)</f>
        <v>0</v>
      </c>
      <c r="J16" s="2" cm="1">
        <f t="array" ref="J1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" s="2">
        <f>Games[[#This Row],[DaysOff]]-Games[[#This Row],[OppDaysOff]]</f>
        <v>-1</v>
      </c>
      <c r="L16" s="2">
        <f>Games[[#This Row],[OppDaysOff]]-Games[[#This Row],[DaysOff]]</f>
        <v>1</v>
      </c>
      <c r="M16" s="1">
        <f>MAX(-16, MIN(16, Games[[#This Row],[RestDiff]]*8))</f>
        <v>-8</v>
      </c>
      <c r="N16" s="1">
        <f>MAX(-16, MIN(16, Games[[#This Row],[OppRestDiff]]*8))</f>
        <v>8</v>
      </c>
      <c r="O16" s="4" cm="1">
        <f t="array" ref="O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1459.7646133347005</v>
      </c>
      <c r="P16" s="4" cm="1">
        <f t="array" ref="P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1473.9060573208533</v>
      </c>
      <c r="Q16" s="4">
        <f>1/(1+10^(((Games[[#This Row],[OppPreGmRate]]+IF(Games[[#This Row],[HomeAway]]="A",HCA,0)+Games[[#This Row],[OppRestAdj]])-(Games[[#This Row],[PreGmRate]]+IF(Games[[#This Row],[HomeAway]]="H",HCA,0)+Games[[#This Row],[RestAdj]]))/400))</f>
        <v>0.34140238135821249</v>
      </c>
      <c r="R16" s="1">
        <v>82</v>
      </c>
      <c r="S16" s="1">
        <v>85</v>
      </c>
      <c r="T16" s="1">
        <v>0</v>
      </c>
      <c r="U16" s="1">
        <f>Games[[#This Row],[PointsFor]]-Games[[#This Row],[PointsAgainst]]</f>
        <v>-3</v>
      </c>
      <c r="V16" s="1">
        <f>IF(Games[[#This Row],[MOV]]&gt;0,1,IF(Games[[#This Row],[MOV]]=0,0.5,0))</f>
        <v>0</v>
      </c>
      <c r="W16" s="4">
        <f>((ABS(Games[[#This Row],[MOV]])+5)^0.6)/(12+0.01*(ABS(Games[[#This Row],[PreGmRate]]-Games[[#This Row],[OppPreGmRate]])))*IF(Games[[#This Row],[OT]]=1,0.9,1)</f>
        <v>0.2868036727048921</v>
      </c>
      <c r="X16" s="7" cm="1">
        <f t="array" ref="X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" s="9">
        <f>MAX(kmin, kmax - 0.15 * MIN(Games[[#This Row],[GamesPlayed]], 82))</f>
        <v>75.7</v>
      </c>
      <c r="Z16" s="4">
        <f>Games[[#This Row],[K]]*Games[[#This Row],[POMult]]</f>
        <v>75.7</v>
      </c>
      <c r="AA16" s="4">
        <f>(Games[[#This Row],[Keff]]*Games[[#This Row],[MOVMult]])*(Games[[#This Row],[Result]]-Games[[#This Row],[ExpectedWin%]])</f>
        <v>-7.412200083070478</v>
      </c>
      <c r="AB16" s="4">
        <f>Games[[#This Row],[PreGmRate]]+Games[[#This Row],[RatingChange]]</f>
        <v>1452.35241325163</v>
      </c>
      <c r="AC16" s="2">
        <f>IF(Games[[#This Row],[Type]]="R",IF(Games[[#This Row],[Result]]&gt;0.5,1,0),0)</f>
        <v>0</v>
      </c>
      <c r="AD16" s="2">
        <f>IF(Games[[#This Row],[Type]]="R",IF(Games[[#This Row],[Result]]&lt;0.5,1,0),0)</f>
        <v>1</v>
      </c>
      <c r="AE16" s="2">
        <f>IF(AND(Games[[#This Row],[Type]]="P",Games[[#This Row],[Round]]=1),IF(Games[[#This Row],[Result]]&gt;0.5,1,0),0)</f>
        <v>0</v>
      </c>
      <c r="AF16" s="2">
        <f>IF(AND(Games[[#This Row],[Type]]="P",Games[[#This Row],[Round]]=1),IF(Games[[#This Row],[Result]]&lt;0.5,1,0),0)</f>
        <v>0</v>
      </c>
      <c r="AG16" s="2">
        <f>IF(AND(Games[[#This Row],[Type]]="P",Games[[#This Row],[Round]]=2),IF(Games[[#This Row],[Result]]&gt;0.5,1,0),0)</f>
        <v>0</v>
      </c>
      <c r="AH16" s="2">
        <f>IF(AND(Games[[#This Row],[Type]]="P",Games[[#This Row],[Round]]=2),IF(Games[[#This Row],[Result]]&lt;0.5,1,0),0)</f>
        <v>0</v>
      </c>
      <c r="AI16" s="2">
        <f>IF(AND(Games[[#This Row],[Type]]="P",Games[[#This Row],[Round]]=3),IF(Games[[#This Row],[Result]]&gt;0.5,1,0),0)</f>
        <v>0</v>
      </c>
      <c r="AJ16" s="2">
        <f>IF(AND(Games[[#This Row],[Type]]="P",Games[[#This Row],[Round]]=3),IF(Games[[#This Row],[Result]]&lt;0.5,1,0),0)</f>
        <v>0</v>
      </c>
      <c r="AK16" s="2">
        <f>IF(AND(Games[[#This Row],[Type]]="P",Games[[#This Row],[Round]]=4),IF(Games[[#This Row],[Result]]&gt;0.5,1,0),0)</f>
        <v>0</v>
      </c>
      <c r="AL16" s="2">
        <f>IF(AND(Games[[#This Row],[Type]]="P",Games[[#This Row],[Round]]=4),IF(Games[[#This Row],[Result]]&lt;0.5,1,0),0)</f>
        <v>0</v>
      </c>
    </row>
    <row r="17" spans="1:38" x14ac:dyDescent="0.35">
      <c r="A17" s="10">
        <v>40314</v>
      </c>
      <c r="B17" s="2">
        <v>2010</v>
      </c>
      <c r="C17" s="2">
        <f>COUNTIFS(Games[Team],Games[[#This Row],[Team]],Games[Season],Games[[#This Row],[Season]],Games[Date],"&lt;=" &amp; Games[[#This Row],[Date]])</f>
        <v>1</v>
      </c>
      <c r="D17" s="2" t="s">
        <v>23</v>
      </c>
      <c r="E17" s="2" t="s">
        <v>29</v>
      </c>
      <c r="F17" s="1" t="s">
        <v>64</v>
      </c>
      <c r="G17" s="1" t="s">
        <v>81</v>
      </c>
      <c r="H17" s="1" t="s">
        <v>15</v>
      </c>
      <c r="I17" s="2" cm="1">
        <f t="array" ref="I1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" s="2" cm="1">
        <f t="array" ref="J1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7" s="2">
        <f>Games[[#This Row],[DaysOff]]-Games[[#This Row],[OppDaysOff]]</f>
        <v>1</v>
      </c>
      <c r="L17" s="2">
        <f>Games[[#This Row],[OppDaysOff]]-Games[[#This Row],[DaysOff]]</f>
        <v>-1</v>
      </c>
      <c r="M17" s="1">
        <f>MAX(-16, MIN(16, Games[[#This Row],[RestDiff]]*8))</f>
        <v>8</v>
      </c>
      <c r="N17" s="1">
        <f>MAX(-16, MIN(16, Games[[#This Row],[OppRestDiff]]*8))</f>
        <v>-8</v>
      </c>
      <c r="O17" s="4" cm="1">
        <f t="array" ref="O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1473.9060573208533</v>
      </c>
      <c r="P17" s="4" cm="1">
        <f t="array" ref="P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1459.7646133347005</v>
      </c>
      <c r="Q17" s="4">
        <f>1/(1+10^(((Games[[#This Row],[OppPreGmRate]]+IF(Games[[#This Row],[HomeAway]]="A",HCA,0)+Games[[#This Row],[OppRestAdj]])-(Games[[#This Row],[PreGmRate]]+IF(Games[[#This Row],[HomeAway]]="H",HCA,0)+Games[[#This Row],[RestAdj]]))/400))</f>
        <v>0.65859761864178756</v>
      </c>
      <c r="R17" s="1">
        <v>85</v>
      </c>
      <c r="S17" s="1">
        <v>82</v>
      </c>
      <c r="T17" s="1">
        <v>0</v>
      </c>
      <c r="U17" s="1">
        <f>Games[[#This Row],[PointsFor]]-Games[[#This Row],[PointsAgainst]]</f>
        <v>3</v>
      </c>
      <c r="V17" s="1">
        <f>IF(Games[[#This Row],[MOV]]&gt;0,1,IF(Games[[#This Row],[MOV]]=0,0.5,0))</f>
        <v>1</v>
      </c>
      <c r="W17" s="4">
        <f>((ABS(Games[[#This Row],[MOV]])+5)^0.6)/(12+0.01*(ABS(Games[[#This Row],[PreGmRate]]-Games[[#This Row],[OppPreGmRate]])))*IF(Games[[#This Row],[OT]]=1,0.9,1)</f>
        <v>0.2868036727048921</v>
      </c>
      <c r="X17" s="7" cm="1">
        <f t="array" ref="X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" s="9">
        <f>MAX(kmin, kmax - 0.15 * MIN(Games[[#This Row],[GamesPlayed]], 82))</f>
        <v>75.849999999999994</v>
      </c>
      <c r="Z17" s="4">
        <f>Games[[#This Row],[K]]*Games[[#This Row],[POMult]]</f>
        <v>75.849999999999994</v>
      </c>
      <c r="AA17" s="4">
        <f>(Games[[#This Row],[Keff]]*Games[[#This Row],[MOVMult]])*(Games[[#This Row],[Result]]-Games[[#This Row],[ExpectedWin%]])</f>
        <v>7.4268874015970354</v>
      </c>
      <c r="AB17" s="4">
        <f>Games[[#This Row],[PreGmRate]]+Games[[#This Row],[RatingChange]]</f>
        <v>1481.3329447224503</v>
      </c>
      <c r="AC17" s="2">
        <f>IF(Games[[#This Row],[Type]]="R",IF(Games[[#This Row],[Result]]&gt;0.5,1,0),0)</f>
        <v>1</v>
      </c>
      <c r="AD17" s="2">
        <f>IF(Games[[#This Row],[Type]]="R",IF(Games[[#This Row],[Result]]&lt;0.5,1,0),0)</f>
        <v>0</v>
      </c>
      <c r="AE17" s="2">
        <f>IF(AND(Games[[#This Row],[Type]]="P",Games[[#This Row],[Round]]=1),IF(Games[[#This Row],[Result]]&gt;0.5,1,0),0)</f>
        <v>0</v>
      </c>
      <c r="AF17" s="2">
        <f>IF(AND(Games[[#This Row],[Type]]="P",Games[[#This Row],[Round]]=1),IF(Games[[#This Row],[Result]]&lt;0.5,1,0),0)</f>
        <v>0</v>
      </c>
      <c r="AG17" s="2">
        <f>IF(AND(Games[[#This Row],[Type]]="P",Games[[#This Row],[Round]]=2),IF(Games[[#This Row],[Result]]&gt;0.5,1,0),0)</f>
        <v>0</v>
      </c>
      <c r="AH17" s="2">
        <f>IF(AND(Games[[#This Row],[Type]]="P",Games[[#This Row],[Round]]=2),IF(Games[[#This Row],[Result]]&lt;0.5,1,0),0)</f>
        <v>0</v>
      </c>
      <c r="AI17" s="2">
        <f>IF(AND(Games[[#This Row],[Type]]="P",Games[[#This Row],[Round]]=3),IF(Games[[#This Row],[Result]]&gt;0.5,1,0),0)</f>
        <v>0</v>
      </c>
      <c r="AJ17" s="2">
        <f>IF(AND(Games[[#This Row],[Type]]="P",Games[[#This Row],[Round]]=3),IF(Games[[#This Row],[Result]]&lt;0.5,1,0),0)</f>
        <v>0</v>
      </c>
      <c r="AK17" s="2">
        <f>IF(AND(Games[[#This Row],[Type]]="P",Games[[#This Row],[Round]]=4),IF(Games[[#This Row],[Result]]&gt;0.5,1,0),0)</f>
        <v>0</v>
      </c>
      <c r="AL17" s="2">
        <f>IF(AND(Games[[#This Row],[Type]]="P",Games[[#This Row],[Round]]=4),IF(Games[[#This Row],[Result]]&lt;0.5,1,0),0)</f>
        <v>0</v>
      </c>
    </row>
    <row r="18" spans="1:38" x14ac:dyDescent="0.35">
      <c r="A18" s="10">
        <v>40314</v>
      </c>
      <c r="B18" s="2">
        <v>2010</v>
      </c>
      <c r="C18" s="2">
        <f>COUNTIFS(Games[Team],Games[[#This Row],[Team]],Games[Season],Games[[#This Row],[Season]],Games[Date],"&lt;=" &amp; Games[[#This Row],[Date]])</f>
        <v>2</v>
      </c>
      <c r="D18" s="2" t="s">
        <v>23</v>
      </c>
      <c r="E18" s="2" t="s">
        <v>29</v>
      </c>
      <c r="F18" s="1" t="s">
        <v>67</v>
      </c>
      <c r="G18" s="1" t="s">
        <v>75</v>
      </c>
      <c r="H18" s="1" t="s">
        <v>16</v>
      </c>
      <c r="I18" s="2" cm="1">
        <f t="array" ref="I18">IFERROR(
    Games[[#This Row],[Date]]
    - LOOKUP(
        2,
        1/((Games[Team]=Games[[#This Row],[Team]]) * (Games[Date] &lt; Games[[#This Row],[Date]])),
        Games[Date]
    )
    - 1,
Games[[#This Row],[Date]]-$A$2)</f>
        <v>0</v>
      </c>
      <c r="J18" s="2" cm="1">
        <f t="array" ref="J1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" s="2">
        <f>Games[[#This Row],[DaysOff]]-Games[[#This Row],[OppDaysOff]]</f>
        <v>-1</v>
      </c>
      <c r="L18" s="2">
        <f>Games[[#This Row],[OppDaysOff]]-Games[[#This Row],[DaysOff]]</f>
        <v>1</v>
      </c>
      <c r="M18" s="1">
        <f>MAX(-16, MIN(16, Games[[#This Row],[RestDiff]]*8))</f>
        <v>-8</v>
      </c>
      <c r="N18" s="1">
        <f>MAX(-16, MIN(16, Games[[#This Row],[OppRestDiff]]*8))</f>
        <v>8</v>
      </c>
      <c r="O18" s="4" cm="1">
        <f t="array" ref="O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1528.7361227692845</v>
      </c>
      <c r="P18" s="4" cm="1">
        <f t="array" ref="P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1516.4123991949723</v>
      </c>
      <c r="Q18" s="4">
        <f>1/(1+10^(((Games[[#This Row],[OppPreGmRate]]+IF(Games[[#This Row],[HomeAway]]="A",HCA,0)+Games[[#This Row],[OppRestAdj]])-(Games[[#This Row],[PreGmRate]]+IF(Games[[#This Row],[HomeAway]]="H",HCA,0)+Games[[#This Row],[RestAdj]]))/400))</f>
        <v>0.37643556395389344</v>
      </c>
      <c r="R18" s="1">
        <v>67</v>
      </c>
      <c r="S18" s="1">
        <v>81</v>
      </c>
      <c r="T18" s="1">
        <v>0</v>
      </c>
      <c r="U18" s="1">
        <f>Games[[#This Row],[PointsFor]]-Games[[#This Row],[PointsAgainst]]</f>
        <v>-14</v>
      </c>
      <c r="V18" s="1">
        <f>IF(Games[[#This Row],[MOV]]&gt;0,1,IF(Games[[#This Row],[MOV]]=0,0.5,0))</f>
        <v>0</v>
      </c>
      <c r="W18" s="4">
        <f>((ABS(Games[[#This Row],[MOV]])+5)^0.6)/(12+0.01*(ABS(Games[[#This Row],[PreGmRate]]-Games[[#This Row],[OppPreGmRate]])))*IF(Games[[#This Row],[OT]]=1,0.9,1)</f>
        <v>0.48265138499127508</v>
      </c>
      <c r="X18" s="7" cm="1">
        <f t="array" ref="X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" s="9">
        <f>MAX(kmin, kmax - 0.15 * MIN(Games[[#This Row],[GamesPlayed]], 82))</f>
        <v>75.7</v>
      </c>
      <c r="Z18" s="4">
        <f>Games[[#This Row],[K]]*Games[[#This Row],[POMult]]</f>
        <v>75.7</v>
      </c>
      <c r="AA18" s="4">
        <f>(Games[[#This Row],[Keff]]*Games[[#This Row],[MOVMult]])*(Games[[#This Row],[Result]]-Games[[#This Row],[ExpectedWin%]])</f>
        <v>-13.753716975085501</v>
      </c>
      <c r="AB18" s="4">
        <f>Games[[#This Row],[PreGmRate]]+Games[[#This Row],[RatingChange]]</f>
        <v>1514.9824057941989</v>
      </c>
      <c r="AC18" s="2">
        <f>IF(Games[[#This Row],[Type]]="R",IF(Games[[#This Row],[Result]]&gt;0.5,1,0),0)</f>
        <v>0</v>
      </c>
      <c r="AD18" s="2">
        <f>IF(Games[[#This Row],[Type]]="R",IF(Games[[#This Row],[Result]]&lt;0.5,1,0),0)</f>
        <v>1</v>
      </c>
      <c r="AE18" s="2">
        <f>IF(AND(Games[[#This Row],[Type]]="P",Games[[#This Row],[Round]]=1),IF(Games[[#This Row],[Result]]&gt;0.5,1,0),0)</f>
        <v>0</v>
      </c>
      <c r="AF18" s="2">
        <f>IF(AND(Games[[#This Row],[Type]]="P",Games[[#This Row],[Round]]=1),IF(Games[[#This Row],[Result]]&lt;0.5,1,0),0)</f>
        <v>0</v>
      </c>
      <c r="AG18" s="2">
        <f>IF(AND(Games[[#This Row],[Type]]="P",Games[[#This Row],[Round]]=2),IF(Games[[#This Row],[Result]]&gt;0.5,1,0),0)</f>
        <v>0</v>
      </c>
      <c r="AH18" s="2">
        <f>IF(AND(Games[[#This Row],[Type]]="P",Games[[#This Row],[Round]]=2),IF(Games[[#This Row],[Result]]&lt;0.5,1,0),0)</f>
        <v>0</v>
      </c>
      <c r="AI18" s="2">
        <f>IF(AND(Games[[#This Row],[Type]]="P",Games[[#This Row],[Round]]=3),IF(Games[[#This Row],[Result]]&gt;0.5,1,0),0)</f>
        <v>0</v>
      </c>
      <c r="AJ18" s="2">
        <f>IF(AND(Games[[#This Row],[Type]]="P",Games[[#This Row],[Round]]=3),IF(Games[[#This Row],[Result]]&lt;0.5,1,0),0)</f>
        <v>0</v>
      </c>
      <c r="AK18" s="2">
        <f>IF(AND(Games[[#This Row],[Type]]="P",Games[[#This Row],[Round]]=4),IF(Games[[#This Row],[Result]]&gt;0.5,1,0),0)</f>
        <v>0</v>
      </c>
      <c r="AL18" s="2">
        <f>IF(AND(Games[[#This Row],[Type]]="P",Games[[#This Row],[Round]]=4),IF(Games[[#This Row],[Result]]&lt;0.5,1,0),0)</f>
        <v>0</v>
      </c>
    </row>
    <row r="19" spans="1:38" x14ac:dyDescent="0.35">
      <c r="A19" s="10">
        <v>40314</v>
      </c>
      <c r="B19" s="2">
        <v>2010</v>
      </c>
      <c r="C19" s="2">
        <f>COUNTIFS(Games[Team],Games[[#This Row],[Team]],Games[Season],Games[[#This Row],[Season]],Games[Date],"&lt;=" &amp; Games[[#This Row],[Date]])</f>
        <v>1</v>
      </c>
      <c r="D19" s="2" t="s">
        <v>23</v>
      </c>
      <c r="E19" s="2" t="s">
        <v>29</v>
      </c>
      <c r="F19" s="1" t="s">
        <v>75</v>
      </c>
      <c r="G19" s="1" t="s">
        <v>67</v>
      </c>
      <c r="H19" s="1" t="s">
        <v>15</v>
      </c>
      <c r="I19" s="2" cm="1">
        <f t="array" ref="I1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" s="2" cm="1">
        <f t="array" ref="J1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9" s="2">
        <f>Games[[#This Row],[DaysOff]]-Games[[#This Row],[OppDaysOff]]</f>
        <v>1</v>
      </c>
      <c r="L19" s="2">
        <f>Games[[#This Row],[OppDaysOff]]-Games[[#This Row],[DaysOff]]</f>
        <v>-1</v>
      </c>
      <c r="M19" s="1">
        <f>MAX(-16, MIN(16, Games[[#This Row],[RestDiff]]*8))</f>
        <v>8</v>
      </c>
      <c r="N19" s="1">
        <f>MAX(-16, MIN(16, Games[[#This Row],[OppRestDiff]]*8))</f>
        <v>-8</v>
      </c>
      <c r="O19" s="4" cm="1">
        <f t="array" ref="O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1516.4123991949723</v>
      </c>
      <c r="P19" s="4" cm="1">
        <f t="array" ref="P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1528.7361227692845</v>
      </c>
      <c r="Q19" s="4">
        <f>1/(1+10^(((Games[[#This Row],[OppPreGmRate]]+IF(Games[[#This Row],[HomeAway]]="A",HCA,0)+Games[[#This Row],[OppRestAdj]])-(Games[[#This Row],[PreGmRate]]+IF(Games[[#This Row],[HomeAway]]="H",HCA,0)+Games[[#This Row],[RestAdj]]))/400))</f>
        <v>0.62356443604610656</v>
      </c>
      <c r="R19" s="1">
        <v>81</v>
      </c>
      <c r="S19" s="1">
        <v>67</v>
      </c>
      <c r="T19" s="1">
        <v>0</v>
      </c>
      <c r="U19" s="1">
        <f>Games[[#This Row],[PointsFor]]-Games[[#This Row],[PointsAgainst]]</f>
        <v>14</v>
      </c>
      <c r="V19" s="1">
        <f>IF(Games[[#This Row],[MOV]]&gt;0,1,IF(Games[[#This Row],[MOV]]=0,0.5,0))</f>
        <v>1</v>
      </c>
      <c r="W19" s="4">
        <f>((ABS(Games[[#This Row],[MOV]])+5)^0.6)/(12+0.01*(ABS(Games[[#This Row],[PreGmRate]]-Games[[#This Row],[OppPreGmRate]])))*IF(Games[[#This Row],[OT]]=1,0.9,1)</f>
        <v>0.48265138499127508</v>
      </c>
      <c r="X19" s="7" cm="1">
        <f t="array" ref="X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" s="9">
        <f>MAX(kmin, kmax - 0.15 * MIN(Games[[#This Row],[GamesPlayed]], 82))</f>
        <v>75.849999999999994</v>
      </c>
      <c r="Z19" s="4">
        <f>Games[[#This Row],[K]]*Games[[#This Row],[POMult]]</f>
        <v>75.849999999999994</v>
      </c>
      <c r="AA19" s="4">
        <f>(Games[[#This Row],[Keff]]*Games[[#This Row],[MOVMult]])*(Games[[#This Row],[Result]]-Games[[#This Row],[ExpectedWin%]])</f>
        <v>13.780970047030847</v>
      </c>
      <c r="AB19" s="4">
        <f>Games[[#This Row],[PreGmRate]]+Games[[#This Row],[RatingChange]]</f>
        <v>1530.1933692420032</v>
      </c>
      <c r="AC19" s="2">
        <f>IF(Games[[#This Row],[Type]]="R",IF(Games[[#This Row],[Result]]&gt;0.5,1,0),0)</f>
        <v>1</v>
      </c>
      <c r="AD19" s="2">
        <f>IF(Games[[#This Row],[Type]]="R",IF(Games[[#This Row],[Result]]&lt;0.5,1,0),0)</f>
        <v>0</v>
      </c>
      <c r="AE19" s="2">
        <f>IF(AND(Games[[#This Row],[Type]]="P",Games[[#This Row],[Round]]=1),IF(Games[[#This Row],[Result]]&gt;0.5,1,0),0)</f>
        <v>0</v>
      </c>
      <c r="AF19" s="2">
        <f>IF(AND(Games[[#This Row],[Type]]="P",Games[[#This Row],[Round]]=1),IF(Games[[#This Row],[Result]]&lt;0.5,1,0),0)</f>
        <v>0</v>
      </c>
      <c r="AG19" s="2">
        <f>IF(AND(Games[[#This Row],[Type]]="P",Games[[#This Row],[Round]]=2),IF(Games[[#This Row],[Result]]&gt;0.5,1,0),0)</f>
        <v>0</v>
      </c>
      <c r="AH19" s="2">
        <f>IF(AND(Games[[#This Row],[Type]]="P",Games[[#This Row],[Round]]=2),IF(Games[[#This Row],[Result]]&lt;0.5,1,0),0)</f>
        <v>0</v>
      </c>
      <c r="AI19" s="2">
        <f>IF(AND(Games[[#This Row],[Type]]="P",Games[[#This Row],[Round]]=3),IF(Games[[#This Row],[Result]]&gt;0.5,1,0),0)</f>
        <v>0</v>
      </c>
      <c r="AJ19" s="2">
        <f>IF(AND(Games[[#This Row],[Type]]="P",Games[[#This Row],[Round]]=3),IF(Games[[#This Row],[Result]]&lt;0.5,1,0),0)</f>
        <v>0</v>
      </c>
      <c r="AK19" s="2">
        <f>IF(AND(Games[[#This Row],[Type]]="P",Games[[#This Row],[Round]]=4),IF(Games[[#This Row],[Result]]&gt;0.5,1,0),0)</f>
        <v>0</v>
      </c>
      <c r="AL19" s="2">
        <f>IF(AND(Games[[#This Row],[Type]]="P",Games[[#This Row],[Round]]=4),IF(Games[[#This Row],[Result]]&lt;0.5,1,0),0)</f>
        <v>0</v>
      </c>
    </row>
    <row r="20" spans="1:38" x14ac:dyDescent="0.35">
      <c r="A20" s="10">
        <v>40317</v>
      </c>
      <c r="B20" s="2">
        <v>2010</v>
      </c>
      <c r="C20" s="2">
        <f>COUNTIFS(Games[Team],Games[[#This Row],[Team]],Games[Season],Games[[#This Row],[Season]],Games[Date],"&lt;=" &amp; Games[[#This Row],[Date]])</f>
        <v>3</v>
      </c>
      <c r="D20" s="2" t="s">
        <v>23</v>
      </c>
      <c r="E20" s="2" t="s">
        <v>29</v>
      </c>
      <c r="F20" s="1" t="s">
        <v>71</v>
      </c>
      <c r="G20" s="1" t="s">
        <v>75</v>
      </c>
      <c r="H20" s="1" t="s">
        <v>16</v>
      </c>
      <c r="I20" s="2" cm="1">
        <f t="array" ref="I20">IFERROR(
    Games[[#This Row],[Date]]
    - LOOKUP(
        2,
        1/((Games[Team]=Games[[#This Row],[Team]]) * (Games[Date] &lt; Games[[#This Row],[Date]])),
        Games[Date]
    )
    - 1,
Games[[#This Row],[Date]]-$A$2)</f>
        <v>2</v>
      </c>
      <c r="J20" s="2" cm="1">
        <f t="array" ref="J2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0" s="2">
        <f>Games[[#This Row],[DaysOff]]-Games[[#This Row],[OppDaysOff]]</f>
        <v>0</v>
      </c>
      <c r="L20" s="2">
        <f>Games[[#This Row],[OppDaysOff]]-Games[[#This Row],[DaysOff]]</f>
        <v>0</v>
      </c>
      <c r="M20" s="1">
        <f>MAX(-16, MIN(16, Games[[#This Row],[RestDiff]]*8))</f>
        <v>0</v>
      </c>
      <c r="N20" s="1">
        <f>MAX(-16, MIN(16, Games[[#This Row],[OppRestDiff]]*8))</f>
        <v>0</v>
      </c>
      <c r="O20" s="4" cm="1">
        <f t="array" ref="O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1455.3379298656084</v>
      </c>
      <c r="P20" s="4" cm="1">
        <f t="array" ref="P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1530.1933692420032</v>
      </c>
      <c r="Q20" s="4">
        <f>1/(1+10^(((Games[[#This Row],[OppPreGmRate]]+IF(Games[[#This Row],[HomeAway]]="A",HCA,0)+Games[[#This Row],[OppRestAdj]])-(Games[[#This Row],[PreGmRate]]+IF(Games[[#This Row],[HomeAway]]="H",HCA,0)+Games[[#This Row],[RestAdj]]))/400))</f>
        <v>0.28609102953045129</v>
      </c>
      <c r="R20" s="1">
        <v>76</v>
      </c>
      <c r="S20" s="1">
        <v>79</v>
      </c>
      <c r="T20" s="1">
        <v>0</v>
      </c>
      <c r="U20" s="1">
        <f>Games[[#This Row],[PointsFor]]-Games[[#This Row],[PointsAgainst]]</f>
        <v>-3</v>
      </c>
      <c r="V20" s="1">
        <f>IF(Games[[#This Row],[MOV]]&gt;0,1,IF(Games[[#This Row],[MOV]]=0,0.5,0))</f>
        <v>0</v>
      </c>
      <c r="W20" s="4">
        <f>((ABS(Games[[#This Row],[MOV]])+5)^0.6)/(12+0.01*(ABS(Games[[#This Row],[PreGmRate]]-Games[[#This Row],[OppPreGmRate]])))*IF(Games[[#This Row],[OT]]=1,0.9,1)</f>
        <v>0.27314487161680401</v>
      </c>
      <c r="X20" s="7" cm="1">
        <f t="array" ref="X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" s="9">
        <f>MAX(kmin, kmax - 0.15 * MIN(Games[[#This Row],[GamesPlayed]], 82))</f>
        <v>75.55</v>
      </c>
      <c r="Z20" s="4">
        <f>Games[[#This Row],[K]]*Games[[#This Row],[POMult]]</f>
        <v>75.55</v>
      </c>
      <c r="AA20" s="4">
        <f>(Games[[#This Row],[Keff]]*Games[[#This Row],[MOVMult]])*(Games[[#This Row],[Result]]-Games[[#This Row],[ExpectedWin%]])</f>
        <v>-5.9038016785285778</v>
      </c>
      <c r="AB20" s="4">
        <f>Games[[#This Row],[PreGmRate]]+Games[[#This Row],[RatingChange]]</f>
        <v>1449.4341281870798</v>
      </c>
      <c r="AC20" s="2">
        <f>IF(Games[[#This Row],[Type]]="R",IF(Games[[#This Row],[Result]]&gt;0.5,1,0),0)</f>
        <v>0</v>
      </c>
      <c r="AD20" s="2">
        <f>IF(Games[[#This Row],[Type]]="R",IF(Games[[#This Row],[Result]]&lt;0.5,1,0),0)</f>
        <v>1</v>
      </c>
      <c r="AE20" s="2">
        <f>IF(AND(Games[[#This Row],[Type]]="P",Games[[#This Row],[Round]]=1),IF(Games[[#This Row],[Result]]&gt;0.5,1,0),0)</f>
        <v>0</v>
      </c>
      <c r="AF20" s="2">
        <f>IF(AND(Games[[#This Row],[Type]]="P",Games[[#This Row],[Round]]=1),IF(Games[[#This Row],[Result]]&lt;0.5,1,0),0)</f>
        <v>0</v>
      </c>
      <c r="AG20" s="2">
        <f>IF(AND(Games[[#This Row],[Type]]="P",Games[[#This Row],[Round]]=2),IF(Games[[#This Row],[Result]]&gt;0.5,1,0),0)</f>
        <v>0</v>
      </c>
      <c r="AH20" s="2">
        <f>IF(AND(Games[[#This Row],[Type]]="P",Games[[#This Row],[Round]]=2),IF(Games[[#This Row],[Result]]&lt;0.5,1,0),0)</f>
        <v>0</v>
      </c>
      <c r="AI20" s="2">
        <f>IF(AND(Games[[#This Row],[Type]]="P",Games[[#This Row],[Round]]=3),IF(Games[[#This Row],[Result]]&gt;0.5,1,0),0)</f>
        <v>0</v>
      </c>
      <c r="AJ20" s="2">
        <f>IF(AND(Games[[#This Row],[Type]]="P",Games[[#This Row],[Round]]=3),IF(Games[[#This Row],[Result]]&lt;0.5,1,0),0)</f>
        <v>0</v>
      </c>
      <c r="AK20" s="2">
        <f>IF(AND(Games[[#This Row],[Type]]="P",Games[[#This Row],[Round]]=4),IF(Games[[#This Row],[Result]]&gt;0.5,1,0),0)</f>
        <v>0</v>
      </c>
      <c r="AL20" s="2">
        <f>IF(AND(Games[[#This Row],[Type]]="P",Games[[#This Row],[Round]]=4),IF(Games[[#This Row],[Result]]&lt;0.5,1,0),0)</f>
        <v>0</v>
      </c>
    </row>
    <row r="21" spans="1:38" x14ac:dyDescent="0.35">
      <c r="A21" s="10">
        <v>40317</v>
      </c>
      <c r="B21" s="2">
        <v>2010</v>
      </c>
      <c r="C21" s="2">
        <f>COUNTIFS(Games[Team],Games[[#This Row],[Team]],Games[Season],Games[[#This Row],[Season]],Games[Date],"&lt;=" &amp; Games[[#This Row],[Date]])</f>
        <v>2</v>
      </c>
      <c r="D21" s="2" t="s">
        <v>23</v>
      </c>
      <c r="E21" s="2" t="s">
        <v>29</v>
      </c>
      <c r="F21" s="1" t="s">
        <v>75</v>
      </c>
      <c r="G21" s="1" t="s">
        <v>71</v>
      </c>
      <c r="H21" s="1" t="s">
        <v>15</v>
      </c>
      <c r="I21" s="2" cm="1">
        <f t="array" ref="I21">IFERROR(
    Games[[#This Row],[Date]]
    - LOOKUP(
        2,
        1/((Games[Team]=Games[[#This Row],[Team]]) * (Games[Date] &lt; Games[[#This Row],[Date]])),
        Games[Date]
    )
    - 1,
Games[[#This Row],[Date]]-$A$2)</f>
        <v>2</v>
      </c>
      <c r="J21" s="2" cm="1">
        <f t="array" ref="J2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1" s="2">
        <f>Games[[#This Row],[DaysOff]]-Games[[#This Row],[OppDaysOff]]</f>
        <v>0</v>
      </c>
      <c r="L21" s="2">
        <f>Games[[#This Row],[OppDaysOff]]-Games[[#This Row],[DaysOff]]</f>
        <v>0</v>
      </c>
      <c r="M21" s="1">
        <f>MAX(-16, MIN(16, Games[[#This Row],[RestDiff]]*8))</f>
        <v>0</v>
      </c>
      <c r="N21" s="1">
        <f>MAX(-16, MIN(16, Games[[#This Row],[OppRestDiff]]*8))</f>
        <v>0</v>
      </c>
      <c r="O21" s="4" cm="1">
        <f t="array" ref="O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1530.1933692420032</v>
      </c>
      <c r="P21" s="4" cm="1">
        <f t="array" ref="P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1455.3379298656084</v>
      </c>
      <c r="Q21" s="4">
        <f>1/(1+10^(((Games[[#This Row],[OppPreGmRate]]+IF(Games[[#This Row],[HomeAway]]="A",HCA,0)+Games[[#This Row],[OppRestAdj]])-(Games[[#This Row],[PreGmRate]]+IF(Games[[#This Row],[HomeAway]]="H",HCA,0)+Games[[#This Row],[RestAdj]]))/400))</f>
        <v>0.71390897046954871</v>
      </c>
      <c r="R21" s="1">
        <v>79</v>
      </c>
      <c r="S21" s="1">
        <v>76</v>
      </c>
      <c r="T21" s="1">
        <v>0</v>
      </c>
      <c r="U21" s="1">
        <f>Games[[#This Row],[PointsFor]]-Games[[#This Row],[PointsAgainst]]</f>
        <v>3</v>
      </c>
      <c r="V21" s="1">
        <f>IF(Games[[#This Row],[MOV]]&gt;0,1,IF(Games[[#This Row],[MOV]]=0,0.5,0))</f>
        <v>1</v>
      </c>
      <c r="W21" s="4">
        <f>((ABS(Games[[#This Row],[MOV]])+5)^0.6)/(12+0.01*(ABS(Games[[#This Row],[PreGmRate]]-Games[[#This Row],[OppPreGmRate]])))*IF(Games[[#This Row],[OT]]=1,0.9,1)</f>
        <v>0.27314487161680401</v>
      </c>
      <c r="X21" s="7" cm="1">
        <f t="array" ref="X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" s="9">
        <f>MAX(kmin, kmax - 0.15 * MIN(Games[[#This Row],[GamesPlayed]], 82))</f>
        <v>75.7</v>
      </c>
      <c r="Z21" s="4">
        <f>Games[[#This Row],[K]]*Games[[#This Row],[POMult]]</f>
        <v>75.7</v>
      </c>
      <c r="AA21" s="4">
        <f>(Games[[#This Row],[Keff]]*Games[[#This Row],[MOVMult]])*(Games[[#This Row],[Result]]-Games[[#This Row],[ExpectedWin%]])</f>
        <v>5.9155233231583502</v>
      </c>
      <c r="AB21" s="4">
        <f>Games[[#This Row],[PreGmRate]]+Games[[#This Row],[RatingChange]]</f>
        <v>1536.1088925651616</v>
      </c>
      <c r="AC21" s="2">
        <f>IF(Games[[#This Row],[Type]]="R",IF(Games[[#This Row],[Result]]&gt;0.5,1,0),0)</f>
        <v>1</v>
      </c>
      <c r="AD21" s="2">
        <f>IF(Games[[#This Row],[Type]]="R",IF(Games[[#This Row],[Result]]&lt;0.5,1,0),0)</f>
        <v>0</v>
      </c>
      <c r="AE21" s="2">
        <f>IF(AND(Games[[#This Row],[Type]]="P",Games[[#This Row],[Round]]=1),IF(Games[[#This Row],[Result]]&gt;0.5,1,0),0)</f>
        <v>0</v>
      </c>
      <c r="AF21" s="2">
        <f>IF(AND(Games[[#This Row],[Type]]="P",Games[[#This Row],[Round]]=1),IF(Games[[#This Row],[Result]]&lt;0.5,1,0),0)</f>
        <v>0</v>
      </c>
      <c r="AG21" s="2">
        <f>IF(AND(Games[[#This Row],[Type]]="P",Games[[#This Row],[Round]]=2),IF(Games[[#This Row],[Result]]&gt;0.5,1,0),0)</f>
        <v>0</v>
      </c>
      <c r="AH21" s="2">
        <f>IF(AND(Games[[#This Row],[Type]]="P",Games[[#This Row],[Round]]=2),IF(Games[[#This Row],[Result]]&lt;0.5,1,0),0)</f>
        <v>0</v>
      </c>
      <c r="AI21" s="2">
        <f>IF(AND(Games[[#This Row],[Type]]="P",Games[[#This Row],[Round]]=3),IF(Games[[#This Row],[Result]]&gt;0.5,1,0),0)</f>
        <v>0</v>
      </c>
      <c r="AJ21" s="2">
        <f>IF(AND(Games[[#This Row],[Type]]="P",Games[[#This Row],[Round]]=3),IF(Games[[#This Row],[Result]]&lt;0.5,1,0),0)</f>
        <v>0</v>
      </c>
      <c r="AK21" s="2">
        <f>IF(AND(Games[[#This Row],[Type]]="P",Games[[#This Row],[Round]]=4),IF(Games[[#This Row],[Result]]&gt;0.5,1,0),0)</f>
        <v>0</v>
      </c>
      <c r="AL21" s="2">
        <f>IF(AND(Games[[#This Row],[Type]]="P",Games[[#This Row],[Round]]=4),IF(Games[[#This Row],[Result]]&lt;0.5,1,0),0)</f>
        <v>0</v>
      </c>
    </row>
    <row r="22" spans="1:38" x14ac:dyDescent="0.35">
      <c r="A22" s="10">
        <v>40318</v>
      </c>
      <c r="B22" s="2">
        <v>2010</v>
      </c>
      <c r="C22" s="2">
        <f>COUNTIFS(Games[Team],Games[[#This Row],[Team]],Games[Season],Games[[#This Row],[Season]],Games[Date],"&lt;=" &amp; Games[[#This Row],[Date]])</f>
        <v>2</v>
      </c>
      <c r="D22" s="2" t="s">
        <v>23</v>
      </c>
      <c r="E22" s="2" t="s">
        <v>29</v>
      </c>
      <c r="F22" s="1" t="s">
        <v>78</v>
      </c>
      <c r="G22" s="1" t="s">
        <v>85</v>
      </c>
      <c r="H22" s="1" t="s">
        <v>16</v>
      </c>
      <c r="I22" s="2" cm="1">
        <f t="array" ref="I22">IFERROR(
    Games[[#This Row],[Date]]
    - LOOKUP(
        2,
        1/((Games[Team]=Games[[#This Row],[Team]]) * (Games[Date] &lt; Games[[#This Row],[Date]])),
        Games[Date]
    )
    - 1,
Games[[#This Row],[Date]]-$A$2)</f>
        <v>4</v>
      </c>
      <c r="J22" s="2" cm="1">
        <f t="array" ref="J22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2" s="2">
        <f>Games[[#This Row],[DaysOff]]-Games[[#This Row],[OppDaysOff]]</f>
        <v>0</v>
      </c>
      <c r="L22" s="2">
        <f>Games[[#This Row],[OppDaysOff]]-Games[[#This Row],[DaysOff]]</f>
        <v>0</v>
      </c>
      <c r="M22" s="1">
        <f>MAX(-16, MIN(16, Games[[#This Row],[RestDiff]]*8))</f>
        <v>0</v>
      </c>
      <c r="N22" s="1">
        <f>MAX(-16, MIN(16, Games[[#This Row],[OppRestDiff]]*8))</f>
        <v>0</v>
      </c>
      <c r="O22" s="4" cm="1">
        <f t="array" ref="O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1474.3490350095833</v>
      </c>
      <c r="P22" s="4" cm="1">
        <f t="array" ref="P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1525.2879810539628</v>
      </c>
      <c r="Q22" s="4">
        <f>1/(1+10^(((Games[[#This Row],[OppPreGmRate]]+IF(Games[[#This Row],[HomeAway]]="A",HCA,0)+Games[[#This Row],[OppRestAdj]])-(Games[[#This Row],[PreGmRate]]+IF(Games[[#This Row],[HomeAway]]="H",HCA,0)+Games[[#This Row],[RestAdj]]))/400))</f>
        <v>0.31501622334914042</v>
      </c>
      <c r="R22" s="1">
        <v>83</v>
      </c>
      <c r="S22" s="1">
        <v>74</v>
      </c>
      <c r="T22" s="1">
        <v>0</v>
      </c>
      <c r="U22" s="1">
        <f>Games[[#This Row],[PointsFor]]-Games[[#This Row],[PointsAgainst]]</f>
        <v>9</v>
      </c>
      <c r="V22" s="1">
        <f>IF(Games[[#This Row],[MOV]]&gt;0,1,IF(Games[[#This Row],[MOV]]=0,0.5,0))</f>
        <v>1</v>
      </c>
      <c r="W22" s="4">
        <f>((ABS(Games[[#This Row],[MOV]])+5)^0.6)/(12+0.01*(ABS(Games[[#This Row],[PreGmRate]]-Games[[#This Row],[OppPreGmRate]])))*IF(Games[[#This Row],[OT]]=1,0.9,1)</f>
        <v>0.38944013544159672</v>
      </c>
      <c r="X22" s="7" cm="1">
        <f t="array" ref="X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" s="9">
        <f>MAX(kmin, kmax - 0.15 * MIN(Games[[#This Row],[GamesPlayed]], 82))</f>
        <v>75.7</v>
      </c>
      <c r="Z22" s="4">
        <f>Games[[#This Row],[K]]*Games[[#This Row],[POMult]]</f>
        <v>75.7</v>
      </c>
      <c r="AA22" s="4">
        <f>(Games[[#This Row],[Keff]]*Games[[#This Row],[MOVMult]])*(Games[[#This Row],[Result]]-Games[[#This Row],[ExpectedWin%]])</f>
        <v>20.193745228893484</v>
      </c>
      <c r="AB22" s="4">
        <f>Games[[#This Row],[PreGmRate]]+Games[[#This Row],[RatingChange]]</f>
        <v>1494.5427802384768</v>
      </c>
      <c r="AC22" s="2">
        <f>IF(Games[[#This Row],[Type]]="R",IF(Games[[#This Row],[Result]]&gt;0.5,1,0),0)</f>
        <v>1</v>
      </c>
      <c r="AD22" s="2">
        <f>IF(Games[[#This Row],[Type]]="R",IF(Games[[#This Row],[Result]]&lt;0.5,1,0),0)</f>
        <v>0</v>
      </c>
      <c r="AE22" s="2">
        <f>IF(AND(Games[[#This Row],[Type]]="P",Games[[#This Row],[Round]]=1),IF(Games[[#This Row],[Result]]&gt;0.5,1,0),0)</f>
        <v>0</v>
      </c>
      <c r="AF22" s="2">
        <f>IF(AND(Games[[#This Row],[Type]]="P",Games[[#This Row],[Round]]=1),IF(Games[[#This Row],[Result]]&lt;0.5,1,0),0)</f>
        <v>0</v>
      </c>
      <c r="AG22" s="2">
        <f>IF(AND(Games[[#This Row],[Type]]="P",Games[[#This Row],[Round]]=2),IF(Games[[#This Row],[Result]]&gt;0.5,1,0),0)</f>
        <v>0</v>
      </c>
      <c r="AH22" s="2">
        <f>IF(AND(Games[[#This Row],[Type]]="P",Games[[#This Row],[Round]]=2),IF(Games[[#This Row],[Result]]&lt;0.5,1,0),0)</f>
        <v>0</v>
      </c>
      <c r="AI22" s="2">
        <f>IF(AND(Games[[#This Row],[Type]]="P",Games[[#This Row],[Round]]=3),IF(Games[[#This Row],[Result]]&gt;0.5,1,0),0)</f>
        <v>0</v>
      </c>
      <c r="AJ22" s="2">
        <f>IF(AND(Games[[#This Row],[Type]]="P",Games[[#This Row],[Round]]=3),IF(Games[[#This Row],[Result]]&lt;0.5,1,0),0)</f>
        <v>0</v>
      </c>
      <c r="AK22" s="2">
        <f>IF(AND(Games[[#This Row],[Type]]="P",Games[[#This Row],[Round]]=4),IF(Games[[#This Row],[Result]]&gt;0.5,1,0),0)</f>
        <v>0</v>
      </c>
      <c r="AL22" s="2">
        <f>IF(AND(Games[[#This Row],[Type]]="P",Games[[#This Row],[Round]]=4),IF(Games[[#This Row],[Result]]&lt;0.5,1,0),0)</f>
        <v>0</v>
      </c>
    </row>
    <row r="23" spans="1:38" x14ac:dyDescent="0.35">
      <c r="A23" s="10">
        <v>40318</v>
      </c>
      <c r="B23" s="2">
        <v>2010</v>
      </c>
      <c r="C23" s="2">
        <f>COUNTIFS(Games[Team],Games[[#This Row],[Team]],Games[Season],Games[[#This Row],[Season]],Games[Date],"&lt;=" &amp; Games[[#This Row],[Date]])</f>
        <v>2</v>
      </c>
      <c r="D23" s="2" t="s">
        <v>23</v>
      </c>
      <c r="E23" s="2" t="s">
        <v>29</v>
      </c>
      <c r="F23" s="1" t="s">
        <v>85</v>
      </c>
      <c r="G23" s="1" t="s">
        <v>78</v>
      </c>
      <c r="H23" s="1" t="s">
        <v>15</v>
      </c>
      <c r="I23" s="2" cm="1">
        <f t="array" ref="I23">IFERROR(
    Games[[#This Row],[Date]]
    - LOOKUP(
        2,
        1/((Games[Team]=Games[[#This Row],[Team]]) * (Games[Date] &lt; Games[[#This Row],[Date]])),
        Games[Date]
    )
    - 1,
Games[[#This Row],[Date]]-$A$2)</f>
        <v>4</v>
      </c>
      <c r="J23" s="2" cm="1">
        <f t="array" ref="J23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3" s="2">
        <f>Games[[#This Row],[DaysOff]]-Games[[#This Row],[OppDaysOff]]</f>
        <v>0</v>
      </c>
      <c r="L23" s="2">
        <f>Games[[#This Row],[OppDaysOff]]-Games[[#This Row],[DaysOff]]</f>
        <v>0</v>
      </c>
      <c r="M23" s="1">
        <f>MAX(-16, MIN(16, Games[[#This Row],[RestDiff]]*8))</f>
        <v>0</v>
      </c>
      <c r="N23" s="1">
        <f>MAX(-16, MIN(16, Games[[#This Row],[OppRestDiff]]*8))</f>
        <v>0</v>
      </c>
      <c r="O23" s="4" cm="1">
        <f t="array" ref="O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1525.2879810539628</v>
      </c>
      <c r="P23" s="4" cm="1">
        <f t="array" ref="P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1474.3490350095833</v>
      </c>
      <c r="Q23" s="4">
        <f>1/(1+10^(((Games[[#This Row],[OppPreGmRate]]+IF(Games[[#This Row],[HomeAway]]="A",HCA,0)+Games[[#This Row],[OppRestAdj]])-(Games[[#This Row],[PreGmRate]]+IF(Games[[#This Row],[HomeAway]]="H",HCA,0)+Games[[#This Row],[RestAdj]]))/400))</f>
        <v>0.68498377665085952</v>
      </c>
      <c r="R23" s="1">
        <v>74</v>
      </c>
      <c r="S23" s="1">
        <v>83</v>
      </c>
      <c r="T23" s="1">
        <v>0</v>
      </c>
      <c r="U23" s="1">
        <f>Games[[#This Row],[PointsFor]]-Games[[#This Row],[PointsAgainst]]</f>
        <v>-9</v>
      </c>
      <c r="V23" s="1">
        <f>IF(Games[[#This Row],[MOV]]&gt;0,1,IF(Games[[#This Row],[MOV]]=0,0.5,0))</f>
        <v>0</v>
      </c>
      <c r="W23" s="4">
        <f>((ABS(Games[[#This Row],[MOV]])+5)^0.6)/(12+0.01*(ABS(Games[[#This Row],[PreGmRate]]-Games[[#This Row],[OppPreGmRate]])))*IF(Games[[#This Row],[OT]]=1,0.9,1)</f>
        <v>0.38944013544159672</v>
      </c>
      <c r="X23" s="7" cm="1">
        <f t="array" ref="X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" s="9">
        <f>MAX(kmin, kmax - 0.15 * MIN(Games[[#This Row],[GamesPlayed]], 82))</f>
        <v>75.7</v>
      </c>
      <c r="Z23" s="4">
        <f>Games[[#This Row],[K]]*Games[[#This Row],[POMult]]</f>
        <v>75.7</v>
      </c>
      <c r="AA23" s="4">
        <f>(Games[[#This Row],[Keff]]*Games[[#This Row],[MOVMult]])*(Games[[#This Row],[Result]]-Games[[#This Row],[ExpectedWin%]])</f>
        <v>-20.193745228893484</v>
      </c>
      <c r="AB23" s="4">
        <f>Games[[#This Row],[PreGmRate]]+Games[[#This Row],[RatingChange]]</f>
        <v>1505.0942358250693</v>
      </c>
      <c r="AC23" s="2">
        <f>IF(Games[[#This Row],[Type]]="R",IF(Games[[#This Row],[Result]]&gt;0.5,1,0),0)</f>
        <v>0</v>
      </c>
      <c r="AD23" s="2">
        <f>IF(Games[[#This Row],[Type]]="R",IF(Games[[#This Row],[Result]]&lt;0.5,1,0),0)</f>
        <v>1</v>
      </c>
      <c r="AE23" s="2">
        <f>IF(AND(Games[[#This Row],[Type]]="P",Games[[#This Row],[Round]]=1),IF(Games[[#This Row],[Result]]&gt;0.5,1,0),0)</f>
        <v>0</v>
      </c>
      <c r="AF23" s="2">
        <f>IF(AND(Games[[#This Row],[Type]]="P",Games[[#This Row],[Round]]=1),IF(Games[[#This Row],[Result]]&lt;0.5,1,0),0)</f>
        <v>0</v>
      </c>
      <c r="AG23" s="2">
        <f>IF(AND(Games[[#This Row],[Type]]="P",Games[[#This Row],[Round]]=2),IF(Games[[#This Row],[Result]]&gt;0.5,1,0),0)</f>
        <v>0</v>
      </c>
      <c r="AH23" s="2">
        <f>IF(AND(Games[[#This Row],[Type]]="P",Games[[#This Row],[Round]]=2),IF(Games[[#This Row],[Result]]&lt;0.5,1,0),0)</f>
        <v>0</v>
      </c>
      <c r="AI23" s="2">
        <f>IF(AND(Games[[#This Row],[Type]]="P",Games[[#This Row],[Round]]=3),IF(Games[[#This Row],[Result]]&gt;0.5,1,0),0)</f>
        <v>0</v>
      </c>
      <c r="AJ23" s="2">
        <f>IF(AND(Games[[#This Row],[Type]]="P",Games[[#This Row],[Round]]=3),IF(Games[[#This Row],[Result]]&lt;0.5,1,0),0)</f>
        <v>0</v>
      </c>
      <c r="AK23" s="2">
        <f>IF(AND(Games[[#This Row],[Type]]="P",Games[[#This Row],[Round]]=4),IF(Games[[#This Row],[Result]]&gt;0.5,1,0),0)</f>
        <v>0</v>
      </c>
      <c r="AL23" s="2">
        <f>IF(AND(Games[[#This Row],[Type]]="P",Games[[#This Row],[Round]]=4),IF(Games[[#This Row],[Result]]&lt;0.5,1,0),0)</f>
        <v>0</v>
      </c>
    </row>
    <row r="24" spans="1:38" x14ac:dyDescent="0.35">
      <c r="A24" s="10">
        <v>40319</v>
      </c>
      <c r="B24" s="2">
        <v>2010</v>
      </c>
      <c r="C24" s="2">
        <f>COUNTIFS(Games[Team],Games[[#This Row],[Team]],Games[Season],Games[[#This Row],[Season]],Games[Date],"&lt;=" &amp; Games[[#This Row],[Date]])</f>
        <v>2</v>
      </c>
      <c r="D24" s="2" t="s">
        <v>23</v>
      </c>
      <c r="E24" s="2" t="s">
        <v>29</v>
      </c>
      <c r="F24" s="1" t="s">
        <v>80</v>
      </c>
      <c r="G24" s="1" t="s">
        <v>83</v>
      </c>
      <c r="H24" s="1" t="s">
        <v>16</v>
      </c>
      <c r="I24" s="2" cm="1">
        <f t="array" ref="I24">IFERROR(
    Games[[#This Row],[Date]]
    - LOOKUP(
        2,
        1/((Games[Team]=Games[[#This Row],[Team]]) * (Games[Date] &lt; Games[[#This Row],[Date]])),
        Games[Date]
    )
    - 1,
Games[[#This Row],[Date]]-$A$2)</f>
        <v>5</v>
      </c>
      <c r="J24" s="2" cm="1">
        <f t="array" ref="J24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4" s="2">
        <f>Games[[#This Row],[DaysOff]]-Games[[#This Row],[OppDaysOff]]</f>
        <v>1</v>
      </c>
      <c r="L24" s="2">
        <f>Games[[#This Row],[OppDaysOff]]-Games[[#This Row],[DaysOff]]</f>
        <v>-1</v>
      </c>
      <c r="M24" s="1">
        <f>MAX(-16, MIN(16, Games[[#This Row],[RestDiff]]*8))</f>
        <v>8</v>
      </c>
      <c r="N24" s="1">
        <f>MAX(-16, MIN(16, Games[[#This Row],[OppRestDiff]]*8))</f>
        <v>-8</v>
      </c>
      <c r="O24" s="4" cm="1">
        <f t="array" ref="O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1503.2049442137193</v>
      </c>
      <c r="P24" s="4" cm="1">
        <f t="array" ref="P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1518.0781795176661</v>
      </c>
      <c r="Q24" s="4">
        <f>1/(1+10^(((Games[[#This Row],[OppPreGmRate]]+IF(Games[[#This Row],[HomeAway]]="A",HCA,0)+Games[[#This Row],[OppRestAdj]])-(Games[[#This Row],[PreGmRate]]+IF(Games[[#This Row],[HomeAway]]="H",HCA,0)+Games[[#This Row],[RestAdj]]))/400))</f>
        <v>0.38294738535070272</v>
      </c>
      <c r="R24" s="1">
        <v>82</v>
      </c>
      <c r="S24" s="1">
        <v>97</v>
      </c>
      <c r="T24" s="1">
        <v>0</v>
      </c>
      <c r="U24" s="1">
        <f>Games[[#This Row],[PointsFor]]-Games[[#This Row],[PointsAgainst]]</f>
        <v>-15</v>
      </c>
      <c r="V24" s="1">
        <f>IF(Games[[#This Row],[MOV]]&gt;0,1,IF(Games[[#This Row],[MOV]]=0,0.5,0))</f>
        <v>0</v>
      </c>
      <c r="W24" s="4">
        <f>((ABS(Games[[#This Row],[MOV]])+5)^0.6)/(12+0.01*(ABS(Games[[#This Row],[PreGmRate]]-Games[[#This Row],[OppPreGmRate]])))*IF(Games[[#This Row],[OT]]=1,0.9,1)</f>
        <v>0.49669184909119202</v>
      </c>
      <c r="X24" s="7" cm="1">
        <f t="array" ref="X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" s="9">
        <f>MAX(kmin, kmax - 0.15 * MIN(Games[[#This Row],[GamesPlayed]], 82))</f>
        <v>75.7</v>
      </c>
      <c r="Z24" s="4">
        <f>Games[[#This Row],[K]]*Games[[#This Row],[POMult]]</f>
        <v>75.7</v>
      </c>
      <c r="AA24" s="4">
        <f>(Games[[#This Row],[Keff]]*Games[[#This Row],[MOVMult]])*(Games[[#This Row],[Result]]-Games[[#This Row],[ExpectedWin%]])</f>
        <v>-14.398658161539968</v>
      </c>
      <c r="AB24" s="4">
        <f>Games[[#This Row],[PreGmRate]]+Games[[#This Row],[RatingChange]]</f>
        <v>1488.8062860521793</v>
      </c>
      <c r="AC24" s="2">
        <f>IF(Games[[#This Row],[Type]]="R",IF(Games[[#This Row],[Result]]&gt;0.5,1,0),0)</f>
        <v>0</v>
      </c>
      <c r="AD24" s="2">
        <f>IF(Games[[#This Row],[Type]]="R",IF(Games[[#This Row],[Result]]&lt;0.5,1,0),0)</f>
        <v>1</v>
      </c>
      <c r="AE24" s="2">
        <f>IF(AND(Games[[#This Row],[Type]]="P",Games[[#This Row],[Round]]=1),IF(Games[[#This Row],[Result]]&gt;0.5,1,0),0)</f>
        <v>0</v>
      </c>
      <c r="AF24" s="2">
        <f>IF(AND(Games[[#This Row],[Type]]="P",Games[[#This Row],[Round]]=1),IF(Games[[#This Row],[Result]]&lt;0.5,1,0),0)</f>
        <v>0</v>
      </c>
      <c r="AG24" s="2">
        <f>IF(AND(Games[[#This Row],[Type]]="P",Games[[#This Row],[Round]]=2),IF(Games[[#This Row],[Result]]&gt;0.5,1,0),0)</f>
        <v>0</v>
      </c>
      <c r="AH24" s="2">
        <f>IF(AND(Games[[#This Row],[Type]]="P",Games[[#This Row],[Round]]=2),IF(Games[[#This Row],[Result]]&lt;0.5,1,0),0)</f>
        <v>0</v>
      </c>
      <c r="AI24" s="2">
        <f>IF(AND(Games[[#This Row],[Type]]="P",Games[[#This Row],[Round]]=3),IF(Games[[#This Row],[Result]]&gt;0.5,1,0),0)</f>
        <v>0</v>
      </c>
      <c r="AJ24" s="2">
        <f>IF(AND(Games[[#This Row],[Type]]="P",Games[[#This Row],[Round]]=3),IF(Games[[#This Row],[Result]]&lt;0.5,1,0),0)</f>
        <v>0</v>
      </c>
      <c r="AK24" s="2">
        <f>IF(AND(Games[[#This Row],[Type]]="P",Games[[#This Row],[Round]]=4),IF(Games[[#This Row],[Result]]&gt;0.5,1,0),0)</f>
        <v>0</v>
      </c>
      <c r="AL24" s="2">
        <f>IF(AND(Games[[#This Row],[Type]]="P",Games[[#This Row],[Round]]=4),IF(Games[[#This Row],[Result]]&lt;0.5,1,0),0)</f>
        <v>0</v>
      </c>
    </row>
    <row r="25" spans="1:38" x14ac:dyDescent="0.35">
      <c r="A25" s="10">
        <v>40319</v>
      </c>
      <c r="B25" s="2">
        <v>2010</v>
      </c>
      <c r="C25" s="2">
        <f>COUNTIFS(Games[Team],Games[[#This Row],[Team]],Games[Season],Games[[#This Row],[Season]],Games[Date],"&lt;=" &amp; Games[[#This Row],[Date]])</f>
        <v>3</v>
      </c>
      <c r="D25" s="2" t="s">
        <v>23</v>
      </c>
      <c r="E25" s="2" t="s">
        <v>29</v>
      </c>
      <c r="F25" s="1" t="s">
        <v>83</v>
      </c>
      <c r="G25" s="1" t="s">
        <v>80</v>
      </c>
      <c r="H25" s="1" t="s">
        <v>15</v>
      </c>
      <c r="I25" s="2" cm="1">
        <f t="array" ref="I25">IFERROR(
    Games[[#This Row],[Date]]
    - LOOKUP(
        2,
        1/((Games[Team]=Games[[#This Row],[Team]]) * (Games[Date] &lt; Games[[#This Row],[Date]])),
        Games[Date]
    )
    - 1,
Games[[#This Row],[Date]]-$A$2)</f>
        <v>4</v>
      </c>
      <c r="J25" s="2" cm="1">
        <f t="array" ref="J25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5" s="2">
        <f>Games[[#This Row],[DaysOff]]-Games[[#This Row],[OppDaysOff]]</f>
        <v>-1</v>
      </c>
      <c r="L25" s="2">
        <f>Games[[#This Row],[OppDaysOff]]-Games[[#This Row],[DaysOff]]</f>
        <v>1</v>
      </c>
      <c r="M25" s="1">
        <f>MAX(-16, MIN(16, Games[[#This Row],[RestDiff]]*8))</f>
        <v>-8</v>
      </c>
      <c r="N25" s="1">
        <f>MAX(-16, MIN(16, Games[[#This Row],[OppRestDiff]]*8))</f>
        <v>8</v>
      </c>
      <c r="O25" s="4" cm="1">
        <f t="array" ref="O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1518.0781795176661</v>
      </c>
      <c r="P25" s="4" cm="1">
        <f t="array" ref="P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1503.2049442137193</v>
      </c>
      <c r="Q25" s="4">
        <f>1/(1+10^(((Games[[#This Row],[OppPreGmRate]]+IF(Games[[#This Row],[HomeAway]]="A",HCA,0)+Games[[#This Row],[OppRestAdj]])-(Games[[#This Row],[PreGmRate]]+IF(Games[[#This Row],[HomeAway]]="H",HCA,0)+Games[[#This Row],[RestAdj]]))/400))</f>
        <v>0.61705261464929739</v>
      </c>
      <c r="R25" s="1">
        <v>97</v>
      </c>
      <c r="S25" s="1">
        <v>82</v>
      </c>
      <c r="T25" s="1">
        <v>0</v>
      </c>
      <c r="U25" s="1">
        <f>Games[[#This Row],[PointsFor]]-Games[[#This Row],[PointsAgainst]]</f>
        <v>15</v>
      </c>
      <c r="V25" s="1">
        <f>IF(Games[[#This Row],[MOV]]&gt;0,1,IF(Games[[#This Row],[MOV]]=0,0.5,0))</f>
        <v>1</v>
      </c>
      <c r="W25" s="4">
        <f>((ABS(Games[[#This Row],[MOV]])+5)^0.6)/(12+0.01*(ABS(Games[[#This Row],[PreGmRate]]-Games[[#This Row],[OppPreGmRate]])))*IF(Games[[#This Row],[OT]]=1,0.9,1)</f>
        <v>0.49669184909119202</v>
      </c>
      <c r="X25" s="7" cm="1">
        <f t="array" ref="X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" s="9">
        <f>MAX(kmin, kmax - 0.15 * MIN(Games[[#This Row],[GamesPlayed]], 82))</f>
        <v>75.55</v>
      </c>
      <c r="Z25" s="4">
        <f>Games[[#This Row],[K]]*Games[[#This Row],[POMult]]</f>
        <v>75.55</v>
      </c>
      <c r="AA25" s="4">
        <f>(Games[[#This Row],[Keff]]*Games[[#This Row],[MOVMult]])*(Games[[#This Row],[Result]]-Games[[#This Row],[ExpectedWin%]])</f>
        <v>14.370127134799791</v>
      </c>
      <c r="AB25" s="4">
        <f>Games[[#This Row],[PreGmRate]]+Games[[#This Row],[RatingChange]]</f>
        <v>1532.4483066524658</v>
      </c>
      <c r="AC25" s="2">
        <f>IF(Games[[#This Row],[Type]]="R",IF(Games[[#This Row],[Result]]&gt;0.5,1,0),0)</f>
        <v>1</v>
      </c>
      <c r="AD25" s="2">
        <f>IF(Games[[#This Row],[Type]]="R",IF(Games[[#This Row],[Result]]&lt;0.5,1,0),0)</f>
        <v>0</v>
      </c>
      <c r="AE25" s="2">
        <f>IF(AND(Games[[#This Row],[Type]]="P",Games[[#This Row],[Round]]=1),IF(Games[[#This Row],[Result]]&gt;0.5,1,0),0)</f>
        <v>0</v>
      </c>
      <c r="AF25" s="2">
        <f>IF(AND(Games[[#This Row],[Type]]="P",Games[[#This Row],[Round]]=1),IF(Games[[#This Row],[Result]]&lt;0.5,1,0),0)</f>
        <v>0</v>
      </c>
      <c r="AG25" s="2">
        <f>IF(AND(Games[[#This Row],[Type]]="P",Games[[#This Row],[Round]]=2),IF(Games[[#This Row],[Result]]&gt;0.5,1,0),0)</f>
        <v>0</v>
      </c>
      <c r="AH25" s="2">
        <f>IF(AND(Games[[#This Row],[Type]]="P",Games[[#This Row],[Round]]=2),IF(Games[[#This Row],[Result]]&lt;0.5,1,0),0)</f>
        <v>0</v>
      </c>
      <c r="AI25" s="2">
        <f>IF(AND(Games[[#This Row],[Type]]="P",Games[[#This Row],[Round]]=3),IF(Games[[#This Row],[Result]]&gt;0.5,1,0),0)</f>
        <v>0</v>
      </c>
      <c r="AJ25" s="2">
        <f>IF(AND(Games[[#This Row],[Type]]="P",Games[[#This Row],[Round]]=3),IF(Games[[#This Row],[Result]]&lt;0.5,1,0),0)</f>
        <v>0</v>
      </c>
      <c r="AK25" s="2">
        <f>IF(AND(Games[[#This Row],[Type]]="P",Games[[#This Row],[Round]]=4),IF(Games[[#This Row],[Result]]&gt;0.5,1,0),0)</f>
        <v>0</v>
      </c>
      <c r="AL25" s="2">
        <f>IF(AND(Games[[#This Row],[Type]]="P",Games[[#This Row],[Round]]=4),IF(Games[[#This Row],[Result]]&lt;0.5,1,0),0)</f>
        <v>0</v>
      </c>
    </row>
    <row r="26" spans="1:38" x14ac:dyDescent="0.35">
      <c r="A26" s="10">
        <v>40319</v>
      </c>
      <c r="B26" s="2">
        <v>2010</v>
      </c>
      <c r="C26" s="2">
        <f>COUNTIFS(Games[Team],Games[[#This Row],[Team]],Games[Season],Games[[#This Row],[Season]],Games[Date],"&lt;=" &amp; Games[[#This Row],[Date]])</f>
        <v>2</v>
      </c>
      <c r="D26" s="2" t="s">
        <v>23</v>
      </c>
      <c r="E26" s="2" t="s">
        <v>29</v>
      </c>
      <c r="F26" s="1" t="s">
        <v>64</v>
      </c>
      <c r="G26" s="1" t="s">
        <v>69</v>
      </c>
      <c r="H26" s="1" t="s">
        <v>16</v>
      </c>
      <c r="I26" s="2" cm="1">
        <f t="array" ref="I26">IFERROR(
    Games[[#This Row],[Date]]
    - LOOKUP(
        2,
        1/((Games[Team]=Games[[#This Row],[Team]]) * (Games[Date] &lt; Games[[#This Row],[Date]])),
        Games[Date]
    )
    - 1,
Games[[#This Row],[Date]]-$A$2)</f>
        <v>4</v>
      </c>
      <c r="J26" s="2" cm="1">
        <f t="array" ref="J26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6" s="2">
        <f>Games[[#This Row],[DaysOff]]-Games[[#This Row],[OppDaysOff]]</f>
        <v>0</v>
      </c>
      <c r="L26" s="2">
        <f>Games[[#This Row],[OppDaysOff]]-Games[[#This Row],[DaysOff]]</f>
        <v>0</v>
      </c>
      <c r="M26" s="1">
        <f>MAX(-16, MIN(16, Games[[#This Row],[RestDiff]]*8))</f>
        <v>0</v>
      </c>
      <c r="N26" s="1">
        <f>MAX(-16, MIN(16, Games[[#This Row],[OppRestDiff]]*8))</f>
        <v>0</v>
      </c>
      <c r="O26" s="4" cm="1">
        <f t="array" ref="O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1481.3329447224503</v>
      </c>
      <c r="P26" s="4" cm="1">
        <f t="array" ref="P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1500.7378221314548</v>
      </c>
      <c r="Q26" s="4">
        <f>1/(1+10^(((Games[[#This Row],[OppPreGmRate]]+IF(Games[[#This Row],[HomeAway]]="A",HCA,0)+Games[[#This Row],[OppRestAdj]])-(Games[[#This Row],[PreGmRate]]+IF(Games[[#This Row],[HomeAway]]="H",HCA,0)+Games[[#This Row],[RestAdj]]))/400))</f>
        <v>0.35543201162405547</v>
      </c>
      <c r="R26" s="1">
        <v>61</v>
      </c>
      <c r="S26" s="1">
        <v>77</v>
      </c>
      <c r="T26" s="1">
        <v>0</v>
      </c>
      <c r="U26" s="1">
        <f>Games[[#This Row],[PointsFor]]-Games[[#This Row],[PointsAgainst]]</f>
        <v>-16</v>
      </c>
      <c r="V26" s="1">
        <f>IF(Games[[#This Row],[MOV]]&gt;0,1,IF(Games[[#This Row],[MOV]]=0,0.5,0))</f>
        <v>0</v>
      </c>
      <c r="W26" s="4">
        <f>((ABS(Games[[#This Row],[MOV]])+5)^0.6)/(12+0.01*(ABS(Games[[#This Row],[PreGmRate]]-Games[[#This Row],[OppPreGmRate]])))*IF(Games[[#This Row],[OT]]=1,0.9,1)</f>
        <v>0.5095462961049545</v>
      </c>
      <c r="X26" s="7" cm="1">
        <f t="array" ref="X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" s="9">
        <f>MAX(kmin, kmax - 0.15 * MIN(Games[[#This Row],[GamesPlayed]], 82))</f>
        <v>75.7</v>
      </c>
      <c r="Z26" s="4">
        <f>Games[[#This Row],[K]]*Games[[#This Row],[POMult]]</f>
        <v>75.7</v>
      </c>
      <c r="AA26" s="4">
        <f>(Games[[#This Row],[Keff]]*Games[[#This Row],[MOVMult]])*(Games[[#This Row],[Result]]-Games[[#This Row],[ExpectedWin%]])</f>
        <v>-13.709956223540914</v>
      </c>
      <c r="AB26" s="4">
        <f>Games[[#This Row],[PreGmRate]]+Games[[#This Row],[RatingChange]]</f>
        <v>1467.6229884989093</v>
      </c>
      <c r="AC26" s="2">
        <f>IF(Games[[#This Row],[Type]]="R",IF(Games[[#This Row],[Result]]&gt;0.5,1,0),0)</f>
        <v>0</v>
      </c>
      <c r="AD26" s="2">
        <f>IF(Games[[#This Row],[Type]]="R",IF(Games[[#This Row],[Result]]&lt;0.5,1,0),0)</f>
        <v>1</v>
      </c>
      <c r="AE26" s="2">
        <f>IF(AND(Games[[#This Row],[Type]]="P",Games[[#This Row],[Round]]=1),IF(Games[[#This Row],[Result]]&gt;0.5,1,0),0)</f>
        <v>0</v>
      </c>
      <c r="AF26" s="2">
        <f>IF(AND(Games[[#This Row],[Type]]="P",Games[[#This Row],[Round]]=1),IF(Games[[#This Row],[Result]]&lt;0.5,1,0),0)</f>
        <v>0</v>
      </c>
      <c r="AG26" s="2">
        <f>IF(AND(Games[[#This Row],[Type]]="P",Games[[#This Row],[Round]]=2),IF(Games[[#This Row],[Result]]&gt;0.5,1,0),0)</f>
        <v>0</v>
      </c>
      <c r="AH26" s="2">
        <f>IF(AND(Games[[#This Row],[Type]]="P",Games[[#This Row],[Round]]=2),IF(Games[[#This Row],[Result]]&lt;0.5,1,0),0)</f>
        <v>0</v>
      </c>
      <c r="AI26" s="2">
        <f>IF(AND(Games[[#This Row],[Type]]="P",Games[[#This Row],[Round]]=3),IF(Games[[#This Row],[Result]]&gt;0.5,1,0),0)</f>
        <v>0</v>
      </c>
      <c r="AJ26" s="2">
        <f>IF(AND(Games[[#This Row],[Type]]="P",Games[[#This Row],[Round]]=3),IF(Games[[#This Row],[Result]]&lt;0.5,1,0),0)</f>
        <v>0</v>
      </c>
      <c r="AK26" s="2">
        <f>IF(AND(Games[[#This Row],[Type]]="P",Games[[#This Row],[Round]]=4),IF(Games[[#This Row],[Result]]&gt;0.5,1,0),0)</f>
        <v>0</v>
      </c>
      <c r="AL26" s="2">
        <f>IF(AND(Games[[#This Row],[Type]]="P",Games[[#This Row],[Round]]=4),IF(Games[[#This Row],[Result]]&lt;0.5,1,0),0)</f>
        <v>0</v>
      </c>
    </row>
    <row r="27" spans="1:38" x14ac:dyDescent="0.35">
      <c r="A27" s="10">
        <v>40319</v>
      </c>
      <c r="B27" s="2">
        <v>2010</v>
      </c>
      <c r="C27" s="2">
        <f>COUNTIFS(Games[Team],Games[[#This Row],[Team]],Games[Season],Games[[#This Row],[Season]],Games[Date],"&lt;=" &amp; Games[[#This Row],[Date]])</f>
        <v>3</v>
      </c>
      <c r="D27" s="2" t="s">
        <v>23</v>
      </c>
      <c r="E27" s="2" t="s">
        <v>29</v>
      </c>
      <c r="F27" s="1" t="s">
        <v>69</v>
      </c>
      <c r="G27" s="1" t="s">
        <v>64</v>
      </c>
      <c r="H27" s="1" t="s">
        <v>15</v>
      </c>
      <c r="I27" s="2" cm="1">
        <f t="array" ref="I27">IFERROR(
    Games[[#This Row],[Date]]
    - LOOKUP(
        2,
        1/((Games[Team]=Games[[#This Row],[Team]]) * (Games[Date] &lt; Games[[#This Row],[Date]])),
        Games[Date]
    )
    - 1,
Games[[#This Row],[Date]]-$A$2)</f>
        <v>4</v>
      </c>
      <c r="J27" s="2" cm="1">
        <f t="array" ref="J27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7" s="2">
        <f>Games[[#This Row],[DaysOff]]-Games[[#This Row],[OppDaysOff]]</f>
        <v>0</v>
      </c>
      <c r="L27" s="2">
        <f>Games[[#This Row],[OppDaysOff]]-Games[[#This Row],[DaysOff]]</f>
        <v>0</v>
      </c>
      <c r="M27" s="1">
        <f>MAX(-16, MIN(16, Games[[#This Row],[RestDiff]]*8))</f>
        <v>0</v>
      </c>
      <c r="N27" s="1">
        <f>MAX(-16, MIN(16, Games[[#This Row],[OppRestDiff]]*8))</f>
        <v>0</v>
      </c>
      <c r="O27" s="4" cm="1">
        <f t="array" ref="O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1500.7378221314548</v>
      </c>
      <c r="P27" s="4" cm="1">
        <f t="array" ref="P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1481.3329447224503</v>
      </c>
      <c r="Q27" s="4">
        <f>1/(1+10^(((Games[[#This Row],[OppPreGmRate]]+IF(Games[[#This Row],[HomeAway]]="A",HCA,0)+Games[[#This Row],[OppRestAdj]])-(Games[[#This Row],[PreGmRate]]+IF(Games[[#This Row],[HomeAway]]="H",HCA,0)+Games[[#This Row],[RestAdj]]))/400))</f>
        <v>0.64456798837594464</v>
      </c>
      <c r="R27" s="1">
        <v>77</v>
      </c>
      <c r="S27" s="1">
        <v>61</v>
      </c>
      <c r="T27" s="1">
        <v>0</v>
      </c>
      <c r="U27" s="1">
        <f>Games[[#This Row],[PointsFor]]-Games[[#This Row],[PointsAgainst]]</f>
        <v>16</v>
      </c>
      <c r="V27" s="1">
        <f>IF(Games[[#This Row],[MOV]]&gt;0,1,IF(Games[[#This Row],[MOV]]=0,0.5,0))</f>
        <v>1</v>
      </c>
      <c r="W27" s="4">
        <f>((ABS(Games[[#This Row],[MOV]])+5)^0.6)/(12+0.01*(ABS(Games[[#This Row],[PreGmRate]]-Games[[#This Row],[OppPreGmRate]])))*IF(Games[[#This Row],[OT]]=1,0.9,1)</f>
        <v>0.5095462961049545</v>
      </c>
      <c r="X27" s="7" cm="1">
        <f t="array" ref="X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" s="9">
        <f>MAX(kmin, kmax - 0.15 * MIN(Games[[#This Row],[GamesPlayed]], 82))</f>
        <v>75.55</v>
      </c>
      <c r="Z27" s="4">
        <f>Games[[#This Row],[K]]*Games[[#This Row],[POMult]]</f>
        <v>75.55</v>
      </c>
      <c r="AA27" s="4">
        <f>(Games[[#This Row],[Keff]]*Games[[#This Row],[MOVMult]])*(Games[[#This Row],[Result]]-Games[[#This Row],[ExpectedWin%]])</f>
        <v>13.682789863784883</v>
      </c>
      <c r="AB27" s="4">
        <f>Games[[#This Row],[PreGmRate]]+Games[[#This Row],[RatingChange]]</f>
        <v>1514.4206119952396</v>
      </c>
      <c r="AC27" s="2">
        <f>IF(Games[[#This Row],[Type]]="R",IF(Games[[#This Row],[Result]]&gt;0.5,1,0),0)</f>
        <v>1</v>
      </c>
      <c r="AD27" s="2">
        <f>IF(Games[[#This Row],[Type]]="R",IF(Games[[#This Row],[Result]]&lt;0.5,1,0),0)</f>
        <v>0</v>
      </c>
      <c r="AE27" s="2">
        <f>IF(AND(Games[[#This Row],[Type]]="P",Games[[#This Row],[Round]]=1),IF(Games[[#This Row],[Result]]&gt;0.5,1,0),0)</f>
        <v>0</v>
      </c>
      <c r="AF27" s="2">
        <f>IF(AND(Games[[#This Row],[Type]]="P",Games[[#This Row],[Round]]=1),IF(Games[[#This Row],[Result]]&lt;0.5,1,0),0)</f>
        <v>0</v>
      </c>
      <c r="AG27" s="2">
        <f>IF(AND(Games[[#This Row],[Type]]="P",Games[[#This Row],[Round]]=2),IF(Games[[#This Row],[Result]]&gt;0.5,1,0),0)</f>
        <v>0</v>
      </c>
      <c r="AH27" s="2">
        <f>IF(AND(Games[[#This Row],[Type]]="P",Games[[#This Row],[Round]]=2),IF(Games[[#This Row],[Result]]&lt;0.5,1,0),0)</f>
        <v>0</v>
      </c>
      <c r="AI27" s="2">
        <f>IF(AND(Games[[#This Row],[Type]]="P",Games[[#This Row],[Round]]=3),IF(Games[[#This Row],[Result]]&gt;0.5,1,0),0)</f>
        <v>0</v>
      </c>
      <c r="AJ27" s="2">
        <f>IF(AND(Games[[#This Row],[Type]]="P",Games[[#This Row],[Round]]=3),IF(Games[[#This Row],[Result]]&lt;0.5,1,0),0)</f>
        <v>0</v>
      </c>
      <c r="AK27" s="2">
        <f>IF(AND(Games[[#This Row],[Type]]="P",Games[[#This Row],[Round]]=4),IF(Games[[#This Row],[Result]]&gt;0.5,1,0),0)</f>
        <v>0</v>
      </c>
      <c r="AL27" s="2">
        <f>IF(AND(Games[[#This Row],[Type]]="P",Games[[#This Row],[Round]]=4),IF(Games[[#This Row],[Result]]&lt;0.5,1,0),0)</f>
        <v>0</v>
      </c>
    </row>
    <row r="28" spans="1:38" x14ac:dyDescent="0.35">
      <c r="A28" s="10">
        <v>40320</v>
      </c>
      <c r="B28" s="2">
        <v>2010</v>
      </c>
      <c r="C28" s="2">
        <f>COUNTIFS(Games[Team],Games[[#This Row],[Team]],Games[Season],Games[[#This Row],[Season]],Games[Date],"&lt;=" &amp; Games[[#This Row],[Date]])</f>
        <v>3</v>
      </c>
      <c r="D28" s="2" t="s">
        <v>23</v>
      </c>
      <c r="E28" s="2" t="s">
        <v>29</v>
      </c>
      <c r="F28" s="1" t="s">
        <v>73</v>
      </c>
      <c r="G28" s="1" t="s">
        <v>81</v>
      </c>
      <c r="H28" s="1" t="s">
        <v>16</v>
      </c>
      <c r="I28" s="2" cm="1">
        <f t="array" ref="I28">IFERROR(
    Games[[#This Row],[Date]]
    - LOOKUP(
        2,
        1/((Games[Team]=Games[[#This Row],[Team]]) * (Games[Date] &lt; Games[[#This Row],[Date]])),
        Games[Date]
    )
    - 1,
Games[[#This Row],[Date]]-$A$2)</f>
        <v>5</v>
      </c>
      <c r="J28" s="2" cm="1">
        <f t="array" ref="J28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8" s="2">
        <f>Games[[#This Row],[DaysOff]]-Games[[#This Row],[OppDaysOff]]</f>
        <v>0</v>
      </c>
      <c r="L28" s="2">
        <f>Games[[#This Row],[OppDaysOff]]-Games[[#This Row],[DaysOff]]</f>
        <v>0</v>
      </c>
      <c r="M28" s="1">
        <f>MAX(-16, MIN(16, Games[[#This Row],[RestDiff]]*8))</f>
        <v>0</v>
      </c>
      <c r="N28" s="1">
        <f>MAX(-16, MIN(16, Games[[#This Row],[OppRestDiff]]*8))</f>
        <v>0</v>
      </c>
      <c r="O28" s="4" cm="1">
        <f t="array" ref="O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1505.9657323267345</v>
      </c>
      <c r="P28" s="4" cm="1">
        <f t="array" ref="P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1452.35241325163</v>
      </c>
      <c r="Q28" s="4">
        <f>1/(1+10^(((Games[[#This Row],[OppPreGmRate]]+IF(Games[[#This Row],[HomeAway]]="A",HCA,0)+Games[[#This Row],[OppRestAdj]])-(Games[[#This Row],[PreGmRate]]+IF(Games[[#This Row],[HomeAway]]="H",HCA,0)+Games[[#This Row],[RestAdj]]))/400))</f>
        <v>0.45638121102083523</v>
      </c>
      <c r="R28" s="1">
        <v>92</v>
      </c>
      <c r="S28" s="1">
        <v>86</v>
      </c>
      <c r="T28" s="1">
        <v>1</v>
      </c>
      <c r="U28" s="1">
        <f>Games[[#This Row],[PointsFor]]-Games[[#This Row],[PointsAgainst]]</f>
        <v>6</v>
      </c>
      <c r="V28" s="1">
        <f>IF(Games[[#This Row],[MOV]]&gt;0,1,IF(Games[[#This Row],[MOV]]=0,0.5,0))</f>
        <v>1</v>
      </c>
      <c r="W28" s="4">
        <f>((ABS(Games[[#This Row],[MOV]])+5)^0.6)/(12+0.01*(ABS(Games[[#This Row],[PreGmRate]]-Games[[#This Row],[OppPreGmRate]])))*IF(Games[[#This Row],[OT]]=1,0.9,1)</f>
        <v>0.30263177345481124</v>
      </c>
      <c r="X28" s="7" cm="1">
        <f t="array" ref="X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" s="9">
        <f>MAX(kmin, kmax - 0.15 * MIN(Games[[#This Row],[GamesPlayed]], 82))</f>
        <v>75.55</v>
      </c>
      <c r="Z28" s="4">
        <f>Games[[#This Row],[K]]*Games[[#This Row],[POMult]]</f>
        <v>75.55</v>
      </c>
      <c r="AA28" s="4">
        <f>(Games[[#This Row],[Keff]]*Games[[#This Row],[MOVMult]])*(Games[[#This Row],[Result]]-Games[[#This Row],[ExpectedWin%]])</f>
        <v>12.429207839414774</v>
      </c>
      <c r="AB28" s="4">
        <f>Games[[#This Row],[PreGmRate]]+Games[[#This Row],[RatingChange]]</f>
        <v>1518.3949401661494</v>
      </c>
      <c r="AC28" s="2">
        <f>IF(Games[[#This Row],[Type]]="R",IF(Games[[#This Row],[Result]]&gt;0.5,1,0),0)</f>
        <v>1</v>
      </c>
      <c r="AD28" s="2">
        <f>IF(Games[[#This Row],[Type]]="R",IF(Games[[#This Row],[Result]]&lt;0.5,1,0),0)</f>
        <v>0</v>
      </c>
      <c r="AE28" s="2">
        <f>IF(AND(Games[[#This Row],[Type]]="P",Games[[#This Row],[Round]]=1),IF(Games[[#This Row],[Result]]&gt;0.5,1,0),0)</f>
        <v>0</v>
      </c>
      <c r="AF28" s="2">
        <f>IF(AND(Games[[#This Row],[Type]]="P",Games[[#This Row],[Round]]=1),IF(Games[[#This Row],[Result]]&lt;0.5,1,0),0)</f>
        <v>0</v>
      </c>
      <c r="AG28" s="2">
        <f>IF(AND(Games[[#This Row],[Type]]="P",Games[[#This Row],[Round]]=2),IF(Games[[#This Row],[Result]]&gt;0.5,1,0),0)</f>
        <v>0</v>
      </c>
      <c r="AH28" s="2">
        <f>IF(AND(Games[[#This Row],[Type]]="P",Games[[#This Row],[Round]]=2),IF(Games[[#This Row],[Result]]&lt;0.5,1,0),0)</f>
        <v>0</v>
      </c>
      <c r="AI28" s="2">
        <f>IF(AND(Games[[#This Row],[Type]]="P",Games[[#This Row],[Round]]=3),IF(Games[[#This Row],[Result]]&gt;0.5,1,0),0)</f>
        <v>0</v>
      </c>
      <c r="AJ28" s="2">
        <f>IF(AND(Games[[#This Row],[Type]]="P",Games[[#This Row],[Round]]=3),IF(Games[[#This Row],[Result]]&lt;0.5,1,0),0)</f>
        <v>0</v>
      </c>
      <c r="AK28" s="2">
        <f>IF(AND(Games[[#This Row],[Type]]="P",Games[[#This Row],[Round]]=4),IF(Games[[#This Row],[Result]]&gt;0.5,1,0),0)</f>
        <v>0</v>
      </c>
      <c r="AL28" s="2">
        <f>IF(AND(Games[[#This Row],[Type]]="P",Games[[#This Row],[Round]]=4),IF(Games[[#This Row],[Result]]&lt;0.5,1,0),0)</f>
        <v>0</v>
      </c>
    </row>
    <row r="29" spans="1:38" x14ac:dyDescent="0.35">
      <c r="A29" s="10">
        <v>40320</v>
      </c>
      <c r="B29" s="2">
        <v>2010</v>
      </c>
      <c r="C29" s="2">
        <f>COUNTIFS(Games[Team],Games[[#This Row],[Team]],Games[Season],Games[[#This Row],[Season]],Games[Date],"&lt;=" &amp; Games[[#This Row],[Date]])</f>
        <v>3</v>
      </c>
      <c r="D29" s="2" t="s">
        <v>23</v>
      </c>
      <c r="E29" s="2" t="s">
        <v>29</v>
      </c>
      <c r="F29" s="1" t="s">
        <v>81</v>
      </c>
      <c r="G29" s="1" t="s">
        <v>73</v>
      </c>
      <c r="H29" s="1" t="s">
        <v>15</v>
      </c>
      <c r="I29" s="2" cm="1">
        <f t="array" ref="I29">IFERROR(
    Games[[#This Row],[Date]]
    - LOOKUP(
        2,
        1/((Games[Team]=Games[[#This Row],[Team]]) * (Games[Date] &lt; Games[[#This Row],[Date]])),
        Games[Date]
    )
    - 1,
Games[[#This Row],[Date]]-$A$2)</f>
        <v>5</v>
      </c>
      <c r="J29" s="2" cm="1">
        <f t="array" ref="J29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9" s="2">
        <f>Games[[#This Row],[DaysOff]]-Games[[#This Row],[OppDaysOff]]</f>
        <v>0</v>
      </c>
      <c r="L29" s="2">
        <f>Games[[#This Row],[OppDaysOff]]-Games[[#This Row],[DaysOff]]</f>
        <v>0</v>
      </c>
      <c r="M29" s="1">
        <f>MAX(-16, MIN(16, Games[[#This Row],[RestDiff]]*8))</f>
        <v>0</v>
      </c>
      <c r="N29" s="1">
        <f>MAX(-16, MIN(16, Games[[#This Row],[OppRestDiff]]*8))</f>
        <v>0</v>
      </c>
      <c r="O29" s="4" cm="1">
        <f t="array" ref="O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1452.35241325163</v>
      </c>
      <c r="P29" s="4" cm="1">
        <f t="array" ref="P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1505.9657323267345</v>
      </c>
      <c r="Q29" s="4">
        <f>1/(1+10^(((Games[[#This Row],[OppPreGmRate]]+IF(Games[[#This Row],[HomeAway]]="A",HCA,0)+Games[[#This Row],[OppRestAdj]])-(Games[[#This Row],[PreGmRate]]+IF(Games[[#This Row],[HomeAway]]="H",HCA,0)+Games[[#This Row],[RestAdj]]))/400))</f>
        <v>0.54361878897916482</v>
      </c>
      <c r="R29" s="1">
        <v>86</v>
      </c>
      <c r="S29" s="1">
        <v>92</v>
      </c>
      <c r="T29" s="1">
        <v>1</v>
      </c>
      <c r="U29" s="1">
        <f>Games[[#This Row],[PointsFor]]-Games[[#This Row],[PointsAgainst]]</f>
        <v>-6</v>
      </c>
      <c r="V29" s="1">
        <f>IF(Games[[#This Row],[MOV]]&gt;0,1,IF(Games[[#This Row],[MOV]]=0,0.5,0))</f>
        <v>0</v>
      </c>
      <c r="W29" s="4">
        <f>((ABS(Games[[#This Row],[MOV]])+5)^0.6)/(12+0.01*(ABS(Games[[#This Row],[PreGmRate]]-Games[[#This Row],[OppPreGmRate]])))*IF(Games[[#This Row],[OT]]=1,0.9,1)</f>
        <v>0.30263177345481124</v>
      </c>
      <c r="X29" s="7" cm="1">
        <f t="array" ref="X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" s="9">
        <f>MAX(kmin, kmax - 0.15 * MIN(Games[[#This Row],[GamesPlayed]], 82))</f>
        <v>75.55</v>
      </c>
      <c r="Z29" s="4">
        <f>Games[[#This Row],[K]]*Games[[#This Row],[POMult]]</f>
        <v>75.55</v>
      </c>
      <c r="AA29" s="4">
        <f>(Games[[#This Row],[Keff]]*Games[[#This Row],[MOVMult]])*(Games[[#This Row],[Result]]-Games[[#This Row],[ExpectedWin%]])</f>
        <v>-12.429207839414774</v>
      </c>
      <c r="AB29" s="4">
        <f>Games[[#This Row],[PreGmRate]]+Games[[#This Row],[RatingChange]]</f>
        <v>1439.9232054122151</v>
      </c>
      <c r="AC29" s="2">
        <f>IF(Games[[#This Row],[Type]]="R",IF(Games[[#This Row],[Result]]&gt;0.5,1,0),0)</f>
        <v>0</v>
      </c>
      <c r="AD29" s="2">
        <f>IF(Games[[#This Row],[Type]]="R",IF(Games[[#This Row],[Result]]&lt;0.5,1,0),0)</f>
        <v>1</v>
      </c>
      <c r="AE29" s="2">
        <f>IF(AND(Games[[#This Row],[Type]]="P",Games[[#This Row],[Round]]=1),IF(Games[[#This Row],[Result]]&gt;0.5,1,0),0)</f>
        <v>0</v>
      </c>
      <c r="AF29" s="2">
        <f>IF(AND(Games[[#This Row],[Type]]="P",Games[[#This Row],[Round]]=1),IF(Games[[#This Row],[Result]]&lt;0.5,1,0),0)</f>
        <v>0</v>
      </c>
      <c r="AG29" s="2">
        <f>IF(AND(Games[[#This Row],[Type]]="P",Games[[#This Row],[Round]]=2),IF(Games[[#This Row],[Result]]&gt;0.5,1,0),0)</f>
        <v>0</v>
      </c>
      <c r="AH29" s="2">
        <f>IF(AND(Games[[#This Row],[Type]]="P",Games[[#This Row],[Round]]=2),IF(Games[[#This Row],[Result]]&lt;0.5,1,0),0)</f>
        <v>0</v>
      </c>
      <c r="AI29" s="2">
        <f>IF(AND(Games[[#This Row],[Type]]="P",Games[[#This Row],[Round]]=3),IF(Games[[#This Row],[Result]]&gt;0.5,1,0),0)</f>
        <v>0</v>
      </c>
      <c r="AJ29" s="2">
        <f>IF(AND(Games[[#This Row],[Type]]="P",Games[[#This Row],[Round]]=3),IF(Games[[#This Row],[Result]]&lt;0.5,1,0),0)</f>
        <v>0</v>
      </c>
      <c r="AK29" s="2">
        <f>IF(AND(Games[[#This Row],[Type]]="P",Games[[#This Row],[Round]]=4),IF(Games[[#This Row],[Result]]&gt;0.5,1,0),0)</f>
        <v>0</v>
      </c>
      <c r="AL29" s="2">
        <f>IF(AND(Games[[#This Row],[Type]]="P",Games[[#This Row],[Round]]=4),IF(Games[[#This Row],[Result]]&lt;0.5,1,0),0)</f>
        <v>0</v>
      </c>
    </row>
    <row r="30" spans="1:38" x14ac:dyDescent="0.35">
      <c r="A30" s="10">
        <v>40320</v>
      </c>
      <c r="B30" s="2">
        <v>2010</v>
      </c>
      <c r="C30" s="2">
        <f>COUNTIFS(Games[Team],Games[[#This Row],[Team]],Games[Season],Games[[#This Row],[Season]],Games[Date],"&lt;=" &amp; Games[[#This Row],[Date]])</f>
        <v>3</v>
      </c>
      <c r="D30" s="2" t="s">
        <v>23</v>
      </c>
      <c r="E30" s="2" t="s">
        <v>29</v>
      </c>
      <c r="F30" s="1" t="s">
        <v>75</v>
      </c>
      <c r="G30" s="1" t="s">
        <v>44</v>
      </c>
      <c r="H30" s="1" t="s">
        <v>16</v>
      </c>
      <c r="I30" s="2" cm="1">
        <f t="array" ref="I30">IFERROR(
    Games[[#This Row],[Date]]
    - LOOKUP(
        2,
        1/((Games[Team]=Games[[#This Row],[Team]]) * (Games[Date] &lt; Games[[#This Row],[Date]])),
        Games[Date]
    )
    - 1,
Games[[#This Row],[Date]]-$A$2)</f>
        <v>2</v>
      </c>
      <c r="J30" s="2" cm="1">
        <f t="array" ref="J30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30" s="2">
        <f>Games[[#This Row],[DaysOff]]-Games[[#This Row],[OppDaysOff]]</f>
        <v>-4</v>
      </c>
      <c r="L30" s="2">
        <f>Games[[#This Row],[OppDaysOff]]-Games[[#This Row],[DaysOff]]</f>
        <v>4</v>
      </c>
      <c r="M30" s="1">
        <f>MAX(-16, MIN(16, Games[[#This Row],[RestDiff]]*8))</f>
        <v>-16</v>
      </c>
      <c r="N30" s="1">
        <f>MAX(-16, MIN(16, Games[[#This Row],[OppRestDiff]]*8))</f>
        <v>16</v>
      </c>
      <c r="O30" s="4" cm="1">
        <f t="array" ref="O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1536.1088925651616</v>
      </c>
      <c r="P30" s="4" cm="1">
        <f t="array" ref="P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1576.736541547662</v>
      </c>
      <c r="Q30" s="4">
        <f>1/(1+10^(((Games[[#This Row],[OppPreGmRate]]+IF(Games[[#This Row],[HomeAway]]="A",HCA,0)+Games[[#This Row],[OppRestAdj]])-(Games[[#This Row],[PreGmRate]]+IF(Games[[#This Row],[HomeAway]]="H",HCA,0)+Games[[#This Row],[RestAdj]]))/400))</f>
        <v>0.28871744926869275</v>
      </c>
      <c r="R30" s="1">
        <v>95</v>
      </c>
      <c r="S30" s="1">
        <v>89</v>
      </c>
      <c r="T30" s="1">
        <v>1</v>
      </c>
      <c r="U30" s="1">
        <f>Games[[#This Row],[PointsFor]]-Games[[#This Row],[PointsAgainst]]</f>
        <v>6</v>
      </c>
      <c r="V30" s="1">
        <f>IF(Games[[#This Row],[MOV]]&gt;0,1,IF(Games[[#This Row],[MOV]]=0,0.5,0))</f>
        <v>1</v>
      </c>
      <c r="W30" s="4">
        <f>((ABS(Games[[#This Row],[MOV]])+5)^0.6)/(12+0.01*(ABS(Games[[#This Row],[PreGmRate]]-Games[[#This Row],[OppPreGmRate]])))*IF(Games[[#This Row],[OT]]=1,0.9,1)</f>
        <v>0.30579942522595061</v>
      </c>
      <c r="X30" s="7" cm="1">
        <f t="array" ref="X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" s="9">
        <f>MAX(kmin, kmax - 0.15 * MIN(Games[[#This Row],[GamesPlayed]], 82))</f>
        <v>75.55</v>
      </c>
      <c r="Z30" s="4">
        <f>Games[[#This Row],[K]]*Games[[#This Row],[POMult]]</f>
        <v>75.55</v>
      </c>
      <c r="AA30" s="4">
        <f>(Games[[#This Row],[Keff]]*Games[[#This Row],[MOVMult]])*(Games[[#This Row],[Result]]-Games[[#This Row],[ExpectedWin%]])</f>
        <v>16.432865026368919</v>
      </c>
      <c r="AB30" s="4">
        <f>Games[[#This Row],[PreGmRate]]+Games[[#This Row],[RatingChange]]</f>
        <v>1552.5417575915305</v>
      </c>
      <c r="AC30" s="2">
        <f>IF(Games[[#This Row],[Type]]="R",IF(Games[[#This Row],[Result]]&gt;0.5,1,0),0)</f>
        <v>1</v>
      </c>
      <c r="AD30" s="2">
        <f>IF(Games[[#This Row],[Type]]="R",IF(Games[[#This Row],[Result]]&lt;0.5,1,0),0)</f>
        <v>0</v>
      </c>
      <c r="AE30" s="2">
        <f>IF(AND(Games[[#This Row],[Type]]="P",Games[[#This Row],[Round]]=1),IF(Games[[#This Row],[Result]]&gt;0.5,1,0),0)</f>
        <v>0</v>
      </c>
      <c r="AF30" s="2">
        <f>IF(AND(Games[[#This Row],[Type]]="P",Games[[#This Row],[Round]]=1),IF(Games[[#This Row],[Result]]&lt;0.5,1,0),0)</f>
        <v>0</v>
      </c>
      <c r="AG30" s="2">
        <f>IF(AND(Games[[#This Row],[Type]]="P",Games[[#This Row],[Round]]=2),IF(Games[[#This Row],[Result]]&gt;0.5,1,0),0)</f>
        <v>0</v>
      </c>
      <c r="AH30" s="2">
        <f>IF(AND(Games[[#This Row],[Type]]="P",Games[[#This Row],[Round]]=2),IF(Games[[#This Row],[Result]]&lt;0.5,1,0),0)</f>
        <v>0</v>
      </c>
      <c r="AI30" s="2">
        <f>IF(AND(Games[[#This Row],[Type]]="P",Games[[#This Row],[Round]]=3),IF(Games[[#This Row],[Result]]&gt;0.5,1,0),0)</f>
        <v>0</v>
      </c>
      <c r="AJ30" s="2">
        <f>IF(AND(Games[[#This Row],[Type]]="P",Games[[#This Row],[Round]]=3),IF(Games[[#This Row],[Result]]&lt;0.5,1,0),0)</f>
        <v>0</v>
      </c>
      <c r="AK30" s="2">
        <f>IF(AND(Games[[#This Row],[Type]]="P",Games[[#This Row],[Round]]=4),IF(Games[[#This Row],[Result]]&gt;0.5,1,0),0)</f>
        <v>0</v>
      </c>
      <c r="AL30" s="2">
        <f>IF(AND(Games[[#This Row],[Type]]="P",Games[[#This Row],[Round]]=4),IF(Games[[#This Row],[Result]]&lt;0.5,1,0),0)</f>
        <v>0</v>
      </c>
    </row>
    <row r="31" spans="1:38" x14ac:dyDescent="0.35">
      <c r="A31" s="10">
        <v>40320</v>
      </c>
      <c r="B31" s="2">
        <v>2010</v>
      </c>
      <c r="C31" s="2">
        <f>COUNTIFS(Games[Team],Games[[#This Row],[Team]],Games[Season],Games[[#This Row],[Season]],Games[Date],"&lt;=" &amp; Games[[#This Row],[Date]])</f>
        <v>2</v>
      </c>
      <c r="D31" s="2" t="s">
        <v>23</v>
      </c>
      <c r="E31" s="2" t="s">
        <v>29</v>
      </c>
      <c r="F31" s="1" t="s">
        <v>44</v>
      </c>
      <c r="G31" s="1" t="s">
        <v>75</v>
      </c>
      <c r="H31" s="1" t="s">
        <v>15</v>
      </c>
      <c r="I31" s="2" cm="1">
        <f t="array" ref="I31">IFERROR(
    Games[[#This Row],[Date]]
    - LOOKUP(
        2,
        1/((Games[Team]=Games[[#This Row],[Team]]) * (Games[Date] &lt; Games[[#This Row],[Date]])),
        Games[Date]
    )
    - 1,
Games[[#This Row],[Date]]-$A$2)</f>
        <v>6</v>
      </c>
      <c r="J31" s="2" cm="1">
        <f t="array" ref="J3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1" s="2">
        <f>Games[[#This Row],[DaysOff]]-Games[[#This Row],[OppDaysOff]]</f>
        <v>4</v>
      </c>
      <c r="L31" s="2">
        <f>Games[[#This Row],[OppDaysOff]]-Games[[#This Row],[DaysOff]]</f>
        <v>-4</v>
      </c>
      <c r="M31" s="1">
        <f>MAX(-16, MIN(16, Games[[#This Row],[RestDiff]]*8))</f>
        <v>16</v>
      </c>
      <c r="N31" s="1">
        <f>MAX(-16, MIN(16, Games[[#This Row],[OppRestDiff]]*8))</f>
        <v>-16</v>
      </c>
      <c r="O31" s="4" cm="1">
        <f t="array" ref="O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1576.736541547662</v>
      </c>
      <c r="P31" s="4" cm="1">
        <f t="array" ref="P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1536.1088925651616</v>
      </c>
      <c r="Q31" s="4">
        <f>1/(1+10^(((Games[[#This Row],[OppPreGmRate]]+IF(Games[[#This Row],[HomeAway]]="A",HCA,0)+Games[[#This Row],[OppRestAdj]])-(Games[[#This Row],[PreGmRate]]+IF(Games[[#This Row],[HomeAway]]="H",HCA,0)+Games[[#This Row],[RestAdj]]))/400))</f>
        <v>0.71128255073130719</v>
      </c>
      <c r="R31" s="1">
        <v>89</v>
      </c>
      <c r="S31" s="1">
        <v>95</v>
      </c>
      <c r="T31" s="1">
        <v>1</v>
      </c>
      <c r="U31" s="1">
        <f>Games[[#This Row],[PointsFor]]-Games[[#This Row],[PointsAgainst]]</f>
        <v>-6</v>
      </c>
      <c r="V31" s="1">
        <f>IF(Games[[#This Row],[MOV]]&gt;0,1,IF(Games[[#This Row],[MOV]]=0,0.5,0))</f>
        <v>0</v>
      </c>
      <c r="W31" s="4">
        <f>((ABS(Games[[#This Row],[MOV]])+5)^0.6)/(12+0.01*(ABS(Games[[#This Row],[PreGmRate]]-Games[[#This Row],[OppPreGmRate]])))*IF(Games[[#This Row],[OT]]=1,0.9,1)</f>
        <v>0.30579942522595061</v>
      </c>
      <c r="X31" s="7" cm="1">
        <f t="array" ref="X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" s="9">
        <f>MAX(kmin, kmax - 0.15 * MIN(Games[[#This Row],[GamesPlayed]], 82))</f>
        <v>75.7</v>
      </c>
      <c r="Z31" s="4">
        <f>Games[[#This Row],[K]]*Games[[#This Row],[POMult]]</f>
        <v>75.7</v>
      </c>
      <c r="AA31" s="4">
        <f>(Games[[#This Row],[Keff]]*Games[[#This Row],[MOVMult]])*(Games[[#This Row],[Result]]-Games[[#This Row],[ExpectedWin%]])</f>
        <v>-16.465491495646955</v>
      </c>
      <c r="AB31" s="4">
        <f>Games[[#This Row],[PreGmRate]]+Games[[#This Row],[RatingChange]]</f>
        <v>1560.271050052015</v>
      </c>
      <c r="AC31" s="2">
        <f>IF(Games[[#This Row],[Type]]="R",IF(Games[[#This Row],[Result]]&gt;0.5,1,0),0)</f>
        <v>0</v>
      </c>
      <c r="AD31" s="2">
        <f>IF(Games[[#This Row],[Type]]="R",IF(Games[[#This Row],[Result]]&lt;0.5,1,0),0)</f>
        <v>1</v>
      </c>
      <c r="AE31" s="2">
        <f>IF(AND(Games[[#This Row],[Type]]="P",Games[[#This Row],[Round]]=1),IF(Games[[#This Row],[Result]]&gt;0.5,1,0),0)</f>
        <v>0</v>
      </c>
      <c r="AF31" s="2">
        <f>IF(AND(Games[[#This Row],[Type]]="P",Games[[#This Row],[Round]]=1),IF(Games[[#This Row],[Result]]&lt;0.5,1,0),0)</f>
        <v>0</v>
      </c>
      <c r="AG31" s="2">
        <f>IF(AND(Games[[#This Row],[Type]]="P",Games[[#This Row],[Round]]=2),IF(Games[[#This Row],[Result]]&gt;0.5,1,0),0)</f>
        <v>0</v>
      </c>
      <c r="AH31" s="2">
        <f>IF(AND(Games[[#This Row],[Type]]="P",Games[[#This Row],[Round]]=2),IF(Games[[#This Row],[Result]]&lt;0.5,1,0),0)</f>
        <v>0</v>
      </c>
      <c r="AI31" s="2">
        <f>IF(AND(Games[[#This Row],[Type]]="P",Games[[#This Row],[Round]]=3),IF(Games[[#This Row],[Result]]&gt;0.5,1,0),0)</f>
        <v>0</v>
      </c>
      <c r="AJ31" s="2">
        <f>IF(AND(Games[[#This Row],[Type]]="P",Games[[#This Row],[Round]]=3),IF(Games[[#This Row],[Result]]&lt;0.5,1,0),0)</f>
        <v>0</v>
      </c>
      <c r="AK31" s="2">
        <f>IF(AND(Games[[#This Row],[Type]]="P",Games[[#This Row],[Round]]=4),IF(Games[[#This Row],[Result]]&gt;0.5,1,0),0)</f>
        <v>0</v>
      </c>
      <c r="AL31" s="2">
        <f>IF(AND(Games[[#This Row],[Type]]="P",Games[[#This Row],[Round]]=4),IF(Games[[#This Row],[Result]]&lt;0.5,1,0),0)</f>
        <v>0</v>
      </c>
    </row>
    <row r="32" spans="1:38" x14ac:dyDescent="0.35">
      <c r="A32" s="10">
        <v>40320</v>
      </c>
      <c r="B32" s="2">
        <v>2010</v>
      </c>
      <c r="C32" s="2">
        <f>COUNTIFS(Games[Team],Games[[#This Row],[Team]],Games[Season],Games[[#This Row],[Season]],Games[Date],"&lt;=" &amp; Games[[#This Row],[Date]])</f>
        <v>3</v>
      </c>
      <c r="D32" s="2" t="s">
        <v>23</v>
      </c>
      <c r="E32" s="2" t="s">
        <v>29</v>
      </c>
      <c r="F32" s="1" t="s">
        <v>67</v>
      </c>
      <c r="G32" s="1" t="s">
        <v>78</v>
      </c>
      <c r="H32" s="1" t="s">
        <v>16</v>
      </c>
      <c r="I32" s="2" cm="1">
        <f t="array" ref="I32">IFERROR(
    Games[[#This Row],[Date]]
    - LOOKUP(
        2,
        1/((Games[Team]=Games[[#This Row],[Team]]) * (Games[Date] &lt; Games[[#This Row],[Date]])),
        Games[Date]
    )
    - 1,
Games[[#This Row],[Date]]-$A$2)</f>
        <v>5</v>
      </c>
      <c r="J32" s="2" cm="1">
        <f t="array" ref="J3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" s="2">
        <f>Games[[#This Row],[DaysOff]]-Games[[#This Row],[OppDaysOff]]</f>
        <v>4</v>
      </c>
      <c r="L32" s="2">
        <f>Games[[#This Row],[OppDaysOff]]-Games[[#This Row],[DaysOff]]</f>
        <v>-4</v>
      </c>
      <c r="M32" s="1">
        <f>MAX(-16, MIN(16, Games[[#This Row],[RestDiff]]*8))</f>
        <v>16</v>
      </c>
      <c r="N32" s="1">
        <f>MAX(-16, MIN(16, Games[[#This Row],[OppRestDiff]]*8))</f>
        <v>-16</v>
      </c>
      <c r="O32" s="4" cm="1">
        <f t="array" ref="O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1514.9824057941989</v>
      </c>
      <c r="P32" s="4" cm="1">
        <f t="array" ref="P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1494.5427802384768</v>
      </c>
      <c r="Q32" s="4">
        <f>1/(1+10^(((Games[[#This Row],[OppPreGmRate]]+IF(Games[[#This Row],[HomeAway]]="A",HCA,0)+Games[[#This Row],[OppRestAdj]])-(Games[[#This Row],[PreGmRate]]+IF(Games[[#This Row],[HomeAway]]="H",HCA,0)+Games[[#This Row],[RestAdj]]))/400))</f>
        <v>0.45470548505691638</v>
      </c>
      <c r="R32" s="1">
        <v>81</v>
      </c>
      <c r="S32" s="1">
        <v>88</v>
      </c>
      <c r="T32" s="1">
        <v>0</v>
      </c>
      <c r="U32" s="1">
        <f>Games[[#This Row],[PointsFor]]-Games[[#This Row],[PointsAgainst]]</f>
        <v>-7</v>
      </c>
      <c r="V32" s="1">
        <f>IF(Games[[#This Row],[MOV]]&gt;0,1,IF(Games[[#This Row],[MOV]]=0,0.5,0))</f>
        <v>0</v>
      </c>
      <c r="W32" s="4">
        <f>((ABS(Games[[#This Row],[MOV]])+5)^0.6)/(12+0.01*(ABS(Games[[#This Row],[PreGmRate]]-Games[[#This Row],[OppPreGmRate]])))*IF(Games[[#This Row],[OT]]=1,0.9,1)</f>
        <v>0.36390870771862388</v>
      </c>
      <c r="X32" s="7" cm="1">
        <f t="array" ref="X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" s="9">
        <f>MAX(kmin, kmax - 0.15 * MIN(Games[[#This Row],[GamesPlayed]], 82))</f>
        <v>75.55</v>
      </c>
      <c r="Z32" s="4">
        <f>Games[[#This Row],[K]]*Games[[#This Row],[POMult]]</f>
        <v>75.55</v>
      </c>
      <c r="AA32" s="4">
        <f>(Games[[#This Row],[Keff]]*Games[[#This Row],[MOVMult]])*(Games[[#This Row],[Result]]-Games[[#This Row],[ExpectedWin%]])</f>
        <v>-12.501355616475234</v>
      </c>
      <c r="AB32" s="4">
        <f>Games[[#This Row],[PreGmRate]]+Games[[#This Row],[RatingChange]]</f>
        <v>1502.4810501777238</v>
      </c>
      <c r="AC32" s="2">
        <f>IF(Games[[#This Row],[Type]]="R",IF(Games[[#This Row],[Result]]&gt;0.5,1,0),0)</f>
        <v>0</v>
      </c>
      <c r="AD32" s="2">
        <f>IF(Games[[#This Row],[Type]]="R",IF(Games[[#This Row],[Result]]&lt;0.5,1,0),0)</f>
        <v>1</v>
      </c>
      <c r="AE32" s="2">
        <f>IF(AND(Games[[#This Row],[Type]]="P",Games[[#This Row],[Round]]=1),IF(Games[[#This Row],[Result]]&gt;0.5,1,0),0)</f>
        <v>0</v>
      </c>
      <c r="AF32" s="2">
        <f>IF(AND(Games[[#This Row],[Type]]="P",Games[[#This Row],[Round]]=1),IF(Games[[#This Row],[Result]]&lt;0.5,1,0),0)</f>
        <v>0</v>
      </c>
      <c r="AG32" s="2">
        <f>IF(AND(Games[[#This Row],[Type]]="P",Games[[#This Row],[Round]]=2),IF(Games[[#This Row],[Result]]&gt;0.5,1,0),0)</f>
        <v>0</v>
      </c>
      <c r="AH32" s="2">
        <f>IF(AND(Games[[#This Row],[Type]]="P",Games[[#This Row],[Round]]=2),IF(Games[[#This Row],[Result]]&lt;0.5,1,0),0)</f>
        <v>0</v>
      </c>
      <c r="AI32" s="2">
        <f>IF(AND(Games[[#This Row],[Type]]="P",Games[[#This Row],[Round]]=3),IF(Games[[#This Row],[Result]]&gt;0.5,1,0),0)</f>
        <v>0</v>
      </c>
      <c r="AJ32" s="2">
        <f>IF(AND(Games[[#This Row],[Type]]="P",Games[[#This Row],[Round]]=3),IF(Games[[#This Row],[Result]]&lt;0.5,1,0),0)</f>
        <v>0</v>
      </c>
      <c r="AK32" s="2">
        <f>IF(AND(Games[[#This Row],[Type]]="P",Games[[#This Row],[Round]]=4),IF(Games[[#This Row],[Result]]&gt;0.5,1,0),0)</f>
        <v>0</v>
      </c>
      <c r="AL32" s="2">
        <f>IF(AND(Games[[#This Row],[Type]]="P",Games[[#This Row],[Round]]=4),IF(Games[[#This Row],[Result]]&lt;0.5,1,0),0)</f>
        <v>0</v>
      </c>
    </row>
    <row r="33" spans="1:38" x14ac:dyDescent="0.35">
      <c r="A33" s="10">
        <v>40320</v>
      </c>
      <c r="B33" s="2">
        <v>2010</v>
      </c>
      <c r="C33" s="2">
        <f>COUNTIFS(Games[Team],Games[[#This Row],[Team]],Games[Season],Games[[#This Row],[Season]],Games[Date],"&lt;=" &amp; Games[[#This Row],[Date]])</f>
        <v>3</v>
      </c>
      <c r="D33" s="2" t="s">
        <v>23</v>
      </c>
      <c r="E33" s="2" t="s">
        <v>29</v>
      </c>
      <c r="F33" s="1" t="s">
        <v>78</v>
      </c>
      <c r="G33" s="1" t="s">
        <v>67</v>
      </c>
      <c r="H33" s="1" t="s">
        <v>15</v>
      </c>
      <c r="I33" s="2" cm="1">
        <f t="array" ref="I3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" s="2" cm="1">
        <f t="array" ref="J33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33" s="2">
        <f>Games[[#This Row],[DaysOff]]-Games[[#This Row],[OppDaysOff]]</f>
        <v>-4</v>
      </c>
      <c r="L33" s="2">
        <f>Games[[#This Row],[OppDaysOff]]-Games[[#This Row],[DaysOff]]</f>
        <v>4</v>
      </c>
      <c r="M33" s="1">
        <f>MAX(-16, MIN(16, Games[[#This Row],[RestDiff]]*8))</f>
        <v>-16</v>
      </c>
      <c r="N33" s="1">
        <f>MAX(-16, MIN(16, Games[[#This Row],[OppRestDiff]]*8))</f>
        <v>16</v>
      </c>
      <c r="O33" s="4" cm="1">
        <f t="array" ref="O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1494.5427802384768</v>
      </c>
      <c r="P33" s="4" cm="1">
        <f t="array" ref="P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1514.9824057941989</v>
      </c>
      <c r="Q33" s="4">
        <f>1/(1+10^(((Games[[#This Row],[OppPreGmRate]]+IF(Games[[#This Row],[HomeAway]]="A",HCA,0)+Games[[#This Row],[OppRestAdj]])-(Games[[#This Row],[PreGmRate]]+IF(Games[[#This Row],[HomeAway]]="H",HCA,0)+Games[[#This Row],[RestAdj]]))/400))</f>
        <v>0.54529451494308367</v>
      </c>
      <c r="R33" s="1">
        <v>88</v>
      </c>
      <c r="S33" s="1">
        <v>81</v>
      </c>
      <c r="T33" s="1">
        <v>0</v>
      </c>
      <c r="U33" s="1">
        <f>Games[[#This Row],[PointsFor]]-Games[[#This Row],[PointsAgainst]]</f>
        <v>7</v>
      </c>
      <c r="V33" s="1">
        <f>IF(Games[[#This Row],[MOV]]&gt;0,1,IF(Games[[#This Row],[MOV]]=0,0.5,0))</f>
        <v>1</v>
      </c>
      <c r="W33" s="4">
        <f>((ABS(Games[[#This Row],[MOV]])+5)^0.6)/(12+0.01*(ABS(Games[[#This Row],[PreGmRate]]-Games[[#This Row],[OppPreGmRate]])))*IF(Games[[#This Row],[OT]]=1,0.9,1)</f>
        <v>0.36390870771862388</v>
      </c>
      <c r="X33" s="7" cm="1">
        <f t="array" ref="X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" s="9">
        <f>MAX(kmin, kmax - 0.15 * MIN(Games[[#This Row],[GamesPlayed]], 82))</f>
        <v>75.55</v>
      </c>
      <c r="Z33" s="4">
        <f>Games[[#This Row],[K]]*Games[[#This Row],[POMult]]</f>
        <v>75.55</v>
      </c>
      <c r="AA33" s="4">
        <f>(Games[[#This Row],[Keff]]*Games[[#This Row],[MOVMult]])*(Games[[#This Row],[Result]]-Games[[#This Row],[ExpectedWin%]])</f>
        <v>12.501355616475232</v>
      </c>
      <c r="AB33" s="4">
        <f>Games[[#This Row],[PreGmRate]]+Games[[#This Row],[RatingChange]]</f>
        <v>1507.0441358549519</v>
      </c>
      <c r="AC33" s="2">
        <f>IF(Games[[#This Row],[Type]]="R",IF(Games[[#This Row],[Result]]&gt;0.5,1,0),0)</f>
        <v>1</v>
      </c>
      <c r="AD33" s="2">
        <f>IF(Games[[#This Row],[Type]]="R",IF(Games[[#This Row],[Result]]&lt;0.5,1,0),0)</f>
        <v>0</v>
      </c>
      <c r="AE33" s="2">
        <f>IF(AND(Games[[#This Row],[Type]]="P",Games[[#This Row],[Round]]=1),IF(Games[[#This Row],[Result]]&gt;0.5,1,0),0)</f>
        <v>0</v>
      </c>
      <c r="AF33" s="2">
        <f>IF(AND(Games[[#This Row],[Type]]="P",Games[[#This Row],[Round]]=1),IF(Games[[#This Row],[Result]]&lt;0.5,1,0),0)</f>
        <v>0</v>
      </c>
      <c r="AG33" s="2">
        <f>IF(AND(Games[[#This Row],[Type]]="P",Games[[#This Row],[Round]]=2),IF(Games[[#This Row],[Result]]&gt;0.5,1,0),0)</f>
        <v>0</v>
      </c>
      <c r="AH33" s="2">
        <f>IF(AND(Games[[#This Row],[Type]]="P",Games[[#This Row],[Round]]=2),IF(Games[[#This Row],[Result]]&lt;0.5,1,0),0)</f>
        <v>0</v>
      </c>
      <c r="AI33" s="2">
        <f>IF(AND(Games[[#This Row],[Type]]="P",Games[[#This Row],[Round]]=3),IF(Games[[#This Row],[Result]]&gt;0.5,1,0),0)</f>
        <v>0</v>
      </c>
      <c r="AJ33" s="2">
        <f>IF(AND(Games[[#This Row],[Type]]="P",Games[[#This Row],[Round]]=3),IF(Games[[#This Row],[Result]]&lt;0.5,1,0),0)</f>
        <v>0</v>
      </c>
      <c r="AK33" s="2">
        <f>IF(AND(Games[[#This Row],[Type]]="P",Games[[#This Row],[Round]]=4),IF(Games[[#This Row],[Result]]&gt;0.5,1,0),0)</f>
        <v>0</v>
      </c>
      <c r="AL33" s="2">
        <f>IF(AND(Games[[#This Row],[Type]]="P",Games[[#This Row],[Round]]=4),IF(Games[[#This Row],[Result]]&lt;0.5,1,0),0)</f>
        <v>0</v>
      </c>
    </row>
    <row r="34" spans="1:38" x14ac:dyDescent="0.35">
      <c r="A34" s="10">
        <v>40321</v>
      </c>
      <c r="B34" s="2">
        <v>2010</v>
      </c>
      <c r="C34" s="2">
        <f>COUNTIFS(Games[Team],Games[[#This Row],[Team]],Games[Season],Games[[#This Row],[Season]],Games[Date],"&lt;=" &amp; Games[[#This Row],[Date]])</f>
        <v>4</v>
      </c>
      <c r="D34" s="2" t="s">
        <v>23</v>
      </c>
      <c r="E34" s="2" t="s">
        <v>29</v>
      </c>
      <c r="F34" s="1" t="s">
        <v>69</v>
      </c>
      <c r="G34" s="1" t="s">
        <v>80</v>
      </c>
      <c r="H34" s="1" t="s">
        <v>16</v>
      </c>
      <c r="I34" s="2" cm="1">
        <f t="array" ref="I3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" s="2" cm="1">
        <f t="array" ref="J3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" s="2">
        <f>Games[[#This Row],[DaysOff]]-Games[[#This Row],[OppDaysOff]]</f>
        <v>0</v>
      </c>
      <c r="L34" s="2">
        <f>Games[[#This Row],[OppDaysOff]]-Games[[#This Row],[DaysOff]]</f>
        <v>0</v>
      </c>
      <c r="M34" s="1">
        <f>MAX(-16, MIN(16, Games[[#This Row],[RestDiff]]*8))</f>
        <v>0</v>
      </c>
      <c r="N34" s="1">
        <f>MAX(-16, MIN(16, Games[[#This Row],[OppRestDiff]]*8))</f>
        <v>0</v>
      </c>
      <c r="O34" s="4" cm="1">
        <f t="array" ref="O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1514.4206119952396</v>
      </c>
      <c r="P34" s="4" cm="1">
        <f t="array" ref="P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1488.8062860521793</v>
      </c>
      <c r="Q34" s="4">
        <f>1/(1+10^(((Games[[#This Row],[OppPreGmRate]]+IF(Games[[#This Row],[HomeAway]]="A",HCA,0)+Games[[#This Row],[OppRestAdj]])-(Games[[#This Row],[PreGmRate]]+IF(Games[[#This Row],[HomeAway]]="H",HCA,0)+Games[[#This Row],[RestAdj]]))/400))</f>
        <v>0.4167583695004477</v>
      </c>
      <c r="R34" s="1">
        <v>65</v>
      </c>
      <c r="S34" s="1">
        <v>80</v>
      </c>
      <c r="T34" s="1">
        <v>0</v>
      </c>
      <c r="U34" s="1">
        <f>Games[[#This Row],[PointsFor]]-Games[[#This Row],[PointsAgainst]]</f>
        <v>-15</v>
      </c>
      <c r="V34" s="1">
        <f>IF(Games[[#This Row],[MOV]]&gt;0,1,IF(Games[[#This Row],[MOV]]=0,0.5,0))</f>
        <v>0</v>
      </c>
      <c r="W34" s="4">
        <f>((ABS(Games[[#This Row],[MOV]])+5)^0.6)/(12+0.01*(ABS(Games[[#This Row],[PreGmRate]]-Games[[#This Row],[OppPreGmRate]])))*IF(Games[[#This Row],[OT]]=1,0.9,1)</f>
        <v>0.49233892006786956</v>
      </c>
      <c r="X34" s="7" cm="1">
        <f t="array" ref="X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" s="9">
        <f>MAX(kmin, kmax - 0.15 * MIN(Games[[#This Row],[GamesPlayed]], 82))</f>
        <v>75.400000000000006</v>
      </c>
      <c r="Z34" s="4">
        <f>Games[[#This Row],[K]]*Games[[#This Row],[POMult]]</f>
        <v>75.400000000000006</v>
      </c>
      <c r="AA34" s="4">
        <f>(Games[[#This Row],[Keff]]*Games[[#This Row],[MOVMult]])*(Games[[#This Row],[Result]]-Games[[#This Row],[ExpectedWin%]])</f>
        <v>-15.471051963909883</v>
      </c>
      <c r="AB34" s="4">
        <f>Games[[#This Row],[PreGmRate]]+Games[[#This Row],[RatingChange]]</f>
        <v>1498.9495600313296</v>
      </c>
      <c r="AC34" s="2">
        <f>IF(Games[[#This Row],[Type]]="R",IF(Games[[#This Row],[Result]]&gt;0.5,1,0),0)</f>
        <v>0</v>
      </c>
      <c r="AD34" s="2">
        <f>IF(Games[[#This Row],[Type]]="R",IF(Games[[#This Row],[Result]]&lt;0.5,1,0),0)</f>
        <v>1</v>
      </c>
      <c r="AE34" s="2">
        <f>IF(AND(Games[[#This Row],[Type]]="P",Games[[#This Row],[Round]]=1),IF(Games[[#This Row],[Result]]&gt;0.5,1,0),0)</f>
        <v>0</v>
      </c>
      <c r="AF34" s="2">
        <f>IF(AND(Games[[#This Row],[Type]]="P",Games[[#This Row],[Round]]=1),IF(Games[[#This Row],[Result]]&lt;0.5,1,0),0)</f>
        <v>0</v>
      </c>
      <c r="AG34" s="2">
        <f>IF(AND(Games[[#This Row],[Type]]="P",Games[[#This Row],[Round]]=2),IF(Games[[#This Row],[Result]]&gt;0.5,1,0),0)</f>
        <v>0</v>
      </c>
      <c r="AH34" s="2">
        <f>IF(AND(Games[[#This Row],[Type]]="P",Games[[#This Row],[Round]]=2),IF(Games[[#This Row],[Result]]&lt;0.5,1,0),0)</f>
        <v>0</v>
      </c>
      <c r="AI34" s="2">
        <f>IF(AND(Games[[#This Row],[Type]]="P",Games[[#This Row],[Round]]=3),IF(Games[[#This Row],[Result]]&gt;0.5,1,0),0)</f>
        <v>0</v>
      </c>
      <c r="AJ34" s="2">
        <f>IF(AND(Games[[#This Row],[Type]]="P",Games[[#This Row],[Round]]=3),IF(Games[[#This Row],[Result]]&lt;0.5,1,0),0)</f>
        <v>0</v>
      </c>
      <c r="AK34" s="2">
        <f>IF(AND(Games[[#This Row],[Type]]="P",Games[[#This Row],[Round]]=4),IF(Games[[#This Row],[Result]]&gt;0.5,1,0),0)</f>
        <v>0</v>
      </c>
      <c r="AL34" s="2">
        <f>IF(AND(Games[[#This Row],[Type]]="P",Games[[#This Row],[Round]]=4),IF(Games[[#This Row],[Result]]&lt;0.5,1,0),0)</f>
        <v>0</v>
      </c>
    </row>
    <row r="35" spans="1:38" x14ac:dyDescent="0.35">
      <c r="A35" s="10">
        <v>40321</v>
      </c>
      <c r="B35" s="2">
        <v>2010</v>
      </c>
      <c r="C35" s="2">
        <f>COUNTIFS(Games[Team],Games[[#This Row],[Team]],Games[Season],Games[[#This Row],[Season]],Games[Date],"&lt;=" &amp; Games[[#This Row],[Date]])</f>
        <v>3</v>
      </c>
      <c r="D35" s="2" t="s">
        <v>23</v>
      </c>
      <c r="E35" s="2" t="s">
        <v>29</v>
      </c>
      <c r="F35" s="1" t="s">
        <v>80</v>
      </c>
      <c r="G35" s="1" t="s">
        <v>69</v>
      </c>
      <c r="H35" s="1" t="s">
        <v>15</v>
      </c>
      <c r="I35" s="2" cm="1">
        <f t="array" ref="I3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" s="2" cm="1">
        <f t="array" ref="J3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" s="2">
        <f>Games[[#This Row],[DaysOff]]-Games[[#This Row],[OppDaysOff]]</f>
        <v>0</v>
      </c>
      <c r="L35" s="2">
        <f>Games[[#This Row],[OppDaysOff]]-Games[[#This Row],[DaysOff]]</f>
        <v>0</v>
      </c>
      <c r="M35" s="1">
        <f>MAX(-16, MIN(16, Games[[#This Row],[RestDiff]]*8))</f>
        <v>0</v>
      </c>
      <c r="N35" s="1">
        <f>MAX(-16, MIN(16, Games[[#This Row],[OppRestDiff]]*8))</f>
        <v>0</v>
      </c>
      <c r="O35" s="4" cm="1">
        <f t="array" ref="O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1488.8062860521793</v>
      </c>
      <c r="P35" s="4" cm="1">
        <f t="array" ref="P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1514.4206119952396</v>
      </c>
      <c r="Q35" s="4">
        <f>1/(1+10^(((Games[[#This Row],[OppPreGmRate]]+IF(Games[[#This Row],[HomeAway]]="A",HCA,0)+Games[[#This Row],[OppRestAdj]])-(Games[[#This Row],[PreGmRate]]+IF(Games[[#This Row],[HomeAway]]="H",HCA,0)+Games[[#This Row],[RestAdj]]))/400))</f>
        <v>0.58324163049955235</v>
      </c>
      <c r="R35" s="1">
        <v>80</v>
      </c>
      <c r="S35" s="1">
        <v>65</v>
      </c>
      <c r="T35" s="1">
        <v>0</v>
      </c>
      <c r="U35" s="1">
        <f>Games[[#This Row],[PointsFor]]-Games[[#This Row],[PointsAgainst]]</f>
        <v>15</v>
      </c>
      <c r="V35" s="1">
        <f>IF(Games[[#This Row],[MOV]]&gt;0,1,IF(Games[[#This Row],[MOV]]=0,0.5,0))</f>
        <v>1</v>
      </c>
      <c r="W35" s="4">
        <f>((ABS(Games[[#This Row],[MOV]])+5)^0.6)/(12+0.01*(ABS(Games[[#This Row],[PreGmRate]]-Games[[#This Row],[OppPreGmRate]])))*IF(Games[[#This Row],[OT]]=1,0.9,1)</f>
        <v>0.49233892006786956</v>
      </c>
      <c r="X35" s="7" cm="1">
        <f t="array" ref="X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" s="9">
        <f>MAX(kmin, kmax - 0.15 * MIN(Games[[#This Row],[GamesPlayed]], 82))</f>
        <v>75.55</v>
      </c>
      <c r="Z35" s="4">
        <f>Games[[#This Row],[K]]*Games[[#This Row],[POMult]]</f>
        <v>75.55</v>
      </c>
      <c r="AA35" s="4">
        <f>(Games[[#This Row],[Keff]]*Games[[#This Row],[MOVMult]])*(Games[[#This Row],[Result]]-Games[[#This Row],[ExpectedWin%]])</f>
        <v>15.501829918745242</v>
      </c>
      <c r="AB35" s="4">
        <f>Games[[#This Row],[PreGmRate]]+Games[[#This Row],[RatingChange]]</f>
        <v>1504.3081159709245</v>
      </c>
      <c r="AC35" s="2">
        <f>IF(Games[[#This Row],[Type]]="R",IF(Games[[#This Row],[Result]]&gt;0.5,1,0),0)</f>
        <v>1</v>
      </c>
      <c r="AD35" s="2">
        <f>IF(Games[[#This Row],[Type]]="R",IF(Games[[#This Row],[Result]]&lt;0.5,1,0),0)</f>
        <v>0</v>
      </c>
      <c r="AE35" s="2">
        <f>IF(AND(Games[[#This Row],[Type]]="P",Games[[#This Row],[Round]]=1),IF(Games[[#This Row],[Result]]&gt;0.5,1,0),0)</f>
        <v>0</v>
      </c>
      <c r="AF35" s="2">
        <f>IF(AND(Games[[#This Row],[Type]]="P",Games[[#This Row],[Round]]=1),IF(Games[[#This Row],[Result]]&lt;0.5,1,0),0)</f>
        <v>0</v>
      </c>
      <c r="AG35" s="2">
        <f>IF(AND(Games[[#This Row],[Type]]="P",Games[[#This Row],[Round]]=2),IF(Games[[#This Row],[Result]]&gt;0.5,1,0),0)</f>
        <v>0</v>
      </c>
      <c r="AH35" s="2">
        <f>IF(AND(Games[[#This Row],[Type]]="P",Games[[#This Row],[Round]]=2),IF(Games[[#This Row],[Result]]&lt;0.5,1,0),0)</f>
        <v>0</v>
      </c>
      <c r="AI35" s="2">
        <f>IF(AND(Games[[#This Row],[Type]]="P",Games[[#This Row],[Round]]=3),IF(Games[[#This Row],[Result]]&gt;0.5,1,0),0)</f>
        <v>0</v>
      </c>
      <c r="AJ35" s="2">
        <f>IF(AND(Games[[#This Row],[Type]]="P",Games[[#This Row],[Round]]=3),IF(Games[[#This Row],[Result]]&lt;0.5,1,0),0)</f>
        <v>0</v>
      </c>
      <c r="AK35" s="2">
        <f>IF(AND(Games[[#This Row],[Type]]="P",Games[[#This Row],[Round]]=4),IF(Games[[#This Row],[Result]]&gt;0.5,1,0),0)</f>
        <v>0</v>
      </c>
      <c r="AL35" s="2">
        <f>IF(AND(Games[[#This Row],[Type]]="P",Games[[#This Row],[Round]]=4),IF(Games[[#This Row],[Result]]&lt;0.5,1,0),0)</f>
        <v>0</v>
      </c>
    </row>
    <row r="36" spans="1:38" x14ac:dyDescent="0.35">
      <c r="A36" s="10">
        <v>40321</v>
      </c>
      <c r="B36" s="2">
        <v>2010</v>
      </c>
      <c r="C36" s="2">
        <f>COUNTIFS(Games[Team],Games[[#This Row],[Team]],Games[Season],Games[[#This Row],[Season]],Games[Date],"&lt;=" &amp; Games[[#This Row],[Date]])</f>
        <v>4</v>
      </c>
      <c r="D36" s="2" t="s">
        <v>23</v>
      </c>
      <c r="E36" s="2" t="s">
        <v>29</v>
      </c>
      <c r="F36" s="1" t="s">
        <v>81</v>
      </c>
      <c r="G36" s="1" t="s">
        <v>73</v>
      </c>
      <c r="H36" s="1" t="s">
        <v>16</v>
      </c>
      <c r="I36" s="2" cm="1">
        <f t="array" ref="I36">IFERROR(
    Games[[#This Row],[Date]]
    - LOOKUP(
        2,
        1/((Games[Team]=Games[[#This Row],[Team]]) * (Games[Date] &lt; Games[[#This Row],[Date]])),
        Games[Date]
    )
    - 1,
Games[[#This Row],[Date]]-$A$2)</f>
        <v>0</v>
      </c>
      <c r="J36" s="2" cm="1">
        <f t="array" ref="J36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6" s="2">
        <f>Games[[#This Row],[DaysOff]]-Games[[#This Row],[OppDaysOff]]</f>
        <v>0</v>
      </c>
      <c r="L36" s="2">
        <f>Games[[#This Row],[OppDaysOff]]-Games[[#This Row],[DaysOff]]</f>
        <v>0</v>
      </c>
      <c r="M36" s="1">
        <f>MAX(-16, MIN(16, Games[[#This Row],[RestDiff]]*8))</f>
        <v>0</v>
      </c>
      <c r="N36" s="1">
        <f>MAX(-16, MIN(16, Games[[#This Row],[OppRestDiff]]*8))</f>
        <v>0</v>
      </c>
      <c r="O36" s="4" cm="1">
        <f t="array" ref="O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1439.9232054122151</v>
      </c>
      <c r="P36" s="4" cm="1">
        <f t="array" ref="P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1518.3949401661494</v>
      </c>
      <c r="Q36" s="4">
        <f>1/(1+10^(((Games[[#This Row],[OppPreGmRate]]+IF(Games[[#This Row],[HomeAway]]="A",HCA,0)+Games[[#This Row],[OppRestAdj]])-(Games[[#This Row],[PreGmRate]]+IF(Games[[#This Row],[HomeAway]]="H",HCA,0)+Games[[#This Row],[RestAdj]]))/400))</f>
        <v>0.28185829084311798</v>
      </c>
      <c r="R36" s="1">
        <v>61</v>
      </c>
      <c r="S36" s="1">
        <v>69</v>
      </c>
      <c r="T36" s="1">
        <v>0</v>
      </c>
      <c r="U36" s="1">
        <f>Games[[#This Row],[PointsFor]]-Games[[#This Row],[PointsAgainst]]</f>
        <v>-8</v>
      </c>
      <c r="V36" s="1">
        <f>IF(Games[[#This Row],[MOV]]&gt;0,1,IF(Games[[#This Row],[MOV]]=0,0.5,0))</f>
        <v>0</v>
      </c>
      <c r="W36" s="4">
        <f>((ABS(Games[[#This Row],[MOV]])+5)^0.6)/(12+0.01*(ABS(Games[[#This Row],[PreGmRate]]-Games[[#This Row],[OppPreGmRate]])))*IF(Games[[#This Row],[OT]]=1,0.9,1)</f>
        <v>0.3644809887746896</v>
      </c>
      <c r="X36" s="7" cm="1">
        <f t="array" ref="X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" s="9">
        <f>MAX(kmin, kmax - 0.15 * MIN(Games[[#This Row],[GamesPlayed]], 82))</f>
        <v>75.400000000000006</v>
      </c>
      <c r="Z36" s="4">
        <f>Games[[#This Row],[K]]*Games[[#This Row],[POMult]]</f>
        <v>75.400000000000006</v>
      </c>
      <c r="AA36" s="4">
        <f>(Games[[#This Row],[Keff]]*Games[[#This Row],[MOVMult]])*(Games[[#This Row],[Result]]-Games[[#This Row],[ExpectedWin%]])</f>
        <v>-7.7459919359796148</v>
      </c>
      <c r="AB36" s="4">
        <f>Games[[#This Row],[PreGmRate]]+Games[[#This Row],[RatingChange]]</f>
        <v>1432.1772134762355</v>
      </c>
      <c r="AC36" s="2">
        <f>IF(Games[[#This Row],[Type]]="R",IF(Games[[#This Row],[Result]]&gt;0.5,1,0),0)</f>
        <v>0</v>
      </c>
      <c r="AD36" s="2">
        <f>IF(Games[[#This Row],[Type]]="R",IF(Games[[#This Row],[Result]]&lt;0.5,1,0),0)</f>
        <v>1</v>
      </c>
      <c r="AE36" s="2">
        <f>IF(AND(Games[[#This Row],[Type]]="P",Games[[#This Row],[Round]]=1),IF(Games[[#This Row],[Result]]&gt;0.5,1,0),0)</f>
        <v>0</v>
      </c>
      <c r="AF36" s="2">
        <f>IF(AND(Games[[#This Row],[Type]]="P",Games[[#This Row],[Round]]=1),IF(Games[[#This Row],[Result]]&lt;0.5,1,0),0)</f>
        <v>0</v>
      </c>
      <c r="AG36" s="2">
        <f>IF(AND(Games[[#This Row],[Type]]="P",Games[[#This Row],[Round]]=2),IF(Games[[#This Row],[Result]]&gt;0.5,1,0),0)</f>
        <v>0</v>
      </c>
      <c r="AH36" s="2">
        <f>IF(AND(Games[[#This Row],[Type]]="P",Games[[#This Row],[Round]]=2),IF(Games[[#This Row],[Result]]&lt;0.5,1,0),0)</f>
        <v>0</v>
      </c>
      <c r="AI36" s="2">
        <f>IF(AND(Games[[#This Row],[Type]]="P",Games[[#This Row],[Round]]=3),IF(Games[[#This Row],[Result]]&gt;0.5,1,0),0)</f>
        <v>0</v>
      </c>
      <c r="AJ36" s="2">
        <f>IF(AND(Games[[#This Row],[Type]]="P",Games[[#This Row],[Round]]=3),IF(Games[[#This Row],[Result]]&lt;0.5,1,0),0)</f>
        <v>0</v>
      </c>
      <c r="AK36" s="2">
        <f>IF(AND(Games[[#This Row],[Type]]="P",Games[[#This Row],[Round]]=4),IF(Games[[#This Row],[Result]]&gt;0.5,1,0),0)</f>
        <v>0</v>
      </c>
      <c r="AL36" s="2">
        <f>IF(AND(Games[[#This Row],[Type]]="P",Games[[#This Row],[Round]]=4),IF(Games[[#This Row],[Result]]&lt;0.5,1,0),0)</f>
        <v>0</v>
      </c>
    </row>
    <row r="37" spans="1:38" x14ac:dyDescent="0.35">
      <c r="A37" s="10">
        <v>40321</v>
      </c>
      <c r="B37" s="2">
        <v>2010</v>
      </c>
      <c r="C37" s="2">
        <f>COUNTIFS(Games[Team],Games[[#This Row],[Team]],Games[Season],Games[[#This Row],[Season]],Games[Date],"&lt;=" &amp; Games[[#This Row],[Date]])</f>
        <v>4</v>
      </c>
      <c r="D37" s="2" t="s">
        <v>23</v>
      </c>
      <c r="E37" s="2" t="s">
        <v>29</v>
      </c>
      <c r="F37" s="1" t="s">
        <v>73</v>
      </c>
      <c r="G37" s="1" t="s">
        <v>81</v>
      </c>
      <c r="H37" s="1" t="s">
        <v>15</v>
      </c>
      <c r="I37" s="2" cm="1">
        <f t="array" ref="I37">IFERROR(
    Games[[#This Row],[Date]]
    - LOOKUP(
        2,
        1/((Games[Team]=Games[[#This Row],[Team]]) * (Games[Date] &lt; Games[[#This Row],[Date]])),
        Games[Date]
    )
    - 1,
Games[[#This Row],[Date]]-$A$2)</f>
        <v>0</v>
      </c>
      <c r="J37" s="2" cm="1">
        <f t="array" ref="J3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7" s="2">
        <f>Games[[#This Row],[DaysOff]]-Games[[#This Row],[OppDaysOff]]</f>
        <v>0</v>
      </c>
      <c r="L37" s="2">
        <f>Games[[#This Row],[OppDaysOff]]-Games[[#This Row],[DaysOff]]</f>
        <v>0</v>
      </c>
      <c r="M37" s="1">
        <f>MAX(-16, MIN(16, Games[[#This Row],[RestDiff]]*8))</f>
        <v>0</v>
      </c>
      <c r="N37" s="1">
        <f>MAX(-16, MIN(16, Games[[#This Row],[OppRestDiff]]*8))</f>
        <v>0</v>
      </c>
      <c r="O37" s="4" cm="1">
        <f t="array" ref="O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1518.3949401661494</v>
      </c>
      <c r="P37" s="4" cm="1">
        <f t="array" ref="P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1439.9232054122151</v>
      </c>
      <c r="Q37" s="4">
        <f>1/(1+10^(((Games[[#This Row],[OppPreGmRate]]+IF(Games[[#This Row],[HomeAway]]="A",HCA,0)+Games[[#This Row],[OppRestAdj]])-(Games[[#This Row],[PreGmRate]]+IF(Games[[#This Row],[HomeAway]]="H",HCA,0)+Games[[#This Row],[RestAdj]]))/400))</f>
        <v>0.71814170915688202</v>
      </c>
      <c r="R37" s="1">
        <v>69</v>
      </c>
      <c r="S37" s="1">
        <v>61</v>
      </c>
      <c r="T37" s="1">
        <v>0</v>
      </c>
      <c r="U37" s="1">
        <f>Games[[#This Row],[PointsFor]]-Games[[#This Row],[PointsAgainst]]</f>
        <v>8</v>
      </c>
      <c r="V37" s="1">
        <f>IF(Games[[#This Row],[MOV]]&gt;0,1,IF(Games[[#This Row],[MOV]]=0,0.5,0))</f>
        <v>1</v>
      </c>
      <c r="W37" s="4">
        <f>((ABS(Games[[#This Row],[MOV]])+5)^0.6)/(12+0.01*(ABS(Games[[#This Row],[PreGmRate]]-Games[[#This Row],[OppPreGmRate]])))*IF(Games[[#This Row],[OT]]=1,0.9,1)</f>
        <v>0.3644809887746896</v>
      </c>
      <c r="X37" s="7" cm="1">
        <f t="array" ref="X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" s="9">
        <f>MAX(kmin, kmax - 0.15 * MIN(Games[[#This Row],[GamesPlayed]], 82))</f>
        <v>75.400000000000006</v>
      </c>
      <c r="Z37" s="4">
        <f>Games[[#This Row],[K]]*Games[[#This Row],[POMult]]</f>
        <v>75.400000000000006</v>
      </c>
      <c r="AA37" s="4">
        <f>(Games[[#This Row],[Keff]]*Games[[#This Row],[MOVMult]])*(Games[[#This Row],[Result]]-Games[[#This Row],[ExpectedWin%]])</f>
        <v>7.7459919359796148</v>
      </c>
      <c r="AB37" s="4">
        <f>Games[[#This Row],[PreGmRate]]+Games[[#This Row],[RatingChange]]</f>
        <v>1526.140932102129</v>
      </c>
      <c r="AC37" s="2">
        <f>IF(Games[[#This Row],[Type]]="R",IF(Games[[#This Row],[Result]]&gt;0.5,1,0),0)</f>
        <v>1</v>
      </c>
      <c r="AD37" s="2">
        <f>IF(Games[[#This Row],[Type]]="R",IF(Games[[#This Row],[Result]]&lt;0.5,1,0),0)</f>
        <v>0</v>
      </c>
      <c r="AE37" s="2">
        <f>IF(AND(Games[[#This Row],[Type]]="P",Games[[#This Row],[Round]]=1),IF(Games[[#This Row],[Result]]&gt;0.5,1,0),0)</f>
        <v>0</v>
      </c>
      <c r="AF37" s="2">
        <f>IF(AND(Games[[#This Row],[Type]]="P",Games[[#This Row],[Round]]=1),IF(Games[[#This Row],[Result]]&lt;0.5,1,0),0)</f>
        <v>0</v>
      </c>
      <c r="AG37" s="2">
        <f>IF(AND(Games[[#This Row],[Type]]="P",Games[[#This Row],[Round]]=2),IF(Games[[#This Row],[Result]]&gt;0.5,1,0),0)</f>
        <v>0</v>
      </c>
      <c r="AH37" s="2">
        <f>IF(AND(Games[[#This Row],[Type]]="P",Games[[#This Row],[Round]]=2),IF(Games[[#This Row],[Result]]&lt;0.5,1,0),0)</f>
        <v>0</v>
      </c>
      <c r="AI37" s="2">
        <f>IF(AND(Games[[#This Row],[Type]]="P",Games[[#This Row],[Round]]=3),IF(Games[[#This Row],[Result]]&gt;0.5,1,0),0)</f>
        <v>0</v>
      </c>
      <c r="AJ37" s="2">
        <f>IF(AND(Games[[#This Row],[Type]]="P",Games[[#This Row],[Round]]=3),IF(Games[[#This Row],[Result]]&lt;0.5,1,0),0)</f>
        <v>0</v>
      </c>
      <c r="AK37" s="2">
        <f>IF(AND(Games[[#This Row],[Type]]="P",Games[[#This Row],[Round]]=4),IF(Games[[#This Row],[Result]]&gt;0.5,1,0),0)</f>
        <v>0</v>
      </c>
      <c r="AL37" s="2">
        <f>IF(AND(Games[[#This Row],[Type]]="P",Games[[#This Row],[Round]]=4),IF(Games[[#This Row],[Result]]&lt;0.5,1,0),0)</f>
        <v>0</v>
      </c>
    </row>
    <row r="38" spans="1:38" x14ac:dyDescent="0.35">
      <c r="A38" s="10">
        <v>40321</v>
      </c>
      <c r="B38" s="2">
        <v>2010</v>
      </c>
      <c r="C38" s="2">
        <f>COUNTIFS(Games[Team],Games[[#This Row],[Team]],Games[Season],Games[[#This Row],[Season]],Games[Date],"&lt;=" &amp; Games[[#This Row],[Date]])</f>
        <v>3</v>
      </c>
      <c r="D38" s="2" t="s">
        <v>23</v>
      </c>
      <c r="E38" s="2" t="s">
        <v>29</v>
      </c>
      <c r="F38" s="1" t="s">
        <v>85</v>
      </c>
      <c r="G38" s="1" t="s">
        <v>71</v>
      </c>
      <c r="H38" s="1" t="s">
        <v>16</v>
      </c>
      <c r="I38" s="2" cm="1">
        <f t="array" ref="I38">IFERROR(
    Games[[#This Row],[Date]]
    - LOOKUP(
        2,
        1/((Games[Team]=Games[[#This Row],[Team]]) * (Games[Date] &lt; Games[[#This Row],[Date]])),
        Games[Date]
    )
    - 1,
Games[[#This Row],[Date]]-$A$2)</f>
        <v>2</v>
      </c>
      <c r="J38" s="2" cm="1">
        <f t="array" ref="J3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8" s="2">
        <f>Games[[#This Row],[DaysOff]]-Games[[#This Row],[OppDaysOff]]</f>
        <v>-1</v>
      </c>
      <c r="L38" s="2">
        <f>Games[[#This Row],[OppDaysOff]]-Games[[#This Row],[DaysOff]]</f>
        <v>1</v>
      </c>
      <c r="M38" s="1">
        <f>MAX(-16, MIN(16, Games[[#This Row],[RestDiff]]*8))</f>
        <v>-8</v>
      </c>
      <c r="N38" s="1">
        <f>MAX(-16, MIN(16, Games[[#This Row],[OppRestDiff]]*8))</f>
        <v>8</v>
      </c>
      <c r="O38" s="4" cm="1">
        <f t="array" ref="O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1505.0942358250693</v>
      </c>
      <c r="P38" s="4" cm="1">
        <f t="array" ref="P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1449.4341281870798</v>
      </c>
      <c r="Q38" s="4">
        <f>1/(1+10^(((Games[[#This Row],[OppPreGmRate]]+IF(Games[[#This Row],[HomeAway]]="A",HCA,0)+Games[[#This Row],[OppRestAdj]])-(Games[[#This Row],[PreGmRate]]+IF(Games[[#This Row],[HomeAway]]="H",HCA,0)+Games[[#This Row],[RestAdj]]))/400))</f>
        <v>0.43653394882927155</v>
      </c>
      <c r="R38" s="1">
        <v>94</v>
      </c>
      <c r="S38" s="1">
        <v>82</v>
      </c>
      <c r="T38" s="1">
        <v>0</v>
      </c>
      <c r="U38" s="1">
        <f>Games[[#This Row],[PointsFor]]-Games[[#This Row],[PointsAgainst]]</f>
        <v>12</v>
      </c>
      <c r="V38" s="1">
        <f>IF(Games[[#This Row],[MOV]]&gt;0,1,IF(Games[[#This Row],[MOV]]=0,0.5,0))</f>
        <v>1</v>
      </c>
      <c r="W38" s="4">
        <f>((ABS(Games[[#This Row],[MOV]])+5)^0.6)/(12+0.01*(ABS(Games[[#This Row],[PreGmRate]]-Games[[#This Row],[OppPreGmRate]])))*IF(Games[[#This Row],[OT]]=1,0.9,1)</f>
        <v>0.43591042541080155</v>
      </c>
      <c r="X38" s="7" cm="1">
        <f t="array" ref="X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" s="9">
        <f>MAX(kmin, kmax - 0.15 * MIN(Games[[#This Row],[GamesPlayed]], 82))</f>
        <v>75.55</v>
      </c>
      <c r="Z38" s="4">
        <f>Games[[#This Row],[K]]*Games[[#This Row],[POMult]]</f>
        <v>75.55</v>
      </c>
      <c r="AA38" s="4">
        <f>(Games[[#This Row],[Keff]]*Games[[#This Row],[MOVMult]])*(Games[[#This Row],[Result]]-Games[[#This Row],[ExpectedWin%]])</f>
        <v>18.55664585461696</v>
      </c>
      <c r="AB38" s="4">
        <f>Games[[#This Row],[PreGmRate]]+Games[[#This Row],[RatingChange]]</f>
        <v>1523.6508816796863</v>
      </c>
      <c r="AC38" s="2">
        <f>IF(Games[[#This Row],[Type]]="R",IF(Games[[#This Row],[Result]]&gt;0.5,1,0),0)</f>
        <v>1</v>
      </c>
      <c r="AD38" s="2">
        <f>IF(Games[[#This Row],[Type]]="R",IF(Games[[#This Row],[Result]]&lt;0.5,1,0),0)</f>
        <v>0</v>
      </c>
      <c r="AE38" s="2">
        <f>IF(AND(Games[[#This Row],[Type]]="P",Games[[#This Row],[Round]]=1),IF(Games[[#This Row],[Result]]&gt;0.5,1,0),0)</f>
        <v>0</v>
      </c>
      <c r="AF38" s="2">
        <f>IF(AND(Games[[#This Row],[Type]]="P",Games[[#This Row],[Round]]=1),IF(Games[[#This Row],[Result]]&lt;0.5,1,0),0)</f>
        <v>0</v>
      </c>
      <c r="AG38" s="2">
        <f>IF(AND(Games[[#This Row],[Type]]="P",Games[[#This Row],[Round]]=2),IF(Games[[#This Row],[Result]]&gt;0.5,1,0),0)</f>
        <v>0</v>
      </c>
      <c r="AH38" s="2">
        <f>IF(AND(Games[[#This Row],[Type]]="P",Games[[#This Row],[Round]]=2),IF(Games[[#This Row],[Result]]&lt;0.5,1,0),0)</f>
        <v>0</v>
      </c>
      <c r="AI38" s="2">
        <f>IF(AND(Games[[#This Row],[Type]]="P",Games[[#This Row],[Round]]=3),IF(Games[[#This Row],[Result]]&gt;0.5,1,0),0)</f>
        <v>0</v>
      </c>
      <c r="AJ38" s="2">
        <f>IF(AND(Games[[#This Row],[Type]]="P",Games[[#This Row],[Round]]=3),IF(Games[[#This Row],[Result]]&lt;0.5,1,0),0)</f>
        <v>0</v>
      </c>
      <c r="AK38" s="2">
        <f>IF(AND(Games[[#This Row],[Type]]="P",Games[[#This Row],[Round]]=4),IF(Games[[#This Row],[Result]]&gt;0.5,1,0),0)</f>
        <v>0</v>
      </c>
      <c r="AL38" s="2">
        <f>IF(AND(Games[[#This Row],[Type]]="P",Games[[#This Row],[Round]]=4),IF(Games[[#This Row],[Result]]&lt;0.5,1,0),0)</f>
        <v>0</v>
      </c>
    </row>
    <row r="39" spans="1:38" x14ac:dyDescent="0.35">
      <c r="A39" s="10">
        <v>40321</v>
      </c>
      <c r="B39" s="2">
        <v>2010</v>
      </c>
      <c r="C39" s="2">
        <f>COUNTIFS(Games[Team],Games[[#This Row],[Team]],Games[Season],Games[[#This Row],[Season]],Games[Date],"&lt;=" &amp; Games[[#This Row],[Date]])</f>
        <v>4</v>
      </c>
      <c r="D39" s="2" t="s">
        <v>23</v>
      </c>
      <c r="E39" s="2" t="s">
        <v>29</v>
      </c>
      <c r="F39" s="1" t="s">
        <v>71</v>
      </c>
      <c r="G39" s="1" t="s">
        <v>85</v>
      </c>
      <c r="H39" s="1" t="s">
        <v>15</v>
      </c>
      <c r="I39" s="2" cm="1">
        <f t="array" ref="I39">IFERROR(
    Games[[#This Row],[Date]]
    - LOOKUP(
        2,
        1/((Games[Team]=Games[[#This Row],[Team]]) * (Games[Date] &lt; Games[[#This Row],[Date]])),
        Games[Date]
    )
    - 1,
Games[[#This Row],[Date]]-$A$2)</f>
        <v>3</v>
      </c>
      <c r="J39" s="2" cm="1">
        <f t="array" ref="J3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9" s="2">
        <f>Games[[#This Row],[DaysOff]]-Games[[#This Row],[OppDaysOff]]</f>
        <v>1</v>
      </c>
      <c r="L39" s="2">
        <f>Games[[#This Row],[OppDaysOff]]-Games[[#This Row],[DaysOff]]</f>
        <v>-1</v>
      </c>
      <c r="M39" s="1">
        <f>MAX(-16, MIN(16, Games[[#This Row],[RestDiff]]*8))</f>
        <v>8</v>
      </c>
      <c r="N39" s="1">
        <f>MAX(-16, MIN(16, Games[[#This Row],[OppRestDiff]]*8))</f>
        <v>-8</v>
      </c>
      <c r="O39" s="4" cm="1">
        <f t="array" ref="O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1449.4341281870798</v>
      </c>
      <c r="P39" s="4" cm="1">
        <f t="array" ref="P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1505.0942358250693</v>
      </c>
      <c r="Q39" s="4">
        <f>1/(1+10^(((Games[[#This Row],[OppPreGmRate]]+IF(Games[[#This Row],[HomeAway]]="A",HCA,0)+Games[[#This Row],[OppRestAdj]])-(Games[[#This Row],[PreGmRate]]+IF(Games[[#This Row],[HomeAway]]="H",HCA,0)+Games[[#This Row],[RestAdj]]))/400))</f>
        <v>0.56346605117072845</v>
      </c>
      <c r="R39" s="1">
        <v>82</v>
      </c>
      <c r="S39" s="1">
        <v>94</v>
      </c>
      <c r="T39" s="1">
        <v>0</v>
      </c>
      <c r="U39" s="1">
        <f>Games[[#This Row],[PointsFor]]-Games[[#This Row],[PointsAgainst]]</f>
        <v>-12</v>
      </c>
      <c r="V39" s="1">
        <f>IF(Games[[#This Row],[MOV]]&gt;0,1,IF(Games[[#This Row],[MOV]]=0,0.5,0))</f>
        <v>0</v>
      </c>
      <c r="W39" s="4">
        <f>((ABS(Games[[#This Row],[MOV]])+5)^0.6)/(12+0.01*(ABS(Games[[#This Row],[PreGmRate]]-Games[[#This Row],[OppPreGmRate]])))*IF(Games[[#This Row],[OT]]=1,0.9,1)</f>
        <v>0.43591042541080155</v>
      </c>
      <c r="X39" s="7" cm="1">
        <f t="array" ref="X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" s="9">
        <f>MAX(kmin, kmax - 0.15 * MIN(Games[[#This Row],[GamesPlayed]], 82))</f>
        <v>75.400000000000006</v>
      </c>
      <c r="Z39" s="4">
        <f>Games[[#This Row],[K]]*Games[[#This Row],[POMult]]</f>
        <v>75.400000000000006</v>
      </c>
      <c r="AA39" s="4">
        <f>(Games[[#This Row],[Keff]]*Games[[#This Row],[MOVMult]])*(Games[[#This Row],[Result]]-Games[[#This Row],[ExpectedWin%]])</f>
        <v>-18.519802745706407</v>
      </c>
      <c r="AB39" s="4">
        <f>Games[[#This Row],[PreGmRate]]+Games[[#This Row],[RatingChange]]</f>
        <v>1430.9143254413734</v>
      </c>
      <c r="AC39" s="2">
        <f>IF(Games[[#This Row],[Type]]="R",IF(Games[[#This Row],[Result]]&gt;0.5,1,0),0)</f>
        <v>0</v>
      </c>
      <c r="AD39" s="2">
        <f>IF(Games[[#This Row],[Type]]="R",IF(Games[[#This Row],[Result]]&lt;0.5,1,0),0)</f>
        <v>1</v>
      </c>
      <c r="AE39" s="2">
        <f>IF(AND(Games[[#This Row],[Type]]="P",Games[[#This Row],[Round]]=1),IF(Games[[#This Row],[Result]]&gt;0.5,1,0),0)</f>
        <v>0</v>
      </c>
      <c r="AF39" s="2">
        <f>IF(AND(Games[[#This Row],[Type]]="P",Games[[#This Row],[Round]]=1),IF(Games[[#This Row],[Result]]&lt;0.5,1,0),0)</f>
        <v>0</v>
      </c>
      <c r="AG39" s="2">
        <f>IF(AND(Games[[#This Row],[Type]]="P",Games[[#This Row],[Round]]=2),IF(Games[[#This Row],[Result]]&gt;0.5,1,0),0)</f>
        <v>0</v>
      </c>
      <c r="AH39" s="2">
        <f>IF(AND(Games[[#This Row],[Type]]="P",Games[[#This Row],[Round]]=2),IF(Games[[#This Row],[Result]]&lt;0.5,1,0),0)</f>
        <v>0</v>
      </c>
      <c r="AI39" s="2">
        <f>IF(AND(Games[[#This Row],[Type]]="P",Games[[#This Row],[Round]]=3),IF(Games[[#This Row],[Result]]&gt;0.5,1,0),0)</f>
        <v>0</v>
      </c>
      <c r="AJ39" s="2">
        <f>IF(AND(Games[[#This Row],[Type]]="P",Games[[#This Row],[Round]]=3),IF(Games[[#This Row],[Result]]&lt;0.5,1,0),0)</f>
        <v>0</v>
      </c>
      <c r="AK39" s="2">
        <f>IF(AND(Games[[#This Row],[Type]]="P",Games[[#This Row],[Round]]=4),IF(Games[[#This Row],[Result]]&gt;0.5,1,0),0)</f>
        <v>0</v>
      </c>
      <c r="AL39" s="2">
        <f>IF(AND(Games[[#This Row],[Type]]="P",Games[[#This Row],[Round]]=4),IF(Games[[#This Row],[Result]]&lt;0.5,1,0),0)</f>
        <v>0</v>
      </c>
    </row>
    <row r="40" spans="1:38" x14ac:dyDescent="0.35">
      <c r="A40" s="10">
        <v>40321</v>
      </c>
      <c r="B40" s="2">
        <v>2010</v>
      </c>
      <c r="C40" s="2">
        <f>COUNTIFS(Games[Team],Games[[#This Row],[Team]],Games[Season],Games[[#This Row],[Season]],Games[Date],"&lt;=" &amp; Games[[#This Row],[Date]])</f>
        <v>4</v>
      </c>
      <c r="D40" s="2" t="s">
        <v>23</v>
      </c>
      <c r="E40" s="2" t="s">
        <v>29</v>
      </c>
      <c r="F40" s="1" t="s">
        <v>83</v>
      </c>
      <c r="G40" s="1" t="s">
        <v>64</v>
      </c>
      <c r="H40" s="1" t="s">
        <v>16</v>
      </c>
      <c r="I40" s="2" cm="1">
        <f t="array" ref="I4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" s="2" cm="1">
        <f t="array" ref="J4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" s="2">
        <f>Games[[#This Row],[DaysOff]]-Games[[#This Row],[OppDaysOff]]</f>
        <v>0</v>
      </c>
      <c r="L40" s="2">
        <f>Games[[#This Row],[OppDaysOff]]-Games[[#This Row],[DaysOff]]</f>
        <v>0</v>
      </c>
      <c r="M40" s="1">
        <f>MAX(-16, MIN(16, Games[[#This Row],[RestDiff]]*8))</f>
        <v>0</v>
      </c>
      <c r="N40" s="1">
        <f>MAX(-16, MIN(16, Games[[#This Row],[OppRestDiff]]*8))</f>
        <v>0</v>
      </c>
      <c r="O40" s="4" cm="1">
        <f t="array" ref="O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1532.4483066524658</v>
      </c>
      <c r="P40" s="4" cm="1">
        <f t="array" ref="P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1467.6229884989093</v>
      </c>
      <c r="Q40" s="4">
        <f>1/(1+10^(((Games[[#This Row],[OppPreGmRate]]+IF(Games[[#This Row],[HomeAway]]="A",HCA,0)+Games[[#This Row],[OppRestAdj]])-(Games[[#This Row],[PreGmRate]]+IF(Games[[#This Row],[HomeAway]]="H",HCA,0)+Games[[#This Row],[RestAdj]]))/400))</f>
        <v>0.47243339681729102</v>
      </c>
      <c r="R40" s="1">
        <v>86</v>
      </c>
      <c r="S40" s="1">
        <v>77</v>
      </c>
      <c r="T40" s="1">
        <v>0</v>
      </c>
      <c r="U40" s="1">
        <f>Games[[#This Row],[PointsFor]]-Games[[#This Row],[PointsAgainst]]</f>
        <v>9</v>
      </c>
      <c r="V40" s="1">
        <f>IF(Games[[#This Row],[MOV]]&gt;0,1,IF(Games[[#This Row],[MOV]]=0,0.5,0))</f>
        <v>1</v>
      </c>
      <c r="W40" s="4">
        <f>((ABS(Games[[#This Row],[MOV]])+5)^0.6)/(12+0.01*(ABS(Games[[#This Row],[PreGmRate]]-Games[[#This Row],[OppPreGmRate]])))*IF(Games[[#This Row],[OT]]=1,0.9,1)</f>
        <v>0.3851645168582456</v>
      </c>
      <c r="X40" s="7" cm="1">
        <f t="array" ref="X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" s="9">
        <f>MAX(kmin, kmax - 0.15 * MIN(Games[[#This Row],[GamesPlayed]], 82))</f>
        <v>75.400000000000006</v>
      </c>
      <c r="Z40" s="4">
        <f>Games[[#This Row],[K]]*Games[[#This Row],[POMult]]</f>
        <v>75.400000000000006</v>
      </c>
      <c r="AA40" s="4">
        <f>(Games[[#This Row],[Keff]]*Games[[#This Row],[MOVMult]])*(Games[[#This Row],[Result]]-Games[[#This Row],[ExpectedWin%]])</f>
        <v>15.321275161236207</v>
      </c>
      <c r="AB40" s="4">
        <f>Games[[#This Row],[PreGmRate]]+Games[[#This Row],[RatingChange]]</f>
        <v>1547.769581813702</v>
      </c>
      <c r="AC40" s="2">
        <f>IF(Games[[#This Row],[Type]]="R",IF(Games[[#This Row],[Result]]&gt;0.5,1,0),0)</f>
        <v>1</v>
      </c>
      <c r="AD40" s="2">
        <f>IF(Games[[#This Row],[Type]]="R",IF(Games[[#This Row],[Result]]&lt;0.5,1,0),0)</f>
        <v>0</v>
      </c>
      <c r="AE40" s="2">
        <f>IF(AND(Games[[#This Row],[Type]]="P",Games[[#This Row],[Round]]=1),IF(Games[[#This Row],[Result]]&gt;0.5,1,0),0)</f>
        <v>0</v>
      </c>
      <c r="AF40" s="2">
        <f>IF(AND(Games[[#This Row],[Type]]="P",Games[[#This Row],[Round]]=1),IF(Games[[#This Row],[Result]]&lt;0.5,1,0),0)</f>
        <v>0</v>
      </c>
      <c r="AG40" s="2">
        <f>IF(AND(Games[[#This Row],[Type]]="P",Games[[#This Row],[Round]]=2),IF(Games[[#This Row],[Result]]&gt;0.5,1,0),0)</f>
        <v>0</v>
      </c>
      <c r="AH40" s="2">
        <f>IF(AND(Games[[#This Row],[Type]]="P",Games[[#This Row],[Round]]=2),IF(Games[[#This Row],[Result]]&lt;0.5,1,0),0)</f>
        <v>0</v>
      </c>
      <c r="AI40" s="2">
        <f>IF(AND(Games[[#This Row],[Type]]="P",Games[[#This Row],[Round]]=3),IF(Games[[#This Row],[Result]]&gt;0.5,1,0),0)</f>
        <v>0</v>
      </c>
      <c r="AJ40" s="2">
        <f>IF(AND(Games[[#This Row],[Type]]="P",Games[[#This Row],[Round]]=3),IF(Games[[#This Row],[Result]]&lt;0.5,1,0),0)</f>
        <v>0</v>
      </c>
      <c r="AK40" s="2">
        <f>IF(AND(Games[[#This Row],[Type]]="P",Games[[#This Row],[Round]]=4),IF(Games[[#This Row],[Result]]&gt;0.5,1,0),0)</f>
        <v>0</v>
      </c>
      <c r="AL40" s="2">
        <f>IF(AND(Games[[#This Row],[Type]]="P",Games[[#This Row],[Round]]=4),IF(Games[[#This Row],[Result]]&lt;0.5,1,0),0)</f>
        <v>0</v>
      </c>
    </row>
    <row r="41" spans="1:38" x14ac:dyDescent="0.35">
      <c r="A41" s="10">
        <v>40321</v>
      </c>
      <c r="B41" s="2">
        <v>2010</v>
      </c>
      <c r="C41" s="2">
        <f>COUNTIFS(Games[Team],Games[[#This Row],[Team]],Games[Season],Games[[#This Row],[Season]],Games[Date],"&lt;=" &amp; Games[[#This Row],[Date]])</f>
        <v>3</v>
      </c>
      <c r="D41" s="2" t="s">
        <v>23</v>
      </c>
      <c r="E41" s="2" t="s">
        <v>29</v>
      </c>
      <c r="F41" s="1" t="s">
        <v>64</v>
      </c>
      <c r="G41" s="1" t="s">
        <v>83</v>
      </c>
      <c r="H41" s="1" t="s">
        <v>15</v>
      </c>
      <c r="I41" s="2" cm="1">
        <f t="array" ref="I41">IFERROR(
    Games[[#This Row],[Date]]
    - LOOKUP(
        2,
        1/((Games[Team]=Games[[#This Row],[Team]]) * (Games[Date] &lt; Games[[#This Row],[Date]])),
        Games[Date]
    )
    - 1,
Games[[#This Row],[Date]]-$A$2)</f>
        <v>1</v>
      </c>
      <c r="J41" s="2" cm="1">
        <f t="array" ref="J4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1" s="2">
        <f>Games[[#This Row],[DaysOff]]-Games[[#This Row],[OppDaysOff]]</f>
        <v>0</v>
      </c>
      <c r="L41" s="2">
        <f>Games[[#This Row],[OppDaysOff]]-Games[[#This Row],[DaysOff]]</f>
        <v>0</v>
      </c>
      <c r="M41" s="1">
        <f>MAX(-16, MIN(16, Games[[#This Row],[RestDiff]]*8))</f>
        <v>0</v>
      </c>
      <c r="N41" s="1">
        <f>MAX(-16, MIN(16, Games[[#This Row],[OppRestDiff]]*8))</f>
        <v>0</v>
      </c>
      <c r="O41" s="4" cm="1">
        <f t="array" ref="O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1467.6229884989093</v>
      </c>
      <c r="P41" s="4" cm="1">
        <f t="array" ref="P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1532.4483066524658</v>
      </c>
      <c r="Q41" s="4">
        <f>1/(1+10^(((Games[[#This Row],[OppPreGmRate]]+IF(Games[[#This Row],[HomeAway]]="A",HCA,0)+Games[[#This Row],[OppRestAdj]])-(Games[[#This Row],[PreGmRate]]+IF(Games[[#This Row],[HomeAway]]="H",HCA,0)+Games[[#This Row],[RestAdj]]))/400))</f>
        <v>0.52756660318270898</v>
      </c>
      <c r="R41" s="1">
        <v>77</v>
      </c>
      <c r="S41" s="1">
        <v>86</v>
      </c>
      <c r="T41" s="1">
        <v>0</v>
      </c>
      <c r="U41" s="1">
        <f>Games[[#This Row],[PointsFor]]-Games[[#This Row],[PointsAgainst]]</f>
        <v>-9</v>
      </c>
      <c r="V41" s="1">
        <f>IF(Games[[#This Row],[MOV]]&gt;0,1,IF(Games[[#This Row],[MOV]]=0,0.5,0))</f>
        <v>0</v>
      </c>
      <c r="W41" s="4">
        <f>((ABS(Games[[#This Row],[MOV]])+5)^0.6)/(12+0.01*(ABS(Games[[#This Row],[PreGmRate]]-Games[[#This Row],[OppPreGmRate]])))*IF(Games[[#This Row],[OT]]=1,0.9,1)</f>
        <v>0.3851645168582456</v>
      </c>
      <c r="X41" s="7" cm="1">
        <f t="array" ref="X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" s="9">
        <f>MAX(kmin, kmax - 0.15 * MIN(Games[[#This Row],[GamesPlayed]], 82))</f>
        <v>75.55</v>
      </c>
      <c r="Z41" s="4">
        <f>Games[[#This Row],[K]]*Games[[#This Row],[POMult]]</f>
        <v>75.55</v>
      </c>
      <c r="AA41" s="4">
        <f>(Games[[#This Row],[Keff]]*Games[[#This Row],[MOVMult]])*(Games[[#This Row],[Result]]-Games[[#This Row],[ExpectedWin%]])</f>
        <v>-15.351755151610018</v>
      </c>
      <c r="AB41" s="4">
        <f>Games[[#This Row],[PreGmRate]]+Games[[#This Row],[RatingChange]]</f>
        <v>1452.2712333472994</v>
      </c>
      <c r="AC41" s="2">
        <f>IF(Games[[#This Row],[Type]]="R",IF(Games[[#This Row],[Result]]&gt;0.5,1,0),0)</f>
        <v>0</v>
      </c>
      <c r="AD41" s="2">
        <f>IF(Games[[#This Row],[Type]]="R",IF(Games[[#This Row],[Result]]&lt;0.5,1,0),0)</f>
        <v>1</v>
      </c>
      <c r="AE41" s="2">
        <f>IF(AND(Games[[#This Row],[Type]]="P",Games[[#This Row],[Round]]=1),IF(Games[[#This Row],[Result]]&gt;0.5,1,0),0)</f>
        <v>0</v>
      </c>
      <c r="AF41" s="2">
        <f>IF(AND(Games[[#This Row],[Type]]="P",Games[[#This Row],[Round]]=1),IF(Games[[#This Row],[Result]]&lt;0.5,1,0),0)</f>
        <v>0</v>
      </c>
      <c r="AG41" s="2">
        <f>IF(AND(Games[[#This Row],[Type]]="P",Games[[#This Row],[Round]]=2),IF(Games[[#This Row],[Result]]&gt;0.5,1,0),0)</f>
        <v>0</v>
      </c>
      <c r="AH41" s="2">
        <f>IF(AND(Games[[#This Row],[Type]]="P",Games[[#This Row],[Round]]=2),IF(Games[[#This Row],[Result]]&lt;0.5,1,0),0)</f>
        <v>0</v>
      </c>
      <c r="AI41" s="2">
        <f>IF(AND(Games[[#This Row],[Type]]="P",Games[[#This Row],[Round]]=3),IF(Games[[#This Row],[Result]]&gt;0.5,1,0),0)</f>
        <v>0</v>
      </c>
      <c r="AJ41" s="2">
        <f>IF(AND(Games[[#This Row],[Type]]="P",Games[[#This Row],[Round]]=3),IF(Games[[#This Row],[Result]]&lt;0.5,1,0),0)</f>
        <v>0</v>
      </c>
      <c r="AK41" s="2">
        <f>IF(AND(Games[[#This Row],[Type]]="P",Games[[#This Row],[Round]]=4),IF(Games[[#This Row],[Result]]&gt;0.5,1,0),0)</f>
        <v>0</v>
      </c>
      <c r="AL41" s="2">
        <f>IF(AND(Games[[#This Row],[Type]]="P",Games[[#This Row],[Round]]=4),IF(Games[[#This Row],[Result]]&lt;0.5,1,0),0)</f>
        <v>0</v>
      </c>
    </row>
    <row r="42" spans="1:38" x14ac:dyDescent="0.35">
      <c r="A42" s="10">
        <v>40323</v>
      </c>
      <c r="B42" s="2">
        <v>2010</v>
      </c>
      <c r="C42" s="2">
        <f>COUNTIFS(Games[Team],Games[[#This Row],[Team]],Games[Season],Games[[#This Row],[Season]],Games[Date],"&lt;=" &amp; Games[[#This Row],[Date]])</f>
        <v>5</v>
      </c>
      <c r="D42" s="2" t="s">
        <v>23</v>
      </c>
      <c r="E42" s="2" t="s">
        <v>29</v>
      </c>
      <c r="F42" s="1" t="s">
        <v>69</v>
      </c>
      <c r="G42" s="1" t="s">
        <v>75</v>
      </c>
      <c r="H42" s="1" t="s">
        <v>16</v>
      </c>
      <c r="I42" s="2" cm="1">
        <f t="array" ref="I4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" s="2" cm="1">
        <f t="array" ref="J4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2" s="2">
        <f>Games[[#This Row],[DaysOff]]-Games[[#This Row],[OppDaysOff]]</f>
        <v>-1</v>
      </c>
      <c r="L42" s="2">
        <f>Games[[#This Row],[OppDaysOff]]-Games[[#This Row],[DaysOff]]</f>
        <v>1</v>
      </c>
      <c r="M42" s="1">
        <f>MAX(-16, MIN(16, Games[[#This Row],[RestDiff]]*8))</f>
        <v>-8</v>
      </c>
      <c r="N42" s="1">
        <f>MAX(-16, MIN(16, Games[[#This Row],[OppRestDiff]]*8))</f>
        <v>8</v>
      </c>
      <c r="O42" s="4" cm="1">
        <f t="array" ref="O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1498.9495600313296</v>
      </c>
      <c r="P42" s="4" cm="1">
        <f t="array" ref="P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1552.5417575915305</v>
      </c>
      <c r="Q42" s="4">
        <f>1/(1+10^(((Games[[#This Row],[OppPreGmRate]]+IF(Games[[#This Row],[HomeAway]]="A",HCA,0)+Games[[#This Row],[OppRestAdj]])-(Games[[#This Row],[PreGmRate]]+IF(Games[[#This Row],[HomeAway]]="H",HCA,0)+Games[[#This Row],[RestAdj]]))/400))</f>
        <v>0.29231899880347861</v>
      </c>
      <c r="R42" s="1">
        <v>76</v>
      </c>
      <c r="S42" s="1">
        <v>82</v>
      </c>
      <c r="T42" s="1">
        <v>0</v>
      </c>
      <c r="U42" s="1">
        <f>Games[[#This Row],[PointsFor]]-Games[[#This Row],[PointsAgainst]]</f>
        <v>-6</v>
      </c>
      <c r="V42" s="1">
        <f>IF(Games[[#This Row],[MOV]]&gt;0,1,IF(Games[[#This Row],[MOV]]=0,0.5,0))</f>
        <v>0</v>
      </c>
      <c r="W42" s="4">
        <f>((ABS(Games[[#This Row],[MOV]])+5)^0.6)/(12+0.01*(ABS(Games[[#This Row],[PreGmRate]]-Games[[#This Row],[OppPreGmRate]])))*IF(Games[[#This Row],[OT]]=1,0.9,1)</f>
        <v>0.33626319159420792</v>
      </c>
      <c r="X42" s="7" cm="1">
        <f t="array" ref="X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" s="9">
        <f>MAX(kmin, kmax - 0.15 * MIN(Games[[#This Row],[GamesPlayed]], 82))</f>
        <v>75.25</v>
      </c>
      <c r="Z42" s="4">
        <f>Games[[#This Row],[K]]*Games[[#This Row],[POMult]]</f>
        <v>75.25</v>
      </c>
      <c r="AA42" s="4">
        <f>(Games[[#This Row],[Keff]]*Games[[#This Row],[MOVMult]])*(Games[[#This Row],[Result]]-Games[[#This Row],[ExpectedWin%]])</f>
        <v>-7.3967829924714072</v>
      </c>
      <c r="AB42" s="4">
        <f>Games[[#This Row],[PreGmRate]]+Games[[#This Row],[RatingChange]]</f>
        <v>1491.5527770388583</v>
      </c>
      <c r="AC42" s="2">
        <f>IF(Games[[#This Row],[Type]]="R",IF(Games[[#This Row],[Result]]&gt;0.5,1,0),0)</f>
        <v>0</v>
      </c>
      <c r="AD42" s="2">
        <f>IF(Games[[#This Row],[Type]]="R",IF(Games[[#This Row],[Result]]&lt;0.5,1,0),0)</f>
        <v>1</v>
      </c>
      <c r="AE42" s="2">
        <f>IF(AND(Games[[#This Row],[Type]]="P",Games[[#This Row],[Round]]=1),IF(Games[[#This Row],[Result]]&gt;0.5,1,0),0)</f>
        <v>0</v>
      </c>
      <c r="AF42" s="2">
        <f>IF(AND(Games[[#This Row],[Type]]="P",Games[[#This Row],[Round]]=1),IF(Games[[#This Row],[Result]]&lt;0.5,1,0),0)</f>
        <v>0</v>
      </c>
      <c r="AG42" s="2">
        <f>IF(AND(Games[[#This Row],[Type]]="P",Games[[#This Row],[Round]]=2),IF(Games[[#This Row],[Result]]&gt;0.5,1,0),0)</f>
        <v>0</v>
      </c>
      <c r="AH42" s="2">
        <f>IF(AND(Games[[#This Row],[Type]]="P",Games[[#This Row],[Round]]=2),IF(Games[[#This Row],[Result]]&lt;0.5,1,0),0)</f>
        <v>0</v>
      </c>
      <c r="AI42" s="2">
        <f>IF(AND(Games[[#This Row],[Type]]="P",Games[[#This Row],[Round]]=3),IF(Games[[#This Row],[Result]]&gt;0.5,1,0),0)</f>
        <v>0</v>
      </c>
      <c r="AJ42" s="2">
        <f>IF(AND(Games[[#This Row],[Type]]="P",Games[[#This Row],[Round]]=3),IF(Games[[#This Row],[Result]]&lt;0.5,1,0),0)</f>
        <v>0</v>
      </c>
      <c r="AK42" s="2">
        <f>IF(AND(Games[[#This Row],[Type]]="P",Games[[#This Row],[Round]]=4),IF(Games[[#This Row],[Result]]&gt;0.5,1,0),0)</f>
        <v>0</v>
      </c>
      <c r="AL42" s="2">
        <f>IF(AND(Games[[#This Row],[Type]]="P",Games[[#This Row],[Round]]=4),IF(Games[[#This Row],[Result]]&lt;0.5,1,0),0)</f>
        <v>0</v>
      </c>
    </row>
    <row r="43" spans="1:38" x14ac:dyDescent="0.35">
      <c r="A43" s="10">
        <v>40323</v>
      </c>
      <c r="B43" s="2">
        <v>2010</v>
      </c>
      <c r="C43" s="2">
        <f>COUNTIFS(Games[Team],Games[[#This Row],[Team]],Games[Season],Games[[#This Row],[Season]],Games[Date],"&lt;=" &amp; Games[[#This Row],[Date]])</f>
        <v>4</v>
      </c>
      <c r="D43" s="2" t="s">
        <v>23</v>
      </c>
      <c r="E43" s="2" t="s">
        <v>29</v>
      </c>
      <c r="F43" s="1" t="s">
        <v>75</v>
      </c>
      <c r="G43" s="1" t="s">
        <v>69</v>
      </c>
      <c r="H43" s="1" t="s">
        <v>15</v>
      </c>
      <c r="I43" s="2" cm="1">
        <f t="array" ref="I43">IFERROR(
    Games[[#This Row],[Date]]
    - LOOKUP(
        2,
        1/((Games[Team]=Games[[#This Row],[Team]]) * (Games[Date] &lt; Games[[#This Row],[Date]])),
        Games[Date]
    )
    - 1,
Games[[#This Row],[Date]]-$A$2)</f>
        <v>2</v>
      </c>
      <c r="J43" s="2" cm="1">
        <f t="array" ref="J4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" s="2">
        <f>Games[[#This Row],[DaysOff]]-Games[[#This Row],[OppDaysOff]]</f>
        <v>1</v>
      </c>
      <c r="L43" s="2">
        <f>Games[[#This Row],[OppDaysOff]]-Games[[#This Row],[DaysOff]]</f>
        <v>-1</v>
      </c>
      <c r="M43" s="1">
        <f>MAX(-16, MIN(16, Games[[#This Row],[RestDiff]]*8))</f>
        <v>8</v>
      </c>
      <c r="N43" s="1">
        <f>MAX(-16, MIN(16, Games[[#This Row],[OppRestDiff]]*8))</f>
        <v>-8</v>
      </c>
      <c r="O43" s="4" cm="1">
        <f t="array" ref="O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1552.5417575915305</v>
      </c>
      <c r="P43" s="4" cm="1">
        <f t="array" ref="P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1498.9495600313296</v>
      </c>
      <c r="Q43" s="4">
        <f>1/(1+10^(((Games[[#This Row],[OppPreGmRate]]+IF(Games[[#This Row],[HomeAway]]="A",HCA,0)+Games[[#This Row],[OppRestAdj]])-(Games[[#This Row],[PreGmRate]]+IF(Games[[#This Row],[HomeAway]]="H",HCA,0)+Games[[#This Row],[RestAdj]]))/400))</f>
        <v>0.70768100119652133</v>
      </c>
      <c r="R43" s="1">
        <v>82</v>
      </c>
      <c r="S43" s="1">
        <v>76</v>
      </c>
      <c r="T43" s="1">
        <v>0</v>
      </c>
      <c r="U43" s="1">
        <f>Games[[#This Row],[PointsFor]]-Games[[#This Row],[PointsAgainst]]</f>
        <v>6</v>
      </c>
      <c r="V43" s="1">
        <f>IF(Games[[#This Row],[MOV]]&gt;0,1,IF(Games[[#This Row],[MOV]]=0,0.5,0))</f>
        <v>1</v>
      </c>
      <c r="W43" s="4">
        <f>((ABS(Games[[#This Row],[MOV]])+5)^0.6)/(12+0.01*(ABS(Games[[#This Row],[PreGmRate]]-Games[[#This Row],[OppPreGmRate]])))*IF(Games[[#This Row],[OT]]=1,0.9,1)</f>
        <v>0.33626319159420792</v>
      </c>
      <c r="X43" s="7" cm="1">
        <f t="array" ref="X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" s="9">
        <f>MAX(kmin, kmax - 0.15 * MIN(Games[[#This Row],[GamesPlayed]], 82))</f>
        <v>75.400000000000006</v>
      </c>
      <c r="Z43" s="4">
        <f>Games[[#This Row],[K]]*Games[[#This Row],[POMult]]</f>
        <v>75.400000000000006</v>
      </c>
      <c r="AA43" s="4">
        <f>(Games[[#This Row],[Keff]]*Games[[#This Row],[MOVMult]])*(Games[[#This Row],[Result]]-Games[[#This Row],[ExpectedWin%]])</f>
        <v>7.4115274103966025</v>
      </c>
      <c r="AB43" s="4">
        <f>Games[[#This Row],[PreGmRate]]+Games[[#This Row],[RatingChange]]</f>
        <v>1559.953285001927</v>
      </c>
      <c r="AC43" s="2">
        <f>IF(Games[[#This Row],[Type]]="R",IF(Games[[#This Row],[Result]]&gt;0.5,1,0),0)</f>
        <v>1</v>
      </c>
      <c r="AD43" s="2">
        <f>IF(Games[[#This Row],[Type]]="R",IF(Games[[#This Row],[Result]]&lt;0.5,1,0),0)</f>
        <v>0</v>
      </c>
      <c r="AE43" s="2">
        <f>IF(AND(Games[[#This Row],[Type]]="P",Games[[#This Row],[Round]]=1),IF(Games[[#This Row],[Result]]&gt;0.5,1,0),0)</f>
        <v>0</v>
      </c>
      <c r="AF43" s="2">
        <f>IF(AND(Games[[#This Row],[Type]]="P",Games[[#This Row],[Round]]=1),IF(Games[[#This Row],[Result]]&lt;0.5,1,0),0)</f>
        <v>0</v>
      </c>
      <c r="AG43" s="2">
        <f>IF(AND(Games[[#This Row],[Type]]="P",Games[[#This Row],[Round]]=2),IF(Games[[#This Row],[Result]]&gt;0.5,1,0),0)</f>
        <v>0</v>
      </c>
      <c r="AH43" s="2">
        <f>IF(AND(Games[[#This Row],[Type]]="P",Games[[#This Row],[Round]]=2),IF(Games[[#This Row],[Result]]&lt;0.5,1,0),0)</f>
        <v>0</v>
      </c>
      <c r="AI43" s="2">
        <f>IF(AND(Games[[#This Row],[Type]]="P",Games[[#This Row],[Round]]=3),IF(Games[[#This Row],[Result]]&gt;0.5,1,0),0)</f>
        <v>0</v>
      </c>
      <c r="AJ43" s="2">
        <f>IF(AND(Games[[#This Row],[Type]]="P",Games[[#This Row],[Round]]=3),IF(Games[[#This Row],[Result]]&lt;0.5,1,0),0)</f>
        <v>0</v>
      </c>
      <c r="AK43" s="2">
        <f>IF(AND(Games[[#This Row],[Type]]="P",Games[[#This Row],[Round]]=4),IF(Games[[#This Row],[Result]]&gt;0.5,1,0),0)</f>
        <v>0</v>
      </c>
      <c r="AL43" s="2">
        <f>IF(AND(Games[[#This Row],[Type]]="P",Games[[#This Row],[Round]]=4),IF(Games[[#This Row],[Result]]&lt;0.5,1,0),0)</f>
        <v>0</v>
      </c>
    </row>
    <row r="44" spans="1:38" x14ac:dyDescent="0.35">
      <c r="A44" s="10">
        <v>40323</v>
      </c>
      <c r="B44" s="2">
        <v>2010</v>
      </c>
      <c r="C44" s="2">
        <f>COUNTIFS(Games[Team],Games[[#This Row],[Team]],Games[Season],Games[[#This Row],[Season]],Games[Date],"&lt;=" &amp; Games[[#This Row],[Date]])</f>
        <v>3</v>
      </c>
      <c r="D44" s="2" t="s">
        <v>23</v>
      </c>
      <c r="E44" s="2" t="s">
        <v>29</v>
      </c>
      <c r="F44" s="1" t="s">
        <v>44</v>
      </c>
      <c r="G44" s="1" t="s">
        <v>85</v>
      </c>
      <c r="H44" s="1" t="s">
        <v>16</v>
      </c>
      <c r="I44" s="2" cm="1">
        <f t="array" ref="I44">IFERROR(
    Games[[#This Row],[Date]]
    - LOOKUP(
        2,
        1/((Games[Team]=Games[[#This Row],[Team]]) * (Games[Date] &lt; Games[[#This Row],[Date]])),
        Games[Date]
    )
    - 1,
Games[[#This Row],[Date]]-$A$2)</f>
        <v>2</v>
      </c>
      <c r="J44" s="2" cm="1">
        <f t="array" ref="J4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4" s="2">
        <f>Games[[#This Row],[DaysOff]]-Games[[#This Row],[OppDaysOff]]</f>
        <v>1</v>
      </c>
      <c r="L44" s="2">
        <f>Games[[#This Row],[OppDaysOff]]-Games[[#This Row],[DaysOff]]</f>
        <v>-1</v>
      </c>
      <c r="M44" s="1">
        <f>MAX(-16, MIN(16, Games[[#This Row],[RestDiff]]*8))</f>
        <v>8</v>
      </c>
      <c r="N44" s="1">
        <f>MAX(-16, MIN(16, Games[[#This Row],[OppRestDiff]]*8))</f>
        <v>-8</v>
      </c>
      <c r="O44" s="4" cm="1">
        <f t="array" ref="O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1560.271050052015</v>
      </c>
      <c r="P44" s="4" cm="1">
        <f t="array" ref="P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1523.6508816796863</v>
      </c>
      <c r="Q44" s="4">
        <f>1/(1+10^(((Games[[#This Row],[OppPreGmRate]]+IF(Games[[#This Row],[HomeAway]]="A",HCA,0)+Games[[#This Row],[OppRestAdj]])-(Games[[#This Row],[PreGmRate]]+IF(Games[[#This Row],[HomeAway]]="H",HCA,0)+Games[[#This Row],[RestAdj]]))/400))</f>
        <v>0.45496318696758176</v>
      </c>
      <c r="R44" s="1">
        <v>110</v>
      </c>
      <c r="S44" s="1">
        <v>96</v>
      </c>
      <c r="T44" s="1">
        <v>0</v>
      </c>
      <c r="U44" s="1">
        <f>Games[[#This Row],[PointsFor]]-Games[[#This Row],[PointsAgainst]]</f>
        <v>14</v>
      </c>
      <c r="V44" s="1">
        <f>IF(Games[[#This Row],[MOV]]&gt;0,1,IF(Games[[#This Row],[MOV]]=0,0.5,0))</f>
        <v>1</v>
      </c>
      <c r="W44" s="4">
        <f>((ABS(Games[[#This Row],[MOV]])+5)^0.6)/(12+0.01*(ABS(Games[[#This Row],[PreGmRate]]-Games[[#This Row],[OppPreGmRate]])))*IF(Games[[#This Row],[OT]]=1,0.9,1)</f>
        <v>0.47316851140401855</v>
      </c>
      <c r="X44" s="7" cm="1">
        <f t="array" ref="X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4" s="9">
        <f>MAX(kmin, kmax - 0.15 * MIN(Games[[#This Row],[GamesPlayed]], 82))</f>
        <v>75.55</v>
      </c>
      <c r="Z44" s="4">
        <f>Games[[#This Row],[K]]*Games[[#This Row],[POMult]]</f>
        <v>75.55</v>
      </c>
      <c r="AA44" s="4">
        <f>(Games[[#This Row],[Keff]]*Games[[#This Row],[MOVMult]])*(Games[[#This Row],[Result]]-Games[[#This Row],[ExpectedWin%]])</f>
        <v>19.483911152836097</v>
      </c>
      <c r="AB44" s="4">
        <f>Games[[#This Row],[PreGmRate]]+Games[[#This Row],[RatingChange]]</f>
        <v>1579.754961204851</v>
      </c>
      <c r="AC44" s="2">
        <f>IF(Games[[#This Row],[Type]]="R",IF(Games[[#This Row],[Result]]&gt;0.5,1,0),0)</f>
        <v>1</v>
      </c>
      <c r="AD44" s="2">
        <f>IF(Games[[#This Row],[Type]]="R",IF(Games[[#This Row],[Result]]&lt;0.5,1,0),0)</f>
        <v>0</v>
      </c>
      <c r="AE44" s="2">
        <f>IF(AND(Games[[#This Row],[Type]]="P",Games[[#This Row],[Round]]=1),IF(Games[[#This Row],[Result]]&gt;0.5,1,0),0)</f>
        <v>0</v>
      </c>
      <c r="AF44" s="2">
        <f>IF(AND(Games[[#This Row],[Type]]="P",Games[[#This Row],[Round]]=1),IF(Games[[#This Row],[Result]]&lt;0.5,1,0),0)</f>
        <v>0</v>
      </c>
      <c r="AG44" s="2">
        <f>IF(AND(Games[[#This Row],[Type]]="P",Games[[#This Row],[Round]]=2),IF(Games[[#This Row],[Result]]&gt;0.5,1,0),0)</f>
        <v>0</v>
      </c>
      <c r="AH44" s="2">
        <f>IF(AND(Games[[#This Row],[Type]]="P",Games[[#This Row],[Round]]=2),IF(Games[[#This Row],[Result]]&lt;0.5,1,0),0)</f>
        <v>0</v>
      </c>
      <c r="AI44" s="2">
        <f>IF(AND(Games[[#This Row],[Type]]="P",Games[[#This Row],[Round]]=3),IF(Games[[#This Row],[Result]]&gt;0.5,1,0),0)</f>
        <v>0</v>
      </c>
      <c r="AJ44" s="2">
        <f>IF(AND(Games[[#This Row],[Type]]="P",Games[[#This Row],[Round]]=3),IF(Games[[#This Row],[Result]]&lt;0.5,1,0),0)</f>
        <v>0</v>
      </c>
      <c r="AK44" s="2">
        <f>IF(AND(Games[[#This Row],[Type]]="P",Games[[#This Row],[Round]]=4),IF(Games[[#This Row],[Result]]&gt;0.5,1,0),0)</f>
        <v>0</v>
      </c>
      <c r="AL44" s="2">
        <f>IF(AND(Games[[#This Row],[Type]]="P",Games[[#This Row],[Round]]=4),IF(Games[[#This Row],[Result]]&lt;0.5,1,0),0)</f>
        <v>0</v>
      </c>
    </row>
    <row r="45" spans="1:38" x14ac:dyDescent="0.35">
      <c r="A45" s="10">
        <v>40323</v>
      </c>
      <c r="B45" s="2">
        <v>2010</v>
      </c>
      <c r="C45" s="2">
        <f>COUNTIFS(Games[Team],Games[[#This Row],[Team]],Games[Season],Games[[#This Row],[Season]],Games[Date],"&lt;=" &amp; Games[[#This Row],[Date]])</f>
        <v>4</v>
      </c>
      <c r="D45" s="2" t="s">
        <v>23</v>
      </c>
      <c r="E45" s="2" t="s">
        <v>29</v>
      </c>
      <c r="F45" s="1" t="s">
        <v>85</v>
      </c>
      <c r="G45" s="1" t="s">
        <v>44</v>
      </c>
      <c r="H45" s="1" t="s">
        <v>15</v>
      </c>
      <c r="I45" s="2" cm="1">
        <f t="array" ref="I45">IFERROR(
    Games[[#This Row],[Date]]
    - LOOKUP(
        2,
        1/((Games[Team]=Games[[#This Row],[Team]]) * (Games[Date] &lt; Games[[#This Row],[Date]])),
        Games[Date]
    )
    - 1,
Games[[#This Row],[Date]]-$A$2)</f>
        <v>1</v>
      </c>
      <c r="J45" s="2" cm="1">
        <f t="array" ref="J4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5" s="2">
        <f>Games[[#This Row],[DaysOff]]-Games[[#This Row],[OppDaysOff]]</f>
        <v>-1</v>
      </c>
      <c r="L45" s="2">
        <f>Games[[#This Row],[OppDaysOff]]-Games[[#This Row],[DaysOff]]</f>
        <v>1</v>
      </c>
      <c r="M45" s="1">
        <f>MAX(-16, MIN(16, Games[[#This Row],[RestDiff]]*8))</f>
        <v>-8</v>
      </c>
      <c r="N45" s="1">
        <f>MAX(-16, MIN(16, Games[[#This Row],[OppRestDiff]]*8))</f>
        <v>8</v>
      </c>
      <c r="O45" s="4" cm="1">
        <f t="array" ref="O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1523.6508816796863</v>
      </c>
      <c r="P45" s="4" cm="1">
        <f t="array" ref="P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1560.271050052015</v>
      </c>
      <c r="Q45" s="4">
        <f>1/(1+10^(((Games[[#This Row],[OppPreGmRate]]+IF(Games[[#This Row],[HomeAway]]="A",HCA,0)+Games[[#This Row],[OppRestAdj]])-(Games[[#This Row],[PreGmRate]]+IF(Games[[#This Row],[HomeAway]]="H",HCA,0)+Games[[#This Row],[RestAdj]]))/400))</f>
        <v>0.54503681303241824</v>
      </c>
      <c r="R45" s="1">
        <v>96</v>
      </c>
      <c r="S45" s="1">
        <v>110</v>
      </c>
      <c r="T45" s="1">
        <v>0</v>
      </c>
      <c r="U45" s="1">
        <f>Games[[#This Row],[PointsFor]]-Games[[#This Row],[PointsAgainst]]</f>
        <v>-14</v>
      </c>
      <c r="V45" s="1">
        <f>IF(Games[[#This Row],[MOV]]&gt;0,1,IF(Games[[#This Row],[MOV]]=0,0.5,0))</f>
        <v>0</v>
      </c>
      <c r="W45" s="4">
        <f>((ABS(Games[[#This Row],[MOV]])+5)^0.6)/(12+0.01*(ABS(Games[[#This Row],[PreGmRate]]-Games[[#This Row],[OppPreGmRate]])))*IF(Games[[#This Row],[OT]]=1,0.9,1)</f>
        <v>0.47316851140401855</v>
      </c>
      <c r="X45" s="7" cm="1">
        <f t="array" ref="X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5" s="9">
        <f>MAX(kmin, kmax - 0.15 * MIN(Games[[#This Row],[GamesPlayed]], 82))</f>
        <v>75.400000000000006</v>
      </c>
      <c r="Z45" s="4">
        <f>Games[[#This Row],[K]]*Games[[#This Row],[POMult]]</f>
        <v>75.400000000000006</v>
      </c>
      <c r="AA45" s="4">
        <f>(Games[[#This Row],[Keff]]*Games[[#This Row],[MOVMult]])*(Games[[#This Row],[Result]]-Games[[#This Row],[ExpectedWin%]])</f>
        <v>-19.445227014213657</v>
      </c>
      <c r="AB45" s="4">
        <f>Games[[#This Row],[PreGmRate]]+Games[[#This Row],[RatingChange]]</f>
        <v>1504.2056546654726</v>
      </c>
      <c r="AC45" s="2">
        <f>IF(Games[[#This Row],[Type]]="R",IF(Games[[#This Row],[Result]]&gt;0.5,1,0),0)</f>
        <v>0</v>
      </c>
      <c r="AD45" s="2">
        <f>IF(Games[[#This Row],[Type]]="R",IF(Games[[#This Row],[Result]]&lt;0.5,1,0),0)</f>
        <v>1</v>
      </c>
      <c r="AE45" s="2">
        <f>IF(AND(Games[[#This Row],[Type]]="P",Games[[#This Row],[Round]]=1),IF(Games[[#This Row],[Result]]&gt;0.5,1,0),0)</f>
        <v>0</v>
      </c>
      <c r="AF45" s="2">
        <f>IF(AND(Games[[#This Row],[Type]]="P",Games[[#This Row],[Round]]=1),IF(Games[[#This Row],[Result]]&lt;0.5,1,0),0)</f>
        <v>0</v>
      </c>
      <c r="AG45" s="2">
        <f>IF(AND(Games[[#This Row],[Type]]="P",Games[[#This Row],[Round]]=2),IF(Games[[#This Row],[Result]]&gt;0.5,1,0),0)</f>
        <v>0</v>
      </c>
      <c r="AH45" s="2">
        <f>IF(AND(Games[[#This Row],[Type]]="P",Games[[#This Row],[Round]]=2),IF(Games[[#This Row],[Result]]&lt;0.5,1,0),0)</f>
        <v>0</v>
      </c>
      <c r="AI45" s="2">
        <f>IF(AND(Games[[#This Row],[Type]]="P",Games[[#This Row],[Round]]=3),IF(Games[[#This Row],[Result]]&gt;0.5,1,0),0)</f>
        <v>0</v>
      </c>
      <c r="AJ45" s="2">
        <f>IF(AND(Games[[#This Row],[Type]]="P",Games[[#This Row],[Round]]=3),IF(Games[[#This Row],[Result]]&lt;0.5,1,0),0)</f>
        <v>0</v>
      </c>
      <c r="AK45" s="2">
        <f>IF(AND(Games[[#This Row],[Type]]="P",Games[[#This Row],[Round]]=4),IF(Games[[#This Row],[Result]]&gt;0.5,1,0),0)</f>
        <v>0</v>
      </c>
      <c r="AL45" s="2">
        <f>IF(AND(Games[[#This Row],[Type]]="P",Games[[#This Row],[Round]]=4),IF(Games[[#This Row],[Result]]&lt;0.5,1,0),0)</f>
        <v>0</v>
      </c>
    </row>
    <row r="46" spans="1:38" x14ac:dyDescent="0.35">
      <c r="A46" s="10">
        <v>40325</v>
      </c>
      <c r="B46" s="2">
        <v>2010</v>
      </c>
      <c r="C46" s="2">
        <f>COUNTIFS(Games[Team],Games[[#This Row],[Team]],Games[Season],Games[[#This Row],[Season]],Games[Date],"&lt;=" &amp; Games[[#This Row],[Date]])</f>
        <v>5</v>
      </c>
      <c r="D46" s="2" t="s">
        <v>23</v>
      </c>
      <c r="E46" s="2" t="s">
        <v>29</v>
      </c>
      <c r="F46" s="1" t="s">
        <v>75</v>
      </c>
      <c r="G46" s="1" t="s">
        <v>81</v>
      </c>
      <c r="H46" s="1" t="s">
        <v>16</v>
      </c>
      <c r="I46" s="2" cm="1">
        <f t="array" ref="I46">IFERROR(
    Games[[#This Row],[Date]]
    - LOOKUP(
        2,
        1/((Games[Team]=Games[[#This Row],[Team]]) * (Games[Date] &lt; Games[[#This Row],[Date]])),
        Games[Date]
    )
    - 1,
Games[[#This Row],[Date]]-$A$2)</f>
        <v>1</v>
      </c>
      <c r="J46" s="2" cm="1">
        <f t="array" ref="J4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6" s="2">
        <f>Games[[#This Row],[DaysOff]]-Games[[#This Row],[OppDaysOff]]</f>
        <v>-2</v>
      </c>
      <c r="L46" s="2">
        <f>Games[[#This Row],[OppDaysOff]]-Games[[#This Row],[DaysOff]]</f>
        <v>2</v>
      </c>
      <c r="M46" s="1">
        <f>MAX(-16, MIN(16, Games[[#This Row],[RestDiff]]*8))</f>
        <v>-16</v>
      </c>
      <c r="N46" s="1">
        <f>MAX(-16, MIN(16, Games[[#This Row],[OppRestDiff]]*8))</f>
        <v>16</v>
      </c>
      <c r="O46" s="4" cm="1">
        <f t="array" ref="O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1559.953285001927</v>
      </c>
      <c r="P46" s="4" cm="1">
        <f t="array" ref="P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1432.1772134762355</v>
      </c>
      <c r="Q46" s="4">
        <f>1/(1+10^(((Games[[#This Row],[OppPreGmRate]]+IF(Games[[#This Row],[HomeAway]]="A",HCA,0)+Games[[#This Row],[OppRestAdj]])-(Games[[#This Row],[PreGmRate]]+IF(Games[[#This Row],[HomeAway]]="H",HCA,0)+Games[[#This Row],[RestAdj]]))/400))</f>
        <v>0.51694064246108529</v>
      </c>
      <c r="R46" s="1">
        <v>75</v>
      </c>
      <c r="S46" s="1">
        <v>84</v>
      </c>
      <c r="T46" s="1">
        <v>0</v>
      </c>
      <c r="U46" s="1">
        <f>Games[[#This Row],[PointsFor]]-Games[[#This Row],[PointsAgainst]]</f>
        <v>-9</v>
      </c>
      <c r="V46" s="1">
        <f>IF(Games[[#This Row],[MOV]]&gt;0,1,IF(Games[[#This Row],[MOV]]=0,0.5,0))</f>
        <v>0</v>
      </c>
      <c r="W46" s="4">
        <f>((ABS(Games[[#This Row],[MOV]])+5)^0.6)/(12+0.01*(ABS(Games[[#This Row],[PreGmRate]]-Games[[#This Row],[OppPreGmRate]])))*IF(Games[[#This Row],[OT]]=1,0.9,1)</f>
        <v>0.36690360899252361</v>
      </c>
      <c r="X46" s="7" cm="1">
        <f t="array" ref="X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6" s="9">
        <f>MAX(kmin, kmax - 0.15 * MIN(Games[[#This Row],[GamesPlayed]], 82))</f>
        <v>75.25</v>
      </c>
      <c r="Z46" s="4">
        <f>Games[[#This Row],[K]]*Games[[#This Row],[POMult]]</f>
        <v>75.25</v>
      </c>
      <c r="AA46" s="4">
        <f>(Games[[#This Row],[Keff]]*Games[[#This Row],[MOVMult]])*(Games[[#This Row],[Result]]-Games[[#This Row],[ExpectedWin%]])</f>
        <v>-14.27247089837992</v>
      </c>
      <c r="AB46" s="4">
        <f>Games[[#This Row],[PreGmRate]]+Games[[#This Row],[RatingChange]]</f>
        <v>1545.6808141035472</v>
      </c>
      <c r="AC46" s="2">
        <f>IF(Games[[#This Row],[Type]]="R",IF(Games[[#This Row],[Result]]&gt;0.5,1,0),0)</f>
        <v>0</v>
      </c>
      <c r="AD46" s="2">
        <f>IF(Games[[#This Row],[Type]]="R",IF(Games[[#This Row],[Result]]&lt;0.5,1,0),0)</f>
        <v>1</v>
      </c>
      <c r="AE46" s="2">
        <f>IF(AND(Games[[#This Row],[Type]]="P",Games[[#This Row],[Round]]=1),IF(Games[[#This Row],[Result]]&gt;0.5,1,0),0)</f>
        <v>0</v>
      </c>
      <c r="AF46" s="2">
        <f>IF(AND(Games[[#This Row],[Type]]="P",Games[[#This Row],[Round]]=1),IF(Games[[#This Row],[Result]]&lt;0.5,1,0),0)</f>
        <v>0</v>
      </c>
      <c r="AG46" s="2">
        <f>IF(AND(Games[[#This Row],[Type]]="P",Games[[#This Row],[Round]]=2),IF(Games[[#This Row],[Result]]&gt;0.5,1,0),0)</f>
        <v>0</v>
      </c>
      <c r="AH46" s="2">
        <f>IF(AND(Games[[#This Row],[Type]]="P",Games[[#This Row],[Round]]=2),IF(Games[[#This Row],[Result]]&lt;0.5,1,0),0)</f>
        <v>0</v>
      </c>
      <c r="AI46" s="2">
        <f>IF(AND(Games[[#This Row],[Type]]="P",Games[[#This Row],[Round]]=3),IF(Games[[#This Row],[Result]]&gt;0.5,1,0),0)</f>
        <v>0</v>
      </c>
      <c r="AJ46" s="2">
        <f>IF(AND(Games[[#This Row],[Type]]="P",Games[[#This Row],[Round]]=3),IF(Games[[#This Row],[Result]]&lt;0.5,1,0),0)</f>
        <v>0</v>
      </c>
      <c r="AK46" s="2">
        <f>IF(AND(Games[[#This Row],[Type]]="P",Games[[#This Row],[Round]]=4),IF(Games[[#This Row],[Result]]&gt;0.5,1,0),0)</f>
        <v>0</v>
      </c>
      <c r="AL46" s="2">
        <f>IF(AND(Games[[#This Row],[Type]]="P",Games[[#This Row],[Round]]=4),IF(Games[[#This Row],[Result]]&lt;0.5,1,0),0)</f>
        <v>0</v>
      </c>
    </row>
    <row r="47" spans="1:38" x14ac:dyDescent="0.35">
      <c r="A47" s="10">
        <v>40325</v>
      </c>
      <c r="B47" s="2">
        <v>2010</v>
      </c>
      <c r="C47" s="2">
        <f>COUNTIFS(Games[Team],Games[[#This Row],[Team]],Games[Season],Games[[#This Row],[Season]],Games[Date],"&lt;=" &amp; Games[[#This Row],[Date]])</f>
        <v>5</v>
      </c>
      <c r="D47" s="2" t="s">
        <v>23</v>
      </c>
      <c r="E47" s="2" t="s">
        <v>29</v>
      </c>
      <c r="F47" s="1" t="s">
        <v>81</v>
      </c>
      <c r="G47" s="1" t="s">
        <v>75</v>
      </c>
      <c r="H47" s="1" t="s">
        <v>15</v>
      </c>
      <c r="I47" s="2" cm="1">
        <f t="array" ref="I47">IFERROR(
    Games[[#This Row],[Date]]
    - LOOKUP(
        2,
        1/((Games[Team]=Games[[#This Row],[Team]]) * (Games[Date] &lt; Games[[#This Row],[Date]])),
        Games[Date]
    )
    - 1,
Games[[#This Row],[Date]]-$A$2)</f>
        <v>3</v>
      </c>
      <c r="J47" s="2" cm="1">
        <f t="array" ref="J4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7" s="2">
        <f>Games[[#This Row],[DaysOff]]-Games[[#This Row],[OppDaysOff]]</f>
        <v>2</v>
      </c>
      <c r="L47" s="2">
        <f>Games[[#This Row],[OppDaysOff]]-Games[[#This Row],[DaysOff]]</f>
        <v>-2</v>
      </c>
      <c r="M47" s="1">
        <f>MAX(-16, MIN(16, Games[[#This Row],[RestDiff]]*8))</f>
        <v>16</v>
      </c>
      <c r="N47" s="1">
        <f>MAX(-16, MIN(16, Games[[#This Row],[OppRestDiff]]*8))</f>
        <v>-16</v>
      </c>
      <c r="O47" s="4" cm="1">
        <f t="array" ref="O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1432.1772134762355</v>
      </c>
      <c r="P47" s="4" cm="1">
        <f t="array" ref="P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1559.953285001927</v>
      </c>
      <c r="Q47" s="4">
        <f>1/(1+10^(((Games[[#This Row],[OppPreGmRate]]+IF(Games[[#This Row],[HomeAway]]="A",HCA,0)+Games[[#This Row],[OppRestAdj]])-(Games[[#This Row],[PreGmRate]]+IF(Games[[#This Row],[HomeAway]]="H",HCA,0)+Games[[#This Row],[RestAdj]]))/400))</f>
        <v>0.48305935753891471</v>
      </c>
      <c r="R47" s="1">
        <v>84</v>
      </c>
      <c r="S47" s="1">
        <v>75</v>
      </c>
      <c r="T47" s="1">
        <v>0</v>
      </c>
      <c r="U47" s="1">
        <f>Games[[#This Row],[PointsFor]]-Games[[#This Row],[PointsAgainst]]</f>
        <v>9</v>
      </c>
      <c r="V47" s="1">
        <f>IF(Games[[#This Row],[MOV]]&gt;0,1,IF(Games[[#This Row],[MOV]]=0,0.5,0))</f>
        <v>1</v>
      </c>
      <c r="W47" s="4">
        <f>((ABS(Games[[#This Row],[MOV]])+5)^0.6)/(12+0.01*(ABS(Games[[#This Row],[PreGmRate]]-Games[[#This Row],[OppPreGmRate]])))*IF(Games[[#This Row],[OT]]=1,0.9,1)</f>
        <v>0.36690360899252361</v>
      </c>
      <c r="X47" s="7" cm="1">
        <f t="array" ref="X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7" s="9">
        <f>MAX(kmin, kmax - 0.15 * MIN(Games[[#This Row],[GamesPlayed]], 82))</f>
        <v>75.25</v>
      </c>
      <c r="Z47" s="4">
        <f>Games[[#This Row],[K]]*Games[[#This Row],[POMult]]</f>
        <v>75.25</v>
      </c>
      <c r="AA47" s="4">
        <f>(Games[[#This Row],[Keff]]*Games[[#This Row],[MOVMult]])*(Games[[#This Row],[Result]]-Games[[#This Row],[ExpectedWin%]])</f>
        <v>14.27247089837992</v>
      </c>
      <c r="AB47" s="4">
        <f>Games[[#This Row],[PreGmRate]]+Games[[#This Row],[RatingChange]]</f>
        <v>1446.4496843746153</v>
      </c>
      <c r="AC47" s="2">
        <f>IF(Games[[#This Row],[Type]]="R",IF(Games[[#This Row],[Result]]&gt;0.5,1,0),0)</f>
        <v>1</v>
      </c>
      <c r="AD47" s="2">
        <f>IF(Games[[#This Row],[Type]]="R",IF(Games[[#This Row],[Result]]&lt;0.5,1,0),0)</f>
        <v>0</v>
      </c>
      <c r="AE47" s="2">
        <f>IF(AND(Games[[#This Row],[Type]]="P",Games[[#This Row],[Round]]=1),IF(Games[[#This Row],[Result]]&gt;0.5,1,0),0)</f>
        <v>0</v>
      </c>
      <c r="AF47" s="2">
        <f>IF(AND(Games[[#This Row],[Type]]="P",Games[[#This Row],[Round]]=1),IF(Games[[#This Row],[Result]]&lt;0.5,1,0),0)</f>
        <v>0</v>
      </c>
      <c r="AG47" s="2">
        <f>IF(AND(Games[[#This Row],[Type]]="P",Games[[#This Row],[Round]]=2),IF(Games[[#This Row],[Result]]&gt;0.5,1,0),0)</f>
        <v>0</v>
      </c>
      <c r="AH47" s="2">
        <f>IF(AND(Games[[#This Row],[Type]]="P",Games[[#This Row],[Round]]=2),IF(Games[[#This Row],[Result]]&lt;0.5,1,0),0)</f>
        <v>0</v>
      </c>
      <c r="AI47" s="2">
        <f>IF(AND(Games[[#This Row],[Type]]="P",Games[[#This Row],[Round]]=3),IF(Games[[#This Row],[Result]]&gt;0.5,1,0),0)</f>
        <v>0</v>
      </c>
      <c r="AJ47" s="2">
        <f>IF(AND(Games[[#This Row],[Type]]="P",Games[[#This Row],[Round]]=3),IF(Games[[#This Row],[Result]]&lt;0.5,1,0),0)</f>
        <v>0</v>
      </c>
      <c r="AK47" s="2">
        <f>IF(AND(Games[[#This Row],[Type]]="P",Games[[#This Row],[Round]]=4),IF(Games[[#This Row],[Result]]&gt;0.5,1,0),0)</f>
        <v>0</v>
      </c>
      <c r="AL47" s="2">
        <f>IF(AND(Games[[#This Row],[Type]]="P",Games[[#This Row],[Round]]=4),IF(Games[[#This Row],[Result]]&lt;0.5,1,0),0)</f>
        <v>0</v>
      </c>
    </row>
    <row r="48" spans="1:38" x14ac:dyDescent="0.35">
      <c r="A48" s="10">
        <v>40325</v>
      </c>
      <c r="B48" s="2">
        <v>2010</v>
      </c>
      <c r="C48" s="2">
        <f>COUNTIFS(Games[Team],Games[[#This Row],[Team]],Games[Season],Games[[#This Row],[Season]],Games[Date],"&lt;=" &amp; Games[[#This Row],[Date]])</f>
        <v>5</v>
      </c>
      <c r="D48" s="2" t="s">
        <v>23</v>
      </c>
      <c r="E48" s="2" t="s">
        <v>29</v>
      </c>
      <c r="F48" s="1" t="s">
        <v>71</v>
      </c>
      <c r="G48" s="1" t="s">
        <v>80</v>
      </c>
      <c r="H48" s="1" t="s">
        <v>16</v>
      </c>
      <c r="I48" s="2" cm="1">
        <f t="array" ref="I48">IFERROR(
    Games[[#This Row],[Date]]
    - LOOKUP(
        2,
        1/((Games[Team]=Games[[#This Row],[Team]]) * (Games[Date] &lt; Games[[#This Row],[Date]])),
        Games[Date]
    )
    - 1,
Games[[#This Row],[Date]]-$A$2)</f>
        <v>3</v>
      </c>
      <c r="J48" s="2" cm="1">
        <f t="array" ref="J4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8" s="2">
        <f>Games[[#This Row],[DaysOff]]-Games[[#This Row],[OppDaysOff]]</f>
        <v>0</v>
      </c>
      <c r="L48" s="2">
        <f>Games[[#This Row],[OppDaysOff]]-Games[[#This Row],[DaysOff]]</f>
        <v>0</v>
      </c>
      <c r="M48" s="1">
        <f>MAX(-16, MIN(16, Games[[#This Row],[RestDiff]]*8))</f>
        <v>0</v>
      </c>
      <c r="N48" s="1">
        <f>MAX(-16, MIN(16, Games[[#This Row],[OppRestDiff]]*8))</f>
        <v>0</v>
      </c>
      <c r="O48" s="4" cm="1">
        <f t="array" ref="O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1430.9143254413734</v>
      </c>
      <c r="P48" s="4" cm="1">
        <f t="array" ref="P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1504.3081159709245</v>
      </c>
      <c r="Q48" s="4">
        <f>1/(1+10^(((Games[[#This Row],[OppPreGmRate]]+IF(Games[[#This Row],[HomeAway]]="A",HCA,0)+Games[[#This Row],[OppRestAdj]])-(Games[[#This Row],[PreGmRate]]+IF(Games[[#This Row],[HomeAway]]="H",HCA,0)+Games[[#This Row],[RestAdj]]))/400))</f>
        <v>0.28781260320206331</v>
      </c>
      <c r="R48" s="1">
        <v>79</v>
      </c>
      <c r="S48" s="1">
        <v>105</v>
      </c>
      <c r="T48" s="1">
        <v>0</v>
      </c>
      <c r="U48" s="1">
        <f>Games[[#This Row],[PointsFor]]-Games[[#This Row],[PointsAgainst]]</f>
        <v>-26</v>
      </c>
      <c r="V48" s="1">
        <f>IF(Games[[#This Row],[MOV]]&gt;0,1,IF(Games[[#This Row],[MOV]]=0,0.5,0))</f>
        <v>0</v>
      </c>
      <c r="W48" s="4">
        <f>((ABS(Games[[#This Row],[MOV]])+5)^0.6)/(12+0.01*(ABS(Games[[#This Row],[PreGmRate]]-Games[[#This Row],[OppPreGmRate]])))*IF(Games[[#This Row],[OT]]=1,0.9,1)</f>
        <v>0.6163881608797499</v>
      </c>
      <c r="X48" s="7" cm="1">
        <f t="array" ref="X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8" s="9">
        <f>MAX(kmin, kmax - 0.15 * MIN(Games[[#This Row],[GamesPlayed]], 82))</f>
        <v>75.25</v>
      </c>
      <c r="Z48" s="4">
        <f>Games[[#This Row],[K]]*Games[[#This Row],[POMult]]</f>
        <v>75.25</v>
      </c>
      <c r="AA48" s="4">
        <f>(Games[[#This Row],[Keff]]*Games[[#This Row],[MOVMult]])*(Games[[#This Row],[Result]]-Games[[#This Row],[ExpectedWin%]])</f>
        <v>-13.349672157721409</v>
      </c>
      <c r="AB48" s="4">
        <f>Games[[#This Row],[PreGmRate]]+Games[[#This Row],[RatingChange]]</f>
        <v>1417.564653283652</v>
      </c>
      <c r="AC48" s="2">
        <f>IF(Games[[#This Row],[Type]]="R",IF(Games[[#This Row],[Result]]&gt;0.5,1,0),0)</f>
        <v>0</v>
      </c>
      <c r="AD48" s="2">
        <f>IF(Games[[#This Row],[Type]]="R",IF(Games[[#This Row],[Result]]&lt;0.5,1,0),0)</f>
        <v>1</v>
      </c>
      <c r="AE48" s="2">
        <f>IF(AND(Games[[#This Row],[Type]]="P",Games[[#This Row],[Round]]=1),IF(Games[[#This Row],[Result]]&gt;0.5,1,0),0)</f>
        <v>0</v>
      </c>
      <c r="AF48" s="2">
        <f>IF(AND(Games[[#This Row],[Type]]="P",Games[[#This Row],[Round]]=1),IF(Games[[#This Row],[Result]]&lt;0.5,1,0),0)</f>
        <v>0</v>
      </c>
      <c r="AG48" s="2">
        <f>IF(AND(Games[[#This Row],[Type]]="P",Games[[#This Row],[Round]]=2),IF(Games[[#This Row],[Result]]&gt;0.5,1,0),0)</f>
        <v>0</v>
      </c>
      <c r="AH48" s="2">
        <f>IF(AND(Games[[#This Row],[Type]]="P",Games[[#This Row],[Round]]=2),IF(Games[[#This Row],[Result]]&lt;0.5,1,0),0)</f>
        <v>0</v>
      </c>
      <c r="AI48" s="2">
        <f>IF(AND(Games[[#This Row],[Type]]="P",Games[[#This Row],[Round]]=3),IF(Games[[#This Row],[Result]]&gt;0.5,1,0),0)</f>
        <v>0</v>
      </c>
      <c r="AJ48" s="2">
        <f>IF(AND(Games[[#This Row],[Type]]="P",Games[[#This Row],[Round]]=3),IF(Games[[#This Row],[Result]]&lt;0.5,1,0),0)</f>
        <v>0</v>
      </c>
      <c r="AK48" s="2">
        <f>IF(AND(Games[[#This Row],[Type]]="P",Games[[#This Row],[Round]]=4),IF(Games[[#This Row],[Result]]&gt;0.5,1,0),0)</f>
        <v>0</v>
      </c>
      <c r="AL48" s="2">
        <f>IF(AND(Games[[#This Row],[Type]]="P",Games[[#This Row],[Round]]=4),IF(Games[[#This Row],[Result]]&lt;0.5,1,0),0)</f>
        <v>0</v>
      </c>
    </row>
    <row r="49" spans="1:38" x14ac:dyDescent="0.35">
      <c r="A49" s="10">
        <v>40325</v>
      </c>
      <c r="B49" s="2">
        <v>2010</v>
      </c>
      <c r="C49" s="2">
        <f>COUNTIFS(Games[Team],Games[[#This Row],[Team]],Games[Season],Games[[#This Row],[Season]],Games[Date],"&lt;=" &amp; Games[[#This Row],[Date]])</f>
        <v>4</v>
      </c>
      <c r="D49" s="2" t="s">
        <v>23</v>
      </c>
      <c r="E49" s="2" t="s">
        <v>29</v>
      </c>
      <c r="F49" s="1" t="s">
        <v>80</v>
      </c>
      <c r="G49" s="1" t="s">
        <v>71</v>
      </c>
      <c r="H49" s="1" t="s">
        <v>15</v>
      </c>
      <c r="I49" s="2" cm="1">
        <f t="array" ref="I49">IFERROR(
    Games[[#This Row],[Date]]
    - LOOKUP(
        2,
        1/((Games[Team]=Games[[#This Row],[Team]]) * (Games[Date] &lt; Games[[#This Row],[Date]])),
        Games[Date]
    )
    - 1,
Games[[#This Row],[Date]]-$A$2)</f>
        <v>3</v>
      </c>
      <c r="J49" s="2" cm="1">
        <f t="array" ref="J4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9" s="2">
        <f>Games[[#This Row],[DaysOff]]-Games[[#This Row],[OppDaysOff]]</f>
        <v>0</v>
      </c>
      <c r="L49" s="2">
        <f>Games[[#This Row],[OppDaysOff]]-Games[[#This Row],[DaysOff]]</f>
        <v>0</v>
      </c>
      <c r="M49" s="1">
        <f>MAX(-16, MIN(16, Games[[#This Row],[RestDiff]]*8))</f>
        <v>0</v>
      </c>
      <c r="N49" s="1">
        <f>MAX(-16, MIN(16, Games[[#This Row],[OppRestDiff]]*8))</f>
        <v>0</v>
      </c>
      <c r="O49" s="4" cm="1">
        <f t="array" ref="O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1504.3081159709245</v>
      </c>
      <c r="P49" s="4" cm="1">
        <f t="array" ref="P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1430.9143254413734</v>
      </c>
      <c r="Q49" s="4">
        <f>1/(1+10^(((Games[[#This Row],[OppPreGmRate]]+IF(Games[[#This Row],[HomeAway]]="A",HCA,0)+Games[[#This Row],[OppRestAdj]])-(Games[[#This Row],[PreGmRate]]+IF(Games[[#This Row],[HomeAway]]="H",HCA,0)+Games[[#This Row],[RestAdj]]))/400))</f>
        <v>0.71218739679793674</v>
      </c>
      <c r="R49" s="1">
        <v>105</v>
      </c>
      <c r="S49" s="1">
        <v>79</v>
      </c>
      <c r="T49" s="1">
        <v>0</v>
      </c>
      <c r="U49" s="1">
        <f>Games[[#This Row],[PointsFor]]-Games[[#This Row],[PointsAgainst]]</f>
        <v>26</v>
      </c>
      <c r="V49" s="1">
        <f>IF(Games[[#This Row],[MOV]]&gt;0,1,IF(Games[[#This Row],[MOV]]=0,0.5,0))</f>
        <v>1</v>
      </c>
      <c r="W49" s="4">
        <f>((ABS(Games[[#This Row],[MOV]])+5)^0.6)/(12+0.01*(ABS(Games[[#This Row],[PreGmRate]]-Games[[#This Row],[OppPreGmRate]])))*IF(Games[[#This Row],[OT]]=1,0.9,1)</f>
        <v>0.6163881608797499</v>
      </c>
      <c r="X49" s="7" cm="1">
        <f t="array" ref="X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9" s="9">
        <f>MAX(kmin, kmax - 0.15 * MIN(Games[[#This Row],[GamesPlayed]], 82))</f>
        <v>75.400000000000006</v>
      </c>
      <c r="Z49" s="4">
        <f>Games[[#This Row],[K]]*Games[[#This Row],[POMult]]</f>
        <v>75.400000000000006</v>
      </c>
      <c r="AA49" s="4">
        <f>(Games[[#This Row],[Keff]]*Games[[#This Row],[MOVMult]])*(Games[[#This Row],[Result]]-Games[[#This Row],[ExpectedWin%]])</f>
        <v>13.376282799896268</v>
      </c>
      <c r="AB49" s="4">
        <f>Games[[#This Row],[PreGmRate]]+Games[[#This Row],[RatingChange]]</f>
        <v>1517.6843987708207</v>
      </c>
      <c r="AC49" s="2">
        <f>IF(Games[[#This Row],[Type]]="R",IF(Games[[#This Row],[Result]]&gt;0.5,1,0),0)</f>
        <v>1</v>
      </c>
      <c r="AD49" s="2">
        <f>IF(Games[[#This Row],[Type]]="R",IF(Games[[#This Row],[Result]]&lt;0.5,1,0),0)</f>
        <v>0</v>
      </c>
      <c r="AE49" s="2">
        <f>IF(AND(Games[[#This Row],[Type]]="P",Games[[#This Row],[Round]]=1),IF(Games[[#This Row],[Result]]&gt;0.5,1,0),0)</f>
        <v>0</v>
      </c>
      <c r="AF49" s="2">
        <f>IF(AND(Games[[#This Row],[Type]]="P",Games[[#This Row],[Round]]=1),IF(Games[[#This Row],[Result]]&lt;0.5,1,0),0)</f>
        <v>0</v>
      </c>
      <c r="AG49" s="2">
        <f>IF(AND(Games[[#This Row],[Type]]="P",Games[[#This Row],[Round]]=2),IF(Games[[#This Row],[Result]]&gt;0.5,1,0),0)</f>
        <v>0</v>
      </c>
      <c r="AH49" s="2">
        <f>IF(AND(Games[[#This Row],[Type]]="P",Games[[#This Row],[Round]]=2),IF(Games[[#This Row],[Result]]&lt;0.5,1,0),0)</f>
        <v>0</v>
      </c>
      <c r="AI49" s="2">
        <f>IF(AND(Games[[#This Row],[Type]]="P",Games[[#This Row],[Round]]=3),IF(Games[[#This Row],[Result]]&gt;0.5,1,0),0)</f>
        <v>0</v>
      </c>
      <c r="AJ49" s="2">
        <f>IF(AND(Games[[#This Row],[Type]]="P",Games[[#This Row],[Round]]=3),IF(Games[[#This Row],[Result]]&lt;0.5,1,0),0)</f>
        <v>0</v>
      </c>
      <c r="AK49" s="2">
        <f>IF(AND(Games[[#This Row],[Type]]="P",Games[[#This Row],[Round]]=4),IF(Games[[#This Row],[Result]]&gt;0.5,1,0),0)</f>
        <v>0</v>
      </c>
      <c r="AL49" s="2">
        <f>IF(AND(Games[[#This Row],[Type]]="P",Games[[#This Row],[Round]]=4),IF(Games[[#This Row],[Result]]&lt;0.5,1,0),0)</f>
        <v>0</v>
      </c>
    </row>
    <row r="50" spans="1:38" x14ac:dyDescent="0.35">
      <c r="A50" s="10">
        <v>40326</v>
      </c>
      <c r="B50" s="2">
        <v>2010</v>
      </c>
      <c r="C50" s="2">
        <f>COUNTIFS(Games[Team],Games[[#This Row],[Team]],Games[Season],Games[[#This Row],[Season]],Games[Date],"&lt;=" &amp; Games[[#This Row],[Date]])</f>
        <v>6</v>
      </c>
      <c r="D50" s="2" t="s">
        <v>23</v>
      </c>
      <c r="E50" s="2" t="s">
        <v>29</v>
      </c>
      <c r="F50" s="1" t="s">
        <v>69</v>
      </c>
      <c r="G50" s="1" t="s">
        <v>67</v>
      </c>
      <c r="H50" s="1" t="s">
        <v>16</v>
      </c>
      <c r="I50" s="2" cm="1">
        <f t="array" ref="I50">IFERROR(
    Games[[#This Row],[Date]]
    - LOOKUP(
        2,
        1/((Games[Team]=Games[[#This Row],[Team]]) * (Games[Date] &lt; Games[[#This Row],[Date]])),
        Games[Date]
    )
    - 1,
Games[[#This Row],[Date]]-$A$2)</f>
        <v>2</v>
      </c>
      <c r="J50" s="2" cm="1">
        <f t="array" ref="J50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50" s="2">
        <f>Games[[#This Row],[DaysOff]]-Games[[#This Row],[OppDaysOff]]</f>
        <v>-3</v>
      </c>
      <c r="L50" s="2">
        <f>Games[[#This Row],[OppDaysOff]]-Games[[#This Row],[DaysOff]]</f>
        <v>3</v>
      </c>
      <c r="M50" s="1">
        <f>MAX(-16, MIN(16, Games[[#This Row],[RestDiff]]*8))</f>
        <v>-16</v>
      </c>
      <c r="N50" s="1">
        <f>MAX(-16, MIN(16, Games[[#This Row],[OppRestDiff]]*8))</f>
        <v>16</v>
      </c>
      <c r="O50" s="4" cm="1">
        <f t="array" ref="O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1491.5527770388583</v>
      </c>
      <c r="P50" s="4" cm="1">
        <f t="array" ref="P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1502.4810501777238</v>
      </c>
      <c r="Q50" s="4">
        <f>1/(1+10^(((Games[[#This Row],[OppPreGmRate]]+IF(Games[[#This Row],[HomeAway]]="A",HCA,0)+Games[[#This Row],[OppRestAdj]])-(Games[[#This Row],[PreGmRate]]+IF(Games[[#This Row],[HomeAway]]="H",HCA,0)+Games[[#This Row],[RestAdj]]))/400))</f>
        <v>0.32505037809714854</v>
      </c>
      <c r="R50" s="1">
        <v>75</v>
      </c>
      <c r="S50" s="1">
        <v>81</v>
      </c>
      <c r="T50" s="1">
        <v>0</v>
      </c>
      <c r="U50" s="1">
        <f>Games[[#This Row],[PointsFor]]-Games[[#This Row],[PointsAgainst]]</f>
        <v>-6</v>
      </c>
      <c r="V50" s="1">
        <f>IF(Games[[#This Row],[MOV]]&gt;0,1,IF(Games[[#This Row],[MOV]]=0,0.5,0))</f>
        <v>0</v>
      </c>
      <c r="W50" s="4">
        <f>((ABS(Games[[#This Row],[MOV]])+5)^0.6)/(12+0.01*(ABS(Games[[#This Row],[PreGmRate]]-Games[[#This Row],[OppPreGmRate]])))*IF(Games[[#This Row],[OT]]=1,0.9,1)</f>
        <v>0.3481105550674094</v>
      </c>
      <c r="X50" s="7" cm="1">
        <f t="array" ref="X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0" s="9">
        <f>MAX(kmin, kmax - 0.15 * MIN(Games[[#This Row],[GamesPlayed]], 82))</f>
        <v>75.099999999999994</v>
      </c>
      <c r="Z50" s="4">
        <f>Games[[#This Row],[K]]*Games[[#This Row],[POMult]]</f>
        <v>75.099999999999994</v>
      </c>
      <c r="AA50" s="4">
        <f>(Games[[#This Row],[Keff]]*Games[[#This Row],[MOVMult]])*(Games[[#This Row],[Result]]-Games[[#This Row],[ExpectedWin%]])</f>
        <v>-8.4978254125746524</v>
      </c>
      <c r="AB50" s="4">
        <f>Games[[#This Row],[PreGmRate]]+Games[[#This Row],[RatingChange]]</f>
        <v>1483.0549516262836</v>
      </c>
      <c r="AC50" s="2">
        <f>IF(Games[[#This Row],[Type]]="R",IF(Games[[#This Row],[Result]]&gt;0.5,1,0),0)</f>
        <v>0</v>
      </c>
      <c r="AD50" s="2">
        <f>IF(Games[[#This Row],[Type]]="R",IF(Games[[#This Row],[Result]]&lt;0.5,1,0),0)</f>
        <v>1</v>
      </c>
      <c r="AE50" s="2">
        <f>IF(AND(Games[[#This Row],[Type]]="P",Games[[#This Row],[Round]]=1),IF(Games[[#This Row],[Result]]&gt;0.5,1,0),0)</f>
        <v>0</v>
      </c>
      <c r="AF50" s="2">
        <f>IF(AND(Games[[#This Row],[Type]]="P",Games[[#This Row],[Round]]=1),IF(Games[[#This Row],[Result]]&lt;0.5,1,0),0)</f>
        <v>0</v>
      </c>
      <c r="AG50" s="2">
        <f>IF(AND(Games[[#This Row],[Type]]="P",Games[[#This Row],[Round]]=2),IF(Games[[#This Row],[Result]]&gt;0.5,1,0),0)</f>
        <v>0</v>
      </c>
      <c r="AH50" s="2">
        <f>IF(AND(Games[[#This Row],[Type]]="P",Games[[#This Row],[Round]]=2),IF(Games[[#This Row],[Result]]&lt;0.5,1,0),0)</f>
        <v>0</v>
      </c>
      <c r="AI50" s="2">
        <f>IF(AND(Games[[#This Row],[Type]]="P",Games[[#This Row],[Round]]=3),IF(Games[[#This Row],[Result]]&gt;0.5,1,0),0)</f>
        <v>0</v>
      </c>
      <c r="AJ50" s="2">
        <f>IF(AND(Games[[#This Row],[Type]]="P",Games[[#This Row],[Round]]=3),IF(Games[[#This Row],[Result]]&lt;0.5,1,0),0)</f>
        <v>0</v>
      </c>
      <c r="AK50" s="2">
        <f>IF(AND(Games[[#This Row],[Type]]="P",Games[[#This Row],[Round]]=4),IF(Games[[#This Row],[Result]]&gt;0.5,1,0),0)</f>
        <v>0</v>
      </c>
      <c r="AL50" s="2">
        <f>IF(AND(Games[[#This Row],[Type]]="P",Games[[#This Row],[Round]]=4),IF(Games[[#This Row],[Result]]&lt;0.5,1,0),0)</f>
        <v>0</v>
      </c>
    </row>
    <row r="51" spans="1:38" x14ac:dyDescent="0.35">
      <c r="A51" s="10">
        <v>40326</v>
      </c>
      <c r="B51" s="2">
        <v>2010</v>
      </c>
      <c r="C51" s="2">
        <f>COUNTIFS(Games[Team],Games[[#This Row],[Team]],Games[Season],Games[[#This Row],[Season]],Games[Date],"&lt;=" &amp; Games[[#This Row],[Date]])</f>
        <v>4</v>
      </c>
      <c r="D51" s="2" t="s">
        <v>23</v>
      </c>
      <c r="E51" s="2" t="s">
        <v>29</v>
      </c>
      <c r="F51" s="1" t="s">
        <v>67</v>
      </c>
      <c r="G51" s="1" t="s">
        <v>69</v>
      </c>
      <c r="H51" s="1" t="s">
        <v>15</v>
      </c>
      <c r="I51" s="2" cm="1">
        <f t="array" ref="I51">IFERROR(
    Games[[#This Row],[Date]]
    - LOOKUP(
        2,
        1/((Games[Team]=Games[[#This Row],[Team]]) * (Games[Date] &lt; Games[[#This Row],[Date]])),
        Games[Date]
    )
    - 1,
Games[[#This Row],[Date]]-$A$2)</f>
        <v>5</v>
      </c>
      <c r="J51" s="2" cm="1">
        <f t="array" ref="J5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1" s="2">
        <f>Games[[#This Row],[DaysOff]]-Games[[#This Row],[OppDaysOff]]</f>
        <v>3</v>
      </c>
      <c r="L51" s="2">
        <f>Games[[#This Row],[OppDaysOff]]-Games[[#This Row],[DaysOff]]</f>
        <v>-3</v>
      </c>
      <c r="M51" s="1">
        <f>MAX(-16, MIN(16, Games[[#This Row],[RestDiff]]*8))</f>
        <v>16</v>
      </c>
      <c r="N51" s="1">
        <f>MAX(-16, MIN(16, Games[[#This Row],[OppRestDiff]]*8))</f>
        <v>-16</v>
      </c>
      <c r="O51" s="4" cm="1">
        <f t="array" ref="O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1502.4810501777238</v>
      </c>
      <c r="P51" s="4" cm="1">
        <f t="array" ref="P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1491.5527770388583</v>
      </c>
      <c r="Q51" s="4">
        <f>1/(1+10^(((Games[[#This Row],[OppPreGmRate]]+IF(Games[[#This Row],[HomeAway]]="A",HCA,0)+Games[[#This Row],[OppRestAdj]])-(Games[[#This Row],[PreGmRate]]+IF(Games[[#This Row],[HomeAway]]="H",HCA,0)+Games[[#This Row],[RestAdj]]))/400))</f>
        <v>0.67494962190285146</v>
      </c>
      <c r="R51" s="1">
        <v>81</v>
      </c>
      <c r="S51" s="1">
        <v>75</v>
      </c>
      <c r="T51" s="1">
        <v>0</v>
      </c>
      <c r="U51" s="1">
        <f>Games[[#This Row],[PointsFor]]-Games[[#This Row],[PointsAgainst]]</f>
        <v>6</v>
      </c>
      <c r="V51" s="1">
        <f>IF(Games[[#This Row],[MOV]]&gt;0,1,IF(Games[[#This Row],[MOV]]=0,0.5,0))</f>
        <v>1</v>
      </c>
      <c r="W51" s="4">
        <f>((ABS(Games[[#This Row],[MOV]])+5)^0.6)/(12+0.01*(ABS(Games[[#This Row],[PreGmRate]]-Games[[#This Row],[OppPreGmRate]])))*IF(Games[[#This Row],[OT]]=1,0.9,1)</f>
        <v>0.3481105550674094</v>
      </c>
      <c r="X51" s="7" cm="1">
        <f t="array" ref="X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1" s="9">
        <f>MAX(kmin, kmax - 0.15 * MIN(Games[[#This Row],[GamesPlayed]], 82))</f>
        <v>75.400000000000006</v>
      </c>
      <c r="Z51" s="4">
        <f>Games[[#This Row],[K]]*Games[[#This Row],[POMult]]</f>
        <v>75.400000000000006</v>
      </c>
      <c r="AA51" s="4">
        <f>(Games[[#This Row],[Keff]]*Games[[#This Row],[MOVMult]])*(Games[[#This Row],[Result]]-Games[[#This Row],[ExpectedWin%]])</f>
        <v>8.5317714528379334</v>
      </c>
      <c r="AB51" s="4">
        <f>Games[[#This Row],[PreGmRate]]+Games[[#This Row],[RatingChange]]</f>
        <v>1511.0128216305618</v>
      </c>
      <c r="AC51" s="2">
        <f>IF(Games[[#This Row],[Type]]="R",IF(Games[[#This Row],[Result]]&gt;0.5,1,0),0)</f>
        <v>1</v>
      </c>
      <c r="AD51" s="2">
        <f>IF(Games[[#This Row],[Type]]="R",IF(Games[[#This Row],[Result]]&lt;0.5,1,0),0)</f>
        <v>0</v>
      </c>
      <c r="AE51" s="2">
        <f>IF(AND(Games[[#This Row],[Type]]="P",Games[[#This Row],[Round]]=1),IF(Games[[#This Row],[Result]]&gt;0.5,1,0),0)</f>
        <v>0</v>
      </c>
      <c r="AF51" s="2">
        <f>IF(AND(Games[[#This Row],[Type]]="P",Games[[#This Row],[Round]]=1),IF(Games[[#This Row],[Result]]&lt;0.5,1,0),0)</f>
        <v>0</v>
      </c>
      <c r="AG51" s="2">
        <f>IF(AND(Games[[#This Row],[Type]]="P",Games[[#This Row],[Round]]=2),IF(Games[[#This Row],[Result]]&gt;0.5,1,0),0)</f>
        <v>0</v>
      </c>
      <c r="AH51" s="2">
        <f>IF(AND(Games[[#This Row],[Type]]="P",Games[[#This Row],[Round]]=2),IF(Games[[#This Row],[Result]]&lt;0.5,1,0),0)</f>
        <v>0</v>
      </c>
      <c r="AI51" s="2">
        <f>IF(AND(Games[[#This Row],[Type]]="P",Games[[#This Row],[Round]]=3),IF(Games[[#This Row],[Result]]&gt;0.5,1,0),0)</f>
        <v>0</v>
      </c>
      <c r="AJ51" s="2">
        <f>IF(AND(Games[[#This Row],[Type]]="P",Games[[#This Row],[Round]]=3),IF(Games[[#This Row],[Result]]&lt;0.5,1,0),0)</f>
        <v>0</v>
      </c>
      <c r="AK51" s="2">
        <f>IF(AND(Games[[#This Row],[Type]]="P",Games[[#This Row],[Round]]=4),IF(Games[[#This Row],[Result]]&gt;0.5,1,0),0)</f>
        <v>0</v>
      </c>
      <c r="AL51" s="2">
        <f>IF(AND(Games[[#This Row],[Type]]="P",Games[[#This Row],[Round]]=4),IF(Games[[#This Row],[Result]]&lt;0.5,1,0),0)</f>
        <v>0</v>
      </c>
    </row>
    <row r="52" spans="1:38" x14ac:dyDescent="0.35">
      <c r="A52" s="10">
        <v>40326</v>
      </c>
      <c r="B52" s="2">
        <v>2010</v>
      </c>
      <c r="C52" s="2">
        <f>COUNTIFS(Games[Team],Games[[#This Row],[Team]],Games[Season],Games[[#This Row],[Season]],Games[Date],"&lt;=" &amp; Games[[#This Row],[Date]])</f>
        <v>5</v>
      </c>
      <c r="D52" s="2" t="s">
        <v>23</v>
      </c>
      <c r="E52" s="2" t="s">
        <v>29</v>
      </c>
      <c r="F52" s="1" t="s">
        <v>83</v>
      </c>
      <c r="G52" s="1" t="s">
        <v>44</v>
      </c>
      <c r="H52" s="1" t="s">
        <v>16</v>
      </c>
      <c r="I52" s="2" cm="1">
        <f t="array" ref="I52">IFERROR(
    Games[[#This Row],[Date]]
    - LOOKUP(
        2,
        1/((Games[Team]=Games[[#This Row],[Team]]) * (Games[Date] &lt; Games[[#This Row],[Date]])),
        Games[Date]
    )
    - 1,
Games[[#This Row],[Date]]-$A$2)</f>
        <v>4</v>
      </c>
      <c r="J52" s="2" cm="1">
        <f t="array" ref="J5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2" s="2">
        <f>Games[[#This Row],[DaysOff]]-Games[[#This Row],[OppDaysOff]]</f>
        <v>2</v>
      </c>
      <c r="L52" s="2">
        <f>Games[[#This Row],[OppDaysOff]]-Games[[#This Row],[DaysOff]]</f>
        <v>-2</v>
      </c>
      <c r="M52" s="1">
        <f>MAX(-16, MIN(16, Games[[#This Row],[RestDiff]]*8))</f>
        <v>16</v>
      </c>
      <c r="N52" s="1">
        <f>MAX(-16, MIN(16, Games[[#This Row],[OppRestDiff]]*8))</f>
        <v>-16</v>
      </c>
      <c r="O52" s="4" cm="1">
        <f t="array" ref="O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1547.769581813702</v>
      </c>
      <c r="P52" s="4" cm="1">
        <f t="array" ref="P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1579.754961204851</v>
      </c>
      <c r="Q52" s="4">
        <f>1/(1+10^(((Games[[#This Row],[OppPreGmRate]]+IF(Games[[#This Row],[HomeAway]]="A",HCA,0)+Games[[#This Row],[OppRestAdj]])-(Games[[#This Row],[PreGmRate]]+IF(Games[[#This Row],[HomeAway]]="H",HCA,0)+Games[[#This Row],[RestAdj]]))/400))</f>
        <v>0.38143573534034297</v>
      </c>
      <c r="R52" s="1">
        <v>96</v>
      </c>
      <c r="S52" s="1">
        <v>93</v>
      </c>
      <c r="T52" s="1">
        <v>0</v>
      </c>
      <c r="U52" s="1">
        <f>Games[[#This Row],[PointsFor]]-Games[[#This Row],[PointsAgainst]]</f>
        <v>3</v>
      </c>
      <c r="V52" s="1">
        <f>IF(Games[[#This Row],[MOV]]&gt;0,1,IF(Games[[#This Row],[MOV]]=0,0.5,0))</f>
        <v>1</v>
      </c>
      <c r="W52" s="4">
        <f>((ABS(Games[[#This Row],[MOV]])+5)^0.6)/(12+0.01*(ABS(Games[[#This Row],[PreGmRate]]-Games[[#This Row],[OppPreGmRate]])))*IF(Games[[#This Row],[OT]]=1,0.9,1)</f>
        <v>0.28264964109439444</v>
      </c>
      <c r="X52" s="7" cm="1">
        <f t="array" ref="X5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2" s="9">
        <f>MAX(kmin, kmax - 0.15 * MIN(Games[[#This Row],[GamesPlayed]], 82))</f>
        <v>75.25</v>
      </c>
      <c r="Z52" s="4">
        <f>Games[[#This Row],[K]]*Games[[#This Row],[POMult]]</f>
        <v>75.25</v>
      </c>
      <c r="AA52" s="4">
        <f>(Games[[#This Row],[Keff]]*Games[[#This Row],[MOVMult]])*(Games[[#This Row],[Result]]-Games[[#This Row],[ExpectedWin%]])</f>
        <v>13.156481796840222</v>
      </c>
      <c r="AB52" s="4">
        <f>Games[[#This Row],[PreGmRate]]+Games[[#This Row],[RatingChange]]</f>
        <v>1560.9260636105421</v>
      </c>
      <c r="AC52" s="2">
        <f>IF(Games[[#This Row],[Type]]="R",IF(Games[[#This Row],[Result]]&gt;0.5,1,0),0)</f>
        <v>1</v>
      </c>
      <c r="AD52" s="2">
        <f>IF(Games[[#This Row],[Type]]="R",IF(Games[[#This Row],[Result]]&lt;0.5,1,0),0)</f>
        <v>0</v>
      </c>
      <c r="AE52" s="2">
        <f>IF(AND(Games[[#This Row],[Type]]="P",Games[[#This Row],[Round]]=1),IF(Games[[#This Row],[Result]]&gt;0.5,1,0),0)</f>
        <v>0</v>
      </c>
      <c r="AF52" s="2">
        <f>IF(AND(Games[[#This Row],[Type]]="P",Games[[#This Row],[Round]]=1),IF(Games[[#This Row],[Result]]&lt;0.5,1,0),0)</f>
        <v>0</v>
      </c>
      <c r="AG52" s="2">
        <f>IF(AND(Games[[#This Row],[Type]]="P",Games[[#This Row],[Round]]=2),IF(Games[[#This Row],[Result]]&gt;0.5,1,0),0)</f>
        <v>0</v>
      </c>
      <c r="AH52" s="2">
        <f>IF(AND(Games[[#This Row],[Type]]="P",Games[[#This Row],[Round]]=2),IF(Games[[#This Row],[Result]]&lt;0.5,1,0),0)</f>
        <v>0</v>
      </c>
      <c r="AI52" s="2">
        <f>IF(AND(Games[[#This Row],[Type]]="P",Games[[#This Row],[Round]]=3),IF(Games[[#This Row],[Result]]&gt;0.5,1,0),0)</f>
        <v>0</v>
      </c>
      <c r="AJ52" s="2">
        <f>IF(AND(Games[[#This Row],[Type]]="P",Games[[#This Row],[Round]]=3),IF(Games[[#This Row],[Result]]&lt;0.5,1,0),0)</f>
        <v>0</v>
      </c>
      <c r="AK52" s="2">
        <f>IF(AND(Games[[#This Row],[Type]]="P",Games[[#This Row],[Round]]=4),IF(Games[[#This Row],[Result]]&gt;0.5,1,0),0)</f>
        <v>0</v>
      </c>
      <c r="AL52" s="2">
        <f>IF(AND(Games[[#This Row],[Type]]="P",Games[[#This Row],[Round]]=4),IF(Games[[#This Row],[Result]]&lt;0.5,1,0),0)</f>
        <v>0</v>
      </c>
    </row>
    <row r="53" spans="1:38" x14ac:dyDescent="0.35">
      <c r="A53" s="10">
        <v>40326</v>
      </c>
      <c r="B53" s="2">
        <v>2010</v>
      </c>
      <c r="C53" s="2">
        <f>COUNTIFS(Games[Team],Games[[#This Row],[Team]],Games[Season],Games[[#This Row],[Season]],Games[Date],"&lt;=" &amp; Games[[#This Row],[Date]])</f>
        <v>4</v>
      </c>
      <c r="D53" s="2" t="s">
        <v>23</v>
      </c>
      <c r="E53" s="2" t="s">
        <v>29</v>
      </c>
      <c r="F53" s="1" t="s">
        <v>44</v>
      </c>
      <c r="G53" s="1" t="s">
        <v>83</v>
      </c>
      <c r="H53" s="1" t="s">
        <v>15</v>
      </c>
      <c r="I53" s="2" cm="1">
        <f t="array" ref="I53">IFERROR(
    Games[[#This Row],[Date]]
    - LOOKUP(
        2,
        1/((Games[Team]=Games[[#This Row],[Team]]) * (Games[Date] &lt; Games[[#This Row],[Date]])),
        Games[Date]
    )
    - 1,
Games[[#This Row],[Date]]-$A$2)</f>
        <v>2</v>
      </c>
      <c r="J53" s="2" cm="1">
        <f t="array" ref="J53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53" s="2">
        <f>Games[[#This Row],[DaysOff]]-Games[[#This Row],[OppDaysOff]]</f>
        <v>-2</v>
      </c>
      <c r="L53" s="2">
        <f>Games[[#This Row],[OppDaysOff]]-Games[[#This Row],[DaysOff]]</f>
        <v>2</v>
      </c>
      <c r="M53" s="1">
        <f>MAX(-16, MIN(16, Games[[#This Row],[RestDiff]]*8))</f>
        <v>-16</v>
      </c>
      <c r="N53" s="1">
        <f>MAX(-16, MIN(16, Games[[#This Row],[OppRestDiff]]*8))</f>
        <v>16</v>
      </c>
      <c r="O53" s="4" cm="1">
        <f t="array" ref="O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1579.754961204851</v>
      </c>
      <c r="P53" s="4" cm="1">
        <f t="array" ref="P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1547.769581813702</v>
      </c>
      <c r="Q53" s="4">
        <f>1/(1+10^(((Games[[#This Row],[OppPreGmRate]]+IF(Games[[#This Row],[HomeAway]]="A",HCA,0)+Games[[#This Row],[OppRestAdj]])-(Games[[#This Row],[PreGmRate]]+IF(Games[[#This Row],[HomeAway]]="H",HCA,0)+Games[[#This Row],[RestAdj]]))/400))</f>
        <v>0.61856426465965708</v>
      </c>
      <c r="R53" s="1">
        <v>93</v>
      </c>
      <c r="S53" s="1">
        <v>96</v>
      </c>
      <c r="T53" s="1">
        <v>0</v>
      </c>
      <c r="U53" s="1">
        <f>Games[[#This Row],[PointsFor]]-Games[[#This Row],[PointsAgainst]]</f>
        <v>-3</v>
      </c>
      <c r="V53" s="1">
        <f>IF(Games[[#This Row],[MOV]]&gt;0,1,IF(Games[[#This Row],[MOV]]=0,0.5,0))</f>
        <v>0</v>
      </c>
      <c r="W53" s="4">
        <f>((ABS(Games[[#This Row],[MOV]])+5)^0.6)/(12+0.01*(ABS(Games[[#This Row],[PreGmRate]]-Games[[#This Row],[OppPreGmRate]])))*IF(Games[[#This Row],[OT]]=1,0.9,1)</f>
        <v>0.28264964109439444</v>
      </c>
      <c r="X53" s="7" cm="1">
        <f t="array" ref="X5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3" s="9">
        <f>MAX(kmin, kmax - 0.15 * MIN(Games[[#This Row],[GamesPlayed]], 82))</f>
        <v>75.400000000000006</v>
      </c>
      <c r="Z53" s="4">
        <f>Games[[#This Row],[K]]*Games[[#This Row],[POMult]]</f>
        <v>75.400000000000006</v>
      </c>
      <c r="AA53" s="4">
        <f>(Games[[#This Row],[Keff]]*Games[[#This Row],[MOVMult]])*(Games[[#This Row],[Result]]-Games[[#This Row],[ExpectedWin%]])</f>
        <v>-13.182707341950206</v>
      </c>
      <c r="AB53" s="4">
        <f>Games[[#This Row],[PreGmRate]]+Games[[#This Row],[RatingChange]]</f>
        <v>1566.5722538629009</v>
      </c>
      <c r="AC53" s="2">
        <f>IF(Games[[#This Row],[Type]]="R",IF(Games[[#This Row],[Result]]&gt;0.5,1,0),0)</f>
        <v>0</v>
      </c>
      <c r="AD53" s="2">
        <f>IF(Games[[#This Row],[Type]]="R",IF(Games[[#This Row],[Result]]&lt;0.5,1,0),0)</f>
        <v>1</v>
      </c>
      <c r="AE53" s="2">
        <f>IF(AND(Games[[#This Row],[Type]]="P",Games[[#This Row],[Round]]=1),IF(Games[[#This Row],[Result]]&gt;0.5,1,0),0)</f>
        <v>0</v>
      </c>
      <c r="AF53" s="2">
        <f>IF(AND(Games[[#This Row],[Type]]="P",Games[[#This Row],[Round]]=1),IF(Games[[#This Row],[Result]]&lt;0.5,1,0),0)</f>
        <v>0</v>
      </c>
      <c r="AG53" s="2">
        <f>IF(AND(Games[[#This Row],[Type]]="P",Games[[#This Row],[Round]]=2),IF(Games[[#This Row],[Result]]&gt;0.5,1,0),0)</f>
        <v>0</v>
      </c>
      <c r="AH53" s="2">
        <f>IF(AND(Games[[#This Row],[Type]]="P",Games[[#This Row],[Round]]=2),IF(Games[[#This Row],[Result]]&lt;0.5,1,0),0)</f>
        <v>0</v>
      </c>
      <c r="AI53" s="2">
        <f>IF(AND(Games[[#This Row],[Type]]="P",Games[[#This Row],[Round]]=3),IF(Games[[#This Row],[Result]]&gt;0.5,1,0),0)</f>
        <v>0</v>
      </c>
      <c r="AJ53" s="2">
        <f>IF(AND(Games[[#This Row],[Type]]="P",Games[[#This Row],[Round]]=3),IF(Games[[#This Row],[Result]]&lt;0.5,1,0),0)</f>
        <v>0</v>
      </c>
      <c r="AK53" s="2">
        <f>IF(AND(Games[[#This Row],[Type]]="P",Games[[#This Row],[Round]]=4),IF(Games[[#This Row],[Result]]&gt;0.5,1,0),0)</f>
        <v>0</v>
      </c>
      <c r="AL53" s="2">
        <f>IF(AND(Games[[#This Row],[Type]]="P",Games[[#This Row],[Round]]=4),IF(Games[[#This Row],[Result]]&lt;0.5,1,0),0)</f>
        <v>0</v>
      </c>
    </row>
    <row r="54" spans="1:38" x14ac:dyDescent="0.35">
      <c r="A54" s="10">
        <v>40326</v>
      </c>
      <c r="B54" s="2">
        <v>2010</v>
      </c>
      <c r="C54" s="2">
        <f>COUNTIFS(Games[Team],Games[[#This Row],[Team]],Games[Season],Games[[#This Row],[Season]],Games[Date],"&lt;=" &amp; Games[[#This Row],[Date]])</f>
        <v>4</v>
      </c>
      <c r="D54" s="2" t="s">
        <v>23</v>
      </c>
      <c r="E54" s="2" t="s">
        <v>29</v>
      </c>
      <c r="F54" s="1" t="s">
        <v>64</v>
      </c>
      <c r="G54" s="1" t="s">
        <v>78</v>
      </c>
      <c r="H54" s="1" t="s">
        <v>16</v>
      </c>
      <c r="I54" s="2" cm="1">
        <f t="array" ref="I54">IFERROR(
    Games[[#This Row],[Date]]
    - LOOKUP(
        2,
        1/((Games[Team]=Games[[#This Row],[Team]]) * (Games[Date] &lt; Games[[#This Row],[Date]])),
        Games[Date]
    )
    - 1,
Games[[#This Row],[Date]]-$A$2)</f>
        <v>4</v>
      </c>
      <c r="J54" s="2" cm="1">
        <f t="array" ref="J54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54" s="2">
        <f>Games[[#This Row],[DaysOff]]-Games[[#This Row],[OppDaysOff]]</f>
        <v>-1</v>
      </c>
      <c r="L54" s="2">
        <f>Games[[#This Row],[OppDaysOff]]-Games[[#This Row],[DaysOff]]</f>
        <v>1</v>
      </c>
      <c r="M54" s="1">
        <f>MAX(-16, MIN(16, Games[[#This Row],[RestDiff]]*8))</f>
        <v>-8</v>
      </c>
      <c r="N54" s="1">
        <f>MAX(-16, MIN(16, Games[[#This Row],[OppRestDiff]]*8))</f>
        <v>8</v>
      </c>
      <c r="O54" s="4" cm="1">
        <f t="array" ref="O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1452.2712333472994</v>
      </c>
      <c r="P54" s="4" cm="1">
        <f t="array" ref="P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1507.0441358549519</v>
      </c>
      <c r="Q54" s="4">
        <f>1/(1+10^(((Games[[#This Row],[OppPreGmRate]]+IF(Games[[#This Row],[HomeAway]]="A",HCA,0)+Games[[#This Row],[OppRestAdj]])-(Games[[#This Row],[PreGmRate]]+IF(Games[[#This Row],[HomeAway]]="H",HCA,0)+Games[[#This Row],[RestAdj]]))/400))</f>
        <v>0.29091496553916291</v>
      </c>
      <c r="R54" s="1">
        <v>77</v>
      </c>
      <c r="S54" s="1">
        <v>71</v>
      </c>
      <c r="T54" s="1">
        <v>0</v>
      </c>
      <c r="U54" s="1">
        <f>Games[[#This Row],[PointsFor]]-Games[[#This Row],[PointsAgainst]]</f>
        <v>6</v>
      </c>
      <c r="V54" s="1">
        <f>IF(Games[[#This Row],[MOV]]&gt;0,1,IF(Games[[#This Row],[MOV]]=0,0.5,0))</f>
        <v>1</v>
      </c>
      <c r="W54" s="4">
        <f>((ABS(Games[[#This Row],[MOV]])+5)^0.6)/(12+0.01*(ABS(Games[[#This Row],[PreGmRate]]-Games[[#This Row],[OppPreGmRate]])))*IF(Games[[#This Row],[OT]]=1,0.9,1)</f>
        <v>0.33594677767327635</v>
      </c>
      <c r="X54" s="7" cm="1">
        <f t="array" ref="X5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4" s="9">
        <f>MAX(kmin, kmax - 0.15 * MIN(Games[[#This Row],[GamesPlayed]], 82))</f>
        <v>75.400000000000006</v>
      </c>
      <c r="Z54" s="4">
        <f>Games[[#This Row],[K]]*Games[[#This Row],[POMult]]</f>
        <v>75.400000000000006</v>
      </c>
      <c r="AA54" s="4">
        <f>(Games[[#This Row],[Keff]]*Games[[#This Row],[MOVMult]])*(Games[[#This Row],[Result]]-Games[[#This Row],[ExpectedWin%]])</f>
        <v>17.96139836472906</v>
      </c>
      <c r="AB54" s="4">
        <f>Games[[#This Row],[PreGmRate]]+Games[[#This Row],[RatingChange]]</f>
        <v>1470.2326317120285</v>
      </c>
      <c r="AC54" s="2">
        <f>IF(Games[[#This Row],[Type]]="R",IF(Games[[#This Row],[Result]]&gt;0.5,1,0),0)</f>
        <v>1</v>
      </c>
      <c r="AD54" s="2">
        <f>IF(Games[[#This Row],[Type]]="R",IF(Games[[#This Row],[Result]]&lt;0.5,1,0),0)</f>
        <v>0</v>
      </c>
      <c r="AE54" s="2">
        <f>IF(AND(Games[[#This Row],[Type]]="P",Games[[#This Row],[Round]]=1),IF(Games[[#This Row],[Result]]&gt;0.5,1,0),0)</f>
        <v>0</v>
      </c>
      <c r="AF54" s="2">
        <f>IF(AND(Games[[#This Row],[Type]]="P",Games[[#This Row],[Round]]=1),IF(Games[[#This Row],[Result]]&lt;0.5,1,0),0)</f>
        <v>0</v>
      </c>
      <c r="AG54" s="2">
        <f>IF(AND(Games[[#This Row],[Type]]="P",Games[[#This Row],[Round]]=2),IF(Games[[#This Row],[Result]]&gt;0.5,1,0),0)</f>
        <v>0</v>
      </c>
      <c r="AH54" s="2">
        <f>IF(AND(Games[[#This Row],[Type]]="P",Games[[#This Row],[Round]]=2),IF(Games[[#This Row],[Result]]&lt;0.5,1,0),0)</f>
        <v>0</v>
      </c>
      <c r="AI54" s="2">
        <f>IF(AND(Games[[#This Row],[Type]]="P",Games[[#This Row],[Round]]=3),IF(Games[[#This Row],[Result]]&gt;0.5,1,0),0)</f>
        <v>0</v>
      </c>
      <c r="AJ54" s="2">
        <f>IF(AND(Games[[#This Row],[Type]]="P",Games[[#This Row],[Round]]=3),IF(Games[[#This Row],[Result]]&lt;0.5,1,0),0)</f>
        <v>0</v>
      </c>
      <c r="AK54" s="2">
        <f>IF(AND(Games[[#This Row],[Type]]="P",Games[[#This Row],[Round]]=4),IF(Games[[#This Row],[Result]]&gt;0.5,1,0),0)</f>
        <v>0</v>
      </c>
      <c r="AL54" s="2">
        <f>IF(AND(Games[[#This Row],[Type]]="P",Games[[#This Row],[Round]]=4),IF(Games[[#This Row],[Result]]&lt;0.5,1,0),0)</f>
        <v>0</v>
      </c>
    </row>
    <row r="55" spans="1:38" x14ac:dyDescent="0.35">
      <c r="A55" s="10">
        <v>40326</v>
      </c>
      <c r="B55" s="2">
        <v>2010</v>
      </c>
      <c r="C55" s="2">
        <f>COUNTIFS(Games[Team],Games[[#This Row],[Team]],Games[Season],Games[[#This Row],[Season]],Games[Date],"&lt;=" &amp; Games[[#This Row],[Date]])</f>
        <v>4</v>
      </c>
      <c r="D55" s="2" t="s">
        <v>23</v>
      </c>
      <c r="E55" s="2" t="s">
        <v>29</v>
      </c>
      <c r="F55" s="1" t="s">
        <v>78</v>
      </c>
      <c r="G55" s="1" t="s">
        <v>64</v>
      </c>
      <c r="H55" s="1" t="s">
        <v>15</v>
      </c>
      <c r="I55" s="2" cm="1">
        <f t="array" ref="I55">IFERROR(
    Games[[#This Row],[Date]]
    - LOOKUP(
        2,
        1/((Games[Team]=Games[[#This Row],[Team]]) * (Games[Date] &lt; Games[[#This Row],[Date]])),
        Games[Date]
    )
    - 1,
Games[[#This Row],[Date]]-$A$2)</f>
        <v>5</v>
      </c>
      <c r="J55" s="2" cm="1">
        <f t="array" ref="J55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55" s="2">
        <f>Games[[#This Row],[DaysOff]]-Games[[#This Row],[OppDaysOff]]</f>
        <v>1</v>
      </c>
      <c r="L55" s="2">
        <f>Games[[#This Row],[OppDaysOff]]-Games[[#This Row],[DaysOff]]</f>
        <v>-1</v>
      </c>
      <c r="M55" s="1">
        <f>MAX(-16, MIN(16, Games[[#This Row],[RestDiff]]*8))</f>
        <v>8</v>
      </c>
      <c r="N55" s="1">
        <f>MAX(-16, MIN(16, Games[[#This Row],[OppRestDiff]]*8))</f>
        <v>-8</v>
      </c>
      <c r="O55" s="4" cm="1">
        <f t="array" ref="O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1507.0441358549519</v>
      </c>
      <c r="P55" s="4" cm="1">
        <f t="array" ref="P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1452.2712333472994</v>
      </c>
      <c r="Q55" s="4">
        <f>1/(1+10^(((Games[[#This Row],[OppPreGmRate]]+IF(Games[[#This Row],[HomeAway]]="A",HCA,0)+Games[[#This Row],[OppRestAdj]])-(Games[[#This Row],[PreGmRate]]+IF(Games[[#This Row],[HomeAway]]="H",HCA,0)+Games[[#This Row],[RestAdj]]))/400))</f>
        <v>0.70908503446083704</v>
      </c>
      <c r="R55" s="1">
        <v>71</v>
      </c>
      <c r="S55" s="1">
        <v>77</v>
      </c>
      <c r="T55" s="1">
        <v>0</v>
      </c>
      <c r="U55" s="1">
        <f>Games[[#This Row],[PointsFor]]-Games[[#This Row],[PointsAgainst]]</f>
        <v>-6</v>
      </c>
      <c r="V55" s="1">
        <f>IF(Games[[#This Row],[MOV]]&gt;0,1,IF(Games[[#This Row],[MOV]]=0,0.5,0))</f>
        <v>0</v>
      </c>
      <c r="W55" s="4">
        <f>((ABS(Games[[#This Row],[MOV]])+5)^0.6)/(12+0.01*(ABS(Games[[#This Row],[PreGmRate]]-Games[[#This Row],[OppPreGmRate]])))*IF(Games[[#This Row],[OT]]=1,0.9,1)</f>
        <v>0.33594677767327635</v>
      </c>
      <c r="X55" s="7" cm="1">
        <f t="array" ref="X5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5" s="9">
        <f>MAX(kmin, kmax - 0.15 * MIN(Games[[#This Row],[GamesPlayed]], 82))</f>
        <v>75.400000000000006</v>
      </c>
      <c r="Z55" s="4">
        <f>Games[[#This Row],[K]]*Games[[#This Row],[POMult]]</f>
        <v>75.400000000000006</v>
      </c>
      <c r="AA55" s="4">
        <f>(Games[[#This Row],[Keff]]*Games[[#This Row],[MOVMult]])*(Games[[#This Row],[Result]]-Games[[#This Row],[ExpectedWin%]])</f>
        <v>-17.96139836472906</v>
      </c>
      <c r="AB55" s="4">
        <f>Games[[#This Row],[PreGmRate]]+Games[[#This Row],[RatingChange]]</f>
        <v>1489.0827374902228</v>
      </c>
      <c r="AC55" s="2">
        <f>IF(Games[[#This Row],[Type]]="R",IF(Games[[#This Row],[Result]]&gt;0.5,1,0),0)</f>
        <v>0</v>
      </c>
      <c r="AD55" s="2">
        <f>IF(Games[[#This Row],[Type]]="R",IF(Games[[#This Row],[Result]]&lt;0.5,1,0),0)</f>
        <v>1</v>
      </c>
      <c r="AE55" s="2">
        <f>IF(AND(Games[[#This Row],[Type]]="P",Games[[#This Row],[Round]]=1),IF(Games[[#This Row],[Result]]&gt;0.5,1,0),0)</f>
        <v>0</v>
      </c>
      <c r="AF55" s="2">
        <f>IF(AND(Games[[#This Row],[Type]]="P",Games[[#This Row],[Round]]=1),IF(Games[[#This Row],[Result]]&lt;0.5,1,0),0)</f>
        <v>0</v>
      </c>
      <c r="AG55" s="2">
        <f>IF(AND(Games[[#This Row],[Type]]="P",Games[[#This Row],[Round]]=2),IF(Games[[#This Row],[Result]]&gt;0.5,1,0),0)</f>
        <v>0</v>
      </c>
      <c r="AH55" s="2">
        <f>IF(AND(Games[[#This Row],[Type]]="P",Games[[#This Row],[Round]]=2),IF(Games[[#This Row],[Result]]&lt;0.5,1,0),0)</f>
        <v>0</v>
      </c>
      <c r="AI55" s="2">
        <f>IF(AND(Games[[#This Row],[Type]]="P",Games[[#This Row],[Round]]=3),IF(Games[[#This Row],[Result]]&gt;0.5,1,0),0)</f>
        <v>0</v>
      </c>
      <c r="AJ55" s="2">
        <f>IF(AND(Games[[#This Row],[Type]]="P",Games[[#This Row],[Round]]=3),IF(Games[[#This Row],[Result]]&lt;0.5,1,0),0)</f>
        <v>0</v>
      </c>
      <c r="AK55" s="2">
        <f>IF(AND(Games[[#This Row],[Type]]="P",Games[[#This Row],[Round]]=4),IF(Games[[#This Row],[Result]]&gt;0.5,1,0),0)</f>
        <v>0</v>
      </c>
      <c r="AL55" s="2">
        <f>IF(AND(Games[[#This Row],[Type]]="P",Games[[#This Row],[Round]]=4),IF(Games[[#This Row],[Result]]&lt;0.5,1,0),0)</f>
        <v>0</v>
      </c>
    </row>
    <row r="56" spans="1:38" x14ac:dyDescent="0.35">
      <c r="A56" s="10">
        <v>40327</v>
      </c>
      <c r="B56" s="2">
        <v>2010</v>
      </c>
      <c r="C56" s="2">
        <f>COUNTIFS(Games[Team],Games[[#This Row],[Team]],Games[Season],Games[[#This Row],[Season]],Games[Date],"&lt;=" &amp; Games[[#This Row],[Date]])</f>
        <v>6</v>
      </c>
      <c r="D56" s="2" t="s">
        <v>23</v>
      </c>
      <c r="E56" s="2" t="s">
        <v>29</v>
      </c>
      <c r="F56" s="1" t="s">
        <v>81</v>
      </c>
      <c r="G56" s="1" t="s">
        <v>71</v>
      </c>
      <c r="H56" s="1" t="s">
        <v>16</v>
      </c>
      <c r="I56" s="2" cm="1">
        <f t="array" ref="I56">IFERROR(
    Games[[#This Row],[Date]]
    - LOOKUP(
        2,
        1/((Games[Team]=Games[[#This Row],[Team]]) * (Games[Date] &lt; Games[[#This Row],[Date]])),
        Games[Date]
    )
    - 1,
Games[[#This Row],[Date]]-$A$2)</f>
        <v>1</v>
      </c>
      <c r="J56" s="2" cm="1">
        <f t="array" ref="J5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6" s="2">
        <f>Games[[#This Row],[DaysOff]]-Games[[#This Row],[OppDaysOff]]</f>
        <v>0</v>
      </c>
      <c r="L56" s="2">
        <f>Games[[#This Row],[OppDaysOff]]-Games[[#This Row],[DaysOff]]</f>
        <v>0</v>
      </c>
      <c r="M56" s="1">
        <f>MAX(-16, MIN(16, Games[[#This Row],[RestDiff]]*8))</f>
        <v>0</v>
      </c>
      <c r="N56" s="1">
        <f>MAX(-16, MIN(16, Games[[#This Row],[OppRestDiff]]*8))</f>
        <v>0</v>
      </c>
      <c r="O56" s="4" cm="1">
        <f t="array" ref="O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1446.4496843746153</v>
      </c>
      <c r="P56" s="4" cm="1">
        <f t="array" ref="P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1417.564653283652</v>
      </c>
      <c r="Q56" s="4">
        <f>1/(1+10^(((Games[[#This Row],[OppPreGmRate]]+IF(Games[[#This Row],[HomeAway]]="A",HCA,0)+Games[[#This Row],[OppRestAdj]])-(Games[[#This Row],[PreGmRate]]+IF(Games[[#This Row],[HomeAway]]="H",HCA,0)+Games[[#This Row],[RestAdj]]))/400))</f>
        <v>0.42134188041151477</v>
      </c>
      <c r="R56" s="1">
        <v>73</v>
      </c>
      <c r="S56" s="1">
        <v>58</v>
      </c>
      <c r="T56" s="1">
        <v>0</v>
      </c>
      <c r="U56" s="1">
        <f>Games[[#This Row],[PointsFor]]-Games[[#This Row],[PointsAgainst]]</f>
        <v>15</v>
      </c>
      <c r="V56" s="1">
        <f>IF(Games[[#This Row],[MOV]]&gt;0,1,IF(Games[[#This Row],[MOV]]=0,0.5,0))</f>
        <v>1</v>
      </c>
      <c r="W56" s="4">
        <f>((ABS(Games[[#This Row],[MOV]])+5)^0.6)/(12+0.01*(ABS(Games[[#This Row],[PreGmRate]]-Games[[#This Row],[OppPreGmRate]])))*IF(Games[[#This Row],[OT]]=1,0.9,1)</f>
        <v>0.49102854895939452</v>
      </c>
      <c r="X56" s="7" cm="1">
        <f t="array" ref="X5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6" s="9">
        <f>MAX(kmin, kmax - 0.15 * MIN(Games[[#This Row],[GamesPlayed]], 82))</f>
        <v>75.099999999999994</v>
      </c>
      <c r="Z56" s="4">
        <f>Games[[#This Row],[K]]*Games[[#This Row],[POMult]]</f>
        <v>75.099999999999994</v>
      </c>
      <c r="AA56" s="4">
        <f>(Games[[#This Row],[Keff]]*Games[[#This Row],[MOVMult]])*(Games[[#This Row],[Result]]-Games[[#This Row],[ExpectedWin%]])</f>
        <v>21.338738026063439</v>
      </c>
      <c r="AB56" s="4">
        <f>Games[[#This Row],[PreGmRate]]+Games[[#This Row],[RatingChange]]</f>
        <v>1467.7884224006789</v>
      </c>
      <c r="AC56" s="2">
        <f>IF(Games[[#This Row],[Type]]="R",IF(Games[[#This Row],[Result]]&gt;0.5,1,0),0)</f>
        <v>1</v>
      </c>
      <c r="AD56" s="2">
        <f>IF(Games[[#This Row],[Type]]="R",IF(Games[[#This Row],[Result]]&lt;0.5,1,0),0)</f>
        <v>0</v>
      </c>
      <c r="AE56" s="2">
        <f>IF(AND(Games[[#This Row],[Type]]="P",Games[[#This Row],[Round]]=1),IF(Games[[#This Row],[Result]]&gt;0.5,1,0),0)</f>
        <v>0</v>
      </c>
      <c r="AF56" s="2">
        <f>IF(AND(Games[[#This Row],[Type]]="P",Games[[#This Row],[Round]]=1),IF(Games[[#This Row],[Result]]&lt;0.5,1,0),0)</f>
        <v>0</v>
      </c>
      <c r="AG56" s="2">
        <f>IF(AND(Games[[#This Row],[Type]]="P",Games[[#This Row],[Round]]=2),IF(Games[[#This Row],[Result]]&gt;0.5,1,0),0)</f>
        <v>0</v>
      </c>
      <c r="AH56" s="2">
        <f>IF(AND(Games[[#This Row],[Type]]="P",Games[[#This Row],[Round]]=2),IF(Games[[#This Row],[Result]]&lt;0.5,1,0),0)</f>
        <v>0</v>
      </c>
      <c r="AI56" s="2">
        <f>IF(AND(Games[[#This Row],[Type]]="P",Games[[#This Row],[Round]]=3),IF(Games[[#This Row],[Result]]&gt;0.5,1,0),0)</f>
        <v>0</v>
      </c>
      <c r="AJ56" s="2">
        <f>IF(AND(Games[[#This Row],[Type]]="P",Games[[#This Row],[Round]]=3),IF(Games[[#This Row],[Result]]&lt;0.5,1,0),0)</f>
        <v>0</v>
      </c>
      <c r="AK56" s="2">
        <f>IF(AND(Games[[#This Row],[Type]]="P",Games[[#This Row],[Round]]=4),IF(Games[[#This Row],[Result]]&gt;0.5,1,0),0)</f>
        <v>0</v>
      </c>
      <c r="AL56" s="2">
        <f>IF(AND(Games[[#This Row],[Type]]="P",Games[[#This Row],[Round]]=4),IF(Games[[#This Row],[Result]]&lt;0.5,1,0),0)</f>
        <v>0</v>
      </c>
    </row>
    <row r="57" spans="1:38" x14ac:dyDescent="0.35">
      <c r="A57" s="10">
        <v>40327</v>
      </c>
      <c r="B57" s="2">
        <v>2010</v>
      </c>
      <c r="C57" s="2">
        <f>COUNTIFS(Games[Team],Games[[#This Row],[Team]],Games[Season],Games[[#This Row],[Season]],Games[Date],"&lt;=" &amp; Games[[#This Row],[Date]])</f>
        <v>6</v>
      </c>
      <c r="D57" s="2" t="s">
        <v>23</v>
      </c>
      <c r="E57" s="2" t="s">
        <v>29</v>
      </c>
      <c r="F57" s="1" t="s">
        <v>71</v>
      </c>
      <c r="G57" s="1" t="s">
        <v>81</v>
      </c>
      <c r="H57" s="1" t="s">
        <v>15</v>
      </c>
      <c r="I57" s="2" cm="1">
        <f t="array" ref="I57">IFERROR(
    Games[[#This Row],[Date]]
    - LOOKUP(
        2,
        1/((Games[Team]=Games[[#This Row],[Team]]) * (Games[Date] &lt; Games[[#This Row],[Date]])),
        Games[Date]
    )
    - 1,
Games[[#This Row],[Date]]-$A$2)</f>
        <v>1</v>
      </c>
      <c r="J57" s="2" cm="1">
        <f t="array" ref="J5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7" s="2">
        <f>Games[[#This Row],[DaysOff]]-Games[[#This Row],[OppDaysOff]]</f>
        <v>0</v>
      </c>
      <c r="L57" s="2">
        <f>Games[[#This Row],[OppDaysOff]]-Games[[#This Row],[DaysOff]]</f>
        <v>0</v>
      </c>
      <c r="M57" s="1">
        <f>MAX(-16, MIN(16, Games[[#This Row],[RestDiff]]*8))</f>
        <v>0</v>
      </c>
      <c r="N57" s="1">
        <f>MAX(-16, MIN(16, Games[[#This Row],[OppRestDiff]]*8))</f>
        <v>0</v>
      </c>
      <c r="O57" s="4" cm="1">
        <f t="array" ref="O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1417.564653283652</v>
      </c>
      <c r="P57" s="4" cm="1">
        <f t="array" ref="P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1446.4496843746153</v>
      </c>
      <c r="Q57" s="4">
        <f>1/(1+10^(((Games[[#This Row],[OppPreGmRate]]+IF(Games[[#This Row],[HomeAway]]="A",HCA,0)+Games[[#This Row],[OppRestAdj]])-(Games[[#This Row],[PreGmRate]]+IF(Games[[#This Row],[HomeAway]]="H",HCA,0)+Games[[#This Row],[RestAdj]]))/400))</f>
        <v>0.57865811958848534</v>
      </c>
      <c r="R57" s="1">
        <v>58</v>
      </c>
      <c r="S57" s="1">
        <v>73</v>
      </c>
      <c r="T57" s="1">
        <v>0</v>
      </c>
      <c r="U57" s="1">
        <f>Games[[#This Row],[PointsFor]]-Games[[#This Row],[PointsAgainst]]</f>
        <v>-15</v>
      </c>
      <c r="V57" s="1">
        <f>IF(Games[[#This Row],[MOV]]&gt;0,1,IF(Games[[#This Row],[MOV]]=0,0.5,0))</f>
        <v>0</v>
      </c>
      <c r="W57" s="4">
        <f>((ABS(Games[[#This Row],[MOV]])+5)^0.6)/(12+0.01*(ABS(Games[[#This Row],[PreGmRate]]-Games[[#This Row],[OppPreGmRate]])))*IF(Games[[#This Row],[OT]]=1,0.9,1)</f>
        <v>0.49102854895939452</v>
      </c>
      <c r="X57" s="7" cm="1">
        <f t="array" ref="X5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7" s="9">
        <f>MAX(kmin, kmax - 0.15 * MIN(Games[[#This Row],[GamesPlayed]], 82))</f>
        <v>75.099999999999994</v>
      </c>
      <c r="Z57" s="4">
        <f>Games[[#This Row],[K]]*Games[[#This Row],[POMult]]</f>
        <v>75.099999999999994</v>
      </c>
      <c r="AA57" s="4">
        <f>(Games[[#This Row],[Keff]]*Games[[#This Row],[MOVMult]])*(Games[[#This Row],[Result]]-Games[[#This Row],[ExpectedWin%]])</f>
        <v>-21.338738026063442</v>
      </c>
      <c r="AB57" s="4">
        <f>Games[[#This Row],[PreGmRate]]+Games[[#This Row],[RatingChange]]</f>
        <v>1396.2259152575884</v>
      </c>
      <c r="AC57" s="2">
        <f>IF(Games[[#This Row],[Type]]="R",IF(Games[[#This Row],[Result]]&gt;0.5,1,0),0)</f>
        <v>0</v>
      </c>
      <c r="AD57" s="2">
        <f>IF(Games[[#This Row],[Type]]="R",IF(Games[[#This Row],[Result]]&lt;0.5,1,0),0)</f>
        <v>1</v>
      </c>
      <c r="AE57" s="2">
        <f>IF(AND(Games[[#This Row],[Type]]="P",Games[[#This Row],[Round]]=1),IF(Games[[#This Row],[Result]]&gt;0.5,1,0),0)</f>
        <v>0</v>
      </c>
      <c r="AF57" s="2">
        <f>IF(AND(Games[[#This Row],[Type]]="P",Games[[#This Row],[Round]]=1),IF(Games[[#This Row],[Result]]&lt;0.5,1,0),0)</f>
        <v>0</v>
      </c>
      <c r="AG57" s="2">
        <f>IF(AND(Games[[#This Row],[Type]]="P",Games[[#This Row],[Round]]=2),IF(Games[[#This Row],[Result]]&gt;0.5,1,0),0)</f>
        <v>0</v>
      </c>
      <c r="AH57" s="2">
        <f>IF(AND(Games[[#This Row],[Type]]="P",Games[[#This Row],[Round]]=2),IF(Games[[#This Row],[Result]]&lt;0.5,1,0),0)</f>
        <v>0</v>
      </c>
      <c r="AI57" s="2">
        <f>IF(AND(Games[[#This Row],[Type]]="P",Games[[#This Row],[Round]]=3),IF(Games[[#This Row],[Result]]&gt;0.5,1,0),0)</f>
        <v>0</v>
      </c>
      <c r="AJ57" s="2">
        <f>IF(AND(Games[[#This Row],[Type]]="P",Games[[#This Row],[Round]]=3),IF(Games[[#This Row],[Result]]&lt;0.5,1,0),0)</f>
        <v>0</v>
      </c>
      <c r="AK57" s="2">
        <f>IF(AND(Games[[#This Row],[Type]]="P",Games[[#This Row],[Round]]=4),IF(Games[[#This Row],[Result]]&gt;0.5,1,0),0)</f>
        <v>0</v>
      </c>
      <c r="AL57" s="2">
        <f>IF(AND(Games[[#This Row],[Type]]="P",Games[[#This Row],[Round]]=4),IF(Games[[#This Row],[Result]]&lt;0.5,1,0),0)</f>
        <v>0</v>
      </c>
    </row>
    <row r="58" spans="1:38" x14ac:dyDescent="0.35">
      <c r="A58" s="10">
        <v>40327</v>
      </c>
      <c r="B58" s="2">
        <v>2010</v>
      </c>
      <c r="C58" s="2">
        <f>COUNTIFS(Games[Team],Games[[#This Row],[Team]],Games[Season],Games[[#This Row],[Season]],Games[Date],"&lt;=" &amp; Games[[#This Row],[Date]])</f>
        <v>5</v>
      </c>
      <c r="D58" s="2" t="s">
        <v>23</v>
      </c>
      <c r="E58" s="2" t="s">
        <v>29</v>
      </c>
      <c r="F58" s="1" t="s">
        <v>73</v>
      </c>
      <c r="G58" s="1" t="s">
        <v>85</v>
      </c>
      <c r="H58" s="1" t="s">
        <v>16</v>
      </c>
      <c r="I58" s="2" cm="1">
        <f t="array" ref="I58">IFERROR(
    Games[[#This Row],[Date]]
    - LOOKUP(
        2,
        1/((Games[Team]=Games[[#This Row],[Team]]) * (Games[Date] &lt; Games[[#This Row],[Date]])),
        Games[Date]
    )
    - 1,
Games[[#This Row],[Date]]-$A$2)</f>
        <v>5</v>
      </c>
      <c r="J58" s="2" cm="1">
        <f t="array" ref="J5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58" s="2">
        <f>Games[[#This Row],[DaysOff]]-Games[[#This Row],[OppDaysOff]]</f>
        <v>2</v>
      </c>
      <c r="L58" s="2">
        <f>Games[[#This Row],[OppDaysOff]]-Games[[#This Row],[DaysOff]]</f>
        <v>-2</v>
      </c>
      <c r="M58" s="1">
        <f>MAX(-16, MIN(16, Games[[#This Row],[RestDiff]]*8))</f>
        <v>16</v>
      </c>
      <c r="N58" s="1">
        <f>MAX(-16, MIN(16, Games[[#This Row],[OppRestDiff]]*8))</f>
        <v>-16</v>
      </c>
      <c r="O58" s="4" cm="1">
        <f t="array" ref="O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1526.140932102129</v>
      </c>
      <c r="P58" s="4" cm="1">
        <f t="array" ref="P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1504.2056546654726</v>
      </c>
      <c r="Q58" s="4">
        <f>1/(1+10^(((Games[[#This Row],[OppPreGmRate]]+IF(Games[[#This Row],[HomeAway]]="A",HCA,0)+Games[[#This Row],[OppRestAdj]])-(Games[[#This Row],[PreGmRate]]+IF(Games[[#This Row],[HomeAway]]="H",HCA,0)+Games[[#This Row],[RestAdj]]))/400))</f>
        <v>0.4568410572259663</v>
      </c>
      <c r="R58" s="1">
        <v>74</v>
      </c>
      <c r="S58" s="1">
        <v>79</v>
      </c>
      <c r="T58" s="1">
        <v>0</v>
      </c>
      <c r="U58" s="1">
        <f>Games[[#This Row],[PointsFor]]-Games[[#This Row],[PointsAgainst]]</f>
        <v>-5</v>
      </c>
      <c r="V58" s="1">
        <f>IF(Games[[#This Row],[MOV]]&gt;0,1,IF(Games[[#This Row],[MOV]]=0,0.5,0))</f>
        <v>0</v>
      </c>
      <c r="W58" s="4">
        <f>((ABS(Games[[#This Row],[MOV]])+5)^0.6)/(12+0.01*(ABS(Games[[#This Row],[PreGmRate]]-Games[[#This Row],[OppPreGmRate]])))*IF(Games[[#This Row],[OT]]=1,0.9,1)</f>
        <v>0.32580053780641799</v>
      </c>
      <c r="X58" s="7" cm="1">
        <f t="array" ref="X5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8" s="9">
        <f>MAX(kmin, kmax - 0.15 * MIN(Games[[#This Row],[GamesPlayed]], 82))</f>
        <v>75.25</v>
      </c>
      <c r="Z58" s="4">
        <f>Games[[#This Row],[K]]*Games[[#This Row],[POMult]]</f>
        <v>75.25</v>
      </c>
      <c r="AA58" s="4">
        <f>(Games[[#This Row],[Keff]]*Games[[#This Row],[MOVMult]])*(Games[[#This Row],[Result]]-Games[[#This Row],[ExpectedWin%]])</f>
        <v>-11.200139425754498</v>
      </c>
      <c r="AB58" s="4">
        <f>Games[[#This Row],[PreGmRate]]+Games[[#This Row],[RatingChange]]</f>
        <v>1514.9407926763745</v>
      </c>
      <c r="AC58" s="2">
        <f>IF(Games[[#This Row],[Type]]="R",IF(Games[[#This Row],[Result]]&gt;0.5,1,0),0)</f>
        <v>0</v>
      </c>
      <c r="AD58" s="2">
        <f>IF(Games[[#This Row],[Type]]="R",IF(Games[[#This Row],[Result]]&lt;0.5,1,0),0)</f>
        <v>1</v>
      </c>
      <c r="AE58" s="2">
        <f>IF(AND(Games[[#This Row],[Type]]="P",Games[[#This Row],[Round]]=1),IF(Games[[#This Row],[Result]]&gt;0.5,1,0),0)</f>
        <v>0</v>
      </c>
      <c r="AF58" s="2">
        <f>IF(AND(Games[[#This Row],[Type]]="P",Games[[#This Row],[Round]]=1),IF(Games[[#This Row],[Result]]&lt;0.5,1,0),0)</f>
        <v>0</v>
      </c>
      <c r="AG58" s="2">
        <f>IF(AND(Games[[#This Row],[Type]]="P",Games[[#This Row],[Round]]=2),IF(Games[[#This Row],[Result]]&gt;0.5,1,0),0)</f>
        <v>0</v>
      </c>
      <c r="AH58" s="2">
        <f>IF(AND(Games[[#This Row],[Type]]="P",Games[[#This Row],[Round]]=2),IF(Games[[#This Row],[Result]]&lt;0.5,1,0),0)</f>
        <v>0</v>
      </c>
      <c r="AI58" s="2">
        <f>IF(AND(Games[[#This Row],[Type]]="P",Games[[#This Row],[Round]]=3),IF(Games[[#This Row],[Result]]&gt;0.5,1,0),0)</f>
        <v>0</v>
      </c>
      <c r="AJ58" s="2">
        <f>IF(AND(Games[[#This Row],[Type]]="P",Games[[#This Row],[Round]]=3),IF(Games[[#This Row],[Result]]&lt;0.5,1,0),0)</f>
        <v>0</v>
      </c>
      <c r="AK58" s="2">
        <f>IF(AND(Games[[#This Row],[Type]]="P",Games[[#This Row],[Round]]=4),IF(Games[[#This Row],[Result]]&gt;0.5,1,0),0)</f>
        <v>0</v>
      </c>
      <c r="AL58" s="2">
        <f>IF(AND(Games[[#This Row],[Type]]="P",Games[[#This Row],[Round]]=4),IF(Games[[#This Row],[Result]]&lt;0.5,1,0),0)</f>
        <v>0</v>
      </c>
    </row>
    <row r="59" spans="1:38" x14ac:dyDescent="0.35">
      <c r="A59" s="10">
        <v>40327</v>
      </c>
      <c r="B59" s="2">
        <v>2010</v>
      </c>
      <c r="C59" s="2">
        <f>COUNTIFS(Games[Team],Games[[#This Row],[Team]],Games[Season],Games[[#This Row],[Season]],Games[Date],"&lt;=" &amp; Games[[#This Row],[Date]])</f>
        <v>5</v>
      </c>
      <c r="D59" s="2" t="s">
        <v>23</v>
      </c>
      <c r="E59" s="2" t="s">
        <v>29</v>
      </c>
      <c r="F59" s="1" t="s">
        <v>85</v>
      </c>
      <c r="G59" s="1" t="s">
        <v>73</v>
      </c>
      <c r="H59" s="1" t="s">
        <v>15</v>
      </c>
      <c r="I59" s="2" cm="1">
        <f t="array" ref="I59">IFERROR(
    Games[[#This Row],[Date]]
    - LOOKUP(
        2,
        1/((Games[Team]=Games[[#This Row],[Team]]) * (Games[Date] &lt; Games[[#This Row],[Date]])),
        Games[Date]
    )
    - 1,
Games[[#This Row],[Date]]-$A$2)</f>
        <v>3</v>
      </c>
      <c r="J59" s="2" cm="1">
        <f t="array" ref="J59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59" s="2">
        <f>Games[[#This Row],[DaysOff]]-Games[[#This Row],[OppDaysOff]]</f>
        <v>-2</v>
      </c>
      <c r="L59" s="2">
        <f>Games[[#This Row],[OppDaysOff]]-Games[[#This Row],[DaysOff]]</f>
        <v>2</v>
      </c>
      <c r="M59" s="1">
        <f>MAX(-16, MIN(16, Games[[#This Row],[RestDiff]]*8))</f>
        <v>-16</v>
      </c>
      <c r="N59" s="1">
        <f>MAX(-16, MIN(16, Games[[#This Row],[OppRestDiff]]*8))</f>
        <v>16</v>
      </c>
      <c r="O59" s="4" cm="1">
        <f t="array" ref="O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1504.2056546654726</v>
      </c>
      <c r="P59" s="4" cm="1">
        <f t="array" ref="P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1526.140932102129</v>
      </c>
      <c r="Q59" s="4">
        <f>1/(1+10^(((Games[[#This Row],[OppPreGmRate]]+IF(Games[[#This Row],[HomeAway]]="A",HCA,0)+Games[[#This Row],[OppRestAdj]])-(Games[[#This Row],[PreGmRate]]+IF(Games[[#This Row],[HomeAway]]="H",HCA,0)+Games[[#This Row],[RestAdj]]))/400))</f>
        <v>0.54315894277403365</v>
      </c>
      <c r="R59" s="1">
        <v>79</v>
      </c>
      <c r="S59" s="1">
        <v>74</v>
      </c>
      <c r="T59" s="1">
        <v>0</v>
      </c>
      <c r="U59" s="1">
        <f>Games[[#This Row],[PointsFor]]-Games[[#This Row],[PointsAgainst]]</f>
        <v>5</v>
      </c>
      <c r="V59" s="1">
        <f>IF(Games[[#This Row],[MOV]]&gt;0,1,IF(Games[[#This Row],[MOV]]=0,0.5,0))</f>
        <v>1</v>
      </c>
      <c r="W59" s="4">
        <f>((ABS(Games[[#This Row],[MOV]])+5)^0.6)/(12+0.01*(ABS(Games[[#This Row],[PreGmRate]]-Games[[#This Row],[OppPreGmRate]])))*IF(Games[[#This Row],[OT]]=1,0.9,1)</f>
        <v>0.32580053780641799</v>
      </c>
      <c r="X59" s="7" cm="1">
        <f t="array" ref="X5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9" s="9">
        <f>MAX(kmin, kmax - 0.15 * MIN(Games[[#This Row],[GamesPlayed]], 82))</f>
        <v>75.25</v>
      </c>
      <c r="Z59" s="4">
        <f>Games[[#This Row],[K]]*Games[[#This Row],[POMult]]</f>
        <v>75.25</v>
      </c>
      <c r="AA59" s="4">
        <f>(Games[[#This Row],[Keff]]*Games[[#This Row],[MOVMult]])*(Games[[#This Row],[Result]]-Games[[#This Row],[ExpectedWin%]])</f>
        <v>11.2001394257545</v>
      </c>
      <c r="AB59" s="4">
        <f>Games[[#This Row],[PreGmRate]]+Games[[#This Row],[RatingChange]]</f>
        <v>1515.4057940912271</v>
      </c>
      <c r="AC59" s="2">
        <f>IF(Games[[#This Row],[Type]]="R",IF(Games[[#This Row],[Result]]&gt;0.5,1,0),0)</f>
        <v>1</v>
      </c>
      <c r="AD59" s="2">
        <f>IF(Games[[#This Row],[Type]]="R",IF(Games[[#This Row],[Result]]&lt;0.5,1,0),0)</f>
        <v>0</v>
      </c>
      <c r="AE59" s="2">
        <f>IF(AND(Games[[#This Row],[Type]]="P",Games[[#This Row],[Round]]=1),IF(Games[[#This Row],[Result]]&gt;0.5,1,0),0)</f>
        <v>0</v>
      </c>
      <c r="AF59" s="2">
        <f>IF(AND(Games[[#This Row],[Type]]="P",Games[[#This Row],[Round]]=1),IF(Games[[#This Row],[Result]]&lt;0.5,1,0),0)</f>
        <v>0</v>
      </c>
      <c r="AG59" s="2">
        <f>IF(AND(Games[[#This Row],[Type]]="P",Games[[#This Row],[Round]]=2),IF(Games[[#This Row],[Result]]&gt;0.5,1,0),0)</f>
        <v>0</v>
      </c>
      <c r="AH59" s="2">
        <f>IF(AND(Games[[#This Row],[Type]]="P",Games[[#This Row],[Round]]=2),IF(Games[[#This Row],[Result]]&lt;0.5,1,0),0)</f>
        <v>0</v>
      </c>
      <c r="AI59" s="2">
        <f>IF(AND(Games[[#This Row],[Type]]="P",Games[[#This Row],[Round]]=3),IF(Games[[#This Row],[Result]]&gt;0.5,1,0),0)</f>
        <v>0</v>
      </c>
      <c r="AJ59" s="2">
        <f>IF(AND(Games[[#This Row],[Type]]="P",Games[[#This Row],[Round]]=3),IF(Games[[#This Row],[Result]]&lt;0.5,1,0),0)</f>
        <v>0</v>
      </c>
      <c r="AK59" s="2">
        <f>IF(AND(Games[[#This Row],[Type]]="P",Games[[#This Row],[Round]]=4),IF(Games[[#This Row],[Result]]&gt;0.5,1,0),0)</f>
        <v>0</v>
      </c>
      <c r="AL59" s="2">
        <f>IF(AND(Games[[#This Row],[Type]]="P",Games[[#This Row],[Round]]=4),IF(Games[[#This Row],[Result]]&lt;0.5,1,0),0)</f>
        <v>0</v>
      </c>
    </row>
    <row r="60" spans="1:38" x14ac:dyDescent="0.35">
      <c r="A60" s="10">
        <v>40328</v>
      </c>
      <c r="B60" s="2">
        <v>2010</v>
      </c>
      <c r="C60" s="2">
        <f>COUNTIFS(Games[Team],Games[[#This Row],[Team]],Games[Season],Games[[#This Row],[Season]],Games[Date],"&lt;=" &amp; Games[[#This Row],[Date]])</f>
        <v>6</v>
      </c>
      <c r="D60" s="2" t="s">
        <v>23</v>
      </c>
      <c r="E60" s="2" t="s">
        <v>29</v>
      </c>
      <c r="F60" s="1" t="s">
        <v>83</v>
      </c>
      <c r="G60" s="1" t="s">
        <v>67</v>
      </c>
      <c r="H60" s="1" t="s">
        <v>16</v>
      </c>
      <c r="I60" s="2" cm="1">
        <f t="array" ref="I60">IFERROR(
    Games[[#This Row],[Date]]
    - LOOKUP(
        2,
        1/((Games[Team]=Games[[#This Row],[Team]]) * (Games[Date] &lt; Games[[#This Row],[Date]])),
        Games[Date]
    )
    - 1,
Games[[#This Row],[Date]]-$A$2)</f>
        <v>1</v>
      </c>
      <c r="J60" s="2" cm="1">
        <f t="array" ref="J6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0" s="2">
        <f>Games[[#This Row],[DaysOff]]-Games[[#This Row],[OppDaysOff]]</f>
        <v>0</v>
      </c>
      <c r="L60" s="2">
        <f>Games[[#This Row],[OppDaysOff]]-Games[[#This Row],[DaysOff]]</f>
        <v>0</v>
      </c>
      <c r="M60" s="1">
        <f>MAX(-16, MIN(16, Games[[#This Row],[RestDiff]]*8))</f>
        <v>0</v>
      </c>
      <c r="N60" s="1">
        <f>MAX(-16, MIN(16, Games[[#This Row],[OppRestDiff]]*8))</f>
        <v>0</v>
      </c>
      <c r="O60" s="4" cm="1">
        <f t="array" ref="O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1560.9260636105421</v>
      </c>
      <c r="P60" s="4" cm="1">
        <f t="array" ref="P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1511.0128216305618</v>
      </c>
      <c r="Q60" s="4">
        <f>1/(1+10^(((Games[[#This Row],[OppPreGmRate]]+IF(Games[[#This Row],[HomeAway]]="A",HCA,0)+Games[[#This Row],[OppRestAdj]])-(Games[[#This Row],[PreGmRate]]+IF(Games[[#This Row],[HomeAway]]="H",HCA,0)+Games[[#This Row],[RestAdj]]))/400))</f>
        <v>0.45110200041437976</v>
      </c>
      <c r="R60" s="1">
        <v>101</v>
      </c>
      <c r="S60" s="1">
        <v>82</v>
      </c>
      <c r="T60" s="1">
        <v>0</v>
      </c>
      <c r="U60" s="1">
        <f>Games[[#This Row],[PointsFor]]-Games[[#This Row],[PointsAgainst]]</f>
        <v>19</v>
      </c>
      <c r="V60" s="1">
        <f>IF(Games[[#This Row],[MOV]]&gt;0,1,IF(Games[[#This Row],[MOV]]=0,0.5,0))</f>
        <v>1</v>
      </c>
      <c r="W60" s="4">
        <f>((ABS(Games[[#This Row],[MOV]])+5)^0.6)/(12+0.01*(ABS(Games[[#This Row],[PreGmRate]]-Games[[#This Row],[OppPreGmRate]])))*IF(Games[[#This Row],[OT]]=1,0.9,1)</f>
        <v>0.53857585043370704</v>
      </c>
      <c r="X60" s="7" cm="1">
        <f t="array" ref="X6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0" s="9">
        <f>MAX(kmin, kmax - 0.15 * MIN(Games[[#This Row],[GamesPlayed]], 82))</f>
        <v>75.099999999999994</v>
      </c>
      <c r="Z60" s="4">
        <f>Games[[#This Row],[K]]*Games[[#This Row],[POMult]]</f>
        <v>75.099999999999994</v>
      </c>
      <c r="AA60" s="4">
        <f>(Games[[#This Row],[Keff]]*Games[[#This Row],[MOVMult]])*(Games[[#This Row],[Result]]-Games[[#This Row],[ExpectedWin%]])</f>
        <v>22.201302840306766</v>
      </c>
      <c r="AB60" s="4">
        <f>Games[[#This Row],[PreGmRate]]+Games[[#This Row],[RatingChange]]</f>
        <v>1583.127366450849</v>
      </c>
      <c r="AC60" s="2">
        <f>IF(Games[[#This Row],[Type]]="R",IF(Games[[#This Row],[Result]]&gt;0.5,1,0),0)</f>
        <v>1</v>
      </c>
      <c r="AD60" s="2">
        <f>IF(Games[[#This Row],[Type]]="R",IF(Games[[#This Row],[Result]]&lt;0.5,1,0),0)</f>
        <v>0</v>
      </c>
      <c r="AE60" s="2">
        <f>IF(AND(Games[[#This Row],[Type]]="P",Games[[#This Row],[Round]]=1),IF(Games[[#This Row],[Result]]&gt;0.5,1,0),0)</f>
        <v>0</v>
      </c>
      <c r="AF60" s="2">
        <f>IF(AND(Games[[#This Row],[Type]]="P",Games[[#This Row],[Round]]=1),IF(Games[[#This Row],[Result]]&lt;0.5,1,0),0)</f>
        <v>0</v>
      </c>
      <c r="AG60" s="2">
        <f>IF(AND(Games[[#This Row],[Type]]="P",Games[[#This Row],[Round]]=2),IF(Games[[#This Row],[Result]]&gt;0.5,1,0),0)</f>
        <v>0</v>
      </c>
      <c r="AH60" s="2">
        <f>IF(AND(Games[[#This Row],[Type]]="P",Games[[#This Row],[Round]]=2),IF(Games[[#This Row],[Result]]&lt;0.5,1,0),0)</f>
        <v>0</v>
      </c>
      <c r="AI60" s="2">
        <f>IF(AND(Games[[#This Row],[Type]]="P",Games[[#This Row],[Round]]=3),IF(Games[[#This Row],[Result]]&gt;0.5,1,0),0)</f>
        <v>0</v>
      </c>
      <c r="AJ60" s="2">
        <f>IF(AND(Games[[#This Row],[Type]]="P",Games[[#This Row],[Round]]=3),IF(Games[[#This Row],[Result]]&lt;0.5,1,0),0)</f>
        <v>0</v>
      </c>
      <c r="AK60" s="2">
        <f>IF(AND(Games[[#This Row],[Type]]="P",Games[[#This Row],[Round]]=4),IF(Games[[#This Row],[Result]]&gt;0.5,1,0),0)</f>
        <v>0</v>
      </c>
      <c r="AL60" s="2">
        <f>IF(AND(Games[[#This Row],[Type]]="P",Games[[#This Row],[Round]]=4),IF(Games[[#This Row],[Result]]&lt;0.5,1,0),0)</f>
        <v>0</v>
      </c>
    </row>
    <row r="61" spans="1:38" x14ac:dyDescent="0.35">
      <c r="A61" s="10">
        <v>40328</v>
      </c>
      <c r="B61" s="2">
        <v>2010</v>
      </c>
      <c r="C61" s="2">
        <f>COUNTIFS(Games[Team],Games[[#This Row],[Team]],Games[Season],Games[[#This Row],[Season]],Games[Date],"&lt;=" &amp; Games[[#This Row],[Date]])</f>
        <v>5</v>
      </c>
      <c r="D61" s="2" t="s">
        <v>23</v>
      </c>
      <c r="E61" s="2" t="s">
        <v>29</v>
      </c>
      <c r="F61" s="1" t="s">
        <v>67</v>
      </c>
      <c r="G61" s="1" t="s">
        <v>83</v>
      </c>
      <c r="H61" s="1" t="s">
        <v>15</v>
      </c>
      <c r="I61" s="2" cm="1">
        <f t="array" ref="I61">IFERROR(
    Games[[#This Row],[Date]]
    - LOOKUP(
        2,
        1/((Games[Team]=Games[[#This Row],[Team]]) * (Games[Date] &lt; Games[[#This Row],[Date]])),
        Games[Date]
    )
    - 1,
Games[[#This Row],[Date]]-$A$2)</f>
        <v>1</v>
      </c>
      <c r="J61" s="2" cm="1">
        <f t="array" ref="J6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1" s="2">
        <f>Games[[#This Row],[DaysOff]]-Games[[#This Row],[OppDaysOff]]</f>
        <v>0</v>
      </c>
      <c r="L61" s="2">
        <f>Games[[#This Row],[OppDaysOff]]-Games[[#This Row],[DaysOff]]</f>
        <v>0</v>
      </c>
      <c r="M61" s="1">
        <f>MAX(-16, MIN(16, Games[[#This Row],[RestDiff]]*8))</f>
        <v>0</v>
      </c>
      <c r="N61" s="1">
        <f>MAX(-16, MIN(16, Games[[#This Row],[OppRestDiff]]*8))</f>
        <v>0</v>
      </c>
      <c r="O61" s="4" cm="1">
        <f t="array" ref="O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1511.0128216305618</v>
      </c>
      <c r="P61" s="4" cm="1">
        <f t="array" ref="P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1560.9260636105421</v>
      </c>
      <c r="Q61" s="4">
        <f>1/(1+10^(((Games[[#This Row],[OppPreGmRate]]+IF(Games[[#This Row],[HomeAway]]="A",HCA,0)+Games[[#This Row],[OppRestAdj]])-(Games[[#This Row],[PreGmRate]]+IF(Games[[#This Row],[HomeAway]]="H",HCA,0)+Games[[#This Row],[RestAdj]]))/400))</f>
        <v>0.54889799958562024</v>
      </c>
      <c r="R61" s="1">
        <v>82</v>
      </c>
      <c r="S61" s="1">
        <v>101</v>
      </c>
      <c r="T61" s="1">
        <v>0</v>
      </c>
      <c r="U61" s="1">
        <f>Games[[#This Row],[PointsFor]]-Games[[#This Row],[PointsAgainst]]</f>
        <v>-19</v>
      </c>
      <c r="V61" s="1">
        <f>IF(Games[[#This Row],[MOV]]&gt;0,1,IF(Games[[#This Row],[MOV]]=0,0.5,0))</f>
        <v>0</v>
      </c>
      <c r="W61" s="4">
        <f>((ABS(Games[[#This Row],[MOV]])+5)^0.6)/(12+0.01*(ABS(Games[[#This Row],[PreGmRate]]-Games[[#This Row],[OppPreGmRate]])))*IF(Games[[#This Row],[OT]]=1,0.9,1)</f>
        <v>0.53857585043370704</v>
      </c>
      <c r="X61" s="7" cm="1">
        <f t="array" ref="X6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1" s="9">
        <f>MAX(kmin, kmax - 0.15 * MIN(Games[[#This Row],[GamesPlayed]], 82))</f>
        <v>75.25</v>
      </c>
      <c r="Z61" s="4">
        <f>Games[[#This Row],[K]]*Games[[#This Row],[POMult]]</f>
        <v>75.25</v>
      </c>
      <c r="AA61" s="4">
        <f>(Games[[#This Row],[Keff]]*Games[[#This Row],[MOVMult]])*(Games[[#This Row],[Result]]-Games[[#This Row],[ExpectedWin%]])</f>
        <v>-22.245646321345998</v>
      </c>
      <c r="AB61" s="4">
        <f>Games[[#This Row],[PreGmRate]]+Games[[#This Row],[RatingChange]]</f>
        <v>1488.7671753092159</v>
      </c>
      <c r="AC61" s="2">
        <f>IF(Games[[#This Row],[Type]]="R",IF(Games[[#This Row],[Result]]&gt;0.5,1,0),0)</f>
        <v>0</v>
      </c>
      <c r="AD61" s="2">
        <f>IF(Games[[#This Row],[Type]]="R",IF(Games[[#This Row],[Result]]&lt;0.5,1,0),0)</f>
        <v>1</v>
      </c>
      <c r="AE61" s="2">
        <f>IF(AND(Games[[#This Row],[Type]]="P",Games[[#This Row],[Round]]=1),IF(Games[[#This Row],[Result]]&gt;0.5,1,0),0)</f>
        <v>0</v>
      </c>
      <c r="AF61" s="2">
        <f>IF(AND(Games[[#This Row],[Type]]="P",Games[[#This Row],[Round]]=1),IF(Games[[#This Row],[Result]]&lt;0.5,1,0),0)</f>
        <v>0</v>
      </c>
      <c r="AG61" s="2">
        <f>IF(AND(Games[[#This Row],[Type]]="P",Games[[#This Row],[Round]]=2),IF(Games[[#This Row],[Result]]&gt;0.5,1,0),0)</f>
        <v>0</v>
      </c>
      <c r="AH61" s="2">
        <f>IF(AND(Games[[#This Row],[Type]]="P",Games[[#This Row],[Round]]=2),IF(Games[[#This Row],[Result]]&lt;0.5,1,0),0)</f>
        <v>0</v>
      </c>
      <c r="AI61" s="2">
        <f>IF(AND(Games[[#This Row],[Type]]="P",Games[[#This Row],[Round]]=3),IF(Games[[#This Row],[Result]]&gt;0.5,1,0),0)</f>
        <v>0</v>
      </c>
      <c r="AJ61" s="2">
        <f>IF(AND(Games[[#This Row],[Type]]="P",Games[[#This Row],[Round]]=3),IF(Games[[#This Row],[Result]]&lt;0.5,1,0),0)</f>
        <v>0</v>
      </c>
      <c r="AK61" s="2">
        <f>IF(AND(Games[[#This Row],[Type]]="P",Games[[#This Row],[Round]]=4),IF(Games[[#This Row],[Result]]&gt;0.5,1,0),0)</f>
        <v>0</v>
      </c>
      <c r="AL61" s="2">
        <f>IF(AND(Games[[#This Row],[Type]]="P",Games[[#This Row],[Round]]=4),IF(Games[[#This Row],[Result]]&lt;0.5,1,0),0)</f>
        <v>0</v>
      </c>
    </row>
    <row r="62" spans="1:38" x14ac:dyDescent="0.35">
      <c r="A62" s="10">
        <v>40328</v>
      </c>
      <c r="B62" s="2">
        <v>2010</v>
      </c>
      <c r="C62" s="2">
        <f>COUNTIFS(Games[Team],Games[[#This Row],[Team]],Games[Season],Games[[#This Row],[Season]],Games[Date],"&lt;=" &amp; Games[[#This Row],[Date]])</f>
        <v>6</v>
      </c>
      <c r="D62" s="2" t="s">
        <v>23</v>
      </c>
      <c r="E62" s="2" t="s">
        <v>29</v>
      </c>
      <c r="F62" s="1" t="s">
        <v>75</v>
      </c>
      <c r="G62" s="1" t="s">
        <v>78</v>
      </c>
      <c r="H62" s="1" t="s">
        <v>16</v>
      </c>
      <c r="I62" s="2" cm="1">
        <f t="array" ref="I62">IFERROR(
    Games[[#This Row],[Date]]
    - LOOKUP(
        2,
        1/((Games[Team]=Games[[#This Row],[Team]]) * (Games[Date] &lt; Games[[#This Row],[Date]])),
        Games[Date]
    )
    - 1,
Games[[#This Row],[Date]]-$A$2)</f>
        <v>2</v>
      </c>
      <c r="J62" s="2" cm="1">
        <f t="array" ref="J6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2" s="2">
        <f>Games[[#This Row],[DaysOff]]-Games[[#This Row],[OppDaysOff]]</f>
        <v>1</v>
      </c>
      <c r="L62" s="2">
        <f>Games[[#This Row],[OppDaysOff]]-Games[[#This Row],[DaysOff]]</f>
        <v>-1</v>
      </c>
      <c r="M62" s="1">
        <f>MAX(-16, MIN(16, Games[[#This Row],[RestDiff]]*8))</f>
        <v>8</v>
      </c>
      <c r="N62" s="1">
        <f>MAX(-16, MIN(16, Games[[#This Row],[OppRestDiff]]*8))</f>
        <v>-8</v>
      </c>
      <c r="O62" s="4" cm="1">
        <f t="array" ref="O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1545.6808141035472</v>
      </c>
      <c r="P62" s="4" cm="1">
        <f t="array" ref="P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1489.0827374902228</v>
      </c>
      <c r="Q62" s="4">
        <f>1/(1+10^(((Games[[#This Row],[OppPreGmRate]]+IF(Games[[#This Row],[HomeAway]]="A",HCA,0)+Games[[#This Row],[OppRestAdj]])-(Games[[#This Row],[PreGmRate]]+IF(Games[[#This Row],[HomeAway]]="H",HCA,0)+Games[[#This Row],[RestAdj]]))/400))</f>
        <v>0.48359720130915151</v>
      </c>
      <c r="R62" s="1">
        <v>84</v>
      </c>
      <c r="S62" s="1">
        <v>56</v>
      </c>
      <c r="T62" s="1">
        <v>0</v>
      </c>
      <c r="U62" s="1">
        <f>Games[[#This Row],[PointsFor]]-Games[[#This Row],[PointsAgainst]]</f>
        <v>28</v>
      </c>
      <c r="V62" s="1">
        <f>IF(Games[[#This Row],[MOV]]&gt;0,1,IF(Games[[#This Row],[MOV]]=0,0.5,0))</f>
        <v>1</v>
      </c>
      <c r="W62" s="4">
        <f>((ABS(Games[[#This Row],[MOV]])+5)^0.6)/(12+0.01*(ABS(Games[[#This Row],[PreGmRate]]-Games[[#This Row],[OppPreGmRate]])))*IF(Games[[#This Row],[OT]]=1,0.9,1)</f>
        <v>0.64850297581351712</v>
      </c>
      <c r="X62" s="7" cm="1">
        <f t="array" ref="X6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2" s="9">
        <f>MAX(kmin, kmax - 0.15 * MIN(Games[[#This Row],[GamesPlayed]], 82))</f>
        <v>75.099999999999994</v>
      </c>
      <c r="Z62" s="4">
        <f>Games[[#This Row],[K]]*Games[[#This Row],[POMult]]</f>
        <v>75.099999999999994</v>
      </c>
      <c r="AA62" s="4">
        <f>(Games[[#This Row],[Keff]]*Games[[#This Row],[MOVMult]])*(Games[[#This Row],[Result]]-Games[[#This Row],[ExpectedWin%]])</f>
        <v>25.150145250375232</v>
      </c>
      <c r="AB62" s="4">
        <f>Games[[#This Row],[PreGmRate]]+Games[[#This Row],[RatingChange]]</f>
        <v>1570.8309593539225</v>
      </c>
      <c r="AC62" s="2">
        <f>IF(Games[[#This Row],[Type]]="R",IF(Games[[#This Row],[Result]]&gt;0.5,1,0),0)</f>
        <v>1</v>
      </c>
      <c r="AD62" s="2">
        <f>IF(Games[[#This Row],[Type]]="R",IF(Games[[#This Row],[Result]]&lt;0.5,1,0),0)</f>
        <v>0</v>
      </c>
      <c r="AE62" s="2">
        <f>IF(AND(Games[[#This Row],[Type]]="P",Games[[#This Row],[Round]]=1),IF(Games[[#This Row],[Result]]&gt;0.5,1,0),0)</f>
        <v>0</v>
      </c>
      <c r="AF62" s="2">
        <f>IF(AND(Games[[#This Row],[Type]]="P",Games[[#This Row],[Round]]=1),IF(Games[[#This Row],[Result]]&lt;0.5,1,0),0)</f>
        <v>0</v>
      </c>
      <c r="AG62" s="2">
        <f>IF(AND(Games[[#This Row],[Type]]="P",Games[[#This Row],[Round]]=2),IF(Games[[#This Row],[Result]]&gt;0.5,1,0),0)</f>
        <v>0</v>
      </c>
      <c r="AH62" s="2">
        <f>IF(AND(Games[[#This Row],[Type]]="P",Games[[#This Row],[Round]]=2),IF(Games[[#This Row],[Result]]&lt;0.5,1,0),0)</f>
        <v>0</v>
      </c>
      <c r="AI62" s="2">
        <f>IF(AND(Games[[#This Row],[Type]]="P",Games[[#This Row],[Round]]=3),IF(Games[[#This Row],[Result]]&gt;0.5,1,0),0)</f>
        <v>0</v>
      </c>
      <c r="AJ62" s="2">
        <f>IF(AND(Games[[#This Row],[Type]]="P",Games[[#This Row],[Round]]=3),IF(Games[[#This Row],[Result]]&lt;0.5,1,0),0)</f>
        <v>0</v>
      </c>
      <c r="AK62" s="2">
        <f>IF(AND(Games[[#This Row],[Type]]="P",Games[[#This Row],[Round]]=4),IF(Games[[#This Row],[Result]]&gt;0.5,1,0),0)</f>
        <v>0</v>
      </c>
      <c r="AL62" s="2">
        <f>IF(AND(Games[[#This Row],[Type]]="P",Games[[#This Row],[Round]]=4),IF(Games[[#This Row],[Result]]&lt;0.5,1,0),0)</f>
        <v>0</v>
      </c>
    </row>
    <row r="63" spans="1:38" x14ac:dyDescent="0.35">
      <c r="A63" s="10">
        <v>40328</v>
      </c>
      <c r="B63" s="2">
        <v>2010</v>
      </c>
      <c r="C63" s="2">
        <f>COUNTIFS(Games[Team],Games[[#This Row],[Team]],Games[Season],Games[[#This Row],[Season]],Games[Date],"&lt;=" &amp; Games[[#This Row],[Date]])</f>
        <v>5</v>
      </c>
      <c r="D63" s="2" t="s">
        <v>23</v>
      </c>
      <c r="E63" s="2" t="s">
        <v>29</v>
      </c>
      <c r="F63" s="1" t="s">
        <v>78</v>
      </c>
      <c r="G63" s="1" t="s">
        <v>75</v>
      </c>
      <c r="H63" s="1" t="s">
        <v>15</v>
      </c>
      <c r="I63" s="2" cm="1">
        <f t="array" ref="I63">IFERROR(
    Games[[#This Row],[Date]]
    - LOOKUP(
        2,
        1/((Games[Team]=Games[[#This Row],[Team]]) * (Games[Date] &lt; Games[[#This Row],[Date]])),
        Games[Date]
    )
    - 1,
Games[[#This Row],[Date]]-$A$2)</f>
        <v>1</v>
      </c>
      <c r="J63" s="2" cm="1">
        <f t="array" ref="J6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63" s="2">
        <f>Games[[#This Row],[DaysOff]]-Games[[#This Row],[OppDaysOff]]</f>
        <v>-1</v>
      </c>
      <c r="L63" s="2">
        <f>Games[[#This Row],[OppDaysOff]]-Games[[#This Row],[DaysOff]]</f>
        <v>1</v>
      </c>
      <c r="M63" s="1">
        <f>MAX(-16, MIN(16, Games[[#This Row],[RestDiff]]*8))</f>
        <v>-8</v>
      </c>
      <c r="N63" s="1">
        <f>MAX(-16, MIN(16, Games[[#This Row],[OppRestDiff]]*8))</f>
        <v>8</v>
      </c>
      <c r="O63" s="4" cm="1">
        <f t="array" ref="O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1489.0827374902228</v>
      </c>
      <c r="P63" s="4" cm="1">
        <f t="array" ref="P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1545.6808141035472</v>
      </c>
      <c r="Q63" s="4">
        <f>1/(1+10^(((Games[[#This Row],[OppPreGmRate]]+IF(Games[[#This Row],[HomeAway]]="A",HCA,0)+Games[[#This Row],[OppRestAdj]])-(Games[[#This Row],[PreGmRate]]+IF(Games[[#This Row],[HomeAway]]="H",HCA,0)+Games[[#This Row],[RestAdj]]))/400))</f>
        <v>0.51640279869084849</v>
      </c>
      <c r="R63" s="1">
        <v>56</v>
      </c>
      <c r="S63" s="1">
        <v>84</v>
      </c>
      <c r="T63" s="1">
        <v>0</v>
      </c>
      <c r="U63" s="1">
        <f>Games[[#This Row],[PointsFor]]-Games[[#This Row],[PointsAgainst]]</f>
        <v>-28</v>
      </c>
      <c r="V63" s="1">
        <f>IF(Games[[#This Row],[MOV]]&gt;0,1,IF(Games[[#This Row],[MOV]]=0,0.5,0))</f>
        <v>0</v>
      </c>
      <c r="W63" s="4">
        <f>((ABS(Games[[#This Row],[MOV]])+5)^0.6)/(12+0.01*(ABS(Games[[#This Row],[PreGmRate]]-Games[[#This Row],[OppPreGmRate]])))*IF(Games[[#This Row],[OT]]=1,0.9,1)</f>
        <v>0.64850297581351712</v>
      </c>
      <c r="X63" s="7" cm="1">
        <f t="array" ref="X6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3" s="9">
        <f>MAX(kmin, kmax - 0.15 * MIN(Games[[#This Row],[GamesPlayed]], 82))</f>
        <v>75.25</v>
      </c>
      <c r="Z63" s="4">
        <f>Games[[#This Row],[K]]*Games[[#This Row],[POMult]]</f>
        <v>75.25</v>
      </c>
      <c r="AA63" s="4">
        <f>(Games[[#This Row],[Keff]]*Games[[#This Row],[MOVMult]])*(Games[[#This Row],[Result]]-Games[[#This Row],[ExpectedWin%]])</f>
        <v>-25.20037856312565</v>
      </c>
      <c r="AB63" s="4">
        <f>Games[[#This Row],[PreGmRate]]+Games[[#This Row],[RatingChange]]</f>
        <v>1463.8823589270971</v>
      </c>
      <c r="AC63" s="2">
        <f>IF(Games[[#This Row],[Type]]="R",IF(Games[[#This Row],[Result]]&gt;0.5,1,0),0)</f>
        <v>0</v>
      </c>
      <c r="AD63" s="2">
        <f>IF(Games[[#This Row],[Type]]="R",IF(Games[[#This Row],[Result]]&lt;0.5,1,0),0)</f>
        <v>1</v>
      </c>
      <c r="AE63" s="2">
        <f>IF(AND(Games[[#This Row],[Type]]="P",Games[[#This Row],[Round]]=1),IF(Games[[#This Row],[Result]]&gt;0.5,1,0),0)</f>
        <v>0</v>
      </c>
      <c r="AF63" s="2">
        <f>IF(AND(Games[[#This Row],[Type]]="P",Games[[#This Row],[Round]]=1),IF(Games[[#This Row],[Result]]&lt;0.5,1,0),0)</f>
        <v>0</v>
      </c>
      <c r="AG63" s="2">
        <f>IF(AND(Games[[#This Row],[Type]]="P",Games[[#This Row],[Round]]=2),IF(Games[[#This Row],[Result]]&gt;0.5,1,0),0)</f>
        <v>0</v>
      </c>
      <c r="AH63" s="2">
        <f>IF(AND(Games[[#This Row],[Type]]="P",Games[[#This Row],[Round]]=2),IF(Games[[#This Row],[Result]]&lt;0.5,1,0),0)</f>
        <v>0</v>
      </c>
      <c r="AI63" s="2">
        <f>IF(AND(Games[[#This Row],[Type]]="P",Games[[#This Row],[Round]]=3),IF(Games[[#This Row],[Result]]&gt;0.5,1,0),0)</f>
        <v>0</v>
      </c>
      <c r="AJ63" s="2">
        <f>IF(AND(Games[[#This Row],[Type]]="P",Games[[#This Row],[Round]]=3),IF(Games[[#This Row],[Result]]&lt;0.5,1,0),0)</f>
        <v>0</v>
      </c>
      <c r="AK63" s="2">
        <f>IF(AND(Games[[#This Row],[Type]]="P",Games[[#This Row],[Round]]=4),IF(Games[[#This Row],[Result]]&gt;0.5,1,0),0)</f>
        <v>0</v>
      </c>
      <c r="AL63" s="2">
        <f>IF(AND(Games[[#This Row],[Type]]="P",Games[[#This Row],[Round]]=4),IF(Games[[#This Row],[Result]]&lt;0.5,1,0),0)</f>
        <v>0</v>
      </c>
    </row>
    <row r="64" spans="1:38" x14ac:dyDescent="0.35">
      <c r="A64" s="10">
        <v>40328</v>
      </c>
      <c r="B64" s="2">
        <v>2010</v>
      </c>
      <c r="C64" s="2">
        <f>COUNTIFS(Games[Team],Games[[#This Row],[Team]],Games[Season],Games[[#This Row],[Season]],Games[Date],"&lt;=" &amp; Games[[#This Row],[Date]])</f>
        <v>5</v>
      </c>
      <c r="D64" s="2" t="s">
        <v>23</v>
      </c>
      <c r="E64" s="2" t="s">
        <v>29</v>
      </c>
      <c r="F64" s="1" t="s">
        <v>80</v>
      </c>
      <c r="G64" s="1" t="s">
        <v>69</v>
      </c>
      <c r="H64" s="1" t="s">
        <v>16</v>
      </c>
      <c r="I64" s="2" cm="1">
        <f t="array" ref="I64">IFERROR(
    Games[[#This Row],[Date]]
    - LOOKUP(
        2,
        1/((Games[Team]=Games[[#This Row],[Team]]) * (Games[Date] &lt; Games[[#This Row],[Date]])),
        Games[Date]
    )
    - 1,
Games[[#This Row],[Date]]-$A$2)</f>
        <v>2</v>
      </c>
      <c r="J64" s="2" cm="1">
        <f t="array" ref="J6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4" s="2">
        <f>Games[[#This Row],[DaysOff]]-Games[[#This Row],[OppDaysOff]]</f>
        <v>1</v>
      </c>
      <c r="L64" s="2">
        <f>Games[[#This Row],[OppDaysOff]]-Games[[#This Row],[DaysOff]]</f>
        <v>-1</v>
      </c>
      <c r="M64" s="1">
        <f>MAX(-16, MIN(16, Games[[#This Row],[RestDiff]]*8))</f>
        <v>8</v>
      </c>
      <c r="N64" s="1">
        <f>MAX(-16, MIN(16, Games[[#This Row],[OppRestDiff]]*8))</f>
        <v>-8</v>
      </c>
      <c r="O64" s="4" cm="1">
        <f t="array" ref="O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1517.6843987708207</v>
      </c>
      <c r="P64" s="4" cm="1">
        <f t="array" ref="P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1483.0549516262836</v>
      </c>
      <c r="Q64" s="4">
        <f>1/(1+10^(((Games[[#This Row],[OppPreGmRate]]+IF(Games[[#This Row],[HomeAway]]="A",HCA,0)+Games[[#This Row],[OppRestAdj]])-(Games[[#This Row],[PreGmRate]]+IF(Games[[#This Row],[HomeAway]]="H",HCA,0)+Games[[#This Row],[RestAdj]]))/400))</f>
        <v>0.45212304919924778</v>
      </c>
      <c r="R64" s="1">
        <v>65</v>
      </c>
      <c r="S64" s="1">
        <v>69</v>
      </c>
      <c r="T64" s="1">
        <v>0</v>
      </c>
      <c r="U64" s="1">
        <f>Games[[#This Row],[PointsFor]]-Games[[#This Row],[PointsAgainst]]</f>
        <v>-4</v>
      </c>
      <c r="V64" s="1">
        <f>IF(Games[[#This Row],[MOV]]&gt;0,1,IF(Games[[#This Row],[MOV]]=0,0.5,0))</f>
        <v>0</v>
      </c>
      <c r="W64" s="4">
        <f>((ABS(Games[[#This Row],[MOV]])+5)^0.6)/(12+0.01*(ABS(Games[[#This Row],[PreGmRate]]-Games[[#This Row],[OppPreGmRate]])))*IF(Games[[#This Row],[OT]]=1,0.9,1)</f>
        <v>0.30269752819276807</v>
      </c>
      <c r="X64" s="7" cm="1">
        <f t="array" ref="X6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4" s="9">
        <f>MAX(kmin, kmax - 0.15 * MIN(Games[[#This Row],[GamesPlayed]], 82))</f>
        <v>75.25</v>
      </c>
      <c r="Z64" s="4">
        <f>Games[[#This Row],[K]]*Games[[#This Row],[POMult]]</f>
        <v>75.25</v>
      </c>
      <c r="AA64" s="4">
        <f>(Games[[#This Row],[Keff]]*Games[[#This Row],[MOVMult]])*(Games[[#This Row],[Result]]-Games[[#This Row],[ExpectedWin%]])</f>
        <v>-10.298453839727115</v>
      </c>
      <c r="AB64" s="4">
        <f>Games[[#This Row],[PreGmRate]]+Games[[#This Row],[RatingChange]]</f>
        <v>1507.3859449310937</v>
      </c>
      <c r="AC64" s="2">
        <f>IF(Games[[#This Row],[Type]]="R",IF(Games[[#This Row],[Result]]&gt;0.5,1,0),0)</f>
        <v>0</v>
      </c>
      <c r="AD64" s="2">
        <f>IF(Games[[#This Row],[Type]]="R",IF(Games[[#This Row],[Result]]&lt;0.5,1,0),0)</f>
        <v>1</v>
      </c>
      <c r="AE64" s="2">
        <f>IF(AND(Games[[#This Row],[Type]]="P",Games[[#This Row],[Round]]=1),IF(Games[[#This Row],[Result]]&gt;0.5,1,0),0)</f>
        <v>0</v>
      </c>
      <c r="AF64" s="2">
        <f>IF(AND(Games[[#This Row],[Type]]="P",Games[[#This Row],[Round]]=1),IF(Games[[#This Row],[Result]]&lt;0.5,1,0),0)</f>
        <v>0</v>
      </c>
      <c r="AG64" s="2">
        <f>IF(AND(Games[[#This Row],[Type]]="P",Games[[#This Row],[Round]]=2),IF(Games[[#This Row],[Result]]&gt;0.5,1,0),0)</f>
        <v>0</v>
      </c>
      <c r="AH64" s="2">
        <f>IF(AND(Games[[#This Row],[Type]]="P",Games[[#This Row],[Round]]=2),IF(Games[[#This Row],[Result]]&lt;0.5,1,0),0)</f>
        <v>0</v>
      </c>
      <c r="AI64" s="2">
        <f>IF(AND(Games[[#This Row],[Type]]="P",Games[[#This Row],[Round]]=3),IF(Games[[#This Row],[Result]]&gt;0.5,1,0),0)</f>
        <v>0</v>
      </c>
      <c r="AJ64" s="2">
        <f>IF(AND(Games[[#This Row],[Type]]="P",Games[[#This Row],[Round]]=3),IF(Games[[#This Row],[Result]]&lt;0.5,1,0),0)</f>
        <v>0</v>
      </c>
      <c r="AK64" s="2">
        <f>IF(AND(Games[[#This Row],[Type]]="P",Games[[#This Row],[Round]]=4),IF(Games[[#This Row],[Result]]&gt;0.5,1,0),0)</f>
        <v>0</v>
      </c>
      <c r="AL64" s="2">
        <f>IF(AND(Games[[#This Row],[Type]]="P",Games[[#This Row],[Round]]=4),IF(Games[[#This Row],[Result]]&lt;0.5,1,0),0)</f>
        <v>0</v>
      </c>
    </row>
    <row r="65" spans="1:38" x14ac:dyDescent="0.35">
      <c r="A65" s="10">
        <v>40328</v>
      </c>
      <c r="B65" s="2">
        <v>2010</v>
      </c>
      <c r="C65" s="2">
        <f>COUNTIFS(Games[Team],Games[[#This Row],[Team]],Games[Season],Games[[#This Row],[Season]],Games[Date],"&lt;=" &amp; Games[[#This Row],[Date]])</f>
        <v>7</v>
      </c>
      <c r="D65" s="2" t="s">
        <v>23</v>
      </c>
      <c r="E65" s="2" t="s">
        <v>29</v>
      </c>
      <c r="F65" s="1" t="s">
        <v>69</v>
      </c>
      <c r="G65" s="1" t="s">
        <v>80</v>
      </c>
      <c r="H65" s="1" t="s">
        <v>15</v>
      </c>
      <c r="I65" s="2" cm="1">
        <f t="array" ref="I65">IFERROR(
    Games[[#This Row],[Date]]
    - LOOKUP(
        2,
        1/((Games[Team]=Games[[#This Row],[Team]]) * (Games[Date] &lt; Games[[#This Row],[Date]])),
        Games[Date]
    )
    - 1,
Games[[#This Row],[Date]]-$A$2)</f>
        <v>1</v>
      </c>
      <c r="J65" s="2" cm="1">
        <f t="array" ref="J6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65" s="2">
        <f>Games[[#This Row],[DaysOff]]-Games[[#This Row],[OppDaysOff]]</f>
        <v>-1</v>
      </c>
      <c r="L65" s="2">
        <f>Games[[#This Row],[OppDaysOff]]-Games[[#This Row],[DaysOff]]</f>
        <v>1</v>
      </c>
      <c r="M65" s="1">
        <f>MAX(-16, MIN(16, Games[[#This Row],[RestDiff]]*8))</f>
        <v>-8</v>
      </c>
      <c r="N65" s="1">
        <f>MAX(-16, MIN(16, Games[[#This Row],[OppRestDiff]]*8))</f>
        <v>8</v>
      </c>
      <c r="O65" s="4" cm="1">
        <f t="array" ref="O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1483.0549516262836</v>
      </c>
      <c r="P65" s="4" cm="1">
        <f t="array" ref="P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1517.6843987708207</v>
      </c>
      <c r="Q65" s="4">
        <f>1/(1+10^(((Games[[#This Row],[OppPreGmRate]]+IF(Games[[#This Row],[HomeAway]]="A",HCA,0)+Games[[#This Row],[OppRestAdj]])-(Games[[#This Row],[PreGmRate]]+IF(Games[[#This Row],[HomeAway]]="H",HCA,0)+Games[[#This Row],[RestAdj]]))/400))</f>
        <v>0.54787695080075216</v>
      </c>
      <c r="R65" s="1">
        <v>69</v>
      </c>
      <c r="S65" s="1">
        <v>65</v>
      </c>
      <c r="T65" s="1">
        <v>0</v>
      </c>
      <c r="U65" s="1">
        <f>Games[[#This Row],[PointsFor]]-Games[[#This Row],[PointsAgainst]]</f>
        <v>4</v>
      </c>
      <c r="V65" s="1">
        <f>IF(Games[[#This Row],[MOV]]&gt;0,1,IF(Games[[#This Row],[MOV]]=0,0.5,0))</f>
        <v>1</v>
      </c>
      <c r="W65" s="4">
        <f>((ABS(Games[[#This Row],[MOV]])+5)^0.6)/(12+0.01*(ABS(Games[[#This Row],[PreGmRate]]-Games[[#This Row],[OppPreGmRate]])))*IF(Games[[#This Row],[OT]]=1,0.9,1)</f>
        <v>0.30269752819276807</v>
      </c>
      <c r="X65" s="7" cm="1">
        <f t="array" ref="X6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5" s="9">
        <f>MAX(kmin, kmax - 0.15 * MIN(Games[[#This Row],[GamesPlayed]], 82))</f>
        <v>74.95</v>
      </c>
      <c r="Z65" s="4">
        <f>Games[[#This Row],[K]]*Games[[#This Row],[POMult]]</f>
        <v>74.95</v>
      </c>
      <c r="AA65" s="4">
        <f>(Games[[#This Row],[Keff]]*Games[[#This Row],[MOVMult]])*(Games[[#This Row],[Result]]-Games[[#This Row],[ExpectedWin%]])</f>
        <v>10.257396880897639</v>
      </c>
      <c r="AB65" s="4">
        <f>Games[[#This Row],[PreGmRate]]+Games[[#This Row],[RatingChange]]</f>
        <v>1493.3123485071812</v>
      </c>
      <c r="AC65" s="2">
        <f>IF(Games[[#This Row],[Type]]="R",IF(Games[[#This Row],[Result]]&gt;0.5,1,0),0)</f>
        <v>1</v>
      </c>
      <c r="AD65" s="2">
        <f>IF(Games[[#This Row],[Type]]="R",IF(Games[[#This Row],[Result]]&lt;0.5,1,0),0)</f>
        <v>0</v>
      </c>
      <c r="AE65" s="2">
        <f>IF(AND(Games[[#This Row],[Type]]="P",Games[[#This Row],[Round]]=1),IF(Games[[#This Row],[Result]]&gt;0.5,1,0),0)</f>
        <v>0</v>
      </c>
      <c r="AF65" s="2">
        <f>IF(AND(Games[[#This Row],[Type]]="P",Games[[#This Row],[Round]]=1),IF(Games[[#This Row],[Result]]&lt;0.5,1,0),0)</f>
        <v>0</v>
      </c>
      <c r="AG65" s="2">
        <f>IF(AND(Games[[#This Row],[Type]]="P",Games[[#This Row],[Round]]=2),IF(Games[[#This Row],[Result]]&gt;0.5,1,0),0)</f>
        <v>0</v>
      </c>
      <c r="AH65" s="2">
        <f>IF(AND(Games[[#This Row],[Type]]="P",Games[[#This Row],[Round]]=2),IF(Games[[#This Row],[Result]]&lt;0.5,1,0),0)</f>
        <v>0</v>
      </c>
      <c r="AI65" s="2">
        <f>IF(AND(Games[[#This Row],[Type]]="P",Games[[#This Row],[Round]]=3),IF(Games[[#This Row],[Result]]&gt;0.5,1,0),0)</f>
        <v>0</v>
      </c>
      <c r="AJ65" s="2">
        <f>IF(AND(Games[[#This Row],[Type]]="P",Games[[#This Row],[Round]]=3),IF(Games[[#This Row],[Result]]&lt;0.5,1,0),0)</f>
        <v>0</v>
      </c>
      <c r="AK65" s="2">
        <f>IF(AND(Games[[#This Row],[Type]]="P",Games[[#This Row],[Round]]=4),IF(Games[[#This Row],[Result]]&gt;0.5,1,0),0)</f>
        <v>0</v>
      </c>
      <c r="AL65" s="2">
        <f>IF(AND(Games[[#This Row],[Type]]="P",Games[[#This Row],[Round]]=4),IF(Games[[#This Row],[Result]]&lt;0.5,1,0),0)</f>
        <v>0</v>
      </c>
    </row>
    <row r="66" spans="1:38" x14ac:dyDescent="0.35">
      <c r="A66" s="10">
        <v>40330</v>
      </c>
      <c r="B66" s="2">
        <v>2010</v>
      </c>
      <c r="C66" s="2">
        <f>COUNTIFS(Games[Team],Games[[#This Row],[Team]],Games[Season],Games[[#This Row],[Season]],Games[Date],"&lt;=" &amp; Games[[#This Row],[Date]])</f>
        <v>5</v>
      </c>
      <c r="D66" s="2" t="s">
        <v>23</v>
      </c>
      <c r="E66" s="2" t="s">
        <v>29</v>
      </c>
      <c r="F66" s="1" t="s">
        <v>44</v>
      </c>
      <c r="G66" s="1" t="s">
        <v>71</v>
      </c>
      <c r="H66" s="1" t="s">
        <v>16</v>
      </c>
      <c r="I66" s="2" cm="1">
        <f t="array" ref="I66">IFERROR(
    Games[[#This Row],[Date]]
    - LOOKUP(
        2,
        1/((Games[Team]=Games[[#This Row],[Team]]) * (Games[Date] &lt; Games[[#This Row],[Date]])),
        Games[Date]
    )
    - 1,
Games[[#This Row],[Date]]-$A$2)</f>
        <v>3</v>
      </c>
      <c r="J66" s="2" cm="1">
        <f t="array" ref="J6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66" s="2">
        <f>Games[[#This Row],[DaysOff]]-Games[[#This Row],[OppDaysOff]]</f>
        <v>1</v>
      </c>
      <c r="L66" s="2">
        <f>Games[[#This Row],[OppDaysOff]]-Games[[#This Row],[DaysOff]]</f>
        <v>-1</v>
      </c>
      <c r="M66" s="1">
        <f>MAX(-16, MIN(16, Games[[#This Row],[RestDiff]]*8))</f>
        <v>8</v>
      </c>
      <c r="N66" s="1">
        <f>MAX(-16, MIN(16, Games[[#This Row],[OppRestDiff]]*8))</f>
        <v>-8</v>
      </c>
      <c r="O66" s="4" cm="1">
        <f t="array" ref="O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1566.5722538629009</v>
      </c>
      <c r="P66" s="4" cm="1">
        <f t="array" ref="P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1396.2259152575884</v>
      </c>
      <c r="Q66" s="4">
        <f>1/(1+10^(((Games[[#This Row],[OppPreGmRate]]+IF(Games[[#This Row],[HomeAway]]="A",HCA,0)+Games[[#This Row],[OppRestAdj]])-(Games[[#This Row],[PreGmRate]]+IF(Games[[#This Row],[HomeAway]]="H",HCA,0)+Games[[#This Row],[RestAdj]]))/400))</f>
        <v>0.6431707543487637</v>
      </c>
      <c r="R66" s="1">
        <v>82</v>
      </c>
      <c r="S66" s="1">
        <v>92</v>
      </c>
      <c r="T66" s="1">
        <v>0</v>
      </c>
      <c r="U66" s="1">
        <f>Games[[#This Row],[PointsFor]]-Games[[#This Row],[PointsAgainst]]</f>
        <v>-10</v>
      </c>
      <c r="V66" s="1">
        <f>IF(Games[[#This Row],[MOV]]&gt;0,1,IF(Games[[#This Row],[MOV]]=0,0.5,0))</f>
        <v>0</v>
      </c>
      <c r="W66" s="4">
        <f>((ABS(Games[[#This Row],[MOV]])+5)^0.6)/(12+0.01*(ABS(Games[[#This Row],[PreGmRate]]-Games[[#This Row],[OppPreGmRate]])))*IF(Games[[#This Row],[OT]]=1,0.9,1)</f>
        <v>0.37053088324774563</v>
      </c>
      <c r="X66" s="7" cm="1">
        <f t="array" ref="X6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6" s="9">
        <f>MAX(kmin, kmax - 0.15 * MIN(Games[[#This Row],[GamesPlayed]], 82))</f>
        <v>75.25</v>
      </c>
      <c r="Z66" s="4">
        <f>Games[[#This Row],[K]]*Games[[#This Row],[POMult]]</f>
        <v>75.25</v>
      </c>
      <c r="AA66" s="4">
        <f>(Games[[#This Row],[Keff]]*Games[[#This Row],[MOVMult]])*(Games[[#This Row],[Result]]-Games[[#This Row],[ExpectedWin%]])</f>
        <v>-17.933175733519459</v>
      </c>
      <c r="AB66" s="4">
        <f>Games[[#This Row],[PreGmRate]]+Games[[#This Row],[RatingChange]]</f>
        <v>1548.6390781293815</v>
      </c>
      <c r="AC66" s="2">
        <f>IF(Games[[#This Row],[Type]]="R",IF(Games[[#This Row],[Result]]&gt;0.5,1,0),0)</f>
        <v>0</v>
      </c>
      <c r="AD66" s="2">
        <f>IF(Games[[#This Row],[Type]]="R",IF(Games[[#This Row],[Result]]&lt;0.5,1,0),0)</f>
        <v>1</v>
      </c>
      <c r="AE66" s="2">
        <f>IF(AND(Games[[#This Row],[Type]]="P",Games[[#This Row],[Round]]=1),IF(Games[[#This Row],[Result]]&gt;0.5,1,0),0)</f>
        <v>0</v>
      </c>
      <c r="AF66" s="2">
        <f>IF(AND(Games[[#This Row],[Type]]="P",Games[[#This Row],[Round]]=1),IF(Games[[#This Row],[Result]]&lt;0.5,1,0),0)</f>
        <v>0</v>
      </c>
      <c r="AG66" s="2">
        <f>IF(AND(Games[[#This Row],[Type]]="P",Games[[#This Row],[Round]]=2),IF(Games[[#This Row],[Result]]&gt;0.5,1,0),0)</f>
        <v>0</v>
      </c>
      <c r="AH66" s="2">
        <f>IF(AND(Games[[#This Row],[Type]]="P",Games[[#This Row],[Round]]=2),IF(Games[[#This Row],[Result]]&lt;0.5,1,0),0)</f>
        <v>0</v>
      </c>
      <c r="AI66" s="2">
        <f>IF(AND(Games[[#This Row],[Type]]="P",Games[[#This Row],[Round]]=3),IF(Games[[#This Row],[Result]]&gt;0.5,1,0),0)</f>
        <v>0</v>
      </c>
      <c r="AJ66" s="2">
        <f>IF(AND(Games[[#This Row],[Type]]="P",Games[[#This Row],[Round]]=3),IF(Games[[#This Row],[Result]]&lt;0.5,1,0),0)</f>
        <v>0</v>
      </c>
      <c r="AK66" s="2">
        <f>IF(AND(Games[[#This Row],[Type]]="P",Games[[#This Row],[Round]]=4),IF(Games[[#This Row],[Result]]&gt;0.5,1,0),0)</f>
        <v>0</v>
      </c>
      <c r="AL66" s="2">
        <f>IF(AND(Games[[#This Row],[Type]]="P",Games[[#This Row],[Round]]=4),IF(Games[[#This Row],[Result]]&lt;0.5,1,0),0)</f>
        <v>0</v>
      </c>
    </row>
    <row r="67" spans="1:38" x14ac:dyDescent="0.35">
      <c r="A67" s="10">
        <v>40330</v>
      </c>
      <c r="B67" s="2">
        <v>2010</v>
      </c>
      <c r="C67" s="2">
        <f>COUNTIFS(Games[Team],Games[[#This Row],[Team]],Games[Season],Games[[#This Row],[Season]],Games[Date],"&lt;=" &amp; Games[[#This Row],[Date]])</f>
        <v>7</v>
      </c>
      <c r="D67" s="2" t="s">
        <v>23</v>
      </c>
      <c r="E67" s="2" t="s">
        <v>29</v>
      </c>
      <c r="F67" s="1" t="s">
        <v>71</v>
      </c>
      <c r="G67" s="1" t="s">
        <v>44</v>
      </c>
      <c r="H67" s="1" t="s">
        <v>15</v>
      </c>
      <c r="I67" s="2" cm="1">
        <f t="array" ref="I67">IFERROR(
    Games[[#This Row],[Date]]
    - LOOKUP(
        2,
        1/((Games[Team]=Games[[#This Row],[Team]]) * (Games[Date] &lt; Games[[#This Row],[Date]])),
        Games[Date]
    )
    - 1,
Games[[#This Row],[Date]]-$A$2)</f>
        <v>2</v>
      </c>
      <c r="J67" s="2" cm="1">
        <f t="array" ref="J6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67" s="2">
        <f>Games[[#This Row],[DaysOff]]-Games[[#This Row],[OppDaysOff]]</f>
        <v>-1</v>
      </c>
      <c r="L67" s="2">
        <f>Games[[#This Row],[OppDaysOff]]-Games[[#This Row],[DaysOff]]</f>
        <v>1</v>
      </c>
      <c r="M67" s="1">
        <f>MAX(-16, MIN(16, Games[[#This Row],[RestDiff]]*8))</f>
        <v>-8</v>
      </c>
      <c r="N67" s="1">
        <f>MAX(-16, MIN(16, Games[[#This Row],[OppRestDiff]]*8))</f>
        <v>8</v>
      </c>
      <c r="O67" s="4" cm="1">
        <f t="array" ref="O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1396.2259152575884</v>
      </c>
      <c r="P67" s="4" cm="1">
        <f t="array" ref="P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1566.5722538629009</v>
      </c>
      <c r="Q67" s="4">
        <f>1/(1+10^(((Games[[#This Row],[OppPreGmRate]]+IF(Games[[#This Row],[HomeAway]]="A",HCA,0)+Games[[#This Row],[OppRestAdj]])-(Games[[#This Row],[PreGmRate]]+IF(Games[[#This Row],[HomeAway]]="H",HCA,0)+Games[[#This Row],[RestAdj]]))/400))</f>
        <v>0.35682924565123642</v>
      </c>
      <c r="R67" s="1">
        <v>92</v>
      </c>
      <c r="S67" s="1">
        <v>82</v>
      </c>
      <c r="T67" s="1">
        <v>0</v>
      </c>
      <c r="U67" s="1">
        <f>Games[[#This Row],[PointsFor]]-Games[[#This Row],[PointsAgainst]]</f>
        <v>10</v>
      </c>
      <c r="V67" s="1">
        <f>IF(Games[[#This Row],[MOV]]&gt;0,1,IF(Games[[#This Row],[MOV]]=0,0.5,0))</f>
        <v>1</v>
      </c>
      <c r="W67" s="4">
        <f>((ABS(Games[[#This Row],[MOV]])+5)^0.6)/(12+0.01*(ABS(Games[[#This Row],[PreGmRate]]-Games[[#This Row],[OppPreGmRate]])))*IF(Games[[#This Row],[OT]]=1,0.9,1)</f>
        <v>0.37053088324774563</v>
      </c>
      <c r="X67" s="7" cm="1">
        <f t="array" ref="X6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7" s="9">
        <f>MAX(kmin, kmax - 0.15 * MIN(Games[[#This Row],[GamesPlayed]], 82))</f>
        <v>74.95</v>
      </c>
      <c r="Z67" s="4">
        <f>Games[[#This Row],[K]]*Games[[#This Row],[POMult]]</f>
        <v>74.95</v>
      </c>
      <c r="AA67" s="4">
        <f>(Games[[#This Row],[Keff]]*Games[[#This Row],[MOVMult]])*(Games[[#This Row],[Result]]-Games[[#This Row],[ExpectedWin%]])</f>
        <v>17.861681345213068</v>
      </c>
      <c r="AB67" s="4">
        <f>Games[[#This Row],[PreGmRate]]+Games[[#This Row],[RatingChange]]</f>
        <v>1414.0875966028016</v>
      </c>
      <c r="AC67" s="2">
        <f>IF(Games[[#This Row],[Type]]="R",IF(Games[[#This Row],[Result]]&gt;0.5,1,0),0)</f>
        <v>1</v>
      </c>
      <c r="AD67" s="2">
        <f>IF(Games[[#This Row],[Type]]="R",IF(Games[[#This Row],[Result]]&lt;0.5,1,0),0)</f>
        <v>0</v>
      </c>
      <c r="AE67" s="2">
        <f>IF(AND(Games[[#This Row],[Type]]="P",Games[[#This Row],[Round]]=1),IF(Games[[#This Row],[Result]]&gt;0.5,1,0),0)</f>
        <v>0</v>
      </c>
      <c r="AF67" s="2">
        <f>IF(AND(Games[[#This Row],[Type]]="P",Games[[#This Row],[Round]]=1),IF(Games[[#This Row],[Result]]&lt;0.5,1,0),0)</f>
        <v>0</v>
      </c>
      <c r="AG67" s="2">
        <f>IF(AND(Games[[#This Row],[Type]]="P",Games[[#This Row],[Round]]=2),IF(Games[[#This Row],[Result]]&gt;0.5,1,0),0)</f>
        <v>0</v>
      </c>
      <c r="AH67" s="2">
        <f>IF(AND(Games[[#This Row],[Type]]="P",Games[[#This Row],[Round]]=2),IF(Games[[#This Row],[Result]]&lt;0.5,1,0),0)</f>
        <v>0</v>
      </c>
      <c r="AI67" s="2">
        <f>IF(AND(Games[[#This Row],[Type]]="P",Games[[#This Row],[Round]]=3),IF(Games[[#This Row],[Result]]&gt;0.5,1,0),0)</f>
        <v>0</v>
      </c>
      <c r="AJ67" s="2">
        <f>IF(AND(Games[[#This Row],[Type]]="P",Games[[#This Row],[Round]]=3),IF(Games[[#This Row],[Result]]&lt;0.5,1,0),0)</f>
        <v>0</v>
      </c>
      <c r="AK67" s="2">
        <f>IF(AND(Games[[#This Row],[Type]]="P",Games[[#This Row],[Round]]=4),IF(Games[[#This Row],[Result]]&gt;0.5,1,0),0)</f>
        <v>0</v>
      </c>
      <c r="AL67" s="2">
        <f>IF(AND(Games[[#This Row],[Type]]="P",Games[[#This Row],[Round]]=4),IF(Games[[#This Row],[Result]]&lt;0.5,1,0),0)</f>
        <v>0</v>
      </c>
    </row>
    <row r="68" spans="1:38" x14ac:dyDescent="0.35">
      <c r="A68" s="10">
        <v>40330</v>
      </c>
      <c r="B68" s="2">
        <v>2010</v>
      </c>
      <c r="C68" s="2">
        <f>COUNTIFS(Games[Team],Games[[#This Row],[Team]],Games[Season],Games[[#This Row],[Season]],Games[Date],"&lt;=" &amp; Games[[#This Row],[Date]])</f>
        <v>7</v>
      </c>
      <c r="D68" s="2" t="s">
        <v>23</v>
      </c>
      <c r="E68" s="2" t="s">
        <v>29</v>
      </c>
      <c r="F68" s="1" t="s">
        <v>83</v>
      </c>
      <c r="G68" s="1" t="s">
        <v>75</v>
      </c>
      <c r="H68" s="1" t="s">
        <v>16</v>
      </c>
      <c r="I68" s="2" cm="1">
        <f t="array" ref="I68">IFERROR(
    Games[[#This Row],[Date]]
    - LOOKUP(
        2,
        1/((Games[Team]=Games[[#This Row],[Team]]) * (Games[Date] &lt; Games[[#This Row],[Date]])),
        Games[Date]
    )
    - 1,
Games[[#This Row],[Date]]-$A$2)</f>
        <v>1</v>
      </c>
      <c r="J68" s="2" cm="1">
        <f t="array" ref="J6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8" s="2">
        <f>Games[[#This Row],[DaysOff]]-Games[[#This Row],[OppDaysOff]]</f>
        <v>0</v>
      </c>
      <c r="L68" s="2">
        <f>Games[[#This Row],[OppDaysOff]]-Games[[#This Row],[DaysOff]]</f>
        <v>0</v>
      </c>
      <c r="M68" s="1">
        <f>MAX(-16, MIN(16, Games[[#This Row],[RestDiff]]*8))</f>
        <v>0</v>
      </c>
      <c r="N68" s="1">
        <f>MAX(-16, MIN(16, Games[[#This Row],[OppRestDiff]]*8))</f>
        <v>0</v>
      </c>
      <c r="O68" s="4" cm="1">
        <f t="array" ref="O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1583.127366450849</v>
      </c>
      <c r="P68" s="4" cm="1">
        <f t="array" ref="P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1570.8309593539225</v>
      </c>
      <c r="Q68" s="4">
        <f>1/(1+10^(((Games[[#This Row],[OppPreGmRate]]+IF(Games[[#This Row],[HomeAway]]="A",HCA,0)+Games[[#This Row],[OppRestAdj]])-(Games[[#This Row],[PreGmRate]]+IF(Games[[#This Row],[HomeAway]]="H",HCA,0)+Games[[#This Row],[RestAdj]]))/400))</f>
        <v>0.39825073512708292</v>
      </c>
      <c r="R68" s="1">
        <v>72</v>
      </c>
      <c r="S68" s="1">
        <v>90</v>
      </c>
      <c r="T68" s="1">
        <v>0</v>
      </c>
      <c r="U68" s="1">
        <f>Games[[#This Row],[PointsFor]]-Games[[#This Row],[PointsAgainst]]</f>
        <v>-18</v>
      </c>
      <c r="V68" s="1">
        <f>IF(Games[[#This Row],[MOV]]&gt;0,1,IF(Games[[#This Row],[MOV]]=0,0.5,0))</f>
        <v>0</v>
      </c>
      <c r="W68" s="4">
        <f>((ABS(Games[[#This Row],[MOV]])+5)^0.6)/(12+0.01*(ABS(Games[[#This Row],[PreGmRate]]-Games[[#This Row],[OppPreGmRate]])))*IF(Games[[#This Row],[OT]]=1,0.9,1)</f>
        <v>0.54128735737407851</v>
      </c>
      <c r="X68" s="7" cm="1">
        <f t="array" ref="X6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8" s="9">
        <f>MAX(kmin, kmax - 0.15 * MIN(Games[[#This Row],[GamesPlayed]], 82))</f>
        <v>74.95</v>
      </c>
      <c r="Z68" s="4">
        <f>Games[[#This Row],[K]]*Games[[#This Row],[POMult]]</f>
        <v>74.95</v>
      </c>
      <c r="AA68" s="4">
        <f>(Games[[#This Row],[Keff]]*Games[[#This Row],[MOVMult]])*(Games[[#This Row],[Result]]-Games[[#This Row],[ExpectedWin%]])</f>
        <v>-16.156828194792251</v>
      </c>
      <c r="AB68" s="4">
        <f>Games[[#This Row],[PreGmRate]]+Games[[#This Row],[RatingChange]]</f>
        <v>1566.9705382560567</v>
      </c>
      <c r="AC68" s="2">
        <f>IF(Games[[#This Row],[Type]]="R",IF(Games[[#This Row],[Result]]&gt;0.5,1,0),0)</f>
        <v>0</v>
      </c>
      <c r="AD68" s="2">
        <f>IF(Games[[#This Row],[Type]]="R",IF(Games[[#This Row],[Result]]&lt;0.5,1,0),0)</f>
        <v>1</v>
      </c>
      <c r="AE68" s="2">
        <f>IF(AND(Games[[#This Row],[Type]]="P",Games[[#This Row],[Round]]=1),IF(Games[[#This Row],[Result]]&gt;0.5,1,0),0)</f>
        <v>0</v>
      </c>
      <c r="AF68" s="2">
        <f>IF(AND(Games[[#This Row],[Type]]="P",Games[[#This Row],[Round]]=1),IF(Games[[#This Row],[Result]]&lt;0.5,1,0),0)</f>
        <v>0</v>
      </c>
      <c r="AG68" s="2">
        <f>IF(AND(Games[[#This Row],[Type]]="P",Games[[#This Row],[Round]]=2),IF(Games[[#This Row],[Result]]&gt;0.5,1,0),0)</f>
        <v>0</v>
      </c>
      <c r="AH68" s="2">
        <f>IF(AND(Games[[#This Row],[Type]]="P",Games[[#This Row],[Round]]=2),IF(Games[[#This Row],[Result]]&lt;0.5,1,0),0)</f>
        <v>0</v>
      </c>
      <c r="AI68" s="2">
        <f>IF(AND(Games[[#This Row],[Type]]="P",Games[[#This Row],[Round]]=3),IF(Games[[#This Row],[Result]]&gt;0.5,1,0),0)</f>
        <v>0</v>
      </c>
      <c r="AJ68" s="2">
        <f>IF(AND(Games[[#This Row],[Type]]="P",Games[[#This Row],[Round]]=3),IF(Games[[#This Row],[Result]]&lt;0.5,1,0),0)</f>
        <v>0</v>
      </c>
      <c r="AK68" s="2">
        <f>IF(AND(Games[[#This Row],[Type]]="P",Games[[#This Row],[Round]]=4),IF(Games[[#This Row],[Result]]&gt;0.5,1,0),0)</f>
        <v>0</v>
      </c>
      <c r="AL68" s="2">
        <f>IF(AND(Games[[#This Row],[Type]]="P",Games[[#This Row],[Round]]=4),IF(Games[[#This Row],[Result]]&lt;0.5,1,0),0)</f>
        <v>0</v>
      </c>
    </row>
    <row r="69" spans="1:38" x14ac:dyDescent="0.35">
      <c r="A69" s="10">
        <v>40330</v>
      </c>
      <c r="B69" s="2">
        <v>2010</v>
      </c>
      <c r="C69" s="2">
        <f>COUNTIFS(Games[Team],Games[[#This Row],[Team]],Games[Season],Games[[#This Row],[Season]],Games[Date],"&lt;=" &amp; Games[[#This Row],[Date]])</f>
        <v>7</v>
      </c>
      <c r="D69" s="2" t="s">
        <v>23</v>
      </c>
      <c r="E69" s="2" t="s">
        <v>29</v>
      </c>
      <c r="F69" s="1" t="s">
        <v>75</v>
      </c>
      <c r="G69" s="1" t="s">
        <v>83</v>
      </c>
      <c r="H69" s="1" t="s">
        <v>15</v>
      </c>
      <c r="I69" s="2" cm="1">
        <f t="array" ref="I69">IFERROR(
    Games[[#This Row],[Date]]
    - LOOKUP(
        2,
        1/((Games[Team]=Games[[#This Row],[Team]]) * (Games[Date] &lt; Games[[#This Row],[Date]])),
        Games[Date]
    )
    - 1,
Games[[#This Row],[Date]]-$A$2)</f>
        <v>1</v>
      </c>
      <c r="J69" s="2" cm="1">
        <f t="array" ref="J6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9" s="2">
        <f>Games[[#This Row],[DaysOff]]-Games[[#This Row],[OppDaysOff]]</f>
        <v>0</v>
      </c>
      <c r="L69" s="2">
        <f>Games[[#This Row],[OppDaysOff]]-Games[[#This Row],[DaysOff]]</f>
        <v>0</v>
      </c>
      <c r="M69" s="1">
        <f>MAX(-16, MIN(16, Games[[#This Row],[RestDiff]]*8))</f>
        <v>0</v>
      </c>
      <c r="N69" s="1">
        <f>MAX(-16, MIN(16, Games[[#This Row],[OppRestDiff]]*8))</f>
        <v>0</v>
      </c>
      <c r="O69" s="4" cm="1">
        <f t="array" ref="O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1570.8309593539225</v>
      </c>
      <c r="P69" s="4" cm="1">
        <f t="array" ref="P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1583.127366450849</v>
      </c>
      <c r="Q69" s="4">
        <f>1/(1+10^(((Games[[#This Row],[OppPreGmRate]]+IF(Games[[#This Row],[HomeAway]]="A",HCA,0)+Games[[#This Row],[OppRestAdj]])-(Games[[#This Row],[PreGmRate]]+IF(Games[[#This Row],[HomeAway]]="H",HCA,0)+Games[[#This Row],[RestAdj]]))/400))</f>
        <v>0.60174926487291713</v>
      </c>
      <c r="R69" s="1">
        <v>90</v>
      </c>
      <c r="S69" s="1">
        <v>72</v>
      </c>
      <c r="T69" s="1">
        <v>0</v>
      </c>
      <c r="U69" s="1">
        <f>Games[[#This Row],[PointsFor]]-Games[[#This Row],[PointsAgainst]]</f>
        <v>18</v>
      </c>
      <c r="V69" s="1">
        <f>IF(Games[[#This Row],[MOV]]&gt;0,1,IF(Games[[#This Row],[MOV]]=0,0.5,0))</f>
        <v>1</v>
      </c>
      <c r="W69" s="4">
        <f>((ABS(Games[[#This Row],[MOV]])+5)^0.6)/(12+0.01*(ABS(Games[[#This Row],[PreGmRate]]-Games[[#This Row],[OppPreGmRate]])))*IF(Games[[#This Row],[OT]]=1,0.9,1)</f>
        <v>0.54128735737407851</v>
      </c>
      <c r="X69" s="7" cm="1">
        <f t="array" ref="X6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9" s="9">
        <f>MAX(kmin, kmax - 0.15 * MIN(Games[[#This Row],[GamesPlayed]], 82))</f>
        <v>74.95</v>
      </c>
      <c r="Z69" s="4">
        <f>Games[[#This Row],[K]]*Games[[#This Row],[POMult]]</f>
        <v>74.95</v>
      </c>
      <c r="AA69" s="4">
        <f>(Games[[#This Row],[Keff]]*Games[[#This Row],[MOVMult]])*(Games[[#This Row],[Result]]-Games[[#This Row],[ExpectedWin%]])</f>
        <v>16.156828194792247</v>
      </c>
      <c r="AB69" s="4">
        <f>Games[[#This Row],[PreGmRate]]+Games[[#This Row],[RatingChange]]</f>
        <v>1586.9877875487148</v>
      </c>
      <c r="AC69" s="2">
        <f>IF(Games[[#This Row],[Type]]="R",IF(Games[[#This Row],[Result]]&gt;0.5,1,0),0)</f>
        <v>1</v>
      </c>
      <c r="AD69" s="2">
        <f>IF(Games[[#This Row],[Type]]="R",IF(Games[[#This Row],[Result]]&lt;0.5,1,0),0)</f>
        <v>0</v>
      </c>
      <c r="AE69" s="2">
        <f>IF(AND(Games[[#This Row],[Type]]="P",Games[[#This Row],[Round]]=1),IF(Games[[#This Row],[Result]]&gt;0.5,1,0),0)</f>
        <v>0</v>
      </c>
      <c r="AF69" s="2">
        <f>IF(AND(Games[[#This Row],[Type]]="P",Games[[#This Row],[Round]]=1),IF(Games[[#This Row],[Result]]&lt;0.5,1,0),0)</f>
        <v>0</v>
      </c>
      <c r="AG69" s="2">
        <f>IF(AND(Games[[#This Row],[Type]]="P",Games[[#This Row],[Round]]=2),IF(Games[[#This Row],[Result]]&gt;0.5,1,0),0)</f>
        <v>0</v>
      </c>
      <c r="AH69" s="2">
        <f>IF(AND(Games[[#This Row],[Type]]="P",Games[[#This Row],[Round]]=2),IF(Games[[#This Row],[Result]]&lt;0.5,1,0),0)</f>
        <v>0</v>
      </c>
      <c r="AI69" s="2">
        <f>IF(AND(Games[[#This Row],[Type]]="P",Games[[#This Row],[Round]]=3),IF(Games[[#This Row],[Result]]&gt;0.5,1,0),0)</f>
        <v>0</v>
      </c>
      <c r="AJ69" s="2">
        <f>IF(AND(Games[[#This Row],[Type]]="P",Games[[#This Row],[Round]]=3),IF(Games[[#This Row],[Result]]&lt;0.5,1,0),0)</f>
        <v>0</v>
      </c>
      <c r="AK69" s="2">
        <f>IF(AND(Games[[#This Row],[Type]]="P",Games[[#This Row],[Round]]=4),IF(Games[[#This Row],[Result]]&gt;0.5,1,0),0)</f>
        <v>0</v>
      </c>
      <c r="AL69" s="2">
        <f>IF(AND(Games[[#This Row],[Type]]="P",Games[[#This Row],[Round]]=4),IF(Games[[#This Row],[Result]]&lt;0.5,1,0),0)</f>
        <v>0</v>
      </c>
    </row>
    <row r="70" spans="1:38" x14ac:dyDescent="0.35">
      <c r="A70" s="10">
        <v>40332</v>
      </c>
      <c r="B70" s="2">
        <v>2010</v>
      </c>
      <c r="C70" s="2">
        <f>COUNTIFS(Games[Team],Games[[#This Row],[Team]],Games[Season],Games[[#This Row],[Season]],Games[Date],"&lt;=" &amp; Games[[#This Row],[Date]])</f>
        <v>6</v>
      </c>
      <c r="D70" s="2" t="s">
        <v>23</v>
      </c>
      <c r="E70" s="2" t="s">
        <v>29</v>
      </c>
      <c r="F70" s="1" t="s">
        <v>78</v>
      </c>
      <c r="G70" s="1" t="s">
        <v>73</v>
      </c>
      <c r="H70" s="1" t="s">
        <v>16</v>
      </c>
      <c r="I70" s="2" cm="1">
        <f t="array" ref="I70">IFERROR(
    Games[[#This Row],[Date]]
    - LOOKUP(
        2,
        1/((Games[Team]=Games[[#This Row],[Team]]) * (Games[Date] &lt; Games[[#This Row],[Date]])),
        Games[Date]
    )
    - 1,
Games[[#This Row],[Date]]-$A$2)</f>
        <v>3</v>
      </c>
      <c r="J70" s="2" cm="1">
        <f t="array" ref="J70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70" s="2">
        <f>Games[[#This Row],[DaysOff]]-Games[[#This Row],[OppDaysOff]]</f>
        <v>-1</v>
      </c>
      <c r="L70" s="2">
        <f>Games[[#This Row],[OppDaysOff]]-Games[[#This Row],[DaysOff]]</f>
        <v>1</v>
      </c>
      <c r="M70" s="1">
        <f>MAX(-16, MIN(16, Games[[#This Row],[RestDiff]]*8))</f>
        <v>-8</v>
      </c>
      <c r="N70" s="1">
        <f>MAX(-16, MIN(16, Games[[#This Row],[OppRestDiff]]*8))</f>
        <v>8</v>
      </c>
      <c r="O70" s="4" cm="1">
        <f t="array" ref="O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1463.8823589270971</v>
      </c>
      <c r="P70" s="4" cm="1">
        <f t="array" ref="P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1514.9407926763745</v>
      </c>
      <c r="Q70" s="4">
        <f>1/(1+10^(((Games[[#This Row],[OppPreGmRate]]+IF(Games[[#This Row],[HomeAway]]="A",HCA,0)+Games[[#This Row],[OppRestAdj]])-(Games[[#This Row],[PreGmRate]]+IF(Games[[#This Row],[HomeAway]]="H",HCA,0)+Games[[#This Row],[RestAdj]]))/400))</f>
        <v>0.29534539801964216</v>
      </c>
      <c r="R70" s="1">
        <v>57</v>
      </c>
      <c r="S70" s="1">
        <v>79</v>
      </c>
      <c r="T70" s="1">
        <v>0</v>
      </c>
      <c r="U70" s="1">
        <f>Games[[#This Row],[PointsFor]]-Games[[#This Row],[PointsAgainst]]</f>
        <v>-22</v>
      </c>
      <c r="V70" s="1">
        <f>IF(Games[[#This Row],[MOV]]&gt;0,1,IF(Games[[#This Row],[MOV]]=0,0.5,0))</f>
        <v>0</v>
      </c>
      <c r="W70" s="4">
        <f>((ABS(Games[[#This Row],[MOV]])+5)^0.6)/(12+0.01*(ABS(Games[[#This Row],[PreGmRate]]-Games[[#This Row],[OppPreGmRate]])))*IF(Games[[#This Row],[OT]]=1,0.9,1)</f>
        <v>0.57748494082650992</v>
      </c>
      <c r="X70" s="7" cm="1">
        <f t="array" ref="X7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0" s="9">
        <f>MAX(kmin, kmax - 0.15 * MIN(Games[[#This Row],[GamesPlayed]], 82))</f>
        <v>75.099999999999994</v>
      </c>
      <c r="Z70" s="4">
        <f>Games[[#This Row],[K]]*Games[[#This Row],[POMult]]</f>
        <v>75.099999999999994</v>
      </c>
      <c r="AA70" s="4">
        <f>(Games[[#This Row],[Keff]]*Games[[#This Row],[MOVMult]])*(Games[[#This Row],[Result]]-Games[[#This Row],[ExpectedWin%]])</f>
        <v>-12.808869729376505</v>
      </c>
      <c r="AB70" s="4">
        <f>Games[[#This Row],[PreGmRate]]+Games[[#This Row],[RatingChange]]</f>
        <v>1451.0734891977206</v>
      </c>
      <c r="AC70" s="2">
        <f>IF(Games[[#This Row],[Type]]="R",IF(Games[[#This Row],[Result]]&gt;0.5,1,0),0)</f>
        <v>0</v>
      </c>
      <c r="AD70" s="2">
        <f>IF(Games[[#This Row],[Type]]="R",IF(Games[[#This Row],[Result]]&lt;0.5,1,0),0)</f>
        <v>1</v>
      </c>
      <c r="AE70" s="2">
        <f>IF(AND(Games[[#This Row],[Type]]="P",Games[[#This Row],[Round]]=1),IF(Games[[#This Row],[Result]]&gt;0.5,1,0),0)</f>
        <v>0</v>
      </c>
      <c r="AF70" s="2">
        <f>IF(AND(Games[[#This Row],[Type]]="P",Games[[#This Row],[Round]]=1),IF(Games[[#This Row],[Result]]&lt;0.5,1,0),0)</f>
        <v>0</v>
      </c>
      <c r="AG70" s="2">
        <f>IF(AND(Games[[#This Row],[Type]]="P",Games[[#This Row],[Round]]=2),IF(Games[[#This Row],[Result]]&gt;0.5,1,0),0)</f>
        <v>0</v>
      </c>
      <c r="AH70" s="2">
        <f>IF(AND(Games[[#This Row],[Type]]="P",Games[[#This Row],[Round]]=2),IF(Games[[#This Row],[Result]]&lt;0.5,1,0),0)</f>
        <v>0</v>
      </c>
      <c r="AI70" s="2">
        <f>IF(AND(Games[[#This Row],[Type]]="P",Games[[#This Row],[Round]]=3),IF(Games[[#This Row],[Result]]&gt;0.5,1,0),0)</f>
        <v>0</v>
      </c>
      <c r="AJ70" s="2">
        <f>IF(AND(Games[[#This Row],[Type]]="P",Games[[#This Row],[Round]]=3),IF(Games[[#This Row],[Result]]&lt;0.5,1,0),0)</f>
        <v>0</v>
      </c>
      <c r="AK70" s="2">
        <f>IF(AND(Games[[#This Row],[Type]]="P",Games[[#This Row],[Round]]=4),IF(Games[[#This Row],[Result]]&gt;0.5,1,0),0)</f>
        <v>0</v>
      </c>
      <c r="AL70" s="2">
        <f>IF(AND(Games[[#This Row],[Type]]="P",Games[[#This Row],[Round]]=4),IF(Games[[#This Row],[Result]]&lt;0.5,1,0),0)</f>
        <v>0</v>
      </c>
    </row>
    <row r="71" spans="1:38" x14ac:dyDescent="0.35">
      <c r="A71" s="10">
        <v>40332</v>
      </c>
      <c r="B71" s="2">
        <v>2010</v>
      </c>
      <c r="C71" s="2">
        <f>COUNTIFS(Games[Team],Games[[#This Row],[Team]],Games[Season],Games[[#This Row],[Season]],Games[Date],"&lt;=" &amp; Games[[#This Row],[Date]])</f>
        <v>6</v>
      </c>
      <c r="D71" s="2" t="s">
        <v>23</v>
      </c>
      <c r="E71" s="2" t="s">
        <v>29</v>
      </c>
      <c r="F71" s="1" t="s">
        <v>73</v>
      </c>
      <c r="G71" s="1" t="s">
        <v>78</v>
      </c>
      <c r="H71" s="1" t="s">
        <v>15</v>
      </c>
      <c r="I71" s="2" cm="1">
        <f t="array" ref="I71">IFERROR(
    Games[[#This Row],[Date]]
    - LOOKUP(
        2,
        1/((Games[Team]=Games[[#This Row],[Team]]) * (Games[Date] &lt; Games[[#This Row],[Date]])),
        Games[Date]
    )
    - 1,
Games[[#This Row],[Date]]-$A$2)</f>
        <v>4</v>
      </c>
      <c r="J71" s="2" cm="1">
        <f t="array" ref="J7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71" s="2">
        <f>Games[[#This Row],[DaysOff]]-Games[[#This Row],[OppDaysOff]]</f>
        <v>1</v>
      </c>
      <c r="L71" s="2">
        <f>Games[[#This Row],[OppDaysOff]]-Games[[#This Row],[DaysOff]]</f>
        <v>-1</v>
      </c>
      <c r="M71" s="1">
        <f>MAX(-16, MIN(16, Games[[#This Row],[RestDiff]]*8))</f>
        <v>8</v>
      </c>
      <c r="N71" s="1">
        <f>MAX(-16, MIN(16, Games[[#This Row],[OppRestDiff]]*8))</f>
        <v>-8</v>
      </c>
      <c r="O71" s="4" cm="1">
        <f t="array" ref="O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1514.9407926763745</v>
      </c>
      <c r="P71" s="4" cm="1">
        <f t="array" ref="P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1463.8823589270971</v>
      </c>
      <c r="Q71" s="4">
        <f>1/(1+10^(((Games[[#This Row],[OppPreGmRate]]+IF(Games[[#This Row],[HomeAway]]="A",HCA,0)+Games[[#This Row],[OppRestAdj]])-(Games[[#This Row],[PreGmRate]]+IF(Games[[#This Row],[HomeAway]]="H",HCA,0)+Games[[#This Row],[RestAdj]]))/400))</f>
        <v>0.7046546019803579</v>
      </c>
      <c r="R71" s="1">
        <v>79</v>
      </c>
      <c r="S71" s="1">
        <v>57</v>
      </c>
      <c r="T71" s="1">
        <v>0</v>
      </c>
      <c r="U71" s="1">
        <f>Games[[#This Row],[PointsFor]]-Games[[#This Row],[PointsAgainst]]</f>
        <v>22</v>
      </c>
      <c r="V71" s="1">
        <f>IF(Games[[#This Row],[MOV]]&gt;0,1,IF(Games[[#This Row],[MOV]]=0,0.5,0))</f>
        <v>1</v>
      </c>
      <c r="W71" s="4">
        <f>((ABS(Games[[#This Row],[MOV]])+5)^0.6)/(12+0.01*(ABS(Games[[#This Row],[PreGmRate]]-Games[[#This Row],[OppPreGmRate]])))*IF(Games[[#This Row],[OT]]=1,0.9,1)</f>
        <v>0.57748494082650992</v>
      </c>
      <c r="X71" s="7" cm="1">
        <f t="array" ref="X7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1" s="9">
        <f>MAX(kmin, kmax - 0.15 * MIN(Games[[#This Row],[GamesPlayed]], 82))</f>
        <v>75.099999999999994</v>
      </c>
      <c r="Z71" s="4">
        <f>Games[[#This Row],[K]]*Games[[#This Row],[POMult]]</f>
        <v>75.099999999999994</v>
      </c>
      <c r="AA71" s="4">
        <f>(Games[[#This Row],[Keff]]*Games[[#This Row],[MOVMult]])*(Games[[#This Row],[Result]]-Games[[#This Row],[ExpectedWin%]])</f>
        <v>12.808869729376504</v>
      </c>
      <c r="AB71" s="4">
        <f>Games[[#This Row],[PreGmRate]]+Games[[#This Row],[RatingChange]]</f>
        <v>1527.749662405751</v>
      </c>
      <c r="AC71" s="2">
        <f>IF(Games[[#This Row],[Type]]="R",IF(Games[[#This Row],[Result]]&gt;0.5,1,0),0)</f>
        <v>1</v>
      </c>
      <c r="AD71" s="2">
        <f>IF(Games[[#This Row],[Type]]="R",IF(Games[[#This Row],[Result]]&lt;0.5,1,0),0)</f>
        <v>0</v>
      </c>
      <c r="AE71" s="2">
        <f>IF(AND(Games[[#This Row],[Type]]="P",Games[[#This Row],[Round]]=1),IF(Games[[#This Row],[Result]]&gt;0.5,1,0),0)</f>
        <v>0</v>
      </c>
      <c r="AF71" s="2">
        <f>IF(AND(Games[[#This Row],[Type]]="P",Games[[#This Row],[Round]]=1),IF(Games[[#This Row],[Result]]&lt;0.5,1,0),0)</f>
        <v>0</v>
      </c>
      <c r="AG71" s="2">
        <f>IF(AND(Games[[#This Row],[Type]]="P",Games[[#This Row],[Round]]=2),IF(Games[[#This Row],[Result]]&gt;0.5,1,0),0)</f>
        <v>0</v>
      </c>
      <c r="AH71" s="2">
        <f>IF(AND(Games[[#This Row],[Type]]="P",Games[[#This Row],[Round]]=2),IF(Games[[#This Row],[Result]]&lt;0.5,1,0),0)</f>
        <v>0</v>
      </c>
      <c r="AI71" s="2">
        <f>IF(AND(Games[[#This Row],[Type]]="P",Games[[#This Row],[Round]]=3),IF(Games[[#This Row],[Result]]&gt;0.5,1,0),0)</f>
        <v>0</v>
      </c>
      <c r="AJ71" s="2">
        <f>IF(AND(Games[[#This Row],[Type]]="P",Games[[#This Row],[Round]]=3),IF(Games[[#This Row],[Result]]&lt;0.5,1,0),0)</f>
        <v>0</v>
      </c>
      <c r="AK71" s="2">
        <f>IF(AND(Games[[#This Row],[Type]]="P",Games[[#This Row],[Round]]=4),IF(Games[[#This Row],[Result]]&gt;0.5,1,0),0)</f>
        <v>0</v>
      </c>
      <c r="AL71" s="2">
        <f>IF(AND(Games[[#This Row],[Type]]="P",Games[[#This Row],[Round]]=4),IF(Games[[#This Row],[Result]]&lt;0.5,1,0),0)</f>
        <v>0</v>
      </c>
    </row>
    <row r="72" spans="1:38" x14ac:dyDescent="0.35">
      <c r="A72" s="10">
        <v>40333</v>
      </c>
      <c r="B72" s="2">
        <v>2010</v>
      </c>
      <c r="C72" s="2">
        <f>COUNTIFS(Games[Team],Games[[#This Row],[Team]],Games[Season],Games[[#This Row],[Season]],Games[Date],"&lt;=" &amp; Games[[#This Row],[Date]])</f>
        <v>7</v>
      </c>
      <c r="D72" s="2" t="s">
        <v>23</v>
      </c>
      <c r="E72" s="2" t="s">
        <v>29</v>
      </c>
      <c r="F72" s="1" t="s">
        <v>81</v>
      </c>
      <c r="G72" s="1" t="s">
        <v>83</v>
      </c>
      <c r="H72" s="1" t="s">
        <v>16</v>
      </c>
      <c r="I72" s="2" cm="1">
        <f t="array" ref="I72">IFERROR(
    Games[[#This Row],[Date]]
    - LOOKUP(
        2,
        1/((Games[Team]=Games[[#This Row],[Team]]) * (Games[Date] &lt; Games[[#This Row],[Date]])),
        Games[Date]
    )
    - 1,
Games[[#This Row],[Date]]-$A$2)</f>
        <v>5</v>
      </c>
      <c r="J72" s="2" cm="1">
        <f t="array" ref="J7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72" s="2">
        <f>Games[[#This Row],[DaysOff]]-Games[[#This Row],[OppDaysOff]]</f>
        <v>3</v>
      </c>
      <c r="L72" s="2">
        <f>Games[[#This Row],[OppDaysOff]]-Games[[#This Row],[DaysOff]]</f>
        <v>-3</v>
      </c>
      <c r="M72" s="1">
        <f>MAX(-16, MIN(16, Games[[#This Row],[RestDiff]]*8))</f>
        <v>16</v>
      </c>
      <c r="N72" s="1">
        <f>MAX(-16, MIN(16, Games[[#This Row],[OppRestDiff]]*8))</f>
        <v>-16</v>
      </c>
      <c r="O72" s="4" cm="1">
        <f t="array" ref="O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1467.7884224006789</v>
      </c>
      <c r="P72" s="4" cm="1">
        <f t="array" ref="P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1566.9705382560567</v>
      </c>
      <c r="Q72" s="4">
        <f>1/(1+10^(((Games[[#This Row],[OppPreGmRate]]+IF(Games[[#This Row],[HomeAway]]="A",HCA,0)+Games[[#This Row],[OppRestAdj]])-(Games[[#This Row],[PreGmRate]]+IF(Games[[#This Row],[HomeAway]]="H",HCA,0)+Games[[#This Row],[RestAdj]]))/400))</f>
        <v>0.29519724661409474</v>
      </c>
      <c r="R72" s="1">
        <v>80</v>
      </c>
      <c r="S72" s="1">
        <v>70</v>
      </c>
      <c r="T72" s="1">
        <v>0</v>
      </c>
      <c r="U72" s="1">
        <f>Games[[#This Row],[PointsFor]]-Games[[#This Row],[PointsAgainst]]</f>
        <v>10</v>
      </c>
      <c r="V72" s="1">
        <f>IF(Games[[#This Row],[MOV]]&gt;0,1,IF(Games[[#This Row],[MOV]]=0,0.5,0))</f>
        <v>1</v>
      </c>
      <c r="W72" s="4">
        <f>((ABS(Games[[#This Row],[MOV]])+5)^0.6)/(12+0.01*(ABS(Games[[#This Row],[PreGmRate]]-Games[[#This Row],[OppPreGmRate]])))*IF(Games[[#This Row],[OT]]=1,0.9,1)</f>
        <v>0.3908271465578449</v>
      </c>
      <c r="X72" s="7" cm="1">
        <f t="array" ref="X7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2" s="9">
        <f>MAX(kmin, kmax - 0.15 * MIN(Games[[#This Row],[GamesPlayed]], 82))</f>
        <v>74.95</v>
      </c>
      <c r="Z72" s="4">
        <f>Games[[#This Row],[K]]*Games[[#This Row],[POMult]]</f>
        <v>74.95</v>
      </c>
      <c r="AA72" s="4">
        <f>(Games[[#This Row],[Keff]]*Games[[#This Row],[MOVMult]])*(Games[[#This Row],[Result]]-Games[[#This Row],[ExpectedWin%]])</f>
        <v>20.645430871944839</v>
      </c>
      <c r="AB72" s="4">
        <f>Games[[#This Row],[PreGmRate]]+Games[[#This Row],[RatingChange]]</f>
        <v>1488.4338532726238</v>
      </c>
      <c r="AC72" s="2">
        <f>IF(Games[[#This Row],[Type]]="R",IF(Games[[#This Row],[Result]]&gt;0.5,1,0),0)</f>
        <v>1</v>
      </c>
      <c r="AD72" s="2">
        <f>IF(Games[[#This Row],[Type]]="R",IF(Games[[#This Row],[Result]]&lt;0.5,1,0),0)</f>
        <v>0</v>
      </c>
      <c r="AE72" s="2">
        <f>IF(AND(Games[[#This Row],[Type]]="P",Games[[#This Row],[Round]]=1),IF(Games[[#This Row],[Result]]&gt;0.5,1,0),0)</f>
        <v>0</v>
      </c>
      <c r="AF72" s="2">
        <f>IF(AND(Games[[#This Row],[Type]]="P",Games[[#This Row],[Round]]=1),IF(Games[[#This Row],[Result]]&lt;0.5,1,0),0)</f>
        <v>0</v>
      </c>
      <c r="AG72" s="2">
        <f>IF(AND(Games[[#This Row],[Type]]="P",Games[[#This Row],[Round]]=2),IF(Games[[#This Row],[Result]]&gt;0.5,1,0),0)</f>
        <v>0</v>
      </c>
      <c r="AH72" s="2">
        <f>IF(AND(Games[[#This Row],[Type]]="P",Games[[#This Row],[Round]]=2),IF(Games[[#This Row],[Result]]&lt;0.5,1,0),0)</f>
        <v>0</v>
      </c>
      <c r="AI72" s="2">
        <f>IF(AND(Games[[#This Row],[Type]]="P",Games[[#This Row],[Round]]=3),IF(Games[[#This Row],[Result]]&gt;0.5,1,0),0)</f>
        <v>0</v>
      </c>
      <c r="AJ72" s="2">
        <f>IF(AND(Games[[#This Row],[Type]]="P",Games[[#This Row],[Round]]=3),IF(Games[[#This Row],[Result]]&lt;0.5,1,0),0)</f>
        <v>0</v>
      </c>
      <c r="AK72" s="2">
        <f>IF(AND(Games[[#This Row],[Type]]="P",Games[[#This Row],[Round]]=4),IF(Games[[#This Row],[Result]]&gt;0.5,1,0),0)</f>
        <v>0</v>
      </c>
      <c r="AL72" s="2">
        <f>IF(AND(Games[[#This Row],[Type]]="P",Games[[#This Row],[Round]]=4),IF(Games[[#This Row],[Result]]&lt;0.5,1,0),0)</f>
        <v>0</v>
      </c>
    </row>
    <row r="73" spans="1:38" x14ac:dyDescent="0.35">
      <c r="A73" s="10">
        <v>40333</v>
      </c>
      <c r="B73" s="2">
        <v>2010</v>
      </c>
      <c r="C73" s="2">
        <f>COUNTIFS(Games[Team],Games[[#This Row],[Team]],Games[Season],Games[[#This Row],[Season]],Games[Date],"&lt;=" &amp; Games[[#This Row],[Date]])</f>
        <v>8</v>
      </c>
      <c r="D73" s="2" t="s">
        <v>23</v>
      </c>
      <c r="E73" s="2" t="s">
        <v>29</v>
      </c>
      <c r="F73" s="1" t="s">
        <v>83</v>
      </c>
      <c r="G73" s="1" t="s">
        <v>81</v>
      </c>
      <c r="H73" s="1" t="s">
        <v>15</v>
      </c>
      <c r="I73" s="2" cm="1">
        <f t="array" ref="I73">IFERROR(
    Games[[#This Row],[Date]]
    - LOOKUP(
        2,
        1/((Games[Team]=Games[[#This Row],[Team]]) * (Games[Date] &lt; Games[[#This Row],[Date]])),
        Games[Date]
    )
    - 1,
Games[[#This Row],[Date]]-$A$2)</f>
        <v>2</v>
      </c>
      <c r="J73" s="2" cm="1">
        <f t="array" ref="J73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73" s="2">
        <f>Games[[#This Row],[DaysOff]]-Games[[#This Row],[OppDaysOff]]</f>
        <v>-3</v>
      </c>
      <c r="L73" s="2">
        <f>Games[[#This Row],[OppDaysOff]]-Games[[#This Row],[DaysOff]]</f>
        <v>3</v>
      </c>
      <c r="M73" s="1">
        <f>MAX(-16, MIN(16, Games[[#This Row],[RestDiff]]*8))</f>
        <v>-16</v>
      </c>
      <c r="N73" s="1">
        <f>MAX(-16, MIN(16, Games[[#This Row],[OppRestDiff]]*8))</f>
        <v>16</v>
      </c>
      <c r="O73" s="4" cm="1">
        <f t="array" ref="O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1566.9705382560567</v>
      </c>
      <c r="P73" s="4" cm="1">
        <f t="array" ref="P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1467.7884224006789</v>
      </c>
      <c r="Q73" s="4">
        <f>1/(1+10^(((Games[[#This Row],[OppPreGmRate]]+IF(Games[[#This Row],[HomeAway]]="A",HCA,0)+Games[[#This Row],[OppRestAdj]])-(Games[[#This Row],[PreGmRate]]+IF(Games[[#This Row],[HomeAway]]="H",HCA,0)+Games[[#This Row],[RestAdj]]))/400))</f>
        <v>0.70480275338590526</v>
      </c>
      <c r="R73" s="1">
        <v>70</v>
      </c>
      <c r="S73" s="1">
        <v>80</v>
      </c>
      <c r="T73" s="1">
        <v>0</v>
      </c>
      <c r="U73" s="1">
        <f>Games[[#This Row],[PointsFor]]-Games[[#This Row],[PointsAgainst]]</f>
        <v>-10</v>
      </c>
      <c r="V73" s="1">
        <f>IF(Games[[#This Row],[MOV]]&gt;0,1,IF(Games[[#This Row],[MOV]]=0,0.5,0))</f>
        <v>0</v>
      </c>
      <c r="W73" s="4">
        <f>((ABS(Games[[#This Row],[MOV]])+5)^0.6)/(12+0.01*(ABS(Games[[#This Row],[PreGmRate]]-Games[[#This Row],[OppPreGmRate]])))*IF(Games[[#This Row],[OT]]=1,0.9,1)</f>
        <v>0.3908271465578449</v>
      </c>
      <c r="X73" s="7" cm="1">
        <f t="array" ref="X7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3" s="9">
        <f>MAX(kmin, kmax - 0.15 * MIN(Games[[#This Row],[GamesPlayed]], 82))</f>
        <v>74.8</v>
      </c>
      <c r="Z73" s="4">
        <f>Games[[#This Row],[K]]*Games[[#This Row],[POMult]]</f>
        <v>74.8</v>
      </c>
      <c r="AA73" s="4">
        <f>(Games[[#This Row],[Keff]]*Games[[#This Row],[MOVMult]])*(Games[[#This Row],[Result]]-Games[[#This Row],[ExpectedWin%]])</f>
        <v>-20.604112464596049</v>
      </c>
      <c r="AB73" s="4">
        <f>Games[[#This Row],[PreGmRate]]+Games[[#This Row],[RatingChange]]</f>
        <v>1546.3664257914606</v>
      </c>
      <c r="AC73" s="2">
        <f>IF(Games[[#This Row],[Type]]="R",IF(Games[[#This Row],[Result]]&gt;0.5,1,0),0)</f>
        <v>0</v>
      </c>
      <c r="AD73" s="2">
        <f>IF(Games[[#This Row],[Type]]="R",IF(Games[[#This Row],[Result]]&lt;0.5,1,0),0)</f>
        <v>1</v>
      </c>
      <c r="AE73" s="2">
        <f>IF(AND(Games[[#This Row],[Type]]="P",Games[[#This Row],[Round]]=1),IF(Games[[#This Row],[Result]]&gt;0.5,1,0),0)</f>
        <v>0</v>
      </c>
      <c r="AF73" s="2">
        <f>IF(AND(Games[[#This Row],[Type]]="P",Games[[#This Row],[Round]]=1),IF(Games[[#This Row],[Result]]&lt;0.5,1,0),0)</f>
        <v>0</v>
      </c>
      <c r="AG73" s="2">
        <f>IF(AND(Games[[#This Row],[Type]]="P",Games[[#This Row],[Round]]=2),IF(Games[[#This Row],[Result]]&gt;0.5,1,0),0)</f>
        <v>0</v>
      </c>
      <c r="AH73" s="2">
        <f>IF(AND(Games[[#This Row],[Type]]="P",Games[[#This Row],[Round]]=2),IF(Games[[#This Row],[Result]]&lt;0.5,1,0),0)</f>
        <v>0</v>
      </c>
      <c r="AI73" s="2">
        <f>IF(AND(Games[[#This Row],[Type]]="P",Games[[#This Row],[Round]]=3),IF(Games[[#This Row],[Result]]&gt;0.5,1,0),0)</f>
        <v>0</v>
      </c>
      <c r="AJ73" s="2">
        <f>IF(AND(Games[[#This Row],[Type]]="P",Games[[#This Row],[Round]]=3),IF(Games[[#This Row],[Result]]&lt;0.5,1,0),0)</f>
        <v>0</v>
      </c>
      <c r="AK73" s="2">
        <f>IF(AND(Games[[#This Row],[Type]]="P",Games[[#This Row],[Round]]=4),IF(Games[[#This Row],[Result]]&gt;0.5,1,0),0)</f>
        <v>0</v>
      </c>
      <c r="AL73" s="2">
        <f>IF(AND(Games[[#This Row],[Type]]="P",Games[[#This Row],[Round]]=4),IF(Games[[#This Row],[Result]]&lt;0.5,1,0),0)</f>
        <v>0</v>
      </c>
    </row>
    <row r="74" spans="1:38" x14ac:dyDescent="0.35">
      <c r="A74" s="10">
        <v>40333</v>
      </c>
      <c r="B74" s="2">
        <v>2010</v>
      </c>
      <c r="C74" s="2">
        <f>COUNTIFS(Games[Team],Games[[#This Row],[Team]],Games[Season],Games[[#This Row],[Season]],Games[Date],"&lt;=" &amp; Games[[#This Row],[Date]])</f>
        <v>5</v>
      </c>
      <c r="D74" s="2" t="s">
        <v>23</v>
      </c>
      <c r="E74" s="2" t="s">
        <v>29</v>
      </c>
      <c r="F74" s="1" t="s">
        <v>64</v>
      </c>
      <c r="G74" s="1" t="s">
        <v>80</v>
      </c>
      <c r="H74" s="1" t="s">
        <v>16</v>
      </c>
      <c r="I74" s="2" cm="1">
        <f t="array" ref="I74">IFERROR(
    Games[[#This Row],[Date]]
    - LOOKUP(
        2,
        1/((Games[Team]=Games[[#This Row],[Team]]) * (Games[Date] &lt; Games[[#This Row],[Date]])),
        Games[Date]
    )
    - 1,
Games[[#This Row],[Date]]-$A$2)</f>
        <v>6</v>
      </c>
      <c r="J74" s="2" cm="1">
        <f t="array" ref="J74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74" s="2">
        <f>Games[[#This Row],[DaysOff]]-Games[[#This Row],[OppDaysOff]]</f>
        <v>2</v>
      </c>
      <c r="L74" s="2">
        <f>Games[[#This Row],[OppDaysOff]]-Games[[#This Row],[DaysOff]]</f>
        <v>-2</v>
      </c>
      <c r="M74" s="1">
        <f>MAX(-16, MIN(16, Games[[#This Row],[RestDiff]]*8))</f>
        <v>16</v>
      </c>
      <c r="N74" s="1">
        <f>MAX(-16, MIN(16, Games[[#This Row],[OppRestDiff]]*8))</f>
        <v>-16</v>
      </c>
      <c r="O74" s="4" cm="1">
        <f t="array" ref="O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1470.2326317120285</v>
      </c>
      <c r="P74" s="4" cm="1">
        <f t="array" ref="P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1507.3859449310937</v>
      </c>
      <c r="Q74" s="4">
        <f>1/(1+10^(((Games[[#This Row],[OppPreGmRate]]+IF(Games[[#This Row],[HomeAway]]="A",HCA,0)+Games[[#This Row],[OppRestAdj]])-(Games[[#This Row],[PreGmRate]]+IF(Games[[#This Row],[HomeAway]]="H",HCA,0)+Games[[#This Row],[RestAdj]]))/400))</f>
        <v>0.37444186147459568</v>
      </c>
      <c r="R74" s="1">
        <v>68</v>
      </c>
      <c r="S74" s="1">
        <v>75</v>
      </c>
      <c r="T74" s="1">
        <v>0</v>
      </c>
      <c r="U74" s="1">
        <f>Games[[#This Row],[PointsFor]]-Games[[#This Row],[PointsAgainst]]</f>
        <v>-7</v>
      </c>
      <c r="V74" s="1">
        <f>IF(Games[[#This Row],[MOV]]&gt;0,1,IF(Games[[#This Row],[MOV]]=0,0.5,0))</f>
        <v>0</v>
      </c>
      <c r="W74" s="4">
        <f>((ABS(Games[[#This Row],[MOV]])+5)^0.6)/(12+0.01*(ABS(Games[[#This Row],[PreGmRate]]-Games[[#This Row],[OppPreGmRate]])))*IF(Games[[#This Row],[OT]]=1,0.9,1)</f>
        <v>0.35899237567328185</v>
      </c>
      <c r="X74" s="7" cm="1">
        <f t="array" ref="X7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4" s="9">
        <f>MAX(kmin, kmax - 0.15 * MIN(Games[[#This Row],[GamesPlayed]], 82))</f>
        <v>75.25</v>
      </c>
      <c r="Z74" s="4">
        <f>Games[[#This Row],[K]]*Games[[#This Row],[POMult]]</f>
        <v>75.25</v>
      </c>
      <c r="AA74" s="4">
        <f>(Games[[#This Row],[Keff]]*Games[[#This Row],[MOVMult]])*(Games[[#This Row],[Result]]-Games[[#This Row],[ExpectedWin%]])</f>
        <v>-10.115238448522399</v>
      </c>
      <c r="AB74" s="4">
        <f>Games[[#This Row],[PreGmRate]]+Games[[#This Row],[RatingChange]]</f>
        <v>1460.1173932635061</v>
      </c>
      <c r="AC74" s="2">
        <f>IF(Games[[#This Row],[Type]]="R",IF(Games[[#This Row],[Result]]&gt;0.5,1,0),0)</f>
        <v>0</v>
      </c>
      <c r="AD74" s="2">
        <f>IF(Games[[#This Row],[Type]]="R",IF(Games[[#This Row],[Result]]&lt;0.5,1,0),0)</f>
        <v>1</v>
      </c>
      <c r="AE74" s="2">
        <f>IF(AND(Games[[#This Row],[Type]]="P",Games[[#This Row],[Round]]=1),IF(Games[[#This Row],[Result]]&gt;0.5,1,0),0)</f>
        <v>0</v>
      </c>
      <c r="AF74" s="2">
        <f>IF(AND(Games[[#This Row],[Type]]="P",Games[[#This Row],[Round]]=1),IF(Games[[#This Row],[Result]]&lt;0.5,1,0),0)</f>
        <v>0</v>
      </c>
      <c r="AG74" s="2">
        <f>IF(AND(Games[[#This Row],[Type]]="P",Games[[#This Row],[Round]]=2),IF(Games[[#This Row],[Result]]&gt;0.5,1,0),0)</f>
        <v>0</v>
      </c>
      <c r="AH74" s="2">
        <f>IF(AND(Games[[#This Row],[Type]]="P",Games[[#This Row],[Round]]=2),IF(Games[[#This Row],[Result]]&lt;0.5,1,0),0)</f>
        <v>0</v>
      </c>
      <c r="AI74" s="2">
        <f>IF(AND(Games[[#This Row],[Type]]="P",Games[[#This Row],[Round]]=3),IF(Games[[#This Row],[Result]]&gt;0.5,1,0),0)</f>
        <v>0</v>
      </c>
      <c r="AJ74" s="2">
        <f>IF(AND(Games[[#This Row],[Type]]="P",Games[[#This Row],[Round]]=3),IF(Games[[#This Row],[Result]]&lt;0.5,1,0),0)</f>
        <v>0</v>
      </c>
      <c r="AK74" s="2">
        <f>IF(AND(Games[[#This Row],[Type]]="P",Games[[#This Row],[Round]]=4),IF(Games[[#This Row],[Result]]&gt;0.5,1,0),0)</f>
        <v>0</v>
      </c>
      <c r="AL74" s="2">
        <f>IF(AND(Games[[#This Row],[Type]]="P",Games[[#This Row],[Round]]=4),IF(Games[[#This Row],[Result]]&lt;0.5,1,0),0)</f>
        <v>0</v>
      </c>
    </row>
    <row r="75" spans="1:38" x14ac:dyDescent="0.35">
      <c r="A75" s="10">
        <v>40333</v>
      </c>
      <c r="B75" s="2">
        <v>2010</v>
      </c>
      <c r="C75" s="2">
        <f>COUNTIFS(Games[Team],Games[[#This Row],[Team]],Games[Season],Games[[#This Row],[Season]],Games[Date],"&lt;=" &amp; Games[[#This Row],[Date]])</f>
        <v>6</v>
      </c>
      <c r="D75" s="2" t="s">
        <v>23</v>
      </c>
      <c r="E75" s="2" t="s">
        <v>29</v>
      </c>
      <c r="F75" s="1" t="s">
        <v>80</v>
      </c>
      <c r="G75" s="1" t="s">
        <v>64</v>
      </c>
      <c r="H75" s="1" t="s">
        <v>15</v>
      </c>
      <c r="I75" s="2" cm="1">
        <f t="array" ref="I75">IFERROR(
    Games[[#This Row],[Date]]
    - LOOKUP(
        2,
        1/((Games[Team]=Games[[#This Row],[Team]]) * (Games[Date] &lt; Games[[#This Row],[Date]])),
        Games[Date]
    )
    - 1,
Games[[#This Row],[Date]]-$A$2)</f>
        <v>4</v>
      </c>
      <c r="J75" s="2" cm="1">
        <f t="array" ref="J75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75" s="2">
        <f>Games[[#This Row],[DaysOff]]-Games[[#This Row],[OppDaysOff]]</f>
        <v>-2</v>
      </c>
      <c r="L75" s="2">
        <f>Games[[#This Row],[OppDaysOff]]-Games[[#This Row],[DaysOff]]</f>
        <v>2</v>
      </c>
      <c r="M75" s="1">
        <f>MAX(-16, MIN(16, Games[[#This Row],[RestDiff]]*8))</f>
        <v>-16</v>
      </c>
      <c r="N75" s="1">
        <f>MAX(-16, MIN(16, Games[[#This Row],[OppRestDiff]]*8))</f>
        <v>16</v>
      </c>
      <c r="O75" s="4" cm="1">
        <f t="array" ref="O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1507.3859449310937</v>
      </c>
      <c r="P75" s="4" cm="1">
        <f t="array" ref="P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1470.2326317120285</v>
      </c>
      <c r="Q75" s="4">
        <f>1/(1+10^(((Games[[#This Row],[OppPreGmRate]]+IF(Games[[#This Row],[HomeAway]]="A",HCA,0)+Games[[#This Row],[OppRestAdj]])-(Games[[#This Row],[PreGmRate]]+IF(Games[[#This Row],[HomeAway]]="H",HCA,0)+Games[[#This Row],[RestAdj]]))/400))</f>
        <v>0.62555813852540432</v>
      </c>
      <c r="R75" s="1">
        <v>75</v>
      </c>
      <c r="S75" s="1">
        <v>68</v>
      </c>
      <c r="T75" s="1">
        <v>0</v>
      </c>
      <c r="U75" s="1">
        <f>Games[[#This Row],[PointsFor]]-Games[[#This Row],[PointsAgainst]]</f>
        <v>7</v>
      </c>
      <c r="V75" s="1">
        <f>IF(Games[[#This Row],[MOV]]&gt;0,1,IF(Games[[#This Row],[MOV]]=0,0.5,0))</f>
        <v>1</v>
      </c>
      <c r="W75" s="4">
        <f>((ABS(Games[[#This Row],[MOV]])+5)^0.6)/(12+0.01*(ABS(Games[[#This Row],[PreGmRate]]-Games[[#This Row],[OppPreGmRate]])))*IF(Games[[#This Row],[OT]]=1,0.9,1)</f>
        <v>0.35899237567328185</v>
      </c>
      <c r="X75" s="7" cm="1">
        <f t="array" ref="X7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5" s="9">
        <f>MAX(kmin, kmax - 0.15 * MIN(Games[[#This Row],[GamesPlayed]], 82))</f>
        <v>75.099999999999994</v>
      </c>
      <c r="Z75" s="4">
        <f>Games[[#This Row],[K]]*Games[[#This Row],[POMult]]</f>
        <v>75.099999999999994</v>
      </c>
      <c r="AA75" s="4">
        <f>(Games[[#This Row],[Keff]]*Games[[#This Row],[MOVMult]])*(Games[[#This Row],[Result]]-Games[[#This Row],[ExpectedWin%]])</f>
        <v>10.095075182512055</v>
      </c>
      <c r="AB75" s="4">
        <f>Games[[#This Row],[PreGmRate]]+Games[[#This Row],[RatingChange]]</f>
        <v>1517.4810201136058</v>
      </c>
      <c r="AC75" s="2">
        <f>IF(Games[[#This Row],[Type]]="R",IF(Games[[#This Row],[Result]]&gt;0.5,1,0),0)</f>
        <v>1</v>
      </c>
      <c r="AD75" s="2">
        <f>IF(Games[[#This Row],[Type]]="R",IF(Games[[#This Row],[Result]]&lt;0.5,1,0),0)</f>
        <v>0</v>
      </c>
      <c r="AE75" s="2">
        <f>IF(AND(Games[[#This Row],[Type]]="P",Games[[#This Row],[Round]]=1),IF(Games[[#This Row],[Result]]&gt;0.5,1,0),0)</f>
        <v>0</v>
      </c>
      <c r="AF75" s="2">
        <f>IF(AND(Games[[#This Row],[Type]]="P",Games[[#This Row],[Round]]=1),IF(Games[[#This Row],[Result]]&lt;0.5,1,0),0)</f>
        <v>0</v>
      </c>
      <c r="AG75" s="2">
        <f>IF(AND(Games[[#This Row],[Type]]="P",Games[[#This Row],[Round]]=2),IF(Games[[#This Row],[Result]]&gt;0.5,1,0),0)</f>
        <v>0</v>
      </c>
      <c r="AH75" s="2">
        <f>IF(AND(Games[[#This Row],[Type]]="P",Games[[#This Row],[Round]]=2),IF(Games[[#This Row],[Result]]&lt;0.5,1,0),0)</f>
        <v>0</v>
      </c>
      <c r="AI75" s="2">
        <f>IF(AND(Games[[#This Row],[Type]]="P",Games[[#This Row],[Round]]=3),IF(Games[[#This Row],[Result]]&gt;0.5,1,0),0)</f>
        <v>0</v>
      </c>
      <c r="AJ75" s="2">
        <f>IF(AND(Games[[#This Row],[Type]]="P",Games[[#This Row],[Round]]=3),IF(Games[[#This Row],[Result]]&lt;0.5,1,0),0)</f>
        <v>0</v>
      </c>
      <c r="AK75" s="2">
        <f>IF(AND(Games[[#This Row],[Type]]="P",Games[[#This Row],[Round]]=4),IF(Games[[#This Row],[Result]]&gt;0.5,1,0),0)</f>
        <v>0</v>
      </c>
      <c r="AL75" s="2">
        <f>IF(AND(Games[[#This Row],[Type]]="P",Games[[#This Row],[Round]]=4),IF(Games[[#This Row],[Result]]&lt;0.5,1,0),0)</f>
        <v>0</v>
      </c>
    </row>
    <row r="76" spans="1:38" x14ac:dyDescent="0.35">
      <c r="A76" s="10">
        <v>40333</v>
      </c>
      <c r="B76" s="2">
        <v>2010</v>
      </c>
      <c r="C76" s="2">
        <f>COUNTIFS(Games[Team],Games[[#This Row],[Team]],Games[Season],Games[[#This Row],[Season]],Games[Date],"&lt;=" &amp; Games[[#This Row],[Date]])</f>
        <v>6</v>
      </c>
      <c r="D76" s="2" t="s">
        <v>23</v>
      </c>
      <c r="E76" s="2" t="s">
        <v>29</v>
      </c>
      <c r="F76" s="1" t="s">
        <v>67</v>
      </c>
      <c r="G76" s="1" t="s">
        <v>44</v>
      </c>
      <c r="H76" s="1" t="s">
        <v>16</v>
      </c>
      <c r="I76" s="2" cm="1">
        <f t="array" ref="I76">IFERROR(
    Games[[#This Row],[Date]]
    - LOOKUP(
        2,
        1/((Games[Team]=Games[[#This Row],[Team]]) * (Games[Date] &lt; Games[[#This Row],[Date]])),
        Games[Date]
    )
    - 1,
Games[[#This Row],[Date]]-$A$2)</f>
        <v>4</v>
      </c>
      <c r="J76" s="2" cm="1">
        <f t="array" ref="J7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76" s="2">
        <f>Games[[#This Row],[DaysOff]]-Games[[#This Row],[OppDaysOff]]</f>
        <v>2</v>
      </c>
      <c r="L76" s="2">
        <f>Games[[#This Row],[OppDaysOff]]-Games[[#This Row],[DaysOff]]</f>
        <v>-2</v>
      </c>
      <c r="M76" s="1">
        <f>MAX(-16, MIN(16, Games[[#This Row],[RestDiff]]*8))</f>
        <v>16</v>
      </c>
      <c r="N76" s="1">
        <f>MAX(-16, MIN(16, Games[[#This Row],[OppRestDiff]]*8))</f>
        <v>-16</v>
      </c>
      <c r="O76" s="4" cm="1">
        <f t="array" ref="O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1488.7671753092159</v>
      </c>
      <c r="P76" s="4" cm="1">
        <f t="array" ref="P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1548.6390781293815</v>
      </c>
      <c r="Q76" s="4">
        <f>1/(1+10^(((Games[[#This Row],[OppPreGmRate]]+IF(Games[[#This Row],[HomeAway]]="A",HCA,0)+Games[[#This Row],[OppRestAdj]])-(Games[[#This Row],[PreGmRate]]+IF(Games[[#This Row],[HomeAway]]="H",HCA,0)+Games[[#This Row],[RestAdj]]))/400))</f>
        <v>0.34434595609717172</v>
      </c>
      <c r="R76" s="1">
        <v>89</v>
      </c>
      <c r="S76" s="1">
        <v>90</v>
      </c>
      <c r="T76" s="1">
        <v>0</v>
      </c>
      <c r="U76" s="1">
        <f>Games[[#This Row],[PointsFor]]-Games[[#This Row],[PointsAgainst]]</f>
        <v>-1</v>
      </c>
      <c r="V76" s="1">
        <f>IF(Games[[#This Row],[MOV]]&gt;0,1,IF(Games[[#This Row],[MOV]]=0,0.5,0))</f>
        <v>0</v>
      </c>
      <c r="W76" s="4">
        <f>((ABS(Games[[#This Row],[MOV]])+5)^0.6)/(12+0.01*(ABS(Games[[#This Row],[PreGmRate]]-Games[[#This Row],[OppPreGmRate]])))*IF(Games[[#This Row],[OT]]=1,0.9,1)</f>
        <v>0.23257571226284998</v>
      </c>
      <c r="X76" s="7" cm="1">
        <f t="array" ref="X7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6" s="9">
        <f>MAX(kmin, kmax - 0.15 * MIN(Games[[#This Row],[GamesPlayed]], 82))</f>
        <v>75.099999999999994</v>
      </c>
      <c r="Z76" s="4">
        <f>Games[[#This Row],[K]]*Games[[#This Row],[POMult]]</f>
        <v>75.099999999999994</v>
      </c>
      <c r="AA76" s="4">
        <f>(Games[[#This Row],[Keff]]*Games[[#This Row],[MOVMult]])*(Games[[#This Row],[Result]]-Games[[#This Row],[ExpectedWin%]])</f>
        <v>-6.014496600910296</v>
      </c>
      <c r="AB76" s="4">
        <f>Games[[#This Row],[PreGmRate]]+Games[[#This Row],[RatingChange]]</f>
        <v>1482.7526787083057</v>
      </c>
      <c r="AC76" s="2">
        <f>IF(Games[[#This Row],[Type]]="R",IF(Games[[#This Row],[Result]]&gt;0.5,1,0),0)</f>
        <v>0</v>
      </c>
      <c r="AD76" s="2">
        <f>IF(Games[[#This Row],[Type]]="R",IF(Games[[#This Row],[Result]]&lt;0.5,1,0),0)</f>
        <v>1</v>
      </c>
      <c r="AE76" s="2">
        <f>IF(AND(Games[[#This Row],[Type]]="P",Games[[#This Row],[Round]]=1),IF(Games[[#This Row],[Result]]&gt;0.5,1,0),0)</f>
        <v>0</v>
      </c>
      <c r="AF76" s="2">
        <f>IF(AND(Games[[#This Row],[Type]]="P",Games[[#This Row],[Round]]=1),IF(Games[[#This Row],[Result]]&lt;0.5,1,0),0)</f>
        <v>0</v>
      </c>
      <c r="AG76" s="2">
        <f>IF(AND(Games[[#This Row],[Type]]="P",Games[[#This Row],[Round]]=2),IF(Games[[#This Row],[Result]]&gt;0.5,1,0),0)</f>
        <v>0</v>
      </c>
      <c r="AH76" s="2">
        <f>IF(AND(Games[[#This Row],[Type]]="P",Games[[#This Row],[Round]]=2),IF(Games[[#This Row],[Result]]&lt;0.5,1,0),0)</f>
        <v>0</v>
      </c>
      <c r="AI76" s="2">
        <f>IF(AND(Games[[#This Row],[Type]]="P",Games[[#This Row],[Round]]=3),IF(Games[[#This Row],[Result]]&gt;0.5,1,0),0)</f>
        <v>0</v>
      </c>
      <c r="AJ76" s="2">
        <f>IF(AND(Games[[#This Row],[Type]]="P",Games[[#This Row],[Round]]=3),IF(Games[[#This Row],[Result]]&lt;0.5,1,0),0)</f>
        <v>0</v>
      </c>
      <c r="AK76" s="2">
        <f>IF(AND(Games[[#This Row],[Type]]="P",Games[[#This Row],[Round]]=4),IF(Games[[#This Row],[Result]]&gt;0.5,1,0),0)</f>
        <v>0</v>
      </c>
      <c r="AL76" s="2">
        <f>IF(AND(Games[[#This Row],[Type]]="P",Games[[#This Row],[Round]]=4),IF(Games[[#This Row],[Result]]&lt;0.5,1,0),0)</f>
        <v>0</v>
      </c>
    </row>
    <row r="77" spans="1:38" x14ac:dyDescent="0.35">
      <c r="A77" s="10">
        <v>40333</v>
      </c>
      <c r="B77" s="2">
        <v>2010</v>
      </c>
      <c r="C77" s="2">
        <f>COUNTIFS(Games[Team],Games[[#This Row],[Team]],Games[Season],Games[[#This Row],[Season]],Games[Date],"&lt;=" &amp; Games[[#This Row],[Date]])</f>
        <v>6</v>
      </c>
      <c r="D77" s="2" t="s">
        <v>23</v>
      </c>
      <c r="E77" s="2" t="s">
        <v>29</v>
      </c>
      <c r="F77" s="1" t="s">
        <v>44</v>
      </c>
      <c r="G77" s="1" t="s">
        <v>67</v>
      </c>
      <c r="H77" s="1" t="s">
        <v>15</v>
      </c>
      <c r="I77" s="2" cm="1">
        <f t="array" ref="I77">IFERROR(
    Games[[#This Row],[Date]]
    - LOOKUP(
        2,
        1/((Games[Team]=Games[[#This Row],[Team]]) * (Games[Date] &lt; Games[[#This Row],[Date]])),
        Games[Date]
    )
    - 1,
Games[[#This Row],[Date]]-$A$2)</f>
        <v>2</v>
      </c>
      <c r="J77" s="2" cm="1">
        <f t="array" ref="J77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77" s="2">
        <f>Games[[#This Row],[DaysOff]]-Games[[#This Row],[OppDaysOff]]</f>
        <v>-2</v>
      </c>
      <c r="L77" s="2">
        <f>Games[[#This Row],[OppDaysOff]]-Games[[#This Row],[DaysOff]]</f>
        <v>2</v>
      </c>
      <c r="M77" s="1">
        <f>MAX(-16, MIN(16, Games[[#This Row],[RestDiff]]*8))</f>
        <v>-16</v>
      </c>
      <c r="N77" s="1">
        <f>MAX(-16, MIN(16, Games[[#This Row],[OppRestDiff]]*8))</f>
        <v>16</v>
      </c>
      <c r="O77" s="4" cm="1">
        <f t="array" ref="O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1548.6390781293815</v>
      </c>
      <c r="P77" s="4" cm="1">
        <f t="array" ref="P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1488.7671753092159</v>
      </c>
      <c r="Q77" s="4">
        <f>1/(1+10^(((Games[[#This Row],[OppPreGmRate]]+IF(Games[[#This Row],[HomeAway]]="A",HCA,0)+Games[[#This Row],[OppRestAdj]])-(Games[[#This Row],[PreGmRate]]+IF(Games[[#This Row],[HomeAway]]="H",HCA,0)+Games[[#This Row],[RestAdj]]))/400))</f>
        <v>0.65565404390282822</v>
      </c>
      <c r="R77" s="1">
        <v>90</v>
      </c>
      <c r="S77" s="1">
        <v>89</v>
      </c>
      <c r="T77" s="1">
        <v>0</v>
      </c>
      <c r="U77" s="1">
        <f>Games[[#This Row],[PointsFor]]-Games[[#This Row],[PointsAgainst]]</f>
        <v>1</v>
      </c>
      <c r="V77" s="1">
        <f>IF(Games[[#This Row],[MOV]]&gt;0,1,IF(Games[[#This Row],[MOV]]=0,0.5,0))</f>
        <v>1</v>
      </c>
      <c r="W77" s="4">
        <f>((ABS(Games[[#This Row],[MOV]])+5)^0.6)/(12+0.01*(ABS(Games[[#This Row],[PreGmRate]]-Games[[#This Row],[OppPreGmRate]])))*IF(Games[[#This Row],[OT]]=1,0.9,1)</f>
        <v>0.23257571226284998</v>
      </c>
      <c r="X77" s="7" cm="1">
        <f t="array" ref="X7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7" s="9">
        <f>MAX(kmin, kmax - 0.15 * MIN(Games[[#This Row],[GamesPlayed]], 82))</f>
        <v>75.099999999999994</v>
      </c>
      <c r="Z77" s="4">
        <f>Games[[#This Row],[K]]*Games[[#This Row],[POMult]]</f>
        <v>75.099999999999994</v>
      </c>
      <c r="AA77" s="4">
        <f>(Games[[#This Row],[Keff]]*Games[[#This Row],[MOVMult]])*(Games[[#This Row],[Result]]-Games[[#This Row],[ExpectedWin%]])</f>
        <v>6.0144966009102969</v>
      </c>
      <c r="AB77" s="4">
        <f>Games[[#This Row],[PreGmRate]]+Games[[#This Row],[RatingChange]]</f>
        <v>1554.6535747302917</v>
      </c>
      <c r="AC77" s="2">
        <f>IF(Games[[#This Row],[Type]]="R",IF(Games[[#This Row],[Result]]&gt;0.5,1,0),0)</f>
        <v>1</v>
      </c>
      <c r="AD77" s="2">
        <f>IF(Games[[#This Row],[Type]]="R",IF(Games[[#This Row],[Result]]&lt;0.5,1,0),0)</f>
        <v>0</v>
      </c>
      <c r="AE77" s="2">
        <f>IF(AND(Games[[#This Row],[Type]]="P",Games[[#This Row],[Round]]=1),IF(Games[[#This Row],[Result]]&gt;0.5,1,0),0)</f>
        <v>0</v>
      </c>
      <c r="AF77" s="2">
        <f>IF(AND(Games[[#This Row],[Type]]="P",Games[[#This Row],[Round]]=1),IF(Games[[#This Row],[Result]]&lt;0.5,1,0),0)</f>
        <v>0</v>
      </c>
      <c r="AG77" s="2">
        <f>IF(AND(Games[[#This Row],[Type]]="P",Games[[#This Row],[Round]]=2),IF(Games[[#This Row],[Result]]&gt;0.5,1,0),0)</f>
        <v>0</v>
      </c>
      <c r="AH77" s="2">
        <f>IF(AND(Games[[#This Row],[Type]]="P",Games[[#This Row],[Round]]=2),IF(Games[[#This Row],[Result]]&lt;0.5,1,0),0)</f>
        <v>0</v>
      </c>
      <c r="AI77" s="2">
        <f>IF(AND(Games[[#This Row],[Type]]="P",Games[[#This Row],[Round]]=3),IF(Games[[#This Row],[Result]]&gt;0.5,1,0),0)</f>
        <v>0</v>
      </c>
      <c r="AJ77" s="2">
        <f>IF(AND(Games[[#This Row],[Type]]="P",Games[[#This Row],[Round]]=3),IF(Games[[#This Row],[Result]]&lt;0.5,1,0),0)</f>
        <v>0</v>
      </c>
      <c r="AK77" s="2">
        <f>IF(AND(Games[[#This Row],[Type]]="P",Games[[#This Row],[Round]]=4),IF(Games[[#This Row],[Result]]&gt;0.5,1,0),0)</f>
        <v>0</v>
      </c>
      <c r="AL77" s="2">
        <f>IF(AND(Games[[#This Row],[Type]]="P",Games[[#This Row],[Round]]=4),IF(Games[[#This Row],[Result]]&lt;0.5,1,0),0)</f>
        <v>0</v>
      </c>
    </row>
    <row r="78" spans="1:38" x14ac:dyDescent="0.35">
      <c r="A78" s="10">
        <v>40333</v>
      </c>
      <c r="B78" s="2">
        <v>2010</v>
      </c>
      <c r="C78" s="2">
        <f>COUNTIFS(Games[Team],Games[[#This Row],[Team]],Games[Season],Games[[#This Row],[Season]],Games[Date],"&lt;=" &amp; Games[[#This Row],[Date]])</f>
        <v>8</v>
      </c>
      <c r="D78" s="2" t="s">
        <v>23</v>
      </c>
      <c r="E78" s="2" t="s">
        <v>29</v>
      </c>
      <c r="F78" s="1" t="s">
        <v>71</v>
      </c>
      <c r="G78" s="1" t="s">
        <v>85</v>
      </c>
      <c r="H78" s="1" t="s">
        <v>16</v>
      </c>
      <c r="I78" s="2" cm="1">
        <f t="array" ref="I78">IFERROR(
    Games[[#This Row],[Date]]
    - LOOKUP(
        2,
        1/((Games[Team]=Games[[#This Row],[Team]]) * (Games[Date] &lt; Games[[#This Row],[Date]])),
        Games[Date]
    )
    - 1,
Games[[#This Row],[Date]]-$A$2)</f>
        <v>2</v>
      </c>
      <c r="J78" s="2" cm="1">
        <f t="array" ref="J78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78" s="2">
        <f>Games[[#This Row],[DaysOff]]-Games[[#This Row],[OppDaysOff]]</f>
        <v>-3</v>
      </c>
      <c r="L78" s="2">
        <f>Games[[#This Row],[OppDaysOff]]-Games[[#This Row],[DaysOff]]</f>
        <v>3</v>
      </c>
      <c r="M78" s="1">
        <f>MAX(-16, MIN(16, Games[[#This Row],[RestDiff]]*8))</f>
        <v>-16</v>
      </c>
      <c r="N78" s="1">
        <f>MAX(-16, MIN(16, Games[[#This Row],[OppRestDiff]]*8))</f>
        <v>16</v>
      </c>
      <c r="O78" s="4" cm="1">
        <f t="array" ref="O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1414.0875966028016</v>
      </c>
      <c r="P78" s="4" cm="1">
        <f t="array" ref="P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1515.4057940912271</v>
      </c>
      <c r="Q78" s="4">
        <f>1/(1+10^(((Games[[#This Row],[OppPreGmRate]]+IF(Games[[#This Row],[HomeAway]]="A",HCA,0)+Games[[#This Row],[OppRestAdj]])-(Games[[#This Row],[PreGmRate]]+IF(Games[[#This Row],[HomeAway]]="H",HCA,0)+Games[[#This Row],[RestAdj]]))/400))</f>
        <v>0.22252983203964169</v>
      </c>
      <c r="R78" s="1">
        <v>79</v>
      </c>
      <c r="S78" s="1">
        <v>92</v>
      </c>
      <c r="T78" s="1">
        <v>0</v>
      </c>
      <c r="U78" s="1">
        <f>Games[[#This Row],[PointsFor]]-Games[[#This Row],[PointsAgainst]]</f>
        <v>-13</v>
      </c>
      <c r="V78" s="1">
        <f>IF(Games[[#This Row],[MOV]]&gt;0,1,IF(Games[[#This Row],[MOV]]=0,0.5,0))</f>
        <v>0</v>
      </c>
      <c r="W78" s="4">
        <f>((ABS(Games[[#This Row],[MOV]])+5)^0.6)/(12+0.01*(ABS(Games[[#This Row],[PreGmRate]]-Games[[#This Row],[OppPreGmRate]])))*IF(Games[[#This Row],[OT]]=1,0.9,1)</f>
        <v>0.43529131297034629</v>
      </c>
      <c r="X78" s="7" cm="1">
        <f t="array" ref="X7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8" s="9">
        <f>MAX(kmin, kmax - 0.15 * MIN(Games[[#This Row],[GamesPlayed]], 82))</f>
        <v>74.8</v>
      </c>
      <c r="Z78" s="4">
        <f>Games[[#This Row],[K]]*Games[[#This Row],[POMult]]</f>
        <v>74.8</v>
      </c>
      <c r="AA78" s="4">
        <f>(Games[[#This Row],[Keff]]*Games[[#This Row],[MOVMult]])*(Games[[#This Row],[Result]]-Games[[#This Row],[ExpectedWin%]])</f>
        <v>-7.2455246467177483</v>
      </c>
      <c r="AB78" s="4">
        <f>Games[[#This Row],[PreGmRate]]+Games[[#This Row],[RatingChange]]</f>
        <v>1406.8420719560838</v>
      </c>
      <c r="AC78" s="2">
        <f>IF(Games[[#This Row],[Type]]="R",IF(Games[[#This Row],[Result]]&gt;0.5,1,0),0)</f>
        <v>0</v>
      </c>
      <c r="AD78" s="2">
        <f>IF(Games[[#This Row],[Type]]="R",IF(Games[[#This Row],[Result]]&lt;0.5,1,0),0)</f>
        <v>1</v>
      </c>
      <c r="AE78" s="2">
        <f>IF(AND(Games[[#This Row],[Type]]="P",Games[[#This Row],[Round]]=1),IF(Games[[#This Row],[Result]]&gt;0.5,1,0),0)</f>
        <v>0</v>
      </c>
      <c r="AF78" s="2">
        <f>IF(AND(Games[[#This Row],[Type]]="P",Games[[#This Row],[Round]]=1),IF(Games[[#This Row],[Result]]&lt;0.5,1,0),0)</f>
        <v>0</v>
      </c>
      <c r="AG78" s="2">
        <f>IF(AND(Games[[#This Row],[Type]]="P",Games[[#This Row],[Round]]=2),IF(Games[[#This Row],[Result]]&gt;0.5,1,0),0)</f>
        <v>0</v>
      </c>
      <c r="AH78" s="2">
        <f>IF(AND(Games[[#This Row],[Type]]="P",Games[[#This Row],[Round]]=2),IF(Games[[#This Row],[Result]]&lt;0.5,1,0),0)</f>
        <v>0</v>
      </c>
      <c r="AI78" s="2">
        <f>IF(AND(Games[[#This Row],[Type]]="P",Games[[#This Row],[Round]]=3),IF(Games[[#This Row],[Result]]&gt;0.5,1,0),0)</f>
        <v>0</v>
      </c>
      <c r="AJ78" s="2">
        <f>IF(AND(Games[[#This Row],[Type]]="P",Games[[#This Row],[Round]]=3),IF(Games[[#This Row],[Result]]&lt;0.5,1,0),0)</f>
        <v>0</v>
      </c>
      <c r="AK78" s="2">
        <f>IF(AND(Games[[#This Row],[Type]]="P",Games[[#This Row],[Round]]=4),IF(Games[[#This Row],[Result]]&gt;0.5,1,0),0)</f>
        <v>0</v>
      </c>
      <c r="AL78" s="2">
        <f>IF(AND(Games[[#This Row],[Type]]="P",Games[[#This Row],[Round]]=4),IF(Games[[#This Row],[Result]]&lt;0.5,1,0),0)</f>
        <v>0</v>
      </c>
    </row>
    <row r="79" spans="1:38" x14ac:dyDescent="0.35">
      <c r="A79" s="10">
        <v>40333</v>
      </c>
      <c r="B79" s="2">
        <v>2010</v>
      </c>
      <c r="C79" s="2">
        <f>COUNTIFS(Games[Team],Games[[#This Row],[Team]],Games[Season],Games[[#This Row],[Season]],Games[Date],"&lt;=" &amp; Games[[#This Row],[Date]])</f>
        <v>6</v>
      </c>
      <c r="D79" s="2" t="s">
        <v>23</v>
      </c>
      <c r="E79" s="2" t="s">
        <v>29</v>
      </c>
      <c r="F79" s="1" t="s">
        <v>85</v>
      </c>
      <c r="G79" s="1" t="s">
        <v>71</v>
      </c>
      <c r="H79" s="1" t="s">
        <v>15</v>
      </c>
      <c r="I79" s="2" cm="1">
        <f t="array" ref="I79">IFERROR(
    Games[[#This Row],[Date]]
    - LOOKUP(
        2,
        1/((Games[Team]=Games[[#This Row],[Team]]) * (Games[Date] &lt; Games[[#This Row],[Date]])),
        Games[Date]
    )
    - 1,
Games[[#This Row],[Date]]-$A$2)</f>
        <v>5</v>
      </c>
      <c r="J79" s="2" cm="1">
        <f t="array" ref="J7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79" s="2">
        <f>Games[[#This Row],[DaysOff]]-Games[[#This Row],[OppDaysOff]]</f>
        <v>3</v>
      </c>
      <c r="L79" s="2">
        <f>Games[[#This Row],[OppDaysOff]]-Games[[#This Row],[DaysOff]]</f>
        <v>-3</v>
      </c>
      <c r="M79" s="1">
        <f>MAX(-16, MIN(16, Games[[#This Row],[RestDiff]]*8))</f>
        <v>16</v>
      </c>
      <c r="N79" s="1">
        <f>MAX(-16, MIN(16, Games[[#This Row],[OppRestDiff]]*8))</f>
        <v>-16</v>
      </c>
      <c r="O79" s="4" cm="1">
        <f t="array" ref="O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1515.4057940912271</v>
      </c>
      <c r="P79" s="4" cm="1">
        <f t="array" ref="P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1414.0875966028016</v>
      </c>
      <c r="Q79" s="4">
        <f>1/(1+10^(((Games[[#This Row],[OppPreGmRate]]+IF(Games[[#This Row],[HomeAway]]="A",HCA,0)+Games[[#This Row],[OppRestAdj]])-(Games[[#This Row],[PreGmRate]]+IF(Games[[#This Row],[HomeAway]]="H",HCA,0)+Games[[#This Row],[RestAdj]]))/400))</f>
        <v>0.77747016796035828</v>
      </c>
      <c r="R79" s="1">
        <v>92</v>
      </c>
      <c r="S79" s="1">
        <v>79</v>
      </c>
      <c r="T79" s="1">
        <v>0</v>
      </c>
      <c r="U79" s="1">
        <f>Games[[#This Row],[PointsFor]]-Games[[#This Row],[PointsAgainst]]</f>
        <v>13</v>
      </c>
      <c r="V79" s="1">
        <f>IF(Games[[#This Row],[MOV]]&gt;0,1,IF(Games[[#This Row],[MOV]]=0,0.5,0))</f>
        <v>1</v>
      </c>
      <c r="W79" s="4">
        <f>((ABS(Games[[#This Row],[MOV]])+5)^0.6)/(12+0.01*(ABS(Games[[#This Row],[PreGmRate]]-Games[[#This Row],[OppPreGmRate]])))*IF(Games[[#This Row],[OT]]=1,0.9,1)</f>
        <v>0.43529131297034629</v>
      </c>
      <c r="X79" s="7" cm="1">
        <f t="array" ref="X7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9" s="9">
        <f>MAX(kmin, kmax - 0.15 * MIN(Games[[#This Row],[GamesPlayed]], 82))</f>
        <v>75.099999999999994</v>
      </c>
      <c r="Z79" s="4">
        <f>Games[[#This Row],[K]]*Games[[#This Row],[POMult]]</f>
        <v>75.099999999999994</v>
      </c>
      <c r="AA79" s="4">
        <f>(Games[[#This Row],[Keff]]*Games[[#This Row],[MOVMult]])*(Games[[#This Row],[Result]]-Games[[#This Row],[ExpectedWin%]])</f>
        <v>7.274584237546831</v>
      </c>
      <c r="AB79" s="4">
        <f>Games[[#This Row],[PreGmRate]]+Games[[#This Row],[RatingChange]]</f>
        <v>1522.6803783287739</v>
      </c>
      <c r="AC79" s="2">
        <f>IF(Games[[#This Row],[Type]]="R",IF(Games[[#This Row],[Result]]&gt;0.5,1,0),0)</f>
        <v>1</v>
      </c>
      <c r="AD79" s="2">
        <f>IF(Games[[#This Row],[Type]]="R",IF(Games[[#This Row],[Result]]&lt;0.5,1,0),0)</f>
        <v>0</v>
      </c>
      <c r="AE79" s="2">
        <f>IF(AND(Games[[#This Row],[Type]]="P",Games[[#This Row],[Round]]=1),IF(Games[[#This Row],[Result]]&gt;0.5,1,0),0)</f>
        <v>0</v>
      </c>
      <c r="AF79" s="2">
        <f>IF(AND(Games[[#This Row],[Type]]="P",Games[[#This Row],[Round]]=1),IF(Games[[#This Row],[Result]]&lt;0.5,1,0),0)</f>
        <v>0</v>
      </c>
      <c r="AG79" s="2">
        <f>IF(AND(Games[[#This Row],[Type]]="P",Games[[#This Row],[Round]]=2),IF(Games[[#This Row],[Result]]&gt;0.5,1,0),0)</f>
        <v>0</v>
      </c>
      <c r="AH79" s="2">
        <f>IF(AND(Games[[#This Row],[Type]]="P",Games[[#This Row],[Round]]=2),IF(Games[[#This Row],[Result]]&lt;0.5,1,0),0)</f>
        <v>0</v>
      </c>
      <c r="AI79" s="2">
        <f>IF(AND(Games[[#This Row],[Type]]="P",Games[[#This Row],[Round]]=3),IF(Games[[#This Row],[Result]]&gt;0.5,1,0),0)</f>
        <v>0</v>
      </c>
      <c r="AJ79" s="2">
        <f>IF(AND(Games[[#This Row],[Type]]="P",Games[[#This Row],[Round]]=3),IF(Games[[#This Row],[Result]]&lt;0.5,1,0),0)</f>
        <v>0</v>
      </c>
      <c r="AK79" s="2">
        <f>IF(AND(Games[[#This Row],[Type]]="P",Games[[#This Row],[Round]]=4),IF(Games[[#This Row],[Result]]&gt;0.5,1,0),0)</f>
        <v>0</v>
      </c>
      <c r="AL79" s="2">
        <f>IF(AND(Games[[#This Row],[Type]]="P",Games[[#This Row],[Round]]=4),IF(Games[[#This Row],[Result]]&lt;0.5,1,0),0)</f>
        <v>0</v>
      </c>
    </row>
    <row r="80" spans="1:38" x14ac:dyDescent="0.35">
      <c r="A80" s="10">
        <v>40334</v>
      </c>
      <c r="B80" s="2">
        <v>2010</v>
      </c>
      <c r="C80" s="2">
        <f>COUNTIFS(Games[Team],Games[[#This Row],[Team]],Games[Season],Games[[#This Row],[Season]],Games[Date],"&lt;=" &amp; Games[[#This Row],[Date]])</f>
        <v>7</v>
      </c>
      <c r="D80" s="2" t="s">
        <v>23</v>
      </c>
      <c r="E80" s="2" t="s">
        <v>29</v>
      </c>
      <c r="F80" s="1" t="s">
        <v>85</v>
      </c>
      <c r="G80" s="1" t="s">
        <v>81</v>
      </c>
      <c r="H80" s="1" t="s">
        <v>16</v>
      </c>
      <c r="I80" s="2" cm="1">
        <f t="array" ref="I80">IFERROR(
    Games[[#This Row],[Date]]
    - LOOKUP(
        2,
        1/((Games[Team]=Games[[#This Row],[Team]]) * (Games[Date] &lt; Games[[#This Row],[Date]])),
        Games[Date]
    )
    - 1,
Games[[#This Row],[Date]]-$A$2)</f>
        <v>0</v>
      </c>
      <c r="J80" s="2" cm="1">
        <f t="array" ref="J80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80" s="2">
        <f>Games[[#This Row],[DaysOff]]-Games[[#This Row],[OppDaysOff]]</f>
        <v>0</v>
      </c>
      <c r="L80" s="2">
        <f>Games[[#This Row],[OppDaysOff]]-Games[[#This Row],[DaysOff]]</f>
        <v>0</v>
      </c>
      <c r="M80" s="1">
        <f>MAX(-16, MIN(16, Games[[#This Row],[RestDiff]]*8))</f>
        <v>0</v>
      </c>
      <c r="N80" s="1">
        <f>MAX(-16, MIN(16, Games[[#This Row],[OppRestDiff]]*8))</f>
        <v>0</v>
      </c>
      <c r="O80" s="4" cm="1">
        <f t="array" ref="O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1522.6803783287739</v>
      </c>
      <c r="P80" s="4" cm="1">
        <f t="array" ref="P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1488.4338532726238</v>
      </c>
      <c r="Q80" s="4">
        <f>1/(1+10^(((Games[[#This Row],[OppPreGmRate]]+IF(Games[[#This Row],[HomeAway]]="A",HCA,0)+Games[[#This Row],[OppRestAdj]])-(Games[[#This Row],[PreGmRate]]+IF(Games[[#This Row],[HomeAway]]="H",HCA,0)+Games[[#This Row],[RestAdj]]))/400))</f>
        <v>0.42888444848190926</v>
      </c>
      <c r="R80" s="1">
        <v>70</v>
      </c>
      <c r="S80" s="1">
        <v>95</v>
      </c>
      <c r="T80" s="1">
        <v>0</v>
      </c>
      <c r="U80" s="1">
        <f>Games[[#This Row],[PointsFor]]-Games[[#This Row],[PointsAgainst]]</f>
        <v>-25</v>
      </c>
      <c r="V80" s="1">
        <f>IF(Games[[#This Row],[MOV]]&gt;0,1,IF(Games[[#This Row],[MOV]]=0,0.5,0))</f>
        <v>0</v>
      </c>
      <c r="W80" s="4">
        <f>((ABS(Games[[#This Row],[MOV]])+5)^0.6)/(12+0.01*(ABS(Games[[#This Row],[PreGmRate]]-Games[[#This Row],[OppPreGmRate]])))*IF(Games[[#This Row],[OT]]=1,0.9,1)</f>
        <v>0.62354936266690764</v>
      </c>
      <c r="X80" s="7" cm="1">
        <f t="array" ref="X8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0" s="9">
        <f>MAX(kmin, kmax - 0.15 * MIN(Games[[#This Row],[GamesPlayed]], 82))</f>
        <v>74.95</v>
      </c>
      <c r="Z80" s="4">
        <f>Games[[#This Row],[K]]*Games[[#This Row],[POMult]]</f>
        <v>74.95</v>
      </c>
      <c r="AA80" s="4">
        <f>(Games[[#This Row],[Keff]]*Games[[#This Row],[MOVMult]])*(Games[[#This Row],[Result]]-Games[[#This Row],[ExpectedWin%]])</f>
        <v>-20.04392530692277</v>
      </c>
      <c r="AB80" s="4">
        <f>Games[[#This Row],[PreGmRate]]+Games[[#This Row],[RatingChange]]</f>
        <v>1502.6364530218511</v>
      </c>
      <c r="AC80" s="2">
        <f>IF(Games[[#This Row],[Type]]="R",IF(Games[[#This Row],[Result]]&gt;0.5,1,0),0)</f>
        <v>0</v>
      </c>
      <c r="AD80" s="2">
        <f>IF(Games[[#This Row],[Type]]="R",IF(Games[[#This Row],[Result]]&lt;0.5,1,0),0)</f>
        <v>1</v>
      </c>
      <c r="AE80" s="2">
        <f>IF(AND(Games[[#This Row],[Type]]="P",Games[[#This Row],[Round]]=1),IF(Games[[#This Row],[Result]]&gt;0.5,1,0),0)</f>
        <v>0</v>
      </c>
      <c r="AF80" s="2">
        <f>IF(AND(Games[[#This Row],[Type]]="P",Games[[#This Row],[Round]]=1),IF(Games[[#This Row],[Result]]&lt;0.5,1,0),0)</f>
        <v>0</v>
      </c>
      <c r="AG80" s="2">
        <f>IF(AND(Games[[#This Row],[Type]]="P",Games[[#This Row],[Round]]=2),IF(Games[[#This Row],[Result]]&gt;0.5,1,0),0)</f>
        <v>0</v>
      </c>
      <c r="AH80" s="2">
        <f>IF(AND(Games[[#This Row],[Type]]="P",Games[[#This Row],[Round]]=2),IF(Games[[#This Row],[Result]]&lt;0.5,1,0),0)</f>
        <v>0</v>
      </c>
      <c r="AI80" s="2">
        <f>IF(AND(Games[[#This Row],[Type]]="P",Games[[#This Row],[Round]]=3),IF(Games[[#This Row],[Result]]&gt;0.5,1,0),0)</f>
        <v>0</v>
      </c>
      <c r="AJ80" s="2">
        <f>IF(AND(Games[[#This Row],[Type]]="P",Games[[#This Row],[Round]]=3),IF(Games[[#This Row],[Result]]&lt;0.5,1,0),0)</f>
        <v>0</v>
      </c>
      <c r="AK80" s="2">
        <f>IF(AND(Games[[#This Row],[Type]]="P",Games[[#This Row],[Round]]=4),IF(Games[[#This Row],[Result]]&gt;0.5,1,0),0)</f>
        <v>0</v>
      </c>
      <c r="AL80" s="2">
        <f>IF(AND(Games[[#This Row],[Type]]="P",Games[[#This Row],[Round]]=4),IF(Games[[#This Row],[Result]]&lt;0.5,1,0),0)</f>
        <v>0</v>
      </c>
    </row>
    <row r="81" spans="1:38" x14ac:dyDescent="0.35">
      <c r="A81" s="10">
        <v>40334</v>
      </c>
      <c r="B81" s="2">
        <v>2010</v>
      </c>
      <c r="C81" s="2">
        <f>COUNTIFS(Games[Team],Games[[#This Row],[Team]],Games[Season],Games[[#This Row],[Season]],Games[Date],"&lt;=" &amp; Games[[#This Row],[Date]])</f>
        <v>8</v>
      </c>
      <c r="D81" s="2" t="s">
        <v>23</v>
      </c>
      <c r="E81" s="2" t="s">
        <v>29</v>
      </c>
      <c r="F81" s="1" t="s">
        <v>81</v>
      </c>
      <c r="G81" s="1" t="s">
        <v>85</v>
      </c>
      <c r="H81" s="1" t="s">
        <v>15</v>
      </c>
      <c r="I81" s="2" cm="1">
        <f t="array" ref="I81">IFERROR(
    Games[[#This Row],[Date]]
    - LOOKUP(
        2,
        1/((Games[Team]=Games[[#This Row],[Team]]) * (Games[Date] &lt; Games[[#This Row],[Date]])),
        Games[Date]
    )
    - 1,
Games[[#This Row],[Date]]-$A$2)</f>
        <v>0</v>
      </c>
      <c r="J81" s="2" cm="1">
        <f t="array" ref="J8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81" s="2">
        <f>Games[[#This Row],[DaysOff]]-Games[[#This Row],[OppDaysOff]]</f>
        <v>0</v>
      </c>
      <c r="L81" s="2">
        <f>Games[[#This Row],[OppDaysOff]]-Games[[#This Row],[DaysOff]]</f>
        <v>0</v>
      </c>
      <c r="M81" s="1">
        <f>MAX(-16, MIN(16, Games[[#This Row],[RestDiff]]*8))</f>
        <v>0</v>
      </c>
      <c r="N81" s="1">
        <f>MAX(-16, MIN(16, Games[[#This Row],[OppRestDiff]]*8))</f>
        <v>0</v>
      </c>
      <c r="O81" s="4" cm="1">
        <f t="array" ref="O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1488.4338532726238</v>
      </c>
      <c r="P81" s="4" cm="1">
        <f t="array" ref="P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1522.6803783287739</v>
      </c>
      <c r="Q81" s="4">
        <f>1/(1+10^(((Games[[#This Row],[OppPreGmRate]]+IF(Games[[#This Row],[HomeAway]]="A",HCA,0)+Games[[#This Row],[OppRestAdj]])-(Games[[#This Row],[PreGmRate]]+IF(Games[[#This Row],[HomeAway]]="H",HCA,0)+Games[[#This Row],[RestAdj]]))/400))</f>
        <v>0.57111555151809079</v>
      </c>
      <c r="R81" s="1">
        <v>95</v>
      </c>
      <c r="S81" s="1">
        <v>70</v>
      </c>
      <c r="T81" s="1">
        <v>0</v>
      </c>
      <c r="U81" s="1">
        <f>Games[[#This Row],[PointsFor]]-Games[[#This Row],[PointsAgainst]]</f>
        <v>25</v>
      </c>
      <c r="V81" s="1">
        <f>IF(Games[[#This Row],[MOV]]&gt;0,1,IF(Games[[#This Row],[MOV]]=0,0.5,0))</f>
        <v>1</v>
      </c>
      <c r="W81" s="4">
        <f>((ABS(Games[[#This Row],[MOV]])+5)^0.6)/(12+0.01*(ABS(Games[[#This Row],[PreGmRate]]-Games[[#This Row],[OppPreGmRate]])))*IF(Games[[#This Row],[OT]]=1,0.9,1)</f>
        <v>0.62354936266690764</v>
      </c>
      <c r="X81" s="7" cm="1">
        <f t="array" ref="X8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1" s="9">
        <f>MAX(kmin, kmax - 0.15 * MIN(Games[[#This Row],[GamesPlayed]], 82))</f>
        <v>74.8</v>
      </c>
      <c r="Z81" s="4">
        <f>Games[[#This Row],[K]]*Games[[#This Row],[POMult]]</f>
        <v>74.8</v>
      </c>
      <c r="AA81" s="4">
        <f>(Games[[#This Row],[Keff]]*Games[[#This Row],[MOVMult]])*(Games[[#This Row],[Result]]-Games[[#This Row],[ExpectedWin%]])</f>
        <v>20.003810713246473</v>
      </c>
      <c r="AB81" s="4">
        <f>Games[[#This Row],[PreGmRate]]+Games[[#This Row],[RatingChange]]</f>
        <v>1508.4376639858701</v>
      </c>
      <c r="AC81" s="2">
        <f>IF(Games[[#This Row],[Type]]="R",IF(Games[[#This Row],[Result]]&gt;0.5,1,0),0)</f>
        <v>1</v>
      </c>
      <c r="AD81" s="2">
        <f>IF(Games[[#This Row],[Type]]="R",IF(Games[[#This Row],[Result]]&lt;0.5,1,0),0)</f>
        <v>0</v>
      </c>
      <c r="AE81" s="2">
        <f>IF(AND(Games[[#This Row],[Type]]="P",Games[[#This Row],[Round]]=1),IF(Games[[#This Row],[Result]]&gt;0.5,1,0),0)</f>
        <v>0</v>
      </c>
      <c r="AF81" s="2">
        <f>IF(AND(Games[[#This Row],[Type]]="P",Games[[#This Row],[Round]]=1),IF(Games[[#This Row],[Result]]&lt;0.5,1,0),0)</f>
        <v>0</v>
      </c>
      <c r="AG81" s="2">
        <f>IF(AND(Games[[#This Row],[Type]]="P",Games[[#This Row],[Round]]=2),IF(Games[[#This Row],[Result]]&gt;0.5,1,0),0)</f>
        <v>0</v>
      </c>
      <c r="AH81" s="2">
        <f>IF(AND(Games[[#This Row],[Type]]="P",Games[[#This Row],[Round]]=2),IF(Games[[#This Row],[Result]]&lt;0.5,1,0),0)</f>
        <v>0</v>
      </c>
      <c r="AI81" s="2">
        <f>IF(AND(Games[[#This Row],[Type]]="P",Games[[#This Row],[Round]]=3),IF(Games[[#This Row],[Result]]&gt;0.5,1,0),0)</f>
        <v>0</v>
      </c>
      <c r="AJ81" s="2">
        <f>IF(AND(Games[[#This Row],[Type]]="P",Games[[#This Row],[Round]]=3),IF(Games[[#This Row],[Result]]&lt;0.5,1,0),0)</f>
        <v>0</v>
      </c>
      <c r="AK81" s="2">
        <f>IF(AND(Games[[#This Row],[Type]]="P",Games[[#This Row],[Round]]=4),IF(Games[[#This Row],[Result]]&gt;0.5,1,0),0)</f>
        <v>0</v>
      </c>
      <c r="AL81" s="2">
        <f>IF(AND(Games[[#This Row],[Type]]="P",Games[[#This Row],[Round]]=4),IF(Games[[#This Row],[Result]]&lt;0.5,1,0),0)</f>
        <v>0</v>
      </c>
    </row>
    <row r="82" spans="1:38" x14ac:dyDescent="0.35">
      <c r="A82" s="10">
        <v>40334</v>
      </c>
      <c r="B82" s="2">
        <v>2010</v>
      </c>
      <c r="C82" s="2">
        <f>COUNTIFS(Games[Team],Games[[#This Row],[Team]],Games[Season],Games[[#This Row],[Season]],Games[Date],"&lt;=" &amp; Games[[#This Row],[Date]])</f>
        <v>6</v>
      </c>
      <c r="D82" s="2" t="s">
        <v>23</v>
      </c>
      <c r="E82" s="2" t="s">
        <v>29</v>
      </c>
      <c r="F82" s="1" t="s">
        <v>64</v>
      </c>
      <c r="G82" s="1" t="s">
        <v>73</v>
      </c>
      <c r="H82" s="1" t="s">
        <v>16</v>
      </c>
      <c r="I82" s="2" cm="1">
        <f t="array" ref="I82">IFERROR(
    Games[[#This Row],[Date]]
    - LOOKUP(
        2,
        1/((Games[Team]=Games[[#This Row],[Team]]) * (Games[Date] &lt; Games[[#This Row],[Date]])),
        Games[Date]
    )
    - 1,
Games[[#This Row],[Date]]-$A$2)</f>
        <v>0</v>
      </c>
      <c r="J82" s="2" cm="1">
        <f t="array" ref="J8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2" s="2">
        <f>Games[[#This Row],[DaysOff]]-Games[[#This Row],[OppDaysOff]]</f>
        <v>-1</v>
      </c>
      <c r="L82" s="2">
        <f>Games[[#This Row],[OppDaysOff]]-Games[[#This Row],[DaysOff]]</f>
        <v>1</v>
      </c>
      <c r="M82" s="1">
        <f>MAX(-16, MIN(16, Games[[#This Row],[RestDiff]]*8))</f>
        <v>-8</v>
      </c>
      <c r="N82" s="1">
        <f>MAX(-16, MIN(16, Games[[#This Row],[OppRestDiff]]*8))</f>
        <v>8</v>
      </c>
      <c r="O82" s="4" cm="1">
        <f t="array" ref="O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1460.1173932635061</v>
      </c>
      <c r="P82" s="4" cm="1">
        <f t="array" ref="P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1527.749662405751</v>
      </c>
      <c r="Q82" s="4">
        <f>1/(1+10^(((Games[[#This Row],[OppPreGmRate]]+IF(Games[[#This Row],[HomeAway]]="A",HCA,0)+Games[[#This Row],[OppRestAdj]])-(Games[[#This Row],[PreGmRate]]+IF(Games[[#This Row],[HomeAway]]="H",HCA,0)+Games[[#This Row],[RestAdj]]))/400))</f>
        <v>0.27588444008826324</v>
      </c>
      <c r="R82" s="1">
        <v>73</v>
      </c>
      <c r="S82" s="1">
        <v>78</v>
      </c>
      <c r="T82" s="1">
        <v>0</v>
      </c>
      <c r="U82" s="1">
        <f>Games[[#This Row],[PointsFor]]-Games[[#This Row],[PointsAgainst]]</f>
        <v>-5</v>
      </c>
      <c r="V82" s="1">
        <f>IF(Games[[#This Row],[MOV]]&gt;0,1,IF(Games[[#This Row],[MOV]]=0,0.5,0))</f>
        <v>0</v>
      </c>
      <c r="W82" s="4">
        <f>((ABS(Games[[#This Row],[MOV]])+5)^0.6)/(12+0.01*(ABS(Games[[#This Row],[PreGmRate]]-Games[[#This Row],[OppPreGmRate]])))*IF(Games[[#This Row],[OT]]=1,0.9,1)</f>
        <v>0.31405572439622431</v>
      </c>
      <c r="X82" s="7" cm="1">
        <f t="array" ref="X8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2" s="9">
        <f>MAX(kmin, kmax - 0.15 * MIN(Games[[#This Row],[GamesPlayed]], 82))</f>
        <v>75.099999999999994</v>
      </c>
      <c r="Z82" s="4">
        <f>Games[[#This Row],[K]]*Games[[#This Row],[POMult]]</f>
        <v>75.099999999999994</v>
      </c>
      <c r="AA82" s="4">
        <f>(Games[[#This Row],[Keff]]*Games[[#This Row],[MOVMult]])*(Games[[#This Row],[Result]]-Games[[#This Row],[ExpectedWin%]])</f>
        <v>-6.5068958848856253</v>
      </c>
      <c r="AB82" s="4">
        <f>Games[[#This Row],[PreGmRate]]+Games[[#This Row],[RatingChange]]</f>
        <v>1453.6104973786205</v>
      </c>
      <c r="AC82" s="2">
        <f>IF(Games[[#This Row],[Type]]="R",IF(Games[[#This Row],[Result]]&gt;0.5,1,0),0)</f>
        <v>0</v>
      </c>
      <c r="AD82" s="2">
        <f>IF(Games[[#This Row],[Type]]="R",IF(Games[[#This Row],[Result]]&lt;0.5,1,0),0)</f>
        <v>1</v>
      </c>
      <c r="AE82" s="2">
        <f>IF(AND(Games[[#This Row],[Type]]="P",Games[[#This Row],[Round]]=1),IF(Games[[#This Row],[Result]]&gt;0.5,1,0),0)</f>
        <v>0</v>
      </c>
      <c r="AF82" s="2">
        <f>IF(AND(Games[[#This Row],[Type]]="P",Games[[#This Row],[Round]]=1),IF(Games[[#This Row],[Result]]&lt;0.5,1,0),0)</f>
        <v>0</v>
      </c>
      <c r="AG82" s="2">
        <f>IF(AND(Games[[#This Row],[Type]]="P",Games[[#This Row],[Round]]=2),IF(Games[[#This Row],[Result]]&gt;0.5,1,0),0)</f>
        <v>0</v>
      </c>
      <c r="AH82" s="2">
        <f>IF(AND(Games[[#This Row],[Type]]="P",Games[[#This Row],[Round]]=2),IF(Games[[#This Row],[Result]]&lt;0.5,1,0),0)</f>
        <v>0</v>
      </c>
      <c r="AI82" s="2">
        <f>IF(AND(Games[[#This Row],[Type]]="P",Games[[#This Row],[Round]]=3),IF(Games[[#This Row],[Result]]&gt;0.5,1,0),0)</f>
        <v>0</v>
      </c>
      <c r="AJ82" s="2">
        <f>IF(AND(Games[[#This Row],[Type]]="P",Games[[#This Row],[Round]]=3),IF(Games[[#This Row],[Result]]&lt;0.5,1,0),0)</f>
        <v>0</v>
      </c>
      <c r="AK82" s="2">
        <f>IF(AND(Games[[#This Row],[Type]]="P",Games[[#This Row],[Round]]=4),IF(Games[[#This Row],[Result]]&gt;0.5,1,0),0)</f>
        <v>0</v>
      </c>
      <c r="AL82" s="2">
        <f>IF(AND(Games[[#This Row],[Type]]="P",Games[[#This Row],[Round]]=4),IF(Games[[#This Row],[Result]]&lt;0.5,1,0),0)</f>
        <v>0</v>
      </c>
    </row>
    <row r="83" spans="1:38" x14ac:dyDescent="0.35">
      <c r="A83" s="10">
        <v>40334</v>
      </c>
      <c r="B83" s="2">
        <v>2010</v>
      </c>
      <c r="C83" s="2">
        <f>COUNTIFS(Games[Team],Games[[#This Row],[Team]],Games[Season],Games[[#This Row],[Season]],Games[Date],"&lt;=" &amp; Games[[#This Row],[Date]])</f>
        <v>7</v>
      </c>
      <c r="D83" s="2" t="s">
        <v>23</v>
      </c>
      <c r="E83" s="2" t="s">
        <v>29</v>
      </c>
      <c r="F83" s="1" t="s">
        <v>73</v>
      </c>
      <c r="G83" s="1" t="s">
        <v>64</v>
      </c>
      <c r="H83" s="1" t="s">
        <v>15</v>
      </c>
      <c r="I83" s="2" cm="1">
        <f t="array" ref="I83">IFERROR(
    Games[[#This Row],[Date]]
    - LOOKUP(
        2,
        1/((Games[Team]=Games[[#This Row],[Team]]) * (Games[Date] &lt; Games[[#This Row],[Date]])),
        Games[Date]
    )
    - 1,
Games[[#This Row],[Date]]-$A$2)</f>
        <v>1</v>
      </c>
      <c r="J83" s="2" cm="1">
        <f t="array" ref="J8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83" s="2">
        <f>Games[[#This Row],[DaysOff]]-Games[[#This Row],[OppDaysOff]]</f>
        <v>1</v>
      </c>
      <c r="L83" s="2">
        <f>Games[[#This Row],[OppDaysOff]]-Games[[#This Row],[DaysOff]]</f>
        <v>-1</v>
      </c>
      <c r="M83" s="1">
        <f>MAX(-16, MIN(16, Games[[#This Row],[RestDiff]]*8))</f>
        <v>8</v>
      </c>
      <c r="N83" s="1">
        <f>MAX(-16, MIN(16, Games[[#This Row],[OppRestDiff]]*8))</f>
        <v>-8</v>
      </c>
      <c r="O83" s="4" cm="1">
        <f t="array" ref="O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1527.749662405751</v>
      </c>
      <c r="P83" s="4" cm="1">
        <f t="array" ref="P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1460.1173932635061</v>
      </c>
      <c r="Q83" s="4">
        <f>1/(1+10^(((Games[[#This Row],[OppPreGmRate]]+IF(Games[[#This Row],[HomeAway]]="A",HCA,0)+Games[[#This Row],[OppRestAdj]])-(Games[[#This Row],[PreGmRate]]+IF(Games[[#This Row],[HomeAway]]="H",HCA,0)+Games[[#This Row],[RestAdj]]))/400))</f>
        <v>0.72411555991173682</v>
      </c>
      <c r="R83" s="1">
        <v>78</v>
      </c>
      <c r="S83" s="1">
        <v>73</v>
      </c>
      <c r="T83" s="1">
        <v>0</v>
      </c>
      <c r="U83" s="1">
        <f>Games[[#This Row],[PointsFor]]-Games[[#This Row],[PointsAgainst]]</f>
        <v>5</v>
      </c>
      <c r="V83" s="1">
        <f>IF(Games[[#This Row],[MOV]]&gt;0,1,IF(Games[[#This Row],[MOV]]=0,0.5,0))</f>
        <v>1</v>
      </c>
      <c r="W83" s="4">
        <f>((ABS(Games[[#This Row],[MOV]])+5)^0.6)/(12+0.01*(ABS(Games[[#This Row],[PreGmRate]]-Games[[#This Row],[OppPreGmRate]])))*IF(Games[[#This Row],[OT]]=1,0.9,1)</f>
        <v>0.31405572439622431</v>
      </c>
      <c r="X83" s="7" cm="1">
        <f t="array" ref="X8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3" s="9">
        <f>MAX(kmin, kmax - 0.15 * MIN(Games[[#This Row],[GamesPlayed]], 82))</f>
        <v>74.95</v>
      </c>
      <c r="Z83" s="4">
        <f>Games[[#This Row],[K]]*Games[[#This Row],[POMult]]</f>
        <v>74.95</v>
      </c>
      <c r="AA83" s="4">
        <f>(Games[[#This Row],[Keff]]*Games[[#This Row],[MOVMult]])*(Games[[#This Row],[Result]]-Games[[#This Row],[ExpectedWin%]])</f>
        <v>6.4938994217333894</v>
      </c>
      <c r="AB83" s="4">
        <f>Games[[#This Row],[PreGmRate]]+Games[[#This Row],[RatingChange]]</f>
        <v>1534.2435618274844</v>
      </c>
      <c r="AC83" s="2">
        <f>IF(Games[[#This Row],[Type]]="R",IF(Games[[#This Row],[Result]]&gt;0.5,1,0),0)</f>
        <v>1</v>
      </c>
      <c r="AD83" s="2">
        <f>IF(Games[[#This Row],[Type]]="R",IF(Games[[#This Row],[Result]]&lt;0.5,1,0),0)</f>
        <v>0</v>
      </c>
      <c r="AE83" s="2">
        <f>IF(AND(Games[[#This Row],[Type]]="P",Games[[#This Row],[Round]]=1),IF(Games[[#This Row],[Result]]&gt;0.5,1,0),0)</f>
        <v>0</v>
      </c>
      <c r="AF83" s="2">
        <f>IF(AND(Games[[#This Row],[Type]]="P",Games[[#This Row],[Round]]=1),IF(Games[[#This Row],[Result]]&lt;0.5,1,0),0)</f>
        <v>0</v>
      </c>
      <c r="AG83" s="2">
        <f>IF(AND(Games[[#This Row],[Type]]="P",Games[[#This Row],[Round]]=2),IF(Games[[#This Row],[Result]]&gt;0.5,1,0),0)</f>
        <v>0</v>
      </c>
      <c r="AH83" s="2">
        <f>IF(AND(Games[[#This Row],[Type]]="P",Games[[#This Row],[Round]]=2),IF(Games[[#This Row],[Result]]&lt;0.5,1,0),0)</f>
        <v>0</v>
      </c>
      <c r="AI83" s="2">
        <f>IF(AND(Games[[#This Row],[Type]]="P",Games[[#This Row],[Round]]=3),IF(Games[[#This Row],[Result]]&gt;0.5,1,0),0)</f>
        <v>0</v>
      </c>
      <c r="AJ83" s="2">
        <f>IF(AND(Games[[#This Row],[Type]]="P",Games[[#This Row],[Round]]=3),IF(Games[[#This Row],[Result]]&lt;0.5,1,0),0)</f>
        <v>0</v>
      </c>
      <c r="AK83" s="2">
        <f>IF(AND(Games[[#This Row],[Type]]="P",Games[[#This Row],[Round]]=4),IF(Games[[#This Row],[Result]]&gt;0.5,1,0),0)</f>
        <v>0</v>
      </c>
      <c r="AL83" s="2">
        <f>IF(AND(Games[[#This Row],[Type]]="P",Games[[#This Row],[Round]]=4),IF(Games[[#This Row],[Result]]&lt;0.5,1,0),0)</f>
        <v>0</v>
      </c>
    </row>
    <row r="84" spans="1:38" x14ac:dyDescent="0.35">
      <c r="A84" s="10">
        <v>40334</v>
      </c>
      <c r="B84" s="2">
        <v>2010</v>
      </c>
      <c r="C84" s="2">
        <f>COUNTIFS(Games[Team],Games[[#This Row],[Team]],Games[Season],Games[[#This Row],[Season]],Games[Date],"&lt;=" &amp; Games[[#This Row],[Date]])</f>
        <v>8</v>
      </c>
      <c r="D84" s="2" t="s">
        <v>23</v>
      </c>
      <c r="E84" s="2" t="s">
        <v>29</v>
      </c>
      <c r="F84" s="1" t="s">
        <v>75</v>
      </c>
      <c r="G84" s="1" t="s">
        <v>67</v>
      </c>
      <c r="H84" s="1" t="s">
        <v>16</v>
      </c>
      <c r="I84" s="2" cm="1">
        <f t="array" ref="I84">IFERROR(
    Games[[#This Row],[Date]]
    - LOOKUP(
        2,
        1/((Games[Team]=Games[[#This Row],[Team]]) * (Games[Date] &lt; Games[[#This Row],[Date]])),
        Games[Date]
    )
    - 1,
Games[[#This Row],[Date]]-$A$2)</f>
        <v>3</v>
      </c>
      <c r="J84" s="2" cm="1">
        <f t="array" ref="J84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84" s="2">
        <f>Games[[#This Row],[DaysOff]]-Games[[#This Row],[OppDaysOff]]</f>
        <v>3</v>
      </c>
      <c r="L84" s="2">
        <f>Games[[#This Row],[OppDaysOff]]-Games[[#This Row],[DaysOff]]</f>
        <v>-3</v>
      </c>
      <c r="M84" s="1">
        <f>MAX(-16, MIN(16, Games[[#This Row],[RestDiff]]*8))</f>
        <v>16</v>
      </c>
      <c r="N84" s="1">
        <f>MAX(-16, MIN(16, Games[[#This Row],[OppRestDiff]]*8))</f>
        <v>-16</v>
      </c>
      <c r="O84" s="4" cm="1">
        <f t="array" ref="O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1586.9877875487148</v>
      </c>
      <c r="P84" s="4" cm="1">
        <f t="array" ref="P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1482.7526787083057</v>
      </c>
      <c r="Q84" s="4">
        <f>1/(1+10^(((Games[[#This Row],[OppPreGmRate]]+IF(Games[[#This Row],[HomeAway]]="A",HCA,0)+Games[[#This Row],[OppRestAdj]])-(Games[[#This Row],[PreGmRate]]+IF(Games[[#This Row],[HomeAway]]="H",HCA,0)+Games[[#This Row],[RestAdj]]))/400))</f>
        <v>0.57461105173888616</v>
      </c>
      <c r="R84" s="1">
        <v>79</v>
      </c>
      <c r="S84" s="1">
        <v>75</v>
      </c>
      <c r="T84" s="1">
        <v>0</v>
      </c>
      <c r="U84" s="1">
        <f>Games[[#This Row],[PointsFor]]-Games[[#This Row],[PointsAgainst]]</f>
        <v>4</v>
      </c>
      <c r="V84" s="1">
        <f>IF(Games[[#This Row],[MOV]]&gt;0,1,IF(Games[[#This Row],[MOV]]=0,0.5,0))</f>
        <v>1</v>
      </c>
      <c r="W84" s="4">
        <f>((ABS(Games[[#This Row],[MOV]])+5)^0.6)/(12+0.01*(ABS(Games[[#This Row],[PreGmRate]]-Games[[#This Row],[OppPreGmRate]])))*IF(Games[[#This Row],[OT]]=1,0.9,1)</f>
        <v>0.28654287816015606</v>
      </c>
      <c r="X84" s="7" cm="1">
        <f t="array" ref="X8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4" s="9">
        <f>MAX(kmin, kmax - 0.15 * MIN(Games[[#This Row],[GamesPlayed]], 82))</f>
        <v>74.8</v>
      </c>
      <c r="Z84" s="4">
        <f>Games[[#This Row],[K]]*Games[[#This Row],[POMult]]</f>
        <v>74.8</v>
      </c>
      <c r="AA84" s="4">
        <f>(Games[[#This Row],[Keff]]*Games[[#This Row],[MOVMult]])*(Games[[#This Row],[Result]]-Games[[#This Row],[ExpectedWin%]])</f>
        <v>9.1175345832051438</v>
      </c>
      <c r="AB84" s="4">
        <f>Games[[#This Row],[PreGmRate]]+Games[[#This Row],[RatingChange]]</f>
        <v>1596.1053221319198</v>
      </c>
      <c r="AC84" s="2">
        <f>IF(Games[[#This Row],[Type]]="R",IF(Games[[#This Row],[Result]]&gt;0.5,1,0),0)</f>
        <v>1</v>
      </c>
      <c r="AD84" s="2">
        <f>IF(Games[[#This Row],[Type]]="R",IF(Games[[#This Row],[Result]]&lt;0.5,1,0),0)</f>
        <v>0</v>
      </c>
      <c r="AE84" s="2">
        <f>IF(AND(Games[[#This Row],[Type]]="P",Games[[#This Row],[Round]]=1),IF(Games[[#This Row],[Result]]&gt;0.5,1,0),0)</f>
        <v>0</v>
      </c>
      <c r="AF84" s="2">
        <f>IF(AND(Games[[#This Row],[Type]]="P",Games[[#This Row],[Round]]=1),IF(Games[[#This Row],[Result]]&lt;0.5,1,0),0)</f>
        <v>0</v>
      </c>
      <c r="AG84" s="2">
        <f>IF(AND(Games[[#This Row],[Type]]="P",Games[[#This Row],[Round]]=2),IF(Games[[#This Row],[Result]]&gt;0.5,1,0),0)</f>
        <v>0</v>
      </c>
      <c r="AH84" s="2">
        <f>IF(AND(Games[[#This Row],[Type]]="P",Games[[#This Row],[Round]]=2),IF(Games[[#This Row],[Result]]&lt;0.5,1,0),0)</f>
        <v>0</v>
      </c>
      <c r="AI84" s="2">
        <f>IF(AND(Games[[#This Row],[Type]]="P",Games[[#This Row],[Round]]=3),IF(Games[[#This Row],[Result]]&gt;0.5,1,0),0)</f>
        <v>0</v>
      </c>
      <c r="AJ84" s="2">
        <f>IF(AND(Games[[#This Row],[Type]]="P",Games[[#This Row],[Round]]=3),IF(Games[[#This Row],[Result]]&lt;0.5,1,0),0)</f>
        <v>0</v>
      </c>
      <c r="AK84" s="2">
        <f>IF(AND(Games[[#This Row],[Type]]="P",Games[[#This Row],[Round]]=4),IF(Games[[#This Row],[Result]]&gt;0.5,1,0),0)</f>
        <v>0</v>
      </c>
      <c r="AL84" s="2">
        <f>IF(AND(Games[[#This Row],[Type]]="P",Games[[#This Row],[Round]]=4),IF(Games[[#This Row],[Result]]&lt;0.5,1,0),0)</f>
        <v>0</v>
      </c>
    </row>
    <row r="85" spans="1:38" x14ac:dyDescent="0.35">
      <c r="A85" s="10">
        <v>40334</v>
      </c>
      <c r="B85" s="2">
        <v>2010</v>
      </c>
      <c r="C85" s="2">
        <f>COUNTIFS(Games[Team],Games[[#This Row],[Team]],Games[Season],Games[[#This Row],[Season]],Games[Date],"&lt;=" &amp; Games[[#This Row],[Date]])</f>
        <v>7</v>
      </c>
      <c r="D85" s="2" t="s">
        <v>23</v>
      </c>
      <c r="E85" s="2" t="s">
        <v>29</v>
      </c>
      <c r="F85" s="1" t="s">
        <v>67</v>
      </c>
      <c r="G85" s="1" t="s">
        <v>75</v>
      </c>
      <c r="H85" s="1" t="s">
        <v>15</v>
      </c>
      <c r="I85" s="2" cm="1">
        <f t="array" ref="I85">IFERROR(
    Games[[#This Row],[Date]]
    - LOOKUP(
        2,
        1/((Games[Team]=Games[[#This Row],[Team]]) * (Games[Date] &lt; Games[[#This Row],[Date]])),
        Games[Date]
    )
    - 1,
Games[[#This Row],[Date]]-$A$2)</f>
        <v>0</v>
      </c>
      <c r="J85" s="2" cm="1">
        <f t="array" ref="J8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85" s="2">
        <f>Games[[#This Row],[DaysOff]]-Games[[#This Row],[OppDaysOff]]</f>
        <v>-3</v>
      </c>
      <c r="L85" s="2">
        <f>Games[[#This Row],[OppDaysOff]]-Games[[#This Row],[DaysOff]]</f>
        <v>3</v>
      </c>
      <c r="M85" s="1">
        <f>MAX(-16, MIN(16, Games[[#This Row],[RestDiff]]*8))</f>
        <v>-16</v>
      </c>
      <c r="N85" s="1">
        <f>MAX(-16, MIN(16, Games[[#This Row],[OppRestDiff]]*8))</f>
        <v>16</v>
      </c>
      <c r="O85" s="4" cm="1">
        <f t="array" ref="O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1482.7526787083057</v>
      </c>
      <c r="P85" s="4" cm="1">
        <f t="array" ref="P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1586.9877875487148</v>
      </c>
      <c r="Q85" s="4">
        <f>1/(1+10^(((Games[[#This Row],[OppPreGmRate]]+IF(Games[[#This Row],[HomeAway]]="A",HCA,0)+Games[[#This Row],[OppRestAdj]])-(Games[[#This Row],[PreGmRate]]+IF(Games[[#This Row],[HomeAway]]="H",HCA,0)+Games[[#This Row],[RestAdj]]))/400))</f>
        <v>0.42538894826111384</v>
      </c>
      <c r="R85" s="1">
        <v>75</v>
      </c>
      <c r="S85" s="1">
        <v>79</v>
      </c>
      <c r="T85" s="1">
        <v>0</v>
      </c>
      <c r="U85" s="1">
        <f>Games[[#This Row],[PointsFor]]-Games[[#This Row],[PointsAgainst]]</f>
        <v>-4</v>
      </c>
      <c r="V85" s="1">
        <f>IF(Games[[#This Row],[MOV]]&gt;0,1,IF(Games[[#This Row],[MOV]]=0,0.5,0))</f>
        <v>0</v>
      </c>
      <c r="W85" s="4">
        <f>((ABS(Games[[#This Row],[MOV]])+5)^0.6)/(12+0.01*(ABS(Games[[#This Row],[PreGmRate]]-Games[[#This Row],[OppPreGmRate]])))*IF(Games[[#This Row],[OT]]=1,0.9,1)</f>
        <v>0.28654287816015606</v>
      </c>
      <c r="X85" s="7" cm="1">
        <f t="array" ref="X8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5" s="9">
        <f>MAX(kmin, kmax - 0.15 * MIN(Games[[#This Row],[GamesPlayed]], 82))</f>
        <v>74.95</v>
      </c>
      <c r="Z85" s="4">
        <f>Games[[#This Row],[K]]*Games[[#This Row],[POMult]]</f>
        <v>74.95</v>
      </c>
      <c r="AA85" s="4">
        <f>(Games[[#This Row],[Keff]]*Games[[#This Row],[MOVMult]])*(Games[[#This Row],[Result]]-Games[[#This Row],[ExpectedWin%]])</f>
        <v>-9.1358184092409829</v>
      </c>
      <c r="AB85" s="4">
        <f>Games[[#This Row],[PreGmRate]]+Games[[#This Row],[RatingChange]]</f>
        <v>1473.6168602990647</v>
      </c>
      <c r="AC85" s="2">
        <f>IF(Games[[#This Row],[Type]]="R",IF(Games[[#This Row],[Result]]&gt;0.5,1,0),0)</f>
        <v>0</v>
      </c>
      <c r="AD85" s="2">
        <f>IF(Games[[#This Row],[Type]]="R",IF(Games[[#This Row],[Result]]&lt;0.5,1,0),0)</f>
        <v>1</v>
      </c>
      <c r="AE85" s="2">
        <f>IF(AND(Games[[#This Row],[Type]]="P",Games[[#This Row],[Round]]=1),IF(Games[[#This Row],[Result]]&gt;0.5,1,0),0)</f>
        <v>0</v>
      </c>
      <c r="AF85" s="2">
        <f>IF(AND(Games[[#This Row],[Type]]="P",Games[[#This Row],[Round]]=1),IF(Games[[#This Row],[Result]]&lt;0.5,1,0),0)</f>
        <v>0</v>
      </c>
      <c r="AG85" s="2">
        <f>IF(AND(Games[[#This Row],[Type]]="P",Games[[#This Row],[Round]]=2),IF(Games[[#This Row],[Result]]&gt;0.5,1,0),0)</f>
        <v>0</v>
      </c>
      <c r="AH85" s="2">
        <f>IF(AND(Games[[#This Row],[Type]]="P",Games[[#This Row],[Round]]=2),IF(Games[[#This Row],[Result]]&lt;0.5,1,0),0)</f>
        <v>0</v>
      </c>
      <c r="AI85" s="2">
        <f>IF(AND(Games[[#This Row],[Type]]="P",Games[[#This Row],[Round]]=3),IF(Games[[#This Row],[Result]]&gt;0.5,1,0),0)</f>
        <v>0</v>
      </c>
      <c r="AJ85" s="2">
        <f>IF(AND(Games[[#This Row],[Type]]="P",Games[[#This Row],[Round]]=3),IF(Games[[#This Row],[Result]]&lt;0.5,1,0),0)</f>
        <v>0</v>
      </c>
      <c r="AK85" s="2">
        <f>IF(AND(Games[[#This Row],[Type]]="P",Games[[#This Row],[Round]]=4),IF(Games[[#This Row],[Result]]&gt;0.5,1,0),0)</f>
        <v>0</v>
      </c>
      <c r="AL85" s="2">
        <f>IF(AND(Games[[#This Row],[Type]]="P",Games[[#This Row],[Round]]=4),IF(Games[[#This Row],[Result]]&lt;0.5,1,0),0)</f>
        <v>0</v>
      </c>
    </row>
    <row r="86" spans="1:38" x14ac:dyDescent="0.35">
      <c r="A86" s="10">
        <v>40334</v>
      </c>
      <c r="B86" s="2">
        <v>2010</v>
      </c>
      <c r="C86" s="2">
        <f>COUNTIFS(Games[Team],Games[[#This Row],[Team]],Games[Season],Games[[#This Row],[Season]],Games[Date],"&lt;=" &amp; Games[[#This Row],[Date]])</f>
        <v>9</v>
      </c>
      <c r="D86" s="2" t="s">
        <v>23</v>
      </c>
      <c r="E86" s="2" t="s">
        <v>29</v>
      </c>
      <c r="F86" s="1" t="s">
        <v>83</v>
      </c>
      <c r="G86" s="1" t="s">
        <v>69</v>
      </c>
      <c r="H86" s="1" t="s">
        <v>16</v>
      </c>
      <c r="I86" s="2" cm="1">
        <f t="array" ref="I86">IFERROR(
    Games[[#This Row],[Date]]
    - LOOKUP(
        2,
        1/((Games[Team]=Games[[#This Row],[Team]]) * (Games[Date] &lt; Games[[#This Row],[Date]])),
        Games[Date]
    )
    - 1,
Games[[#This Row],[Date]]-$A$2)</f>
        <v>0</v>
      </c>
      <c r="J86" s="2" cm="1">
        <f t="array" ref="J86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86" s="2">
        <f>Games[[#This Row],[DaysOff]]-Games[[#This Row],[OppDaysOff]]</f>
        <v>-5</v>
      </c>
      <c r="L86" s="2">
        <f>Games[[#This Row],[OppDaysOff]]-Games[[#This Row],[DaysOff]]</f>
        <v>5</v>
      </c>
      <c r="M86" s="1">
        <f>MAX(-16, MIN(16, Games[[#This Row],[RestDiff]]*8))</f>
        <v>-16</v>
      </c>
      <c r="N86" s="1">
        <f>MAX(-16, MIN(16, Games[[#This Row],[OppRestDiff]]*8))</f>
        <v>16</v>
      </c>
      <c r="O86" s="4" cm="1">
        <f t="array" ref="O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1546.3664257914606</v>
      </c>
      <c r="P86" s="4" cm="1">
        <f t="array" ref="P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1493.3123485071812</v>
      </c>
      <c r="Q86" s="4">
        <f>1/(1+10^(((Games[[#This Row],[OppPreGmRate]]+IF(Games[[#This Row],[HomeAway]]="A",HCA,0)+Games[[#This Row],[OppRestAdj]])-(Games[[#This Row],[PreGmRate]]+IF(Games[[#This Row],[HomeAway]]="H",HCA,0)+Games[[#This Row],[RestAdj]]))/400))</f>
        <v>0.41039181865287028</v>
      </c>
      <c r="R86" s="1">
        <v>86</v>
      </c>
      <c r="S86" s="1">
        <v>79</v>
      </c>
      <c r="T86" s="1">
        <v>1</v>
      </c>
      <c r="U86" s="1">
        <f>Games[[#This Row],[PointsFor]]-Games[[#This Row],[PointsAgainst]]</f>
        <v>7</v>
      </c>
      <c r="V86" s="1">
        <f>IF(Games[[#This Row],[MOV]]&gt;0,1,IF(Games[[#This Row],[MOV]]=0,0.5,0))</f>
        <v>1</v>
      </c>
      <c r="W86" s="4">
        <f>((ABS(Games[[#This Row],[MOV]])+5)^0.6)/(12+0.01*(ABS(Games[[#This Row],[PreGmRate]]-Games[[#This Row],[OppPreGmRate]])))*IF(Games[[#This Row],[OT]]=1,0.9,1)</f>
        <v>0.31899321308815504</v>
      </c>
      <c r="X86" s="7" cm="1">
        <f t="array" ref="X8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6" s="9">
        <f>MAX(kmin, kmax - 0.15 * MIN(Games[[#This Row],[GamesPlayed]], 82))</f>
        <v>74.650000000000006</v>
      </c>
      <c r="Z86" s="4">
        <f>Games[[#This Row],[K]]*Games[[#This Row],[POMult]]</f>
        <v>74.650000000000006</v>
      </c>
      <c r="AA86" s="4">
        <f>(Games[[#This Row],[Keff]]*Games[[#This Row],[MOVMult]])*(Games[[#This Row],[Result]]-Games[[#This Row],[ExpectedWin%]])</f>
        <v>14.040247264442993</v>
      </c>
      <c r="AB86" s="4">
        <f>Games[[#This Row],[PreGmRate]]+Games[[#This Row],[RatingChange]]</f>
        <v>1560.4066730559036</v>
      </c>
      <c r="AC86" s="2">
        <f>IF(Games[[#This Row],[Type]]="R",IF(Games[[#This Row],[Result]]&gt;0.5,1,0),0)</f>
        <v>1</v>
      </c>
      <c r="AD86" s="2">
        <f>IF(Games[[#This Row],[Type]]="R",IF(Games[[#This Row],[Result]]&lt;0.5,1,0),0)</f>
        <v>0</v>
      </c>
      <c r="AE86" s="2">
        <f>IF(AND(Games[[#This Row],[Type]]="P",Games[[#This Row],[Round]]=1),IF(Games[[#This Row],[Result]]&gt;0.5,1,0),0)</f>
        <v>0</v>
      </c>
      <c r="AF86" s="2">
        <f>IF(AND(Games[[#This Row],[Type]]="P",Games[[#This Row],[Round]]=1),IF(Games[[#This Row],[Result]]&lt;0.5,1,0),0)</f>
        <v>0</v>
      </c>
      <c r="AG86" s="2">
        <f>IF(AND(Games[[#This Row],[Type]]="P",Games[[#This Row],[Round]]=2),IF(Games[[#This Row],[Result]]&gt;0.5,1,0),0)</f>
        <v>0</v>
      </c>
      <c r="AH86" s="2">
        <f>IF(AND(Games[[#This Row],[Type]]="P",Games[[#This Row],[Round]]=2),IF(Games[[#This Row],[Result]]&lt;0.5,1,0),0)</f>
        <v>0</v>
      </c>
      <c r="AI86" s="2">
        <f>IF(AND(Games[[#This Row],[Type]]="P",Games[[#This Row],[Round]]=3),IF(Games[[#This Row],[Result]]&gt;0.5,1,0),0)</f>
        <v>0</v>
      </c>
      <c r="AJ86" s="2">
        <f>IF(AND(Games[[#This Row],[Type]]="P",Games[[#This Row],[Round]]=3),IF(Games[[#This Row],[Result]]&lt;0.5,1,0),0)</f>
        <v>0</v>
      </c>
      <c r="AK86" s="2">
        <f>IF(AND(Games[[#This Row],[Type]]="P",Games[[#This Row],[Round]]=4),IF(Games[[#This Row],[Result]]&gt;0.5,1,0),0)</f>
        <v>0</v>
      </c>
      <c r="AL86" s="2">
        <f>IF(AND(Games[[#This Row],[Type]]="P",Games[[#This Row],[Round]]=4),IF(Games[[#This Row],[Result]]&lt;0.5,1,0),0)</f>
        <v>0</v>
      </c>
    </row>
    <row r="87" spans="1:38" x14ac:dyDescent="0.35">
      <c r="A87" s="10">
        <v>40334</v>
      </c>
      <c r="B87" s="2">
        <v>2010</v>
      </c>
      <c r="C87" s="2">
        <f>COUNTIFS(Games[Team],Games[[#This Row],[Team]],Games[Season],Games[[#This Row],[Season]],Games[Date],"&lt;=" &amp; Games[[#This Row],[Date]])</f>
        <v>8</v>
      </c>
      <c r="D87" s="2" t="s">
        <v>23</v>
      </c>
      <c r="E87" s="2" t="s">
        <v>29</v>
      </c>
      <c r="F87" s="1" t="s">
        <v>69</v>
      </c>
      <c r="G87" s="1" t="s">
        <v>83</v>
      </c>
      <c r="H87" s="1" t="s">
        <v>15</v>
      </c>
      <c r="I87" s="2" cm="1">
        <f t="array" ref="I87">IFERROR(
    Games[[#This Row],[Date]]
    - LOOKUP(
        2,
        1/((Games[Team]=Games[[#This Row],[Team]]) * (Games[Date] &lt; Games[[#This Row],[Date]])),
        Games[Date]
    )
    - 1,
Games[[#This Row],[Date]]-$A$2)</f>
        <v>5</v>
      </c>
      <c r="J87" s="2" cm="1">
        <f t="array" ref="J8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87" s="2">
        <f>Games[[#This Row],[DaysOff]]-Games[[#This Row],[OppDaysOff]]</f>
        <v>5</v>
      </c>
      <c r="L87" s="2">
        <f>Games[[#This Row],[OppDaysOff]]-Games[[#This Row],[DaysOff]]</f>
        <v>-5</v>
      </c>
      <c r="M87" s="1">
        <f>MAX(-16, MIN(16, Games[[#This Row],[RestDiff]]*8))</f>
        <v>16</v>
      </c>
      <c r="N87" s="1">
        <f>MAX(-16, MIN(16, Games[[#This Row],[OppRestDiff]]*8))</f>
        <v>-16</v>
      </c>
      <c r="O87" s="4" cm="1">
        <f t="array" ref="O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1493.3123485071812</v>
      </c>
      <c r="P87" s="4" cm="1">
        <f t="array" ref="P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1546.3664257914606</v>
      </c>
      <c r="Q87" s="4">
        <f>1/(1+10^(((Games[[#This Row],[OppPreGmRate]]+IF(Games[[#This Row],[HomeAway]]="A",HCA,0)+Games[[#This Row],[OppRestAdj]])-(Games[[#This Row],[PreGmRate]]+IF(Games[[#This Row],[HomeAway]]="H",HCA,0)+Games[[#This Row],[RestAdj]]))/400))</f>
        <v>0.58960818134712978</v>
      </c>
      <c r="R87" s="1">
        <v>79</v>
      </c>
      <c r="S87" s="1">
        <v>86</v>
      </c>
      <c r="T87" s="1">
        <v>1</v>
      </c>
      <c r="U87" s="1">
        <f>Games[[#This Row],[PointsFor]]-Games[[#This Row],[PointsAgainst]]</f>
        <v>-7</v>
      </c>
      <c r="V87" s="1">
        <f>IF(Games[[#This Row],[MOV]]&gt;0,1,IF(Games[[#This Row],[MOV]]=0,0.5,0))</f>
        <v>0</v>
      </c>
      <c r="W87" s="4">
        <f>((ABS(Games[[#This Row],[MOV]])+5)^0.6)/(12+0.01*(ABS(Games[[#This Row],[PreGmRate]]-Games[[#This Row],[OppPreGmRate]])))*IF(Games[[#This Row],[OT]]=1,0.9,1)</f>
        <v>0.31899321308815504</v>
      </c>
      <c r="X87" s="7" cm="1">
        <f t="array" ref="X8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7" s="9">
        <f>MAX(kmin, kmax - 0.15 * MIN(Games[[#This Row],[GamesPlayed]], 82))</f>
        <v>74.8</v>
      </c>
      <c r="Z87" s="4">
        <f>Games[[#This Row],[K]]*Games[[#This Row],[POMult]]</f>
        <v>74.8</v>
      </c>
      <c r="AA87" s="4">
        <f>(Games[[#This Row],[Keff]]*Games[[#This Row],[MOVMult]])*(Games[[#This Row],[Result]]-Games[[#This Row],[ExpectedWin%]])</f>
        <v>-14.068459415677642</v>
      </c>
      <c r="AB87" s="4">
        <f>Games[[#This Row],[PreGmRate]]+Games[[#This Row],[RatingChange]]</f>
        <v>1479.2438890915037</v>
      </c>
      <c r="AC87" s="2">
        <f>IF(Games[[#This Row],[Type]]="R",IF(Games[[#This Row],[Result]]&gt;0.5,1,0),0)</f>
        <v>0</v>
      </c>
      <c r="AD87" s="2">
        <f>IF(Games[[#This Row],[Type]]="R",IF(Games[[#This Row],[Result]]&lt;0.5,1,0),0)</f>
        <v>1</v>
      </c>
      <c r="AE87" s="2">
        <f>IF(AND(Games[[#This Row],[Type]]="P",Games[[#This Row],[Round]]=1),IF(Games[[#This Row],[Result]]&gt;0.5,1,0),0)</f>
        <v>0</v>
      </c>
      <c r="AF87" s="2">
        <f>IF(AND(Games[[#This Row],[Type]]="P",Games[[#This Row],[Round]]=1),IF(Games[[#This Row],[Result]]&lt;0.5,1,0),0)</f>
        <v>0</v>
      </c>
      <c r="AG87" s="2">
        <f>IF(AND(Games[[#This Row],[Type]]="P",Games[[#This Row],[Round]]=2),IF(Games[[#This Row],[Result]]&gt;0.5,1,0),0)</f>
        <v>0</v>
      </c>
      <c r="AH87" s="2">
        <f>IF(AND(Games[[#This Row],[Type]]="P",Games[[#This Row],[Round]]=2),IF(Games[[#This Row],[Result]]&lt;0.5,1,0),0)</f>
        <v>0</v>
      </c>
      <c r="AI87" s="2">
        <f>IF(AND(Games[[#This Row],[Type]]="P",Games[[#This Row],[Round]]=3),IF(Games[[#This Row],[Result]]&gt;0.5,1,0),0)</f>
        <v>0</v>
      </c>
      <c r="AJ87" s="2">
        <f>IF(AND(Games[[#This Row],[Type]]="P",Games[[#This Row],[Round]]=3),IF(Games[[#This Row],[Result]]&lt;0.5,1,0),0)</f>
        <v>0</v>
      </c>
      <c r="AK87" s="2">
        <f>IF(AND(Games[[#This Row],[Type]]="P",Games[[#This Row],[Round]]=4),IF(Games[[#This Row],[Result]]&gt;0.5,1,0),0)</f>
        <v>0</v>
      </c>
      <c r="AL87" s="2">
        <f>IF(AND(Games[[#This Row],[Type]]="P",Games[[#This Row],[Round]]=4),IF(Games[[#This Row],[Result]]&lt;0.5,1,0),0)</f>
        <v>0</v>
      </c>
    </row>
    <row r="88" spans="1:38" x14ac:dyDescent="0.35">
      <c r="A88" s="10">
        <v>40335</v>
      </c>
      <c r="B88" s="2">
        <v>2010</v>
      </c>
      <c r="C88" s="2">
        <f>COUNTIFS(Games[Team],Games[[#This Row],[Team]],Games[Season],Games[[#This Row],[Season]],Games[Date],"&lt;=" &amp; Games[[#This Row],[Date]])</f>
        <v>7</v>
      </c>
      <c r="D88" s="2" t="s">
        <v>23</v>
      </c>
      <c r="E88" s="2" t="s">
        <v>29</v>
      </c>
      <c r="F88" s="1" t="s">
        <v>78</v>
      </c>
      <c r="G88" s="1" t="s">
        <v>80</v>
      </c>
      <c r="H88" s="1" t="s">
        <v>16</v>
      </c>
      <c r="I88" s="2" cm="1">
        <f t="array" ref="I88">IFERROR(
    Games[[#This Row],[Date]]
    - LOOKUP(
        2,
        1/((Games[Team]=Games[[#This Row],[Team]]) * (Games[Date] &lt; Games[[#This Row],[Date]])),
        Games[Date]
    )
    - 1,
Games[[#This Row],[Date]]-$A$2)</f>
        <v>2</v>
      </c>
      <c r="J88" s="2" cm="1">
        <f t="array" ref="J8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8" s="2">
        <f>Games[[#This Row],[DaysOff]]-Games[[#This Row],[OppDaysOff]]</f>
        <v>1</v>
      </c>
      <c r="L88" s="2">
        <f>Games[[#This Row],[OppDaysOff]]-Games[[#This Row],[DaysOff]]</f>
        <v>-1</v>
      </c>
      <c r="M88" s="1">
        <f>MAX(-16, MIN(16, Games[[#This Row],[RestDiff]]*8))</f>
        <v>8</v>
      </c>
      <c r="N88" s="1">
        <f>MAX(-16, MIN(16, Games[[#This Row],[OppRestDiff]]*8))</f>
        <v>-8</v>
      </c>
      <c r="O88" s="4" cm="1">
        <f t="array" ref="O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1451.0734891977206</v>
      </c>
      <c r="P88" s="4" cm="1">
        <f t="array" ref="P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1517.4810201136058</v>
      </c>
      <c r="Q88" s="4">
        <f>1/(1+10^(((Games[[#This Row],[OppPreGmRate]]+IF(Games[[#This Row],[HomeAway]]="A",HCA,0)+Games[[#This Row],[OppRestAdj]])-(Games[[#This Row],[PreGmRate]]+IF(Games[[#This Row],[HomeAway]]="H",HCA,0)+Games[[#This Row],[RestAdj]]))/400))</f>
        <v>0.31567668606508548</v>
      </c>
      <c r="R88" s="1">
        <v>68</v>
      </c>
      <c r="S88" s="1">
        <v>81</v>
      </c>
      <c r="T88" s="1">
        <v>0</v>
      </c>
      <c r="U88" s="1">
        <f>Games[[#This Row],[PointsFor]]-Games[[#This Row],[PointsAgainst]]</f>
        <v>-13</v>
      </c>
      <c r="V88" s="1">
        <f>IF(Games[[#This Row],[MOV]]&gt;0,1,IF(Games[[#This Row],[MOV]]=0,0.5,0))</f>
        <v>0</v>
      </c>
      <c r="W88" s="4">
        <f>((ABS(Games[[#This Row],[MOV]])+5)^0.6)/(12+0.01*(ABS(Games[[#This Row],[PreGmRate]]-Games[[#This Row],[OppPreGmRate]])))*IF(Games[[#This Row],[OT]]=1,0.9,1)</f>
        <v>0.44729085460134149</v>
      </c>
      <c r="X88" s="7" cm="1">
        <f t="array" ref="X8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8" s="9">
        <f>MAX(kmin, kmax - 0.15 * MIN(Games[[#This Row],[GamesPlayed]], 82))</f>
        <v>74.95</v>
      </c>
      <c r="Z88" s="4">
        <f>Games[[#This Row],[K]]*Games[[#This Row],[POMult]]</f>
        <v>74.95</v>
      </c>
      <c r="AA88" s="4">
        <f>(Games[[#This Row],[Keff]]*Games[[#This Row],[MOVMult]])*(Games[[#This Row],[Result]]-Games[[#This Row],[ExpectedWin%]])</f>
        <v>-10.582887136848473</v>
      </c>
      <c r="AB88" s="4">
        <f>Games[[#This Row],[PreGmRate]]+Games[[#This Row],[RatingChange]]</f>
        <v>1440.4906020608721</v>
      </c>
      <c r="AC88" s="2">
        <f>IF(Games[[#This Row],[Type]]="R",IF(Games[[#This Row],[Result]]&gt;0.5,1,0),0)</f>
        <v>0</v>
      </c>
      <c r="AD88" s="2">
        <f>IF(Games[[#This Row],[Type]]="R",IF(Games[[#This Row],[Result]]&lt;0.5,1,0),0)</f>
        <v>1</v>
      </c>
      <c r="AE88" s="2">
        <f>IF(AND(Games[[#This Row],[Type]]="P",Games[[#This Row],[Round]]=1),IF(Games[[#This Row],[Result]]&gt;0.5,1,0),0)</f>
        <v>0</v>
      </c>
      <c r="AF88" s="2">
        <f>IF(AND(Games[[#This Row],[Type]]="P",Games[[#This Row],[Round]]=1),IF(Games[[#This Row],[Result]]&lt;0.5,1,0),0)</f>
        <v>0</v>
      </c>
      <c r="AG88" s="2">
        <f>IF(AND(Games[[#This Row],[Type]]="P",Games[[#This Row],[Round]]=2),IF(Games[[#This Row],[Result]]&gt;0.5,1,0),0)</f>
        <v>0</v>
      </c>
      <c r="AH88" s="2">
        <f>IF(AND(Games[[#This Row],[Type]]="P",Games[[#This Row],[Round]]=2),IF(Games[[#This Row],[Result]]&lt;0.5,1,0),0)</f>
        <v>0</v>
      </c>
      <c r="AI88" s="2">
        <f>IF(AND(Games[[#This Row],[Type]]="P",Games[[#This Row],[Round]]=3),IF(Games[[#This Row],[Result]]&gt;0.5,1,0),0)</f>
        <v>0</v>
      </c>
      <c r="AJ88" s="2">
        <f>IF(AND(Games[[#This Row],[Type]]="P",Games[[#This Row],[Round]]=3),IF(Games[[#This Row],[Result]]&lt;0.5,1,0),0)</f>
        <v>0</v>
      </c>
      <c r="AK88" s="2">
        <f>IF(AND(Games[[#This Row],[Type]]="P",Games[[#This Row],[Round]]=4),IF(Games[[#This Row],[Result]]&gt;0.5,1,0),0)</f>
        <v>0</v>
      </c>
      <c r="AL88" s="2">
        <f>IF(AND(Games[[#This Row],[Type]]="P",Games[[#This Row],[Round]]=4),IF(Games[[#This Row],[Result]]&lt;0.5,1,0),0)</f>
        <v>0</v>
      </c>
    </row>
    <row r="89" spans="1:38" x14ac:dyDescent="0.35">
      <c r="A89" s="10">
        <v>40335</v>
      </c>
      <c r="B89" s="2">
        <v>2010</v>
      </c>
      <c r="C89" s="2">
        <f>COUNTIFS(Games[Team],Games[[#This Row],[Team]],Games[Season],Games[[#This Row],[Season]],Games[Date],"&lt;=" &amp; Games[[#This Row],[Date]])</f>
        <v>7</v>
      </c>
      <c r="D89" s="2" t="s">
        <v>23</v>
      </c>
      <c r="E89" s="2" t="s">
        <v>29</v>
      </c>
      <c r="F89" s="1" t="s">
        <v>80</v>
      </c>
      <c r="G89" s="1" t="s">
        <v>78</v>
      </c>
      <c r="H89" s="1" t="s">
        <v>15</v>
      </c>
      <c r="I89" s="2" cm="1">
        <f t="array" ref="I89">IFERROR(
    Games[[#This Row],[Date]]
    - LOOKUP(
        2,
        1/((Games[Team]=Games[[#This Row],[Team]]) * (Games[Date] &lt; Games[[#This Row],[Date]])),
        Games[Date]
    )
    - 1,
Games[[#This Row],[Date]]-$A$2)</f>
        <v>1</v>
      </c>
      <c r="J89" s="2" cm="1">
        <f t="array" ref="J8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89" s="2">
        <f>Games[[#This Row],[DaysOff]]-Games[[#This Row],[OppDaysOff]]</f>
        <v>-1</v>
      </c>
      <c r="L89" s="2">
        <f>Games[[#This Row],[OppDaysOff]]-Games[[#This Row],[DaysOff]]</f>
        <v>1</v>
      </c>
      <c r="M89" s="1">
        <f>MAX(-16, MIN(16, Games[[#This Row],[RestDiff]]*8))</f>
        <v>-8</v>
      </c>
      <c r="N89" s="1">
        <f>MAX(-16, MIN(16, Games[[#This Row],[OppRestDiff]]*8))</f>
        <v>8</v>
      </c>
      <c r="O89" s="4" cm="1">
        <f t="array" ref="O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1517.4810201136058</v>
      </c>
      <c r="P89" s="4" cm="1">
        <f t="array" ref="P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1451.0734891977206</v>
      </c>
      <c r="Q89" s="4">
        <f>1/(1+10^(((Games[[#This Row],[OppPreGmRate]]+IF(Games[[#This Row],[HomeAway]]="A",HCA,0)+Games[[#This Row],[OppRestAdj]])-(Games[[#This Row],[PreGmRate]]+IF(Games[[#This Row],[HomeAway]]="H",HCA,0)+Games[[#This Row],[RestAdj]]))/400))</f>
        <v>0.68432331393491452</v>
      </c>
      <c r="R89" s="1">
        <v>81</v>
      </c>
      <c r="S89" s="1">
        <v>68</v>
      </c>
      <c r="T89" s="1">
        <v>0</v>
      </c>
      <c r="U89" s="1">
        <f>Games[[#This Row],[PointsFor]]-Games[[#This Row],[PointsAgainst]]</f>
        <v>13</v>
      </c>
      <c r="V89" s="1">
        <f>IF(Games[[#This Row],[MOV]]&gt;0,1,IF(Games[[#This Row],[MOV]]=0,0.5,0))</f>
        <v>1</v>
      </c>
      <c r="W89" s="4">
        <f>((ABS(Games[[#This Row],[MOV]])+5)^0.6)/(12+0.01*(ABS(Games[[#This Row],[PreGmRate]]-Games[[#This Row],[OppPreGmRate]])))*IF(Games[[#This Row],[OT]]=1,0.9,1)</f>
        <v>0.44729085460134149</v>
      </c>
      <c r="X89" s="7" cm="1">
        <f t="array" ref="X8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9" s="9">
        <f>MAX(kmin, kmax - 0.15 * MIN(Games[[#This Row],[GamesPlayed]], 82))</f>
        <v>74.95</v>
      </c>
      <c r="Z89" s="4">
        <f>Games[[#This Row],[K]]*Games[[#This Row],[POMult]]</f>
        <v>74.95</v>
      </c>
      <c r="AA89" s="4">
        <f>(Games[[#This Row],[Keff]]*Games[[#This Row],[MOVMult]])*(Games[[#This Row],[Result]]-Games[[#This Row],[ExpectedWin%]])</f>
        <v>10.582887136848473</v>
      </c>
      <c r="AB89" s="4">
        <f>Games[[#This Row],[PreGmRate]]+Games[[#This Row],[RatingChange]]</f>
        <v>1528.0639072504543</v>
      </c>
      <c r="AC89" s="2">
        <f>IF(Games[[#This Row],[Type]]="R",IF(Games[[#This Row],[Result]]&gt;0.5,1,0),0)</f>
        <v>1</v>
      </c>
      <c r="AD89" s="2">
        <f>IF(Games[[#This Row],[Type]]="R",IF(Games[[#This Row],[Result]]&lt;0.5,1,0),0)</f>
        <v>0</v>
      </c>
      <c r="AE89" s="2">
        <f>IF(AND(Games[[#This Row],[Type]]="P",Games[[#This Row],[Round]]=1),IF(Games[[#This Row],[Result]]&gt;0.5,1,0),0)</f>
        <v>0</v>
      </c>
      <c r="AF89" s="2">
        <f>IF(AND(Games[[#This Row],[Type]]="P",Games[[#This Row],[Round]]=1),IF(Games[[#This Row],[Result]]&lt;0.5,1,0),0)</f>
        <v>0</v>
      </c>
      <c r="AG89" s="2">
        <f>IF(AND(Games[[#This Row],[Type]]="P",Games[[#This Row],[Round]]=2),IF(Games[[#This Row],[Result]]&gt;0.5,1,0),0)</f>
        <v>0</v>
      </c>
      <c r="AH89" s="2">
        <f>IF(AND(Games[[#This Row],[Type]]="P",Games[[#This Row],[Round]]=2),IF(Games[[#This Row],[Result]]&lt;0.5,1,0),0)</f>
        <v>0</v>
      </c>
      <c r="AI89" s="2">
        <f>IF(AND(Games[[#This Row],[Type]]="P",Games[[#This Row],[Round]]=3),IF(Games[[#This Row],[Result]]&gt;0.5,1,0),0)</f>
        <v>0</v>
      </c>
      <c r="AJ89" s="2">
        <f>IF(AND(Games[[#This Row],[Type]]="P",Games[[#This Row],[Round]]=3),IF(Games[[#This Row],[Result]]&lt;0.5,1,0),0)</f>
        <v>0</v>
      </c>
      <c r="AK89" s="2">
        <f>IF(AND(Games[[#This Row],[Type]]="P",Games[[#This Row],[Round]]=4),IF(Games[[#This Row],[Result]]&gt;0.5,1,0),0)</f>
        <v>0</v>
      </c>
      <c r="AL89" s="2">
        <f>IF(AND(Games[[#This Row],[Type]]="P",Games[[#This Row],[Round]]=4),IF(Games[[#This Row],[Result]]&lt;0.5,1,0),0)</f>
        <v>0</v>
      </c>
    </row>
    <row r="90" spans="1:38" x14ac:dyDescent="0.35">
      <c r="A90" s="10">
        <v>40335</v>
      </c>
      <c r="B90" s="2">
        <v>2010</v>
      </c>
      <c r="C90" s="2">
        <f>COUNTIFS(Games[Team],Games[[#This Row],[Team]],Games[Season],Games[[#This Row],[Season]],Games[Date],"&lt;=" &amp; Games[[#This Row],[Date]])</f>
        <v>8</v>
      </c>
      <c r="D90" s="2" t="s">
        <v>23</v>
      </c>
      <c r="E90" s="2" t="s">
        <v>29</v>
      </c>
      <c r="F90" s="1" t="s">
        <v>73</v>
      </c>
      <c r="G90" s="1" t="s">
        <v>71</v>
      </c>
      <c r="H90" s="1" t="s">
        <v>16</v>
      </c>
      <c r="I90" s="2" cm="1">
        <f t="array" ref="I90">IFERROR(
    Games[[#This Row],[Date]]
    - LOOKUP(
        2,
        1/((Games[Team]=Games[[#This Row],[Team]]) * (Games[Date] &lt; Games[[#This Row],[Date]])),
        Games[Date]
    )
    - 1,
Games[[#This Row],[Date]]-$A$2)</f>
        <v>0</v>
      </c>
      <c r="J90" s="2" cm="1">
        <f t="array" ref="J9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0" s="2">
        <f>Games[[#This Row],[DaysOff]]-Games[[#This Row],[OppDaysOff]]</f>
        <v>-1</v>
      </c>
      <c r="L90" s="2">
        <f>Games[[#This Row],[OppDaysOff]]-Games[[#This Row],[DaysOff]]</f>
        <v>1</v>
      </c>
      <c r="M90" s="1">
        <f>MAX(-16, MIN(16, Games[[#This Row],[RestDiff]]*8))</f>
        <v>-8</v>
      </c>
      <c r="N90" s="1">
        <f>MAX(-16, MIN(16, Games[[#This Row],[OppRestDiff]]*8))</f>
        <v>8</v>
      </c>
      <c r="O90" s="4" cm="1">
        <f t="array" ref="O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1534.2435618274844</v>
      </c>
      <c r="P90" s="4" cm="1">
        <f t="array" ref="P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1406.8420719560838</v>
      </c>
      <c r="Q90" s="4">
        <f>1/(1+10^(((Games[[#This Row],[OppPreGmRate]]+IF(Games[[#This Row],[HomeAway]]="A",HCA,0)+Games[[#This Row],[OppRestAdj]])-(Games[[#This Row],[PreGmRate]]+IF(Games[[#This Row],[HomeAway]]="H",HCA,0)+Games[[#This Row],[RestAdj]]))/400))</f>
        <v>0.5393523553182844</v>
      </c>
      <c r="R90" s="1">
        <v>89</v>
      </c>
      <c r="S90" s="1">
        <v>51</v>
      </c>
      <c r="T90" s="1">
        <v>0</v>
      </c>
      <c r="U90" s="1">
        <f>Games[[#This Row],[PointsFor]]-Games[[#This Row],[PointsAgainst]]</f>
        <v>38</v>
      </c>
      <c r="V90" s="1">
        <f>IF(Games[[#This Row],[MOV]]&gt;0,1,IF(Games[[#This Row],[MOV]]=0,0.5,0))</f>
        <v>1</v>
      </c>
      <c r="W90" s="4">
        <f>((ABS(Games[[#This Row],[MOV]])+5)^0.6)/(12+0.01*(ABS(Games[[#This Row],[PreGmRate]]-Games[[#This Row],[OppPreGmRate]])))*IF(Games[[#This Row],[OT]]=1,0.9,1)</f>
        <v>0.71957948392119675</v>
      </c>
      <c r="X90" s="7" cm="1">
        <f t="array" ref="X9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0" s="9">
        <f>MAX(kmin, kmax - 0.15 * MIN(Games[[#This Row],[GamesPlayed]], 82))</f>
        <v>74.8</v>
      </c>
      <c r="Z90" s="4">
        <f>Games[[#This Row],[K]]*Games[[#This Row],[POMult]]</f>
        <v>74.8</v>
      </c>
      <c r="AA90" s="4">
        <f>(Games[[#This Row],[Keff]]*Games[[#This Row],[MOVMult]])*(Games[[#This Row],[Result]]-Games[[#This Row],[ExpectedWin%]])</f>
        <v>24.794150063332861</v>
      </c>
      <c r="AB90" s="4">
        <f>Games[[#This Row],[PreGmRate]]+Games[[#This Row],[RatingChange]]</f>
        <v>1559.0377118908173</v>
      </c>
      <c r="AC90" s="2">
        <f>IF(Games[[#This Row],[Type]]="R",IF(Games[[#This Row],[Result]]&gt;0.5,1,0),0)</f>
        <v>1</v>
      </c>
      <c r="AD90" s="2">
        <f>IF(Games[[#This Row],[Type]]="R",IF(Games[[#This Row],[Result]]&lt;0.5,1,0),0)</f>
        <v>0</v>
      </c>
      <c r="AE90" s="2">
        <f>IF(AND(Games[[#This Row],[Type]]="P",Games[[#This Row],[Round]]=1),IF(Games[[#This Row],[Result]]&gt;0.5,1,0),0)</f>
        <v>0</v>
      </c>
      <c r="AF90" s="2">
        <f>IF(AND(Games[[#This Row],[Type]]="P",Games[[#This Row],[Round]]=1),IF(Games[[#This Row],[Result]]&lt;0.5,1,0),0)</f>
        <v>0</v>
      </c>
      <c r="AG90" s="2">
        <f>IF(AND(Games[[#This Row],[Type]]="P",Games[[#This Row],[Round]]=2),IF(Games[[#This Row],[Result]]&gt;0.5,1,0),0)</f>
        <v>0</v>
      </c>
      <c r="AH90" s="2">
        <f>IF(AND(Games[[#This Row],[Type]]="P",Games[[#This Row],[Round]]=2),IF(Games[[#This Row],[Result]]&lt;0.5,1,0),0)</f>
        <v>0</v>
      </c>
      <c r="AI90" s="2">
        <f>IF(AND(Games[[#This Row],[Type]]="P",Games[[#This Row],[Round]]=3),IF(Games[[#This Row],[Result]]&gt;0.5,1,0),0)</f>
        <v>0</v>
      </c>
      <c r="AJ90" s="2">
        <f>IF(AND(Games[[#This Row],[Type]]="P",Games[[#This Row],[Round]]=3),IF(Games[[#This Row],[Result]]&lt;0.5,1,0),0)</f>
        <v>0</v>
      </c>
      <c r="AK90" s="2">
        <f>IF(AND(Games[[#This Row],[Type]]="P",Games[[#This Row],[Round]]=4),IF(Games[[#This Row],[Result]]&gt;0.5,1,0),0)</f>
        <v>0</v>
      </c>
      <c r="AL90" s="2">
        <f>IF(AND(Games[[#This Row],[Type]]="P",Games[[#This Row],[Round]]=4),IF(Games[[#This Row],[Result]]&lt;0.5,1,0),0)</f>
        <v>0</v>
      </c>
    </row>
    <row r="91" spans="1:38" x14ac:dyDescent="0.35">
      <c r="A91" s="10">
        <v>40335</v>
      </c>
      <c r="B91" s="2">
        <v>2010</v>
      </c>
      <c r="C91" s="2">
        <f>COUNTIFS(Games[Team],Games[[#This Row],[Team]],Games[Season],Games[[#This Row],[Season]],Games[Date],"&lt;=" &amp; Games[[#This Row],[Date]])</f>
        <v>9</v>
      </c>
      <c r="D91" s="2" t="s">
        <v>23</v>
      </c>
      <c r="E91" s="2" t="s">
        <v>29</v>
      </c>
      <c r="F91" s="1" t="s">
        <v>71</v>
      </c>
      <c r="G91" s="1" t="s">
        <v>73</v>
      </c>
      <c r="H91" s="1" t="s">
        <v>15</v>
      </c>
      <c r="I91" s="2" cm="1">
        <f t="array" ref="I91">IFERROR(
    Games[[#This Row],[Date]]
    - LOOKUP(
        2,
        1/((Games[Team]=Games[[#This Row],[Team]]) * (Games[Date] &lt; Games[[#This Row],[Date]])),
        Games[Date]
    )
    - 1,
Games[[#This Row],[Date]]-$A$2)</f>
        <v>1</v>
      </c>
      <c r="J91" s="2" cm="1">
        <f t="array" ref="J9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91" s="2">
        <f>Games[[#This Row],[DaysOff]]-Games[[#This Row],[OppDaysOff]]</f>
        <v>1</v>
      </c>
      <c r="L91" s="2">
        <f>Games[[#This Row],[OppDaysOff]]-Games[[#This Row],[DaysOff]]</f>
        <v>-1</v>
      </c>
      <c r="M91" s="1">
        <f>MAX(-16, MIN(16, Games[[#This Row],[RestDiff]]*8))</f>
        <v>8</v>
      </c>
      <c r="N91" s="1">
        <f>MAX(-16, MIN(16, Games[[#This Row],[OppRestDiff]]*8))</f>
        <v>-8</v>
      </c>
      <c r="O91" s="4" cm="1">
        <f t="array" ref="O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1406.8420719560838</v>
      </c>
      <c r="P91" s="4" cm="1">
        <f t="array" ref="P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1534.2435618274844</v>
      </c>
      <c r="Q91" s="4">
        <f>1/(1+10^(((Games[[#This Row],[OppPreGmRate]]+IF(Games[[#This Row],[HomeAway]]="A",HCA,0)+Games[[#This Row],[OppRestAdj]])-(Games[[#This Row],[PreGmRate]]+IF(Games[[#This Row],[HomeAway]]="H",HCA,0)+Games[[#This Row],[RestAdj]]))/400))</f>
        <v>0.46064764468171554</v>
      </c>
      <c r="R91" s="1">
        <v>51</v>
      </c>
      <c r="S91" s="1">
        <v>89</v>
      </c>
      <c r="T91" s="1">
        <v>0</v>
      </c>
      <c r="U91" s="1">
        <f>Games[[#This Row],[PointsFor]]-Games[[#This Row],[PointsAgainst]]</f>
        <v>-38</v>
      </c>
      <c r="V91" s="1">
        <f>IF(Games[[#This Row],[MOV]]&gt;0,1,IF(Games[[#This Row],[MOV]]=0,0.5,0))</f>
        <v>0</v>
      </c>
      <c r="W91" s="4">
        <f>((ABS(Games[[#This Row],[MOV]])+5)^0.6)/(12+0.01*(ABS(Games[[#This Row],[PreGmRate]]-Games[[#This Row],[OppPreGmRate]])))*IF(Games[[#This Row],[OT]]=1,0.9,1)</f>
        <v>0.71957948392119675</v>
      </c>
      <c r="X91" s="7" cm="1">
        <f t="array" ref="X9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1" s="9">
        <f>MAX(kmin, kmax - 0.15 * MIN(Games[[#This Row],[GamesPlayed]], 82))</f>
        <v>74.650000000000006</v>
      </c>
      <c r="Z91" s="4">
        <f>Games[[#This Row],[K]]*Games[[#This Row],[POMult]]</f>
        <v>74.650000000000006</v>
      </c>
      <c r="AA91" s="4">
        <f>(Games[[#This Row],[Keff]]*Games[[#This Row],[MOVMult]])*(Games[[#This Row],[Result]]-Games[[#This Row],[ExpectedWin%]])</f>
        <v>-24.744429174168424</v>
      </c>
      <c r="AB91" s="4">
        <f>Games[[#This Row],[PreGmRate]]+Games[[#This Row],[RatingChange]]</f>
        <v>1382.0976427819155</v>
      </c>
      <c r="AC91" s="2">
        <f>IF(Games[[#This Row],[Type]]="R",IF(Games[[#This Row],[Result]]&gt;0.5,1,0),0)</f>
        <v>0</v>
      </c>
      <c r="AD91" s="2">
        <f>IF(Games[[#This Row],[Type]]="R",IF(Games[[#This Row],[Result]]&lt;0.5,1,0),0)</f>
        <v>1</v>
      </c>
      <c r="AE91" s="2">
        <f>IF(AND(Games[[#This Row],[Type]]="P",Games[[#This Row],[Round]]=1),IF(Games[[#This Row],[Result]]&gt;0.5,1,0),0)</f>
        <v>0</v>
      </c>
      <c r="AF91" s="2">
        <f>IF(AND(Games[[#This Row],[Type]]="P",Games[[#This Row],[Round]]=1),IF(Games[[#This Row],[Result]]&lt;0.5,1,0),0)</f>
        <v>0</v>
      </c>
      <c r="AG91" s="2">
        <f>IF(AND(Games[[#This Row],[Type]]="P",Games[[#This Row],[Round]]=2),IF(Games[[#This Row],[Result]]&gt;0.5,1,0),0)</f>
        <v>0</v>
      </c>
      <c r="AH91" s="2">
        <f>IF(AND(Games[[#This Row],[Type]]="P",Games[[#This Row],[Round]]=2),IF(Games[[#This Row],[Result]]&lt;0.5,1,0),0)</f>
        <v>0</v>
      </c>
      <c r="AI91" s="2">
        <f>IF(AND(Games[[#This Row],[Type]]="P",Games[[#This Row],[Round]]=3),IF(Games[[#This Row],[Result]]&gt;0.5,1,0),0)</f>
        <v>0</v>
      </c>
      <c r="AJ91" s="2">
        <f>IF(AND(Games[[#This Row],[Type]]="P",Games[[#This Row],[Round]]=3),IF(Games[[#This Row],[Result]]&lt;0.5,1,0),0)</f>
        <v>0</v>
      </c>
      <c r="AK91" s="2">
        <f>IF(AND(Games[[#This Row],[Type]]="P",Games[[#This Row],[Round]]=4),IF(Games[[#This Row],[Result]]&gt;0.5,1,0),0)</f>
        <v>0</v>
      </c>
      <c r="AL91" s="2">
        <f>IF(AND(Games[[#This Row],[Type]]="P",Games[[#This Row],[Round]]=4),IF(Games[[#This Row],[Result]]&lt;0.5,1,0),0)</f>
        <v>0</v>
      </c>
    </row>
    <row r="92" spans="1:38" x14ac:dyDescent="0.35">
      <c r="A92" s="10">
        <v>40335</v>
      </c>
      <c r="B92" s="2">
        <v>2010</v>
      </c>
      <c r="C92" s="2">
        <f>COUNTIFS(Games[Team],Games[[#This Row],[Team]],Games[Season],Games[[#This Row],[Season]],Games[Date],"&lt;=" &amp; Games[[#This Row],[Date]])</f>
        <v>7</v>
      </c>
      <c r="D92" s="2" t="s">
        <v>23</v>
      </c>
      <c r="E92" s="2" t="s">
        <v>29</v>
      </c>
      <c r="F92" s="1" t="s">
        <v>44</v>
      </c>
      <c r="G92" s="1" t="s">
        <v>75</v>
      </c>
      <c r="H92" s="1" t="s">
        <v>16</v>
      </c>
      <c r="I92" s="2" cm="1">
        <f t="array" ref="I92">IFERROR(
    Games[[#This Row],[Date]]
    - LOOKUP(
        2,
        1/((Games[Team]=Games[[#This Row],[Team]]) * (Games[Date] &lt; Games[[#This Row],[Date]])),
        Games[Date]
    )
    - 1,
Games[[#This Row],[Date]]-$A$2)</f>
        <v>1</v>
      </c>
      <c r="J92" s="2" cm="1">
        <f t="array" ref="J9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92" s="2">
        <f>Games[[#This Row],[DaysOff]]-Games[[#This Row],[OppDaysOff]]</f>
        <v>1</v>
      </c>
      <c r="L92" s="2">
        <f>Games[[#This Row],[OppDaysOff]]-Games[[#This Row],[DaysOff]]</f>
        <v>-1</v>
      </c>
      <c r="M92" s="1">
        <f>MAX(-16, MIN(16, Games[[#This Row],[RestDiff]]*8))</f>
        <v>8</v>
      </c>
      <c r="N92" s="1">
        <f>MAX(-16, MIN(16, Games[[#This Row],[OppRestDiff]]*8))</f>
        <v>-8</v>
      </c>
      <c r="O92" s="4" cm="1">
        <f t="array" ref="O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1554.6535747302917</v>
      </c>
      <c r="P92" s="4" cm="1">
        <f t="array" ref="P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1596.1053221319198</v>
      </c>
      <c r="Q92" s="4">
        <f>1/(1+10^(((Games[[#This Row],[OppPreGmRate]]+IF(Games[[#This Row],[HomeAway]]="A",HCA,0)+Games[[#This Row],[OppRestAdj]])-(Games[[#This Row],[PreGmRate]]+IF(Games[[#This Row],[HomeAway]]="H",HCA,0)+Games[[#This Row],[RestAdj]]))/400))</f>
        <v>0.34749808838693064</v>
      </c>
      <c r="R92" s="1">
        <v>74</v>
      </c>
      <c r="S92" s="1">
        <v>97</v>
      </c>
      <c r="T92" s="1">
        <v>0</v>
      </c>
      <c r="U92" s="1">
        <f>Games[[#This Row],[PointsFor]]-Games[[#This Row],[PointsAgainst]]</f>
        <v>-23</v>
      </c>
      <c r="V92" s="1">
        <f>IF(Games[[#This Row],[MOV]]&gt;0,1,IF(Games[[#This Row],[MOV]]=0,0.5,0))</f>
        <v>0</v>
      </c>
      <c r="W92" s="4">
        <f>((ABS(Games[[#This Row],[MOV]])+5)^0.6)/(12+0.01*(ABS(Games[[#This Row],[PreGmRate]]-Games[[#This Row],[OppPreGmRate]])))*IF(Games[[#This Row],[OT]]=1,0.9,1)</f>
        <v>0.59479180291929368</v>
      </c>
      <c r="X92" s="7" cm="1">
        <f t="array" ref="X9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2" s="9">
        <f>MAX(kmin, kmax - 0.15 * MIN(Games[[#This Row],[GamesPlayed]], 82))</f>
        <v>74.95</v>
      </c>
      <c r="Z92" s="4">
        <f>Games[[#This Row],[K]]*Games[[#This Row],[POMult]]</f>
        <v>74.95</v>
      </c>
      <c r="AA92" s="4">
        <f>(Games[[#This Row],[Keff]]*Games[[#This Row],[MOVMult]])*(Games[[#This Row],[Result]]-Games[[#This Row],[ExpectedWin%]])</f>
        <v>-15.491341636975157</v>
      </c>
      <c r="AB92" s="4">
        <f>Games[[#This Row],[PreGmRate]]+Games[[#This Row],[RatingChange]]</f>
        <v>1539.1622330933164</v>
      </c>
      <c r="AC92" s="2">
        <f>IF(Games[[#This Row],[Type]]="R",IF(Games[[#This Row],[Result]]&gt;0.5,1,0),0)</f>
        <v>0</v>
      </c>
      <c r="AD92" s="2">
        <f>IF(Games[[#This Row],[Type]]="R",IF(Games[[#This Row],[Result]]&lt;0.5,1,0),0)</f>
        <v>1</v>
      </c>
      <c r="AE92" s="2">
        <f>IF(AND(Games[[#This Row],[Type]]="P",Games[[#This Row],[Round]]=1),IF(Games[[#This Row],[Result]]&gt;0.5,1,0),0)</f>
        <v>0</v>
      </c>
      <c r="AF92" s="2">
        <f>IF(AND(Games[[#This Row],[Type]]="P",Games[[#This Row],[Round]]=1),IF(Games[[#This Row],[Result]]&lt;0.5,1,0),0)</f>
        <v>0</v>
      </c>
      <c r="AG92" s="2">
        <f>IF(AND(Games[[#This Row],[Type]]="P",Games[[#This Row],[Round]]=2),IF(Games[[#This Row],[Result]]&gt;0.5,1,0),0)</f>
        <v>0</v>
      </c>
      <c r="AH92" s="2">
        <f>IF(AND(Games[[#This Row],[Type]]="P",Games[[#This Row],[Round]]=2),IF(Games[[#This Row],[Result]]&lt;0.5,1,0),0)</f>
        <v>0</v>
      </c>
      <c r="AI92" s="2">
        <f>IF(AND(Games[[#This Row],[Type]]="P",Games[[#This Row],[Round]]=3),IF(Games[[#This Row],[Result]]&gt;0.5,1,0),0)</f>
        <v>0</v>
      </c>
      <c r="AJ92" s="2">
        <f>IF(AND(Games[[#This Row],[Type]]="P",Games[[#This Row],[Round]]=3),IF(Games[[#This Row],[Result]]&lt;0.5,1,0),0)</f>
        <v>0</v>
      </c>
      <c r="AK92" s="2">
        <f>IF(AND(Games[[#This Row],[Type]]="P",Games[[#This Row],[Round]]=4),IF(Games[[#This Row],[Result]]&gt;0.5,1,0),0)</f>
        <v>0</v>
      </c>
      <c r="AL92" s="2">
        <f>IF(AND(Games[[#This Row],[Type]]="P",Games[[#This Row],[Round]]=4),IF(Games[[#This Row],[Result]]&lt;0.5,1,0),0)</f>
        <v>0</v>
      </c>
    </row>
    <row r="93" spans="1:38" x14ac:dyDescent="0.35">
      <c r="A93" s="10">
        <v>40335</v>
      </c>
      <c r="B93" s="2">
        <v>2010</v>
      </c>
      <c r="C93" s="2">
        <f>COUNTIFS(Games[Team],Games[[#This Row],[Team]],Games[Season],Games[[#This Row],[Season]],Games[Date],"&lt;=" &amp; Games[[#This Row],[Date]])</f>
        <v>9</v>
      </c>
      <c r="D93" s="2" t="s">
        <v>23</v>
      </c>
      <c r="E93" s="2" t="s">
        <v>29</v>
      </c>
      <c r="F93" s="1" t="s">
        <v>75</v>
      </c>
      <c r="G93" s="1" t="s">
        <v>44</v>
      </c>
      <c r="H93" s="1" t="s">
        <v>15</v>
      </c>
      <c r="I93" s="2" cm="1">
        <f t="array" ref="I93">IFERROR(
    Games[[#This Row],[Date]]
    - LOOKUP(
        2,
        1/((Games[Team]=Games[[#This Row],[Team]]) * (Games[Date] &lt; Games[[#This Row],[Date]])),
        Games[Date]
    )
    - 1,
Games[[#This Row],[Date]]-$A$2)</f>
        <v>0</v>
      </c>
      <c r="J93" s="2" cm="1">
        <f t="array" ref="J9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3" s="2">
        <f>Games[[#This Row],[DaysOff]]-Games[[#This Row],[OppDaysOff]]</f>
        <v>-1</v>
      </c>
      <c r="L93" s="2">
        <f>Games[[#This Row],[OppDaysOff]]-Games[[#This Row],[DaysOff]]</f>
        <v>1</v>
      </c>
      <c r="M93" s="1">
        <f>MAX(-16, MIN(16, Games[[#This Row],[RestDiff]]*8))</f>
        <v>-8</v>
      </c>
      <c r="N93" s="1">
        <f>MAX(-16, MIN(16, Games[[#This Row],[OppRestDiff]]*8))</f>
        <v>8</v>
      </c>
      <c r="O93" s="4" cm="1">
        <f t="array" ref="O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1596.1053221319198</v>
      </c>
      <c r="P93" s="4" cm="1">
        <f t="array" ref="P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1554.6535747302917</v>
      </c>
      <c r="Q93" s="4">
        <f>1/(1+10^(((Games[[#This Row],[OppPreGmRate]]+IF(Games[[#This Row],[HomeAway]]="A",HCA,0)+Games[[#This Row],[OppRestAdj]])-(Games[[#This Row],[PreGmRate]]+IF(Games[[#This Row],[HomeAway]]="H",HCA,0)+Games[[#This Row],[RestAdj]]))/400))</f>
        <v>0.65250191161306936</v>
      </c>
      <c r="R93" s="1">
        <v>97</v>
      </c>
      <c r="S93" s="1">
        <v>74</v>
      </c>
      <c r="T93" s="1">
        <v>0</v>
      </c>
      <c r="U93" s="1">
        <f>Games[[#This Row],[PointsFor]]-Games[[#This Row],[PointsAgainst]]</f>
        <v>23</v>
      </c>
      <c r="V93" s="1">
        <f>IF(Games[[#This Row],[MOV]]&gt;0,1,IF(Games[[#This Row],[MOV]]=0,0.5,0))</f>
        <v>1</v>
      </c>
      <c r="W93" s="4">
        <f>((ABS(Games[[#This Row],[MOV]])+5)^0.6)/(12+0.01*(ABS(Games[[#This Row],[PreGmRate]]-Games[[#This Row],[OppPreGmRate]])))*IF(Games[[#This Row],[OT]]=1,0.9,1)</f>
        <v>0.59479180291929368</v>
      </c>
      <c r="X93" s="7" cm="1">
        <f t="array" ref="X9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3" s="9">
        <f>MAX(kmin, kmax - 0.15 * MIN(Games[[#This Row],[GamesPlayed]], 82))</f>
        <v>74.650000000000006</v>
      </c>
      <c r="Z93" s="4">
        <f>Games[[#This Row],[K]]*Games[[#This Row],[POMult]]</f>
        <v>74.650000000000006</v>
      </c>
      <c r="AA93" s="4">
        <f>(Games[[#This Row],[Keff]]*Games[[#This Row],[MOVMult]])*(Games[[#This Row],[Result]]-Games[[#This Row],[ExpectedWin%]])</f>
        <v>15.429334932624357</v>
      </c>
      <c r="AB93" s="4">
        <f>Games[[#This Row],[PreGmRate]]+Games[[#This Row],[RatingChange]]</f>
        <v>1611.5346570645443</v>
      </c>
      <c r="AC93" s="2">
        <f>IF(Games[[#This Row],[Type]]="R",IF(Games[[#This Row],[Result]]&gt;0.5,1,0),0)</f>
        <v>1</v>
      </c>
      <c r="AD93" s="2">
        <f>IF(Games[[#This Row],[Type]]="R",IF(Games[[#This Row],[Result]]&lt;0.5,1,0),0)</f>
        <v>0</v>
      </c>
      <c r="AE93" s="2">
        <f>IF(AND(Games[[#This Row],[Type]]="P",Games[[#This Row],[Round]]=1),IF(Games[[#This Row],[Result]]&gt;0.5,1,0),0)</f>
        <v>0</v>
      </c>
      <c r="AF93" s="2">
        <f>IF(AND(Games[[#This Row],[Type]]="P",Games[[#This Row],[Round]]=1),IF(Games[[#This Row],[Result]]&lt;0.5,1,0),0)</f>
        <v>0</v>
      </c>
      <c r="AG93" s="2">
        <f>IF(AND(Games[[#This Row],[Type]]="P",Games[[#This Row],[Round]]=2),IF(Games[[#This Row],[Result]]&gt;0.5,1,0),0)</f>
        <v>0</v>
      </c>
      <c r="AH93" s="2">
        <f>IF(AND(Games[[#This Row],[Type]]="P",Games[[#This Row],[Round]]=2),IF(Games[[#This Row],[Result]]&lt;0.5,1,0),0)</f>
        <v>0</v>
      </c>
      <c r="AI93" s="2">
        <f>IF(AND(Games[[#This Row],[Type]]="P",Games[[#This Row],[Round]]=3),IF(Games[[#This Row],[Result]]&gt;0.5,1,0),0)</f>
        <v>0</v>
      </c>
      <c r="AJ93" s="2">
        <f>IF(AND(Games[[#This Row],[Type]]="P",Games[[#This Row],[Round]]=3),IF(Games[[#This Row],[Result]]&lt;0.5,1,0),0)</f>
        <v>0</v>
      </c>
      <c r="AK93" s="2">
        <f>IF(AND(Games[[#This Row],[Type]]="P",Games[[#This Row],[Round]]=4),IF(Games[[#This Row],[Result]]&gt;0.5,1,0),0)</f>
        <v>0</v>
      </c>
      <c r="AL93" s="2">
        <f>IF(AND(Games[[#This Row],[Type]]="P",Games[[#This Row],[Round]]=4),IF(Games[[#This Row],[Result]]&lt;0.5,1,0),0)</f>
        <v>0</v>
      </c>
    </row>
    <row r="94" spans="1:38" x14ac:dyDescent="0.35">
      <c r="A94" s="10">
        <v>40337</v>
      </c>
      <c r="B94" s="2">
        <v>2010</v>
      </c>
      <c r="C94" s="2">
        <f>COUNTIFS(Games[Team],Games[[#This Row],[Team]],Games[Season],Games[[#This Row],[Season]],Games[Date],"&lt;=" &amp; Games[[#This Row],[Date]])</f>
        <v>7</v>
      </c>
      <c r="D94" s="2" t="s">
        <v>23</v>
      </c>
      <c r="E94" s="2" t="s">
        <v>29</v>
      </c>
      <c r="F94" s="1" t="s">
        <v>64</v>
      </c>
      <c r="G94" s="1" t="s">
        <v>81</v>
      </c>
      <c r="H94" s="1" t="s">
        <v>16</v>
      </c>
      <c r="I94" s="2" cm="1">
        <f t="array" ref="I94">IFERROR(
    Games[[#This Row],[Date]]
    - LOOKUP(
        2,
        1/((Games[Team]=Games[[#This Row],[Team]]) * (Games[Date] &lt; Games[[#This Row],[Date]])),
        Games[Date]
    )
    - 1,
Games[[#This Row],[Date]]-$A$2)</f>
        <v>2</v>
      </c>
      <c r="J94" s="2" cm="1">
        <f t="array" ref="J9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94" s="2">
        <f>Games[[#This Row],[DaysOff]]-Games[[#This Row],[OppDaysOff]]</f>
        <v>0</v>
      </c>
      <c r="L94" s="2">
        <f>Games[[#This Row],[OppDaysOff]]-Games[[#This Row],[DaysOff]]</f>
        <v>0</v>
      </c>
      <c r="M94" s="1">
        <f>MAX(-16, MIN(16, Games[[#This Row],[RestDiff]]*8))</f>
        <v>0</v>
      </c>
      <c r="N94" s="1">
        <f>MAX(-16, MIN(16, Games[[#This Row],[OppRestDiff]]*8))</f>
        <v>0</v>
      </c>
      <c r="O94" s="4" cm="1">
        <f t="array" ref="O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1453.6104973786205</v>
      </c>
      <c r="P94" s="4" cm="1">
        <f t="array" ref="P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1508.4376639858701</v>
      </c>
      <c r="Q94" s="4">
        <f>1/(1+10^(((Games[[#This Row],[OppPreGmRate]]+IF(Games[[#This Row],[HomeAway]]="A",HCA,0)+Games[[#This Row],[OppRestAdj]])-(Games[[#This Row],[PreGmRate]]+IF(Games[[#This Row],[HomeAway]]="H",HCA,0)+Games[[#This Row],[RestAdj]]))/400))</f>
        <v>0.31020664162379252</v>
      </c>
      <c r="R94" s="1">
        <v>85</v>
      </c>
      <c r="S94" s="1">
        <v>70</v>
      </c>
      <c r="T94" s="1">
        <v>0</v>
      </c>
      <c r="U94" s="1">
        <f>Games[[#This Row],[PointsFor]]-Games[[#This Row],[PointsAgainst]]</f>
        <v>15</v>
      </c>
      <c r="V94" s="1">
        <f>IF(Games[[#This Row],[MOV]]&gt;0,1,IF(Games[[#This Row],[MOV]]=0,0.5,0))</f>
        <v>1</v>
      </c>
      <c r="W94" s="4">
        <f>((ABS(Games[[#This Row],[MOV]])+5)^0.6)/(12+0.01*(ABS(Games[[#This Row],[PreGmRate]]-Games[[#This Row],[OppPreGmRate]])))*IF(Games[[#This Row],[OT]]=1,0.9,1)</f>
        <v>0.48087708786701844</v>
      </c>
      <c r="X94" s="7" cm="1">
        <f t="array" ref="X9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4" s="9">
        <f>MAX(kmin, kmax - 0.15 * MIN(Games[[#This Row],[GamesPlayed]], 82))</f>
        <v>74.95</v>
      </c>
      <c r="Z94" s="4">
        <f>Games[[#This Row],[K]]*Games[[#This Row],[POMult]]</f>
        <v>74.95</v>
      </c>
      <c r="AA94" s="4">
        <f>(Games[[#This Row],[Keff]]*Games[[#This Row],[MOVMult]])*(Games[[#This Row],[Result]]-Games[[#This Row],[ExpectedWin%]])</f>
        <v>24.861351314376797</v>
      </c>
      <c r="AB94" s="4">
        <f>Games[[#This Row],[PreGmRate]]+Games[[#This Row],[RatingChange]]</f>
        <v>1478.4718486929974</v>
      </c>
      <c r="AC94" s="2">
        <f>IF(Games[[#This Row],[Type]]="R",IF(Games[[#This Row],[Result]]&gt;0.5,1,0),0)</f>
        <v>1</v>
      </c>
      <c r="AD94" s="2">
        <f>IF(Games[[#This Row],[Type]]="R",IF(Games[[#This Row],[Result]]&lt;0.5,1,0),0)</f>
        <v>0</v>
      </c>
      <c r="AE94" s="2">
        <f>IF(AND(Games[[#This Row],[Type]]="P",Games[[#This Row],[Round]]=1),IF(Games[[#This Row],[Result]]&gt;0.5,1,0),0)</f>
        <v>0</v>
      </c>
      <c r="AF94" s="2">
        <f>IF(AND(Games[[#This Row],[Type]]="P",Games[[#This Row],[Round]]=1),IF(Games[[#This Row],[Result]]&lt;0.5,1,0),0)</f>
        <v>0</v>
      </c>
      <c r="AG94" s="2">
        <f>IF(AND(Games[[#This Row],[Type]]="P",Games[[#This Row],[Round]]=2),IF(Games[[#This Row],[Result]]&gt;0.5,1,0),0)</f>
        <v>0</v>
      </c>
      <c r="AH94" s="2">
        <f>IF(AND(Games[[#This Row],[Type]]="P",Games[[#This Row],[Round]]=2),IF(Games[[#This Row],[Result]]&lt;0.5,1,0),0)</f>
        <v>0</v>
      </c>
      <c r="AI94" s="2">
        <f>IF(AND(Games[[#This Row],[Type]]="P",Games[[#This Row],[Round]]=3),IF(Games[[#This Row],[Result]]&gt;0.5,1,0),0)</f>
        <v>0</v>
      </c>
      <c r="AJ94" s="2">
        <f>IF(AND(Games[[#This Row],[Type]]="P",Games[[#This Row],[Round]]=3),IF(Games[[#This Row],[Result]]&lt;0.5,1,0),0)</f>
        <v>0</v>
      </c>
      <c r="AK94" s="2">
        <f>IF(AND(Games[[#This Row],[Type]]="P",Games[[#This Row],[Round]]=4),IF(Games[[#This Row],[Result]]&gt;0.5,1,0),0)</f>
        <v>0</v>
      </c>
      <c r="AL94" s="2">
        <f>IF(AND(Games[[#This Row],[Type]]="P",Games[[#This Row],[Round]]=4),IF(Games[[#This Row],[Result]]&lt;0.5,1,0),0)</f>
        <v>0</v>
      </c>
    </row>
    <row r="95" spans="1:38" x14ac:dyDescent="0.35">
      <c r="A95" s="10">
        <v>40337</v>
      </c>
      <c r="B95" s="2">
        <v>2010</v>
      </c>
      <c r="C95" s="2">
        <f>COUNTIFS(Games[Team],Games[[#This Row],[Team]],Games[Season],Games[[#This Row],[Season]],Games[Date],"&lt;=" &amp; Games[[#This Row],[Date]])</f>
        <v>9</v>
      </c>
      <c r="D95" s="2" t="s">
        <v>23</v>
      </c>
      <c r="E95" s="2" t="s">
        <v>29</v>
      </c>
      <c r="F95" s="1" t="s">
        <v>81</v>
      </c>
      <c r="G95" s="1" t="s">
        <v>64</v>
      </c>
      <c r="H95" s="1" t="s">
        <v>15</v>
      </c>
      <c r="I95" s="2" cm="1">
        <f t="array" ref="I95">IFERROR(
    Games[[#This Row],[Date]]
    - LOOKUP(
        2,
        1/((Games[Team]=Games[[#This Row],[Team]]) * (Games[Date] &lt; Games[[#This Row],[Date]])),
        Games[Date]
    )
    - 1,
Games[[#This Row],[Date]]-$A$2)</f>
        <v>2</v>
      </c>
      <c r="J95" s="2" cm="1">
        <f t="array" ref="J9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95" s="2">
        <f>Games[[#This Row],[DaysOff]]-Games[[#This Row],[OppDaysOff]]</f>
        <v>0</v>
      </c>
      <c r="L95" s="2">
        <f>Games[[#This Row],[OppDaysOff]]-Games[[#This Row],[DaysOff]]</f>
        <v>0</v>
      </c>
      <c r="M95" s="1">
        <f>MAX(-16, MIN(16, Games[[#This Row],[RestDiff]]*8))</f>
        <v>0</v>
      </c>
      <c r="N95" s="1">
        <f>MAX(-16, MIN(16, Games[[#This Row],[OppRestDiff]]*8))</f>
        <v>0</v>
      </c>
      <c r="O95" s="4" cm="1">
        <f t="array" ref="O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1508.4376639858701</v>
      </c>
      <c r="P95" s="4" cm="1">
        <f t="array" ref="P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1453.6104973786205</v>
      </c>
      <c r="Q95" s="4">
        <f>1/(1+10^(((Games[[#This Row],[OppPreGmRate]]+IF(Games[[#This Row],[HomeAway]]="A",HCA,0)+Games[[#This Row],[OppRestAdj]])-(Games[[#This Row],[PreGmRate]]+IF(Games[[#This Row],[HomeAway]]="H",HCA,0)+Games[[#This Row],[RestAdj]]))/400))</f>
        <v>0.68979335837620748</v>
      </c>
      <c r="R95" s="1">
        <v>70</v>
      </c>
      <c r="S95" s="1">
        <v>85</v>
      </c>
      <c r="T95" s="1">
        <v>0</v>
      </c>
      <c r="U95" s="1">
        <f>Games[[#This Row],[PointsFor]]-Games[[#This Row],[PointsAgainst]]</f>
        <v>-15</v>
      </c>
      <c r="V95" s="1">
        <f>IF(Games[[#This Row],[MOV]]&gt;0,1,IF(Games[[#This Row],[MOV]]=0,0.5,0))</f>
        <v>0</v>
      </c>
      <c r="W95" s="4">
        <f>((ABS(Games[[#This Row],[MOV]])+5)^0.6)/(12+0.01*(ABS(Games[[#This Row],[PreGmRate]]-Games[[#This Row],[OppPreGmRate]])))*IF(Games[[#This Row],[OT]]=1,0.9,1)</f>
        <v>0.48087708786701844</v>
      </c>
      <c r="X95" s="7" cm="1">
        <f t="array" ref="X9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5" s="9">
        <f>MAX(kmin, kmax - 0.15 * MIN(Games[[#This Row],[GamesPlayed]], 82))</f>
        <v>74.650000000000006</v>
      </c>
      <c r="Z95" s="4">
        <f>Games[[#This Row],[K]]*Games[[#This Row],[POMult]]</f>
        <v>74.650000000000006</v>
      </c>
      <c r="AA95" s="4">
        <f>(Games[[#This Row],[Keff]]*Games[[#This Row],[MOVMult]])*(Games[[#This Row],[Result]]-Games[[#This Row],[ExpectedWin%]])</f>
        <v>-24.761839567955008</v>
      </c>
      <c r="AB95" s="4">
        <f>Games[[#This Row],[PreGmRate]]+Games[[#This Row],[RatingChange]]</f>
        <v>1483.675824417915</v>
      </c>
      <c r="AC95" s="2">
        <f>IF(Games[[#This Row],[Type]]="R",IF(Games[[#This Row],[Result]]&gt;0.5,1,0),0)</f>
        <v>0</v>
      </c>
      <c r="AD95" s="2">
        <f>IF(Games[[#This Row],[Type]]="R",IF(Games[[#This Row],[Result]]&lt;0.5,1,0),0)</f>
        <v>1</v>
      </c>
      <c r="AE95" s="2">
        <f>IF(AND(Games[[#This Row],[Type]]="P",Games[[#This Row],[Round]]=1),IF(Games[[#This Row],[Result]]&gt;0.5,1,0),0)</f>
        <v>0</v>
      </c>
      <c r="AF95" s="2">
        <f>IF(AND(Games[[#This Row],[Type]]="P",Games[[#This Row],[Round]]=1),IF(Games[[#This Row],[Result]]&lt;0.5,1,0),0)</f>
        <v>0</v>
      </c>
      <c r="AG95" s="2">
        <f>IF(AND(Games[[#This Row],[Type]]="P",Games[[#This Row],[Round]]=2),IF(Games[[#This Row],[Result]]&gt;0.5,1,0),0)</f>
        <v>0</v>
      </c>
      <c r="AH95" s="2">
        <f>IF(AND(Games[[#This Row],[Type]]="P",Games[[#This Row],[Round]]=2),IF(Games[[#This Row],[Result]]&lt;0.5,1,0),0)</f>
        <v>0</v>
      </c>
      <c r="AI95" s="2">
        <f>IF(AND(Games[[#This Row],[Type]]="P",Games[[#This Row],[Round]]=3),IF(Games[[#This Row],[Result]]&gt;0.5,1,0),0)</f>
        <v>0</v>
      </c>
      <c r="AJ95" s="2">
        <f>IF(AND(Games[[#This Row],[Type]]="P",Games[[#This Row],[Round]]=3),IF(Games[[#This Row],[Result]]&lt;0.5,1,0),0)</f>
        <v>0</v>
      </c>
      <c r="AK95" s="2">
        <f>IF(AND(Games[[#This Row],[Type]]="P",Games[[#This Row],[Round]]=4),IF(Games[[#This Row],[Result]]&gt;0.5,1,0),0)</f>
        <v>0</v>
      </c>
      <c r="AL95" s="2">
        <f>IF(AND(Games[[#This Row],[Type]]="P",Games[[#This Row],[Round]]=4),IF(Games[[#This Row],[Result]]&lt;0.5,1,0),0)</f>
        <v>0</v>
      </c>
    </row>
    <row r="96" spans="1:38" x14ac:dyDescent="0.35">
      <c r="A96" s="10">
        <v>40337</v>
      </c>
      <c r="B96" s="2">
        <v>2010</v>
      </c>
      <c r="C96" s="2">
        <f>COUNTIFS(Games[Team],Games[[#This Row],[Team]],Games[Season],Games[[#This Row],[Season]],Games[Date],"&lt;=" &amp; Games[[#This Row],[Date]])</f>
        <v>8</v>
      </c>
      <c r="D96" s="2" t="s">
        <v>23</v>
      </c>
      <c r="E96" s="2" t="s">
        <v>29</v>
      </c>
      <c r="F96" s="1" t="s">
        <v>44</v>
      </c>
      <c r="G96" s="1" t="s">
        <v>67</v>
      </c>
      <c r="H96" s="1" t="s">
        <v>16</v>
      </c>
      <c r="I96" s="2" cm="1">
        <f t="array" ref="I96">IFERROR(
    Games[[#This Row],[Date]]
    - LOOKUP(
        2,
        1/((Games[Team]=Games[[#This Row],[Team]]) * (Games[Date] &lt; Games[[#This Row],[Date]])),
        Games[Date]
    )
    - 1,
Games[[#This Row],[Date]]-$A$2)</f>
        <v>1</v>
      </c>
      <c r="J96" s="2" cm="1">
        <f t="array" ref="J9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96" s="2">
        <f>Games[[#This Row],[DaysOff]]-Games[[#This Row],[OppDaysOff]]</f>
        <v>-1</v>
      </c>
      <c r="L96" s="2">
        <f>Games[[#This Row],[OppDaysOff]]-Games[[#This Row],[DaysOff]]</f>
        <v>1</v>
      </c>
      <c r="M96" s="1">
        <f>MAX(-16, MIN(16, Games[[#This Row],[RestDiff]]*8))</f>
        <v>-8</v>
      </c>
      <c r="N96" s="1">
        <f>MAX(-16, MIN(16, Games[[#This Row],[OppRestDiff]]*8))</f>
        <v>8</v>
      </c>
      <c r="O96" s="4" cm="1">
        <f t="array" ref="O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1539.1622330933164</v>
      </c>
      <c r="P96" s="4" cm="1">
        <f t="array" ref="P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1473.6168602990647</v>
      </c>
      <c r="Q96" s="4">
        <f>1/(1+10^(((Games[[#This Row],[OppPreGmRate]]+IF(Games[[#This Row],[HomeAway]]="A",HCA,0)+Games[[#This Row],[OppRestAdj]])-(Games[[#This Row],[PreGmRate]]+IF(Games[[#This Row],[HomeAway]]="H",HCA,0)+Games[[#This Row],[RestAdj]]))/400))</f>
        <v>0.45057771185703543</v>
      </c>
      <c r="R96" s="1">
        <v>91</v>
      </c>
      <c r="S96" s="1">
        <v>92</v>
      </c>
      <c r="T96" s="1">
        <v>0</v>
      </c>
      <c r="U96" s="1">
        <f>Games[[#This Row],[PointsFor]]-Games[[#This Row],[PointsAgainst]]</f>
        <v>-1</v>
      </c>
      <c r="V96" s="1">
        <f>IF(Games[[#This Row],[MOV]]&gt;0,1,IF(Games[[#This Row],[MOV]]=0,0.5,0))</f>
        <v>0</v>
      </c>
      <c r="W96" s="4">
        <f>((ABS(Games[[#This Row],[MOV]])+5)^0.6)/(12+0.01*(ABS(Games[[#This Row],[PreGmRate]]-Games[[#This Row],[OppPreGmRate]])))*IF(Games[[#This Row],[OT]]=1,0.9,1)</f>
        <v>0.23153306981905392</v>
      </c>
      <c r="X96" s="7" cm="1">
        <f t="array" ref="X9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6" s="9">
        <f>MAX(kmin, kmax - 0.15 * MIN(Games[[#This Row],[GamesPlayed]], 82))</f>
        <v>74.8</v>
      </c>
      <c r="Z96" s="4">
        <f>Games[[#This Row],[K]]*Games[[#This Row],[POMult]]</f>
        <v>74.8</v>
      </c>
      <c r="AA96" s="4">
        <f>(Games[[#This Row],[Keff]]*Games[[#This Row],[MOVMult]])*(Games[[#This Row],[Result]]-Games[[#This Row],[ExpectedWin%]])</f>
        <v>-7.8034083332091804</v>
      </c>
      <c r="AB96" s="4">
        <f>Games[[#This Row],[PreGmRate]]+Games[[#This Row],[RatingChange]]</f>
        <v>1531.3588247601072</v>
      </c>
      <c r="AC96" s="2">
        <f>IF(Games[[#This Row],[Type]]="R",IF(Games[[#This Row],[Result]]&gt;0.5,1,0),0)</f>
        <v>0</v>
      </c>
      <c r="AD96" s="2">
        <f>IF(Games[[#This Row],[Type]]="R",IF(Games[[#This Row],[Result]]&lt;0.5,1,0),0)</f>
        <v>1</v>
      </c>
      <c r="AE96" s="2">
        <f>IF(AND(Games[[#This Row],[Type]]="P",Games[[#This Row],[Round]]=1),IF(Games[[#This Row],[Result]]&gt;0.5,1,0),0)</f>
        <v>0</v>
      </c>
      <c r="AF96" s="2">
        <f>IF(AND(Games[[#This Row],[Type]]="P",Games[[#This Row],[Round]]=1),IF(Games[[#This Row],[Result]]&lt;0.5,1,0),0)</f>
        <v>0</v>
      </c>
      <c r="AG96" s="2">
        <f>IF(AND(Games[[#This Row],[Type]]="P",Games[[#This Row],[Round]]=2),IF(Games[[#This Row],[Result]]&gt;0.5,1,0),0)</f>
        <v>0</v>
      </c>
      <c r="AH96" s="2">
        <f>IF(AND(Games[[#This Row],[Type]]="P",Games[[#This Row],[Round]]=2),IF(Games[[#This Row],[Result]]&lt;0.5,1,0),0)</f>
        <v>0</v>
      </c>
      <c r="AI96" s="2">
        <f>IF(AND(Games[[#This Row],[Type]]="P",Games[[#This Row],[Round]]=3),IF(Games[[#This Row],[Result]]&gt;0.5,1,0),0)</f>
        <v>0</v>
      </c>
      <c r="AJ96" s="2">
        <f>IF(AND(Games[[#This Row],[Type]]="P",Games[[#This Row],[Round]]=3),IF(Games[[#This Row],[Result]]&lt;0.5,1,0),0)</f>
        <v>0</v>
      </c>
      <c r="AK96" s="2">
        <f>IF(AND(Games[[#This Row],[Type]]="P",Games[[#This Row],[Round]]=4),IF(Games[[#This Row],[Result]]&gt;0.5,1,0),0)</f>
        <v>0</v>
      </c>
      <c r="AL96" s="2">
        <f>IF(AND(Games[[#This Row],[Type]]="P",Games[[#This Row],[Round]]=4),IF(Games[[#This Row],[Result]]&lt;0.5,1,0),0)</f>
        <v>0</v>
      </c>
    </row>
    <row r="97" spans="1:38" x14ac:dyDescent="0.35">
      <c r="A97" s="10">
        <v>40337</v>
      </c>
      <c r="B97" s="2">
        <v>2010</v>
      </c>
      <c r="C97" s="2">
        <f>COUNTIFS(Games[Team],Games[[#This Row],[Team]],Games[Season],Games[[#This Row],[Season]],Games[Date],"&lt;=" &amp; Games[[#This Row],[Date]])</f>
        <v>8</v>
      </c>
      <c r="D97" s="2" t="s">
        <v>23</v>
      </c>
      <c r="E97" s="2" t="s">
        <v>29</v>
      </c>
      <c r="F97" s="1" t="s">
        <v>67</v>
      </c>
      <c r="G97" s="1" t="s">
        <v>44</v>
      </c>
      <c r="H97" s="1" t="s">
        <v>15</v>
      </c>
      <c r="I97" s="2" cm="1">
        <f t="array" ref="I97">IFERROR(
    Games[[#This Row],[Date]]
    - LOOKUP(
        2,
        1/((Games[Team]=Games[[#This Row],[Team]]) * (Games[Date] &lt; Games[[#This Row],[Date]])),
        Games[Date]
    )
    - 1,
Games[[#This Row],[Date]]-$A$2)</f>
        <v>2</v>
      </c>
      <c r="J97" s="2" cm="1">
        <f t="array" ref="J9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7" s="2">
        <f>Games[[#This Row],[DaysOff]]-Games[[#This Row],[OppDaysOff]]</f>
        <v>1</v>
      </c>
      <c r="L97" s="2">
        <f>Games[[#This Row],[OppDaysOff]]-Games[[#This Row],[DaysOff]]</f>
        <v>-1</v>
      </c>
      <c r="M97" s="1">
        <f>MAX(-16, MIN(16, Games[[#This Row],[RestDiff]]*8))</f>
        <v>8</v>
      </c>
      <c r="N97" s="1">
        <f>MAX(-16, MIN(16, Games[[#This Row],[OppRestDiff]]*8))</f>
        <v>-8</v>
      </c>
      <c r="O97" s="4" cm="1">
        <f t="array" ref="O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1473.6168602990647</v>
      </c>
      <c r="P97" s="4" cm="1">
        <f t="array" ref="P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1539.1622330933164</v>
      </c>
      <c r="Q97" s="4">
        <f>1/(1+10^(((Games[[#This Row],[OppPreGmRate]]+IF(Games[[#This Row],[HomeAway]]="A",HCA,0)+Games[[#This Row],[OppRestAdj]])-(Games[[#This Row],[PreGmRate]]+IF(Games[[#This Row],[HomeAway]]="H",HCA,0)+Games[[#This Row],[RestAdj]]))/400))</f>
        <v>0.54942228814296457</v>
      </c>
      <c r="R97" s="1">
        <v>92</v>
      </c>
      <c r="S97" s="1">
        <v>91</v>
      </c>
      <c r="T97" s="1">
        <v>0</v>
      </c>
      <c r="U97" s="1">
        <f>Games[[#This Row],[PointsFor]]-Games[[#This Row],[PointsAgainst]]</f>
        <v>1</v>
      </c>
      <c r="V97" s="1">
        <f>IF(Games[[#This Row],[MOV]]&gt;0,1,IF(Games[[#This Row],[MOV]]=0,0.5,0))</f>
        <v>1</v>
      </c>
      <c r="W97" s="4">
        <f>((ABS(Games[[#This Row],[MOV]])+5)^0.6)/(12+0.01*(ABS(Games[[#This Row],[PreGmRate]]-Games[[#This Row],[OppPreGmRate]])))*IF(Games[[#This Row],[OT]]=1,0.9,1)</f>
        <v>0.23153306981905392</v>
      </c>
      <c r="X97" s="7" cm="1">
        <f t="array" ref="X9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7" s="9">
        <f>MAX(kmin, kmax - 0.15 * MIN(Games[[#This Row],[GamesPlayed]], 82))</f>
        <v>74.8</v>
      </c>
      <c r="Z97" s="4">
        <f>Games[[#This Row],[K]]*Games[[#This Row],[POMult]]</f>
        <v>74.8</v>
      </c>
      <c r="AA97" s="4">
        <f>(Games[[#This Row],[Keff]]*Games[[#This Row],[MOVMult]])*(Games[[#This Row],[Result]]-Games[[#This Row],[ExpectedWin%]])</f>
        <v>7.8034083332091804</v>
      </c>
      <c r="AB97" s="4">
        <f>Games[[#This Row],[PreGmRate]]+Games[[#This Row],[RatingChange]]</f>
        <v>1481.420268632274</v>
      </c>
      <c r="AC97" s="2">
        <f>IF(Games[[#This Row],[Type]]="R",IF(Games[[#This Row],[Result]]&gt;0.5,1,0),0)</f>
        <v>1</v>
      </c>
      <c r="AD97" s="2">
        <f>IF(Games[[#This Row],[Type]]="R",IF(Games[[#This Row],[Result]]&lt;0.5,1,0),0)</f>
        <v>0</v>
      </c>
      <c r="AE97" s="2">
        <f>IF(AND(Games[[#This Row],[Type]]="P",Games[[#This Row],[Round]]=1),IF(Games[[#This Row],[Result]]&gt;0.5,1,0),0)</f>
        <v>0</v>
      </c>
      <c r="AF97" s="2">
        <f>IF(AND(Games[[#This Row],[Type]]="P",Games[[#This Row],[Round]]=1),IF(Games[[#This Row],[Result]]&lt;0.5,1,0),0)</f>
        <v>0</v>
      </c>
      <c r="AG97" s="2">
        <f>IF(AND(Games[[#This Row],[Type]]="P",Games[[#This Row],[Round]]=2),IF(Games[[#This Row],[Result]]&gt;0.5,1,0),0)</f>
        <v>0</v>
      </c>
      <c r="AH97" s="2">
        <f>IF(AND(Games[[#This Row],[Type]]="P",Games[[#This Row],[Round]]=2),IF(Games[[#This Row],[Result]]&lt;0.5,1,0),0)</f>
        <v>0</v>
      </c>
      <c r="AI97" s="2">
        <f>IF(AND(Games[[#This Row],[Type]]="P",Games[[#This Row],[Round]]=3),IF(Games[[#This Row],[Result]]&gt;0.5,1,0),0)</f>
        <v>0</v>
      </c>
      <c r="AJ97" s="2">
        <f>IF(AND(Games[[#This Row],[Type]]="P",Games[[#This Row],[Round]]=3),IF(Games[[#This Row],[Result]]&lt;0.5,1,0),0)</f>
        <v>0</v>
      </c>
      <c r="AK97" s="2">
        <f>IF(AND(Games[[#This Row],[Type]]="P",Games[[#This Row],[Round]]=4),IF(Games[[#This Row],[Result]]&gt;0.5,1,0),0)</f>
        <v>0</v>
      </c>
      <c r="AL97" s="2">
        <f>IF(AND(Games[[#This Row],[Type]]="P",Games[[#This Row],[Round]]=4),IF(Games[[#This Row],[Result]]&lt;0.5,1,0),0)</f>
        <v>0</v>
      </c>
    </row>
    <row r="98" spans="1:38" x14ac:dyDescent="0.35">
      <c r="A98" s="10">
        <v>40339</v>
      </c>
      <c r="B98" s="2">
        <v>2010</v>
      </c>
      <c r="C98" s="2">
        <f>COUNTIFS(Games[Team],Games[[#This Row],[Team]],Games[Season],Games[[#This Row],[Season]],Games[Date],"&lt;=" &amp; Games[[#This Row],[Date]])</f>
        <v>10</v>
      </c>
      <c r="D98" s="2" t="s">
        <v>23</v>
      </c>
      <c r="E98" s="2" t="s">
        <v>29</v>
      </c>
      <c r="F98" s="1" t="s">
        <v>71</v>
      </c>
      <c r="G98" s="1" t="s">
        <v>44</v>
      </c>
      <c r="H98" s="1" t="s">
        <v>16</v>
      </c>
      <c r="I98" s="2" cm="1">
        <f t="array" ref="I98">IFERROR(
    Games[[#This Row],[Date]]
    - LOOKUP(
        2,
        1/((Games[Team]=Games[[#This Row],[Team]]) * (Games[Date] &lt; Games[[#This Row],[Date]])),
        Games[Date]
    )
    - 1,
Games[[#This Row],[Date]]-$A$2)</f>
        <v>3</v>
      </c>
      <c r="J98" s="2" cm="1">
        <f t="array" ref="J9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8" s="2">
        <f>Games[[#This Row],[DaysOff]]-Games[[#This Row],[OppDaysOff]]</f>
        <v>2</v>
      </c>
      <c r="L98" s="2">
        <f>Games[[#This Row],[OppDaysOff]]-Games[[#This Row],[DaysOff]]</f>
        <v>-2</v>
      </c>
      <c r="M98" s="1">
        <f>MAX(-16, MIN(16, Games[[#This Row],[RestDiff]]*8))</f>
        <v>16</v>
      </c>
      <c r="N98" s="1">
        <f>MAX(-16, MIN(16, Games[[#This Row],[OppRestDiff]]*8))</f>
        <v>-16</v>
      </c>
      <c r="O98" s="4" cm="1">
        <f t="array" ref="O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1382.0976427819155</v>
      </c>
      <c r="P98" s="4" cm="1">
        <f t="array" ref="P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1531.3588247601072</v>
      </c>
      <c r="Q98" s="4">
        <f>1/(1+10^(((Games[[#This Row],[OppPreGmRate]]+IF(Games[[#This Row],[HomeAway]]="A",HCA,0)+Games[[#This Row],[OppRestAdj]])-(Games[[#This Row],[PreGmRate]]+IF(Games[[#This Row],[HomeAway]]="H",HCA,0)+Games[[#This Row],[RestAdj]]))/400))</f>
        <v>0.23893040410997102</v>
      </c>
      <c r="R98" s="1">
        <v>88</v>
      </c>
      <c r="S98" s="1">
        <v>99</v>
      </c>
      <c r="T98" s="1">
        <v>0</v>
      </c>
      <c r="U98" s="1">
        <f>Games[[#This Row],[PointsFor]]-Games[[#This Row],[PointsAgainst]]</f>
        <v>-11</v>
      </c>
      <c r="V98" s="1">
        <f>IF(Games[[#This Row],[MOV]]&gt;0,1,IF(Games[[#This Row],[MOV]]=0,0.5,0))</f>
        <v>0</v>
      </c>
      <c r="W98" s="4">
        <f>((ABS(Games[[#This Row],[MOV]])+5)^0.6)/(12+0.01*(ABS(Games[[#This Row],[PreGmRate]]-Games[[#This Row],[OppPreGmRate]])))*IF(Games[[#This Row],[OT]]=1,0.9,1)</f>
        <v>0.39117938866019242</v>
      </c>
      <c r="X98" s="7" cm="1">
        <f t="array" ref="X9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8" s="9">
        <f>MAX(kmin, kmax - 0.15 * MIN(Games[[#This Row],[GamesPlayed]], 82))</f>
        <v>74.5</v>
      </c>
      <c r="Z98" s="4">
        <f>Games[[#This Row],[K]]*Games[[#This Row],[POMult]]</f>
        <v>74.5</v>
      </c>
      <c r="AA98" s="4">
        <f>(Games[[#This Row],[Keff]]*Games[[#This Row],[MOVMult]])*(Games[[#This Row],[Result]]-Games[[#This Row],[ExpectedWin%]])</f>
        <v>-6.9631163811993035</v>
      </c>
      <c r="AB98" s="4">
        <f>Games[[#This Row],[PreGmRate]]+Games[[#This Row],[RatingChange]]</f>
        <v>1375.1345264007161</v>
      </c>
      <c r="AC98" s="2">
        <f>IF(Games[[#This Row],[Type]]="R",IF(Games[[#This Row],[Result]]&gt;0.5,1,0),0)</f>
        <v>0</v>
      </c>
      <c r="AD98" s="2">
        <f>IF(Games[[#This Row],[Type]]="R",IF(Games[[#This Row],[Result]]&lt;0.5,1,0),0)</f>
        <v>1</v>
      </c>
      <c r="AE98" s="2">
        <f>IF(AND(Games[[#This Row],[Type]]="P",Games[[#This Row],[Round]]=1),IF(Games[[#This Row],[Result]]&gt;0.5,1,0),0)</f>
        <v>0</v>
      </c>
      <c r="AF98" s="2">
        <f>IF(AND(Games[[#This Row],[Type]]="P",Games[[#This Row],[Round]]=1),IF(Games[[#This Row],[Result]]&lt;0.5,1,0),0)</f>
        <v>0</v>
      </c>
      <c r="AG98" s="2">
        <f>IF(AND(Games[[#This Row],[Type]]="P",Games[[#This Row],[Round]]=2),IF(Games[[#This Row],[Result]]&gt;0.5,1,0),0)</f>
        <v>0</v>
      </c>
      <c r="AH98" s="2">
        <f>IF(AND(Games[[#This Row],[Type]]="P",Games[[#This Row],[Round]]=2),IF(Games[[#This Row],[Result]]&lt;0.5,1,0),0)</f>
        <v>0</v>
      </c>
      <c r="AI98" s="2">
        <f>IF(AND(Games[[#This Row],[Type]]="P",Games[[#This Row],[Round]]=3),IF(Games[[#This Row],[Result]]&gt;0.5,1,0),0)</f>
        <v>0</v>
      </c>
      <c r="AJ98" s="2">
        <f>IF(AND(Games[[#This Row],[Type]]="P",Games[[#This Row],[Round]]=3),IF(Games[[#This Row],[Result]]&lt;0.5,1,0),0)</f>
        <v>0</v>
      </c>
      <c r="AK98" s="2">
        <f>IF(AND(Games[[#This Row],[Type]]="P",Games[[#This Row],[Round]]=4),IF(Games[[#This Row],[Result]]&gt;0.5,1,0),0)</f>
        <v>0</v>
      </c>
      <c r="AL98" s="2">
        <f>IF(AND(Games[[#This Row],[Type]]="P",Games[[#This Row],[Round]]=4),IF(Games[[#This Row],[Result]]&lt;0.5,1,0),0)</f>
        <v>0</v>
      </c>
    </row>
    <row r="99" spans="1:38" x14ac:dyDescent="0.35">
      <c r="A99" s="10">
        <v>40339</v>
      </c>
      <c r="B99" s="2">
        <v>2010</v>
      </c>
      <c r="C99" s="2">
        <f>COUNTIFS(Games[Team],Games[[#This Row],[Team]],Games[Season],Games[[#This Row],[Season]],Games[Date],"&lt;=" &amp; Games[[#This Row],[Date]])</f>
        <v>9</v>
      </c>
      <c r="D99" s="2" t="s">
        <v>23</v>
      </c>
      <c r="E99" s="2" t="s">
        <v>29</v>
      </c>
      <c r="F99" s="1" t="s">
        <v>44</v>
      </c>
      <c r="G99" s="1" t="s">
        <v>71</v>
      </c>
      <c r="H99" s="1" t="s">
        <v>15</v>
      </c>
      <c r="I99" s="2" cm="1">
        <f t="array" ref="I99">IFERROR(
    Games[[#This Row],[Date]]
    - LOOKUP(
        2,
        1/((Games[Team]=Games[[#This Row],[Team]]) * (Games[Date] &lt; Games[[#This Row],[Date]])),
        Games[Date]
    )
    - 1,
Games[[#This Row],[Date]]-$A$2)</f>
        <v>1</v>
      </c>
      <c r="J99" s="2" cm="1">
        <f t="array" ref="J9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99" s="2">
        <f>Games[[#This Row],[DaysOff]]-Games[[#This Row],[OppDaysOff]]</f>
        <v>-2</v>
      </c>
      <c r="L99" s="2">
        <f>Games[[#This Row],[OppDaysOff]]-Games[[#This Row],[DaysOff]]</f>
        <v>2</v>
      </c>
      <c r="M99" s="1">
        <f>MAX(-16, MIN(16, Games[[#This Row],[RestDiff]]*8))</f>
        <v>-16</v>
      </c>
      <c r="N99" s="1">
        <f>MAX(-16, MIN(16, Games[[#This Row],[OppRestDiff]]*8))</f>
        <v>16</v>
      </c>
      <c r="O99" s="4" cm="1">
        <f t="array" ref="O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1531.3588247601072</v>
      </c>
      <c r="P99" s="4" cm="1">
        <f t="array" ref="P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1382.0976427819155</v>
      </c>
      <c r="Q99" s="4">
        <f>1/(1+10^(((Games[[#This Row],[OppPreGmRate]]+IF(Games[[#This Row],[HomeAway]]="A",HCA,0)+Games[[#This Row],[OppRestAdj]])-(Games[[#This Row],[PreGmRate]]+IF(Games[[#This Row],[HomeAway]]="H",HCA,0)+Games[[#This Row],[RestAdj]]))/400))</f>
        <v>0.76106959589002887</v>
      </c>
      <c r="R99" s="1">
        <v>99</v>
      </c>
      <c r="S99" s="1">
        <v>88</v>
      </c>
      <c r="T99" s="1">
        <v>0</v>
      </c>
      <c r="U99" s="1">
        <f>Games[[#This Row],[PointsFor]]-Games[[#This Row],[PointsAgainst]]</f>
        <v>11</v>
      </c>
      <c r="V99" s="1">
        <f>IF(Games[[#This Row],[MOV]]&gt;0,1,IF(Games[[#This Row],[MOV]]=0,0.5,0))</f>
        <v>1</v>
      </c>
      <c r="W99" s="4">
        <f>((ABS(Games[[#This Row],[MOV]])+5)^0.6)/(12+0.01*(ABS(Games[[#This Row],[PreGmRate]]-Games[[#This Row],[OppPreGmRate]])))*IF(Games[[#This Row],[OT]]=1,0.9,1)</f>
        <v>0.39117938866019242</v>
      </c>
      <c r="X99" s="7" cm="1">
        <f t="array" ref="X9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9" s="9">
        <f>MAX(kmin, kmax - 0.15 * MIN(Games[[#This Row],[GamesPlayed]], 82))</f>
        <v>74.650000000000006</v>
      </c>
      <c r="Z99" s="4">
        <f>Games[[#This Row],[K]]*Games[[#This Row],[POMult]]</f>
        <v>74.650000000000006</v>
      </c>
      <c r="AA99" s="4">
        <f>(Games[[#This Row],[Keff]]*Games[[#This Row],[MOVMult]])*(Games[[#This Row],[Result]]-Games[[#This Row],[ExpectedWin%]])</f>
        <v>6.9771360786111174</v>
      </c>
      <c r="AB99" s="4">
        <f>Games[[#This Row],[PreGmRate]]+Games[[#This Row],[RatingChange]]</f>
        <v>1538.3359608387182</v>
      </c>
      <c r="AC99" s="2">
        <f>IF(Games[[#This Row],[Type]]="R",IF(Games[[#This Row],[Result]]&gt;0.5,1,0),0)</f>
        <v>1</v>
      </c>
      <c r="AD99" s="2">
        <f>IF(Games[[#This Row],[Type]]="R",IF(Games[[#This Row],[Result]]&lt;0.5,1,0),0)</f>
        <v>0</v>
      </c>
      <c r="AE99" s="2">
        <f>IF(AND(Games[[#This Row],[Type]]="P",Games[[#This Row],[Round]]=1),IF(Games[[#This Row],[Result]]&gt;0.5,1,0),0)</f>
        <v>0</v>
      </c>
      <c r="AF99" s="2">
        <f>IF(AND(Games[[#This Row],[Type]]="P",Games[[#This Row],[Round]]=1),IF(Games[[#This Row],[Result]]&lt;0.5,1,0),0)</f>
        <v>0</v>
      </c>
      <c r="AG99" s="2">
        <f>IF(AND(Games[[#This Row],[Type]]="P",Games[[#This Row],[Round]]=2),IF(Games[[#This Row],[Result]]&gt;0.5,1,0),0)</f>
        <v>0</v>
      </c>
      <c r="AH99" s="2">
        <f>IF(AND(Games[[#This Row],[Type]]="P",Games[[#This Row],[Round]]=2),IF(Games[[#This Row],[Result]]&lt;0.5,1,0),0)</f>
        <v>0</v>
      </c>
      <c r="AI99" s="2">
        <f>IF(AND(Games[[#This Row],[Type]]="P",Games[[#This Row],[Round]]=3),IF(Games[[#This Row],[Result]]&gt;0.5,1,0),0)</f>
        <v>0</v>
      </c>
      <c r="AJ99" s="2">
        <f>IF(AND(Games[[#This Row],[Type]]="P",Games[[#This Row],[Round]]=3),IF(Games[[#This Row],[Result]]&lt;0.5,1,0),0)</f>
        <v>0</v>
      </c>
      <c r="AK99" s="2">
        <f>IF(AND(Games[[#This Row],[Type]]="P",Games[[#This Row],[Round]]=4),IF(Games[[#This Row],[Result]]&gt;0.5,1,0),0)</f>
        <v>0</v>
      </c>
      <c r="AL99" s="2">
        <f>IF(AND(Games[[#This Row],[Type]]="P",Games[[#This Row],[Round]]=4),IF(Games[[#This Row],[Result]]&lt;0.5,1,0),0)</f>
        <v>0</v>
      </c>
    </row>
    <row r="100" spans="1:38" x14ac:dyDescent="0.35">
      <c r="A100" s="10">
        <v>40340</v>
      </c>
      <c r="B100" s="2">
        <v>2010</v>
      </c>
      <c r="C100" s="2">
        <f>COUNTIFS(Games[Team],Games[[#This Row],[Team]],Games[Season],Games[[#This Row],[Season]],Games[Date],"&lt;=" &amp; Games[[#This Row],[Date]])</f>
        <v>9</v>
      </c>
      <c r="D100" s="2" t="s">
        <v>23</v>
      </c>
      <c r="E100" s="2" t="s">
        <v>29</v>
      </c>
      <c r="F100" s="1" t="s">
        <v>69</v>
      </c>
      <c r="G100" s="1" t="s">
        <v>81</v>
      </c>
      <c r="H100" s="1" t="s">
        <v>16</v>
      </c>
      <c r="I100" s="2" cm="1">
        <f t="array" ref="I100">IFERROR(
    Games[[#This Row],[Date]]
    - LOOKUP(
        2,
        1/((Games[Team]=Games[[#This Row],[Team]]) * (Games[Date] &lt; Games[[#This Row],[Date]])),
        Games[Date]
    )
    - 1,
Games[[#This Row],[Date]]-$A$2)</f>
        <v>5</v>
      </c>
      <c r="J100" s="2" cm="1">
        <f t="array" ref="J10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00" s="2">
        <f>Games[[#This Row],[DaysOff]]-Games[[#This Row],[OppDaysOff]]</f>
        <v>3</v>
      </c>
      <c r="L100" s="2">
        <f>Games[[#This Row],[OppDaysOff]]-Games[[#This Row],[DaysOff]]</f>
        <v>-3</v>
      </c>
      <c r="M100" s="1">
        <f>MAX(-16, MIN(16, Games[[#This Row],[RestDiff]]*8))</f>
        <v>16</v>
      </c>
      <c r="N100" s="1">
        <f>MAX(-16, MIN(16, Games[[#This Row],[OppRestDiff]]*8))</f>
        <v>-16</v>
      </c>
      <c r="O100" s="4" cm="1">
        <f t="array" ref="O1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1479.2438890915037</v>
      </c>
      <c r="P100" s="4" cm="1">
        <f t="array" ref="P1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1483.675824417915</v>
      </c>
      <c r="Q100" s="4">
        <f>1/(1+10^(((Games[[#This Row],[OppPreGmRate]]+IF(Games[[#This Row],[HomeAway]]="A",HCA,0)+Games[[#This Row],[OppRestAdj]])-(Games[[#This Row],[PreGmRate]]+IF(Games[[#This Row],[HomeAway]]="H",HCA,0)+Games[[#This Row],[RestAdj]]))/400))</f>
        <v>0.41949462859753706</v>
      </c>
      <c r="R100" s="1">
        <v>95</v>
      </c>
      <c r="S100" s="1">
        <v>78</v>
      </c>
      <c r="T100" s="1">
        <v>0</v>
      </c>
      <c r="U100" s="1">
        <f>Games[[#This Row],[PointsFor]]-Games[[#This Row],[PointsAgainst]]</f>
        <v>17</v>
      </c>
      <c r="V100" s="1">
        <f>IF(Games[[#This Row],[MOV]]&gt;0,1,IF(Games[[#This Row],[MOV]]=0,0.5,0))</f>
        <v>1</v>
      </c>
      <c r="W100" s="4">
        <f>((ABS(Games[[#This Row],[MOV]])+5)^0.6)/(12+0.01*(ABS(Games[[#This Row],[PreGmRate]]-Games[[#This Row],[OppPreGmRate]])))*IF(Games[[#This Row],[OT]]=1,0.9,1)</f>
        <v>0.53048284768806064</v>
      </c>
      <c r="X100" s="7" cm="1">
        <f t="array" ref="X10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0" s="9">
        <f>MAX(kmin, kmax - 0.15 * MIN(Games[[#This Row],[GamesPlayed]], 82))</f>
        <v>74.650000000000006</v>
      </c>
      <c r="Z100" s="4">
        <f>Games[[#This Row],[K]]*Games[[#This Row],[POMult]]</f>
        <v>74.650000000000006</v>
      </c>
      <c r="AA100" s="4">
        <f>(Games[[#This Row],[Keff]]*Games[[#This Row],[MOVMult]])*(Games[[#This Row],[Result]]-Games[[#This Row],[ExpectedWin%]])</f>
        <v>22.988328839102611</v>
      </c>
      <c r="AB100" s="4">
        <f>Games[[#This Row],[PreGmRate]]+Games[[#This Row],[RatingChange]]</f>
        <v>1502.2322179306063</v>
      </c>
      <c r="AC100" s="2">
        <f>IF(Games[[#This Row],[Type]]="R",IF(Games[[#This Row],[Result]]&gt;0.5,1,0),0)</f>
        <v>1</v>
      </c>
      <c r="AD100" s="2">
        <f>IF(Games[[#This Row],[Type]]="R",IF(Games[[#This Row],[Result]]&lt;0.5,1,0),0)</f>
        <v>0</v>
      </c>
      <c r="AE100" s="2">
        <f>IF(AND(Games[[#This Row],[Type]]="P",Games[[#This Row],[Round]]=1),IF(Games[[#This Row],[Result]]&gt;0.5,1,0),0)</f>
        <v>0</v>
      </c>
      <c r="AF100" s="2">
        <f>IF(AND(Games[[#This Row],[Type]]="P",Games[[#This Row],[Round]]=1),IF(Games[[#This Row],[Result]]&lt;0.5,1,0),0)</f>
        <v>0</v>
      </c>
      <c r="AG100" s="2">
        <f>IF(AND(Games[[#This Row],[Type]]="P",Games[[#This Row],[Round]]=2),IF(Games[[#This Row],[Result]]&gt;0.5,1,0),0)</f>
        <v>0</v>
      </c>
      <c r="AH100" s="2">
        <f>IF(AND(Games[[#This Row],[Type]]="P",Games[[#This Row],[Round]]=2),IF(Games[[#This Row],[Result]]&lt;0.5,1,0),0)</f>
        <v>0</v>
      </c>
      <c r="AI100" s="2">
        <f>IF(AND(Games[[#This Row],[Type]]="P",Games[[#This Row],[Round]]=3),IF(Games[[#This Row],[Result]]&gt;0.5,1,0),0)</f>
        <v>0</v>
      </c>
      <c r="AJ100" s="2">
        <f>IF(AND(Games[[#This Row],[Type]]="P",Games[[#This Row],[Round]]=3),IF(Games[[#This Row],[Result]]&lt;0.5,1,0),0)</f>
        <v>0</v>
      </c>
      <c r="AK100" s="2">
        <f>IF(AND(Games[[#This Row],[Type]]="P",Games[[#This Row],[Round]]=4),IF(Games[[#This Row],[Result]]&gt;0.5,1,0),0)</f>
        <v>0</v>
      </c>
      <c r="AL100" s="2">
        <f>IF(AND(Games[[#This Row],[Type]]="P",Games[[#This Row],[Round]]=4),IF(Games[[#This Row],[Result]]&lt;0.5,1,0),0)</f>
        <v>0</v>
      </c>
    </row>
    <row r="101" spans="1:38" x14ac:dyDescent="0.35">
      <c r="A101" s="10">
        <v>40340</v>
      </c>
      <c r="B101" s="2">
        <v>2010</v>
      </c>
      <c r="C101" s="2">
        <f>COUNTIFS(Games[Team],Games[[#This Row],[Team]],Games[Season],Games[[#This Row],[Season]],Games[Date],"&lt;=" &amp; Games[[#This Row],[Date]])</f>
        <v>10</v>
      </c>
      <c r="D101" s="2" t="s">
        <v>23</v>
      </c>
      <c r="E101" s="2" t="s">
        <v>29</v>
      </c>
      <c r="F101" s="1" t="s">
        <v>81</v>
      </c>
      <c r="G101" s="1" t="s">
        <v>69</v>
      </c>
      <c r="H101" s="1" t="s">
        <v>15</v>
      </c>
      <c r="I101" s="2" cm="1">
        <f t="array" ref="I101">IFERROR(
    Games[[#This Row],[Date]]
    - LOOKUP(
        2,
        1/((Games[Team]=Games[[#This Row],[Team]]) * (Games[Date] &lt; Games[[#This Row],[Date]])),
        Games[Date]
    )
    - 1,
Games[[#This Row],[Date]]-$A$2)</f>
        <v>2</v>
      </c>
      <c r="J101" s="2" cm="1">
        <f t="array" ref="J101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101" s="2">
        <f>Games[[#This Row],[DaysOff]]-Games[[#This Row],[OppDaysOff]]</f>
        <v>-3</v>
      </c>
      <c r="L101" s="2">
        <f>Games[[#This Row],[OppDaysOff]]-Games[[#This Row],[DaysOff]]</f>
        <v>3</v>
      </c>
      <c r="M101" s="1">
        <f>MAX(-16, MIN(16, Games[[#This Row],[RestDiff]]*8))</f>
        <v>-16</v>
      </c>
      <c r="N101" s="1">
        <f>MAX(-16, MIN(16, Games[[#This Row],[OppRestDiff]]*8))</f>
        <v>16</v>
      </c>
      <c r="O101" s="4" cm="1">
        <f t="array" ref="O1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1483.675824417915</v>
      </c>
      <c r="P101" s="4" cm="1">
        <f t="array" ref="P1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1479.2438890915037</v>
      </c>
      <c r="Q101" s="4">
        <f>1/(1+10^(((Games[[#This Row],[OppPreGmRate]]+IF(Games[[#This Row],[HomeAway]]="A",HCA,0)+Games[[#This Row],[OppRestAdj]])-(Games[[#This Row],[PreGmRate]]+IF(Games[[#This Row],[HomeAway]]="H",HCA,0)+Games[[#This Row],[RestAdj]]))/400))</f>
        <v>0.58050537140246294</v>
      </c>
      <c r="R101" s="1">
        <v>78</v>
      </c>
      <c r="S101" s="1">
        <v>95</v>
      </c>
      <c r="T101" s="1">
        <v>0</v>
      </c>
      <c r="U101" s="1">
        <f>Games[[#This Row],[PointsFor]]-Games[[#This Row],[PointsAgainst]]</f>
        <v>-17</v>
      </c>
      <c r="V101" s="1">
        <f>IF(Games[[#This Row],[MOV]]&gt;0,1,IF(Games[[#This Row],[MOV]]=0,0.5,0))</f>
        <v>0</v>
      </c>
      <c r="W101" s="4">
        <f>((ABS(Games[[#This Row],[MOV]])+5)^0.6)/(12+0.01*(ABS(Games[[#This Row],[PreGmRate]]-Games[[#This Row],[OppPreGmRate]])))*IF(Games[[#This Row],[OT]]=1,0.9,1)</f>
        <v>0.53048284768806064</v>
      </c>
      <c r="X101" s="7" cm="1">
        <f t="array" ref="X10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1" s="9">
        <f>MAX(kmin, kmax - 0.15 * MIN(Games[[#This Row],[GamesPlayed]], 82))</f>
        <v>74.5</v>
      </c>
      <c r="Z101" s="4">
        <f>Games[[#This Row],[K]]*Games[[#This Row],[POMult]]</f>
        <v>74.5</v>
      </c>
      <c r="AA101" s="4">
        <f>(Games[[#This Row],[Keff]]*Games[[#This Row],[MOVMult]])*(Games[[#This Row],[Result]]-Games[[#This Row],[ExpectedWin%]])</f>
        <v>-22.942136617724643</v>
      </c>
      <c r="AB101" s="4">
        <f>Games[[#This Row],[PreGmRate]]+Games[[#This Row],[RatingChange]]</f>
        <v>1460.7336878001904</v>
      </c>
      <c r="AC101" s="2">
        <f>IF(Games[[#This Row],[Type]]="R",IF(Games[[#This Row],[Result]]&gt;0.5,1,0),0)</f>
        <v>0</v>
      </c>
      <c r="AD101" s="2">
        <f>IF(Games[[#This Row],[Type]]="R",IF(Games[[#This Row],[Result]]&lt;0.5,1,0),0)</f>
        <v>1</v>
      </c>
      <c r="AE101" s="2">
        <f>IF(AND(Games[[#This Row],[Type]]="P",Games[[#This Row],[Round]]=1),IF(Games[[#This Row],[Result]]&gt;0.5,1,0),0)</f>
        <v>0</v>
      </c>
      <c r="AF101" s="2">
        <f>IF(AND(Games[[#This Row],[Type]]="P",Games[[#This Row],[Round]]=1),IF(Games[[#This Row],[Result]]&lt;0.5,1,0),0)</f>
        <v>0</v>
      </c>
      <c r="AG101" s="2">
        <f>IF(AND(Games[[#This Row],[Type]]="P",Games[[#This Row],[Round]]=2),IF(Games[[#This Row],[Result]]&gt;0.5,1,0),0)</f>
        <v>0</v>
      </c>
      <c r="AH101" s="2">
        <f>IF(AND(Games[[#This Row],[Type]]="P",Games[[#This Row],[Round]]=2),IF(Games[[#This Row],[Result]]&lt;0.5,1,0),0)</f>
        <v>0</v>
      </c>
      <c r="AI101" s="2">
        <f>IF(AND(Games[[#This Row],[Type]]="P",Games[[#This Row],[Round]]=3),IF(Games[[#This Row],[Result]]&gt;0.5,1,0),0)</f>
        <v>0</v>
      </c>
      <c r="AJ101" s="2">
        <f>IF(AND(Games[[#This Row],[Type]]="P",Games[[#This Row],[Round]]=3),IF(Games[[#This Row],[Result]]&lt;0.5,1,0),0)</f>
        <v>0</v>
      </c>
      <c r="AK101" s="2">
        <f>IF(AND(Games[[#This Row],[Type]]="P",Games[[#This Row],[Round]]=4),IF(Games[[#This Row],[Result]]&gt;0.5,1,0),0)</f>
        <v>0</v>
      </c>
      <c r="AL101" s="2">
        <f>IF(AND(Games[[#This Row],[Type]]="P",Games[[#This Row],[Round]]=4),IF(Games[[#This Row],[Result]]&lt;0.5,1,0),0)</f>
        <v>0</v>
      </c>
    </row>
    <row r="102" spans="1:38" x14ac:dyDescent="0.35">
      <c r="A102" s="10">
        <v>40340</v>
      </c>
      <c r="B102" s="2">
        <v>2010</v>
      </c>
      <c r="C102" s="2">
        <f>COUNTIFS(Games[Team],Games[[#This Row],[Team]],Games[Season],Games[[#This Row],[Season]],Games[Date],"&lt;=" &amp; Games[[#This Row],[Date]])</f>
        <v>9</v>
      </c>
      <c r="D102" s="2" t="s">
        <v>23</v>
      </c>
      <c r="E102" s="2" t="s">
        <v>29</v>
      </c>
      <c r="F102" s="1" t="s">
        <v>73</v>
      </c>
      <c r="G102" s="1" t="s">
        <v>80</v>
      </c>
      <c r="H102" s="1" t="s">
        <v>16</v>
      </c>
      <c r="I102" s="2" cm="1">
        <f t="array" ref="I102">IFERROR(
    Games[[#This Row],[Date]]
    - LOOKUP(
        2,
        1/((Games[Team]=Games[[#This Row],[Team]]) * (Games[Date] &lt; Games[[#This Row],[Date]])),
        Games[Date]
    )
    - 1,
Games[[#This Row],[Date]]-$A$2)</f>
        <v>4</v>
      </c>
      <c r="J102" s="2" cm="1">
        <f t="array" ref="J102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02" s="2">
        <f>Games[[#This Row],[DaysOff]]-Games[[#This Row],[OppDaysOff]]</f>
        <v>0</v>
      </c>
      <c r="L102" s="2">
        <f>Games[[#This Row],[OppDaysOff]]-Games[[#This Row],[DaysOff]]</f>
        <v>0</v>
      </c>
      <c r="M102" s="1">
        <f>MAX(-16, MIN(16, Games[[#This Row],[RestDiff]]*8))</f>
        <v>0</v>
      </c>
      <c r="N102" s="1">
        <f>MAX(-16, MIN(16, Games[[#This Row],[OppRestDiff]]*8))</f>
        <v>0</v>
      </c>
      <c r="O102" s="4" cm="1">
        <f t="array" ref="O1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1559.0377118908173</v>
      </c>
      <c r="P102" s="4" cm="1">
        <f t="array" ref="P1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1528.0639072504543</v>
      </c>
      <c r="Q102" s="4">
        <f>1/(1+10^(((Games[[#This Row],[OppPreGmRate]]+IF(Games[[#This Row],[HomeAway]]="A",HCA,0)+Games[[#This Row],[OppRestAdj]])-(Games[[#This Row],[PreGmRate]]+IF(Games[[#This Row],[HomeAway]]="H",HCA,0)+Games[[#This Row],[RestAdj]]))/400))</f>
        <v>0.42427621370884888</v>
      </c>
      <c r="R102" s="1">
        <v>77</v>
      </c>
      <c r="S102" s="1">
        <v>86</v>
      </c>
      <c r="T102" s="1">
        <v>0</v>
      </c>
      <c r="U102" s="1">
        <f>Games[[#This Row],[PointsFor]]-Games[[#This Row],[PointsAgainst]]</f>
        <v>-9</v>
      </c>
      <c r="V102" s="1">
        <f>IF(Games[[#This Row],[MOV]]&gt;0,1,IF(Games[[#This Row],[MOV]]=0,0.5,0))</f>
        <v>0</v>
      </c>
      <c r="W102" s="4">
        <f>((ABS(Games[[#This Row],[MOV]])+5)^0.6)/(12+0.01*(ABS(Games[[#This Row],[PreGmRate]]-Games[[#This Row],[OppPreGmRate]])))*IF(Games[[#This Row],[OT]]=1,0.9,1)</f>
        <v>0.39575645780620011</v>
      </c>
      <c r="X102" s="7" cm="1">
        <f t="array" ref="X10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2" s="9">
        <f>MAX(kmin, kmax - 0.15 * MIN(Games[[#This Row],[GamesPlayed]], 82))</f>
        <v>74.650000000000006</v>
      </c>
      <c r="Z102" s="4">
        <f>Games[[#This Row],[K]]*Games[[#This Row],[POMult]]</f>
        <v>74.650000000000006</v>
      </c>
      <c r="AA102" s="4">
        <f>(Games[[#This Row],[Keff]]*Games[[#This Row],[MOVMult]])*(Games[[#This Row],[Result]]-Games[[#This Row],[ExpectedWin%]])</f>
        <v>-12.534485342148937</v>
      </c>
      <c r="AB102" s="4">
        <f>Games[[#This Row],[PreGmRate]]+Games[[#This Row],[RatingChange]]</f>
        <v>1546.5032265486684</v>
      </c>
      <c r="AC102" s="2">
        <f>IF(Games[[#This Row],[Type]]="R",IF(Games[[#This Row],[Result]]&gt;0.5,1,0),0)</f>
        <v>0</v>
      </c>
      <c r="AD102" s="2">
        <f>IF(Games[[#This Row],[Type]]="R",IF(Games[[#This Row],[Result]]&lt;0.5,1,0),0)</f>
        <v>1</v>
      </c>
      <c r="AE102" s="2">
        <f>IF(AND(Games[[#This Row],[Type]]="P",Games[[#This Row],[Round]]=1),IF(Games[[#This Row],[Result]]&gt;0.5,1,0),0)</f>
        <v>0</v>
      </c>
      <c r="AF102" s="2">
        <f>IF(AND(Games[[#This Row],[Type]]="P",Games[[#This Row],[Round]]=1),IF(Games[[#This Row],[Result]]&lt;0.5,1,0),0)</f>
        <v>0</v>
      </c>
      <c r="AG102" s="2">
        <f>IF(AND(Games[[#This Row],[Type]]="P",Games[[#This Row],[Round]]=2),IF(Games[[#This Row],[Result]]&gt;0.5,1,0),0)</f>
        <v>0</v>
      </c>
      <c r="AH102" s="2">
        <f>IF(AND(Games[[#This Row],[Type]]="P",Games[[#This Row],[Round]]=2),IF(Games[[#This Row],[Result]]&lt;0.5,1,0),0)</f>
        <v>0</v>
      </c>
      <c r="AI102" s="2">
        <f>IF(AND(Games[[#This Row],[Type]]="P",Games[[#This Row],[Round]]=3),IF(Games[[#This Row],[Result]]&gt;0.5,1,0),0)</f>
        <v>0</v>
      </c>
      <c r="AJ102" s="2">
        <f>IF(AND(Games[[#This Row],[Type]]="P",Games[[#This Row],[Round]]=3),IF(Games[[#This Row],[Result]]&lt;0.5,1,0),0)</f>
        <v>0</v>
      </c>
      <c r="AK102" s="2">
        <f>IF(AND(Games[[#This Row],[Type]]="P",Games[[#This Row],[Round]]=4),IF(Games[[#This Row],[Result]]&gt;0.5,1,0),0)</f>
        <v>0</v>
      </c>
      <c r="AL102" s="2">
        <f>IF(AND(Games[[#This Row],[Type]]="P",Games[[#This Row],[Round]]=4),IF(Games[[#This Row],[Result]]&lt;0.5,1,0),0)</f>
        <v>0</v>
      </c>
    </row>
    <row r="103" spans="1:38" x14ac:dyDescent="0.35">
      <c r="A103" s="10">
        <v>40340</v>
      </c>
      <c r="B103" s="2">
        <v>2010</v>
      </c>
      <c r="C103" s="2">
        <f>COUNTIFS(Games[Team],Games[[#This Row],[Team]],Games[Season],Games[[#This Row],[Season]],Games[Date],"&lt;=" &amp; Games[[#This Row],[Date]])</f>
        <v>8</v>
      </c>
      <c r="D103" s="2" t="s">
        <v>23</v>
      </c>
      <c r="E103" s="2" t="s">
        <v>29</v>
      </c>
      <c r="F103" s="1" t="s">
        <v>80</v>
      </c>
      <c r="G103" s="1" t="s">
        <v>73</v>
      </c>
      <c r="H103" s="1" t="s">
        <v>15</v>
      </c>
      <c r="I103" s="2" cm="1">
        <f t="array" ref="I103">IFERROR(
    Games[[#This Row],[Date]]
    - LOOKUP(
        2,
        1/((Games[Team]=Games[[#This Row],[Team]]) * (Games[Date] &lt; Games[[#This Row],[Date]])),
        Games[Date]
    )
    - 1,
Games[[#This Row],[Date]]-$A$2)</f>
        <v>4</v>
      </c>
      <c r="J103" s="2" cm="1">
        <f t="array" ref="J103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03" s="2">
        <f>Games[[#This Row],[DaysOff]]-Games[[#This Row],[OppDaysOff]]</f>
        <v>0</v>
      </c>
      <c r="L103" s="2">
        <f>Games[[#This Row],[OppDaysOff]]-Games[[#This Row],[DaysOff]]</f>
        <v>0</v>
      </c>
      <c r="M103" s="1">
        <f>MAX(-16, MIN(16, Games[[#This Row],[RestDiff]]*8))</f>
        <v>0</v>
      </c>
      <c r="N103" s="1">
        <f>MAX(-16, MIN(16, Games[[#This Row],[OppRestDiff]]*8))</f>
        <v>0</v>
      </c>
      <c r="O103" s="4" cm="1">
        <f t="array" ref="O1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1528.0639072504543</v>
      </c>
      <c r="P103" s="4" cm="1">
        <f t="array" ref="P1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1559.0377118908173</v>
      </c>
      <c r="Q103" s="4">
        <f>1/(1+10^(((Games[[#This Row],[OppPreGmRate]]+IF(Games[[#This Row],[HomeAway]]="A",HCA,0)+Games[[#This Row],[OppRestAdj]])-(Games[[#This Row],[PreGmRate]]+IF(Games[[#This Row],[HomeAway]]="H",HCA,0)+Games[[#This Row],[RestAdj]]))/400))</f>
        <v>0.57572378629115117</v>
      </c>
      <c r="R103" s="1">
        <v>86</v>
      </c>
      <c r="S103" s="1">
        <v>77</v>
      </c>
      <c r="T103" s="1">
        <v>0</v>
      </c>
      <c r="U103" s="1">
        <f>Games[[#This Row],[PointsFor]]-Games[[#This Row],[PointsAgainst]]</f>
        <v>9</v>
      </c>
      <c r="V103" s="1">
        <f>IF(Games[[#This Row],[MOV]]&gt;0,1,IF(Games[[#This Row],[MOV]]=0,0.5,0))</f>
        <v>1</v>
      </c>
      <c r="W103" s="4">
        <f>((ABS(Games[[#This Row],[MOV]])+5)^0.6)/(12+0.01*(ABS(Games[[#This Row],[PreGmRate]]-Games[[#This Row],[OppPreGmRate]])))*IF(Games[[#This Row],[OT]]=1,0.9,1)</f>
        <v>0.39575645780620011</v>
      </c>
      <c r="X103" s="7" cm="1">
        <f t="array" ref="X10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3" s="9">
        <f>MAX(kmin, kmax - 0.15 * MIN(Games[[#This Row],[GamesPlayed]], 82))</f>
        <v>74.8</v>
      </c>
      <c r="Z103" s="4">
        <f>Games[[#This Row],[K]]*Games[[#This Row],[POMult]]</f>
        <v>74.8</v>
      </c>
      <c r="AA103" s="4">
        <f>(Games[[#This Row],[Keff]]*Games[[#This Row],[MOVMult]])*(Games[[#This Row],[Result]]-Games[[#This Row],[ExpectedWin%]])</f>
        <v>12.559671849869259</v>
      </c>
      <c r="AB103" s="4">
        <f>Games[[#This Row],[PreGmRate]]+Games[[#This Row],[RatingChange]]</f>
        <v>1540.6235791003237</v>
      </c>
      <c r="AC103" s="2">
        <f>IF(Games[[#This Row],[Type]]="R",IF(Games[[#This Row],[Result]]&gt;0.5,1,0),0)</f>
        <v>1</v>
      </c>
      <c r="AD103" s="2">
        <f>IF(Games[[#This Row],[Type]]="R",IF(Games[[#This Row],[Result]]&lt;0.5,1,0),0)</f>
        <v>0</v>
      </c>
      <c r="AE103" s="2">
        <f>IF(AND(Games[[#This Row],[Type]]="P",Games[[#This Row],[Round]]=1),IF(Games[[#This Row],[Result]]&gt;0.5,1,0),0)</f>
        <v>0</v>
      </c>
      <c r="AF103" s="2">
        <f>IF(AND(Games[[#This Row],[Type]]="P",Games[[#This Row],[Round]]=1),IF(Games[[#This Row],[Result]]&lt;0.5,1,0),0)</f>
        <v>0</v>
      </c>
      <c r="AG103" s="2">
        <f>IF(AND(Games[[#This Row],[Type]]="P",Games[[#This Row],[Round]]=2),IF(Games[[#This Row],[Result]]&gt;0.5,1,0),0)</f>
        <v>0</v>
      </c>
      <c r="AH103" s="2">
        <f>IF(AND(Games[[#This Row],[Type]]="P",Games[[#This Row],[Round]]=2),IF(Games[[#This Row],[Result]]&lt;0.5,1,0),0)</f>
        <v>0</v>
      </c>
      <c r="AI103" s="2">
        <f>IF(AND(Games[[#This Row],[Type]]="P",Games[[#This Row],[Round]]=3),IF(Games[[#This Row],[Result]]&gt;0.5,1,0),0)</f>
        <v>0</v>
      </c>
      <c r="AJ103" s="2">
        <f>IF(AND(Games[[#This Row],[Type]]="P",Games[[#This Row],[Round]]=3),IF(Games[[#This Row],[Result]]&lt;0.5,1,0),0)</f>
        <v>0</v>
      </c>
      <c r="AK103" s="2">
        <f>IF(AND(Games[[#This Row],[Type]]="P",Games[[#This Row],[Round]]=4),IF(Games[[#This Row],[Result]]&gt;0.5,1,0),0)</f>
        <v>0</v>
      </c>
      <c r="AL103" s="2">
        <f>IF(AND(Games[[#This Row],[Type]]="P",Games[[#This Row],[Round]]=4),IF(Games[[#This Row],[Result]]&lt;0.5,1,0),0)</f>
        <v>0</v>
      </c>
    </row>
    <row r="104" spans="1:38" x14ac:dyDescent="0.35">
      <c r="A104" s="10">
        <v>40340</v>
      </c>
      <c r="B104" s="2">
        <v>2010</v>
      </c>
      <c r="C104" s="2">
        <f>COUNTIFS(Games[Team],Games[[#This Row],[Team]],Games[Season],Games[[#This Row],[Season]],Games[Date],"&lt;=" &amp; Games[[#This Row],[Date]])</f>
        <v>10</v>
      </c>
      <c r="D104" s="2" t="s">
        <v>23</v>
      </c>
      <c r="E104" s="2" t="s">
        <v>29</v>
      </c>
      <c r="F104" s="1" t="s">
        <v>83</v>
      </c>
      <c r="G104" s="1" t="s">
        <v>64</v>
      </c>
      <c r="H104" s="1" t="s">
        <v>16</v>
      </c>
      <c r="I104" s="2" cm="1">
        <f t="array" ref="I104">IFERROR(
    Games[[#This Row],[Date]]
    - LOOKUP(
        2,
        1/((Games[Team]=Games[[#This Row],[Team]]) * (Games[Date] &lt; Games[[#This Row],[Date]])),
        Games[Date]
    )
    - 1,
Games[[#This Row],[Date]]-$A$2)</f>
        <v>5</v>
      </c>
      <c r="J104" s="2" cm="1">
        <f t="array" ref="J10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04" s="2">
        <f>Games[[#This Row],[DaysOff]]-Games[[#This Row],[OppDaysOff]]</f>
        <v>3</v>
      </c>
      <c r="L104" s="2">
        <f>Games[[#This Row],[OppDaysOff]]-Games[[#This Row],[DaysOff]]</f>
        <v>-3</v>
      </c>
      <c r="M104" s="1">
        <f>MAX(-16, MIN(16, Games[[#This Row],[RestDiff]]*8))</f>
        <v>16</v>
      </c>
      <c r="N104" s="1">
        <f>MAX(-16, MIN(16, Games[[#This Row],[OppRestDiff]]*8))</f>
        <v>-16</v>
      </c>
      <c r="O104" s="4" cm="1">
        <f t="array" ref="O1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1560.4066730559036</v>
      </c>
      <c r="P104" s="4" cm="1">
        <f t="array" ref="P1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1478.4718486929974</v>
      </c>
      <c r="Q104" s="4">
        <f>1/(1+10^(((Games[[#This Row],[OppPreGmRate]]+IF(Games[[#This Row],[HomeAway]]="A",HCA,0)+Games[[#This Row],[OppRestAdj]])-(Games[[#This Row],[PreGmRate]]+IF(Games[[#This Row],[HomeAway]]="H",HCA,0)+Games[[#This Row],[RestAdj]]))/400))</f>
        <v>0.54297339109446896</v>
      </c>
      <c r="R104" s="1">
        <v>79</v>
      </c>
      <c r="S104" s="1">
        <v>91</v>
      </c>
      <c r="T104" s="1">
        <v>0</v>
      </c>
      <c r="U104" s="1">
        <f>Games[[#This Row],[PointsFor]]-Games[[#This Row],[PointsAgainst]]</f>
        <v>-12</v>
      </c>
      <c r="V104" s="1">
        <f>IF(Games[[#This Row],[MOV]]&gt;0,1,IF(Games[[#This Row],[MOV]]=0,0.5,0))</f>
        <v>0</v>
      </c>
      <c r="W104" s="4">
        <f>((ABS(Games[[#This Row],[MOV]])+5)^0.6)/(12+0.01*(ABS(Games[[#This Row],[PreGmRate]]-Games[[#This Row],[OppPreGmRate]])))*IF(Games[[#This Row],[OT]]=1,0.9,1)</f>
        <v>0.42697594393215155</v>
      </c>
      <c r="X104" s="7" cm="1">
        <f t="array" ref="X10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4" s="9">
        <f>MAX(kmin, kmax - 0.15 * MIN(Games[[#This Row],[GamesPlayed]], 82))</f>
        <v>74.5</v>
      </c>
      <c r="Z104" s="4">
        <f>Games[[#This Row],[K]]*Games[[#This Row],[POMult]]</f>
        <v>74.5</v>
      </c>
      <c r="AA104" s="4">
        <f>(Games[[#This Row],[Keff]]*Games[[#This Row],[MOVMult]])*(Games[[#This Row],[Result]]-Games[[#This Row],[ExpectedWin%]])</f>
        <v>-17.271824926348863</v>
      </c>
      <c r="AB104" s="4">
        <f>Games[[#This Row],[PreGmRate]]+Games[[#This Row],[RatingChange]]</f>
        <v>1543.1348481295547</v>
      </c>
      <c r="AC104" s="2">
        <f>IF(Games[[#This Row],[Type]]="R",IF(Games[[#This Row],[Result]]&gt;0.5,1,0),0)</f>
        <v>0</v>
      </c>
      <c r="AD104" s="2">
        <f>IF(Games[[#This Row],[Type]]="R",IF(Games[[#This Row],[Result]]&lt;0.5,1,0),0)</f>
        <v>1</v>
      </c>
      <c r="AE104" s="2">
        <f>IF(AND(Games[[#This Row],[Type]]="P",Games[[#This Row],[Round]]=1),IF(Games[[#This Row],[Result]]&gt;0.5,1,0),0)</f>
        <v>0</v>
      </c>
      <c r="AF104" s="2">
        <f>IF(AND(Games[[#This Row],[Type]]="P",Games[[#This Row],[Round]]=1),IF(Games[[#This Row],[Result]]&lt;0.5,1,0),0)</f>
        <v>0</v>
      </c>
      <c r="AG104" s="2">
        <f>IF(AND(Games[[#This Row],[Type]]="P",Games[[#This Row],[Round]]=2),IF(Games[[#This Row],[Result]]&gt;0.5,1,0),0)</f>
        <v>0</v>
      </c>
      <c r="AH104" s="2">
        <f>IF(AND(Games[[#This Row],[Type]]="P",Games[[#This Row],[Round]]=2),IF(Games[[#This Row],[Result]]&lt;0.5,1,0),0)</f>
        <v>0</v>
      </c>
      <c r="AI104" s="2">
        <f>IF(AND(Games[[#This Row],[Type]]="P",Games[[#This Row],[Round]]=3),IF(Games[[#This Row],[Result]]&gt;0.5,1,0),0)</f>
        <v>0</v>
      </c>
      <c r="AJ104" s="2">
        <f>IF(AND(Games[[#This Row],[Type]]="P",Games[[#This Row],[Round]]=3),IF(Games[[#This Row],[Result]]&lt;0.5,1,0),0)</f>
        <v>0</v>
      </c>
      <c r="AK104" s="2">
        <f>IF(AND(Games[[#This Row],[Type]]="P",Games[[#This Row],[Round]]=4),IF(Games[[#This Row],[Result]]&gt;0.5,1,0),0)</f>
        <v>0</v>
      </c>
      <c r="AL104" s="2">
        <f>IF(AND(Games[[#This Row],[Type]]="P",Games[[#This Row],[Round]]=4),IF(Games[[#This Row],[Result]]&lt;0.5,1,0),0)</f>
        <v>0</v>
      </c>
    </row>
    <row r="105" spans="1:38" x14ac:dyDescent="0.35">
      <c r="A105" s="10">
        <v>40340</v>
      </c>
      <c r="B105" s="2">
        <v>2010</v>
      </c>
      <c r="C105" s="2">
        <f>COUNTIFS(Games[Team],Games[[#This Row],[Team]],Games[Season],Games[[#This Row],[Season]],Games[Date],"&lt;=" &amp; Games[[#This Row],[Date]])</f>
        <v>8</v>
      </c>
      <c r="D105" s="2" t="s">
        <v>23</v>
      </c>
      <c r="E105" s="2" t="s">
        <v>29</v>
      </c>
      <c r="F105" s="1" t="s">
        <v>64</v>
      </c>
      <c r="G105" s="1" t="s">
        <v>83</v>
      </c>
      <c r="H105" s="1" t="s">
        <v>15</v>
      </c>
      <c r="I105" s="2" cm="1">
        <f t="array" ref="I105">IFERROR(
    Games[[#This Row],[Date]]
    - LOOKUP(
        2,
        1/((Games[Team]=Games[[#This Row],[Team]]) * (Games[Date] &lt; Games[[#This Row],[Date]])),
        Games[Date]
    )
    - 1,
Games[[#This Row],[Date]]-$A$2)</f>
        <v>2</v>
      </c>
      <c r="J105" s="2" cm="1">
        <f t="array" ref="J105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105" s="2">
        <f>Games[[#This Row],[DaysOff]]-Games[[#This Row],[OppDaysOff]]</f>
        <v>-3</v>
      </c>
      <c r="L105" s="2">
        <f>Games[[#This Row],[OppDaysOff]]-Games[[#This Row],[DaysOff]]</f>
        <v>3</v>
      </c>
      <c r="M105" s="1">
        <f>MAX(-16, MIN(16, Games[[#This Row],[RestDiff]]*8))</f>
        <v>-16</v>
      </c>
      <c r="N105" s="1">
        <f>MAX(-16, MIN(16, Games[[#This Row],[OppRestDiff]]*8))</f>
        <v>16</v>
      </c>
      <c r="O105" s="4" cm="1">
        <f t="array" ref="O1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1478.4718486929974</v>
      </c>
      <c r="P105" s="4" cm="1">
        <f t="array" ref="P1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1560.4066730559036</v>
      </c>
      <c r="Q105" s="4">
        <f>1/(1+10^(((Games[[#This Row],[OppPreGmRate]]+IF(Games[[#This Row],[HomeAway]]="A",HCA,0)+Games[[#This Row],[OppRestAdj]])-(Games[[#This Row],[PreGmRate]]+IF(Games[[#This Row],[HomeAway]]="H",HCA,0)+Games[[#This Row],[RestAdj]]))/400))</f>
        <v>0.45702660890553104</v>
      </c>
      <c r="R105" s="1">
        <v>91</v>
      </c>
      <c r="S105" s="1">
        <v>79</v>
      </c>
      <c r="T105" s="1">
        <v>0</v>
      </c>
      <c r="U105" s="1">
        <f>Games[[#This Row],[PointsFor]]-Games[[#This Row],[PointsAgainst]]</f>
        <v>12</v>
      </c>
      <c r="V105" s="1">
        <f>IF(Games[[#This Row],[MOV]]&gt;0,1,IF(Games[[#This Row],[MOV]]=0,0.5,0))</f>
        <v>1</v>
      </c>
      <c r="W105" s="4">
        <f>((ABS(Games[[#This Row],[MOV]])+5)^0.6)/(12+0.01*(ABS(Games[[#This Row],[PreGmRate]]-Games[[#This Row],[OppPreGmRate]])))*IF(Games[[#This Row],[OT]]=1,0.9,1)</f>
        <v>0.42697594393215155</v>
      </c>
      <c r="X105" s="7" cm="1">
        <f t="array" ref="X10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5" s="9">
        <f>MAX(kmin, kmax - 0.15 * MIN(Games[[#This Row],[GamesPlayed]], 82))</f>
        <v>74.8</v>
      </c>
      <c r="Z105" s="4">
        <f>Games[[#This Row],[K]]*Games[[#This Row],[POMult]]</f>
        <v>74.8</v>
      </c>
      <c r="AA105" s="4">
        <f>(Games[[#This Row],[Keff]]*Games[[#This Row],[MOVMult]])*(Games[[#This Row],[Result]]-Games[[#This Row],[ExpectedWin%]])</f>
        <v>17.341375899206643</v>
      </c>
      <c r="AB105" s="4">
        <f>Games[[#This Row],[PreGmRate]]+Games[[#This Row],[RatingChange]]</f>
        <v>1495.8132245922041</v>
      </c>
      <c r="AC105" s="2">
        <f>IF(Games[[#This Row],[Type]]="R",IF(Games[[#This Row],[Result]]&gt;0.5,1,0),0)</f>
        <v>1</v>
      </c>
      <c r="AD105" s="2">
        <f>IF(Games[[#This Row],[Type]]="R",IF(Games[[#This Row],[Result]]&lt;0.5,1,0),0)</f>
        <v>0</v>
      </c>
      <c r="AE105" s="2">
        <f>IF(AND(Games[[#This Row],[Type]]="P",Games[[#This Row],[Round]]=1),IF(Games[[#This Row],[Result]]&gt;0.5,1,0),0)</f>
        <v>0</v>
      </c>
      <c r="AF105" s="2">
        <f>IF(AND(Games[[#This Row],[Type]]="P",Games[[#This Row],[Round]]=1),IF(Games[[#This Row],[Result]]&lt;0.5,1,0),0)</f>
        <v>0</v>
      </c>
      <c r="AG105" s="2">
        <f>IF(AND(Games[[#This Row],[Type]]="P",Games[[#This Row],[Round]]=2),IF(Games[[#This Row],[Result]]&gt;0.5,1,0),0)</f>
        <v>0</v>
      </c>
      <c r="AH105" s="2">
        <f>IF(AND(Games[[#This Row],[Type]]="P",Games[[#This Row],[Round]]=2),IF(Games[[#This Row],[Result]]&lt;0.5,1,0),0)</f>
        <v>0</v>
      </c>
      <c r="AI105" s="2">
        <f>IF(AND(Games[[#This Row],[Type]]="P",Games[[#This Row],[Round]]=3),IF(Games[[#This Row],[Result]]&gt;0.5,1,0),0)</f>
        <v>0</v>
      </c>
      <c r="AJ105" s="2">
        <f>IF(AND(Games[[#This Row],[Type]]="P",Games[[#This Row],[Round]]=3),IF(Games[[#This Row],[Result]]&lt;0.5,1,0),0)</f>
        <v>0</v>
      </c>
      <c r="AK105" s="2">
        <f>IF(AND(Games[[#This Row],[Type]]="P",Games[[#This Row],[Round]]=4),IF(Games[[#This Row],[Result]]&gt;0.5,1,0),0)</f>
        <v>0</v>
      </c>
      <c r="AL105" s="2">
        <f>IF(AND(Games[[#This Row],[Type]]="P",Games[[#This Row],[Round]]=4),IF(Games[[#This Row],[Result]]&lt;0.5,1,0),0)</f>
        <v>0</v>
      </c>
    </row>
    <row r="106" spans="1:38" x14ac:dyDescent="0.35">
      <c r="A106" s="10">
        <v>40340</v>
      </c>
      <c r="B106" s="2">
        <v>2010</v>
      </c>
      <c r="C106" s="2">
        <f>COUNTIFS(Games[Team],Games[[#This Row],[Team]],Games[Season],Games[[#This Row],[Season]],Games[Date],"&lt;=" &amp; Games[[#This Row],[Date]])</f>
        <v>8</v>
      </c>
      <c r="D106" s="2" t="s">
        <v>23</v>
      </c>
      <c r="E106" s="2" t="s">
        <v>29</v>
      </c>
      <c r="F106" s="1" t="s">
        <v>85</v>
      </c>
      <c r="G106" s="1" t="s">
        <v>78</v>
      </c>
      <c r="H106" s="1" t="s">
        <v>16</v>
      </c>
      <c r="I106" s="2" cm="1">
        <f t="array" ref="I106">IFERROR(
    Games[[#This Row],[Date]]
    - LOOKUP(
        2,
        1/((Games[Team]=Games[[#This Row],[Team]]) * (Games[Date] &lt; Games[[#This Row],[Date]])),
        Games[Date]
    )
    - 1,
Games[[#This Row],[Date]]-$A$2)</f>
        <v>5</v>
      </c>
      <c r="J106" s="2" cm="1">
        <f t="array" ref="J106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06" s="2">
        <f>Games[[#This Row],[DaysOff]]-Games[[#This Row],[OppDaysOff]]</f>
        <v>1</v>
      </c>
      <c r="L106" s="2">
        <f>Games[[#This Row],[OppDaysOff]]-Games[[#This Row],[DaysOff]]</f>
        <v>-1</v>
      </c>
      <c r="M106" s="1">
        <f>MAX(-16, MIN(16, Games[[#This Row],[RestDiff]]*8))</f>
        <v>8</v>
      </c>
      <c r="N106" s="1">
        <f>MAX(-16, MIN(16, Games[[#This Row],[OppRestDiff]]*8))</f>
        <v>-8</v>
      </c>
      <c r="O106" s="4" cm="1">
        <f t="array" ref="O1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1502.6364530218511</v>
      </c>
      <c r="P106" s="4" cm="1">
        <f t="array" ref="P1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1440.4906020608721</v>
      </c>
      <c r="Q106" s="4">
        <f>1/(1+10^(((Games[[#This Row],[OppPreGmRate]]+IF(Games[[#This Row],[HomeAway]]="A",HCA,0)+Games[[#This Row],[OppRestAdj]])-(Games[[#This Row],[PreGmRate]]+IF(Games[[#This Row],[HomeAway]]="H",HCA,0)+Games[[#This Row],[RestAdj]]))/400))</f>
        <v>0.49157599950766545</v>
      </c>
      <c r="R106" s="1">
        <v>75</v>
      </c>
      <c r="S106" s="1">
        <v>87</v>
      </c>
      <c r="T106" s="1">
        <v>0</v>
      </c>
      <c r="U106" s="1">
        <f>Games[[#This Row],[PointsFor]]-Games[[#This Row],[PointsAgainst]]</f>
        <v>-12</v>
      </c>
      <c r="V106" s="1">
        <f>IF(Games[[#This Row],[MOV]]&gt;0,1,IF(Games[[#This Row],[MOV]]=0,0.5,0))</f>
        <v>0</v>
      </c>
      <c r="W106" s="4">
        <f>((ABS(Games[[#This Row],[MOV]])+5)^0.6)/(12+0.01*(ABS(Games[[#This Row],[PreGmRate]]-Games[[#This Row],[OppPreGmRate]])))*IF(Games[[#This Row],[OT]]=1,0.9,1)</f>
        <v>0.4336704282433767</v>
      </c>
      <c r="X106" s="7" cm="1">
        <f t="array" ref="X10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6" s="9">
        <f>MAX(kmin, kmax - 0.15 * MIN(Games[[#This Row],[GamesPlayed]], 82))</f>
        <v>74.8</v>
      </c>
      <c r="Z106" s="4">
        <f>Games[[#This Row],[K]]*Games[[#This Row],[POMult]]</f>
        <v>74.8</v>
      </c>
      <c r="AA106" s="4">
        <f>(Games[[#This Row],[Keff]]*Games[[#This Row],[MOVMult]])*(Games[[#This Row],[Result]]-Games[[#This Row],[ExpectedWin%]])</f>
        <v>-15.94601167170501</v>
      </c>
      <c r="AB106" s="4">
        <f>Games[[#This Row],[PreGmRate]]+Games[[#This Row],[RatingChange]]</f>
        <v>1486.6904413501461</v>
      </c>
      <c r="AC106" s="2">
        <f>IF(Games[[#This Row],[Type]]="R",IF(Games[[#This Row],[Result]]&gt;0.5,1,0),0)</f>
        <v>0</v>
      </c>
      <c r="AD106" s="2">
        <f>IF(Games[[#This Row],[Type]]="R",IF(Games[[#This Row],[Result]]&lt;0.5,1,0),0)</f>
        <v>1</v>
      </c>
      <c r="AE106" s="2">
        <f>IF(AND(Games[[#This Row],[Type]]="P",Games[[#This Row],[Round]]=1),IF(Games[[#This Row],[Result]]&gt;0.5,1,0),0)</f>
        <v>0</v>
      </c>
      <c r="AF106" s="2">
        <f>IF(AND(Games[[#This Row],[Type]]="P",Games[[#This Row],[Round]]=1),IF(Games[[#This Row],[Result]]&lt;0.5,1,0),0)</f>
        <v>0</v>
      </c>
      <c r="AG106" s="2">
        <f>IF(AND(Games[[#This Row],[Type]]="P",Games[[#This Row],[Round]]=2),IF(Games[[#This Row],[Result]]&gt;0.5,1,0),0)</f>
        <v>0</v>
      </c>
      <c r="AH106" s="2">
        <f>IF(AND(Games[[#This Row],[Type]]="P",Games[[#This Row],[Round]]=2),IF(Games[[#This Row],[Result]]&lt;0.5,1,0),0)</f>
        <v>0</v>
      </c>
      <c r="AI106" s="2">
        <f>IF(AND(Games[[#This Row],[Type]]="P",Games[[#This Row],[Round]]=3),IF(Games[[#This Row],[Result]]&gt;0.5,1,0),0)</f>
        <v>0</v>
      </c>
      <c r="AJ106" s="2">
        <f>IF(AND(Games[[#This Row],[Type]]="P",Games[[#This Row],[Round]]=3),IF(Games[[#This Row],[Result]]&lt;0.5,1,0),0)</f>
        <v>0</v>
      </c>
      <c r="AK106" s="2">
        <f>IF(AND(Games[[#This Row],[Type]]="P",Games[[#This Row],[Round]]=4),IF(Games[[#This Row],[Result]]&gt;0.5,1,0),0)</f>
        <v>0</v>
      </c>
      <c r="AL106" s="2">
        <f>IF(AND(Games[[#This Row],[Type]]="P",Games[[#This Row],[Round]]=4),IF(Games[[#This Row],[Result]]&lt;0.5,1,0),0)</f>
        <v>0</v>
      </c>
    </row>
    <row r="107" spans="1:38" x14ac:dyDescent="0.35">
      <c r="A107" s="10">
        <v>40340</v>
      </c>
      <c r="B107" s="2">
        <v>2010</v>
      </c>
      <c r="C107" s="2">
        <f>COUNTIFS(Games[Team],Games[[#This Row],[Team]],Games[Season],Games[[#This Row],[Season]],Games[Date],"&lt;=" &amp; Games[[#This Row],[Date]])</f>
        <v>8</v>
      </c>
      <c r="D107" s="2" t="s">
        <v>23</v>
      </c>
      <c r="E107" s="2" t="s">
        <v>29</v>
      </c>
      <c r="F107" s="1" t="s">
        <v>78</v>
      </c>
      <c r="G107" s="1" t="s">
        <v>85</v>
      </c>
      <c r="H107" s="1" t="s">
        <v>15</v>
      </c>
      <c r="I107" s="2" cm="1">
        <f t="array" ref="I107">IFERROR(
    Games[[#This Row],[Date]]
    - LOOKUP(
        2,
        1/((Games[Team]=Games[[#This Row],[Team]]) * (Games[Date] &lt; Games[[#This Row],[Date]])),
        Games[Date]
    )
    - 1,
Games[[#This Row],[Date]]-$A$2)</f>
        <v>4</v>
      </c>
      <c r="J107" s="2" cm="1">
        <f t="array" ref="J107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107" s="2">
        <f>Games[[#This Row],[DaysOff]]-Games[[#This Row],[OppDaysOff]]</f>
        <v>-1</v>
      </c>
      <c r="L107" s="2">
        <f>Games[[#This Row],[OppDaysOff]]-Games[[#This Row],[DaysOff]]</f>
        <v>1</v>
      </c>
      <c r="M107" s="1">
        <f>MAX(-16, MIN(16, Games[[#This Row],[RestDiff]]*8))</f>
        <v>-8</v>
      </c>
      <c r="N107" s="1">
        <f>MAX(-16, MIN(16, Games[[#This Row],[OppRestDiff]]*8))</f>
        <v>8</v>
      </c>
      <c r="O107" s="4" cm="1">
        <f t="array" ref="O1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1440.4906020608721</v>
      </c>
      <c r="P107" s="4" cm="1">
        <f t="array" ref="P1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1502.6364530218511</v>
      </c>
      <c r="Q107" s="4">
        <f>1/(1+10^(((Games[[#This Row],[OppPreGmRate]]+IF(Games[[#This Row],[HomeAway]]="A",HCA,0)+Games[[#This Row],[OppRestAdj]])-(Games[[#This Row],[PreGmRate]]+IF(Games[[#This Row],[HomeAway]]="H",HCA,0)+Games[[#This Row],[RestAdj]]))/400))</f>
        <v>0.50842400049233449</v>
      </c>
      <c r="R107" s="1">
        <v>87</v>
      </c>
      <c r="S107" s="1">
        <v>75</v>
      </c>
      <c r="T107" s="1">
        <v>0</v>
      </c>
      <c r="U107" s="1">
        <f>Games[[#This Row],[PointsFor]]-Games[[#This Row],[PointsAgainst]]</f>
        <v>12</v>
      </c>
      <c r="V107" s="1">
        <f>IF(Games[[#This Row],[MOV]]&gt;0,1,IF(Games[[#This Row],[MOV]]=0,0.5,0))</f>
        <v>1</v>
      </c>
      <c r="W107" s="4">
        <f>((ABS(Games[[#This Row],[MOV]])+5)^0.6)/(12+0.01*(ABS(Games[[#This Row],[PreGmRate]]-Games[[#This Row],[OppPreGmRate]])))*IF(Games[[#This Row],[OT]]=1,0.9,1)</f>
        <v>0.4336704282433767</v>
      </c>
      <c r="X107" s="7" cm="1">
        <f t="array" ref="X10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7" s="9">
        <f>MAX(kmin, kmax - 0.15 * MIN(Games[[#This Row],[GamesPlayed]], 82))</f>
        <v>74.8</v>
      </c>
      <c r="Z107" s="4">
        <f>Games[[#This Row],[K]]*Games[[#This Row],[POMult]]</f>
        <v>74.8</v>
      </c>
      <c r="AA107" s="4">
        <f>(Games[[#This Row],[Keff]]*Games[[#This Row],[MOVMult]])*(Games[[#This Row],[Result]]-Games[[#This Row],[ExpectedWin%]])</f>
        <v>15.946011671705012</v>
      </c>
      <c r="AB107" s="4">
        <f>Games[[#This Row],[PreGmRate]]+Games[[#This Row],[RatingChange]]</f>
        <v>1456.4366137325771</v>
      </c>
      <c r="AC107" s="2">
        <f>IF(Games[[#This Row],[Type]]="R",IF(Games[[#This Row],[Result]]&gt;0.5,1,0),0)</f>
        <v>1</v>
      </c>
      <c r="AD107" s="2">
        <f>IF(Games[[#This Row],[Type]]="R",IF(Games[[#This Row],[Result]]&lt;0.5,1,0),0)</f>
        <v>0</v>
      </c>
      <c r="AE107" s="2">
        <f>IF(AND(Games[[#This Row],[Type]]="P",Games[[#This Row],[Round]]=1),IF(Games[[#This Row],[Result]]&gt;0.5,1,0),0)</f>
        <v>0</v>
      </c>
      <c r="AF107" s="2">
        <f>IF(AND(Games[[#This Row],[Type]]="P",Games[[#This Row],[Round]]=1),IF(Games[[#This Row],[Result]]&lt;0.5,1,0),0)</f>
        <v>0</v>
      </c>
      <c r="AG107" s="2">
        <f>IF(AND(Games[[#This Row],[Type]]="P",Games[[#This Row],[Round]]=2),IF(Games[[#This Row],[Result]]&gt;0.5,1,0),0)</f>
        <v>0</v>
      </c>
      <c r="AH107" s="2">
        <f>IF(AND(Games[[#This Row],[Type]]="P",Games[[#This Row],[Round]]=2),IF(Games[[#This Row],[Result]]&lt;0.5,1,0),0)</f>
        <v>0</v>
      </c>
      <c r="AI107" s="2">
        <f>IF(AND(Games[[#This Row],[Type]]="P",Games[[#This Row],[Round]]=3),IF(Games[[#This Row],[Result]]&gt;0.5,1,0),0)</f>
        <v>0</v>
      </c>
      <c r="AJ107" s="2">
        <f>IF(AND(Games[[#This Row],[Type]]="P",Games[[#This Row],[Round]]=3),IF(Games[[#This Row],[Result]]&lt;0.5,1,0),0)</f>
        <v>0</v>
      </c>
      <c r="AK107" s="2">
        <f>IF(AND(Games[[#This Row],[Type]]="P",Games[[#This Row],[Round]]=4),IF(Games[[#This Row],[Result]]&gt;0.5,1,0),0)</f>
        <v>0</v>
      </c>
      <c r="AL107" s="2">
        <f>IF(AND(Games[[#This Row],[Type]]="P",Games[[#This Row],[Round]]=4),IF(Games[[#This Row],[Result]]&lt;0.5,1,0),0)</f>
        <v>0</v>
      </c>
    </row>
    <row r="108" spans="1:38" x14ac:dyDescent="0.35">
      <c r="A108" s="10">
        <v>40340</v>
      </c>
      <c r="B108" s="2">
        <v>2010</v>
      </c>
      <c r="C108" s="2">
        <f>COUNTIFS(Games[Team],Games[[#This Row],[Team]],Games[Season],Games[[#This Row],[Season]],Games[Date],"&lt;=" &amp; Games[[#This Row],[Date]])</f>
        <v>9</v>
      </c>
      <c r="D108" s="2" t="s">
        <v>23</v>
      </c>
      <c r="E108" s="2" t="s">
        <v>29</v>
      </c>
      <c r="F108" s="1" t="s">
        <v>67</v>
      </c>
      <c r="G108" s="1" t="s">
        <v>75</v>
      </c>
      <c r="H108" s="1" t="s">
        <v>16</v>
      </c>
      <c r="I108" s="2" cm="1">
        <f t="array" ref="I108">IFERROR(
    Games[[#This Row],[Date]]
    - LOOKUP(
        2,
        1/((Games[Team]=Games[[#This Row],[Team]]) * (Games[Date] &lt; Games[[#This Row],[Date]])),
        Games[Date]
    )
    - 1,
Games[[#This Row],[Date]]-$A$2)</f>
        <v>2</v>
      </c>
      <c r="J108" s="2" cm="1">
        <f t="array" ref="J108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08" s="2">
        <f>Games[[#This Row],[DaysOff]]-Games[[#This Row],[OppDaysOff]]</f>
        <v>-2</v>
      </c>
      <c r="L108" s="2">
        <f>Games[[#This Row],[OppDaysOff]]-Games[[#This Row],[DaysOff]]</f>
        <v>2</v>
      </c>
      <c r="M108" s="1">
        <f>MAX(-16, MIN(16, Games[[#This Row],[RestDiff]]*8))</f>
        <v>-16</v>
      </c>
      <c r="N108" s="1">
        <f>MAX(-16, MIN(16, Games[[#This Row],[OppRestDiff]]*8))</f>
        <v>16</v>
      </c>
      <c r="O108" s="4" cm="1">
        <f t="array" ref="O1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1481.420268632274</v>
      </c>
      <c r="P108" s="4" cm="1">
        <f t="array" ref="P1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1611.5346570645443</v>
      </c>
      <c r="Q108" s="4">
        <f>1/(1+10^(((Games[[#This Row],[OppPreGmRate]]+IF(Games[[#This Row],[HomeAway]]="A",HCA,0)+Games[[#This Row],[OppRestAdj]])-(Games[[#This Row],[PreGmRate]]+IF(Games[[#This Row],[HomeAway]]="H",HCA,0)+Games[[#This Row],[RestAdj]]))/400))</f>
        <v>0.19517185297120121</v>
      </c>
      <c r="R108" s="1">
        <v>60</v>
      </c>
      <c r="S108" s="1">
        <v>82</v>
      </c>
      <c r="T108" s="1">
        <v>0</v>
      </c>
      <c r="U108" s="1">
        <f>Games[[#This Row],[PointsFor]]-Games[[#This Row],[PointsAgainst]]</f>
        <v>-22</v>
      </c>
      <c r="V108" s="1">
        <f>IF(Games[[#This Row],[MOV]]&gt;0,1,IF(Games[[#This Row],[MOV]]=0,0.5,0))</f>
        <v>0</v>
      </c>
      <c r="W108" s="4">
        <f>((ABS(Games[[#This Row],[MOV]])+5)^0.6)/(12+0.01*(ABS(Games[[#This Row],[PreGmRate]]-Games[[#This Row],[OppPreGmRate]])))*IF(Games[[#This Row],[OT]]=1,0.9,1)</f>
        <v>0.54316186026356617</v>
      </c>
      <c r="X108" s="7" cm="1">
        <f t="array" ref="X10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8" s="9">
        <f>MAX(kmin, kmax - 0.15 * MIN(Games[[#This Row],[GamesPlayed]], 82))</f>
        <v>74.650000000000006</v>
      </c>
      <c r="Z108" s="4">
        <f>Games[[#This Row],[K]]*Games[[#This Row],[POMult]]</f>
        <v>74.650000000000006</v>
      </c>
      <c r="AA108" s="4">
        <f>(Games[[#This Row],[Keff]]*Games[[#This Row],[MOVMult]])*(Games[[#This Row],[Result]]-Games[[#This Row],[ExpectedWin%]])</f>
        <v>-7.913639537463542</v>
      </c>
      <c r="AB108" s="4">
        <f>Games[[#This Row],[PreGmRate]]+Games[[#This Row],[RatingChange]]</f>
        <v>1473.5066290948105</v>
      </c>
      <c r="AC108" s="2">
        <f>IF(Games[[#This Row],[Type]]="R",IF(Games[[#This Row],[Result]]&gt;0.5,1,0),0)</f>
        <v>0</v>
      </c>
      <c r="AD108" s="2">
        <f>IF(Games[[#This Row],[Type]]="R",IF(Games[[#This Row],[Result]]&lt;0.5,1,0),0)</f>
        <v>1</v>
      </c>
      <c r="AE108" s="2">
        <f>IF(AND(Games[[#This Row],[Type]]="P",Games[[#This Row],[Round]]=1),IF(Games[[#This Row],[Result]]&gt;0.5,1,0),0)</f>
        <v>0</v>
      </c>
      <c r="AF108" s="2">
        <f>IF(AND(Games[[#This Row],[Type]]="P",Games[[#This Row],[Round]]=1),IF(Games[[#This Row],[Result]]&lt;0.5,1,0),0)</f>
        <v>0</v>
      </c>
      <c r="AG108" s="2">
        <f>IF(AND(Games[[#This Row],[Type]]="P",Games[[#This Row],[Round]]=2),IF(Games[[#This Row],[Result]]&gt;0.5,1,0),0)</f>
        <v>0</v>
      </c>
      <c r="AH108" s="2">
        <f>IF(AND(Games[[#This Row],[Type]]="P",Games[[#This Row],[Round]]=2),IF(Games[[#This Row],[Result]]&lt;0.5,1,0),0)</f>
        <v>0</v>
      </c>
      <c r="AI108" s="2">
        <f>IF(AND(Games[[#This Row],[Type]]="P",Games[[#This Row],[Round]]=3),IF(Games[[#This Row],[Result]]&gt;0.5,1,0),0)</f>
        <v>0</v>
      </c>
      <c r="AJ108" s="2">
        <f>IF(AND(Games[[#This Row],[Type]]="P",Games[[#This Row],[Round]]=3),IF(Games[[#This Row],[Result]]&lt;0.5,1,0),0)</f>
        <v>0</v>
      </c>
      <c r="AK108" s="2">
        <f>IF(AND(Games[[#This Row],[Type]]="P",Games[[#This Row],[Round]]=4),IF(Games[[#This Row],[Result]]&gt;0.5,1,0),0)</f>
        <v>0</v>
      </c>
      <c r="AL108" s="2">
        <f>IF(AND(Games[[#This Row],[Type]]="P",Games[[#This Row],[Round]]=4),IF(Games[[#This Row],[Result]]&lt;0.5,1,0),0)</f>
        <v>0</v>
      </c>
    </row>
    <row r="109" spans="1:38" x14ac:dyDescent="0.35">
      <c r="A109" s="10">
        <v>40340</v>
      </c>
      <c r="B109" s="2">
        <v>2010</v>
      </c>
      <c r="C109" s="2">
        <f>COUNTIFS(Games[Team],Games[[#This Row],[Team]],Games[Season],Games[[#This Row],[Season]],Games[Date],"&lt;=" &amp; Games[[#This Row],[Date]])</f>
        <v>10</v>
      </c>
      <c r="D109" s="2" t="s">
        <v>23</v>
      </c>
      <c r="E109" s="2" t="s">
        <v>29</v>
      </c>
      <c r="F109" s="1" t="s">
        <v>75</v>
      </c>
      <c r="G109" s="1" t="s">
        <v>67</v>
      </c>
      <c r="H109" s="1" t="s">
        <v>15</v>
      </c>
      <c r="I109" s="2" cm="1">
        <f t="array" ref="I109">IFERROR(
    Games[[#This Row],[Date]]
    - LOOKUP(
        2,
        1/((Games[Team]=Games[[#This Row],[Team]]) * (Games[Date] &lt; Games[[#This Row],[Date]])),
        Games[Date]
    )
    - 1,
Games[[#This Row],[Date]]-$A$2)</f>
        <v>4</v>
      </c>
      <c r="J109" s="2" cm="1">
        <f t="array" ref="J10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09" s="2">
        <f>Games[[#This Row],[DaysOff]]-Games[[#This Row],[OppDaysOff]]</f>
        <v>2</v>
      </c>
      <c r="L109" s="2">
        <f>Games[[#This Row],[OppDaysOff]]-Games[[#This Row],[DaysOff]]</f>
        <v>-2</v>
      </c>
      <c r="M109" s="1">
        <f>MAX(-16, MIN(16, Games[[#This Row],[RestDiff]]*8))</f>
        <v>16</v>
      </c>
      <c r="N109" s="1">
        <f>MAX(-16, MIN(16, Games[[#This Row],[OppRestDiff]]*8))</f>
        <v>-16</v>
      </c>
      <c r="O109" s="4" cm="1">
        <f t="array" ref="O1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1611.5346570645443</v>
      </c>
      <c r="P109" s="4" cm="1">
        <f t="array" ref="P1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1481.420268632274</v>
      </c>
      <c r="Q109" s="4">
        <f>1/(1+10^(((Games[[#This Row],[OppPreGmRate]]+IF(Games[[#This Row],[HomeAway]]="A",HCA,0)+Games[[#This Row],[OppRestAdj]])-(Games[[#This Row],[PreGmRate]]+IF(Games[[#This Row],[HomeAway]]="H",HCA,0)+Games[[#This Row],[RestAdj]]))/400))</f>
        <v>0.80482814702879879</v>
      </c>
      <c r="R109" s="1">
        <v>82</v>
      </c>
      <c r="S109" s="1">
        <v>60</v>
      </c>
      <c r="T109" s="1">
        <v>0</v>
      </c>
      <c r="U109" s="1">
        <f>Games[[#This Row],[PointsFor]]-Games[[#This Row],[PointsAgainst]]</f>
        <v>22</v>
      </c>
      <c r="V109" s="1">
        <f>IF(Games[[#This Row],[MOV]]&gt;0,1,IF(Games[[#This Row],[MOV]]=0,0.5,0))</f>
        <v>1</v>
      </c>
      <c r="W109" s="4">
        <f>((ABS(Games[[#This Row],[MOV]])+5)^0.6)/(12+0.01*(ABS(Games[[#This Row],[PreGmRate]]-Games[[#This Row],[OppPreGmRate]])))*IF(Games[[#This Row],[OT]]=1,0.9,1)</f>
        <v>0.54316186026356617</v>
      </c>
      <c r="X109" s="7" cm="1">
        <f t="array" ref="X10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9" s="9">
        <f>MAX(kmin, kmax - 0.15 * MIN(Games[[#This Row],[GamesPlayed]], 82))</f>
        <v>74.5</v>
      </c>
      <c r="Z109" s="4">
        <f>Games[[#This Row],[K]]*Games[[#This Row],[POMult]]</f>
        <v>74.5</v>
      </c>
      <c r="AA109" s="4">
        <f>(Games[[#This Row],[Keff]]*Games[[#This Row],[MOVMult]])*(Games[[#This Row],[Result]]-Games[[#This Row],[ExpectedWin%]])</f>
        <v>7.8977380514539028</v>
      </c>
      <c r="AB109" s="4">
        <f>Games[[#This Row],[PreGmRate]]+Games[[#This Row],[RatingChange]]</f>
        <v>1619.4323951159981</v>
      </c>
      <c r="AC109" s="2">
        <f>IF(Games[[#This Row],[Type]]="R",IF(Games[[#This Row],[Result]]&gt;0.5,1,0),0)</f>
        <v>1</v>
      </c>
      <c r="AD109" s="2">
        <f>IF(Games[[#This Row],[Type]]="R",IF(Games[[#This Row],[Result]]&lt;0.5,1,0),0)</f>
        <v>0</v>
      </c>
      <c r="AE109" s="2">
        <f>IF(AND(Games[[#This Row],[Type]]="P",Games[[#This Row],[Round]]=1),IF(Games[[#This Row],[Result]]&gt;0.5,1,0),0)</f>
        <v>0</v>
      </c>
      <c r="AF109" s="2">
        <f>IF(AND(Games[[#This Row],[Type]]="P",Games[[#This Row],[Round]]=1),IF(Games[[#This Row],[Result]]&lt;0.5,1,0),0)</f>
        <v>0</v>
      </c>
      <c r="AG109" s="2">
        <f>IF(AND(Games[[#This Row],[Type]]="P",Games[[#This Row],[Round]]=2),IF(Games[[#This Row],[Result]]&gt;0.5,1,0),0)</f>
        <v>0</v>
      </c>
      <c r="AH109" s="2">
        <f>IF(AND(Games[[#This Row],[Type]]="P",Games[[#This Row],[Round]]=2),IF(Games[[#This Row],[Result]]&lt;0.5,1,0),0)</f>
        <v>0</v>
      </c>
      <c r="AI109" s="2">
        <f>IF(AND(Games[[#This Row],[Type]]="P",Games[[#This Row],[Round]]=3),IF(Games[[#This Row],[Result]]&gt;0.5,1,0),0)</f>
        <v>0</v>
      </c>
      <c r="AJ109" s="2">
        <f>IF(AND(Games[[#This Row],[Type]]="P",Games[[#This Row],[Round]]=3),IF(Games[[#This Row],[Result]]&lt;0.5,1,0),0)</f>
        <v>0</v>
      </c>
      <c r="AK109" s="2">
        <f>IF(AND(Games[[#This Row],[Type]]="P",Games[[#This Row],[Round]]=4),IF(Games[[#This Row],[Result]]&gt;0.5,1,0),0)</f>
        <v>0</v>
      </c>
      <c r="AL109" s="2">
        <f>IF(AND(Games[[#This Row],[Type]]="P",Games[[#This Row],[Round]]=4),IF(Games[[#This Row],[Result]]&lt;0.5,1,0),0)</f>
        <v>0</v>
      </c>
    </row>
    <row r="110" spans="1:38" x14ac:dyDescent="0.35">
      <c r="A110" s="10">
        <v>40341</v>
      </c>
      <c r="B110" s="2">
        <v>2010</v>
      </c>
      <c r="C110" s="2">
        <f>COUNTIFS(Games[Team],Games[[#This Row],[Team]],Games[Season],Games[[#This Row],[Season]],Games[Date],"&lt;=" &amp; Games[[#This Row],[Date]])</f>
        <v>9</v>
      </c>
      <c r="D110" s="2" t="s">
        <v>23</v>
      </c>
      <c r="E110" s="2" t="s">
        <v>29</v>
      </c>
      <c r="F110" s="1" t="s">
        <v>85</v>
      </c>
      <c r="G110" s="1" t="s">
        <v>44</v>
      </c>
      <c r="H110" s="1" t="s">
        <v>16</v>
      </c>
      <c r="I110" s="2" cm="1">
        <f t="array" ref="I110">IFERROR(
    Games[[#This Row],[Date]]
    - LOOKUP(
        2,
        1/((Games[Team]=Games[[#This Row],[Team]]) * (Games[Date] &lt; Games[[#This Row],[Date]])),
        Games[Date]
    )
    - 1,
Games[[#This Row],[Date]]-$A$2)</f>
        <v>0</v>
      </c>
      <c r="J110" s="2" cm="1">
        <f t="array" ref="J11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0" s="2">
        <f>Games[[#This Row],[DaysOff]]-Games[[#This Row],[OppDaysOff]]</f>
        <v>-1</v>
      </c>
      <c r="L110" s="2">
        <f>Games[[#This Row],[OppDaysOff]]-Games[[#This Row],[DaysOff]]</f>
        <v>1</v>
      </c>
      <c r="M110" s="1">
        <f>MAX(-16, MIN(16, Games[[#This Row],[RestDiff]]*8))</f>
        <v>-8</v>
      </c>
      <c r="N110" s="1">
        <f>MAX(-16, MIN(16, Games[[#This Row],[OppRestDiff]]*8))</f>
        <v>8</v>
      </c>
      <c r="O110" s="4" cm="1">
        <f t="array" ref="O1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1486.6904413501461</v>
      </c>
      <c r="P110" s="4" cm="1">
        <f t="array" ref="P1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1538.3359608387182</v>
      </c>
      <c r="Q110" s="4">
        <f>1/(1+10^(((Games[[#This Row],[OppPreGmRate]]+IF(Games[[#This Row],[HomeAway]]="A",HCA,0)+Games[[#This Row],[OppRestAdj]])-(Games[[#This Row],[PreGmRate]]+IF(Games[[#This Row],[HomeAway]]="H",HCA,0)+Games[[#This Row],[RestAdj]]))/400))</f>
        <v>0.29464254737802958</v>
      </c>
      <c r="R110" s="1">
        <v>84</v>
      </c>
      <c r="S110" s="1">
        <v>116</v>
      </c>
      <c r="T110" s="1">
        <v>0</v>
      </c>
      <c r="U110" s="1">
        <f>Games[[#This Row],[PointsFor]]-Games[[#This Row],[PointsAgainst]]</f>
        <v>-32</v>
      </c>
      <c r="V110" s="1">
        <f>IF(Games[[#This Row],[MOV]]&gt;0,1,IF(Games[[#This Row],[MOV]]=0,0.5,0))</f>
        <v>0</v>
      </c>
      <c r="W110" s="4">
        <f>((ABS(Games[[#This Row],[MOV]])+5)^0.6)/(12+0.01*(ABS(Games[[#This Row],[PreGmRate]]-Games[[#This Row],[OppPreGmRate]])))*IF(Games[[#This Row],[OT]]=1,0.9,1)</f>
        <v>0.69733214498642404</v>
      </c>
      <c r="X110" s="7" cm="1">
        <f t="array" ref="X1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0" s="9">
        <f>MAX(kmin, kmax - 0.15 * MIN(Games[[#This Row],[GamesPlayed]], 82))</f>
        <v>74.650000000000006</v>
      </c>
      <c r="Z110" s="4">
        <f>Games[[#This Row],[K]]*Games[[#This Row],[POMult]]</f>
        <v>74.650000000000006</v>
      </c>
      <c r="AA110" s="4">
        <f>(Games[[#This Row],[Keff]]*Games[[#This Row],[MOVMult]])*(Games[[#This Row],[Result]]-Games[[#This Row],[ExpectedWin%]])</f>
        <v>-15.337866665705326</v>
      </c>
      <c r="AB110" s="4">
        <f>Games[[#This Row],[PreGmRate]]+Games[[#This Row],[RatingChange]]</f>
        <v>1471.3525746844407</v>
      </c>
      <c r="AC110" s="2">
        <f>IF(Games[[#This Row],[Type]]="R",IF(Games[[#This Row],[Result]]&gt;0.5,1,0),0)</f>
        <v>0</v>
      </c>
      <c r="AD110" s="2">
        <f>IF(Games[[#This Row],[Type]]="R",IF(Games[[#This Row],[Result]]&lt;0.5,1,0),0)</f>
        <v>1</v>
      </c>
      <c r="AE110" s="2">
        <f>IF(AND(Games[[#This Row],[Type]]="P",Games[[#This Row],[Round]]=1),IF(Games[[#This Row],[Result]]&gt;0.5,1,0),0)</f>
        <v>0</v>
      </c>
      <c r="AF110" s="2">
        <f>IF(AND(Games[[#This Row],[Type]]="P",Games[[#This Row],[Round]]=1),IF(Games[[#This Row],[Result]]&lt;0.5,1,0),0)</f>
        <v>0</v>
      </c>
      <c r="AG110" s="2">
        <f>IF(AND(Games[[#This Row],[Type]]="P",Games[[#This Row],[Round]]=2),IF(Games[[#This Row],[Result]]&gt;0.5,1,0),0)</f>
        <v>0</v>
      </c>
      <c r="AH110" s="2">
        <f>IF(AND(Games[[#This Row],[Type]]="P",Games[[#This Row],[Round]]=2),IF(Games[[#This Row],[Result]]&lt;0.5,1,0),0)</f>
        <v>0</v>
      </c>
      <c r="AI110" s="2">
        <f>IF(AND(Games[[#This Row],[Type]]="P",Games[[#This Row],[Round]]=3),IF(Games[[#This Row],[Result]]&gt;0.5,1,0),0)</f>
        <v>0</v>
      </c>
      <c r="AJ110" s="2">
        <f>IF(AND(Games[[#This Row],[Type]]="P",Games[[#This Row],[Round]]=3),IF(Games[[#This Row],[Result]]&lt;0.5,1,0),0)</f>
        <v>0</v>
      </c>
      <c r="AK110" s="2">
        <f>IF(AND(Games[[#This Row],[Type]]="P",Games[[#This Row],[Round]]=4),IF(Games[[#This Row],[Result]]&gt;0.5,1,0),0)</f>
        <v>0</v>
      </c>
      <c r="AL110" s="2">
        <f>IF(AND(Games[[#This Row],[Type]]="P",Games[[#This Row],[Round]]=4),IF(Games[[#This Row],[Result]]&lt;0.5,1,0),0)</f>
        <v>0</v>
      </c>
    </row>
    <row r="111" spans="1:38" x14ac:dyDescent="0.35">
      <c r="A111" s="10">
        <v>40341</v>
      </c>
      <c r="B111" s="2">
        <v>2010</v>
      </c>
      <c r="C111" s="2">
        <f>COUNTIFS(Games[Team],Games[[#This Row],[Team]],Games[Season],Games[[#This Row],[Season]],Games[Date],"&lt;=" &amp; Games[[#This Row],[Date]])</f>
        <v>10</v>
      </c>
      <c r="D111" s="2" t="s">
        <v>23</v>
      </c>
      <c r="E111" s="2" t="s">
        <v>29</v>
      </c>
      <c r="F111" s="1" t="s">
        <v>44</v>
      </c>
      <c r="G111" s="1" t="s">
        <v>85</v>
      </c>
      <c r="H111" s="1" t="s">
        <v>15</v>
      </c>
      <c r="I111" s="2" cm="1">
        <f t="array" ref="I11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1" s="2" cm="1">
        <f t="array" ref="J11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11" s="2">
        <f>Games[[#This Row],[DaysOff]]-Games[[#This Row],[OppDaysOff]]</f>
        <v>1</v>
      </c>
      <c r="L111" s="2">
        <f>Games[[#This Row],[OppDaysOff]]-Games[[#This Row],[DaysOff]]</f>
        <v>-1</v>
      </c>
      <c r="M111" s="1">
        <f>MAX(-16, MIN(16, Games[[#This Row],[RestDiff]]*8))</f>
        <v>8</v>
      </c>
      <c r="N111" s="1">
        <f>MAX(-16, MIN(16, Games[[#This Row],[OppRestDiff]]*8))</f>
        <v>-8</v>
      </c>
      <c r="O111" s="4" cm="1">
        <f t="array" ref="O1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1538.3359608387182</v>
      </c>
      <c r="P111" s="4" cm="1">
        <f t="array" ref="P1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1486.6904413501461</v>
      </c>
      <c r="Q111" s="4">
        <f>1/(1+10^(((Games[[#This Row],[OppPreGmRate]]+IF(Games[[#This Row],[HomeAway]]="A",HCA,0)+Games[[#This Row],[OppRestAdj]])-(Games[[#This Row],[PreGmRate]]+IF(Games[[#This Row],[HomeAway]]="H",HCA,0)+Games[[#This Row],[RestAdj]]))/400))</f>
        <v>0.70535745262197036</v>
      </c>
      <c r="R111" s="1">
        <v>116</v>
      </c>
      <c r="S111" s="1">
        <v>84</v>
      </c>
      <c r="T111" s="1">
        <v>0</v>
      </c>
      <c r="U111" s="1">
        <f>Games[[#This Row],[PointsFor]]-Games[[#This Row],[PointsAgainst]]</f>
        <v>32</v>
      </c>
      <c r="V111" s="1">
        <f>IF(Games[[#This Row],[MOV]]&gt;0,1,IF(Games[[#This Row],[MOV]]=0,0.5,0))</f>
        <v>1</v>
      </c>
      <c r="W111" s="4">
        <f>((ABS(Games[[#This Row],[MOV]])+5)^0.6)/(12+0.01*(ABS(Games[[#This Row],[PreGmRate]]-Games[[#This Row],[OppPreGmRate]])))*IF(Games[[#This Row],[OT]]=1,0.9,1)</f>
        <v>0.69733214498642404</v>
      </c>
      <c r="X111" s="7" cm="1">
        <f t="array" ref="X1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1" s="9">
        <f>MAX(kmin, kmax - 0.15 * MIN(Games[[#This Row],[GamesPlayed]], 82))</f>
        <v>74.5</v>
      </c>
      <c r="Z111" s="4">
        <f>Games[[#This Row],[K]]*Games[[#This Row],[POMult]]</f>
        <v>74.5</v>
      </c>
      <c r="AA111" s="4">
        <f>(Games[[#This Row],[Keff]]*Games[[#This Row],[MOVMult]])*(Games[[#This Row],[Result]]-Games[[#This Row],[ExpectedWin%]])</f>
        <v>15.307047107770218</v>
      </c>
      <c r="AB111" s="4">
        <f>Games[[#This Row],[PreGmRate]]+Games[[#This Row],[RatingChange]]</f>
        <v>1553.6430079464883</v>
      </c>
      <c r="AC111" s="2">
        <f>IF(Games[[#This Row],[Type]]="R",IF(Games[[#This Row],[Result]]&gt;0.5,1,0),0)</f>
        <v>1</v>
      </c>
      <c r="AD111" s="2">
        <f>IF(Games[[#This Row],[Type]]="R",IF(Games[[#This Row],[Result]]&lt;0.5,1,0),0)</f>
        <v>0</v>
      </c>
      <c r="AE111" s="2">
        <f>IF(AND(Games[[#This Row],[Type]]="P",Games[[#This Row],[Round]]=1),IF(Games[[#This Row],[Result]]&gt;0.5,1,0),0)</f>
        <v>0</v>
      </c>
      <c r="AF111" s="2">
        <f>IF(AND(Games[[#This Row],[Type]]="P",Games[[#This Row],[Round]]=1),IF(Games[[#This Row],[Result]]&lt;0.5,1,0),0)</f>
        <v>0</v>
      </c>
      <c r="AG111" s="2">
        <f>IF(AND(Games[[#This Row],[Type]]="P",Games[[#This Row],[Round]]=2),IF(Games[[#This Row],[Result]]&gt;0.5,1,0),0)</f>
        <v>0</v>
      </c>
      <c r="AH111" s="2">
        <f>IF(AND(Games[[#This Row],[Type]]="P",Games[[#This Row],[Round]]=2),IF(Games[[#This Row],[Result]]&lt;0.5,1,0),0)</f>
        <v>0</v>
      </c>
      <c r="AI111" s="2">
        <f>IF(AND(Games[[#This Row],[Type]]="P",Games[[#This Row],[Round]]=3),IF(Games[[#This Row],[Result]]&gt;0.5,1,0),0)</f>
        <v>0</v>
      </c>
      <c r="AJ111" s="2">
        <f>IF(AND(Games[[#This Row],[Type]]="P",Games[[#This Row],[Round]]=3),IF(Games[[#This Row],[Result]]&lt;0.5,1,0),0)</f>
        <v>0</v>
      </c>
      <c r="AK111" s="2">
        <f>IF(AND(Games[[#This Row],[Type]]="P",Games[[#This Row],[Round]]=4),IF(Games[[#This Row],[Result]]&gt;0.5,1,0),0)</f>
        <v>0</v>
      </c>
      <c r="AL111" s="2">
        <f>IF(AND(Games[[#This Row],[Type]]="P",Games[[#This Row],[Round]]=4),IF(Games[[#This Row],[Result]]&lt;0.5,1,0),0)</f>
        <v>0</v>
      </c>
    </row>
    <row r="112" spans="1:38" x14ac:dyDescent="0.35">
      <c r="A112" s="10">
        <v>40341</v>
      </c>
      <c r="B112" s="2">
        <v>2010</v>
      </c>
      <c r="C112" s="2">
        <f>COUNTIFS(Games[Team],Games[[#This Row],[Team]],Games[Season],Games[[#This Row],[Season]],Games[Date],"&lt;=" &amp; Games[[#This Row],[Date]])</f>
        <v>9</v>
      </c>
      <c r="D112" s="2" t="s">
        <v>23</v>
      </c>
      <c r="E112" s="2" t="s">
        <v>29</v>
      </c>
      <c r="F112" s="1" t="s">
        <v>64</v>
      </c>
      <c r="G112" s="1" t="s">
        <v>69</v>
      </c>
      <c r="H112" s="1" t="s">
        <v>16</v>
      </c>
      <c r="I112" s="2" cm="1">
        <f t="array" ref="I112">IFERROR(
    Games[[#This Row],[Date]]
    - LOOKUP(
        2,
        1/((Games[Team]=Games[[#This Row],[Team]]) * (Games[Date] &lt; Games[[#This Row],[Date]])),
        Games[Date]
    )
    - 1,
Games[[#This Row],[Date]]-$A$2)</f>
        <v>0</v>
      </c>
      <c r="J112" s="2" cm="1">
        <f t="array" ref="J11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12" s="2">
        <f>Games[[#This Row],[DaysOff]]-Games[[#This Row],[OppDaysOff]]</f>
        <v>0</v>
      </c>
      <c r="L112" s="2">
        <f>Games[[#This Row],[OppDaysOff]]-Games[[#This Row],[DaysOff]]</f>
        <v>0</v>
      </c>
      <c r="M112" s="1">
        <f>MAX(-16, MIN(16, Games[[#This Row],[RestDiff]]*8))</f>
        <v>0</v>
      </c>
      <c r="N112" s="1">
        <f>MAX(-16, MIN(16, Games[[#This Row],[OppRestDiff]]*8))</f>
        <v>0</v>
      </c>
      <c r="O112" s="4" cm="1">
        <f t="array" ref="O1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1495.8132245922041</v>
      </c>
      <c r="P112" s="4" cm="1">
        <f t="array" ref="P1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1502.2322179306063</v>
      </c>
      <c r="Q112" s="4">
        <f>1/(1+10^(((Games[[#This Row],[OppPreGmRate]]+IF(Games[[#This Row],[HomeAway]]="A",HCA,0)+Games[[#This Row],[OppRestAdj]])-(Games[[#This Row],[PreGmRate]]+IF(Games[[#This Row],[HomeAway]]="H",HCA,0)+Games[[#This Row],[RestAdj]]))/400))</f>
        <v>0.3727368288190519</v>
      </c>
      <c r="R112" s="1">
        <v>65</v>
      </c>
      <c r="S112" s="1">
        <v>82</v>
      </c>
      <c r="T112" s="1">
        <v>0</v>
      </c>
      <c r="U112" s="1">
        <f>Games[[#This Row],[PointsFor]]-Games[[#This Row],[PointsAgainst]]</f>
        <v>-17</v>
      </c>
      <c r="V112" s="1">
        <f>IF(Games[[#This Row],[MOV]]&gt;0,1,IF(Games[[#This Row],[MOV]]=0,0.5,0))</f>
        <v>0</v>
      </c>
      <c r="W112" s="4">
        <f>((ABS(Games[[#This Row],[MOV]])+5)^0.6)/(12+0.01*(ABS(Games[[#This Row],[PreGmRate]]-Games[[#This Row],[OppPreGmRate]])))*IF(Games[[#This Row],[OT]]=1,0.9,1)</f>
        <v>0.52960910465305966</v>
      </c>
      <c r="X112" s="7" cm="1">
        <f t="array" ref="X1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2" s="9">
        <f>MAX(kmin, kmax - 0.15 * MIN(Games[[#This Row],[GamesPlayed]], 82))</f>
        <v>74.650000000000006</v>
      </c>
      <c r="Z112" s="4">
        <f>Games[[#This Row],[K]]*Games[[#This Row],[POMult]]</f>
        <v>74.650000000000006</v>
      </c>
      <c r="AA112" s="4">
        <f>(Games[[#This Row],[Keff]]*Games[[#This Row],[MOVMult]])*(Games[[#This Row],[Result]]-Games[[#This Row],[ExpectedWin%]])</f>
        <v>-14.736269677292187</v>
      </c>
      <c r="AB112" s="4">
        <f>Games[[#This Row],[PreGmRate]]+Games[[#This Row],[RatingChange]]</f>
        <v>1481.0769549149118</v>
      </c>
      <c r="AC112" s="2">
        <f>IF(Games[[#This Row],[Type]]="R",IF(Games[[#This Row],[Result]]&gt;0.5,1,0),0)</f>
        <v>0</v>
      </c>
      <c r="AD112" s="2">
        <f>IF(Games[[#This Row],[Type]]="R",IF(Games[[#This Row],[Result]]&lt;0.5,1,0),0)</f>
        <v>1</v>
      </c>
      <c r="AE112" s="2">
        <f>IF(AND(Games[[#This Row],[Type]]="P",Games[[#This Row],[Round]]=1),IF(Games[[#This Row],[Result]]&gt;0.5,1,0),0)</f>
        <v>0</v>
      </c>
      <c r="AF112" s="2">
        <f>IF(AND(Games[[#This Row],[Type]]="P",Games[[#This Row],[Round]]=1),IF(Games[[#This Row],[Result]]&lt;0.5,1,0),0)</f>
        <v>0</v>
      </c>
      <c r="AG112" s="2">
        <f>IF(AND(Games[[#This Row],[Type]]="P",Games[[#This Row],[Round]]=2),IF(Games[[#This Row],[Result]]&gt;0.5,1,0),0)</f>
        <v>0</v>
      </c>
      <c r="AH112" s="2">
        <f>IF(AND(Games[[#This Row],[Type]]="P",Games[[#This Row],[Round]]=2),IF(Games[[#This Row],[Result]]&lt;0.5,1,0),0)</f>
        <v>0</v>
      </c>
      <c r="AI112" s="2">
        <f>IF(AND(Games[[#This Row],[Type]]="P",Games[[#This Row],[Round]]=3),IF(Games[[#This Row],[Result]]&gt;0.5,1,0),0)</f>
        <v>0</v>
      </c>
      <c r="AJ112" s="2">
        <f>IF(AND(Games[[#This Row],[Type]]="P",Games[[#This Row],[Round]]=3),IF(Games[[#This Row],[Result]]&lt;0.5,1,0),0)</f>
        <v>0</v>
      </c>
      <c r="AK112" s="2">
        <f>IF(AND(Games[[#This Row],[Type]]="P",Games[[#This Row],[Round]]=4),IF(Games[[#This Row],[Result]]&gt;0.5,1,0),0)</f>
        <v>0</v>
      </c>
      <c r="AL112" s="2">
        <f>IF(AND(Games[[#This Row],[Type]]="P",Games[[#This Row],[Round]]=4),IF(Games[[#This Row],[Result]]&lt;0.5,1,0),0)</f>
        <v>0</v>
      </c>
    </row>
    <row r="113" spans="1:38" x14ac:dyDescent="0.35">
      <c r="A113" s="10">
        <v>40341</v>
      </c>
      <c r="B113" s="2">
        <v>2010</v>
      </c>
      <c r="C113" s="2">
        <f>COUNTIFS(Games[Team],Games[[#This Row],[Team]],Games[Season],Games[[#This Row],[Season]],Games[Date],"&lt;=" &amp; Games[[#This Row],[Date]])</f>
        <v>10</v>
      </c>
      <c r="D113" s="2" t="s">
        <v>23</v>
      </c>
      <c r="E113" s="2" t="s">
        <v>29</v>
      </c>
      <c r="F113" s="1" t="s">
        <v>69</v>
      </c>
      <c r="G113" s="1" t="s">
        <v>64</v>
      </c>
      <c r="H113" s="1" t="s">
        <v>15</v>
      </c>
      <c r="I113" s="2" cm="1">
        <f t="array" ref="I113">IFERROR(
    Games[[#This Row],[Date]]
    - LOOKUP(
        2,
        1/((Games[Team]=Games[[#This Row],[Team]]) * (Games[Date] &lt; Games[[#This Row],[Date]])),
        Games[Date]
    )
    - 1,
Games[[#This Row],[Date]]-$A$2)</f>
        <v>0</v>
      </c>
      <c r="J113" s="2" cm="1">
        <f t="array" ref="J11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13" s="2">
        <f>Games[[#This Row],[DaysOff]]-Games[[#This Row],[OppDaysOff]]</f>
        <v>0</v>
      </c>
      <c r="L113" s="2">
        <f>Games[[#This Row],[OppDaysOff]]-Games[[#This Row],[DaysOff]]</f>
        <v>0</v>
      </c>
      <c r="M113" s="1">
        <f>MAX(-16, MIN(16, Games[[#This Row],[RestDiff]]*8))</f>
        <v>0</v>
      </c>
      <c r="N113" s="1">
        <f>MAX(-16, MIN(16, Games[[#This Row],[OppRestDiff]]*8))</f>
        <v>0</v>
      </c>
      <c r="O113" s="4" cm="1">
        <f t="array" ref="O1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1502.2322179306063</v>
      </c>
      <c r="P113" s="4" cm="1">
        <f t="array" ref="P1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1495.8132245922041</v>
      </c>
      <c r="Q113" s="4">
        <f>1/(1+10^(((Games[[#This Row],[OppPreGmRate]]+IF(Games[[#This Row],[HomeAway]]="A",HCA,0)+Games[[#This Row],[OppRestAdj]])-(Games[[#This Row],[PreGmRate]]+IF(Games[[#This Row],[HomeAway]]="H",HCA,0)+Games[[#This Row],[RestAdj]]))/400))</f>
        <v>0.6272631711809481</v>
      </c>
      <c r="R113" s="1">
        <v>82</v>
      </c>
      <c r="S113" s="1">
        <v>65</v>
      </c>
      <c r="T113" s="1">
        <v>0</v>
      </c>
      <c r="U113" s="1">
        <f>Games[[#This Row],[PointsFor]]-Games[[#This Row],[PointsAgainst]]</f>
        <v>17</v>
      </c>
      <c r="V113" s="1">
        <f>IF(Games[[#This Row],[MOV]]&gt;0,1,IF(Games[[#This Row],[MOV]]=0,0.5,0))</f>
        <v>1</v>
      </c>
      <c r="W113" s="4">
        <f>((ABS(Games[[#This Row],[MOV]])+5)^0.6)/(12+0.01*(ABS(Games[[#This Row],[PreGmRate]]-Games[[#This Row],[OppPreGmRate]])))*IF(Games[[#This Row],[OT]]=1,0.9,1)</f>
        <v>0.52960910465305966</v>
      </c>
      <c r="X113" s="7" cm="1">
        <f t="array" ref="X1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3" s="9">
        <f>MAX(kmin, kmax - 0.15 * MIN(Games[[#This Row],[GamesPlayed]], 82))</f>
        <v>74.5</v>
      </c>
      <c r="Z113" s="4">
        <f>Games[[#This Row],[K]]*Games[[#This Row],[POMult]]</f>
        <v>74.5</v>
      </c>
      <c r="AA113" s="4">
        <f>(Games[[#This Row],[Keff]]*Games[[#This Row],[MOVMult]])*(Games[[#This Row],[Result]]-Games[[#This Row],[ExpectedWin%]])</f>
        <v>14.706658954564874</v>
      </c>
      <c r="AB113" s="4">
        <f>Games[[#This Row],[PreGmRate]]+Games[[#This Row],[RatingChange]]</f>
        <v>1516.9388768851711</v>
      </c>
      <c r="AC113" s="2">
        <f>IF(Games[[#This Row],[Type]]="R",IF(Games[[#This Row],[Result]]&gt;0.5,1,0),0)</f>
        <v>1</v>
      </c>
      <c r="AD113" s="2">
        <f>IF(Games[[#This Row],[Type]]="R",IF(Games[[#This Row],[Result]]&lt;0.5,1,0),0)</f>
        <v>0</v>
      </c>
      <c r="AE113" s="2">
        <f>IF(AND(Games[[#This Row],[Type]]="P",Games[[#This Row],[Round]]=1),IF(Games[[#This Row],[Result]]&gt;0.5,1,0),0)</f>
        <v>0</v>
      </c>
      <c r="AF113" s="2">
        <f>IF(AND(Games[[#This Row],[Type]]="P",Games[[#This Row],[Round]]=1),IF(Games[[#This Row],[Result]]&lt;0.5,1,0),0)</f>
        <v>0</v>
      </c>
      <c r="AG113" s="2">
        <f>IF(AND(Games[[#This Row],[Type]]="P",Games[[#This Row],[Round]]=2),IF(Games[[#This Row],[Result]]&gt;0.5,1,0),0)</f>
        <v>0</v>
      </c>
      <c r="AH113" s="2">
        <f>IF(AND(Games[[#This Row],[Type]]="P",Games[[#This Row],[Round]]=2),IF(Games[[#This Row],[Result]]&lt;0.5,1,0),0)</f>
        <v>0</v>
      </c>
      <c r="AI113" s="2">
        <f>IF(AND(Games[[#This Row],[Type]]="P",Games[[#This Row],[Round]]=3),IF(Games[[#This Row],[Result]]&gt;0.5,1,0),0)</f>
        <v>0</v>
      </c>
      <c r="AJ113" s="2">
        <f>IF(AND(Games[[#This Row],[Type]]="P",Games[[#This Row],[Round]]=3),IF(Games[[#This Row],[Result]]&lt;0.5,1,0),0)</f>
        <v>0</v>
      </c>
      <c r="AK113" s="2">
        <f>IF(AND(Games[[#This Row],[Type]]="P",Games[[#This Row],[Round]]=4),IF(Games[[#This Row],[Result]]&gt;0.5,1,0),0)</f>
        <v>0</v>
      </c>
      <c r="AL113" s="2">
        <f>IF(AND(Games[[#This Row],[Type]]="P",Games[[#This Row],[Round]]=4),IF(Games[[#This Row],[Result]]&lt;0.5,1,0),0)</f>
        <v>0</v>
      </c>
    </row>
    <row r="114" spans="1:38" x14ac:dyDescent="0.35">
      <c r="A114" s="10">
        <v>40342</v>
      </c>
      <c r="B114" s="2">
        <v>2010</v>
      </c>
      <c r="C114" s="2">
        <f>COUNTIFS(Games[Team],Games[[#This Row],[Team]],Games[Season],Games[[#This Row],[Season]],Games[Date],"&lt;=" &amp; Games[[#This Row],[Date]])</f>
        <v>9</v>
      </c>
      <c r="D114" s="2" t="s">
        <v>23</v>
      </c>
      <c r="E114" s="2" t="s">
        <v>29</v>
      </c>
      <c r="F114" s="1" t="s">
        <v>78</v>
      </c>
      <c r="G114" s="1" t="s">
        <v>83</v>
      </c>
      <c r="H114" s="1" t="s">
        <v>16</v>
      </c>
      <c r="I114" s="2" cm="1">
        <f t="array" ref="I11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4" s="2" cm="1">
        <f t="array" ref="J11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4" s="2">
        <f>Games[[#This Row],[DaysOff]]-Games[[#This Row],[OppDaysOff]]</f>
        <v>0</v>
      </c>
      <c r="L114" s="2">
        <f>Games[[#This Row],[OppDaysOff]]-Games[[#This Row],[DaysOff]]</f>
        <v>0</v>
      </c>
      <c r="M114" s="1">
        <f>MAX(-16, MIN(16, Games[[#This Row],[RestDiff]]*8))</f>
        <v>0</v>
      </c>
      <c r="N114" s="1">
        <f>MAX(-16, MIN(16, Games[[#This Row],[OppRestDiff]]*8))</f>
        <v>0</v>
      </c>
      <c r="O114" s="4" cm="1">
        <f t="array" ref="O1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1456.4366137325771</v>
      </c>
      <c r="P114" s="4" cm="1">
        <f t="array" ref="P1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1543.1348481295547</v>
      </c>
      <c r="Q114" s="4">
        <f>1/(1+10^(((Games[[#This Row],[OppPreGmRate]]+IF(Games[[#This Row],[HomeAway]]="A",HCA,0)+Games[[#This Row],[OppRestAdj]])-(Games[[#This Row],[PreGmRate]]+IF(Games[[#This Row],[HomeAway]]="H",HCA,0)+Games[[#This Row],[RestAdj]]))/400))</f>
        <v>0.27237261929080647</v>
      </c>
      <c r="R114" s="1">
        <v>83</v>
      </c>
      <c r="S114" s="1">
        <v>90</v>
      </c>
      <c r="T114" s="1">
        <v>0</v>
      </c>
      <c r="U114" s="1">
        <f>Games[[#This Row],[PointsFor]]-Games[[#This Row],[PointsAgainst]]</f>
        <v>-7</v>
      </c>
      <c r="V114" s="1">
        <f>IF(Games[[#This Row],[MOV]]&gt;0,1,IF(Games[[#This Row],[MOV]]=0,0.5,0))</f>
        <v>0</v>
      </c>
      <c r="W114" s="4">
        <f>((ABS(Games[[#This Row],[MOV]])+5)^0.6)/(12+0.01*(ABS(Games[[#This Row],[PreGmRate]]-Games[[#This Row],[OppPreGmRate]])))*IF(Games[[#This Row],[OT]]=1,0.9,1)</f>
        <v>0.3451692052664771</v>
      </c>
      <c r="X114" s="7" cm="1">
        <f t="array" ref="X1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4" s="9">
        <f>MAX(kmin, kmax - 0.15 * MIN(Games[[#This Row],[GamesPlayed]], 82))</f>
        <v>74.650000000000006</v>
      </c>
      <c r="Z114" s="4">
        <f>Games[[#This Row],[K]]*Games[[#This Row],[POMult]]</f>
        <v>74.650000000000006</v>
      </c>
      <c r="AA114" s="4">
        <f>(Games[[#This Row],[Keff]]*Games[[#This Row],[MOVMult]])*(Games[[#This Row],[Result]]-Games[[#This Row],[ExpectedWin%]])</f>
        <v>-7.0181929160837964</v>
      </c>
      <c r="AB114" s="4">
        <f>Games[[#This Row],[PreGmRate]]+Games[[#This Row],[RatingChange]]</f>
        <v>1449.4184208164934</v>
      </c>
      <c r="AC114" s="2">
        <f>IF(Games[[#This Row],[Type]]="R",IF(Games[[#This Row],[Result]]&gt;0.5,1,0),0)</f>
        <v>0</v>
      </c>
      <c r="AD114" s="2">
        <f>IF(Games[[#This Row],[Type]]="R",IF(Games[[#This Row],[Result]]&lt;0.5,1,0),0)</f>
        <v>1</v>
      </c>
      <c r="AE114" s="2">
        <f>IF(AND(Games[[#This Row],[Type]]="P",Games[[#This Row],[Round]]=1),IF(Games[[#This Row],[Result]]&gt;0.5,1,0),0)</f>
        <v>0</v>
      </c>
      <c r="AF114" s="2">
        <f>IF(AND(Games[[#This Row],[Type]]="P",Games[[#This Row],[Round]]=1),IF(Games[[#This Row],[Result]]&lt;0.5,1,0),0)</f>
        <v>0</v>
      </c>
      <c r="AG114" s="2">
        <f>IF(AND(Games[[#This Row],[Type]]="P",Games[[#This Row],[Round]]=2),IF(Games[[#This Row],[Result]]&gt;0.5,1,0),0)</f>
        <v>0</v>
      </c>
      <c r="AH114" s="2">
        <f>IF(AND(Games[[#This Row],[Type]]="P",Games[[#This Row],[Round]]=2),IF(Games[[#This Row],[Result]]&lt;0.5,1,0),0)</f>
        <v>0</v>
      </c>
      <c r="AI114" s="2">
        <f>IF(AND(Games[[#This Row],[Type]]="P",Games[[#This Row],[Round]]=3),IF(Games[[#This Row],[Result]]&gt;0.5,1,0),0)</f>
        <v>0</v>
      </c>
      <c r="AJ114" s="2">
        <f>IF(AND(Games[[#This Row],[Type]]="P",Games[[#This Row],[Round]]=3),IF(Games[[#This Row],[Result]]&lt;0.5,1,0),0)</f>
        <v>0</v>
      </c>
      <c r="AK114" s="2">
        <f>IF(AND(Games[[#This Row],[Type]]="P",Games[[#This Row],[Round]]=4),IF(Games[[#This Row],[Result]]&gt;0.5,1,0),0)</f>
        <v>0</v>
      </c>
      <c r="AL114" s="2">
        <f>IF(AND(Games[[#This Row],[Type]]="P",Games[[#This Row],[Round]]=4),IF(Games[[#This Row],[Result]]&lt;0.5,1,0),0)</f>
        <v>0</v>
      </c>
    </row>
    <row r="115" spans="1:38" x14ac:dyDescent="0.35">
      <c r="A115" s="10">
        <v>40342</v>
      </c>
      <c r="B115" s="2">
        <v>2010</v>
      </c>
      <c r="C115" s="2">
        <f>COUNTIFS(Games[Team],Games[[#This Row],[Team]],Games[Season],Games[[#This Row],[Season]],Games[Date],"&lt;=" &amp; Games[[#This Row],[Date]])</f>
        <v>11</v>
      </c>
      <c r="D115" s="2" t="s">
        <v>23</v>
      </c>
      <c r="E115" s="2" t="s">
        <v>29</v>
      </c>
      <c r="F115" s="1" t="s">
        <v>83</v>
      </c>
      <c r="G115" s="1" t="s">
        <v>78</v>
      </c>
      <c r="H115" s="1" t="s">
        <v>15</v>
      </c>
      <c r="I115" s="2" cm="1">
        <f t="array" ref="I11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5" s="2" cm="1">
        <f t="array" ref="J11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5" s="2">
        <f>Games[[#This Row],[DaysOff]]-Games[[#This Row],[OppDaysOff]]</f>
        <v>0</v>
      </c>
      <c r="L115" s="2">
        <f>Games[[#This Row],[OppDaysOff]]-Games[[#This Row],[DaysOff]]</f>
        <v>0</v>
      </c>
      <c r="M115" s="1">
        <f>MAX(-16, MIN(16, Games[[#This Row],[RestDiff]]*8))</f>
        <v>0</v>
      </c>
      <c r="N115" s="1">
        <f>MAX(-16, MIN(16, Games[[#This Row],[OppRestDiff]]*8))</f>
        <v>0</v>
      </c>
      <c r="O115" s="4" cm="1">
        <f t="array" ref="O1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1543.1348481295547</v>
      </c>
      <c r="P115" s="4" cm="1">
        <f t="array" ref="P1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1456.4366137325771</v>
      </c>
      <c r="Q115" s="4">
        <f>1/(1+10^(((Games[[#This Row],[OppPreGmRate]]+IF(Games[[#This Row],[HomeAway]]="A",HCA,0)+Games[[#This Row],[OppRestAdj]])-(Games[[#This Row],[PreGmRate]]+IF(Games[[#This Row],[HomeAway]]="H",HCA,0)+Games[[#This Row],[RestAdj]]))/400))</f>
        <v>0.72762738070919353</v>
      </c>
      <c r="R115" s="1">
        <v>90</v>
      </c>
      <c r="S115" s="1">
        <v>83</v>
      </c>
      <c r="T115" s="1">
        <v>0</v>
      </c>
      <c r="U115" s="1">
        <f>Games[[#This Row],[PointsFor]]-Games[[#This Row],[PointsAgainst]]</f>
        <v>7</v>
      </c>
      <c r="V115" s="1">
        <f>IF(Games[[#This Row],[MOV]]&gt;0,1,IF(Games[[#This Row],[MOV]]=0,0.5,0))</f>
        <v>1</v>
      </c>
      <c r="W115" s="4">
        <f>((ABS(Games[[#This Row],[MOV]])+5)^0.6)/(12+0.01*(ABS(Games[[#This Row],[PreGmRate]]-Games[[#This Row],[OppPreGmRate]])))*IF(Games[[#This Row],[OT]]=1,0.9,1)</f>
        <v>0.3451692052664771</v>
      </c>
      <c r="X115" s="7" cm="1">
        <f t="array" ref="X1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5" s="9">
        <f>MAX(kmin, kmax - 0.15 * MIN(Games[[#This Row],[GamesPlayed]], 82))</f>
        <v>74.349999999999994</v>
      </c>
      <c r="Z115" s="4">
        <f>Games[[#This Row],[K]]*Games[[#This Row],[POMult]]</f>
        <v>74.349999999999994</v>
      </c>
      <c r="AA115" s="4">
        <f>(Games[[#This Row],[Keff]]*Games[[#This Row],[MOVMult]])*(Games[[#This Row],[Result]]-Games[[#This Row],[ExpectedWin%]])</f>
        <v>6.9899885239227073</v>
      </c>
      <c r="AB115" s="4">
        <f>Games[[#This Row],[PreGmRate]]+Games[[#This Row],[RatingChange]]</f>
        <v>1550.1248366534774</v>
      </c>
      <c r="AC115" s="2">
        <f>IF(Games[[#This Row],[Type]]="R",IF(Games[[#This Row],[Result]]&gt;0.5,1,0),0)</f>
        <v>1</v>
      </c>
      <c r="AD115" s="2">
        <f>IF(Games[[#This Row],[Type]]="R",IF(Games[[#This Row],[Result]]&lt;0.5,1,0),0)</f>
        <v>0</v>
      </c>
      <c r="AE115" s="2">
        <f>IF(AND(Games[[#This Row],[Type]]="P",Games[[#This Row],[Round]]=1),IF(Games[[#This Row],[Result]]&gt;0.5,1,0),0)</f>
        <v>0</v>
      </c>
      <c r="AF115" s="2">
        <f>IF(AND(Games[[#This Row],[Type]]="P",Games[[#This Row],[Round]]=1),IF(Games[[#This Row],[Result]]&lt;0.5,1,0),0)</f>
        <v>0</v>
      </c>
      <c r="AG115" s="2">
        <f>IF(AND(Games[[#This Row],[Type]]="P",Games[[#This Row],[Round]]=2),IF(Games[[#This Row],[Result]]&gt;0.5,1,0),0)</f>
        <v>0</v>
      </c>
      <c r="AH115" s="2">
        <f>IF(AND(Games[[#This Row],[Type]]="P",Games[[#This Row],[Round]]=2),IF(Games[[#This Row],[Result]]&lt;0.5,1,0),0)</f>
        <v>0</v>
      </c>
      <c r="AI115" s="2">
        <f>IF(AND(Games[[#This Row],[Type]]="P",Games[[#This Row],[Round]]=3),IF(Games[[#This Row],[Result]]&gt;0.5,1,0),0)</f>
        <v>0</v>
      </c>
      <c r="AJ115" s="2">
        <f>IF(AND(Games[[#This Row],[Type]]="P",Games[[#This Row],[Round]]=3),IF(Games[[#This Row],[Result]]&lt;0.5,1,0),0)</f>
        <v>0</v>
      </c>
      <c r="AK115" s="2">
        <f>IF(AND(Games[[#This Row],[Type]]="P",Games[[#This Row],[Round]]=4),IF(Games[[#This Row],[Result]]&gt;0.5,1,0),0)</f>
        <v>0</v>
      </c>
      <c r="AL115" s="2">
        <f>IF(AND(Games[[#This Row],[Type]]="P",Games[[#This Row],[Round]]=4),IF(Games[[#This Row],[Result]]&lt;0.5,1,0),0)</f>
        <v>0</v>
      </c>
    </row>
    <row r="116" spans="1:38" x14ac:dyDescent="0.35">
      <c r="A116" s="10">
        <v>40342</v>
      </c>
      <c r="B116" s="2">
        <v>2010</v>
      </c>
      <c r="C116" s="2">
        <f>COUNTIFS(Games[Team],Games[[#This Row],[Team]],Games[Season],Games[[#This Row],[Season]],Games[Date],"&lt;=" &amp; Games[[#This Row],[Date]])</f>
        <v>9</v>
      </c>
      <c r="D116" s="2" t="s">
        <v>23</v>
      </c>
      <c r="E116" s="2" t="s">
        <v>29</v>
      </c>
      <c r="F116" s="1" t="s">
        <v>80</v>
      </c>
      <c r="G116" s="1" t="s">
        <v>73</v>
      </c>
      <c r="H116" s="1" t="s">
        <v>16</v>
      </c>
      <c r="I116" s="2" cm="1">
        <f t="array" ref="I11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6" s="2" cm="1">
        <f t="array" ref="J11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6" s="2">
        <f>Games[[#This Row],[DaysOff]]-Games[[#This Row],[OppDaysOff]]</f>
        <v>0</v>
      </c>
      <c r="L116" s="2">
        <f>Games[[#This Row],[OppDaysOff]]-Games[[#This Row],[DaysOff]]</f>
        <v>0</v>
      </c>
      <c r="M116" s="1">
        <f>MAX(-16, MIN(16, Games[[#This Row],[RestDiff]]*8))</f>
        <v>0</v>
      </c>
      <c r="N116" s="1">
        <f>MAX(-16, MIN(16, Games[[#This Row],[OppRestDiff]]*8))</f>
        <v>0</v>
      </c>
      <c r="O116" s="4" cm="1">
        <f t="array" ref="O1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1540.6235791003237</v>
      </c>
      <c r="P116" s="4" cm="1">
        <f t="array" ref="P1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1546.5032265486684</v>
      </c>
      <c r="Q116" s="4">
        <f>1/(1+10^(((Games[[#This Row],[OppPreGmRate]]+IF(Games[[#This Row],[HomeAway]]="A",HCA,0)+Games[[#This Row],[OppRestAdj]])-(Games[[#This Row],[PreGmRate]]+IF(Games[[#This Row],[HomeAway]]="H",HCA,0)+Games[[#This Row],[RestAdj]]))/400))</f>
        <v>0.3734630124387418</v>
      </c>
      <c r="R116" s="1">
        <v>67</v>
      </c>
      <c r="S116" s="1">
        <v>77</v>
      </c>
      <c r="T116" s="1">
        <v>0</v>
      </c>
      <c r="U116" s="1">
        <f>Games[[#This Row],[PointsFor]]-Games[[#This Row],[PointsAgainst]]</f>
        <v>-10</v>
      </c>
      <c r="V116" s="1">
        <f>IF(Games[[#This Row],[MOV]]&gt;0,1,IF(Games[[#This Row],[MOV]]=0,0.5,0))</f>
        <v>0</v>
      </c>
      <c r="W116" s="4">
        <f>((ABS(Games[[#This Row],[MOV]])+5)^0.6)/(12+0.01*(ABS(Games[[#This Row],[PreGmRate]]-Games[[#This Row],[OppPreGmRate]])))*IF(Games[[#This Row],[OT]]=1,0.9,1)</f>
        <v>0.42106659671481939</v>
      </c>
      <c r="X116" s="7" cm="1">
        <f t="array" ref="X1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6" s="9">
        <f>MAX(kmin, kmax - 0.15 * MIN(Games[[#This Row],[GamesPlayed]], 82))</f>
        <v>74.650000000000006</v>
      </c>
      <c r="Z116" s="4">
        <f>Games[[#This Row],[K]]*Games[[#This Row],[POMult]]</f>
        <v>74.650000000000006</v>
      </c>
      <c r="AA116" s="4">
        <f>(Games[[#This Row],[Keff]]*Games[[#This Row],[MOVMult]])*(Games[[#This Row],[Result]]-Games[[#This Row],[ExpectedWin%]])</f>
        <v>-11.73892149360714</v>
      </c>
      <c r="AB116" s="4">
        <f>Games[[#This Row],[PreGmRate]]+Games[[#This Row],[RatingChange]]</f>
        <v>1528.8846576067165</v>
      </c>
      <c r="AC116" s="2">
        <f>IF(Games[[#This Row],[Type]]="R",IF(Games[[#This Row],[Result]]&gt;0.5,1,0),0)</f>
        <v>0</v>
      </c>
      <c r="AD116" s="2">
        <f>IF(Games[[#This Row],[Type]]="R",IF(Games[[#This Row],[Result]]&lt;0.5,1,0),0)</f>
        <v>1</v>
      </c>
      <c r="AE116" s="2">
        <f>IF(AND(Games[[#This Row],[Type]]="P",Games[[#This Row],[Round]]=1),IF(Games[[#This Row],[Result]]&gt;0.5,1,0),0)</f>
        <v>0</v>
      </c>
      <c r="AF116" s="2">
        <f>IF(AND(Games[[#This Row],[Type]]="P",Games[[#This Row],[Round]]=1),IF(Games[[#This Row],[Result]]&lt;0.5,1,0),0)</f>
        <v>0</v>
      </c>
      <c r="AG116" s="2">
        <f>IF(AND(Games[[#This Row],[Type]]="P",Games[[#This Row],[Round]]=2),IF(Games[[#This Row],[Result]]&gt;0.5,1,0),0)</f>
        <v>0</v>
      </c>
      <c r="AH116" s="2">
        <f>IF(AND(Games[[#This Row],[Type]]="P",Games[[#This Row],[Round]]=2),IF(Games[[#This Row],[Result]]&lt;0.5,1,0),0)</f>
        <v>0</v>
      </c>
      <c r="AI116" s="2">
        <f>IF(AND(Games[[#This Row],[Type]]="P",Games[[#This Row],[Round]]=3),IF(Games[[#This Row],[Result]]&gt;0.5,1,0),0)</f>
        <v>0</v>
      </c>
      <c r="AJ116" s="2">
        <f>IF(AND(Games[[#This Row],[Type]]="P",Games[[#This Row],[Round]]=3),IF(Games[[#This Row],[Result]]&lt;0.5,1,0),0)</f>
        <v>0</v>
      </c>
      <c r="AK116" s="2">
        <f>IF(AND(Games[[#This Row],[Type]]="P",Games[[#This Row],[Round]]=4),IF(Games[[#This Row],[Result]]&gt;0.5,1,0),0)</f>
        <v>0</v>
      </c>
      <c r="AL116" s="2">
        <f>IF(AND(Games[[#This Row],[Type]]="P",Games[[#This Row],[Round]]=4),IF(Games[[#This Row],[Result]]&lt;0.5,1,0),0)</f>
        <v>0</v>
      </c>
    </row>
    <row r="117" spans="1:38" x14ac:dyDescent="0.35">
      <c r="A117" s="10">
        <v>40342</v>
      </c>
      <c r="B117" s="2">
        <v>2010</v>
      </c>
      <c r="C117" s="2">
        <f>COUNTIFS(Games[Team],Games[[#This Row],[Team]],Games[Season],Games[[#This Row],[Season]],Games[Date],"&lt;=" &amp; Games[[#This Row],[Date]])</f>
        <v>10</v>
      </c>
      <c r="D117" s="2" t="s">
        <v>23</v>
      </c>
      <c r="E117" s="2" t="s">
        <v>29</v>
      </c>
      <c r="F117" s="1" t="s">
        <v>73</v>
      </c>
      <c r="G117" s="1" t="s">
        <v>80</v>
      </c>
      <c r="H117" s="1" t="s">
        <v>15</v>
      </c>
      <c r="I117" s="2" cm="1">
        <f t="array" ref="I11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7" s="2" cm="1">
        <f t="array" ref="J11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7" s="2">
        <f>Games[[#This Row],[DaysOff]]-Games[[#This Row],[OppDaysOff]]</f>
        <v>0</v>
      </c>
      <c r="L117" s="2">
        <f>Games[[#This Row],[OppDaysOff]]-Games[[#This Row],[DaysOff]]</f>
        <v>0</v>
      </c>
      <c r="M117" s="1">
        <f>MAX(-16, MIN(16, Games[[#This Row],[RestDiff]]*8))</f>
        <v>0</v>
      </c>
      <c r="N117" s="1">
        <f>MAX(-16, MIN(16, Games[[#This Row],[OppRestDiff]]*8))</f>
        <v>0</v>
      </c>
      <c r="O117" s="4" cm="1">
        <f t="array" ref="O1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1546.5032265486684</v>
      </c>
      <c r="P117" s="4" cm="1">
        <f t="array" ref="P1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1540.6235791003237</v>
      </c>
      <c r="Q117" s="4">
        <f>1/(1+10^(((Games[[#This Row],[OppPreGmRate]]+IF(Games[[#This Row],[HomeAway]]="A",HCA,0)+Games[[#This Row],[OppRestAdj]])-(Games[[#This Row],[PreGmRate]]+IF(Games[[#This Row],[HomeAway]]="H",HCA,0)+Games[[#This Row],[RestAdj]]))/400))</f>
        <v>0.6265369875612582</v>
      </c>
      <c r="R117" s="1">
        <v>77</v>
      </c>
      <c r="S117" s="1">
        <v>67</v>
      </c>
      <c r="T117" s="1">
        <v>0</v>
      </c>
      <c r="U117" s="1">
        <f>Games[[#This Row],[PointsFor]]-Games[[#This Row],[PointsAgainst]]</f>
        <v>10</v>
      </c>
      <c r="V117" s="1">
        <f>IF(Games[[#This Row],[MOV]]&gt;0,1,IF(Games[[#This Row],[MOV]]=0,0.5,0))</f>
        <v>1</v>
      </c>
      <c r="W117" s="4">
        <f>((ABS(Games[[#This Row],[MOV]])+5)^0.6)/(12+0.01*(ABS(Games[[#This Row],[PreGmRate]]-Games[[#This Row],[OppPreGmRate]])))*IF(Games[[#This Row],[OT]]=1,0.9,1)</f>
        <v>0.42106659671481939</v>
      </c>
      <c r="X117" s="7" cm="1">
        <f t="array" ref="X1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7" s="9">
        <f>MAX(kmin, kmax - 0.15 * MIN(Games[[#This Row],[GamesPlayed]], 82))</f>
        <v>74.5</v>
      </c>
      <c r="Z117" s="4">
        <f>Games[[#This Row],[K]]*Games[[#This Row],[POMult]]</f>
        <v>74.5</v>
      </c>
      <c r="AA117" s="4">
        <f>(Games[[#This Row],[Keff]]*Games[[#This Row],[MOVMult]])*(Games[[#This Row],[Result]]-Games[[#This Row],[ExpectedWin%]])</f>
        <v>11.715333573660173</v>
      </c>
      <c r="AB117" s="4">
        <f>Games[[#This Row],[PreGmRate]]+Games[[#This Row],[RatingChange]]</f>
        <v>1558.2185601223287</v>
      </c>
      <c r="AC117" s="2">
        <f>IF(Games[[#This Row],[Type]]="R",IF(Games[[#This Row],[Result]]&gt;0.5,1,0),0)</f>
        <v>1</v>
      </c>
      <c r="AD117" s="2">
        <f>IF(Games[[#This Row],[Type]]="R",IF(Games[[#This Row],[Result]]&lt;0.5,1,0),0)</f>
        <v>0</v>
      </c>
      <c r="AE117" s="2">
        <f>IF(AND(Games[[#This Row],[Type]]="P",Games[[#This Row],[Round]]=1),IF(Games[[#This Row],[Result]]&gt;0.5,1,0),0)</f>
        <v>0</v>
      </c>
      <c r="AF117" s="2">
        <f>IF(AND(Games[[#This Row],[Type]]="P",Games[[#This Row],[Round]]=1),IF(Games[[#This Row],[Result]]&lt;0.5,1,0),0)</f>
        <v>0</v>
      </c>
      <c r="AG117" s="2">
        <f>IF(AND(Games[[#This Row],[Type]]="P",Games[[#This Row],[Round]]=2),IF(Games[[#This Row],[Result]]&gt;0.5,1,0),0)</f>
        <v>0</v>
      </c>
      <c r="AH117" s="2">
        <f>IF(AND(Games[[#This Row],[Type]]="P",Games[[#This Row],[Round]]=2),IF(Games[[#This Row],[Result]]&lt;0.5,1,0),0)</f>
        <v>0</v>
      </c>
      <c r="AI117" s="2">
        <f>IF(AND(Games[[#This Row],[Type]]="P",Games[[#This Row],[Round]]=3),IF(Games[[#This Row],[Result]]&gt;0.5,1,0),0)</f>
        <v>0</v>
      </c>
      <c r="AJ117" s="2">
        <f>IF(AND(Games[[#This Row],[Type]]="P",Games[[#This Row],[Round]]=3),IF(Games[[#This Row],[Result]]&lt;0.5,1,0),0)</f>
        <v>0</v>
      </c>
      <c r="AK117" s="2">
        <f>IF(AND(Games[[#This Row],[Type]]="P",Games[[#This Row],[Round]]=4),IF(Games[[#This Row],[Result]]&gt;0.5,1,0),0)</f>
        <v>0</v>
      </c>
      <c r="AL117" s="2">
        <f>IF(AND(Games[[#This Row],[Type]]="P",Games[[#This Row],[Round]]=4),IF(Games[[#This Row],[Result]]&lt;0.5,1,0),0)</f>
        <v>0</v>
      </c>
    </row>
    <row r="118" spans="1:38" x14ac:dyDescent="0.35">
      <c r="A118" s="10">
        <v>40342</v>
      </c>
      <c r="B118" s="2">
        <v>2010</v>
      </c>
      <c r="C118" s="2">
        <f>COUNTIFS(Games[Team],Games[[#This Row],[Team]],Games[Season],Games[[#This Row],[Season]],Games[Date],"&lt;=" &amp; Games[[#This Row],[Date]])</f>
        <v>11</v>
      </c>
      <c r="D118" s="2" t="s">
        <v>23</v>
      </c>
      <c r="E118" s="2" t="s">
        <v>29</v>
      </c>
      <c r="F118" s="1" t="s">
        <v>71</v>
      </c>
      <c r="G118" s="1" t="s">
        <v>67</v>
      </c>
      <c r="H118" s="1" t="s">
        <v>16</v>
      </c>
      <c r="I118" s="2" cm="1">
        <f t="array" ref="I118">IFERROR(
    Games[[#This Row],[Date]]
    - LOOKUP(
        2,
        1/((Games[Team]=Games[[#This Row],[Team]]) * (Games[Date] &lt; Games[[#This Row],[Date]])),
        Games[Date]
    )
    - 1,
Games[[#This Row],[Date]]-$A$2)</f>
        <v>2</v>
      </c>
      <c r="J118" s="2" cm="1">
        <f t="array" ref="J11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8" s="2">
        <f>Games[[#This Row],[DaysOff]]-Games[[#This Row],[OppDaysOff]]</f>
        <v>1</v>
      </c>
      <c r="L118" s="2">
        <f>Games[[#This Row],[OppDaysOff]]-Games[[#This Row],[DaysOff]]</f>
        <v>-1</v>
      </c>
      <c r="M118" s="1">
        <f>MAX(-16, MIN(16, Games[[#This Row],[RestDiff]]*8))</f>
        <v>8</v>
      </c>
      <c r="N118" s="1">
        <f>MAX(-16, MIN(16, Games[[#This Row],[OppRestDiff]]*8))</f>
        <v>-8</v>
      </c>
      <c r="O118" s="4" cm="1">
        <f t="array" ref="O1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1375.1345264007161</v>
      </c>
      <c r="P118" s="4" cm="1">
        <f t="array" ref="P1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1473.5066290948105</v>
      </c>
      <c r="Q118" s="4">
        <f>1/(1+10^(((Games[[#This Row],[OppPreGmRate]]+IF(Games[[#This Row],[HomeAway]]="A",HCA,0)+Games[[#This Row],[OppRestAdj]])-(Games[[#This Row],[PreGmRate]]+IF(Games[[#This Row],[HomeAway]]="H",HCA,0)+Games[[#This Row],[RestAdj]]))/400))</f>
        <v>0.27733596141349531</v>
      </c>
      <c r="R118" s="1">
        <v>84</v>
      </c>
      <c r="S118" s="1">
        <v>88</v>
      </c>
      <c r="T118" s="1">
        <v>0</v>
      </c>
      <c r="U118" s="1">
        <f>Games[[#This Row],[PointsFor]]-Games[[#This Row],[PointsAgainst]]</f>
        <v>-4</v>
      </c>
      <c r="V118" s="1">
        <f>IF(Games[[#This Row],[MOV]]&gt;0,1,IF(Games[[#This Row],[MOV]]=0,0.5,0))</f>
        <v>0</v>
      </c>
      <c r="W118" s="4">
        <f>((ABS(Games[[#This Row],[MOV]])+5)^0.6)/(12+0.01*(ABS(Games[[#This Row],[PreGmRate]]-Games[[#This Row],[OppPreGmRate]])))*IF(Games[[#This Row],[OT]]=1,0.9,1)</f>
        <v>0.28783680819173157</v>
      </c>
      <c r="X118" s="7" cm="1">
        <f t="array" ref="X1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8" s="9">
        <f>MAX(kmin, kmax - 0.15 * MIN(Games[[#This Row],[GamesPlayed]], 82))</f>
        <v>74.349999999999994</v>
      </c>
      <c r="Z118" s="4">
        <f>Games[[#This Row],[K]]*Games[[#This Row],[POMult]]</f>
        <v>74.349999999999994</v>
      </c>
      <c r="AA118" s="4">
        <f>(Games[[#This Row],[Keff]]*Games[[#This Row],[MOVMult]])*(Games[[#This Row],[Result]]-Games[[#This Row],[ExpectedWin%]])</f>
        <v>-5.9351744710988994</v>
      </c>
      <c r="AB118" s="4">
        <f>Games[[#This Row],[PreGmRate]]+Games[[#This Row],[RatingChange]]</f>
        <v>1369.1993519296173</v>
      </c>
      <c r="AC118" s="2">
        <f>IF(Games[[#This Row],[Type]]="R",IF(Games[[#This Row],[Result]]&gt;0.5,1,0),0)</f>
        <v>0</v>
      </c>
      <c r="AD118" s="2">
        <f>IF(Games[[#This Row],[Type]]="R",IF(Games[[#This Row],[Result]]&lt;0.5,1,0),0)</f>
        <v>1</v>
      </c>
      <c r="AE118" s="2">
        <f>IF(AND(Games[[#This Row],[Type]]="P",Games[[#This Row],[Round]]=1),IF(Games[[#This Row],[Result]]&gt;0.5,1,0),0)</f>
        <v>0</v>
      </c>
      <c r="AF118" s="2">
        <f>IF(AND(Games[[#This Row],[Type]]="P",Games[[#This Row],[Round]]=1),IF(Games[[#This Row],[Result]]&lt;0.5,1,0),0)</f>
        <v>0</v>
      </c>
      <c r="AG118" s="2">
        <f>IF(AND(Games[[#This Row],[Type]]="P",Games[[#This Row],[Round]]=2),IF(Games[[#This Row],[Result]]&gt;0.5,1,0),0)</f>
        <v>0</v>
      </c>
      <c r="AH118" s="2">
        <f>IF(AND(Games[[#This Row],[Type]]="P",Games[[#This Row],[Round]]=2),IF(Games[[#This Row],[Result]]&lt;0.5,1,0),0)</f>
        <v>0</v>
      </c>
      <c r="AI118" s="2">
        <f>IF(AND(Games[[#This Row],[Type]]="P",Games[[#This Row],[Round]]=3),IF(Games[[#This Row],[Result]]&gt;0.5,1,0),0)</f>
        <v>0</v>
      </c>
      <c r="AJ118" s="2">
        <f>IF(AND(Games[[#This Row],[Type]]="P",Games[[#This Row],[Round]]=3),IF(Games[[#This Row],[Result]]&lt;0.5,1,0),0)</f>
        <v>0</v>
      </c>
      <c r="AK118" s="2">
        <f>IF(AND(Games[[#This Row],[Type]]="P",Games[[#This Row],[Round]]=4),IF(Games[[#This Row],[Result]]&gt;0.5,1,0),0)</f>
        <v>0</v>
      </c>
      <c r="AL118" s="2">
        <f>IF(AND(Games[[#This Row],[Type]]="P",Games[[#This Row],[Round]]=4),IF(Games[[#This Row],[Result]]&lt;0.5,1,0),0)</f>
        <v>0</v>
      </c>
    </row>
    <row r="119" spans="1:38" x14ac:dyDescent="0.35">
      <c r="A119" s="10">
        <v>40342</v>
      </c>
      <c r="B119" s="2">
        <v>2010</v>
      </c>
      <c r="C119" s="2">
        <f>COUNTIFS(Games[Team],Games[[#This Row],[Team]],Games[Season],Games[[#This Row],[Season]],Games[Date],"&lt;=" &amp; Games[[#This Row],[Date]])</f>
        <v>10</v>
      </c>
      <c r="D119" s="2" t="s">
        <v>23</v>
      </c>
      <c r="E119" s="2" t="s">
        <v>29</v>
      </c>
      <c r="F119" s="1" t="s">
        <v>67</v>
      </c>
      <c r="G119" s="1" t="s">
        <v>71</v>
      </c>
      <c r="H119" s="1" t="s">
        <v>15</v>
      </c>
      <c r="I119" s="2" cm="1">
        <f t="array" ref="I11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9" s="2" cm="1">
        <f t="array" ref="J11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19" s="2">
        <f>Games[[#This Row],[DaysOff]]-Games[[#This Row],[OppDaysOff]]</f>
        <v>-1</v>
      </c>
      <c r="L119" s="2">
        <f>Games[[#This Row],[OppDaysOff]]-Games[[#This Row],[DaysOff]]</f>
        <v>1</v>
      </c>
      <c r="M119" s="1">
        <f>MAX(-16, MIN(16, Games[[#This Row],[RestDiff]]*8))</f>
        <v>-8</v>
      </c>
      <c r="N119" s="1">
        <f>MAX(-16, MIN(16, Games[[#This Row],[OppRestDiff]]*8))</f>
        <v>8</v>
      </c>
      <c r="O119" s="4" cm="1">
        <f t="array" ref="O1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1473.5066290948105</v>
      </c>
      <c r="P119" s="4" cm="1">
        <f t="array" ref="P1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1375.1345264007161</v>
      </c>
      <c r="Q119" s="4">
        <f>1/(1+10^(((Games[[#This Row],[OppPreGmRate]]+IF(Games[[#This Row],[HomeAway]]="A",HCA,0)+Games[[#This Row],[OppRestAdj]])-(Games[[#This Row],[PreGmRate]]+IF(Games[[#This Row],[HomeAway]]="H",HCA,0)+Games[[#This Row],[RestAdj]]))/400))</f>
        <v>0.72266403858650463</v>
      </c>
      <c r="R119" s="1">
        <v>88</v>
      </c>
      <c r="S119" s="1">
        <v>84</v>
      </c>
      <c r="T119" s="1">
        <v>0</v>
      </c>
      <c r="U119" s="1">
        <f>Games[[#This Row],[PointsFor]]-Games[[#This Row],[PointsAgainst]]</f>
        <v>4</v>
      </c>
      <c r="V119" s="1">
        <f>IF(Games[[#This Row],[MOV]]&gt;0,1,IF(Games[[#This Row],[MOV]]=0,0.5,0))</f>
        <v>1</v>
      </c>
      <c r="W119" s="4">
        <f>((ABS(Games[[#This Row],[MOV]])+5)^0.6)/(12+0.01*(ABS(Games[[#This Row],[PreGmRate]]-Games[[#This Row],[OppPreGmRate]])))*IF(Games[[#This Row],[OT]]=1,0.9,1)</f>
        <v>0.28783680819173157</v>
      </c>
      <c r="X119" s="7" cm="1">
        <f t="array" ref="X1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9" s="9">
        <f>MAX(kmin, kmax - 0.15 * MIN(Games[[#This Row],[GamesPlayed]], 82))</f>
        <v>74.5</v>
      </c>
      <c r="Z119" s="4">
        <f>Games[[#This Row],[K]]*Games[[#This Row],[POMult]]</f>
        <v>74.5</v>
      </c>
      <c r="AA119" s="4">
        <f>(Games[[#This Row],[Keff]]*Games[[#This Row],[MOVMult]])*(Games[[#This Row],[Result]]-Games[[#This Row],[ExpectedWin%]])</f>
        <v>5.9471485957884074</v>
      </c>
      <c r="AB119" s="4">
        <f>Games[[#This Row],[PreGmRate]]+Games[[#This Row],[RatingChange]]</f>
        <v>1479.4537776905988</v>
      </c>
      <c r="AC119" s="2">
        <f>IF(Games[[#This Row],[Type]]="R",IF(Games[[#This Row],[Result]]&gt;0.5,1,0),0)</f>
        <v>1</v>
      </c>
      <c r="AD119" s="2">
        <f>IF(Games[[#This Row],[Type]]="R",IF(Games[[#This Row],[Result]]&lt;0.5,1,0),0)</f>
        <v>0</v>
      </c>
      <c r="AE119" s="2">
        <f>IF(AND(Games[[#This Row],[Type]]="P",Games[[#This Row],[Round]]=1),IF(Games[[#This Row],[Result]]&gt;0.5,1,0),0)</f>
        <v>0</v>
      </c>
      <c r="AF119" s="2">
        <f>IF(AND(Games[[#This Row],[Type]]="P",Games[[#This Row],[Round]]=1),IF(Games[[#This Row],[Result]]&lt;0.5,1,0),0)</f>
        <v>0</v>
      </c>
      <c r="AG119" s="2">
        <f>IF(AND(Games[[#This Row],[Type]]="P",Games[[#This Row],[Round]]=2),IF(Games[[#This Row],[Result]]&gt;0.5,1,0),0)</f>
        <v>0</v>
      </c>
      <c r="AH119" s="2">
        <f>IF(AND(Games[[#This Row],[Type]]="P",Games[[#This Row],[Round]]=2),IF(Games[[#This Row],[Result]]&lt;0.5,1,0),0)</f>
        <v>0</v>
      </c>
      <c r="AI119" s="2">
        <f>IF(AND(Games[[#This Row],[Type]]="P",Games[[#This Row],[Round]]=3),IF(Games[[#This Row],[Result]]&gt;0.5,1,0),0)</f>
        <v>0</v>
      </c>
      <c r="AJ119" s="2">
        <f>IF(AND(Games[[#This Row],[Type]]="P",Games[[#This Row],[Round]]=3),IF(Games[[#This Row],[Result]]&lt;0.5,1,0),0)</f>
        <v>0</v>
      </c>
      <c r="AK119" s="2">
        <f>IF(AND(Games[[#This Row],[Type]]="P",Games[[#This Row],[Round]]=4),IF(Games[[#This Row],[Result]]&gt;0.5,1,0),0)</f>
        <v>0</v>
      </c>
      <c r="AL119" s="2">
        <f>IF(AND(Games[[#This Row],[Type]]="P",Games[[#This Row],[Round]]=4),IF(Games[[#This Row],[Result]]&lt;0.5,1,0),0)</f>
        <v>0</v>
      </c>
    </row>
    <row r="120" spans="1:38" x14ac:dyDescent="0.35">
      <c r="A120" s="10">
        <v>40344</v>
      </c>
      <c r="B120" s="2">
        <v>2010</v>
      </c>
      <c r="C120" s="2">
        <f>COUNTIFS(Games[Team],Games[[#This Row],[Team]],Games[Season],Games[[#This Row],[Season]],Games[Date],"&lt;=" &amp; Games[[#This Row],[Date]])</f>
        <v>12</v>
      </c>
      <c r="D120" s="2" t="s">
        <v>23</v>
      </c>
      <c r="E120" s="2" t="s">
        <v>29</v>
      </c>
      <c r="F120" s="1" t="s">
        <v>83</v>
      </c>
      <c r="G120" s="1" t="s">
        <v>81</v>
      </c>
      <c r="H120" s="1" t="s">
        <v>16</v>
      </c>
      <c r="I120" s="2" cm="1">
        <f t="array" ref="I12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0" s="2" cm="1">
        <f t="array" ref="J12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20" s="2">
        <f>Games[[#This Row],[DaysOff]]-Games[[#This Row],[OppDaysOff]]</f>
        <v>-2</v>
      </c>
      <c r="L120" s="2">
        <f>Games[[#This Row],[OppDaysOff]]-Games[[#This Row],[DaysOff]]</f>
        <v>2</v>
      </c>
      <c r="M120" s="1">
        <f>MAX(-16, MIN(16, Games[[#This Row],[RestDiff]]*8))</f>
        <v>-16</v>
      </c>
      <c r="N120" s="1">
        <f>MAX(-16, MIN(16, Games[[#This Row],[OppRestDiff]]*8))</f>
        <v>16</v>
      </c>
      <c r="O120" s="4" cm="1">
        <f t="array" ref="O1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1550.1248366534774</v>
      </c>
      <c r="P120" s="4" cm="1">
        <f t="array" ref="P1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1460.7336878001904</v>
      </c>
      <c r="Q120" s="4">
        <f>1/(1+10^(((Games[[#This Row],[OppPreGmRate]]+IF(Games[[#This Row],[HomeAway]]="A",HCA,0)+Games[[#This Row],[OppRestAdj]])-(Games[[#This Row],[PreGmRate]]+IF(Games[[#This Row],[HomeAway]]="H",HCA,0)+Games[[#This Row],[RestAdj]]))/400))</f>
        <v>0.46178147914129186</v>
      </c>
      <c r="R120" s="1">
        <v>93</v>
      </c>
      <c r="S120" s="1">
        <v>86</v>
      </c>
      <c r="T120" s="1">
        <v>0</v>
      </c>
      <c r="U120" s="1">
        <f>Games[[#This Row],[PointsFor]]-Games[[#This Row],[PointsAgainst]]</f>
        <v>7</v>
      </c>
      <c r="V120" s="1">
        <f>IF(Games[[#This Row],[MOV]]&gt;0,1,IF(Games[[#This Row],[MOV]]=0,0.5,0))</f>
        <v>1</v>
      </c>
      <c r="W120" s="4">
        <f>((ABS(Games[[#This Row],[MOV]])+5)^0.6)/(12+0.01*(ABS(Games[[#This Row],[PreGmRate]]-Games[[#This Row],[OppPreGmRate]])))*IF(Games[[#This Row],[OT]]=1,0.9,1)</f>
        <v>0.34444831374836671</v>
      </c>
      <c r="X120" s="7" cm="1">
        <f t="array" ref="X1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0" s="9">
        <f>MAX(kmin, kmax - 0.15 * MIN(Games[[#This Row],[GamesPlayed]], 82))</f>
        <v>74.2</v>
      </c>
      <c r="Z120" s="4">
        <f>Games[[#This Row],[K]]*Games[[#This Row],[POMult]]</f>
        <v>74.2</v>
      </c>
      <c r="AA120" s="4">
        <f>(Games[[#This Row],[Keff]]*Games[[#This Row],[MOVMult]])*(Games[[#This Row],[Result]]-Games[[#This Row],[ExpectedWin%]])</f>
        <v>13.755823875793824</v>
      </c>
      <c r="AB120" s="4">
        <f>Games[[#This Row],[PreGmRate]]+Games[[#This Row],[RatingChange]]</f>
        <v>1563.8806605292712</v>
      </c>
      <c r="AC120" s="2">
        <f>IF(Games[[#This Row],[Type]]="R",IF(Games[[#This Row],[Result]]&gt;0.5,1,0),0)</f>
        <v>1</v>
      </c>
      <c r="AD120" s="2">
        <f>IF(Games[[#This Row],[Type]]="R",IF(Games[[#This Row],[Result]]&lt;0.5,1,0),0)</f>
        <v>0</v>
      </c>
      <c r="AE120" s="2">
        <f>IF(AND(Games[[#This Row],[Type]]="P",Games[[#This Row],[Round]]=1),IF(Games[[#This Row],[Result]]&gt;0.5,1,0),0)</f>
        <v>0</v>
      </c>
      <c r="AF120" s="2">
        <f>IF(AND(Games[[#This Row],[Type]]="P",Games[[#This Row],[Round]]=1),IF(Games[[#This Row],[Result]]&lt;0.5,1,0),0)</f>
        <v>0</v>
      </c>
      <c r="AG120" s="2">
        <f>IF(AND(Games[[#This Row],[Type]]="P",Games[[#This Row],[Round]]=2),IF(Games[[#This Row],[Result]]&gt;0.5,1,0),0)</f>
        <v>0</v>
      </c>
      <c r="AH120" s="2">
        <f>IF(AND(Games[[#This Row],[Type]]="P",Games[[#This Row],[Round]]=2),IF(Games[[#This Row],[Result]]&lt;0.5,1,0),0)</f>
        <v>0</v>
      </c>
      <c r="AI120" s="2">
        <f>IF(AND(Games[[#This Row],[Type]]="P",Games[[#This Row],[Round]]=3),IF(Games[[#This Row],[Result]]&gt;0.5,1,0),0)</f>
        <v>0</v>
      </c>
      <c r="AJ120" s="2">
        <f>IF(AND(Games[[#This Row],[Type]]="P",Games[[#This Row],[Round]]=3),IF(Games[[#This Row],[Result]]&lt;0.5,1,0),0)</f>
        <v>0</v>
      </c>
      <c r="AK120" s="2">
        <f>IF(AND(Games[[#This Row],[Type]]="P",Games[[#This Row],[Round]]=4),IF(Games[[#This Row],[Result]]&gt;0.5,1,0),0)</f>
        <v>0</v>
      </c>
      <c r="AL120" s="2">
        <f>IF(AND(Games[[#This Row],[Type]]="P",Games[[#This Row],[Round]]=4),IF(Games[[#This Row],[Result]]&lt;0.5,1,0),0)</f>
        <v>0</v>
      </c>
    </row>
    <row r="121" spans="1:38" x14ac:dyDescent="0.35">
      <c r="A121" s="10">
        <v>40344</v>
      </c>
      <c r="B121" s="2">
        <v>2010</v>
      </c>
      <c r="C121" s="2">
        <f>COUNTIFS(Games[Team],Games[[#This Row],[Team]],Games[Season],Games[[#This Row],[Season]],Games[Date],"&lt;=" &amp; Games[[#This Row],[Date]])</f>
        <v>11</v>
      </c>
      <c r="D121" s="2" t="s">
        <v>23</v>
      </c>
      <c r="E121" s="2" t="s">
        <v>29</v>
      </c>
      <c r="F121" s="1" t="s">
        <v>81</v>
      </c>
      <c r="G121" s="1" t="s">
        <v>83</v>
      </c>
      <c r="H121" s="1" t="s">
        <v>15</v>
      </c>
      <c r="I121" s="2" cm="1">
        <f t="array" ref="I121">IFERROR(
    Games[[#This Row],[Date]]
    - LOOKUP(
        2,
        1/((Games[Team]=Games[[#This Row],[Team]]) * (Games[Date] &lt; Games[[#This Row],[Date]])),
        Games[Date]
    )
    - 1,
Games[[#This Row],[Date]]-$A$2)</f>
        <v>3</v>
      </c>
      <c r="J121" s="2" cm="1">
        <f t="array" ref="J12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1" s="2">
        <f>Games[[#This Row],[DaysOff]]-Games[[#This Row],[OppDaysOff]]</f>
        <v>2</v>
      </c>
      <c r="L121" s="2">
        <f>Games[[#This Row],[OppDaysOff]]-Games[[#This Row],[DaysOff]]</f>
        <v>-2</v>
      </c>
      <c r="M121" s="1">
        <f>MAX(-16, MIN(16, Games[[#This Row],[RestDiff]]*8))</f>
        <v>16</v>
      </c>
      <c r="N121" s="1">
        <f>MAX(-16, MIN(16, Games[[#This Row],[OppRestDiff]]*8))</f>
        <v>-16</v>
      </c>
      <c r="O121" s="4" cm="1">
        <f t="array" ref="O1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1460.7336878001904</v>
      </c>
      <c r="P121" s="4" cm="1">
        <f t="array" ref="P1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1550.1248366534774</v>
      </c>
      <c r="Q121" s="4">
        <f>1/(1+10^(((Games[[#This Row],[OppPreGmRate]]+IF(Games[[#This Row],[HomeAway]]="A",HCA,0)+Games[[#This Row],[OppRestAdj]])-(Games[[#This Row],[PreGmRate]]+IF(Games[[#This Row],[HomeAway]]="H",HCA,0)+Games[[#This Row],[RestAdj]]))/400))</f>
        <v>0.53821852085870814</v>
      </c>
      <c r="R121" s="1">
        <v>86</v>
      </c>
      <c r="S121" s="1">
        <v>93</v>
      </c>
      <c r="T121" s="1">
        <v>0</v>
      </c>
      <c r="U121" s="1">
        <f>Games[[#This Row],[PointsFor]]-Games[[#This Row],[PointsAgainst]]</f>
        <v>-7</v>
      </c>
      <c r="V121" s="1">
        <f>IF(Games[[#This Row],[MOV]]&gt;0,1,IF(Games[[#This Row],[MOV]]=0,0.5,0))</f>
        <v>0</v>
      </c>
      <c r="W121" s="4">
        <f>((ABS(Games[[#This Row],[MOV]])+5)^0.6)/(12+0.01*(ABS(Games[[#This Row],[PreGmRate]]-Games[[#This Row],[OppPreGmRate]])))*IF(Games[[#This Row],[OT]]=1,0.9,1)</f>
        <v>0.34444831374836671</v>
      </c>
      <c r="X121" s="7" cm="1">
        <f t="array" ref="X1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1" s="9">
        <f>MAX(kmin, kmax - 0.15 * MIN(Games[[#This Row],[GamesPlayed]], 82))</f>
        <v>74.349999999999994</v>
      </c>
      <c r="Z121" s="4">
        <f>Games[[#This Row],[K]]*Games[[#This Row],[POMult]]</f>
        <v>74.349999999999994</v>
      </c>
      <c r="AA121" s="4">
        <f>(Games[[#This Row],[Keff]]*Games[[#This Row],[MOVMult]])*(Games[[#This Row],[Result]]-Games[[#This Row],[ExpectedWin%]])</f>
        <v>-13.783632145084511</v>
      </c>
      <c r="AB121" s="4">
        <f>Games[[#This Row],[PreGmRate]]+Games[[#This Row],[RatingChange]]</f>
        <v>1446.9500556551059</v>
      </c>
      <c r="AC121" s="2">
        <f>IF(Games[[#This Row],[Type]]="R",IF(Games[[#This Row],[Result]]&gt;0.5,1,0),0)</f>
        <v>0</v>
      </c>
      <c r="AD121" s="2">
        <f>IF(Games[[#This Row],[Type]]="R",IF(Games[[#This Row],[Result]]&lt;0.5,1,0),0)</f>
        <v>1</v>
      </c>
      <c r="AE121" s="2">
        <f>IF(AND(Games[[#This Row],[Type]]="P",Games[[#This Row],[Round]]=1),IF(Games[[#This Row],[Result]]&gt;0.5,1,0),0)</f>
        <v>0</v>
      </c>
      <c r="AF121" s="2">
        <f>IF(AND(Games[[#This Row],[Type]]="P",Games[[#This Row],[Round]]=1),IF(Games[[#This Row],[Result]]&lt;0.5,1,0),0)</f>
        <v>0</v>
      </c>
      <c r="AG121" s="2">
        <f>IF(AND(Games[[#This Row],[Type]]="P",Games[[#This Row],[Round]]=2),IF(Games[[#This Row],[Result]]&gt;0.5,1,0),0)</f>
        <v>0</v>
      </c>
      <c r="AH121" s="2">
        <f>IF(AND(Games[[#This Row],[Type]]="P",Games[[#This Row],[Round]]=2),IF(Games[[#This Row],[Result]]&lt;0.5,1,0),0)</f>
        <v>0</v>
      </c>
      <c r="AI121" s="2">
        <f>IF(AND(Games[[#This Row],[Type]]="P",Games[[#This Row],[Round]]=3),IF(Games[[#This Row],[Result]]&gt;0.5,1,0),0)</f>
        <v>0</v>
      </c>
      <c r="AJ121" s="2">
        <f>IF(AND(Games[[#This Row],[Type]]="P",Games[[#This Row],[Round]]=3),IF(Games[[#This Row],[Result]]&lt;0.5,1,0),0)</f>
        <v>0</v>
      </c>
      <c r="AK121" s="2">
        <f>IF(AND(Games[[#This Row],[Type]]="P",Games[[#This Row],[Round]]=4),IF(Games[[#This Row],[Result]]&gt;0.5,1,0),0)</f>
        <v>0</v>
      </c>
      <c r="AL121" s="2">
        <f>IF(AND(Games[[#This Row],[Type]]="P",Games[[#This Row],[Round]]=4),IF(Games[[#This Row],[Result]]&lt;0.5,1,0),0)</f>
        <v>0</v>
      </c>
    </row>
    <row r="122" spans="1:38" x14ac:dyDescent="0.35">
      <c r="A122" s="10">
        <v>40346</v>
      </c>
      <c r="B122" s="2">
        <v>2010</v>
      </c>
      <c r="C122" s="2">
        <f>COUNTIFS(Games[Team],Games[[#This Row],[Team]],Games[Season],Games[[#This Row],[Season]],Games[Date],"&lt;=" &amp; Games[[#This Row],[Date]])</f>
        <v>11</v>
      </c>
      <c r="D122" s="2" t="s">
        <v>23</v>
      </c>
      <c r="E122" s="2" t="s">
        <v>29</v>
      </c>
      <c r="F122" s="1" t="s">
        <v>75</v>
      </c>
      <c r="G122" s="1" t="s">
        <v>73</v>
      </c>
      <c r="H122" s="1" t="s">
        <v>16</v>
      </c>
      <c r="I122" s="2" cm="1">
        <f t="array" ref="I122">IFERROR(
    Games[[#This Row],[Date]]
    - LOOKUP(
        2,
        1/((Games[Team]=Games[[#This Row],[Team]]) * (Games[Date] &lt; Games[[#This Row],[Date]])),
        Games[Date]
    )
    - 1,
Games[[#This Row],[Date]]-$A$2)</f>
        <v>5</v>
      </c>
      <c r="J122" s="2" cm="1">
        <f t="array" ref="J12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22" s="2">
        <f>Games[[#This Row],[DaysOff]]-Games[[#This Row],[OppDaysOff]]</f>
        <v>2</v>
      </c>
      <c r="L122" s="2">
        <f>Games[[#This Row],[OppDaysOff]]-Games[[#This Row],[DaysOff]]</f>
        <v>-2</v>
      </c>
      <c r="M122" s="1">
        <f>MAX(-16, MIN(16, Games[[#This Row],[RestDiff]]*8))</f>
        <v>16</v>
      </c>
      <c r="N122" s="1">
        <f>MAX(-16, MIN(16, Games[[#This Row],[OppRestDiff]]*8))</f>
        <v>-16</v>
      </c>
      <c r="O122" s="4" cm="1">
        <f t="array" ref="O1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1619.4323951159981</v>
      </c>
      <c r="P122" s="4" cm="1">
        <f t="array" ref="P1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1558.2185601223287</v>
      </c>
      <c r="Q122" s="4">
        <f>1/(1+10^(((Games[[#This Row],[OppPreGmRate]]+IF(Games[[#This Row],[HomeAway]]="A",HCA,0)+Games[[#This Row],[OppRestAdj]])-(Games[[#This Row],[PreGmRate]]+IF(Games[[#This Row],[HomeAway]]="H",HCA,0)+Games[[#This Row],[RestAdj]]))/400))</f>
        <v>0.5132566668419587</v>
      </c>
      <c r="R122" s="1">
        <v>65</v>
      </c>
      <c r="S122" s="1">
        <v>72</v>
      </c>
      <c r="T122" s="1">
        <v>0</v>
      </c>
      <c r="U122" s="1">
        <f>Games[[#This Row],[PointsFor]]-Games[[#This Row],[PointsAgainst]]</f>
        <v>-7</v>
      </c>
      <c r="V122" s="1">
        <f>IF(Games[[#This Row],[MOV]]&gt;0,1,IF(Games[[#This Row],[MOV]]=0,0.5,0))</f>
        <v>0</v>
      </c>
      <c r="W122" s="4">
        <f>((ABS(Games[[#This Row],[MOV]])+5)^0.6)/(12+0.01*(ABS(Games[[#This Row],[PreGmRate]]-Games[[#This Row],[OppPreGmRate]])))*IF(Games[[#This Row],[OT]]=1,0.9,1)</f>
        <v>0.35214377979513145</v>
      </c>
      <c r="X122" s="7" cm="1">
        <f t="array" ref="X1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2" s="9">
        <f>MAX(kmin, kmax - 0.15 * MIN(Games[[#This Row],[GamesPlayed]], 82))</f>
        <v>74.349999999999994</v>
      </c>
      <c r="Z122" s="4">
        <f>Games[[#This Row],[K]]*Games[[#This Row],[POMult]]</f>
        <v>74.349999999999994</v>
      </c>
      <c r="AA122" s="4">
        <f>(Games[[#This Row],[Keff]]*Games[[#This Row],[MOVMult]])*(Games[[#This Row],[Result]]-Games[[#This Row],[ExpectedWin%]])</f>
        <v>-13.438029607274931</v>
      </c>
      <c r="AB122" s="4">
        <f>Games[[#This Row],[PreGmRate]]+Games[[#This Row],[RatingChange]]</f>
        <v>1605.9943655087231</v>
      </c>
      <c r="AC122" s="2">
        <f>IF(Games[[#This Row],[Type]]="R",IF(Games[[#This Row],[Result]]&gt;0.5,1,0),0)</f>
        <v>0</v>
      </c>
      <c r="AD122" s="2">
        <f>IF(Games[[#This Row],[Type]]="R",IF(Games[[#This Row],[Result]]&lt;0.5,1,0),0)</f>
        <v>1</v>
      </c>
      <c r="AE122" s="2">
        <f>IF(AND(Games[[#This Row],[Type]]="P",Games[[#This Row],[Round]]=1),IF(Games[[#This Row],[Result]]&gt;0.5,1,0),0)</f>
        <v>0</v>
      </c>
      <c r="AF122" s="2">
        <f>IF(AND(Games[[#This Row],[Type]]="P",Games[[#This Row],[Round]]=1),IF(Games[[#This Row],[Result]]&lt;0.5,1,0),0)</f>
        <v>0</v>
      </c>
      <c r="AG122" s="2">
        <f>IF(AND(Games[[#This Row],[Type]]="P",Games[[#This Row],[Round]]=2),IF(Games[[#This Row],[Result]]&gt;0.5,1,0),0)</f>
        <v>0</v>
      </c>
      <c r="AH122" s="2">
        <f>IF(AND(Games[[#This Row],[Type]]="P",Games[[#This Row],[Round]]=2),IF(Games[[#This Row],[Result]]&lt;0.5,1,0),0)</f>
        <v>0</v>
      </c>
      <c r="AI122" s="2">
        <f>IF(AND(Games[[#This Row],[Type]]="P",Games[[#This Row],[Round]]=3),IF(Games[[#This Row],[Result]]&gt;0.5,1,0),0)</f>
        <v>0</v>
      </c>
      <c r="AJ122" s="2">
        <f>IF(AND(Games[[#This Row],[Type]]="P",Games[[#This Row],[Round]]=3),IF(Games[[#This Row],[Result]]&lt;0.5,1,0),0)</f>
        <v>0</v>
      </c>
      <c r="AK122" s="2">
        <f>IF(AND(Games[[#This Row],[Type]]="P",Games[[#This Row],[Round]]=4),IF(Games[[#This Row],[Result]]&gt;0.5,1,0),0)</f>
        <v>0</v>
      </c>
      <c r="AL122" s="2">
        <f>IF(AND(Games[[#This Row],[Type]]="P",Games[[#This Row],[Round]]=4),IF(Games[[#This Row],[Result]]&lt;0.5,1,0),0)</f>
        <v>0</v>
      </c>
    </row>
    <row r="123" spans="1:38" x14ac:dyDescent="0.35">
      <c r="A123" s="10">
        <v>40346</v>
      </c>
      <c r="B123" s="2">
        <v>2010</v>
      </c>
      <c r="C123" s="2">
        <f>COUNTIFS(Games[Team],Games[[#This Row],[Team]],Games[Season],Games[[#This Row],[Season]],Games[Date],"&lt;=" &amp; Games[[#This Row],[Date]])</f>
        <v>11</v>
      </c>
      <c r="D123" s="2" t="s">
        <v>23</v>
      </c>
      <c r="E123" s="2" t="s">
        <v>29</v>
      </c>
      <c r="F123" s="1" t="s">
        <v>73</v>
      </c>
      <c r="G123" s="1" t="s">
        <v>75</v>
      </c>
      <c r="H123" s="1" t="s">
        <v>15</v>
      </c>
      <c r="I123" s="2" cm="1">
        <f t="array" ref="I123">IFERROR(
    Games[[#This Row],[Date]]
    - LOOKUP(
        2,
        1/((Games[Team]=Games[[#This Row],[Team]]) * (Games[Date] &lt; Games[[#This Row],[Date]])),
        Games[Date]
    )
    - 1,
Games[[#This Row],[Date]]-$A$2)</f>
        <v>3</v>
      </c>
      <c r="J123" s="2" cm="1">
        <f t="array" ref="J123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123" s="2">
        <f>Games[[#This Row],[DaysOff]]-Games[[#This Row],[OppDaysOff]]</f>
        <v>-2</v>
      </c>
      <c r="L123" s="2">
        <f>Games[[#This Row],[OppDaysOff]]-Games[[#This Row],[DaysOff]]</f>
        <v>2</v>
      </c>
      <c r="M123" s="1">
        <f>MAX(-16, MIN(16, Games[[#This Row],[RestDiff]]*8))</f>
        <v>-16</v>
      </c>
      <c r="N123" s="1">
        <f>MAX(-16, MIN(16, Games[[#This Row],[OppRestDiff]]*8))</f>
        <v>16</v>
      </c>
      <c r="O123" s="4" cm="1">
        <f t="array" ref="O1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1558.2185601223287</v>
      </c>
      <c r="P123" s="4" cm="1">
        <f t="array" ref="P1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1619.4323951159981</v>
      </c>
      <c r="Q123" s="4">
        <f>1/(1+10^(((Games[[#This Row],[OppPreGmRate]]+IF(Games[[#This Row],[HomeAway]]="A",HCA,0)+Games[[#This Row],[OppRestAdj]])-(Games[[#This Row],[PreGmRate]]+IF(Games[[#This Row],[HomeAway]]="H",HCA,0)+Games[[#This Row],[RestAdj]]))/400))</f>
        <v>0.48674333315804136</v>
      </c>
      <c r="R123" s="1">
        <v>72</v>
      </c>
      <c r="S123" s="1">
        <v>65</v>
      </c>
      <c r="T123" s="1">
        <v>0</v>
      </c>
      <c r="U123" s="1">
        <f>Games[[#This Row],[PointsFor]]-Games[[#This Row],[PointsAgainst]]</f>
        <v>7</v>
      </c>
      <c r="V123" s="1">
        <f>IF(Games[[#This Row],[MOV]]&gt;0,1,IF(Games[[#This Row],[MOV]]=0,0.5,0))</f>
        <v>1</v>
      </c>
      <c r="W123" s="4">
        <f>((ABS(Games[[#This Row],[MOV]])+5)^0.6)/(12+0.01*(ABS(Games[[#This Row],[PreGmRate]]-Games[[#This Row],[OppPreGmRate]])))*IF(Games[[#This Row],[OT]]=1,0.9,1)</f>
        <v>0.35214377979513145</v>
      </c>
      <c r="X123" s="7" cm="1">
        <f t="array" ref="X1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3" s="9">
        <f>MAX(kmin, kmax - 0.15 * MIN(Games[[#This Row],[GamesPlayed]], 82))</f>
        <v>74.349999999999994</v>
      </c>
      <c r="Z123" s="4">
        <f>Games[[#This Row],[K]]*Games[[#This Row],[POMult]]</f>
        <v>74.349999999999994</v>
      </c>
      <c r="AA123" s="4">
        <f>(Games[[#This Row],[Keff]]*Games[[#This Row],[MOVMult]])*(Games[[#This Row],[Result]]-Games[[#This Row],[ExpectedWin%]])</f>
        <v>13.438029607274931</v>
      </c>
      <c r="AB123" s="4">
        <f>Games[[#This Row],[PreGmRate]]+Games[[#This Row],[RatingChange]]</f>
        <v>1571.6565897296036</v>
      </c>
      <c r="AC123" s="2">
        <f>IF(Games[[#This Row],[Type]]="R",IF(Games[[#This Row],[Result]]&gt;0.5,1,0),0)</f>
        <v>1</v>
      </c>
      <c r="AD123" s="2">
        <f>IF(Games[[#This Row],[Type]]="R",IF(Games[[#This Row],[Result]]&lt;0.5,1,0),0)</f>
        <v>0</v>
      </c>
      <c r="AE123" s="2">
        <f>IF(AND(Games[[#This Row],[Type]]="P",Games[[#This Row],[Round]]=1),IF(Games[[#This Row],[Result]]&gt;0.5,1,0),0)</f>
        <v>0</v>
      </c>
      <c r="AF123" s="2">
        <f>IF(AND(Games[[#This Row],[Type]]="P",Games[[#This Row],[Round]]=1),IF(Games[[#This Row],[Result]]&lt;0.5,1,0),0)</f>
        <v>0</v>
      </c>
      <c r="AG123" s="2">
        <f>IF(AND(Games[[#This Row],[Type]]="P",Games[[#This Row],[Round]]=2),IF(Games[[#This Row],[Result]]&gt;0.5,1,0),0)</f>
        <v>0</v>
      </c>
      <c r="AH123" s="2">
        <f>IF(AND(Games[[#This Row],[Type]]="P",Games[[#This Row],[Round]]=2),IF(Games[[#This Row],[Result]]&lt;0.5,1,0),0)</f>
        <v>0</v>
      </c>
      <c r="AI123" s="2">
        <f>IF(AND(Games[[#This Row],[Type]]="P",Games[[#This Row],[Round]]=3),IF(Games[[#This Row],[Result]]&gt;0.5,1,0),0)</f>
        <v>0</v>
      </c>
      <c r="AJ123" s="2">
        <f>IF(AND(Games[[#This Row],[Type]]="P",Games[[#This Row],[Round]]=3),IF(Games[[#This Row],[Result]]&lt;0.5,1,0),0)</f>
        <v>0</v>
      </c>
      <c r="AK123" s="2">
        <f>IF(AND(Games[[#This Row],[Type]]="P",Games[[#This Row],[Round]]=4),IF(Games[[#This Row],[Result]]&gt;0.5,1,0),0)</f>
        <v>0</v>
      </c>
      <c r="AL123" s="2">
        <f>IF(AND(Games[[#This Row],[Type]]="P",Games[[#This Row],[Round]]=4),IF(Games[[#This Row],[Result]]&lt;0.5,1,0),0)</f>
        <v>0</v>
      </c>
    </row>
    <row r="124" spans="1:38" x14ac:dyDescent="0.35">
      <c r="A124" s="10">
        <v>40347</v>
      </c>
      <c r="B124" s="2">
        <v>2010</v>
      </c>
      <c r="C124" s="2">
        <f>COUNTIFS(Games[Team],Games[[#This Row],[Team]],Games[Season],Games[[#This Row],[Season]],Games[Date],"&lt;=" &amp; Games[[#This Row],[Date]])</f>
        <v>10</v>
      </c>
      <c r="D124" s="2" t="s">
        <v>23</v>
      </c>
      <c r="E124" s="2" t="s">
        <v>29</v>
      </c>
      <c r="F124" s="1" t="s">
        <v>80</v>
      </c>
      <c r="G124" s="1" t="s">
        <v>67</v>
      </c>
      <c r="H124" s="1" t="s">
        <v>16</v>
      </c>
      <c r="I124" s="2" cm="1">
        <f t="array" ref="I124">IFERROR(
    Games[[#This Row],[Date]]
    - LOOKUP(
        2,
        1/((Games[Team]=Games[[#This Row],[Team]]) * (Games[Date] &lt; Games[[#This Row],[Date]])),
        Games[Date]
    )
    - 1,
Games[[#This Row],[Date]]-$A$2)</f>
        <v>4</v>
      </c>
      <c r="J124" s="2" cm="1">
        <f t="array" ref="J124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24" s="2">
        <f>Games[[#This Row],[DaysOff]]-Games[[#This Row],[OppDaysOff]]</f>
        <v>0</v>
      </c>
      <c r="L124" s="2">
        <f>Games[[#This Row],[OppDaysOff]]-Games[[#This Row],[DaysOff]]</f>
        <v>0</v>
      </c>
      <c r="M124" s="1">
        <f>MAX(-16, MIN(16, Games[[#This Row],[RestDiff]]*8))</f>
        <v>0</v>
      </c>
      <c r="N124" s="1">
        <f>MAX(-16, MIN(16, Games[[#This Row],[OppRestDiff]]*8))</f>
        <v>0</v>
      </c>
      <c r="O124" s="4" cm="1">
        <f t="array" ref="O1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1528.8846576067165</v>
      </c>
      <c r="P124" s="4" cm="1">
        <f t="array" ref="P1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1479.4537776905988</v>
      </c>
      <c r="Q124" s="4">
        <f>1/(1+10^(((Games[[#This Row],[OppPreGmRate]]+IF(Games[[#This Row],[HomeAway]]="A",HCA,0)+Games[[#This Row],[OppRestAdj]])-(Games[[#This Row],[PreGmRate]]+IF(Games[[#This Row],[HomeAway]]="H",HCA,0)+Games[[#This Row],[RestAdj]]))/400))</f>
        <v>0.45041455851024392</v>
      </c>
      <c r="R124" s="1">
        <v>78</v>
      </c>
      <c r="S124" s="1">
        <v>75</v>
      </c>
      <c r="T124" s="1">
        <v>0</v>
      </c>
      <c r="U124" s="1">
        <f>Games[[#This Row],[PointsFor]]-Games[[#This Row],[PointsAgainst]]</f>
        <v>3</v>
      </c>
      <c r="V124" s="1">
        <f>IF(Games[[#This Row],[MOV]]&gt;0,1,IF(Games[[#This Row],[MOV]]=0,0.5,0))</f>
        <v>1</v>
      </c>
      <c r="W124" s="4">
        <f>((ABS(Games[[#This Row],[MOV]])+5)^0.6)/(12+0.01*(ABS(Games[[#This Row],[PreGmRate]]-Games[[#This Row],[OppPreGmRate]])))*IF(Games[[#This Row],[OT]]=1,0.9,1)</f>
        <v>0.27870307266763561</v>
      </c>
      <c r="X124" s="7" cm="1">
        <f t="array" ref="X1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4" s="9">
        <f>MAX(kmin, kmax - 0.15 * MIN(Games[[#This Row],[GamesPlayed]], 82))</f>
        <v>74.5</v>
      </c>
      <c r="Z124" s="4">
        <f>Games[[#This Row],[K]]*Games[[#This Row],[POMult]]</f>
        <v>74.5</v>
      </c>
      <c r="AA124" s="4">
        <f>(Games[[#This Row],[Keff]]*Games[[#This Row],[MOVMult]])*(Games[[#This Row],[Result]]-Games[[#This Row],[ExpectedWin%]])</f>
        <v>11.41125076712626</v>
      </c>
      <c r="AB124" s="4">
        <f>Games[[#This Row],[PreGmRate]]+Games[[#This Row],[RatingChange]]</f>
        <v>1540.2959083738426</v>
      </c>
      <c r="AC124" s="2">
        <f>IF(Games[[#This Row],[Type]]="R",IF(Games[[#This Row],[Result]]&gt;0.5,1,0),0)</f>
        <v>1</v>
      </c>
      <c r="AD124" s="2">
        <f>IF(Games[[#This Row],[Type]]="R",IF(Games[[#This Row],[Result]]&lt;0.5,1,0),0)</f>
        <v>0</v>
      </c>
      <c r="AE124" s="2">
        <f>IF(AND(Games[[#This Row],[Type]]="P",Games[[#This Row],[Round]]=1),IF(Games[[#This Row],[Result]]&gt;0.5,1,0),0)</f>
        <v>0</v>
      </c>
      <c r="AF124" s="2">
        <f>IF(AND(Games[[#This Row],[Type]]="P",Games[[#This Row],[Round]]=1),IF(Games[[#This Row],[Result]]&lt;0.5,1,0),0)</f>
        <v>0</v>
      </c>
      <c r="AG124" s="2">
        <f>IF(AND(Games[[#This Row],[Type]]="P",Games[[#This Row],[Round]]=2),IF(Games[[#This Row],[Result]]&gt;0.5,1,0),0)</f>
        <v>0</v>
      </c>
      <c r="AH124" s="2">
        <f>IF(AND(Games[[#This Row],[Type]]="P",Games[[#This Row],[Round]]=2),IF(Games[[#This Row],[Result]]&lt;0.5,1,0),0)</f>
        <v>0</v>
      </c>
      <c r="AI124" s="2">
        <f>IF(AND(Games[[#This Row],[Type]]="P",Games[[#This Row],[Round]]=3),IF(Games[[#This Row],[Result]]&gt;0.5,1,0),0)</f>
        <v>0</v>
      </c>
      <c r="AJ124" s="2">
        <f>IF(AND(Games[[#This Row],[Type]]="P",Games[[#This Row],[Round]]=3),IF(Games[[#This Row],[Result]]&lt;0.5,1,0),0)</f>
        <v>0</v>
      </c>
      <c r="AK124" s="2">
        <f>IF(AND(Games[[#This Row],[Type]]="P",Games[[#This Row],[Round]]=4),IF(Games[[#This Row],[Result]]&gt;0.5,1,0),0)</f>
        <v>0</v>
      </c>
      <c r="AL124" s="2">
        <f>IF(AND(Games[[#This Row],[Type]]="P",Games[[#This Row],[Round]]=4),IF(Games[[#This Row],[Result]]&lt;0.5,1,0),0)</f>
        <v>0</v>
      </c>
    </row>
    <row r="125" spans="1:38" x14ac:dyDescent="0.35">
      <c r="A125" s="10">
        <v>40347</v>
      </c>
      <c r="B125" s="2">
        <v>2010</v>
      </c>
      <c r="C125" s="2">
        <f>COUNTIFS(Games[Team],Games[[#This Row],[Team]],Games[Season],Games[[#This Row],[Season]],Games[Date],"&lt;=" &amp; Games[[#This Row],[Date]])</f>
        <v>11</v>
      </c>
      <c r="D125" s="2" t="s">
        <v>23</v>
      </c>
      <c r="E125" s="2" t="s">
        <v>29</v>
      </c>
      <c r="F125" s="1" t="s">
        <v>67</v>
      </c>
      <c r="G125" s="1" t="s">
        <v>80</v>
      </c>
      <c r="H125" s="1" t="s">
        <v>15</v>
      </c>
      <c r="I125" s="2" cm="1">
        <f t="array" ref="I125">IFERROR(
    Games[[#This Row],[Date]]
    - LOOKUP(
        2,
        1/((Games[Team]=Games[[#This Row],[Team]]) * (Games[Date] &lt; Games[[#This Row],[Date]])),
        Games[Date]
    )
    - 1,
Games[[#This Row],[Date]]-$A$2)</f>
        <v>4</v>
      </c>
      <c r="J125" s="2" cm="1">
        <f t="array" ref="J125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25" s="2">
        <f>Games[[#This Row],[DaysOff]]-Games[[#This Row],[OppDaysOff]]</f>
        <v>0</v>
      </c>
      <c r="L125" s="2">
        <f>Games[[#This Row],[OppDaysOff]]-Games[[#This Row],[DaysOff]]</f>
        <v>0</v>
      </c>
      <c r="M125" s="1">
        <f>MAX(-16, MIN(16, Games[[#This Row],[RestDiff]]*8))</f>
        <v>0</v>
      </c>
      <c r="N125" s="1">
        <f>MAX(-16, MIN(16, Games[[#This Row],[OppRestDiff]]*8))</f>
        <v>0</v>
      </c>
      <c r="O125" s="4" cm="1">
        <f t="array" ref="O1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1479.4537776905988</v>
      </c>
      <c r="P125" s="4" cm="1">
        <f t="array" ref="P1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1528.8846576067165</v>
      </c>
      <c r="Q125" s="4">
        <f>1/(1+10^(((Games[[#This Row],[OppPreGmRate]]+IF(Games[[#This Row],[HomeAway]]="A",HCA,0)+Games[[#This Row],[OppRestAdj]])-(Games[[#This Row],[PreGmRate]]+IF(Games[[#This Row],[HomeAway]]="H",HCA,0)+Games[[#This Row],[RestAdj]]))/400))</f>
        <v>0.54958544148975608</v>
      </c>
      <c r="R125" s="1">
        <v>75</v>
      </c>
      <c r="S125" s="1">
        <v>78</v>
      </c>
      <c r="T125" s="1">
        <v>0</v>
      </c>
      <c r="U125" s="1">
        <f>Games[[#This Row],[PointsFor]]-Games[[#This Row],[PointsAgainst]]</f>
        <v>-3</v>
      </c>
      <c r="V125" s="1">
        <f>IF(Games[[#This Row],[MOV]]&gt;0,1,IF(Games[[#This Row],[MOV]]=0,0.5,0))</f>
        <v>0</v>
      </c>
      <c r="W125" s="4">
        <f>((ABS(Games[[#This Row],[MOV]])+5)^0.6)/(12+0.01*(ABS(Games[[#This Row],[PreGmRate]]-Games[[#This Row],[OppPreGmRate]])))*IF(Games[[#This Row],[OT]]=1,0.9,1)</f>
        <v>0.27870307266763561</v>
      </c>
      <c r="X125" s="7" cm="1">
        <f t="array" ref="X1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5" s="9">
        <f>MAX(kmin, kmax - 0.15 * MIN(Games[[#This Row],[GamesPlayed]], 82))</f>
        <v>74.349999999999994</v>
      </c>
      <c r="Z125" s="4">
        <f>Games[[#This Row],[K]]*Games[[#This Row],[POMult]]</f>
        <v>74.349999999999994</v>
      </c>
      <c r="AA125" s="4">
        <f>(Games[[#This Row],[Keff]]*Games[[#This Row],[MOVMult]])*(Games[[#This Row],[Result]]-Games[[#This Row],[ExpectedWin%]])</f>
        <v>-11.388275094440768</v>
      </c>
      <c r="AB125" s="4">
        <f>Games[[#This Row],[PreGmRate]]+Games[[#This Row],[RatingChange]]</f>
        <v>1468.065502596158</v>
      </c>
      <c r="AC125" s="2">
        <f>IF(Games[[#This Row],[Type]]="R",IF(Games[[#This Row],[Result]]&gt;0.5,1,0),0)</f>
        <v>0</v>
      </c>
      <c r="AD125" s="2">
        <f>IF(Games[[#This Row],[Type]]="R",IF(Games[[#This Row],[Result]]&lt;0.5,1,0),0)</f>
        <v>1</v>
      </c>
      <c r="AE125" s="2">
        <f>IF(AND(Games[[#This Row],[Type]]="P",Games[[#This Row],[Round]]=1),IF(Games[[#This Row],[Result]]&gt;0.5,1,0),0)</f>
        <v>0</v>
      </c>
      <c r="AF125" s="2">
        <f>IF(AND(Games[[#This Row],[Type]]="P",Games[[#This Row],[Round]]=1),IF(Games[[#This Row],[Result]]&lt;0.5,1,0),0)</f>
        <v>0</v>
      </c>
      <c r="AG125" s="2">
        <f>IF(AND(Games[[#This Row],[Type]]="P",Games[[#This Row],[Round]]=2),IF(Games[[#This Row],[Result]]&gt;0.5,1,0),0)</f>
        <v>0</v>
      </c>
      <c r="AH125" s="2">
        <f>IF(AND(Games[[#This Row],[Type]]="P",Games[[#This Row],[Round]]=2),IF(Games[[#This Row],[Result]]&lt;0.5,1,0),0)</f>
        <v>0</v>
      </c>
      <c r="AI125" s="2">
        <f>IF(AND(Games[[#This Row],[Type]]="P",Games[[#This Row],[Round]]=3),IF(Games[[#This Row],[Result]]&gt;0.5,1,0),0)</f>
        <v>0</v>
      </c>
      <c r="AJ125" s="2">
        <f>IF(AND(Games[[#This Row],[Type]]="P",Games[[#This Row],[Round]]=3),IF(Games[[#This Row],[Result]]&lt;0.5,1,0),0)</f>
        <v>0</v>
      </c>
      <c r="AK125" s="2">
        <f>IF(AND(Games[[#This Row],[Type]]="P",Games[[#This Row],[Round]]=4),IF(Games[[#This Row],[Result]]&gt;0.5,1,0),0)</f>
        <v>0</v>
      </c>
      <c r="AL125" s="2">
        <f>IF(AND(Games[[#This Row],[Type]]="P",Games[[#This Row],[Round]]=4),IF(Games[[#This Row],[Result]]&lt;0.5,1,0),0)</f>
        <v>0</v>
      </c>
    </row>
    <row r="126" spans="1:38" x14ac:dyDescent="0.35">
      <c r="A126" s="10">
        <v>40347</v>
      </c>
      <c r="B126" s="2">
        <v>2010</v>
      </c>
      <c r="C126" s="2">
        <f>COUNTIFS(Games[Team],Games[[#This Row],[Team]],Games[Season],Games[[#This Row],[Season]],Games[Date],"&lt;=" &amp; Games[[#This Row],[Date]])</f>
        <v>10</v>
      </c>
      <c r="D126" s="2" t="s">
        <v>23</v>
      </c>
      <c r="E126" s="2" t="s">
        <v>29</v>
      </c>
      <c r="F126" s="1" t="s">
        <v>85</v>
      </c>
      <c r="G126" s="1" t="s">
        <v>71</v>
      </c>
      <c r="H126" s="1" t="s">
        <v>16</v>
      </c>
      <c r="I126" s="2" cm="1">
        <f t="array" ref="I126">IFERROR(
    Games[[#This Row],[Date]]
    - LOOKUP(
        2,
        1/((Games[Team]=Games[[#This Row],[Team]]) * (Games[Date] &lt; Games[[#This Row],[Date]])),
        Games[Date]
    )
    - 1,
Games[[#This Row],[Date]]-$A$2)</f>
        <v>5</v>
      </c>
      <c r="J126" s="2" cm="1">
        <f t="array" ref="J126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26" s="2">
        <f>Games[[#This Row],[DaysOff]]-Games[[#This Row],[OppDaysOff]]</f>
        <v>1</v>
      </c>
      <c r="L126" s="2">
        <f>Games[[#This Row],[OppDaysOff]]-Games[[#This Row],[DaysOff]]</f>
        <v>-1</v>
      </c>
      <c r="M126" s="1">
        <f>MAX(-16, MIN(16, Games[[#This Row],[RestDiff]]*8))</f>
        <v>8</v>
      </c>
      <c r="N126" s="1">
        <f>MAX(-16, MIN(16, Games[[#This Row],[OppRestDiff]]*8))</f>
        <v>-8</v>
      </c>
      <c r="O126" s="4" cm="1">
        <f t="array" ref="O1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1471.3525746844407</v>
      </c>
      <c r="P126" s="4" cm="1">
        <f t="array" ref="P1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1369.1993519296173</v>
      </c>
      <c r="Q126" s="4">
        <f>1/(1+10^(((Games[[#This Row],[OppPreGmRate]]+IF(Games[[#This Row],[HomeAway]]="A",HCA,0)+Games[[#This Row],[OppRestAdj]])-(Games[[#This Row],[PreGmRate]]+IF(Games[[#This Row],[HomeAway]]="H",HCA,0)+Games[[#This Row],[RestAdj]]))/400))</f>
        <v>0.54899273344804544</v>
      </c>
      <c r="R126" s="1">
        <v>67</v>
      </c>
      <c r="S126" s="1">
        <v>78</v>
      </c>
      <c r="T126" s="1">
        <v>0</v>
      </c>
      <c r="U126" s="1">
        <f>Games[[#This Row],[PointsFor]]-Games[[#This Row],[PointsAgainst]]</f>
        <v>-11</v>
      </c>
      <c r="V126" s="1">
        <f>IF(Games[[#This Row],[MOV]]&gt;0,1,IF(Games[[#This Row],[MOV]]=0,0.5,0))</f>
        <v>0</v>
      </c>
      <c r="W126" s="4">
        <f>((ABS(Games[[#This Row],[MOV]])+5)^0.6)/(12+0.01*(ABS(Games[[#This Row],[PreGmRate]]-Games[[#This Row],[OppPreGmRate]])))*IF(Games[[#This Row],[OT]]=1,0.9,1)</f>
        <v>0.40533107401335006</v>
      </c>
      <c r="X126" s="7" cm="1">
        <f t="array" ref="X1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6" s="9">
        <f>MAX(kmin, kmax - 0.15 * MIN(Games[[#This Row],[GamesPlayed]], 82))</f>
        <v>74.5</v>
      </c>
      <c r="Z126" s="4">
        <f>Games[[#This Row],[K]]*Games[[#This Row],[POMult]]</f>
        <v>74.5</v>
      </c>
      <c r="AA126" s="4">
        <f>(Games[[#This Row],[Keff]]*Games[[#This Row],[MOVMult]])*(Games[[#This Row],[Result]]-Games[[#This Row],[ExpectedWin%]])</f>
        <v>-16.578024163414568</v>
      </c>
      <c r="AB126" s="4">
        <f>Games[[#This Row],[PreGmRate]]+Games[[#This Row],[RatingChange]]</f>
        <v>1454.7745505210262</v>
      </c>
      <c r="AC126" s="2">
        <f>IF(Games[[#This Row],[Type]]="R",IF(Games[[#This Row],[Result]]&gt;0.5,1,0),0)</f>
        <v>0</v>
      </c>
      <c r="AD126" s="2">
        <f>IF(Games[[#This Row],[Type]]="R",IF(Games[[#This Row],[Result]]&lt;0.5,1,0),0)</f>
        <v>1</v>
      </c>
      <c r="AE126" s="2">
        <f>IF(AND(Games[[#This Row],[Type]]="P",Games[[#This Row],[Round]]=1),IF(Games[[#This Row],[Result]]&gt;0.5,1,0),0)</f>
        <v>0</v>
      </c>
      <c r="AF126" s="2">
        <f>IF(AND(Games[[#This Row],[Type]]="P",Games[[#This Row],[Round]]=1),IF(Games[[#This Row],[Result]]&lt;0.5,1,0),0)</f>
        <v>0</v>
      </c>
      <c r="AG126" s="2">
        <f>IF(AND(Games[[#This Row],[Type]]="P",Games[[#This Row],[Round]]=2),IF(Games[[#This Row],[Result]]&gt;0.5,1,0),0)</f>
        <v>0</v>
      </c>
      <c r="AH126" s="2">
        <f>IF(AND(Games[[#This Row],[Type]]="P",Games[[#This Row],[Round]]=2),IF(Games[[#This Row],[Result]]&lt;0.5,1,0),0)</f>
        <v>0</v>
      </c>
      <c r="AI126" s="2">
        <f>IF(AND(Games[[#This Row],[Type]]="P",Games[[#This Row],[Round]]=3),IF(Games[[#This Row],[Result]]&gt;0.5,1,0),0)</f>
        <v>0</v>
      </c>
      <c r="AJ126" s="2">
        <f>IF(AND(Games[[#This Row],[Type]]="P",Games[[#This Row],[Round]]=3),IF(Games[[#This Row],[Result]]&lt;0.5,1,0),0)</f>
        <v>0</v>
      </c>
      <c r="AK126" s="2">
        <f>IF(AND(Games[[#This Row],[Type]]="P",Games[[#This Row],[Round]]=4),IF(Games[[#This Row],[Result]]&gt;0.5,1,0),0)</f>
        <v>0</v>
      </c>
      <c r="AL126" s="2">
        <f>IF(AND(Games[[#This Row],[Type]]="P",Games[[#This Row],[Round]]=4),IF(Games[[#This Row],[Result]]&lt;0.5,1,0),0)</f>
        <v>0</v>
      </c>
    </row>
    <row r="127" spans="1:38" x14ac:dyDescent="0.35">
      <c r="A127" s="10">
        <v>40347</v>
      </c>
      <c r="B127" s="2">
        <v>2010</v>
      </c>
      <c r="C127" s="2">
        <f>COUNTIFS(Games[Team],Games[[#This Row],[Team]],Games[Season],Games[[#This Row],[Season]],Games[Date],"&lt;=" &amp; Games[[#This Row],[Date]])</f>
        <v>12</v>
      </c>
      <c r="D127" s="2" t="s">
        <v>23</v>
      </c>
      <c r="E127" s="2" t="s">
        <v>29</v>
      </c>
      <c r="F127" s="1" t="s">
        <v>71</v>
      </c>
      <c r="G127" s="1" t="s">
        <v>85</v>
      </c>
      <c r="H127" s="1" t="s">
        <v>15</v>
      </c>
      <c r="I127" s="2" cm="1">
        <f t="array" ref="I127">IFERROR(
    Games[[#This Row],[Date]]
    - LOOKUP(
        2,
        1/((Games[Team]=Games[[#This Row],[Team]]) * (Games[Date] &lt; Games[[#This Row],[Date]])),
        Games[Date]
    )
    - 1,
Games[[#This Row],[Date]]-$A$2)</f>
        <v>4</v>
      </c>
      <c r="J127" s="2" cm="1">
        <f t="array" ref="J127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127" s="2">
        <f>Games[[#This Row],[DaysOff]]-Games[[#This Row],[OppDaysOff]]</f>
        <v>-1</v>
      </c>
      <c r="L127" s="2">
        <f>Games[[#This Row],[OppDaysOff]]-Games[[#This Row],[DaysOff]]</f>
        <v>1</v>
      </c>
      <c r="M127" s="1">
        <f>MAX(-16, MIN(16, Games[[#This Row],[RestDiff]]*8))</f>
        <v>-8</v>
      </c>
      <c r="N127" s="1">
        <f>MAX(-16, MIN(16, Games[[#This Row],[OppRestDiff]]*8))</f>
        <v>8</v>
      </c>
      <c r="O127" s="4" cm="1">
        <f t="array" ref="O1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1369.1993519296173</v>
      </c>
      <c r="P127" s="4" cm="1">
        <f t="array" ref="P1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1471.3525746844407</v>
      </c>
      <c r="Q127" s="4">
        <f>1/(1+10^(((Games[[#This Row],[OppPreGmRate]]+IF(Games[[#This Row],[HomeAway]]="A",HCA,0)+Games[[#This Row],[OppRestAdj]])-(Games[[#This Row],[PreGmRate]]+IF(Games[[#This Row],[HomeAway]]="H",HCA,0)+Games[[#This Row],[RestAdj]]))/400))</f>
        <v>0.45100726655195456</v>
      </c>
      <c r="R127" s="1">
        <v>78</v>
      </c>
      <c r="S127" s="1">
        <v>67</v>
      </c>
      <c r="T127" s="1">
        <v>0</v>
      </c>
      <c r="U127" s="1">
        <f>Games[[#This Row],[PointsFor]]-Games[[#This Row],[PointsAgainst]]</f>
        <v>11</v>
      </c>
      <c r="V127" s="1">
        <f>IF(Games[[#This Row],[MOV]]&gt;0,1,IF(Games[[#This Row],[MOV]]=0,0.5,0))</f>
        <v>1</v>
      </c>
      <c r="W127" s="4">
        <f>((ABS(Games[[#This Row],[MOV]])+5)^0.6)/(12+0.01*(ABS(Games[[#This Row],[PreGmRate]]-Games[[#This Row],[OppPreGmRate]])))*IF(Games[[#This Row],[OT]]=1,0.9,1)</f>
        <v>0.40533107401335006</v>
      </c>
      <c r="X127" s="7" cm="1">
        <f t="array" ref="X1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7" s="9">
        <f>MAX(kmin, kmax - 0.15 * MIN(Games[[#This Row],[GamesPlayed]], 82))</f>
        <v>74.2</v>
      </c>
      <c r="Z127" s="4">
        <f>Games[[#This Row],[K]]*Games[[#This Row],[POMult]]</f>
        <v>74.2</v>
      </c>
      <c r="AA127" s="4">
        <f>(Games[[#This Row],[Keff]]*Games[[#This Row],[MOVMult]])*(Games[[#This Row],[Result]]-Games[[#This Row],[ExpectedWin%]])</f>
        <v>16.511267019132365</v>
      </c>
      <c r="AB127" s="4">
        <f>Games[[#This Row],[PreGmRate]]+Games[[#This Row],[RatingChange]]</f>
        <v>1385.7106189487497</v>
      </c>
      <c r="AC127" s="2">
        <f>IF(Games[[#This Row],[Type]]="R",IF(Games[[#This Row],[Result]]&gt;0.5,1,0),0)</f>
        <v>1</v>
      </c>
      <c r="AD127" s="2">
        <f>IF(Games[[#This Row],[Type]]="R",IF(Games[[#This Row],[Result]]&lt;0.5,1,0),0)</f>
        <v>0</v>
      </c>
      <c r="AE127" s="2">
        <f>IF(AND(Games[[#This Row],[Type]]="P",Games[[#This Row],[Round]]=1),IF(Games[[#This Row],[Result]]&gt;0.5,1,0),0)</f>
        <v>0</v>
      </c>
      <c r="AF127" s="2">
        <f>IF(AND(Games[[#This Row],[Type]]="P",Games[[#This Row],[Round]]=1),IF(Games[[#This Row],[Result]]&lt;0.5,1,0),0)</f>
        <v>0</v>
      </c>
      <c r="AG127" s="2">
        <f>IF(AND(Games[[#This Row],[Type]]="P",Games[[#This Row],[Round]]=2),IF(Games[[#This Row],[Result]]&gt;0.5,1,0),0)</f>
        <v>0</v>
      </c>
      <c r="AH127" s="2">
        <f>IF(AND(Games[[#This Row],[Type]]="P",Games[[#This Row],[Round]]=2),IF(Games[[#This Row],[Result]]&lt;0.5,1,0),0)</f>
        <v>0</v>
      </c>
      <c r="AI127" s="2">
        <f>IF(AND(Games[[#This Row],[Type]]="P",Games[[#This Row],[Round]]=3),IF(Games[[#This Row],[Result]]&gt;0.5,1,0),0)</f>
        <v>0</v>
      </c>
      <c r="AJ127" s="2">
        <f>IF(AND(Games[[#This Row],[Type]]="P",Games[[#This Row],[Round]]=3),IF(Games[[#This Row],[Result]]&lt;0.5,1,0),0)</f>
        <v>0</v>
      </c>
      <c r="AK127" s="2">
        <f>IF(AND(Games[[#This Row],[Type]]="P",Games[[#This Row],[Round]]=4),IF(Games[[#This Row],[Result]]&gt;0.5,1,0),0)</f>
        <v>0</v>
      </c>
      <c r="AL127" s="2">
        <f>IF(AND(Games[[#This Row],[Type]]="P",Games[[#This Row],[Round]]=4),IF(Games[[#This Row],[Result]]&lt;0.5,1,0),0)</f>
        <v>0</v>
      </c>
    </row>
    <row r="128" spans="1:38" x14ac:dyDescent="0.35">
      <c r="A128" s="10">
        <v>40347</v>
      </c>
      <c r="B128" s="2">
        <v>2010</v>
      </c>
      <c r="C128" s="2">
        <f>COUNTIFS(Games[Team],Games[[#This Row],[Team]],Games[Season],Games[[#This Row],[Season]],Games[Date],"&lt;=" &amp; Games[[#This Row],[Date]])</f>
        <v>12</v>
      </c>
      <c r="D128" s="2" t="s">
        <v>23</v>
      </c>
      <c r="E128" s="2" t="s">
        <v>29</v>
      </c>
      <c r="F128" s="1" t="s">
        <v>75</v>
      </c>
      <c r="G128" s="1" t="s">
        <v>64</v>
      </c>
      <c r="H128" s="1" t="s">
        <v>16</v>
      </c>
      <c r="I128" s="2" cm="1">
        <f t="array" ref="I128">IFERROR(
    Games[[#This Row],[Date]]
    - LOOKUP(
        2,
        1/((Games[Team]=Games[[#This Row],[Team]]) * (Games[Date] &lt; Games[[#This Row],[Date]])),
        Games[Date]
    )
    - 1,
Games[[#This Row],[Date]]-$A$2)</f>
        <v>0</v>
      </c>
      <c r="J128" s="2" cm="1">
        <f t="array" ref="J128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128" s="2">
        <f>Games[[#This Row],[DaysOff]]-Games[[#This Row],[OppDaysOff]]</f>
        <v>-5</v>
      </c>
      <c r="L128" s="2">
        <f>Games[[#This Row],[OppDaysOff]]-Games[[#This Row],[DaysOff]]</f>
        <v>5</v>
      </c>
      <c r="M128" s="1">
        <f>MAX(-16, MIN(16, Games[[#This Row],[RestDiff]]*8))</f>
        <v>-16</v>
      </c>
      <c r="N128" s="1">
        <f>MAX(-16, MIN(16, Games[[#This Row],[OppRestDiff]]*8))</f>
        <v>16</v>
      </c>
      <c r="O128" s="4" cm="1">
        <f t="array" ref="O1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1605.9943655087231</v>
      </c>
      <c r="P128" s="4" cm="1">
        <f t="array" ref="P1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1481.0769549149118</v>
      </c>
      <c r="Q128" s="4">
        <f>1/(1+10^(((Games[[#This Row],[OppPreGmRate]]+IF(Games[[#This Row],[HomeAway]]="A",HCA,0)+Games[[#This Row],[OppRestAdj]])-(Games[[#This Row],[PreGmRate]]+IF(Games[[#This Row],[HomeAway]]="H",HCA,0)+Games[[#This Row],[RestAdj]]))/400))</f>
        <v>0.51283036817323746</v>
      </c>
      <c r="R128" s="1">
        <v>92</v>
      </c>
      <c r="S128" s="1">
        <v>84</v>
      </c>
      <c r="T128" s="1">
        <v>0</v>
      </c>
      <c r="U128" s="1">
        <f>Games[[#This Row],[PointsFor]]-Games[[#This Row],[PointsAgainst]]</f>
        <v>8</v>
      </c>
      <c r="V128" s="1">
        <f>IF(Games[[#This Row],[MOV]]&gt;0,1,IF(Games[[#This Row],[MOV]]=0,0.5,0))</f>
        <v>1</v>
      </c>
      <c r="W128" s="4">
        <f>((ABS(Games[[#This Row],[MOV]])+5)^0.6)/(12+0.01*(ABS(Games[[#This Row],[PreGmRate]]-Games[[#This Row],[OppPreGmRate]])))*IF(Games[[#This Row],[OT]]=1,0.9,1)</f>
        <v>0.35170391624241759</v>
      </c>
      <c r="X128" s="7" cm="1">
        <f t="array" ref="X1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8" s="9">
        <f>MAX(kmin, kmax - 0.15 * MIN(Games[[#This Row],[GamesPlayed]], 82))</f>
        <v>74.2</v>
      </c>
      <c r="Z128" s="4">
        <f>Games[[#This Row],[K]]*Games[[#This Row],[POMult]]</f>
        <v>74.2</v>
      </c>
      <c r="AA128" s="4">
        <f>(Games[[#This Row],[Keff]]*Games[[#This Row],[MOVMult]])*(Games[[#This Row],[Result]]-Games[[#This Row],[ExpectedWin%]])</f>
        <v>12.713388480178404</v>
      </c>
      <c r="AB128" s="4">
        <f>Games[[#This Row],[PreGmRate]]+Games[[#This Row],[RatingChange]]</f>
        <v>1618.7077539889015</v>
      </c>
      <c r="AC128" s="2">
        <f>IF(Games[[#This Row],[Type]]="R",IF(Games[[#This Row],[Result]]&gt;0.5,1,0),0)</f>
        <v>1</v>
      </c>
      <c r="AD128" s="2">
        <f>IF(Games[[#This Row],[Type]]="R",IF(Games[[#This Row],[Result]]&lt;0.5,1,0),0)</f>
        <v>0</v>
      </c>
      <c r="AE128" s="2">
        <f>IF(AND(Games[[#This Row],[Type]]="P",Games[[#This Row],[Round]]=1),IF(Games[[#This Row],[Result]]&gt;0.5,1,0),0)</f>
        <v>0</v>
      </c>
      <c r="AF128" s="2">
        <f>IF(AND(Games[[#This Row],[Type]]="P",Games[[#This Row],[Round]]=1),IF(Games[[#This Row],[Result]]&lt;0.5,1,0),0)</f>
        <v>0</v>
      </c>
      <c r="AG128" s="2">
        <f>IF(AND(Games[[#This Row],[Type]]="P",Games[[#This Row],[Round]]=2),IF(Games[[#This Row],[Result]]&gt;0.5,1,0),0)</f>
        <v>0</v>
      </c>
      <c r="AH128" s="2">
        <f>IF(AND(Games[[#This Row],[Type]]="P",Games[[#This Row],[Round]]=2),IF(Games[[#This Row],[Result]]&lt;0.5,1,0),0)</f>
        <v>0</v>
      </c>
      <c r="AI128" s="2">
        <f>IF(AND(Games[[#This Row],[Type]]="P",Games[[#This Row],[Round]]=3),IF(Games[[#This Row],[Result]]&gt;0.5,1,0),0)</f>
        <v>0</v>
      </c>
      <c r="AJ128" s="2">
        <f>IF(AND(Games[[#This Row],[Type]]="P",Games[[#This Row],[Round]]=3),IF(Games[[#This Row],[Result]]&lt;0.5,1,0),0)</f>
        <v>0</v>
      </c>
      <c r="AK128" s="2">
        <f>IF(AND(Games[[#This Row],[Type]]="P",Games[[#This Row],[Round]]=4),IF(Games[[#This Row],[Result]]&gt;0.5,1,0),0)</f>
        <v>0</v>
      </c>
      <c r="AL128" s="2">
        <f>IF(AND(Games[[#This Row],[Type]]="P",Games[[#This Row],[Round]]=4),IF(Games[[#This Row],[Result]]&lt;0.5,1,0),0)</f>
        <v>0</v>
      </c>
    </row>
    <row r="129" spans="1:38" x14ac:dyDescent="0.35">
      <c r="A129" s="10">
        <v>40347</v>
      </c>
      <c r="B129" s="2">
        <v>2010</v>
      </c>
      <c r="C129" s="2">
        <f>COUNTIFS(Games[Team],Games[[#This Row],[Team]],Games[Season],Games[[#This Row],[Season]],Games[Date],"&lt;=" &amp; Games[[#This Row],[Date]])</f>
        <v>10</v>
      </c>
      <c r="D129" s="2" t="s">
        <v>23</v>
      </c>
      <c r="E129" s="2" t="s">
        <v>29</v>
      </c>
      <c r="F129" s="1" t="s">
        <v>64</v>
      </c>
      <c r="G129" s="1" t="s">
        <v>75</v>
      </c>
      <c r="H129" s="1" t="s">
        <v>15</v>
      </c>
      <c r="I129" s="2" cm="1">
        <f t="array" ref="I129">IFERROR(
    Games[[#This Row],[Date]]
    - LOOKUP(
        2,
        1/((Games[Team]=Games[[#This Row],[Team]]) * (Games[Date] &lt; Games[[#This Row],[Date]])),
        Games[Date]
    )
    - 1,
Games[[#This Row],[Date]]-$A$2)</f>
        <v>5</v>
      </c>
      <c r="J129" s="2" cm="1">
        <f t="array" ref="J12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29" s="2">
        <f>Games[[#This Row],[DaysOff]]-Games[[#This Row],[OppDaysOff]]</f>
        <v>5</v>
      </c>
      <c r="L129" s="2">
        <f>Games[[#This Row],[OppDaysOff]]-Games[[#This Row],[DaysOff]]</f>
        <v>-5</v>
      </c>
      <c r="M129" s="1">
        <f>MAX(-16, MIN(16, Games[[#This Row],[RestDiff]]*8))</f>
        <v>16</v>
      </c>
      <c r="N129" s="1">
        <f>MAX(-16, MIN(16, Games[[#This Row],[OppRestDiff]]*8))</f>
        <v>-16</v>
      </c>
      <c r="O129" s="4" cm="1">
        <f t="array" ref="O1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1481.0769549149118</v>
      </c>
      <c r="P129" s="4" cm="1">
        <f t="array" ref="P1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1605.9943655087231</v>
      </c>
      <c r="Q129" s="4">
        <f>1/(1+10^(((Games[[#This Row],[OppPreGmRate]]+IF(Games[[#This Row],[HomeAway]]="A",HCA,0)+Games[[#This Row],[OppRestAdj]])-(Games[[#This Row],[PreGmRate]]+IF(Games[[#This Row],[HomeAway]]="H",HCA,0)+Games[[#This Row],[RestAdj]]))/400))</f>
        <v>0.48716963182676243</v>
      </c>
      <c r="R129" s="1">
        <v>84</v>
      </c>
      <c r="S129" s="1">
        <v>92</v>
      </c>
      <c r="T129" s="1">
        <v>0</v>
      </c>
      <c r="U129" s="1">
        <f>Games[[#This Row],[PointsFor]]-Games[[#This Row],[PointsAgainst]]</f>
        <v>-8</v>
      </c>
      <c r="V129" s="1">
        <f>IF(Games[[#This Row],[MOV]]&gt;0,1,IF(Games[[#This Row],[MOV]]=0,0.5,0))</f>
        <v>0</v>
      </c>
      <c r="W129" s="4">
        <f>((ABS(Games[[#This Row],[MOV]])+5)^0.6)/(12+0.01*(ABS(Games[[#This Row],[PreGmRate]]-Games[[#This Row],[OppPreGmRate]])))*IF(Games[[#This Row],[OT]]=1,0.9,1)</f>
        <v>0.35170391624241759</v>
      </c>
      <c r="X129" s="7" cm="1">
        <f t="array" ref="X1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9" s="9">
        <f>MAX(kmin, kmax - 0.15 * MIN(Games[[#This Row],[GamesPlayed]], 82))</f>
        <v>74.5</v>
      </c>
      <c r="Z129" s="4">
        <f>Games[[#This Row],[K]]*Games[[#This Row],[POMult]]</f>
        <v>74.5</v>
      </c>
      <c r="AA129" s="4">
        <f>(Games[[#This Row],[Keff]]*Games[[#This Row],[MOVMult]])*(Games[[#This Row],[Result]]-Games[[#This Row],[ExpectedWin%]])</f>
        <v>-12.764790320394754</v>
      </c>
      <c r="AB129" s="4">
        <f>Games[[#This Row],[PreGmRate]]+Games[[#This Row],[RatingChange]]</f>
        <v>1468.3121645945171</v>
      </c>
      <c r="AC129" s="2">
        <f>IF(Games[[#This Row],[Type]]="R",IF(Games[[#This Row],[Result]]&gt;0.5,1,0),0)</f>
        <v>0</v>
      </c>
      <c r="AD129" s="2">
        <f>IF(Games[[#This Row],[Type]]="R",IF(Games[[#This Row],[Result]]&lt;0.5,1,0),0)</f>
        <v>1</v>
      </c>
      <c r="AE129" s="2">
        <f>IF(AND(Games[[#This Row],[Type]]="P",Games[[#This Row],[Round]]=1),IF(Games[[#This Row],[Result]]&gt;0.5,1,0),0)</f>
        <v>0</v>
      </c>
      <c r="AF129" s="2">
        <f>IF(AND(Games[[#This Row],[Type]]="P",Games[[#This Row],[Round]]=1),IF(Games[[#This Row],[Result]]&lt;0.5,1,0),0)</f>
        <v>0</v>
      </c>
      <c r="AG129" s="2">
        <f>IF(AND(Games[[#This Row],[Type]]="P",Games[[#This Row],[Round]]=2),IF(Games[[#This Row],[Result]]&gt;0.5,1,0),0)</f>
        <v>0</v>
      </c>
      <c r="AH129" s="2">
        <f>IF(AND(Games[[#This Row],[Type]]="P",Games[[#This Row],[Round]]=2),IF(Games[[#This Row],[Result]]&lt;0.5,1,0),0)</f>
        <v>0</v>
      </c>
      <c r="AI129" s="2">
        <f>IF(AND(Games[[#This Row],[Type]]="P",Games[[#This Row],[Round]]=3),IF(Games[[#This Row],[Result]]&gt;0.5,1,0),0)</f>
        <v>0</v>
      </c>
      <c r="AJ129" s="2">
        <f>IF(AND(Games[[#This Row],[Type]]="P",Games[[#This Row],[Round]]=3),IF(Games[[#This Row],[Result]]&lt;0.5,1,0),0)</f>
        <v>0</v>
      </c>
      <c r="AK129" s="2">
        <f>IF(AND(Games[[#This Row],[Type]]="P",Games[[#This Row],[Round]]=4),IF(Games[[#This Row],[Result]]&gt;0.5,1,0),0)</f>
        <v>0</v>
      </c>
      <c r="AL129" s="2">
        <f>IF(AND(Games[[#This Row],[Type]]="P",Games[[#This Row],[Round]]=4),IF(Games[[#This Row],[Result]]&lt;0.5,1,0),0)</f>
        <v>0</v>
      </c>
    </row>
    <row r="130" spans="1:38" x14ac:dyDescent="0.35">
      <c r="A130" s="10">
        <v>40347</v>
      </c>
      <c r="B130" s="2">
        <v>2010</v>
      </c>
      <c r="C130" s="2">
        <f>COUNTIFS(Games[Team],Games[[#This Row],[Team]],Games[Season],Games[[#This Row],[Season]],Games[Date],"&lt;=" &amp; Games[[#This Row],[Date]])</f>
        <v>10</v>
      </c>
      <c r="D130" s="2" t="s">
        <v>23</v>
      </c>
      <c r="E130" s="2" t="s">
        <v>29</v>
      </c>
      <c r="F130" s="1" t="s">
        <v>78</v>
      </c>
      <c r="G130" s="1" t="s">
        <v>44</v>
      </c>
      <c r="H130" s="1" t="s">
        <v>16</v>
      </c>
      <c r="I130" s="2" cm="1">
        <f t="array" ref="I130">IFERROR(
    Games[[#This Row],[Date]]
    - LOOKUP(
        2,
        1/((Games[Team]=Games[[#This Row],[Team]]) * (Games[Date] &lt; Games[[#This Row],[Date]])),
        Games[Date]
    )
    - 1,
Games[[#This Row],[Date]]-$A$2)</f>
        <v>4</v>
      </c>
      <c r="J130" s="2" cm="1">
        <f t="array" ref="J130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130" s="2">
        <f>Games[[#This Row],[DaysOff]]-Games[[#This Row],[OppDaysOff]]</f>
        <v>-1</v>
      </c>
      <c r="L130" s="2">
        <f>Games[[#This Row],[OppDaysOff]]-Games[[#This Row],[DaysOff]]</f>
        <v>1</v>
      </c>
      <c r="M130" s="1">
        <f>MAX(-16, MIN(16, Games[[#This Row],[RestDiff]]*8))</f>
        <v>-8</v>
      </c>
      <c r="N130" s="1">
        <f>MAX(-16, MIN(16, Games[[#This Row],[OppRestDiff]]*8))</f>
        <v>8</v>
      </c>
      <c r="O130" s="4" cm="1">
        <f t="array" ref="O1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1449.4184208164934</v>
      </c>
      <c r="P130" s="4" cm="1">
        <f t="array" ref="P1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1553.6430079464883</v>
      </c>
      <c r="Q130" s="4">
        <f>1/(1+10^(((Games[[#This Row],[OppPreGmRate]]+IF(Games[[#This Row],[HomeAway]]="A",HCA,0)+Games[[#This Row],[OppRestAdj]])-(Games[[#This Row],[PreGmRate]]+IF(Games[[#This Row],[HomeAway]]="H",HCA,0)+Games[[#This Row],[RestAdj]]))/400))</f>
        <v>0.23584222706105404</v>
      </c>
      <c r="R130" s="1">
        <v>108</v>
      </c>
      <c r="S130" s="1">
        <v>105</v>
      </c>
      <c r="T130" s="1">
        <v>0</v>
      </c>
      <c r="U130" s="1">
        <f>Games[[#This Row],[PointsFor]]-Games[[#This Row],[PointsAgainst]]</f>
        <v>3</v>
      </c>
      <c r="V130" s="1">
        <f>IF(Games[[#This Row],[MOV]]&gt;0,1,IF(Games[[#This Row],[MOV]]=0,0.5,0))</f>
        <v>1</v>
      </c>
      <c r="W130" s="4">
        <f>((ABS(Games[[#This Row],[MOV]])+5)^0.6)/(12+0.01*(ABS(Games[[#This Row],[PreGmRate]]-Games[[#This Row],[OppPreGmRate]])))*IF(Games[[#This Row],[OT]]=1,0.9,1)</f>
        <v>0.26699406586462532</v>
      </c>
      <c r="X130" s="7" cm="1">
        <f t="array" ref="X1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0" s="9">
        <f>MAX(kmin, kmax - 0.15 * MIN(Games[[#This Row],[GamesPlayed]], 82))</f>
        <v>74.5</v>
      </c>
      <c r="Z130" s="4">
        <f>Games[[#This Row],[K]]*Games[[#This Row],[POMult]]</f>
        <v>74.5</v>
      </c>
      <c r="AA130" s="4">
        <f>(Games[[#This Row],[Keff]]*Games[[#This Row],[MOVMult]])*(Games[[#This Row],[Result]]-Games[[#This Row],[ExpectedWin%]])</f>
        <v>15.199906511547461</v>
      </c>
      <c r="AB130" s="4">
        <f>Games[[#This Row],[PreGmRate]]+Games[[#This Row],[RatingChange]]</f>
        <v>1464.6183273280408</v>
      </c>
      <c r="AC130" s="2">
        <f>IF(Games[[#This Row],[Type]]="R",IF(Games[[#This Row],[Result]]&gt;0.5,1,0),0)</f>
        <v>1</v>
      </c>
      <c r="AD130" s="2">
        <f>IF(Games[[#This Row],[Type]]="R",IF(Games[[#This Row],[Result]]&lt;0.5,1,0),0)</f>
        <v>0</v>
      </c>
      <c r="AE130" s="2">
        <f>IF(AND(Games[[#This Row],[Type]]="P",Games[[#This Row],[Round]]=1),IF(Games[[#This Row],[Result]]&gt;0.5,1,0),0)</f>
        <v>0</v>
      </c>
      <c r="AF130" s="2">
        <f>IF(AND(Games[[#This Row],[Type]]="P",Games[[#This Row],[Round]]=1),IF(Games[[#This Row],[Result]]&lt;0.5,1,0),0)</f>
        <v>0</v>
      </c>
      <c r="AG130" s="2">
        <f>IF(AND(Games[[#This Row],[Type]]="P",Games[[#This Row],[Round]]=2),IF(Games[[#This Row],[Result]]&gt;0.5,1,0),0)</f>
        <v>0</v>
      </c>
      <c r="AH130" s="2">
        <f>IF(AND(Games[[#This Row],[Type]]="P",Games[[#This Row],[Round]]=2),IF(Games[[#This Row],[Result]]&lt;0.5,1,0),0)</f>
        <v>0</v>
      </c>
      <c r="AI130" s="2">
        <f>IF(AND(Games[[#This Row],[Type]]="P",Games[[#This Row],[Round]]=3),IF(Games[[#This Row],[Result]]&gt;0.5,1,0),0)</f>
        <v>0</v>
      </c>
      <c r="AJ130" s="2">
        <f>IF(AND(Games[[#This Row],[Type]]="P",Games[[#This Row],[Round]]=3),IF(Games[[#This Row],[Result]]&lt;0.5,1,0),0)</f>
        <v>0</v>
      </c>
      <c r="AK130" s="2">
        <f>IF(AND(Games[[#This Row],[Type]]="P",Games[[#This Row],[Round]]=4),IF(Games[[#This Row],[Result]]&gt;0.5,1,0),0)</f>
        <v>0</v>
      </c>
      <c r="AL130" s="2">
        <f>IF(AND(Games[[#This Row],[Type]]="P",Games[[#This Row],[Round]]=4),IF(Games[[#This Row],[Result]]&lt;0.5,1,0),0)</f>
        <v>0</v>
      </c>
    </row>
    <row r="131" spans="1:38" x14ac:dyDescent="0.35">
      <c r="A131" s="10">
        <v>40347</v>
      </c>
      <c r="B131" s="2">
        <v>2010</v>
      </c>
      <c r="C131" s="2">
        <f>COUNTIFS(Games[Team],Games[[#This Row],[Team]],Games[Season],Games[[#This Row],[Season]],Games[Date],"&lt;=" &amp; Games[[#This Row],[Date]])</f>
        <v>11</v>
      </c>
      <c r="D131" s="2" t="s">
        <v>23</v>
      </c>
      <c r="E131" s="2" t="s">
        <v>29</v>
      </c>
      <c r="F131" s="1" t="s">
        <v>44</v>
      </c>
      <c r="G131" s="1" t="s">
        <v>78</v>
      </c>
      <c r="H131" s="1" t="s">
        <v>15</v>
      </c>
      <c r="I131" s="2" cm="1">
        <f t="array" ref="I131">IFERROR(
    Games[[#This Row],[Date]]
    - LOOKUP(
        2,
        1/((Games[Team]=Games[[#This Row],[Team]]) * (Games[Date] &lt; Games[[#This Row],[Date]])),
        Games[Date]
    )
    - 1,
Games[[#This Row],[Date]]-$A$2)</f>
        <v>5</v>
      </c>
      <c r="J131" s="2" cm="1">
        <f t="array" ref="J131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31" s="2">
        <f>Games[[#This Row],[DaysOff]]-Games[[#This Row],[OppDaysOff]]</f>
        <v>1</v>
      </c>
      <c r="L131" s="2">
        <f>Games[[#This Row],[OppDaysOff]]-Games[[#This Row],[DaysOff]]</f>
        <v>-1</v>
      </c>
      <c r="M131" s="1">
        <f>MAX(-16, MIN(16, Games[[#This Row],[RestDiff]]*8))</f>
        <v>8</v>
      </c>
      <c r="N131" s="1">
        <f>MAX(-16, MIN(16, Games[[#This Row],[OppRestDiff]]*8))</f>
        <v>-8</v>
      </c>
      <c r="O131" s="4" cm="1">
        <f t="array" ref="O1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1553.6430079464883</v>
      </c>
      <c r="P131" s="4" cm="1">
        <f t="array" ref="P1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1449.4184208164934</v>
      </c>
      <c r="Q131" s="4">
        <f>1/(1+10^(((Games[[#This Row],[OppPreGmRate]]+IF(Games[[#This Row],[HomeAway]]="A",HCA,0)+Games[[#This Row],[OppRestAdj]])-(Games[[#This Row],[PreGmRate]]+IF(Games[[#This Row],[HomeAway]]="H",HCA,0)+Games[[#This Row],[RestAdj]]))/400))</f>
        <v>0.76415777293894604</v>
      </c>
      <c r="R131" s="1">
        <v>105</v>
      </c>
      <c r="S131" s="1">
        <v>108</v>
      </c>
      <c r="T131" s="1">
        <v>0</v>
      </c>
      <c r="U131" s="1">
        <f>Games[[#This Row],[PointsFor]]-Games[[#This Row],[PointsAgainst]]</f>
        <v>-3</v>
      </c>
      <c r="V131" s="1">
        <f>IF(Games[[#This Row],[MOV]]&gt;0,1,IF(Games[[#This Row],[MOV]]=0,0.5,0))</f>
        <v>0</v>
      </c>
      <c r="W131" s="4">
        <f>((ABS(Games[[#This Row],[MOV]])+5)^0.6)/(12+0.01*(ABS(Games[[#This Row],[PreGmRate]]-Games[[#This Row],[OppPreGmRate]])))*IF(Games[[#This Row],[OT]]=1,0.9,1)</f>
        <v>0.26699406586462532</v>
      </c>
      <c r="X131" s="7" cm="1">
        <f t="array" ref="X1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1" s="9">
        <f>MAX(kmin, kmax - 0.15 * MIN(Games[[#This Row],[GamesPlayed]], 82))</f>
        <v>74.349999999999994</v>
      </c>
      <c r="Z131" s="4">
        <f>Games[[#This Row],[K]]*Games[[#This Row],[POMult]]</f>
        <v>74.349999999999994</v>
      </c>
      <c r="AA131" s="4">
        <f>(Games[[#This Row],[Keff]]*Games[[#This Row],[MOVMult]])*(Games[[#This Row],[Result]]-Games[[#This Row],[ExpectedWin%]])</f>
        <v>-15.169302672933608</v>
      </c>
      <c r="AB131" s="4">
        <f>Games[[#This Row],[PreGmRate]]+Games[[#This Row],[RatingChange]]</f>
        <v>1538.4737052735547</v>
      </c>
      <c r="AC131" s="2">
        <f>IF(Games[[#This Row],[Type]]="R",IF(Games[[#This Row],[Result]]&gt;0.5,1,0),0)</f>
        <v>0</v>
      </c>
      <c r="AD131" s="2">
        <f>IF(Games[[#This Row],[Type]]="R",IF(Games[[#This Row],[Result]]&lt;0.5,1,0),0)</f>
        <v>1</v>
      </c>
      <c r="AE131" s="2">
        <f>IF(AND(Games[[#This Row],[Type]]="P",Games[[#This Row],[Round]]=1),IF(Games[[#This Row],[Result]]&gt;0.5,1,0),0)</f>
        <v>0</v>
      </c>
      <c r="AF131" s="2">
        <f>IF(AND(Games[[#This Row],[Type]]="P",Games[[#This Row],[Round]]=1),IF(Games[[#This Row],[Result]]&lt;0.5,1,0),0)</f>
        <v>0</v>
      </c>
      <c r="AG131" s="2">
        <f>IF(AND(Games[[#This Row],[Type]]="P",Games[[#This Row],[Round]]=2),IF(Games[[#This Row],[Result]]&gt;0.5,1,0),0)</f>
        <v>0</v>
      </c>
      <c r="AH131" s="2">
        <f>IF(AND(Games[[#This Row],[Type]]="P",Games[[#This Row],[Round]]=2),IF(Games[[#This Row],[Result]]&lt;0.5,1,0),0)</f>
        <v>0</v>
      </c>
      <c r="AI131" s="2">
        <f>IF(AND(Games[[#This Row],[Type]]="P",Games[[#This Row],[Round]]=3),IF(Games[[#This Row],[Result]]&gt;0.5,1,0),0)</f>
        <v>0</v>
      </c>
      <c r="AJ131" s="2">
        <f>IF(AND(Games[[#This Row],[Type]]="P",Games[[#This Row],[Round]]=3),IF(Games[[#This Row],[Result]]&lt;0.5,1,0),0)</f>
        <v>0</v>
      </c>
      <c r="AK131" s="2">
        <f>IF(AND(Games[[#This Row],[Type]]="P",Games[[#This Row],[Round]]=4),IF(Games[[#This Row],[Result]]&gt;0.5,1,0),0)</f>
        <v>0</v>
      </c>
      <c r="AL131" s="2">
        <f>IF(AND(Games[[#This Row],[Type]]="P",Games[[#This Row],[Round]]=4),IF(Games[[#This Row],[Result]]&lt;0.5,1,0),0)</f>
        <v>0</v>
      </c>
    </row>
    <row r="132" spans="1:38" x14ac:dyDescent="0.35">
      <c r="A132" s="10">
        <v>40348</v>
      </c>
      <c r="B132" s="2">
        <v>2010</v>
      </c>
      <c r="C132" s="2">
        <f>COUNTIFS(Games[Team],Games[[#This Row],[Team]],Games[Season],Games[[#This Row],[Season]],Games[Date],"&lt;=" &amp; Games[[#This Row],[Date]])</f>
        <v>13</v>
      </c>
      <c r="D132" s="2" t="s">
        <v>23</v>
      </c>
      <c r="E132" s="2" t="s">
        <v>29</v>
      </c>
      <c r="F132" s="1" t="s">
        <v>83</v>
      </c>
      <c r="G132" s="1" t="s">
        <v>73</v>
      </c>
      <c r="H132" s="1" t="s">
        <v>16</v>
      </c>
      <c r="I132" s="2" cm="1">
        <f t="array" ref="I132">IFERROR(
    Games[[#This Row],[Date]]
    - LOOKUP(
        2,
        1/((Games[Team]=Games[[#This Row],[Team]]) * (Games[Date] &lt; Games[[#This Row],[Date]])),
        Games[Date]
    )
    - 1,
Games[[#This Row],[Date]]-$A$2)</f>
        <v>3</v>
      </c>
      <c r="J132" s="2" cm="1">
        <f t="array" ref="J13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32" s="2">
        <f>Games[[#This Row],[DaysOff]]-Games[[#This Row],[OppDaysOff]]</f>
        <v>2</v>
      </c>
      <c r="L132" s="2">
        <f>Games[[#This Row],[OppDaysOff]]-Games[[#This Row],[DaysOff]]</f>
        <v>-2</v>
      </c>
      <c r="M132" s="1">
        <f>MAX(-16, MIN(16, Games[[#This Row],[RestDiff]]*8))</f>
        <v>16</v>
      </c>
      <c r="N132" s="1">
        <f>MAX(-16, MIN(16, Games[[#This Row],[OppRestDiff]]*8))</f>
        <v>-16</v>
      </c>
      <c r="O132" s="4" cm="1">
        <f t="array" ref="O1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1563.8806605292712</v>
      </c>
      <c r="P132" s="4" cm="1">
        <f t="array" ref="P1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1571.6565897296036</v>
      </c>
      <c r="Q132" s="4">
        <f>1/(1+10^(((Games[[#This Row],[OppPreGmRate]]+IF(Games[[#This Row],[HomeAway]]="A",HCA,0)+Games[[#This Row],[OppRestAdj]])-(Games[[#This Row],[PreGmRate]]+IF(Games[[#This Row],[HomeAway]]="H",HCA,0)+Games[[#This Row],[RestAdj]]))/400))</f>
        <v>0.41481439073970239</v>
      </c>
      <c r="R132" s="1">
        <v>91</v>
      </c>
      <c r="S132" s="1">
        <v>94</v>
      </c>
      <c r="T132" s="1">
        <v>0</v>
      </c>
      <c r="U132" s="1">
        <f>Games[[#This Row],[PointsFor]]-Games[[#This Row],[PointsAgainst]]</f>
        <v>-3</v>
      </c>
      <c r="V132" s="1">
        <f>IF(Games[[#This Row],[MOV]]&gt;0,1,IF(Games[[#This Row],[MOV]]=0,0.5,0))</f>
        <v>0</v>
      </c>
      <c r="W132" s="4">
        <f>((ABS(Games[[#This Row],[MOV]])+5)^0.6)/(12+0.01*(ABS(Games[[#This Row],[PreGmRate]]-Games[[#This Row],[OppPreGmRate]])))*IF(Games[[#This Row],[OT]]=1,0.9,1)</f>
        <v>0.28831525525517471</v>
      </c>
      <c r="X132" s="7" cm="1">
        <f t="array" ref="X1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2" s="9">
        <f>MAX(kmin, kmax - 0.15 * MIN(Games[[#This Row],[GamesPlayed]], 82))</f>
        <v>74.05</v>
      </c>
      <c r="Z132" s="4">
        <f>Games[[#This Row],[K]]*Games[[#This Row],[POMult]]</f>
        <v>74.05</v>
      </c>
      <c r="AA132" s="4">
        <f>(Games[[#This Row],[Keff]]*Games[[#This Row],[MOVMult]])*(Games[[#This Row],[Result]]-Games[[#This Row],[ExpectedWin%]])</f>
        <v>-8.8561813201206245</v>
      </c>
      <c r="AB132" s="4">
        <f>Games[[#This Row],[PreGmRate]]+Games[[#This Row],[RatingChange]]</f>
        <v>1555.0244792091505</v>
      </c>
      <c r="AC132" s="2">
        <f>IF(Games[[#This Row],[Type]]="R",IF(Games[[#This Row],[Result]]&gt;0.5,1,0),0)</f>
        <v>0</v>
      </c>
      <c r="AD132" s="2">
        <f>IF(Games[[#This Row],[Type]]="R",IF(Games[[#This Row],[Result]]&lt;0.5,1,0),0)</f>
        <v>1</v>
      </c>
      <c r="AE132" s="2">
        <f>IF(AND(Games[[#This Row],[Type]]="P",Games[[#This Row],[Round]]=1),IF(Games[[#This Row],[Result]]&gt;0.5,1,0),0)</f>
        <v>0</v>
      </c>
      <c r="AF132" s="2">
        <f>IF(AND(Games[[#This Row],[Type]]="P",Games[[#This Row],[Round]]=1),IF(Games[[#This Row],[Result]]&lt;0.5,1,0),0)</f>
        <v>0</v>
      </c>
      <c r="AG132" s="2">
        <f>IF(AND(Games[[#This Row],[Type]]="P",Games[[#This Row],[Round]]=2),IF(Games[[#This Row],[Result]]&gt;0.5,1,0),0)</f>
        <v>0</v>
      </c>
      <c r="AH132" s="2">
        <f>IF(AND(Games[[#This Row],[Type]]="P",Games[[#This Row],[Round]]=2),IF(Games[[#This Row],[Result]]&lt;0.5,1,0),0)</f>
        <v>0</v>
      </c>
      <c r="AI132" s="2">
        <f>IF(AND(Games[[#This Row],[Type]]="P",Games[[#This Row],[Round]]=3),IF(Games[[#This Row],[Result]]&gt;0.5,1,0),0)</f>
        <v>0</v>
      </c>
      <c r="AJ132" s="2">
        <f>IF(AND(Games[[#This Row],[Type]]="P",Games[[#This Row],[Round]]=3),IF(Games[[#This Row],[Result]]&lt;0.5,1,0),0)</f>
        <v>0</v>
      </c>
      <c r="AK132" s="2">
        <f>IF(AND(Games[[#This Row],[Type]]="P",Games[[#This Row],[Round]]=4),IF(Games[[#This Row],[Result]]&gt;0.5,1,0),0)</f>
        <v>0</v>
      </c>
      <c r="AL132" s="2">
        <f>IF(AND(Games[[#This Row],[Type]]="P",Games[[#This Row],[Round]]=4),IF(Games[[#This Row],[Result]]&lt;0.5,1,0),0)</f>
        <v>0</v>
      </c>
    </row>
    <row r="133" spans="1:38" x14ac:dyDescent="0.35">
      <c r="A133" s="10">
        <v>40348</v>
      </c>
      <c r="B133" s="2">
        <v>2010</v>
      </c>
      <c r="C133" s="2">
        <f>COUNTIFS(Games[Team],Games[[#This Row],[Team]],Games[Season],Games[[#This Row],[Season]],Games[Date],"&lt;=" &amp; Games[[#This Row],[Date]])</f>
        <v>12</v>
      </c>
      <c r="D133" s="2" t="s">
        <v>23</v>
      </c>
      <c r="E133" s="2" t="s">
        <v>29</v>
      </c>
      <c r="F133" s="1" t="s">
        <v>73</v>
      </c>
      <c r="G133" s="1" t="s">
        <v>83</v>
      </c>
      <c r="H133" s="1" t="s">
        <v>15</v>
      </c>
      <c r="I133" s="2" cm="1">
        <f t="array" ref="I13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33" s="2" cm="1">
        <f t="array" ref="J133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33" s="2">
        <f>Games[[#This Row],[DaysOff]]-Games[[#This Row],[OppDaysOff]]</f>
        <v>-2</v>
      </c>
      <c r="L133" s="2">
        <f>Games[[#This Row],[OppDaysOff]]-Games[[#This Row],[DaysOff]]</f>
        <v>2</v>
      </c>
      <c r="M133" s="1">
        <f>MAX(-16, MIN(16, Games[[#This Row],[RestDiff]]*8))</f>
        <v>-16</v>
      </c>
      <c r="N133" s="1">
        <f>MAX(-16, MIN(16, Games[[#This Row],[OppRestDiff]]*8))</f>
        <v>16</v>
      </c>
      <c r="O133" s="4" cm="1">
        <f t="array" ref="O1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1571.6565897296036</v>
      </c>
      <c r="P133" s="4" cm="1">
        <f t="array" ref="P1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1563.8806605292712</v>
      </c>
      <c r="Q133" s="4">
        <f>1/(1+10^(((Games[[#This Row],[OppPreGmRate]]+IF(Games[[#This Row],[HomeAway]]="A",HCA,0)+Games[[#This Row],[OppRestAdj]])-(Games[[#This Row],[PreGmRate]]+IF(Games[[#This Row],[HomeAway]]="H",HCA,0)+Games[[#This Row],[RestAdj]]))/400))</f>
        <v>0.58518560926029772</v>
      </c>
      <c r="R133" s="1">
        <v>94</v>
      </c>
      <c r="S133" s="1">
        <v>91</v>
      </c>
      <c r="T133" s="1">
        <v>0</v>
      </c>
      <c r="U133" s="1">
        <f>Games[[#This Row],[PointsFor]]-Games[[#This Row],[PointsAgainst]]</f>
        <v>3</v>
      </c>
      <c r="V133" s="1">
        <f>IF(Games[[#This Row],[MOV]]&gt;0,1,IF(Games[[#This Row],[MOV]]=0,0.5,0))</f>
        <v>1</v>
      </c>
      <c r="W133" s="4">
        <f>((ABS(Games[[#This Row],[MOV]])+5)^0.6)/(12+0.01*(ABS(Games[[#This Row],[PreGmRate]]-Games[[#This Row],[OppPreGmRate]])))*IF(Games[[#This Row],[OT]]=1,0.9,1)</f>
        <v>0.28831525525517471</v>
      </c>
      <c r="X133" s="7" cm="1">
        <f t="array" ref="X1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3" s="9">
        <f>MAX(kmin, kmax - 0.15 * MIN(Games[[#This Row],[GamesPlayed]], 82))</f>
        <v>74.2</v>
      </c>
      <c r="Z133" s="4">
        <f>Games[[#This Row],[K]]*Games[[#This Row],[POMult]]</f>
        <v>74.2</v>
      </c>
      <c r="AA133" s="4">
        <f>(Games[[#This Row],[Keff]]*Games[[#This Row],[MOVMult]])*(Games[[#This Row],[Result]]-Games[[#This Row],[ExpectedWin%]])</f>
        <v>8.8741209176630687</v>
      </c>
      <c r="AB133" s="4">
        <f>Games[[#This Row],[PreGmRate]]+Games[[#This Row],[RatingChange]]</f>
        <v>1580.5307106472667</v>
      </c>
      <c r="AC133" s="2">
        <f>IF(Games[[#This Row],[Type]]="R",IF(Games[[#This Row],[Result]]&gt;0.5,1,0),0)</f>
        <v>1</v>
      </c>
      <c r="AD133" s="2">
        <f>IF(Games[[#This Row],[Type]]="R",IF(Games[[#This Row],[Result]]&lt;0.5,1,0),0)</f>
        <v>0</v>
      </c>
      <c r="AE133" s="2">
        <f>IF(AND(Games[[#This Row],[Type]]="P",Games[[#This Row],[Round]]=1),IF(Games[[#This Row],[Result]]&gt;0.5,1,0),0)</f>
        <v>0</v>
      </c>
      <c r="AF133" s="2">
        <f>IF(AND(Games[[#This Row],[Type]]="P",Games[[#This Row],[Round]]=1),IF(Games[[#This Row],[Result]]&lt;0.5,1,0),0)</f>
        <v>0</v>
      </c>
      <c r="AG133" s="2">
        <f>IF(AND(Games[[#This Row],[Type]]="P",Games[[#This Row],[Round]]=2),IF(Games[[#This Row],[Result]]&gt;0.5,1,0),0)</f>
        <v>0</v>
      </c>
      <c r="AH133" s="2">
        <f>IF(AND(Games[[#This Row],[Type]]="P",Games[[#This Row],[Round]]=2),IF(Games[[#This Row],[Result]]&lt;0.5,1,0),0)</f>
        <v>0</v>
      </c>
      <c r="AI133" s="2">
        <f>IF(AND(Games[[#This Row],[Type]]="P",Games[[#This Row],[Round]]=3),IF(Games[[#This Row],[Result]]&gt;0.5,1,0),0)</f>
        <v>0</v>
      </c>
      <c r="AJ133" s="2">
        <f>IF(AND(Games[[#This Row],[Type]]="P",Games[[#This Row],[Round]]=3),IF(Games[[#This Row],[Result]]&lt;0.5,1,0),0)</f>
        <v>0</v>
      </c>
      <c r="AK133" s="2">
        <f>IF(AND(Games[[#This Row],[Type]]="P",Games[[#This Row],[Round]]=4),IF(Games[[#This Row],[Result]]&gt;0.5,1,0),0)</f>
        <v>0</v>
      </c>
      <c r="AL133" s="2">
        <f>IF(AND(Games[[#This Row],[Type]]="P",Games[[#This Row],[Round]]=4),IF(Games[[#This Row],[Result]]&lt;0.5,1,0),0)</f>
        <v>0</v>
      </c>
    </row>
    <row r="134" spans="1:38" x14ac:dyDescent="0.35">
      <c r="A134" s="10">
        <v>40348</v>
      </c>
      <c r="B134" s="2">
        <v>2010</v>
      </c>
      <c r="C134" s="2">
        <f>COUNTIFS(Games[Team],Games[[#This Row],[Team]],Games[Season],Games[[#This Row],[Season]],Games[Date],"&lt;=" &amp; Games[[#This Row],[Date]])</f>
        <v>13</v>
      </c>
      <c r="D134" s="2" t="s">
        <v>23</v>
      </c>
      <c r="E134" s="2" t="s">
        <v>29</v>
      </c>
      <c r="F134" s="1" t="s">
        <v>71</v>
      </c>
      <c r="G134" s="1" t="s">
        <v>85</v>
      </c>
      <c r="H134" s="1" t="s">
        <v>16</v>
      </c>
      <c r="I134" s="2" cm="1">
        <f t="array" ref="I134">IFERROR(
    Games[[#This Row],[Date]]
    - LOOKUP(
        2,
        1/((Games[Team]=Games[[#This Row],[Team]]) * (Games[Date] &lt; Games[[#This Row],[Date]])),
        Games[Date]
    )
    - 1,
Games[[#This Row],[Date]]-$A$2)</f>
        <v>0</v>
      </c>
      <c r="J134" s="2" cm="1">
        <f t="array" ref="J134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34" s="2">
        <f>Games[[#This Row],[DaysOff]]-Games[[#This Row],[OppDaysOff]]</f>
        <v>0</v>
      </c>
      <c r="L134" s="2">
        <f>Games[[#This Row],[OppDaysOff]]-Games[[#This Row],[DaysOff]]</f>
        <v>0</v>
      </c>
      <c r="M134" s="1">
        <f>MAX(-16, MIN(16, Games[[#This Row],[RestDiff]]*8))</f>
        <v>0</v>
      </c>
      <c r="N134" s="1">
        <f>MAX(-16, MIN(16, Games[[#This Row],[OppRestDiff]]*8))</f>
        <v>0</v>
      </c>
      <c r="O134" s="4" cm="1">
        <f t="array" ref="O1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1385.7106189487497</v>
      </c>
      <c r="P134" s="4" cm="1">
        <f t="array" ref="P1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1454.7745505210262</v>
      </c>
      <c r="Q134" s="4">
        <f>1/(1+10^(((Games[[#This Row],[OppPreGmRate]]+IF(Games[[#This Row],[HomeAway]]="A",HCA,0)+Games[[#This Row],[OppRestAdj]])-(Games[[#This Row],[PreGmRate]]+IF(Games[[#This Row],[HomeAway]]="H",HCA,0)+Games[[#This Row],[RestAdj]]))/400))</f>
        <v>0.29294847158362924</v>
      </c>
      <c r="R134" s="1">
        <v>92</v>
      </c>
      <c r="S134" s="1">
        <v>78</v>
      </c>
      <c r="T134" s="1">
        <v>0</v>
      </c>
      <c r="U134" s="1">
        <f>Games[[#This Row],[PointsFor]]-Games[[#This Row],[PointsAgainst]]</f>
        <v>14</v>
      </c>
      <c r="V134" s="1">
        <f>IF(Games[[#This Row],[MOV]]&gt;0,1,IF(Games[[#This Row],[MOV]]=0,0.5,0))</f>
        <v>1</v>
      </c>
      <c r="W134" s="4">
        <f>((ABS(Games[[#This Row],[MOV]])+5)^0.6)/(12+0.01*(ABS(Games[[#This Row],[PreGmRate]]-Games[[#This Row],[OppPreGmRate]])))*IF(Games[[#This Row],[OT]]=1,0.9,1)</f>
        <v>0.46107190479835719</v>
      </c>
      <c r="X134" s="7" cm="1">
        <f t="array" ref="X1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4" s="9">
        <f>MAX(kmin, kmax - 0.15 * MIN(Games[[#This Row],[GamesPlayed]], 82))</f>
        <v>74.05</v>
      </c>
      <c r="Z134" s="4">
        <f>Games[[#This Row],[K]]*Games[[#This Row],[POMult]]</f>
        <v>74.05</v>
      </c>
      <c r="AA134" s="4">
        <f>(Games[[#This Row],[Keff]]*Games[[#This Row],[MOVMult]])*(Games[[#This Row],[Result]]-Games[[#This Row],[ExpectedWin%]])</f>
        <v>24.140418109566788</v>
      </c>
      <c r="AB134" s="4">
        <f>Games[[#This Row],[PreGmRate]]+Games[[#This Row],[RatingChange]]</f>
        <v>1409.8510370583165</v>
      </c>
      <c r="AC134" s="2">
        <f>IF(Games[[#This Row],[Type]]="R",IF(Games[[#This Row],[Result]]&gt;0.5,1,0),0)</f>
        <v>1</v>
      </c>
      <c r="AD134" s="2">
        <f>IF(Games[[#This Row],[Type]]="R",IF(Games[[#This Row],[Result]]&lt;0.5,1,0),0)</f>
        <v>0</v>
      </c>
      <c r="AE134" s="2">
        <f>IF(AND(Games[[#This Row],[Type]]="P",Games[[#This Row],[Round]]=1),IF(Games[[#This Row],[Result]]&gt;0.5,1,0),0)</f>
        <v>0</v>
      </c>
      <c r="AF134" s="2">
        <f>IF(AND(Games[[#This Row],[Type]]="P",Games[[#This Row],[Round]]=1),IF(Games[[#This Row],[Result]]&lt;0.5,1,0),0)</f>
        <v>0</v>
      </c>
      <c r="AG134" s="2">
        <f>IF(AND(Games[[#This Row],[Type]]="P",Games[[#This Row],[Round]]=2),IF(Games[[#This Row],[Result]]&gt;0.5,1,0),0)</f>
        <v>0</v>
      </c>
      <c r="AH134" s="2">
        <f>IF(AND(Games[[#This Row],[Type]]="P",Games[[#This Row],[Round]]=2),IF(Games[[#This Row],[Result]]&lt;0.5,1,0),0)</f>
        <v>0</v>
      </c>
      <c r="AI134" s="2">
        <f>IF(AND(Games[[#This Row],[Type]]="P",Games[[#This Row],[Round]]=3),IF(Games[[#This Row],[Result]]&gt;0.5,1,0),0)</f>
        <v>0</v>
      </c>
      <c r="AJ134" s="2">
        <f>IF(AND(Games[[#This Row],[Type]]="P",Games[[#This Row],[Round]]=3),IF(Games[[#This Row],[Result]]&lt;0.5,1,0),0)</f>
        <v>0</v>
      </c>
      <c r="AK134" s="2">
        <f>IF(AND(Games[[#This Row],[Type]]="P",Games[[#This Row],[Round]]=4),IF(Games[[#This Row],[Result]]&gt;0.5,1,0),0)</f>
        <v>0</v>
      </c>
      <c r="AL134" s="2">
        <f>IF(AND(Games[[#This Row],[Type]]="P",Games[[#This Row],[Round]]=4),IF(Games[[#This Row],[Result]]&lt;0.5,1,0),0)</f>
        <v>0</v>
      </c>
    </row>
    <row r="135" spans="1:38" x14ac:dyDescent="0.35">
      <c r="A135" s="10">
        <v>40348</v>
      </c>
      <c r="B135" s="2">
        <v>2010</v>
      </c>
      <c r="C135" s="2">
        <f>COUNTIFS(Games[Team],Games[[#This Row],[Team]],Games[Season],Games[[#This Row],[Season]],Games[Date],"&lt;=" &amp; Games[[#This Row],[Date]])</f>
        <v>11</v>
      </c>
      <c r="D135" s="2" t="s">
        <v>23</v>
      </c>
      <c r="E135" s="2" t="s">
        <v>29</v>
      </c>
      <c r="F135" s="1" t="s">
        <v>85</v>
      </c>
      <c r="G135" s="1" t="s">
        <v>71</v>
      </c>
      <c r="H135" s="1" t="s">
        <v>15</v>
      </c>
      <c r="I135" s="2" cm="1">
        <f t="array" ref="I135">IFERROR(
    Games[[#This Row],[Date]]
    - LOOKUP(
        2,
        1/((Games[Team]=Games[[#This Row],[Team]]) * (Games[Date] &lt; Games[[#This Row],[Date]])),
        Games[Date]
    )
    - 1,
Games[[#This Row],[Date]]-$A$2)</f>
        <v>0</v>
      </c>
      <c r="J135" s="2" cm="1">
        <f t="array" ref="J13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35" s="2">
        <f>Games[[#This Row],[DaysOff]]-Games[[#This Row],[OppDaysOff]]</f>
        <v>0</v>
      </c>
      <c r="L135" s="2">
        <f>Games[[#This Row],[OppDaysOff]]-Games[[#This Row],[DaysOff]]</f>
        <v>0</v>
      </c>
      <c r="M135" s="1">
        <f>MAX(-16, MIN(16, Games[[#This Row],[RestDiff]]*8))</f>
        <v>0</v>
      </c>
      <c r="N135" s="1">
        <f>MAX(-16, MIN(16, Games[[#This Row],[OppRestDiff]]*8))</f>
        <v>0</v>
      </c>
      <c r="O135" s="4" cm="1">
        <f t="array" ref="O1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1454.7745505210262</v>
      </c>
      <c r="P135" s="4" cm="1">
        <f t="array" ref="P1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1385.7106189487497</v>
      </c>
      <c r="Q135" s="4">
        <f>1/(1+10^(((Games[[#This Row],[OppPreGmRate]]+IF(Games[[#This Row],[HomeAway]]="A",HCA,0)+Games[[#This Row],[OppRestAdj]])-(Games[[#This Row],[PreGmRate]]+IF(Games[[#This Row],[HomeAway]]="H",HCA,0)+Games[[#This Row],[RestAdj]]))/400))</f>
        <v>0.70705152841637076</v>
      </c>
      <c r="R135" s="1">
        <v>78</v>
      </c>
      <c r="S135" s="1">
        <v>92</v>
      </c>
      <c r="T135" s="1">
        <v>0</v>
      </c>
      <c r="U135" s="1">
        <f>Games[[#This Row],[PointsFor]]-Games[[#This Row],[PointsAgainst]]</f>
        <v>-14</v>
      </c>
      <c r="V135" s="1">
        <f>IF(Games[[#This Row],[MOV]]&gt;0,1,IF(Games[[#This Row],[MOV]]=0,0.5,0))</f>
        <v>0</v>
      </c>
      <c r="W135" s="4">
        <f>((ABS(Games[[#This Row],[MOV]])+5)^0.6)/(12+0.01*(ABS(Games[[#This Row],[PreGmRate]]-Games[[#This Row],[OppPreGmRate]])))*IF(Games[[#This Row],[OT]]=1,0.9,1)</f>
        <v>0.46107190479835719</v>
      </c>
      <c r="X135" s="7" cm="1">
        <f t="array" ref="X1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5" s="9">
        <f>MAX(kmin, kmax - 0.15 * MIN(Games[[#This Row],[GamesPlayed]], 82))</f>
        <v>74.349999999999994</v>
      </c>
      <c r="Z135" s="4">
        <f>Games[[#This Row],[K]]*Games[[#This Row],[POMult]]</f>
        <v>74.349999999999994</v>
      </c>
      <c r="AA135" s="4">
        <f>(Games[[#This Row],[Keff]]*Games[[#This Row],[MOVMult]])*(Games[[#This Row],[Result]]-Games[[#This Row],[ExpectedWin%]])</f>
        <v>-24.238218588066047</v>
      </c>
      <c r="AB135" s="4">
        <f>Games[[#This Row],[PreGmRate]]+Games[[#This Row],[RatingChange]]</f>
        <v>1430.5363319329601</v>
      </c>
      <c r="AC135" s="2">
        <f>IF(Games[[#This Row],[Type]]="R",IF(Games[[#This Row],[Result]]&gt;0.5,1,0),0)</f>
        <v>0</v>
      </c>
      <c r="AD135" s="2">
        <f>IF(Games[[#This Row],[Type]]="R",IF(Games[[#This Row],[Result]]&lt;0.5,1,0),0)</f>
        <v>1</v>
      </c>
      <c r="AE135" s="2">
        <f>IF(AND(Games[[#This Row],[Type]]="P",Games[[#This Row],[Round]]=1),IF(Games[[#This Row],[Result]]&gt;0.5,1,0),0)</f>
        <v>0</v>
      </c>
      <c r="AF135" s="2">
        <f>IF(AND(Games[[#This Row],[Type]]="P",Games[[#This Row],[Round]]=1),IF(Games[[#This Row],[Result]]&lt;0.5,1,0),0)</f>
        <v>0</v>
      </c>
      <c r="AG135" s="2">
        <f>IF(AND(Games[[#This Row],[Type]]="P",Games[[#This Row],[Round]]=2),IF(Games[[#This Row],[Result]]&gt;0.5,1,0),0)</f>
        <v>0</v>
      </c>
      <c r="AH135" s="2">
        <f>IF(AND(Games[[#This Row],[Type]]="P",Games[[#This Row],[Round]]=2),IF(Games[[#This Row],[Result]]&lt;0.5,1,0),0)</f>
        <v>0</v>
      </c>
      <c r="AI135" s="2">
        <f>IF(AND(Games[[#This Row],[Type]]="P",Games[[#This Row],[Round]]=3),IF(Games[[#This Row],[Result]]&gt;0.5,1,0),0)</f>
        <v>0</v>
      </c>
      <c r="AJ135" s="2">
        <f>IF(AND(Games[[#This Row],[Type]]="P",Games[[#This Row],[Round]]=3),IF(Games[[#This Row],[Result]]&lt;0.5,1,0),0)</f>
        <v>0</v>
      </c>
      <c r="AK135" s="2">
        <f>IF(AND(Games[[#This Row],[Type]]="P",Games[[#This Row],[Round]]=4),IF(Games[[#This Row],[Result]]&gt;0.5,1,0),0)</f>
        <v>0</v>
      </c>
      <c r="AL135" s="2">
        <f>IF(AND(Games[[#This Row],[Type]]="P",Games[[#This Row],[Round]]=4),IF(Games[[#This Row],[Result]]&lt;0.5,1,0),0)</f>
        <v>0</v>
      </c>
    </row>
    <row r="136" spans="1:38" x14ac:dyDescent="0.35">
      <c r="A136" s="10">
        <v>40348</v>
      </c>
      <c r="B136" s="2">
        <v>2010</v>
      </c>
      <c r="C136" s="2">
        <f>COUNTIFS(Games[Team],Games[[#This Row],[Team]],Games[Season],Games[[#This Row],[Season]],Games[Date],"&lt;=" &amp; Games[[#This Row],[Date]])</f>
        <v>12</v>
      </c>
      <c r="D136" s="2" t="s">
        <v>23</v>
      </c>
      <c r="E136" s="2" t="s">
        <v>29</v>
      </c>
      <c r="F136" s="1" t="s">
        <v>81</v>
      </c>
      <c r="G136" s="1" t="s">
        <v>69</v>
      </c>
      <c r="H136" s="1" t="s">
        <v>16</v>
      </c>
      <c r="I136" s="2" cm="1">
        <f t="array" ref="I136">IFERROR(
    Games[[#This Row],[Date]]
    - LOOKUP(
        2,
        1/((Games[Team]=Games[[#This Row],[Team]]) * (Games[Date] &lt; Games[[#This Row],[Date]])),
        Games[Date]
    )
    - 1,
Games[[#This Row],[Date]]-$A$2)</f>
        <v>3</v>
      </c>
      <c r="J136" s="2" cm="1">
        <f t="array" ref="J136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136" s="2">
        <f>Games[[#This Row],[DaysOff]]-Games[[#This Row],[OppDaysOff]]</f>
        <v>-3</v>
      </c>
      <c r="L136" s="2">
        <f>Games[[#This Row],[OppDaysOff]]-Games[[#This Row],[DaysOff]]</f>
        <v>3</v>
      </c>
      <c r="M136" s="1">
        <f>MAX(-16, MIN(16, Games[[#This Row],[RestDiff]]*8))</f>
        <v>-16</v>
      </c>
      <c r="N136" s="1">
        <f>MAX(-16, MIN(16, Games[[#This Row],[OppRestDiff]]*8))</f>
        <v>16</v>
      </c>
      <c r="O136" s="4" cm="1">
        <f t="array" ref="O1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1446.9500556551059</v>
      </c>
      <c r="P136" s="4" cm="1">
        <f t="array" ref="P1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1516.9388768851711</v>
      </c>
      <c r="Q136" s="4">
        <f>1/(1+10^(((Games[[#This Row],[OppPreGmRate]]+IF(Games[[#This Row],[HomeAway]]="A",HCA,0)+Games[[#This Row],[OppRestAdj]])-(Games[[#This Row],[PreGmRate]]+IF(Games[[#This Row],[HomeAway]]="H",HCA,0)+Games[[#This Row],[RestAdj]]))/400))</f>
        <v>0.25528182674766853</v>
      </c>
      <c r="R136" s="1">
        <v>61</v>
      </c>
      <c r="S136" s="1">
        <v>65</v>
      </c>
      <c r="T136" s="1">
        <v>1</v>
      </c>
      <c r="U136" s="1">
        <f>Games[[#This Row],[PointsFor]]-Games[[#This Row],[PointsAgainst]]</f>
        <v>-4</v>
      </c>
      <c r="V136" s="1">
        <f>IF(Games[[#This Row],[MOV]]&gt;0,1,IF(Games[[#This Row],[MOV]]=0,0.5,0))</f>
        <v>0</v>
      </c>
      <c r="W136" s="4">
        <f>((ABS(Games[[#This Row],[MOV]])+5)^0.6)/(12+0.01*(ABS(Games[[#This Row],[PreGmRate]]-Games[[#This Row],[OppPreGmRate]])))*IF(Games[[#This Row],[OT]]=1,0.9,1)</f>
        <v>0.26484276717523847</v>
      </c>
      <c r="X136" s="7" cm="1">
        <f t="array" ref="X1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6" s="9">
        <f>MAX(kmin, kmax - 0.15 * MIN(Games[[#This Row],[GamesPlayed]], 82))</f>
        <v>74.2</v>
      </c>
      <c r="Z136" s="4">
        <f>Games[[#This Row],[K]]*Games[[#This Row],[POMult]]</f>
        <v>74.2</v>
      </c>
      <c r="AA136" s="4">
        <f>(Games[[#This Row],[Keff]]*Games[[#This Row],[MOVMult]])*(Games[[#This Row],[Result]]-Games[[#This Row],[ExpectedWin%]])</f>
        <v>-5.0166282690808544</v>
      </c>
      <c r="AB136" s="4">
        <f>Games[[#This Row],[PreGmRate]]+Games[[#This Row],[RatingChange]]</f>
        <v>1441.933427386025</v>
      </c>
      <c r="AC136" s="2">
        <f>IF(Games[[#This Row],[Type]]="R",IF(Games[[#This Row],[Result]]&gt;0.5,1,0),0)</f>
        <v>0</v>
      </c>
      <c r="AD136" s="2">
        <f>IF(Games[[#This Row],[Type]]="R",IF(Games[[#This Row],[Result]]&lt;0.5,1,0),0)</f>
        <v>1</v>
      </c>
      <c r="AE136" s="2">
        <f>IF(AND(Games[[#This Row],[Type]]="P",Games[[#This Row],[Round]]=1),IF(Games[[#This Row],[Result]]&gt;0.5,1,0),0)</f>
        <v>0</v>
      </c>
      <c r="AF136" s="2">
        <f>IF(AND(Games[[#This Row],[Type]]="P",Games[[#This Row],[Round]]=1),IF(Games[[#This Row],[Result]]&lt;0.5,1,0),0)</f>
        <v>0</v>
      </c>
      <c r="AG136" s="2">
        <f>IF(AND(Games[[#This Row],[Type]]="P",Games[[#This Row],[Round]]=2),IF(Games[[#This Row],[Result]]&gt;0.5,1,0),0)</f>
        <v>0</v>
      </c>
      <c r="AH136" s="2">
        <f>IF(AND(Games[[#This Row],[Type]]="P",Games[[#This Row],[Round]]=2),IF(Games[[#This Row],[Result]]&lt;0.5,1,0),0)</f>
        <v>0</v>
      </c>
      <c r="AI136" s="2">
        <f>IF(AND(Games[[#This Row],[Type]]="P",Games[[#This Row],[Round]]=3),IF(Games[[#This Row],[Result]]&gt;0.5,1,0),0)</f>
        <v>0</v>
      </c>
      <c r="AJ136" s="2">
        <f>IF(AND(Games[[#This Row],[Type]]="P",Games[[#This Row],[Round]]=3),IF(Games[[#This Row],[Result]]&lt;0.5,1,0),0)</f>
        <v>0</v>
      </c>
      <c r="AK136" s="2">
        <f>IF(AND(Games[[#This Row],[Type]]="P",Games[[#This Row],[Round]]=4),IF(Games[[#This Row],[Result]]&gt;0.5,1,0),0)</f>
        <v>0</v>
      </c>
      <c r="AL136" s="2">
        <f>IF(AND(Games[[#This Row],[Type]]="P",Games[[#This Row],[Round]]=4),IF(Games[[#This Row],[Result]]&lt;0.5,1,0),0)</f>
        <v>0</v>
      </c>
    </row>
    <row r="137" spans="1:38" x14ac:dyDescent="0.35">
      <c r="A137" s="10">
        <v>40348</v>
      </c>
      <c r="B137" s="2">
        <v>2010</v>
      </c>
      <c r="C137" s="2">
        <f>COUNTIFS(Games[Team],Games[[#This Row],[Team]],Games[Season],Games[[#This Row],[Season]],Games[Date],"&lt;=" &amp; Games[[#This Row],[Date]])</f>
        <v>11</v>
      </c>
      <c r="D137" s="2" t="s">
        <v>23</v>
      </c>
      <c r="E137" s="2" t="s">
        <v>29</v>
      </c>
      <c r="F137" s="1" t="s">
        <v>69</v>
      </c>
      <c r="G137" s="1" t="s">
        <v>81</v>
      </c>
      <c r="H137" s="1" t="s">
        <v>15</v>
      </c>
      <c r="I137" s="2" cm="1">
        <f t="array" ref="I137">IFERROR(
    Games[[#This Row],[Date]]
    - LOOKUP(
        2,
        1/((Games[Team]=Games[[#This Row],[Team]]) * (Games[Date] &lt; Games[[#This Row],[Date]])),
        Games[Date]
    )
    - 1,
Games[[#This Row],[Date]]-$A$2)</f>
        <v>6</v>
      </c>
      <c r="J137" s="2" cm="1">
        <f t="array" ref="J13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37" s="2">
        <f>Games[[#This Row],[DaysOff]]-Games[[#This Row],[OppDaysOff]]</f>
        <v>3</v>
      </c>
      <c r="L137" s="2">
        <f>Games[[#This Row],[OppDaysOff]]-Games[[#This Row],[DaysOff]]</f>
        <v>-3</v>
      </c>
      <c r="M137" s="1">
        <f>MAX(-16, MIN(16, Games[[#This Row],[RestDiff]]*8))</f>
        <v>16</v>
      </c>
      <c r="N137" s="1">
        <f>MAX(-16, MIN(16, Games[[#This Row],[OppRestDiff]]*8))</f>
        <v>-16</v>
      </c>
      <c r="O137" s="4" cm="1">
        <f t="array" ref="O1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1516.9388768851711</v>
      </c>
      <c r="P137" s="4" cm="1">
        <f t="array" ref="P1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1446.9500556551059</v>
      </c>
      <c r="Q137" s="4">
        <f>1/(1+10^(((Games[[#This Row],[OppPreGmRate]]+IF(Games[[#This Row],[HomeAway]]="A",HCA,0)+Games[[#This Row],[OppRestAdj]])-(Games[[#This Row],[PreGmRate]]+IF(Games[[#This Row],[HomeAway]]="H",HCA,0)+Games[[#This Row],[RestAdj]]))/400))</f>
        <v>0.74471817325233147</v>
      </c>
      <c r="R137" s="1">
        <v>65</v>
      </c>
      <c r="S137" s="1">
        <v>61</v>
      </c>
      <c r="T137" s="1">
        <v>1</v>
      </c>
      <c r="U137" s="1">
        <f>Games[[#This Row],[PointsFor]]-Games[[#This Row],[PointsAgainst]]</f>
        <v>4</v>
      </c>
      <c r="V137" s="1">
        <f>IF(Games[[#This Row],[MOV]]&gt;0,1,IF(Games[[#This Row],[MOV]]=0,0.5,0))</f>
        <v>1</v>
      </c>
      <c r="W137" s="4">
        <f>((ABS(Games[[#This Row],[MOV]])+5)^0.6)/(12+0.01*(ABS(Games[[#This Row],[PreGmRate]]-Games[[#This Row],[OppPreGmRate]])))*IF(Games[[#This Row],[OT]]=1,0.9,1)</f>
        <v>0.26484276717523847</v>
      </c>
      <c r="X137" s="7" cm="1">
        <f t="array" ref="X1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7" s="9">
        <f>MAX(kmin, kmax - 0.15 * MIN(Games[[#This Row],[GamesPlayed]], 82))</f>
        <v>74.349999999999994</v>
      </c>
      <c r="Z137" s="4">
        <f>Games[[#This Row],[K]]*Games[[#This Row],[POMult]]</f>
        <v>74.349999999999994</v>
      </c>
      <c r="AA137" s="4">
        <f>(Games[[#This Row],[Keff]]*Games[[#This Row],[MOVMult]])*(Games[[#This Row],[Result]]-Games[[#This Row],[ExpectedWin%]])</f>
        <v>5.0267697008916636</v>
      </c>
      <c r="AB137" s="4">
        <f>Games[[#This Row],[PreGmRate]]+Games[[#This Row],[RatingChange]]</f>
        <v>1521.9656465860628</v>
      </c>
      <c r="AC137" s="2">
        <f>IF(Games[[#This Row],[Type]]="R",IF(Games[[#This Row],[Result]]&gt;0.5,1,0),0)</f>
        <v>1</v>
      </c>
      <c r="AD137" s="2">
        <f>IF(Games[[#This Row],[Type]]="R",IF(Games[[#This Row],[Result]]&lt;0.5,1,0),0)</f>
        <v>0</v>
      </c>
      <c r="AE137" s="2">
        <f>IF(AND(Games[[#This Row],[Type]]="P",Games[[#This Row],[Round]]=1),IF(Games[[#This Row],[Result]]&gt;0.5,1,0),0)</f>
        <v>0</v>
      </c>
      <c r="AF137" s="2">
        <f>IF(AND(Games[[#This Row],[Type]]="P",Games[[#This Row],[Round]]=1),IF(Games[[#This Row],[Result]]&lt;0.5,1,0),0)</f>
        <v>0</v>
      </c>
      <c r="AG137" s="2">
        <f>IF(AND(Games[[#This Row],[Type]]="P",Games[[#This Row],[Round]]=2),IF(Games[[#This Row],[Result]]&gt;0.5,1,0),0)</f>
        <v>0</v>
      </c>
      <c r="AH137" s="2">
        <f>IF(AND(Games[[#This Row],[Type]]="P",Games[[#This Row],[Round]]=2),IF(Games[[#This Row],[Result]]&lt;0.5,1,0),0)</f>
        <v>0</v>
      </c>
      <c r="AI137" s="2">
        <f>IF(AND(Games[[#This Row],[Type]]="P",Games[[#This Row],[Round]]=3),IF(Games[[#This Row],[Result]]&gt;0.5,1,0),0)</f>
        <v>0</v>
      </c>
      <c r="AJ137" s="2">
        <f>IF(AND(Games[[#This Row],[Type]]="P",Games[[#This Row],[Round]]=3),IF(Games[[#This Row],[Result]]&lt;0.5,1,0),0)</f>
        <v>0</v>
      </c>
      <c r="AK137" s="2">
        <f>IF(AND(Games[[#This Row],[Type]]="P",Games[[#This Row],[Round]]=4),IF(Games[[#This Row],[Result]]&gt;0.5,1,0),0)</f>
        <v>0</v>
      </c>
      <c r="AL137" s="2">
        <f>IF(AND(Games[[#This Row],[Type]]="P",Games[[#This Row],[Round]]=4),IF(Games[[#This Row],[Result]]&lt;0.5,1,0),0)</f>
        <v>0</v>
      </c>
    </row>
    <row r="138" spans="1:38" x14ac:dyDescent="0.35">
      <c r="A138" s="10">
        <v>40349</v>
      </c>
      <c r="B138" s="2">
        <v>2010</v>
      </c>
      <c r="C138" s="2">
        <f>COUNTIFS(Games[Team],Games[[#This Row],[Team]],Games[Season],Games[[#This Row],[Season]],Games[Date],"&lt;=" &amp; Games[[#This Row],[Date]])</f>
        <v>11</v>
      </c>
      <c r="D138" s="2" t="s">
        <v>23</v>
      </c>
      <c r="E138" s="2" t="s">
        <v>29</v>
      </c>
      <c r="F138" s="1" t="s">
        <v>80</v>
      </c>
      <c r="G138" s="1" t="s">
        <v>44</v>
      </c>
      <c r="H138" s="1" t="s">
        <v>16</v>
      </c>
      <c r="I138" s="2" cm="1">
        <f t="array" ref="I13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38" s="2" cm="1">
        <f t="array" ref="J13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38" s="2">
        <f>Games[[#This Row],[DaysOff]]-Games[[#This Row],[OppDaysOff]]</f>
        <v>0</v>
      </c>
      <c r="L138" s="2">
        <f>Games[[#This Row],[OppDaysOff]]-Games[[#This Row],[DaysOff]]</f>
        <v>0</v>
      </c>
      <c r="M138" s="1">
        <f>MAX(-16, MIN(16, Games[[#This Row],[RestDiff]]*8))</f>
        <v>0</v>
      </c>
      <c r="N138" s="1">
        <f>MAX(-16, MIN(16, Games[[#This Row],[OppRestDiff]]*8))</f>
        <v>0</v>
      </c>
      <c r="O138" s="4" cm="1">
        <f t="array" ref="O1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1540.2959083738426</v>
      </c>
      <c r="P138" s="4" cm="1">
        <f t="array" ref="P1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1538.4737052735547</v>
      </c>
      <c r="Q138" s="4">
        <f>1/(1+10^(((Games[[#This Row],[OppPreGmRate]]+IF(Games[[#This Row],[HomeAway]]="A",HCA,0)+Games[[#This Row],[OppRestAdj]])-(Games[[#This Row],[PreGmRate]]+IF(Games[[#This Row],[HomeAway]]="H",HCA,0)+Games[[#This Row],[RestAdj]]))/400))</f>
        <v>0.38389379388434586</v>
      </c>
      <c r="R138" s="1">
        <v>96</v>
      </c>
      <c r="S138" s="1">
        <v>94</v>
      </c>
      <c r="T138" s="1">
        <v>0</v>
      </c>
      <c r="U138" s="1">
        <f>Games[[#This Row],[PointsFor]]-Games[[#This Row],[PointsAgainst]]</f>
        <v>2</v>
      </c>
      <c r="V138" s="1">
        <f>IF(Games[[#This Row],[MOV]]&gt;0,1,IF(Games[[#This Row],[MOV]]=0,0.5,0))</f>
        <v>1</v>
      </c>
      <c r="W138" s="4">
        <f>((ABS(Games[[#This Row],[MOV]])+5)^0.6)/(12+0.01*(ABS(Games[[#This Row],[PreGmRate]]-Games[[#This Row],[OppPreGmRate]])))*IF(Games[[#This Row],[OT]]=1,0.9,1)</f>
        <v>0.2674352197375599</v>
      </c>
      <c r="X138" s="7" cm="1">
        <f t="array" ref="X1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8" s="9">
        <f>MAX(kmin, kmax - 0.15 * MIN(Games[[#This Row],[GamesPlayed]], 82))</f>
        <v>74.349999999999994</v>
      </c>
      <c r="Z138" s="4">
        <f>Games[[#This Row],[K]]*Games[[#This Row],[POMult]]</f>
        <v>74.349999999999994</v>
      </c>
      <c r="AA138" s="4">
        <f>(Games[[#This Row],[Keff]]*Games[[#This Row],[MOVMult]])*(Games[[#This Row],[Result]]-Games[[#This Row],[ExpectedWin%]])</f>
        <v>12.250537871966836</v>
      </c>
      <c r="AB138" s="4">
        <f>Games[[#This Row],[PreGmRate]]+Games[[#This Row],[RatingChange]]</f>
        <v>1552.5464462458094</v>
      </c>
      <c r="AC138" s="2">
        <f>IF(Games[[#This Row],[Type]]="R",IF(Games[[#This Row],[Result]]&gt;0.5,1,0),0)</f>
        <v>1</v>
      </c>
      <c r="AD138" s="2">
        <f>IF(Games[[#This Row],[Type]]="R",IF(Games[[#This Row],[Result]]&lt;0.5,1,0),0)</f>
        <v>0</v>
      </c>
      <c r="AE138" s="2">
        <f>IF(AND(Games[[#This Row],[Type]]="P",Games[[#This Row],[Round]]=1),IF(Games[[#This Row],[Result]]&gt;0.5,1,0),0)</f>
        <v>0</v>
      </c>
      <c r="AF138" s="2">
        <f>IF(AND(Games[[#This Row],[Type]]="P",Games[[#This Row],[Round]]=1),IF(Games[[#This Row],[Result]]&lt;0.5,1,0),0)</f>
        <v>0</v>
      </c>
      <c r="AG138" s="2">
        <f>IF(AND(Games[[#This Row],[Type]]="P",Games[[#This Row],[Round]]=2),IF(Games[[#This Row],[Result]]&gt;0.5,1,0),0)</f>
        <v>0</v>
      </c>
      <c r="AH138" s="2">
        <f>IF(AND(Games[[#This Row],[Type]]="P",Games[[#This Row],[Round]]=2),IF(Games[[#This Row],[Result]]&lt;0.5,1,0),0)</f>
        <v>0</v>
      </c>
      <c r="AI138" s="2">
        <f>IF(AND(Games[[#This Row],[Type]]="P",Games[[#This Row],[Round]]=3),IF(Games[[#This Row],[Result]]&gt;0.5,1,0),0)</f>
        <v>0</v>
      </c>
      <c r="AJ138" s="2">
        <f>IF(AND(Games[[#This Row],[Type]]="P",Games[[#This Row],[Round]]=3),IF(Games[[#This Row],[Result]]&lt;0.5,1,0),0)</f>
        <v>0</v>
      </c>
      <c r="AK138" s="2">
        <f>IF(AND(Games[[#This Row],[Type]]="P",Games[[#This Row],[Round]]=4),IF(Games[[#This Row],[Result]]&gt;0.5,1,0),0)</f>
        <v>0</v>
      </c>
      <c r="AL138" s="2">
        <f>IF(AND(Games[[#This Row],[Type]]="P",Games[[#This Row],[Round]]=4),IF(Games[[#This Row],[Result]]&lt;0.5,1,0),0)</f>
        <v>0</v>
      </c>
    </row>
    <row r="139" spans="1:38" x14ac:dyDescent="0.35">
      <c r="A139" s="10">
        <v>40349</v>
      </c>
      <c r="B139" s="2">
        <v>2010</v>
      </c>
      <c r="C139" s="2">
        <f>COUNTIFS(Games[Team],Games[[#This Row],[Team]],Games[Season],Games[[#This Row],[Season]],Games[Date],"&lt;=" &amp; Games[[#This Row],[Date]])</f>
        <v>12</v>
      </c>
      <c r="D139" s="2" t="s">
        <v>23</v>
      </c>
      <c r="E139" s="2" t="s">
        <v>29</v>
      </c>
      <c r="F139" s="1" t="s">
        <v>44</v>
      </c>
      <c r="G139" s="1" t="s">
        <v>80</v>
      </c>
      <c r="H139" s="1" t="s">
        <v>15</v>
      </c>
      <c r="I139" s="2" cm="1">
        <f t="array" ref="I13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39" s="2" cm="1">
        <f t="array" ref="J13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39" s="2">
        <f>Games[[#This Row],[DaysOff]]-Games[[#This Row],[OppDaysOff]]</f>
        <v>0</v>
      </c>
      <c r="L139" s="2">
        <f>Games[[#This Row],[OppDaysOff]]-Games[[#This Row],[DaysOff]]</f>
        <v>0</v>
      </c>
      <c r="M139" s="1">
        <f>MAX(-16, MIN(16, Games[[#This Row],[RestDiff]]*8))</f>
        <v>0</v>
      </c>
      <c r="N139" s="1">
        <f>MAX(-16, MIN(16, Games[[#This Row],[OppRestDiff]]*8))</f>
        <v>0</v>
      </c>
      <c r="O139" s="4" cm="1">
        <f t="array" ref="O1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1538.4737052735547</v>
      </c>
      <c r="P139" s="4" cm="1">
        <f t="array" ref="P1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1540.2959083738426</v>
      </c>
      <c r="Q139" s="4">
        <f>1/(1+10^(((Games[[#This Row],[OppPreGmRate]]+IF(Games[[#This Row],[HomeAway]]="A",HCA,0)+Games[[#This Row],[OppRestAdj]])-(Games[[#This Row],[PreGmRate]]+IF(Games[[#This Row],[HomeAway]]="H",HCA,0)+Games[[#This Row],[RestAdj]]))/400))</f>
        <v>0.61610620611565414</v>
      </c>
      <c r="R139" s="1">
        <v>94</v>
      </c>
      <c r="S139" s="1">
        <v>96</v>
      </c>
      <c r="T139" s="1">
        <v>0</v>
      </c>
      <c r="U139" s="1">
        <f>Games[[#This Row],[PointsFor]]-Games[[#This Row],[PointsAgainst]]</f>
        <v>-2</v>
      </c>
      <c r="V139" s="1">
        <f>IF(Games[[#This Row],[MOV]]&gt;0,1,IF(Games[[#This Row],[MOV]]=0,0.5,0))</f>
        <v>0</v>
      </c>
      <c r="W139" s="4">
        <f>((ABS(Games[[#This Row],[MOV]])+5)^0.6)/(12+0.01*(ABS(Games[[#This Row],[PreGmRate]]-Games[[#This Row],[OppPreGmRate]])))*IF(Games[[#This Row],[OT]]=1,0.9,1)</f>
        <v>0.2674352197375599</v>
      </c>
      <c r="X139" s="7" cm="1">
        <f t="array" ref="X1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9" s="9">
        <f>MAX(kmin, kmax - 0.15 * MIN(Games[[#This Row],[GamesPlayed]], 82))</f>
        <v>74.2</v>
      </c>
      <c r="Z139" s="4">
        <f>Games[[#This Row],[K]]*Games[[#This Row],[POMult]]</f>
        <v>74.2</v>
      </c>
      <c r="AA139" s="4">
        <f>(Games[[#This Row],[Keff]]*Games[[#This Row],[MOVMult]])*(Games[[#This Row],[Result]]-Games[[#This Row],[ExpectedWin%]])</f>
        <v>-12.225822597174703</v>
      </c>
      <c r="AB139" s="4">
        <f>Games[[#This Row],[PreGmRate]]+Games[[#This Row],[RatingChange]]</f>
        <v>1526.24788267638</v>
      </c>
      <c r="AC139" s="2">
        <f>IF(Games[[#This Row],[Type]]="R",IF(Games[[#This Row],[Result]]&gt;0.5,1,0),0)</f>
        <v>0</v>
      </c>
      <c r="AD139" s="2">
        <f>IF(Games[[#This Row],[Type]]="R",IF(Games[[#This Row],[Result]]&lt;0.5,1,0),0)</f>
        <v>1</v>
      </c>
      <c r="AE139" s="2">
        <f>IF(AND(Games[[#This Row],[Type]]="P",Games[[#This Row],[Round]]=1),IF(Games[[#This Row],[Result]]&gt;0.5,1,0),0)</f>
        <v>0</v>
      </c>
      <c r="AF139" s="2">
        <f>IF(AND(Games[[#This Row],[Type]]="P",Games[[#This Row],[Round]]=1),IF(Games[[#This Row],[Result]]&lt;0.5,1,0),0)</f>
        <v>0</v>
      </c>
      <c r="AG139" s="2">
        <f>IF(AND(Games[[#This Row],[Type]]="P",Games[[#This Row],[Round]]=2),IF(Games[[#This Row],[Result]]&gt;0.5,1,0),0)</f>
        <v>0</v>
      </c>
      <c r="AH139" s="2">
        <f>IF(AND(Games[[#This Row],[Type]]="P",Games[[#This Row],[Round]]=2),IF(Games[[#This Row],[Result]]&lt;0.5,1,0),0)</f>
        <v>0</v>
      </c>
      <c r="AI139" s="2">
        <f>IF(AND(Games[[#This Row],[Type]]="P",Games[[#This Row],[Round]]=3),IF(Games[[#This Row],[Result]]&gt;0.5,1,0),0)</f>
        <v>0</v>
      </c>
      <c r="AJ139" s="2">
        <f>IF(AND(Games[[#This Row],[Type]]="P",Games[[#This Row],[Round]]=3),IF(Games[[#This Row],[Result]]&lt;0.5,1,0),0)</f>
        <v>0</v>
      </c>
      <c r="AK139" s="2">
        <f>IF(AND(Games[[#This Row],[Type]]="P",Games[[#This Row],[Round]]=4),IF(Games[[#This Row],[Result]]&gt;0.5,1,0),0)</f>
        <v>0</v>
      </c>
      <c r="AL139" s="2">
        <f>IF(AND(Games[[#This Row],[Type]]="P",Games[[#This Row],[Round]]=4),IF(Games[[#This Row],[Result]]&lt;0.5,1,0),0)</f>
        <v>0</v>
      </c>
    </row>
    <row r="140" spans="1:38" x14ac:dyDescent="0.35">
      <c r="A140" s="10">
        <v>40349</v>
      </c>
      <c r="B140" s="2">
        <v>2010</v>
      </c>
      <c r="C140" s="2">
        <f>COUNTIFS(Games[Team],Games[[#This Row],[Team]],Games[Season],Games[[#This Row],[Season]],Games[Date],"&lt;=" &amp; Games[[#This Row],[Date]])</f>
        <v>11</v>
      </c>
      <c r="D140" s="2" t="s">
        <v>23</v>
      </c>
      <c r="E140" s="2" t="s">
        <v>29</v>
      </c>
      <c r="F140" s="1" t="s">
        <v>78</v>
      </c>
      <c r="G140" s="1" t="s">
        <v>75</v>
      </c>
      <c r="H140" s="1" t="s">
        <v>16</v>
      </c>
      <c r="I140" s="2" cm="1">
        <f t="array" ref="I14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0" s="2" cm="1">
        <f t="array" ref="J14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0" s="2">
        <f>Games[[#This Row],[DaysOff]]-Games[[#This Row],[OppDaysOff]]</f>
        <v>0</v>
      </c>
      <c r="L140" s="2">
        <f>Games[[#This Row],[OppDaysOff]]-Games[[#This Row],[DaysOff]]</f>
        <v>0</v>
      </c>
      <c r="M140" s="1">
        <f>MAX(-16, MIN(16, Games[[#This Row],[RestDiff]]*8))</f>
        <v>0</v>
      </c>
      <c r="N140" s="1">
        <f>MAX(-16, MIN(16, Games[[#This Row],[OppRestDiff]]*8))</f>
        <v>0</v>
      </c>
      <c r="O140" s="4" cm="1">
        <f t="array" ref="O1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1464.6183273280408</v>
      </c>
      <c r="P140" s="4" cm="1">
        <f t="array" ref="P1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1618.7077539889015</v>
      </c>
      <c r="Q140" s="4">
        <f>1/(1+10^(((Games[[#This Row],[OppPreGmRate]]+IF(Games[[#This Row],[HomeAway]]="A",HCA,0)+Games[[#This Row],[OppRestAdj]])-(Games[[#This Row],[PreGmRate]]+IF(Games[[#This Row],[HomeAway]]="H",HCA,0)+Games[[#This Row],[RestAdj]]))/400))</f>
        <v>0.20253052993666137</v>
      </c>
      <c r="R140" s="1">
        <v>61</v>
      </c>
      <c r="S140" s="1">
        <v>82</v>
      </c>
      <c r="T140" s="1">
        <v>0</v>
      </c>
      <c r="U140" s="1">
        <f>Games[[#This Row],[PointsFor]]-Games[[#This Row],[PointsAgainst]]</f>
        <v>-21</v>
      </c>
      <c r="V140" s="1">
        <f>IF(Games[[#This Row],[MOV]]&gt;0,1,IF(Games[[#This Row],[MOV]]=0,0.5,0))</f>
        <v>0</v>
      </c>
      <c r="W140" s="4">
        <f>((ABS(Games[[#This Row],[MOV]])+5)^0.6)/(12+0.01*(ABS(Games[[#This Row],[PreGmRate]]-Games[[#This Row],[OppPreGmRate]])))*IF(Games[[#This Row],[OT]]=1,0.9,1)</f>
        <v>0.52159889400109705</v>
      </c>
      <c r="X140" s="7" cm="1">
        <f t="array" ref="X1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0" s="9">
        <f>MAX(kmin, kmax - 0.15 * MIN(Games[[#This Row],[GamesPlayed]], 82))</f>
        <v>74.349999999999994</v>
      </c>
      <c r="Z140" s="4">
        <f>Games[[#This Row],[K]]*Games[[#This Row],[POMult]]</f>
        <v>74.349999999999994</v>
      </c>
      <c r="AA140" s="4">
        <f>(Games[[#This Row],[Keff]]*Games[[#This Row],[MOVMult]])*(Games[[#This Row],[Result]]-Games[[#This Row],[ExpectedWin%]])</f>
        <v>-7.8543117259607254</v>
      </c>
      <c r="AB140" s="4">
        <f>Games[[#This Row],[PreGmRate]]+Games[[#This Row],[RatingChange]]</f>
        <v>1456.76401560208</v>
      </c>
      <c r="AC140" s="2">
        <f>IF(Games[[#This Row],[Type]]="R",IF(Games[[#This Row],[Result]]&gt;0.5,1,0),0)</f>
        <v>0</v>
      </c>
      <c r="AD140" s="2">
        <f>IF(Games[[#This Row],[Type]]="R",IF(Games[[#This Row],[Result]]&lt;0.5,1,0),0)</f>
        <v>1</v>
      </c>
      <c r="AE140" s="2">
        <f>IF(AND(Games[[#This Row],[Type]]="P",Games[[#This Row],[Round]]=1),IF(Games[[#This Row],[Result]]&gt;0.5,1,0),0)</f>
        <v>0</v>
      </c>
      <c r="AF140" s="2">
        <f>IF(AND(Games[[#This Row],[Type]]="P",Games[[#This Row],[Round]]=1),IF(Games[[#This Row],[Result]]&lt;0.5,1,0),0)</f>
        <v>0</v>
      </c>
      <c r="AG140" s="2">
        <f>IF(AND(Games[[#This Row],[Type]]="P",Games[[#This Row],[Round]]=2),IF(Games[[#This Row],[Result]]&gt;0.5,1,0),0)</f>
        <v>0</v>
      </c>
      <c r="AH140" s="2">
        <f>IF(AND(Games[[#This Row],[Type]]="P",Games[[#This Row],[Round]]=2),IF(Games[[#This Row],[Result]]&lt;0.5,1,0),0)</f>
        <v>0</v>
      </c>
      <c r="AI140" s="2">
        <f>IF(AND(Games[[#This Row],[Type]]="P",Games[[#This Row],[Round]]=3),IF(Games[[#This Row],[Result]]&gt;0.5,1,0),0)</f>
        <v>0</v>
      </c>
      <c r="AJ140" s="2">
        <f>IF(AND(Games[[#This Row],[Type]]="P",Games[[#This Row],[Round]]=3),IF(Games[[#This Row],[Result]]&lt;0.5,1,0),0)</f>
        <v>0</v>
      </c>
      <c r="AK140" s="2">
        <f>IF(AND(Games[[#This Row],[Type]]="P",Games[[#This Row],[Round]]=4),IF(Games[[#This Row],[Result]]&gt;0.5,1,0),0)</f>
        <v>0</v>
      </c>
      <c r="AL140" s="2">
        <f>IF(AND(Games[[#This Row],[Type]]="P",Games[[#This Row],[Round]]=4),IF(Games[[#This Row],[Result]]&lt;0.5,1,0),0)</f>
        <v>0</v>
      </c>
    </row>
    <row r="141" spans="1:38" x14ac:dyDescent="0.35">
      <c r="A141" s="10">
        <v>40349</v>
      </c>
      <c r="B141" s="2">
        <v>2010</v>
      </c>
      <c r="C141" s="2">
        <f>COUNTIFS(Games[Team],Games[[#This Row],[Team]],Games[Season],Games[[#This Row],[Season]],Games[Date],"&lt;=" &amp; Games[[#This Row],[Date]])</f>
        <v>13</v>
      </c>
      <c r="D141" s="2" t="s">
        <v>23</v>
      </c>
      <c r="E141" s="2" t="s">
        <v>29</v>
      </c>
      <c r="F141" s="1" t="s">
        <v>75</v>
      </c>
      <c r="G141" s="1" t="s">
        <v>78</v>
      </c>
      <c r="H141" s="1" t="s">
        <v>15</v>
      </c>
      <c r="I141" s="2" cm="1">
        <f t="array" ref="I14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1" s="2" cm="1">
        <f t="array" ref="J14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1" s="2">
        <f>Games[[#This Row],[DaysOff]]-Games[[#This Row],[OppDaysOff]]</f>
        <v>0</v>
      </c>
      <c r="L141" s="2">
        <f>Games[[#This Row],[OppDaysOff]]-Games[[#This Row],[DaysOff]]</f>
        <v>0</v>
      </c>
      <c r="M141" s="1">
        <f>MAX(-16, MIN(16, Games[[#This Row],[RestDiff]]*8))</f>
        <v>0</v>
      </c>
      <c r="N141" s="1">
        <f>MAX(-16, MIN(16, Games[[#This Row],[OppRestDiff]]*8))</f>
        <v>0</v>
      </c>
      <c r="O141" s="4" cm="1">
        <f t="array" ref="O1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1618.7077539889015</v>
      </c>
      <c r="P141" s="4" cm="1">
        <f t="array" ref="P1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1464.6183273280408</v>
      </c>
      <c r="Q141" s="4">
        <f>1/(1+10^(((Games[[#This Row],[OppPreGmRate]]+IF(Games[[#This Row],[HomeAway]]="A",HCA,0)+Games[[#This Row],[OppRestAdj]])-(Games[[#This Row],[PreGmRate]]+IF(Games[[#This Row],[HomeAway]]="H",HCA,0)+Games[[#This Row],[RestAdj]]))/400))</f>
        <v>0.79746947006333868</v>
      </c>
      <c r="R141" s="1">
        <v>82</v>
      </c>
      <c r="S141" s="1">
        <v>61</v>
      </c>
      <c r="T141" s="1">
        <v>0</v>
      </c>
      <c r="U141" s="1">
        <f>Games[[#This Row],[PointsFor]]-Games[[#This Row],[PointsAgainst]]</f>
        <v>21</v>
      </c>
      <c r="V141" s="1">
        <f>IF(Games[[#This Row],[MOV]]&gt;0,1,IF(Games[[#This Row],[MOV]]=0,0.5,0))</f>
        <v>1</v>
      </c>
      <c r="W141" s="4">
        <f>((ABS(Games[[#This Row],[MOV]])+5)^0.6)/(12+0.01*(ABS(Games[[#This Row],[PreGmRate]]-Games[[#This Row],[OppPreGmRate]])))*IF(Games[[#This Row],[OT]]=1,0.9,1)</f>
        <v>0.52159889400109705</v>
      </c>
      <c r="X141" s="7" cm="1">
        <f t="array" ref="X1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1" s="9">
        <f>MAX(kmin, kmax - 0.15 * MIN(Games[[#This Row],[GamesPlayed]], 82))</f>
        <v>74.05</v>
      </c>
      <c r="Z141" s="4">
        <f>Games[[#This Row],[K]]*Games[[#This Row],[POMult]]</f>
        <v>74.05</v>
      </c>
      <c r="AA141" s="4">
        <f>(Games[[#This Row],[Keff]]*Games[[#This Row],[MOVMult]])*(Games[[#This Row],[Result]]-Games[[#This Row],[ExpectedWin%]])</f>
        <v>7.8226198158357985</v>
      </c>
      <c r="AB141" s="4">
        <f>Games[[#This Row],[PreGmRate]]+Games[[#This Row],[RatingChange]]</f>
        <v>1626.5303738047373</v>
      </c>
      <c r="AC141" s="2">
        <f>IF(Games[[#This Row],[Type]]="R",IF(Games[[#This Row],[Result]]&gt;0.5,1,0),0)</f>
        <v>1</v>
      </c>
      <c r="AD141" s="2">
        <f>IF(Games[[#This Row],[Type]]="R",IF(Games[[#This Row],[Result]]&lt;0.5,1,0),0)</f>
        <v>0</v>
      </c>
      <c r="AE141" s="2">
        <f>IF(AND(Games[[#This Row],[Type]]="P",Games[[#This Row],[Round]]=1),IF(Games[[#This Row],[Result]]&gt;0.5,1,0),0)</f>
        <v>0</v>
      </c>
      <c r="AF141" s="2">
        <f>IF(AND(Games[[#This Row],[Type]]="P",Games[[#This Row],[Round]]=1),IF(Games[[#This Row],[Result]]&lt;0.5,1,0),0)</f>
        <v>0</v>
      </c>
      <c r="AG141" s="2">
        <f>IF(AND(Games[[#This Row],[Type]]="P",Games[[#This Row],[Round]]=2),IF(Games[[#This Row],[Result]]&gt;0.5,1,0),0)</f>
        <v>0</v>
      </c>
      <c r="AH141" s="2">
        <f>IF(AND(Games[[#This Row],[Type]]="P",Games[[#This Row],[Round]]=2),IF(Games[[#This Row],[Result]]&lt;0.5,1,0),0)</f>
        <v>0</v>
      </c>
      <c r="AI141" s="2">
        <f>IF(AND(Games[[#This Row],[Type]]="P",Games[[#This Row],[Round]]=3),IF(Games[[#This Row],[Result]]&gt;0.5,1,0),0)</f>
        <v>0</v>
      </c>
      <c r="AJ141" s="2">
        <f>IF(AND(Games[[#This Row],[Type]]="P",Games[[#This Row],[Round]]=3),IF(Games[[#This Row],[Result]]&lt;0.5,1,0),0)</f>
        <v>0</v>
      </c>
      <c r="AK141" s="2">
        <f>IF(AND(Games[[#This Row],[Type]]="P",Games[[#This Row],[Round]]=4),IF(Games[[#This Row],[Result]]&gt;0.5,1,0),0)</f>
        <v>0</v>
      </c>
      <c r="AL141" s="2">
        <f>IF(AND(Games[[#This Row],[Type]]="P",Games[[#This Row],[Round]]=4),IF(Games[[#This Row],[Result]]&lt;0.5,1,0),0)</f>
        <v>0</v>
      </c>
    </row>
    <row r="142" spans="1:38" x14ac:dyDescent="0.35">
      <c r="A142" s="10">
        <v>40351</v>
      </c>
      <c r="B142" s="2">
        <v>2010</v>
      </c>
      <c r="C142" s="2">
        <f>COUNTIFS(Games[Team],Games[[#This Row],[Team]],Games[Season],Games[[#This Row],[Season]],Games[Date],"&lt;=" &amp; Games[[#This Row],[Date]])</f>
        <v>13</v>
      </c>
      <c r="D142" s="2" t="s">
        <v>23</v>
      </c>
      <c r="E142" s="2" t="s">
        <v>29</v>
      </c>
      <c r="F142" s="1" t="s">
        <v>81</v>
      </c>
      <c r="G142" s="1" t="s">
        <v>80</v>
      </c>
      <c r="H142" s="1" t="s">
        <v>16</v>
      </c>
      <c r="I142" s="2" cm="1">
        <f t="array" ref="I142">IFERROR(
    Games[[#This Row],[Date]]
    - LOOKUP(
        2,
        1/((Games[Team]=Games[[#This Row],[Team]]) * (Games[Date] &lt; Games[[#This Row],[Date]])),
        Games[Date]
    )
    - 1,
Games[[#This Row],[Date]]-$A$2)</f>
        <v>2</v>
      </c>
      <c r="J142" s="2" cm="1">
        <f t="array" ref="J14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2" s="2">
        <f>Games[[#This Row],[DaysOff]]-Games[[#This Row],[OppDaysOff]]</f>
        <v>1</v>
      </c>
      <c r="L142" s="2">
        <f>Games[[#This Row],[OppDaysOff]]-Games[[#This Row],[DaysOff]]</f>
        <v>-1</v>
      </c>
      <c r="M142" s="1">
        <f>MAX(-16, MIN(16, Games[[#This Row],[RestDiff]]*8))</f>
        <v>8</v>
      </c>
      <c r="N142" s="1">
        <f>MAX(-16, MIN(16, Games[[#This Row],[OppRestDiff]]*8))</f>
        <v>-8</v>
      </c>
      <c r="O142" s="4" cm="1">
        <f t="array" ref="O1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1441.933427386025</v>
      </c>
      <c r="P142" s="4" cm="1">
        <f t="array" ref="P1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1552.5464462458094</v>
      </c>
      <c r="Q142" s="4">
        <f>1/(1+10^(((Games[[#This Row],[OppPreGmRate]]+IF(Games[[#This Row],[HomeAway]]="A",HCA,0)+Games[[#This Row],[OppRestAdj]])-(Games[[#This Row],[PreGmRate]]+IF(Games[[#This Row],[HomeAway]]="H",HCA,0)+Games[[#This Row],[RestAdj]]))/400))</f>
        <v>0.2634372590689249</v>
      </c>
      <c r="R142" s="1">
        <v>86</v>
      </c>
      <c r="S142" s="1">
        <v>77</v>
      </c>
      <c r="T142" s="1">
        <v>0</v>
      </c>
      <c r="U142" s="1">
        <f>Games[[#This Row],[PointsFor]]-Games[[#This Row],[PointsAgainst]]</f>
        <v>9</v>
      </c>
      <c r="V142" s="1">
        <f>IF(Games[[#This Row],[MOV]]&gt;0,1,IF(Games[[#This Row],[MOV]]=0,0.5,0))</f>
        <v>1</v>
      </c>
      <c r="W142" s="4">
        <f>((ABS(Games[[#This Row],[MOV]])+5)^0.6)/(12+0.01*(ABS(Games[[#This Row],[PreGmRate]]-Games[[#This Row],[OppPreGmRate]])))*IF(Games[[#This Row],[OT]]=1,0.9,1)</f>
        <v>0.37170837277392454</v>
      </c>
      <c r="X142" s="7" cm="1">
        <f t="array" ref="X1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2" s="9">
        <f>MAX(kmin, kmax - 0.15 * MIN(Games[[#This Row],[GamesPlayed]], 82))</f>
        <v>74.05</v>
      </c>
      <c r="Z142" s="4">
        <f>Games[[#This Row],[K]]*Games[[#This Row],[POMult]]</f>
        <v>74.05</v>
      </c>
      <c r="AA142" s="4">
        <f>(Games[[#This Row],[Keff]]*Games[[#This Row],[MOVMult]])*(Games[[#This Row],[Result]]-Games[[#This Row],[ExpectedWin%]])</f>
        <v>20.273893129820852</v>
      </c>
      <c r="AB142" s="4">
        <f>Games[[#This Row],[PreGmRate]]+Games[[#This Row],[RatingChange]]</f>
        <v>1462.2073205158458</v>
      </c>
      <c r="AC142" s="2">
        <f>IF(Games[[#This Row],[Type]]="R",IF(Games[[#This Row],[Result]]&gt;0.5,1,0),0)</f>
        <v>1</v>
      </c>
      <c r="AD142" s="2">
        <f>IF(Games[[#This Row],[Type]]="R",IF(Games[[#This Row],[Result]]&lt;0.5,1,0),0)</f>
        <v>0</v>
      </c>
      <c r="AE142" s="2">
        <f>IF(AND(Games[[#This Row],[Type]]="P",Games[[#This Row],[Round]]=1),IF(Games[[#This Row],[Result]]&gt;0.5,1,0),0)</f>
        <v>0</v>
      </c>
      <c r="AF142" s="2">
        <f>IF(AND(Games[[#This Row],[Type]]="P",Games[[#This Row],[Round]]=1),IF(Games[[#This Row],[Result]]&lt;0.5,1,0),0)</f>
        <v>0</v>
      </c>
      <c r="AG142" s="2">
        <f>IF(AND(Games[[#This Row],[Type]]="P",Games[[#This Row],[Round]]=2),IF(Games[[#This Row],[Result]]&gt;0.5,1,0),0)</f>
        <v>0</v>
      </c>
      <c r="AH142" s="2">
        <f>IF(AND(Games[[#This Row],[Type]]="P",Games[[#This Row],[Round]]=2),IF(Games[[#This Row],[Result]]&lt;0.5,1,0),0)</f>
        <v>0</v>
      </c>
      <c r="AI142" s="2">
        <f>IF(AND(Games[[#This Row],[Type]]="P",Games[[#This Row],[Round]]=3),IF(Games[[#This Row],[Result]]&gt;0.5,1,0),0)</f>
        <v>0</v>
      </c>
      <c r="AJ142" s="2">
        <f>IF(AND(Games[[#This Row],[Type]]="P",Games[[#This Row],[Round]]=3),IF(Games[[#This Row],[Result]]&lt;0.5,1,0),0)</f>
        <v>0</v>
      </c>
      <c r="AK142" s="2">
        <f>IF(AND(Games[[#This Row],[Type]]="P",Games[[#This Row],[Round]]=4),IF(Games[[#This Row],[Result]]&gt;0.5,1,0),0)</f>
        <v>0</v>
      </c>
      <c r="AL142" s="2">
        <f>IF(AND(Games[[#This Row],[Type]]="P",Games[[#This Row],[Round]]=4),IF(Games[[#This Row],[Result]]&lt;0.5,1,0),0)</f>
        <v>0</v>
      </c>
    </row>
    <row r="143" spans="1:38" x14ac:dyDescent="0.35">
      <c r="A143" s="10">
        <v>40351</v>
      </c>
      <c r="B143" s="2">
        <v>2010</v>
      </c>
      <c r="C143" s="2">
        <f>COUNTIFS(Games[Team],Games[[#This Row],[Team]],Games[Season],Games[[#This Row],[Season]],Games[Date],"&lt;=" &amp; Games[[#This Row],[Date]])</f>
        <v>12</v>
      </c>
      <c r="D143" s="2" t="s">
        <v>23</v>
      </c>
      <c r="E143" s="2" t="s">
        <v>29</v>
      </c>
      <c r="F143" s="1" t="s">
        <v>80</v>
      </c>
      <c r="G143" s="1" t="s">
        <v>81</v>
      </c>
      <c r="H143" s="1" t="s">
        <v>15</v>
      </c>
      <c r="I143" s="2" cm="1">
        <f t="array" ref="I14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3" s="2" cm="1">
        <f t="array" ref="J14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43" s="2">
        <f>Games[[#This Row],[DaysOff]]-Games[[#This Row],[OppDaysOff]]</f>
        <v>-1</v>
      </c>
      <c r="L143" s="2">
        <f>Games[[#This Row],[OppDaysOff]]-Games[[#This Row],[DaysOff]]</f>
        <v>1</v>
      </c>
      <c r="M143" s="1">
        <f>MAX(-16, MIN(16, Games[[#This Row],[RestDiff]]*8))</f>
        <v>-8</v>
      </c>
      <c r="N143" s="1">
        <f>MAX(-16, MIN(16, Games[[#This Row],[OppRestDiff]]*8))</f>
        <v>8</v>
      </c>
      <c r="O143" s="4" cm="1">
        <f t="array" ref="O1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1552.5464462458094</v>
      </c>
      <c r="P143" s="4" cm="1">
        <f t="array" ref="P1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1441.933427386025</v>
      </c>
      <c r="Q143" s="4">
        <f>1/(1+10^(((Games[[#This Row],[OppPreGmRate]]+IF(Games[[#This Row],[HomeAway]]="A",HCA,0)+Games[[#This Row],[OppRestAdj]])-(Games[[#This Row],[PreGmRate]]+IF(Games[[#This Row],[HomeAway]]="H",HCA,0)+Games[[#This Row],[RestAdj]]))/400))</f>
        <v>0.7365627409310751</v>
      </c>
      <c r="R143" s="1">
        <v>77</v>
      </c>
      <c r="S143" s="1">
        <v>86</v>
      </c>
      <c r="T143" s="1">
        <v>0</v>
      </c>
      <c r="U143" s="1">
        <f>Games[[#This Row],[PointsFor]]-Games[[#This Row],[PointsAgainst]]</f>
        <v>-9</v>
      </c>
      <c r="V143" s="1">
        <f>IF(Games[[#This Row],[MOV]]&gt;0,1,IF(Games[[#This Row],[MOV]]=0,0.5,0))</f>
        <v>0</v>
      </c>
      <c r="W143" s="4">
        <f>((ABS(Games[[#This Row],[MOV]])+5)^0.6)/(12+0.01*(ABS(Games[[#This Row],[PreGmRate]]-Games[[#This Row],[OppPreGmRate]])))*IF(Games[[#This Row],[OT]]=1,0.9,1)</f>
        <v>0.37170837277392454</v>
      </c>
      <c r="X143" s="7" cm="1">
        <f t="array" ref="X1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3" s="9">
        <f>MAX(kmin, kmax - 0.15 * MIN(Games[[#This Row],[GamesPlayed]], 82))</f>
        <v>74.2</v>
      </c>
      <c r="Z143" s="4">
        <f>Games[[#This Row],[K]]*Games[[#This Row],[POMult]]</f>
        <v>74.2</v>
      </c>
      <c r="AA143" s="4">
        <f>(Games[[#This Row],[Keff]]*Games[[#This Row],[MOVMult]])*(Games[[#This Row],[Result]]-Games[[#This Row],[ExpectedWin%]])</f>
        <v>-20.314961110502463</v>
      </c>
      <c r="AB143" s="4">
        <f>Games[[#This Row],[PreGmRate]]+Games[[#This Row],[RatingChange]]</f>
        <v>1532.2314851353069</v>
      </c>
      <c r="AC143" s="2">
        <f>IF(Games[[#This Row],[Type]]="R",IF(Games[[#This Row],[Result]]&gt;0.5,1,0),0)</f>
        <v>0</v>
      </c>
      <c r="AD143" s="2">
        <f>IF(Games[[#This Row],[Type]]="R",IF(Games[[#This Row],[Result]]&lt;0.5,1,0),0)</f>
        <v>1</v>
      </c>
      <c r="AE143" s="2">
        <f>IF(AND(Games[[#This Row],[Type]]="P",Games[[#This Row],[Round]]=1),IF(Games[[#This Row],[Result]]&gt;0.5,1,0),0)</f>
        <v>0</v>
      </c>
      <c r="AF143" s="2">
        <f>IF(AND(Games[[#This Row],[Type]]="P",Games[[#This Row],[Round]]=1),IF(Games[[#This Row],[Result]]&lt;0.5,1,0),0)</f>
        <v>0</v>
      </c>
      <c r="AG143" s="2">
        <f>IF(AND(Games[[#This Row],[Type]]="P",Games[[#This Row],[Round]]=2),IF(Games[[#This Row],[Result]]&gt;0.5,1,0),0)</f>
        <v>0</v>
      </c>
      <c r="AH143" s="2">
        <f>IF(AND(Games[[#This Row],[Type]]="P",Games[[#This Row],[Round]]=2),IF(Games[[#This Row],[Result]]&lt;0.5,1,0),0)</f>
        <v>0</v>
      </c>
      <c r="AI143" s="2">
        <f>IF(AND(Games[[#This Row],[Type]]="P",Games[[#This Row],[Round]]=3),IF(Games[[#This Row],[Result]]&gt;0.5,1,0),0)</f>
        <v>0</v>
      </c>
      <c r="AJ143" s="2">
        <f>IF(AND(Games[[#This Row],[Type]]="P",Games[[#This Row],[Round]]=3),IF(Games[[#This Row],[Result]]&lt;0.5,1,0),0)</f>
        <v>0</v>
      </c>
      <c r="AK143" s="2">
        <f>IF(AND(Games[[#This Row],[Type]]="P",Games[[#This Row],[Round]]=4),IF(Games[[#This Row],[Result]]&gt;0.5,1,0),0)</f>
        <v>0</v>
      </c>
      <c r="AL143" s="2">
        <f>IF(AND(Games[[#This Row],[Type]]="P",Games[[#This Row],[Round]]=4),IF(Games[[#This Row],[Result]]&lt;0.5,1,0),0)</f>
        <v>0</v>
      </c>
    </row>
    <row r="144" spans="1:38" x14ac:dyDescent="0.35">
      <c r="A144" s="10">
        <v>40351</v>
      </c>
      <c r="B144" s="2">
        <v>2010</v>
      </c>
      <c r="C144" s="2">
        <f>COUNTIFS(Games[Team],Games[[#This Row],[Team]],Games[Season],Games[[#This Row],[Season]],Games[Date],"&lt;=" &amp; Games[[#This Row],[Date]])</f>
        <v>14</v>
      </c>
      <c r="D144" s="2" t="s">
        <v>23</v>
      </c>
      <c r="E144" s="2" t="s">
        <v>29</v>
      </c>
      <c r="F144" s="1" t="s">
        <v>71</v>
      </c>
      <c r="G144" s="1" t="s">
        <v>64</v>
      </c>
      <c r="H144" s="1" t="s">
        <v>16</v>
      </c>
      <c r="I144" s="2" cm="1">
        <f t="array" ref="I144">IFERROR(
    Games[[#This Row],[Date]]
    - LOOKUP(
        2,
        1/((Games[Team]=Games[[#This Row],[Team]]) * (Games[Date] &lt; Games[[#This Row],[Date]])),
        Games[Date]
    )
    - 1,
Games[[#This Row],[Date]]-$A$2)</f>
        <v>2</v>
      </c>
      <c r="J144" s="2" cm="1">
        <f t="array" ref="J14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44" s="2">
        <f>Games[[#This Row],[DaysOff]]-Games[[#This Row],[OppDaysOff]]</f>
        <v>-1</v>
      </c>
      <c r="L144" s="2">
        <f>Games[[#This Row],[OppDaysOff]]-Games[[#This Row],[DaysOff]]</f>
        <v>1</v>
      </c>
      <c r="M144" s="1">
        <f>MAX(-16, MIN(16, Games[[#This Row],[RestDiff]]*8))</f>
        <v>-8</v>
      </c>
      <c r="N144" s="1">
        <f>MAX(-16, MIN(16, Games[[#This Row],[OppRestDiff]]*8))</f>
        <v>8</v>
      </c>
      <c r="O144" s="4" cm="1">
        <f t="array" ref="O1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1409.8510370583165</v>
      </c>
      <c r="P144" s="4" cm="1">
        <f t="array" ref="P1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1468.3121645945171</v>
      </c>
      <c r="Q144" s="4">
        <f>1/(1+10^(((Games[[#This Row],[OppPreGmRate]]+IF(Games[[#This Row],[HomeAway]]="A",HCA,0)+Games[[#This Row],[OppRestAdj]])-(Games[[#This Row],[PreGmRate]]+IF(Games[[#This Row],[HomeAway]]="H",HCA,0)+Games[[#This Row],[RestAdj]]))/400))</f>
        <v>0.28655485364778605</v>
      </c>
      <c r="R144" s="1">
        <v>75</v>
      </c>
      <c r="S144" s="1">
        <v>68</v>
      </c>
      <c r="T144" s="1">
        <v>0</v>
      </c>
      <c r="U144" s="1">
        <f>Games[[#This Row],[PointsFor]]-Games[[#This Row],[PointsAgainst]]</f>
        <v>7</v>
      </c>
      <c r="V144" s="1">
        <f>IF(Games[[#This Row],[MOV]]&gt;0,1,IF(Games[[#This Row],[MOV]]=0,0.5,0))</f>
        <v>1</v>
      </c>
      <c r="W144" s="4">
        <f>((ABS(Games[[#This Row],[MOV]])+5)^0.6)/(12+0.01*(ABS(Games[[#This Row],[PreGmRate]]-Games[[#This Row],[OppPreGmRate]])))*IF(Games[[#This Row],[OT]]=1,0.9,1)</f>
        <v>0.35291404499246903</v>
      </c>
      <c r="X144" s="7" cm="1">
        <f t="array" ref="X1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4" s="9">
        <f>MAX(kmin, kmax - 0.15 * MIN(Games[[#This Row],[GamesPlayed]], 82))</f>
        <v>73.900000000000006</v>
      </c>
      <c r="Z144" s="4">
        <f>Games[[#This Row],[K]]*Games[[#This Row],[POMult]]</f>
        <v>73.900000000000006</v>
      </c>
      <c r="AA144" s="4">
        <f>(Games[[#This Row],[Keff]]*Games[[#This Row],[MOVMult]])*(Games[[#This Row],[Result]]-Games[[#This Row],[ExpectedWin%]])</f>
        <v>18.606897642227949</v>
      </c>
      <c r="AB144" s="4">
        <f>Games[[#This Row],[PreGmRate]]+Games[[#This Row],[RatingChange]]</f>
        <v>1428.4579347005445</v>
      </c>
      <c r="AC144" s="2">
        <f>IF(Games[[#This Row],[Type]]="R",IF(Games[[#This Row],[Result]]&gt;0.5,1,0),0)</f>
        <v>1</v>
      </c>
      <c r="AD144" s="2">
        <f>IF(Games[[#This Row],[Type]]="R",IF(Games[[#This Row],[Result]]&lt;0.5,1,0),0)</f>
        <v>0</v>
      </c>
      <c r="AE144" s="2">
        <f>IF(AND(Games[[#This Row],[Type]]="P",Games[[#This Row],[Round]]=1),IF(Games[[#This Row],[Result]]&gt;0.5,1,0),0)</f>
        <v>0</v>
      </c>
      <c r="AF144" s="2">
        <f>IF(AND(Games[[#This Row],[Type]]="P",Games[[#This Row],[Round]]=1),IF(Games[[#This Row],[Result]]&lt;0.5,1,0),0)</f>
        <v>0</v>
      </c>
      <c r="AG144" s="2">
        <f>IF(AND(Games[[#This Row],[Type]]="P",Games[[#This Row],[Round]]=2),IF(Games[[#This Row],[Result]]&gt;0.5,1,0),0)</f>
        <v>0</v>
      </c>
      <c r="AH144" s="2">
        <f>IF(AND(Games[[#This Row],[Type]]="P",Games[[#This Row],[Round]]=2),IF(Games[[#This Row],[Result]]&lt;0.5,1,0),0)</f>
        <v>0</v>
      </c>
      <c r="AI144" s="2">
        <f>IF(AND(Games[[#This Row],[Type]]="P",Games[[#This Row],[Round]]=3),IF(Games[[#This Row],[Result]]&gt;0.5,1,0),0)</f>
        <v>0</v>
      </c>
      <c r="AJ144" s="2">
        <f>IF(AND(Games[[#This Row],[Type]]="P",Games[[#This Row],[Round]]=3),IF(Games[[#This Row],[Result]]&lt;0.5,1,0),0)</f>
        <v>0</v>
      </c>
      <c r="AK144" s="2">
        <f>IF(AND(Games[[#This Row],[Type]]="P",Games[[#This Row],[Round]]=4),IF(Games[[#This Row],[Result]]&gt;0.5,1,0),0)</f>
        <v>0</v>
      </c>
      <c r="AL144" s="2">
        <f>IF(AND(Games[[#This Row],[Type]]="P",Games[[#This Row],[Round]]=4),IF(Games[[#This Row],[Result]]&lt;0.5,1,0),0)</f>
        <v>0</v>
      </c>
    </row>
    <row r="145" spans="1:38" x14ac:dyDescent="0.35">
      <c r="A145" s="10">
        <v>40351</v>
      </c>
      <c r="B145" s="2">
        <v>2010</v>
      </c>
      <c r="C145" s="2">
        <f>COUNTIFS(Games[Team],Games[[#This Row],[Team]],Games[Season],Games[[#This Row],[Season]],Games[Date],"&lt;=" &amp; Games[[#This Row],[Date]])</f>
        <v>11</v>
      </c>
      <c r="D145" s="2" t="s">
        <v>23</v>
      </c>
      <c r="E145" s="2" t="s">
        <v>29</v>
      </c>
      <c r="F145" s="1" t="s">
        <v>64</v>
      </c>
      <c r="G145" s="1" t="s">
        <v>71</v>
      </c>
      <c r="H145" s="1" t="s">
        <v>15</v>
      </c>
      <c r="I145" s="2" cm="1">
        <f t="array" ref="I145">IFERROR(
    Games[[#This Row],[Date]]
    - LOOKUP(
        2,
        1/((Games[Team]=Games[[#This Row],[Team]]) * (Games[Date] &lt; Games[[#This Row],[Date]])),
        Games[Date]
    )
    - 1,
Games[[#This Row],[Date]]-$A$2)</f>
        <v>3</v>
      </c>
      <c r="J145" s="2" cm="1">
        <f t="array" ref="J14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45" s="2">
        <f>Games[[#This Row],[DaysOff]]-Games[[#This Row],[OppDaysOff]]</f>
        <v>1</v>
      </c>
      <c r="L145" s="2">
        <f>Games[[#This Row],[OppDaysOff]]-Games[[#This Row],[DaysOff]]</f>
        <v>-1</v>
      </c>
      <c r="M145" s="1">
        <f>MAX(-16, MIN(16, Games[[#This Row],[RestDiff]]*8))</f>
        <v>8</v>
      </c>
      <c r="N145" s="1">
        <f>MAX(-16, MIN(16, Games[[#This Row],[OppRestDiff]]*8))</f>
        <v>-8</v>
      </c>
      <c r="O145" s="4" cm="1">
        <f t="array" ref="O1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1468.3121645945171</v>
      </c>
      <c r="P145" s="4" cm="1">
        <f t="array" ref="P1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1409.8510370583165</v>
      </c>
      <c r="Q145" s="4">
        <f>1/(1+10^(((Games[[#This Row],[OppPreGmRate]]+IF(Games[[#This Row],[HomeAway]]="A",HCA,0)+Games[[#This Row],[OppRestAdj]])-(Games[[#This Row],[PreGmRate]]+IF(Games[[#This Row],[HomeAway]]="H",HCA,0)+Games[[#This Row],[RestAdj]]))/400))</f>
        <v>0.71344514635221401</v>
      </c>
      <c r="R145" s="1">
        <v>68</v>
      </c>
      <c r="S145" s="1">
        <v>75</v>
      </c>
      <c r="T145" s="1">
        <v>0</v>
      </c>
      <c r="U145" s="1">
        <f>Games[[#This Row],[PointsFor]]-Games[[#This Row],[PointsAgainst]]</f>
        <v>-7</v>
      </c>
      <c r="V145" s="1">
        <f>IF(Games[[#This Row],[MOV]]&gt;0,1,IF(Games[[#This Row],[MOV]]=0,0.5,0))</f>
        <v>0</v>
      </c>
      <c r="W145" s="4">
        <f>((ABS(Games[[#This Row],[MOV]])+5)^0.6)/(12+0.01*(ABS(Games[[#This Row],[PreGmRate]]-Games[[#This Row],[OppPreGmRate]])))*IF(Games[[#This Row],[OT]]=1,0.9,1)</f>
        <v>0.35291404499246903</v>
      </c>
      <c r="X145" s="7" cm="1">
        <f t="array" ref="X1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5" s="9">
        <f>MAX(kmin, kmax - 0.15 * MIN(Games[[#This Row],[GamesPlayed]], 82))</f>
        <v>74.349999999999994</v>
      </c>
      <c r="Z145" s="4">
        <f>Games[[#This Row],[K]]*Games[[#This Row],[POMult]]</f>
        <v>74.349999999999994</v>
      </c>
      <c r="AA145" s="4">
        <f>(Games[[#This Row],[Keff]]*Games[[#This Row],[MOVMult]])*(Games[[#This Row],[Result]]-Games[[#This Row],[ExpectedWin%]])</f>
        <v>-18.720200807843678</v>
      </c>
      <c r="AB145" s="4">
        <f>Games[[#This Row],[PreGmRate]]+Games[[#This Row],[RatingChange]]</f>
        <v>1449.5919637866734</v>
      </c>
      <c r="AC145" s="2">
        <f>IF(Games[[#This Row],[Type]]="R",IF(Games[[#This Row],[Result]]&gt;0.5,1,0),0)</f>
        <v>0</v>
      </c>
      <c r="AD145" s="2">
        <f>IF(Games[[#This Row],[Type]]="R",IF(Games[[#This Row],[Result]]&lt;0.5,1,0),0)</f>
        <v>1</v>
      </c>
      <c r="AE145" s="2">
        <f>IF(AND(Games[[#This Row],[Type]]="P",Games[[#This Row],[Round]]=1),IF(Games[[#This Row],[Result]]&gt;0.5,1,0),0)</f>
        <v>0</v>
      </c>
      <c r="AF145" s="2">
        <f>IF(AND(Games[[#This Row],[Type]]="P",Games[[#This Row],[Round]]=1),IF(Games[[#This Row],[Result]]&lt;0.5,1,0),0)</f>
        <v>0</v>
      </c>
      <c r="AG145" s="2">
        <f>IF(AND(Games[[#This Row],[Type]]="P",Games[[#This Row],[Round]]=2),IF(Games[[#This Row],[Result]]&gt;0.5,1,0),0)</f>
        <v>0</v>
      </c>
      <c r="AH145" s="2">
        <f>IF(AND(Games[[#This Row],[Type]]="P",Games[[#This Row],[Round]]=2),IF(Games[[#This Row],[Result]]&lt;0.5,1,0),0)</f>
        <v>0</v>
      </c>
      <c r="AI145" s="2">
        <f>IF(AND(Games[[#This Row],[Type]]="P",Games[[#This Row],[Round]]=3),IF(Games[[#This Row],[Result]]&gt;0.5,1,0),0)</f>
        <v>0</v>
      </c>
      <c r="AJ145" s="2">
        <f>IF(AND(Games[[#This Row],[Type]]="P",Games[[#This Row],[Round]]=3),IF(Games[[#This Row],[Result]]&lt;0.5,1,0),0)</f>
        <v>0</v>
      </c>
      <c r="AK145" s="2">
        <f>IF(AND(Games[[#This Row],[Type]]="P",Games[[#This Row],[Round]]=4),IF(Games[[#This Row],[Result]]&gt;0.5,1,0),0)</f>
        <v>0</v>
      </c>
      <c r="AL145" s="2">
        <f>IF(AND(Games[[#This Row],[Type]]="P",Games[[#This Row],[Round]]=4),IF(Games[[#This Row],[Result]]&lt;0.5,1,0),0)</f>
        <v>0</v>
      </c>
    </row>
    <row r="146" spans="1:38" x14ac:dyDescent="0.35">
      <c r="A146" s="10">
        <v>40352</v>
      </c>
      <c r="B146" s="2">
        <v>2010</v>
      </c>
      <c r="C146" s="2">
        <f>COUNTIFS(Games[Team],Games[[#This Row],[Team]],Games[Season],Games[[#This Row],[Season]],Games[Date],"&lt;=" &amp; Games[[#This Row],[Date]])</f>
        <v>12</v>
      </c>
      <c r="D146" s="2" t="s">
        <v>23</v>
      </c>
      <c r="E146" s="2" t="s">
        <v>29</v>
      </c>
      <c r="F146" s="1" t="s">
        <v>85</v>
      </c>
      <c r="G146" s="1" t="s">
        <v>83</v>
      </c>
      <c r="H146" s="1" t="s">
        <v>16</v>
      </c>
      <c r="I146" s="2" cm="1">
        <f t="array" ref="I146">IFERROR(
    Games[[#This Row],[Date]]
    - LOOKUP(
        2,
        1/((Games[Team]=Games[[#This Row],[Team]]) * (Games[Date] &lt; Games[[#This Row],[Date]])),
        Games[Date]
    )
    - 1,
Games[[#This Row],[Date]]-$A$2)</f>
        <v>3</v>
      </c>
      <c r="J146" s="2" cm="1">
        <f t="array" ref="J14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46" s="2">
        <f>Games[[#This Row],[DaysOff]]-Games[[#This Row],[OppDaysOff]]</f>
        <v>0</v>
      </c>
      <c r="L146" s="2">
        <f>Games[[#This Row],[OppDaysOff]]-Games[[#This Row],[DaysOff]]</f>
        <v>0</v>
      </c>
      <c r="M146" s="1">
        <f>MAX(-16, MIN(16, Games[[#This Row],[RestDiff]]*8))</f>
        <v>0</v>
      </c>
      <c r="N146" s="1">
        <f>MAX(-16, MIN(16, Games[[#This Row],[OppRestDiff]]*8))</f>
        <v>0</v>
      </c>
      <c r="O146" s="4" cm="1">
        <f t="array" ref="O1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1430.5363319329601</v>
      </c>
      <c r="P146" s="4" cm="1">
        <f t="array" ref="P1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1555.0244792091505</v>
      </c>
      <c r="Q146" s="4">
        <f>1/(1+10^(((Games[[#This Row],[OppPreGmRate]]+IF(Games[[#This Row],[HomeAway]]="A",HCA,0)+Games[[#This Row],[OppRestAdj]])-(Games[[#This Row],[PreGmRate]]+IF(Games[[#This Row],[HomeAway]]="H",HCA,0)+Games[[#This Row],[RestAdj]]))/400))</f>
        <v>0.23144777742716163</v>
      </c>
      <c r="R146" s="1">
        <v>90</v>
      </c>
      <c r="S146" s="1">
        <v>96</v>
      </c>
      <c r="T146" s="1">
        <v>0</v>
      </c>
      <c r="U146" s="1">
        <f>Games[[#This Row],[PointsFor]]-Games[[#This Row],[PointsAgainst]]</f>
        <v>-6</v>
      </c>
      <c r="V146" s="1">
        <f>IF(Games[[#This Row],[MOV]]&gt;0,1,IF(Games[[#This Row],[MOV]]=0,0.5,0))</f>
        <v>0</v>
      </c>
      <c r="W146" s="4">
        <f>((ABS(Games[[#This Row],[MOV]])+5)^0.6)/(12+0.01*(ABS(Games[[#This Row],[PreGmRate]]-Games[[#This Row],[OppPreGmRate]])))*IF(Games[[#This Row],[OT]]=1,0.9,1)</f>
        <v>0.31826401329153498</v>
      </c>
      <c r="X146" s="7" cm="1">
        <f t="array" ref="X1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6" s="9">
        <f>MAX(kmin, kmax - 0.15 * MIN(Games[[#This Row],[GamesPlayed]], 82))</f>
        <v>74.2</v>
      </c>
      <c r="Z146" s="4">
        <f>Games[[#This Row],[K]]*Games[[#This Row],[POMult]]</f>
        <v>74.2</v>
      </c>
      <c r="AA146" s="4">
        <f>(Games[[#This Row],[Keff]]*Games[[#This Row],[MOVMult]])*(Games[[#This Row],[Result]]-Games[[#This Row],[ExpectedWin%]])</f>
        <v>-5.4656831895439799</v>
      </c>
      <c r="AB146" s="4">
        <f>Games[[#This Row],[PreGmRate]]+Games[[#This Row],[RatingChange]]</f>
        <v>1425.0706487434161</v>
      </c>
      <c r="AC146" s="2">
        <f>IF(Games[[#This Row],[Type]]="R",IF(Games[[#This Row],[Result]]&gt;0.5,1,0),0)</f>
        <v>0</v>
      </c>
      <c r="AD146" s="2">
        <f>IF(Games[[#This Row],[Type]]="R",IF(Games[[#This Row],[Result]]&lt;0.5,1,0),0)</f>
        <v>1</v>
      </c>
      <c r="AE146" s="2">
        <f>IF(AND(Games[[#This Row],[Type]]="P",Games[[#This Row],[Round]]=1),IF(Games[[#This Row],[Result]]&gt;0.5,1,0),0)</f>
        <v>0</v>
      </c>
      <c r="AF146" s="2">
        <f>IF(AND(Games[[#This Row],[Type]]="P",Games[[#This Row],[Round]]=1),IF(Games[[#This Row],[Result]]&lt;0.5,1,0),0)</f>
        <v>0</v>
      </c>
      <c r="AG146" s="2">
        <f>IF(AND(Games[[#This Row],[Type]]="P",Games[[#This Row],[Round]]=2),IF(Games[[#This Row],[Result]]&gt;0.5,1,0),0)</f>
        <v>0</v>
      </c>
      <c r="AH146" s="2">
        <f>IF(AND(Games[[#This Row],[Type]]="P",Games[[#This Row],[Round]]=2),IF(Games[[#This Row],[Result]]&lt;0.5,1,0),0)</f>
        <v>0</v>
      </c>
      <c r="AI146" s="2">
        <f>IF(AND(Games[[#This Row],[Type]]="P",Games[[#This Row],[Round]]=3),IF(Games[[#This Row],[Result]]&gt;0.5,1,0),0)</f>
        <v>0</v>
      </c>
      <c r="AJ146" s="2">
        <f>IF(AND(Games[[#This Row],[Type]]="P",Games[[#This Row],[Round]]=3),IF(Games[[#This Row],[Result]]&lt;0.5,1,0),0)</f>
        <v>0</v>
      </c>
      <c r="AK146" s="2">
        <f>IF(AND(Games[[#This Row],[Type]]="P",Games[[#This Row],[Round]]=4),IF(Games[[#This Row],[Result]]&gt;0.5,1,0),0)</f>
        <v>0</v>
      </c>
      <c r="AL146" s="2">
        <f>IF(AND(Games[[#This Row],[Type]]="P",Games[[#This Row],[Round]]=4),IF(Games[[#This Row],[Result]]&lt;0.5,1,0),0)</f>
        <v>0</v>
      </c>
    </row>
    <row r="147" spans="1:38" x14ac:dyDescent="0.35">
      <c r="A147" s="10">
        <v>40352</v>
      </c>
      <c r="B147" s="2">
        <v>2010</v>
      </c>
      <c r="C147" s="2">
        <f>COUNTIFS(Games[Team],Games[[#This Row],[Team]],Games[Season],Games[[#This Row],[Season]],Games[Date],"&lt;=" &amp; Games[[#This Row],[Date]])</f>
        <v>14</v>
      </c>
      <c r="D147" s="2" t="s">
        <v>23</v>
      </c>
      <c r="E147" s="2" t="s">
        <v>29</v>
      </c>
      <c r="F147" s="1" t="s">
        <v>83</v>
      </c>
      <c r="G147" s="1" t="s">
        <v>85</v>
      </c>
      <c r="H147" s="1" t="s">
        <v>15</v>
      </c>
      <c r="I147" s="2" cm="1">
        <f t="array" ref="I147">IFERROR(
    Games[[#This Row],[Date]]
    - LOOKUP(
        2,
        1/((Games[Team]=Games[[#This Row],[Team]]) * (Games[Date] &lt; Games[[#This Row],[Date]])),
        Games[Date]
    )
    - 1,
Games[[#This Row],[Date]]-$A$2)</f>
        <v>3</v>
      </c>
      <c r="J147" s="2" cm="1">
        <f t="array" ref="J14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47" s="2">
        <f>Games[[#This Row],[DaysOff]]-Games[[#This Row],[OppDaysOff]]</f>
        <v>0</v>
      </c>
      <c r="L147" s="2">
        <f>Games[[#This Row],[OppDaysOff]]-Games[[#This Row],[DaysOff]]</f>
        <v>0</v>
      </c>
      <c r="M147" s="1">
        <f>MAX(-16, MIN(16, Games[[#This Row],[RestDiff]]*8))</f>
        <v>0</v>
      </c>
      <c r="N147" s="1">
        <f>MAX(-16, MIN(16, Games[[#This Row],[OppRestDiff]]*8))</f>
        <v>0</v>
      </c>
      <c r="O147" s="4" cm="1">
        <f t="array" ref="O1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1555.0244792091505</v>
      </c>
      <c r="P147" s="4" cm="1">
        <f t="array" ref="P1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1430.5363319329601</v>
      </c>
      <c r="Q147" s="4">
        <f>1/(1+10^(((Games[[#This Row],[OppPreGmRate]]+IF(Games[[#This Row],[HomeAway]]="A",HCA,0)+Games[[#This Row],[OppRestAdj]])-(Games[[#This Row],[PreGmRate]]+IF(Games[[#This Row],[HomeAway]]="H",HCA,0)+Games[[#This Row],[RestAdj]]))/400))</f>
        <v>0.76855222257283828</v>
      </c>
      <c r="R147" s="1">
        <v>96</v>
      </c>
      <c r="S147" s="1">
        <v>90</v>
      </c>
      <c r="T147" s="1">
        <v>0</v>
      </c>
      <c r="U147" s="1">
        <f>Games[[#This Row],[PointsFor]]-Games[[#This Row],[PointsAgainst]]</f>
        <v>6</v>
      </c>
      <c r="V147" s="1">
        <f>IF(Games[[#This Row],[MOV]]&gt;0,1,IF(Games[[#This Row],[MOV]]=0,0.5,0))</f>
        <v>1</v>
      </c>
      <c r="W147" s="4">
        <f>((ABS(Games[[#This Row],[MOV]])+5)^0.6)/(12+0.01*(ABS(Games[[#This Row],[PreGmRate]]-Games[[#This Row],[OppPreGmRate]])))*IF(Games[[#This Row],[OT]]=1,0.9,1)</f>
        <v>0.31826401329153498</v>
      </c>
      <c r="X147" s="7" cm="1">
        <f t="array" ref="X1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7" s="9">
        <f>MAX(kmin, kmax - 0.15 * MIN(Games[[#This Row],[GamesPlayed]], 82))</f>
        <v>73.900000000000006</v>
      </c>
      <c r="Z147" s="4">
        <f>Games[[#This Row],[K]]*Games[[#This Row],[POMult]]</f>
        <v>73.900000000000006</v>
      </c>
      <c r="AA147" s="4">
        <f>(Games[[#This Row],[Keff]]*Games[[#This Row],[MOVMult]])*(Games[[#This Row],[Result]]-Games[[#This Row],[ExpectedWin%]])</f>
        <v>5.4435847399905706</v>
      </c>
      <c r="AB147" s="4">
        <f>Games[[#This Row],[PreGmRate]]+Games[[#This Row],[RatingChange]]</f>
        <v>1560.4680639491412</v>
      </c>
      <c r="AC147" s="2">
        <f>IF(Games[[#This Row],[Type]]="R",IF(Games[[#This Row],[Result]]&gt;0.5,1,0),0)</f>
        <v>1</v>
      </c>
      <c r="AD147" s="2">
        <f>IF(Games[[#This Row],[Type]]="R",IF(Games[[#This Row],[Result]]&lt;0.5,1,0),0)</f>
        <v>0</v>
      </c>
      <c r="AE147" s="2">
        <f>IF(AND(Games[[#This Row],[Type]]="P",Games[[#This Row],[Round]]=1),IF(Games[[#This Row],[Result]]&gt;0.5,1,0),0)</f>
        <v>0</v>
      </c>
      <c r="AF147" s="2">
        <f>IF(AND(Games[[#This Row],[Type]]="P",Games[[#This Row],[Round]]=1),IF(Games[[#This Row],[Result]]&lt;0.5,1,0),0)</f>
        <v>0</v>
      </c>
      <c r="AG147" s="2">
        <f>IF(AND(Games[[#This Row],[Type]]="P",Games[[#This Row],[Round]]=2),IF(Games[[#This Row],[Result]]&gt;0.5,1,0),0)</f>
        <v>0</v>
      </c>
      <c r="AH147" s="2">
        <f>IF(AND(Games[[#This Row],[Type]]="P",Games[[#This Row],[Round]]=2),IF(Games[[#This Row],[Result]]&lt;0.5,1,0),0)</f>
        <v>0</v>
      </c>
      <c r="AI147" s="2">
        <f>IF(AND(Games[[#This Row],[Type]]="P",Games[[#This Row],[Round]]=3),IF(Games[[#This Row],[Result]]&gt;0.5,1,0),0)</f>
        <v>0</v>
      </c>
      <c r="AJ147" s="2">
        <f>IF(AND(Games[[#This Row],[Type]]="P",Games[[#This Row],[Round]]=3),IF(Games[[#This Row],[Result]]&lt;0.5,1,0),0)</f>
        <v>0</v>
      </c>
      <c r="AK147" s="2">
        <f>IF(AND(Games[[#This Row],[Type]]="P",Games[[#This Row],[Round]]=4),IF(Games[[#This Row],[Result]]&gt;0.5,1,0),0)</f>
        <v>0</v>
      </c>
      <c r="AL147" s="2">
        <f>IF(AND(Games[[#This Row],[Type]]="P",Games[[#This Row],[Round]]=4),IF(Games[[#This Row],[Result]]&lt;0.5,1,0),0)</f>
        <v>0</v>
      </c>
    </row>
    <row r="148" spans="1:38" x14ac:dyDescent="0.35">
      <c r="A148" s="10">
        <v>40353</v>
      </c>
      <c r="B148" s="2">
        <v>2010</v>
      </c>
      <c r="C148" s="2">
        <f>COUNTIFS(Games[Team],Games[[#This Row],[Team]],Games[Season],Games[[#This Row],[Season]],Games[Date],"&lt;=" &amp; Games[[#This Row],[Date]])</f>
        <v>12</v>
      </c>
      <c r="D148" s="2" t="s">
        <v>23</v>
      </c>
      <c r="E148" s="2" t="s">
        <v>29</v>
      </c>
      <c r="F148" s="1" t="s">
        <v>67</v>
      </c>
      <c r="G148" s="1" t="s">
        <v>69</v>
      </c>
      <c r="H148" s="1" t="s">
        <v>16</v>
      </c>
      <c r="I148" s="2" cm="1">
        <f t="array" ref="I148">IFERROR(
    Games[[#This Row],[Date]]
    - LOOKUP(
        2,
        1/((Games[Team]=Games[[#This Row],[Team]]) * (Games[Date] &lt; Games[[#This Row],[Date]])),
        Games[Date]
    )
    - 1,
Games[[#This Row],[Date]]-$A$2)</f>
        <v>5</v>
      </c>
      <c r="J148" s="2" cm="1">
        <f t="array" ref="J148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48" s="2">
        <f>Games[[#This Row],[DaysOff]]-Games[[#This Row],[OppDaysOff]]</f>
        <v>1</v>
      </c>
      <c r="L148" s="2">
        <f>Games[[#This Row],[OppDaysOff]]-Games[[#This Row],[DaysOff]]</f>
        <v>-1</v>
      </c>
      <c r="M148" s="1">
        <f>MAX(-16, MIN(16, Games[[#This Row],[RestDiff]]*8))</f>
        <v>8</v>
      </c>
      <c r="N148" s="1">
        <f>MAX(-16, MIN(16, Games[[#This Row],[OppRestDiff]]*8))</f>
        <v>-8</v>
      </c>
      <c r="O148" s="4" cm="1">
        <f t="array" ref="O1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1468.065502596158</v>
      </c>
      <c r="P148" s="4" cm="1">
        <f t="array" ref="P1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1521.9656465860628</v>
      </c>
      <c r="Q148" s="4">
        <f>1/(1+10^(((Games[[#This Row],[OppPreGmRate]]+IF(Games[[#This Row],[HomeAway]]="A",HCA,0)+Games[[#This Row],[OppRestAdj]])-(Games[[#This Row],[PreGmRate]]+IF(Games[[#This Row],[HomeAway]]="H",HCA,0)+Games[[#This Row],[RestAdj]]))/400))</f>
        <v>0.33143240224229364</v>
      </c>
      <c r="R148" s="1">
        <v>53</v>
      </c>
      <c r="S148" s="1">
        <v>68</v>
      </c>
      <c r="T148" s="1">
        <v>0</v>
      </c>
      <c r="U148" s="1">
        <f>Games[[#This Row],[PointsFor]]-Games[[#This Row],[PointsAgainst]]</f>
        <v>-15</v>
      </c>
      <c r="V148" s="1">
        <f>IF(Games[[#This Row],[MOV]]&gt;0,1,IF(Games[[#This Row],[MOV]]=0,0.5,0))</f>
        <v>0</v>
      </c>
      <c r="W148" s="4">
        <f>((ABS(Games[[#This Row],[MOV]])+5)^0.6)/(12+0.01*(ABS(Games[[#This Row],[PreGmRate]]-Games[[#This Row],[OppPreGmRate]])))*IF(Games[[#This Row],[OT]]=1,0.9,1)</f>
        <v>0.48123260575953353</v>
      </c>
      <c r="X148" s="7" cm="1">
        <f t="array" ref="X1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8" s="9">
        <f>MAX(kmin, kmax - 0.15 * MIN(Games[[#This Row],[GamesPlayed]], 82))</f>
        <v>74.2</v>
      </c>
      <c r="Z148" s="4">
        <f>Games[[#This Row],[K]]*Games[[#This Row],[POMult]]</f>
        <v>74.2</v>
      </c>
      <c r="AA148" s="4">
        <f>(Games[[#This Row],[Keff]]*Games[[#This Row],[MOVMult]])*(Games[[#This Row],[Result]]-Games[[#This Row],[ExpectedWin%]])</f>
        <v>-11.834609029463701</v>
      </c>
      <c r="AB148" s="4">
        <f>Games[[#This Row],[PreGmRate]]+Games[[#This Row],[RatingChange]]</f>
        <v>1456.2308935666942</v>
      </c>
      <c r="AC148" s="2">
        <f>IF(Games[[#This Row],[Type]]="R",IF(Games[[#This Row],[Result]]&gt;0.5,1,0),0)</f>
        <v>0</v>
      </c>
      <c r="AD148" s="2">
        <f>IF(Games[[#This Row],[Type]]="R",IF(Games[[#This Row],[Result]]&lt;0.5,1,0),0)</f>
        <v>1</v>
      </c>
      <c r="AE148" s="2">
        <f>IF(AND(Games[[#This Row],[Type]]="P",Games[[#This Row],[Round]]=1),IF(Games[[#This Row],[Result]]&gt;0.5,1,0),0)</f>
        <v>0</v>
      </c>
      <c r="AF148" s="2">
        <f>IF(AND(Games[[#This Row],[Type]]="P",Games[[#This Row],[Round]]=1),IF(Games[[#This Row],[Result]]&lt;0.5,1,0),0)</f>
        <v>0</v>
      </c>
      <c r="AG148" s="2">
        <f>IF(AND(Games[[#This Row],[Type]]="P",Games[[#This Row],[Round]]=2),IF(Games[[#This Row],[Result]]&gt;0.5,1,0),0)</f>
        <v>0</v>
      </c>
      <c r="AH148" s="2">
        <f>IF(AND(Games[[#This Row],[Type]]="P",Games[[#This Row],[Round]]=2),IF(Games[[#This Row],[Result]]&lt;0.5,1,0),0)</f>
        <v>0</v>
      </c>
      <c r="AI148" s="2">
        <f>IF(AND(Games[[#This Row],[Type]]="P",Games[[#This Row],[Round]]=3),IF(Games[[#This Row],[Result]]&gt;0.5,1,0),0)</f>
        <v>0</v>
      </c>
      <c r="AJ148" s="2">
        <f>IF(AND(Games[[#This Row],[Type]]="P",Games[[#This Row],[Round]]=3),IF(Games[[#This Row],[Result]]&lt;0.5,1,0),0)</f>
        <v>0</v>
      </c>
      <c r="AK148" s="2">
        <f>IF(AND(Games[[#This Row],[Type]]="P",Games[[#This Row],[Round]]=4),IF(Games[[#This Row],[Result]]&gt;0.5,1,0),0)</f>
        <v>0</v>
      </c>
      <c r="AL148" s="2">
        <f>IF(AND(Games[[#This Row],[Type]]="P",Games[[#This Row],[Round]]=4),IF(Games[[#This Row],[Result]]&lt;0.5,1,0),0)</f>
        <v>0</v>
      </c>
    </row>
    <row r="149" spans="1:38" x14ac:dyDescent="0.35">
      <c r="A149" s="10">
        <v>40353</v>
      </c>
      <c r="B149" s="2">
        <v>2010</v>
      </c>
      <c r="C149" s="2">
        <f>COUNTIFS(Games[Team],Games[[#This Row],[Team]],Games[Season],Games[[#This Row],[Season]],Games[Date],"&lt;=" &amp; Games[[#This Row],[Date]])</f>
        <v>12</v>
      </c>
      <c r="D149" s="2" t="s">
        <v>23</v>
      </c>
      <c r="E149" s="2" t="s">
        <v>29</v>
      </c>
      <c r="F149" s="1" t="s">
        <v>69</v>
      </c>
      <c r="G149" s="1" t="s">
        <v>67</v>
      </c>
      <c r="H149" s="1" t="s">
        <v>15</v>
      </c>
      <c r="I149" s="2" cm="1">
        <f t="array" ref="I149">IFERROR(
    Games[[#This Row],[Date]]
    - LOOKUP(
        2,
        1/((Games[Team]=Games[[#This Row],[Team]]) * (Games[Date] &lt; Games[[#This Row],[Date]])),
        Games[Date]
    )
    - 1,
Games[[#This Row],[Date]]-$A$2)</f>
        <v>4</v>
      </c>
      <c r="J149" s="2" cm="1">
        <f t="array" ref="J149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149" s="2">
        <f>Games[[#This Row],[DaysOff]]-Games[[#This Row],[OppDaysOff]]</f>
        <v>-1</v>
      </c>
      <c r="L149" s="2">
        <f>Games[[#This Row],[OppDaysOff]]-Games[[#This Row],[DaysOff]]</f>
        <v>1</v>
      </c>
      <c r="M149" s="1">
        <f>MAX(-16, MIN(16, Games[[#This Row],[RestDiff]]*8))</f>
        <v>-8</v>
      </c>
      <c r="N149" s="1">
        <f>MAX(-16, MIN(16, Games[[#This Row],[OppRestDiff]]*8))</f>
        <v>8</v>
      </c>
      <c r="O149" s="4" cm="1">
        <f t="array" ref="O1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1521.9656465860628</v>
      </c>
      <c r="P149" s="4" cm="1">
        <f t="array" ref="P1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1468.065502596158</v>
      </c>
      <c r="Q149" s="4">
        <f>1/(1+10^(((Games[[#This Row],[OppPreGmRate]]+IF(Games[[#This Row],[HomeAway]]="A",HCA,0)+Games[[#This Row],[OppRestAdj]])-(Games[[#This Row],[PreGmRate]]+IF(Games[[#This Row],[HomeAway]]="H",HCA,0)+Games[[#This Row],[RestAdj]]))/400))</f>
        <v>0.66856759775770636</v>
      </c>
      <c r="R149" s="1">
        <v>68</v>
      </c>
      <c r="S149" s="1">
        <v>53</v>
      </c>
      <c r="T149" s="1">
        <v>0</v>
      </c>
      <c r="U149" s="1">
        <f>Games[[#This Row],[PointsFor]]-Games[[#This Row],[PointsAgainst]]</f>
        <v>15</v>
      </c>
      <c r="V149" s="1">
        <f>IF(Games[[#This Row],[MOV]]&gt;0,1,IF(Games[[#This Row],[MOV]]=0,0.5,0))</f>
        <v>1</v>
      </c>
      <c r="W149" s="4">
        <f>((ABS(Games[[#This Row],[MOV]])+5)^0.6)/(12+0.01*(ABS(Games[[#This Row],[PreGmRate]]-Games[[#This Row],[OppPreGmRate]])))*IF(Games[[#This Row],[OT]]=1,0.9,1)</f>
        <v>0.48123260575953353</v>
      </c>
      <c r="X149" s="7" cm="1">
        <f t="array" ref="X1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9" s="9">
        <f>MAX(kmin, kmax - 0.15 * MIN(Games[[#This Row],[GamesPlayed]], 82))</f>
        <v>74.2</v>
      </c>
      <c r="Z149" s="4">
        <f>Games[[#This Row],[K]]*Games[[#This Row],[POMult]]</f>
        <v>74.2</v>
      </c>
      <c r="AA149" s="4">
        <f>(Games[[#This Row],[Keff]]*Games[[#This Row],[MOVMult]])*(Games[[#This Row],[Result]]-Games[[#This Row],[ExpectedWin%]])</f>
        <v>11.834609029463701</v>
      </c>
      <c r="AB149" s="4">
        <f>Games[[#This Row],[PreGmRate]]+Games[[#This Row],[RatingChange]]</f>
        <v>1533.8002556155266</v>
      </c>
      <c r="AC149" s="2">
        <f>IF(Games[[#This Row],[Type]]="R",IF(Games[[#This Row],[Result]]&gt;0.5,1,0),0)</f>
        <v>1</v>
      </c>
      <c r="AD149" s="2">
        <f>IF(Games[[#This Row],[Type]]="R",IF(Games[[#This Row],[Result]]&lt;0.5,1,0),0)</f>
        <v>0</v>
      </c>
      <c r="AE149" s="2">
        <f>IF(AND(Games[[#This Row],[Type]]="P",Games[[#This Row],[Round]]=1),IF(Games[[#This Row],[Result]]&gt;0.5,1,0),0)</f>
        <v>0</v>
      </c>
      <c r="AF149" s="2">
        <f>IF(AND(Games[[#This Row],[Type]]="P",Games[[#This Row],[Round]]=1),IF(Games[[#This Row],[Result]]&lt;0.5,1,0),0)</f>
        <v>0</v>
      </c>
      <c r="AG149" s="2">
        <f>IF(AND(Games[[#This Row],[Type]]="P",Games[[#This Row],[Round]]=2),IF(Games[[#This Row],[Result]]&gt;0.5,1,0),0)</f>
        <v>0</v>
      </c>
      <c r="AH149" s="2">
        <f>IF(AND(Games[[#This Row],[Type]]="P",Games[[#This Row],[Round]]=2),IF(Games[[#This Row],[Result]]&lt;0.5,1,0),0)</f>
        <v>0</v>
      </c>
      <c r="AI149" s="2">
        <f>IF(AND(Games[[#This Row],[Type]]="P",Games[[#This Row],[Round]]=3),IF(Games[[#This Row],[Result]]&gt;0.5,1,0),0)</f>
        <v>0</v>
      </c>
      <c r="AJ149" s="2">
        <f>IF(AND(Games[[#This Row],[Type]]="P",Games[[#This Row],[Round]]=3),IF(Games[[#This Row],[Result]]&lt;0.5,1,0),0)</f>
        <v>0</v>
      </c>
      <c r="AK149" s="2">
        <f>IF(AND(Games[[#This Row],[Type]]="P",Games[[#This Row],[Round]]=4),IF(Games[[#This Row],[Result]]&gt;0.5,1,0),0)</f>
        <v>0</v>
      </c>
      <c r="AL149" s="2">
        <f>IF(AND(Games[[#This Row],[Type]]="P",Games[[#This Row],[Round]]=4),IF(Games[[#This Row],[Result]]&lt;0.5,1,0),0)</f>
        <v>0</v>
      </c>
    </row>
    <row r="150" spans="1:38" x14ac:dyDescent="0.35">
      <c r="A150" s="10">
        <v>40354</v>
      </c>
      <c r="B150" s="2">
        <v>2010</v>
      </c>
      <c r="C150" s="2">
        <f>COUNTIFS(Games[Team],Games[[#This Row],[Team]],Games[Season],Games[[#This Row],[Season]],Games[Date],"&lt;=" &amp; Games[[#This Row],[Date]])</f>
        <v>13</v>
      </c>
      <c r="D150" s="2" t="s">
        <v>23</v>
      </c>
      <c r="E150" s="2" t="s">
        <v>29</v>
      </c>
      <c r="F150" s="1" t="s">
        <v>69</v>
      </c>
      <c r="G150" s="1" t="s">
        <v>81</v>
      </c>
      <c r="H150" s="1" t="s">
        <v>16</v>
      </c>
      <c r="I150" s="2" cm="1">
        <f t="array" ref="I150">IFERROR(
    Games[[#This Row],[Date]]
    - LOOKUP(
        2,
        1/((Games[Team]=Games[[#This Row],[Team]]) * (Games[Date] &lt; Games[[#This Row],[Date]])),
        Games[Date]
    )
    - 1,
Games[[#This Row],[Date]]-$A$2)</f>
        <v>0</v>
      </c>
      <c r="J150" s="2" cm="1">
        <f t="array" ref="J15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50" s="2">
        <f>Games[[#This Row],[DaysOff]]-Games[[#This Row],[OppDaysOff]]</f>
        <v>-2</v>
      </c>
      <c r="L150" s="2">
        <f>Games[[#This Row],[OppDaysOff]]-Games[[#This Row],[DaysOff]]</f>
        <v>2</v>
      </c>
      <c r="M150" s="1">
        <f>MAX(-16, MIN(16, Games[[#This Row],[RestDiff]]*8))</f>
        <v>-16</v>
      </c>
      <c r="N150" s="1">
        <f>MAX(-16, MIN(16, Games[[#This Row],[OppRestDiff]]*8))</f>
        <v>16</v>
      </c>
      <c r="O150" s="4" cm="1">
        <f t="array" ref="O1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1533.8002556155266</v>
      </c>
      <c r="P150" s="4" cm="1">
        <f t="array" ref="P1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1462.2073205158458</v>
      </c>
      <c r="Q150" s="4">
        <f>1/(1+10^(((Games[[#This Row],[OppPreGmRate]]+IF(Games[[#This Row],[HomeAway]]="A",HCA,0)+Games[[#This Row],[OppRestAdj]])-(Games[[#This Row],[PreGmRate]]+IF(Games[[#This Row],[HomeAway]]="H",HCA,0)+Games[[#This Row],[RestAdj]]))/400))</f>
        <v>0.43643883961961083</v>
      </c>
      <c r="R150" s="1">
        <v>72</v>
      </c>
      <c r="S150" s="1">
        <v>79</v>
      </c>
      <c r="T150" s="1">
        <v>0</v>
      </c>
      <c r="U150" s="1">
        <f>Games[[#This Row],[PointsFor]]-Games[[#This Row],[PointsAgainst]]</f>
        <v>-7</v>
      </c>
      <c r="V150" s="1">
        <f>IF(Games[[#This Row],[MOV]]&gt;0,1,IF(Games[[#This Row],[MOV]]=0,0.5,0))</f>
        <v>0</v>
      </c>
      <c r="W150" s="4">
        <f>((ABS(Games[[#This Row],[MOV]])+5)^0.6)/(12+0.01*(ABS(Games[[#This Row],[PreGmRate]]-Games[[#This Row],[OppPreGmRate]])))*IF(Games[[#This Row],[OT]]=1,0.9,1)</f>
        <v>0.34926948296529231</v>
      </c>
      <c r="X150" s="7" cm="1">
        <f t="array" ref="X1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0" s="9">
        <f>MAX(kmin, kmax - 0.15 * MIN(Games[[#This Row],[GamesPlayed]], 82))</f>
        <v>74.05</v>
      </c>
      <c r="Z150" s="4">
        <f>Games[[#This Row],[K]]*Games[[#This Row],[POMult]]</f>
        <v>74.05</v>
      </c>
      <c r="AA150" s="4">
        <f>(Games[[#This Row],[Keff]]*Games[[#This Row],[MOVMult]])*(Games[[#This Row],[Result]]-Games[[#This Row],[ExpectedWin%]])</f>
        <v>-11.287794560026603</v>
      </c>
      <c r="AB150" s="4">
        <f>Games[[#This Row],[PreGmRate]]+Games[[#This Row],[RatingChange]]</f>
        <v>1522.5124610554999</v>
      </c>
      <c r="AC150" s="2">
        <f>IF(Games[[#This Row],[Type]]="R",IF(Games[[#This Row],[Result]]&gt;0.5,1,0),0)</f>
        <v>0</v>
      </c>
      <c r="AD150" s="2">
        <f>IF(Games[[#This Row],[Type]]="R",IF(Games[[#This Row],[Result]]&lt;0.5,1,0),0)</f>
        <v>1</v>
      </c>
      <c r="AE150" s="2">
        <f>IF(AND(Games[[#This Row],[Type]]="P",Games[[#This Row],[Round]]=1),IF(Games[[#This Row],[Result]]&gt;0.5,1,0),0)</f>
        <v>0</v>
      </c>
      <c r="AF150" s="2">
        <f>IF(AND(Games[[#This Row],[Type]]="P",Games[[#This Row],[Round]]=1),IF(Games[[#This Row],[Result]]&lt;0.5,1,0),0)</f>
        <v>0</v>
      </c>
      <c r="AG150" s="2">
        <f>IF(AND(Games[[#This Row],[Type]]="P",Games[[#This Row],[Round]]=2),IF(Games[[#This Row],[Result]]&gt;0.5,1,0),0)</f>
        <v>0</v>
      </c>
      <c r="AH150" s="2">
        <f>IF(AND(Games[[#This Row],[Type]]="P",Games[[#This Row],[Round]]=2),IF(Games[[#This Row],[Result]]&lt;0.5,1,0),0)</f>
        <v>0</v>
      </c>
      <c r="AI150" s="2">
        <f>IF(AND(Games[[#This Row],[Type]]="P",Games[[#This Row],[Round]]=3),IF(Games[[#This Row],[Result]]&gt;0.5,1,0),0)</f>
        <v>0</v>
      </c>
      <c r="AJ150" s="2">
        <f>IF(AND(Games[[#This Row],[Type]]="P",Games[[#This Row],[Round]]=3),IF(Games[[#This Row],[Result]]&lt;0.5,1,0),0)</f>
        <v>0</v>
      </c>
      <c r="AK150" s="2">
        <f>IF(AND(Games[[#This Row],[Type]]="P",Games[[#This Row],[Round]]=4),IF(Games[[#This Row],[Result]]&gt;0.5,1,0),0)</f>
        <v>0</v>
      </c>
      <c r="AL150" s="2">
        <f>IF(AND(Games[[#This Row],[Type]]="P",Games[[#This Row],[Round]]=4),IF(Games[[#This Row],[Result]]&lt;0.5,1,0),0)</f>
        <v>0</v>
      </c>
    </row>
    <row r="151" spans="1:38" x14ac:dyDescent="0.35">
      <c r="A151" s="10">
        <v>40354</v>
      </c>
      <c r="B151" s="2">
        <v>2010</v>
      </c>
      <c r="C151" s="2">
        <f>COUNTIFS(Games[Team],Games[[#This Row],[Team]],Games[Season],Games[[#This Row],[Season]],Games[Date],"&lt;=" &amp; Games[[#This Row],[Date]])</f>
        <v>14</v>
      </c>
      <c r="D151" s="2" t="s">
        <v>23</v>
      </c>
      <c r="E151" s="2" t="s">
        <v>29</v>
      </c>
      <c r="F151" s="1" t="s">
        <v>81</v>
      </c>
      <c r="G151" s="1" t="s">
        <v>69</v>
      </c>
      <c r="H151" s="1" t="s">
        <v>15</v>
      </c>
      <c r="I151" s="2" cm="1">
        <f t="array" ref="I151">IFERROR(
    Games[[#This Row],[Date]]
    - LOOKUP(
        2,
        1/((Games[Team]=Games[[#This Row],[Team]]) * (Games[Date] &lt; Games[[#This Row],[Date]])),
        Games[Date]
    )
    - 1,
Games[[#This Row],[Date]]-$A$2)</f>
        <v>2</v>
      </c>
      <c r="J151" s="2" cm="1">
        <f t="array" ref="J15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51" s="2">
        <f>Games[[#This Row],[DaysOff]]-Games[[#This Row],[OppDaysOff]]</f>
        <v>2</v>
      </c>
      <c r="L151" s="2">
        <f>Games[[#This Row],[OppDaysOff]]-Games[[#This Row],[DaysOff]]</f>
        <v>-2</v>
      </c>
      <c r="M151" s="1">
        <f>MAX(-16, MIN(16, Games[[#This Row],[RestDiff]]*8))</f>
        <v>16</v>
      </c>
      <c r="N151" s="1">
        <f>MAX(-16, MIN(16, Games[[#This Row],[OppRestDiff]]*8))</f>
        <v>-16</v>
      </c>
      <c r="O151" s="4" cm="1">
        <f t="array" ref="O1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1462.2073205158458</v>
      </c>
      <c r="P151" s="4" cm="1">
        <f t="array" ref="P1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1533.8002556155266</v>
      </c>
      <c r="Q151" s="4">
        <f>1/(1+10^(((Games[[#This Row],[OppPreGmRate]]+IF(Games[[#This Row],[HomeAway]]="A",HCA,0)+Games[[#This Row],[OppRestAdj]])-(Games[[#This Row],[PreGmRate]]+IF(Games[[#This Row],[HomeAway]]="H",HCA,0)+Games[[#This Row],[RestAdj]]))/400))</f>
        <v>0.56356116038038917</v>
      </c>
      <c r="R151" s="1">
        <v>79</v>
      </c>
      <c r="S151" s="1">
        <v>72</v>
      </c>
      <c r="T151" s="1">
        <v>0</v>
      </c>
      <c r="U151" s="1">
        <f>Games[[#This Row],[PointsFor]]-Games[[#This Row],[PointsAgainst]]</f>
        <v>7</v>
      </c>
      <c r="V151" s="1">
        <f>IF(Games[[#This Row],[MOV]]&gt;0,1,IF(Games[[#This Row],[MOV]]=0,0.5,0))</f>
        <v>1</v>
      </c>
      <c r="W151" s="4">
        <f>((ABS(Games[[#This Row],[MOV]])+5)^0.6)/(12+0.01*(ABS(Games[[#This Row],[PreGmRate]]-Games[[#This Row],[OppPreGmRate]])))*IF(Games[[#This Row],[OT]]=1,0.9,1)</f>
        <v>0.34926948296529231</v>
      </c>
      <c r="X151" s="7" cm="1">
        <f t="array" ref="X1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1" s="9">
        <f>MAX(kmin, kmax - 0.15 * MIN(Games[[#This Row],[GamesPlayed]], 82))</f>
        <v>73.900000000000006</v>
      </c>
      <c r="Z151" s="4">
        <f>Games[[#This Row],[K]]*Games[[#This Row],[POMult]]</f>
        <v>73.900000000000006</v>
      </c>
      <c r="AA151" s="4">
        <f>(Games[[#This Row],[Keff]]*Games[[#This Row],[MOVMult]])*(Games[[#This Row],[Result]]-Games[[#This Row],[ExpectedWin%]])</f>
        <v>11.264929344847618</v>
      </c>
      <c r="AB151" s="4">
        <f>Games[[#This Row],[PreGmRate]]+Games[[#This Row],[RatingChange]]</f>
        <v>1473.4722498606934</v>
      </c>
      <c r="AC151" s="2">
        <f>IF(Games[[#This Row],[Type]]="R",IF(Games[[#This Row],[Result]]&gt;0.5,1,0),0)</f>
        <v>1</v>
      </c>
      <c r="AD151" s="2">
        <f>IF(Games[[#This Row],[Type]]="R",IF(Games[[#This Row],[Result]]&lt;0.5,1,0),0)</f>
        <v>0</v>
      </c>
      <c r="AE151" s="2">
        <f>IF(AND(Games[[#This Row],[Type]]="P",Games[[#This Row],[Round]]=1),IF(Games[[#This Row],[Result]]&gt;0.5,1,0),0)</f>
        <v>0</v>
      </c>
      <c r="AF151" s="2">
        <f>IF(AND(Games[[#This Row],[Type]]="P",Games[[#This Row],[Round]]=1),IF(Games[[#This Row],[Result]]&lt;0.5,1,0),0)</f>
        <v>0</v>
      </c>
      <c r="AG151" s="2">
        <f>IF(AND(Games[[#This Row],[Type]]="P",Games[[#This Row],[Round]]=2),IF(Games[[#This Row],[Result]]&gt;0.5,1,0),0)</f>
        <v>0</v>
      </c>
      <c r="AH151" s="2">
        <f>IF(AND(Games[[#This Row],[Type]]="P",Games[[#This Row],[Round]]=2),IF(Games[[#This Row],[Result]]&lt;0.5,1,0),0)</f>
        <v>0</v>
      </c>
      <c r="AI151" s="2">
        <f>IF(AND(Games[[#This Row],[Type]]="P",Games[[#This Row],[Round]]=3),IF(Games[[#This Row],[Result]]&gt;0.5,1,0),0)</f>
        <v>0</v>
      </c>
      <c r="AJ151" s="2">
        <f>IF(AND(Games[[#This Row],[Type]]="P",Games[[#This Row],[Round]]=3),IF(Games[[#This Row],[Result]]&lt;0.5,1,0),0)</f>
        <v>0</v>
      </c>
      <c r="AK151" s="2">
        <f>IF(AND(Games[[#This Row],[Type]]="P",Games[[#This Row],[Round]]=4),IF(Games[[#This Row],[Result]]&gt;0.5,1,0),0)</f>
        <v>0</v>
      </c>
      <c r="AL151" s="2">
        <f>IF(AND(Games[[#This Row],[Type]]="P",Games[[#This Row],[Round]]=4),IF(Games[[#This Row],[Result]]&lt;0.5,1,0),0)</f>
        <v>0</v>
      </c>
    </row>
    <row r="152" spans="1:38" x14ac:dyDescent="0.35">
      <c r="A152" s="10">
        <v>40354</v>
      </c>
      <c r="B152" s="2">
        <v>2010</v>
      </c>
      <c r="C152" s="2">
        <f>COUNTIFS(Games[Team],Games[[#This Row],[Team]],Games[Season],Games[[#This Row],[Season]],Games[Date],"&lt;=" &amp; Games[[#This Row],[Date]])</f>
        <v>13</v>
      </c>
      <c r="D152" s="2" t="s">
        <v>23</v>
      </c>
      <c r="E152" s="2" t="s">
        <v>29</v>
      </c>
      <c r="F152" s="1" t="s">
        <v>44</v>
      </c>
      <c r="G152" s="1" t="s">
        <v>80</v>
      </c>
      <c r="H152" s="1" t="s">
        <v>16</v>
      </c>
      <c r="I152" s="2" cm="1">
        <f t="array" ref="I152">IFERROR(
    Games[[#This Row],[Date]]
    - LOOKUP(
        2,
        1/((Games[Team]=Games[[#This Row],[Team]]) * (Games[Date] &lt; Games[[#This Row],[Date]])),
        Games[Date]
    )
    - 1,
Games[[#This Row],[Date]]-$A$2)</f>
        <v>4</v>
      </c>
      <c r="J152" s="2" cm="1">
        <f t="array" ref="J15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52" s="2">
        <f>Games[[#This Row],[DaysOff]]-Games[[#This Row],[OppDaysOff]]</f>
        <v>2</v>
      </c>
      <c r="L152" s="2">
        <f>Games[[#This Row],[OppDaysOff]]-Games[[#This Row],[DaysOff]]</f>
        <v>-2</v>
      </c>
      <c r="M152" s="1">
        <f>MAX(-16, MIN(16, Games[[#This Row],[RestDiff]]*8))</f>
        <v>16</v>
      </c>
      <c r="N152" s="1">
        <f>MAX(-16, MIN(16, Games[[#This Row],[OppRestDiff]]*8))</f>
        <v>-16</v>
      </c>
      <c r="O152" s="4" cm="1">
        <f t="array" ref="O1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1526.24788267638</v>
      </c>
      <c r="P152" s="4" cm="1">
        <f t="array" ref="P1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1532.2314851353069</v>
      </c>
      <c r="Q152" s="4">
        <f>1/(1+10^(((Games[[#This Row],[OppPreGmRate]]+IF(Games[[#This Row],[HomeAway]]="A",HCA,0)+Games[[#This Row],[OppRestAdj]])-(Games[[#This Row],[PreGmRate]]+IF(Games[[#This Row],[HomeAway]]="H",HCA,0)+Games[[#This Row],[RestAdj]]))/400))</f>
        <v>0.41732106757089577</v>
      </c>
      <c r="R152" s="1">
        <v>79</v>
      </c>
      <c r="S152" s="1">
        <v>82</v>
      </c>
      <c r="T152" s="1">
        <v>0</v>
      </c>
      <c r="U152" s="1">
        <f>Games[[#This Row],[PointsFor]]-Games[[#This Row],[PointsAgainst]]</f>
        <v>-3</v>
      </c>
      <c r="V152" s="1">
        <f>IF(Games[[#This Row],[MOV]]&gt;0,1,IF(Games[[#This Row],[MOV]]=0,0.5,0))</f>
        <v>0</v>
      </c>
      <c r="W152" s="4">
        <f>((ABS(Games[[#This Row],[MOV]])+5)^0.6)/(12+0.01*(ABS(Games[[#This Row],[PreGmRate]]-Games[[#This Row],[OppPreGmRate]])))*IF(Games[[#This Row],[OT]]=1,0.9,1)</f>
        <v>0.28874374793193691</v>
      </c>
      <c r="X152" s="7" cm="1">
        <f t="array" ref="X15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2" s="9">
        <f>MAX(kmin, kmax - 0.15 * MIN(Games[[#This Row],[GamesPlayed]], 82))</f>
        <v>74.05</v>
      </c>
      <c r="Z152" s="4">
        <f>Games[[#This Row],[K]]*Games[[#This Row],[POMult]]</f>
        <v>74.05</v>
      </c>
      <c r="AA152" s="4">
        <f>(Games[[#This Row],[Keff]]*Games[[#This Row],[MOVMult]])*(Games[[#This Row],[Result]]-Games[[#This Row],[ExpectedWin%]])</f>
        <v>-8.922939778919007</v>
      </c>
      <c r="AB152" s="4">
        <f>Games[[#This Row],[PreGmRate]]+Games[[#This Row],[RatingChange]]</f>
        <v>1517.3249428974609</v>
      </c>
      <c r="AC152" s="2">
        <f>IF(Games[[#This Row],[Type]]="R",IF(Games[[#This Row],[Result]]&gt;0.5,1,0),0)</f>
        <v>0</v>
      </c>
      <c r="AD152" s="2">
        <f>IF(Games[[#This Row],[Type]]="R",IF(Games[[#This Row],[Result]]&lt;0.5,1,0),0)</f>
        <v>1</v>
      </c>
      <c r="AE152" s="2">
        <f>IF(AND(Games[[#This Row],[Type]]="P",Games[[#This Row],[Round]]=1),IF(Games[[#This Row],[Result]]&gt;0.5,1,0),0)</f>
        <v>0</v>
      </c>
      <c r="AF152" s="2">
        <f>IF(AND(Games[[#This Row],[Type]]="P",Games[[#This Row],[Round]]=1),IF(Games[[#This Row],[Result]]&lt;0.5,1,0),0)</f>
        <v>0</v>
      </c>
      <c r="AG152" s="2">
        <f>IF(AND(Games[[#This Row],[Type]]="P",Games[[#This Row],[Round]]=2),IF(Games[[#This Row],[Result]]&gt;0.5,1,0),0)</f>
        <v>0</v>
      </c>
      <c r="AH152" s="2">
        <f>IF(AND(Games[[#This Row],[Type]]="P",Games[[#This Row],[Round]]=2),IF(Games[[#This Row],[Result]]&lt;0.5,1,0),0)</f>
        <v>0</v>
      </c>
      <c r="AI152" s="2">
        <f>IF(AND(Games[[#This Row],[Type]]="P",Games[[#This Row],[Round]]=3),IF(Games[[#This Row],[Result]]&gt;0.5,1,0),0)</f>
        <v>0</v>
      </c>
      <c r="AJ152" s="2">
        <f>IF(AND(Games[[#This Row],[Type]]="P",Games[[#This Row],[Round]]=3),IF(Games[[#This Row],[Result]]&lt;0.5,1,0),0)</f>
        <v>0</v>
      </c>
      <c r="AK152" s="2">
        <f>IF(AND(Games[[#This Row],[Type]]="P",Games[[#This Row],[Round]]=4),IF(Games[[#This Row],[Result]]&gt;0.5,1,0),0)</f>
        <v>0</v>
      </c>
      <c r="AL152" s="2">
        <f>IF(AND(Games[[#This Row],[Type]]="P",Games[[#This Row],[Round]]=4),IF(Games[[#This Row],[Result]]&lt;0.5,1,0),0)</f>
        <v>0</v>
      </c>
    </row>
    <row r="153" spans="1:38" x14ac:dyDescent="0.35">
      <c r="A153" s="10">
        <v>40354</v>
      </c>
      <c r="B153" s="2">
        <v>2010</v>
      </c>
      <c r="C153" s="2">
        <f>COUNTIFS(Games[Team],Games[[#This Row],[Team]],Games[Season],Games[[#This Row],[Season]],Games[Date],"&lt;=" &amp; Games[[#This Row],[Date]])</f>
        <v>13</v>
      </c>
      <c r="D153" s="2" t="s">
        <v>23</v>
      </c>
      <c r="E153" s="2" t="s">
        <v>29</v>
      </c>
      <c r="F153" s="1" t="s">
        <v>80</v>
      </c>
      <c r="G153" s="1" t="s">
        <v>44</v>
      </c>
      <c r="H153" s="1" t="s">
        <v>15</v>
      </c>
      <c r="I153" s="2" cm="1">
        <f t="array" ref="I153">IFERROR(
    Games[[#This Row],[Date]]
    - LOOKUP(
        2,
        1/((Games[Team]=Games[[#This Row],[Team]]) * (Games[Date] &lt; Games[[#This Row],[Date]])),
        Games[Date]
    )
    - 1,
Games[[#This Row],[Date]]-$A$2)</f>
        <v>2</v>
      </c>
      <c r="J153" s="2" cm="1">
        <f t="array" ref="J153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53" s="2">
        <f>Games[[#This Row],[DaysOff]]-Games[[#This Row],[OppDaysOff]]</f>
        <v>-2</v>
      </c>
      <c r="L153" s="2">
        <f>Games[[#This Row],[OppDaysOff]]-Games[[#This Row],[DaysOff]]</f>
        <v>2</v>
      </c>
      <c r="M153" s="1">
        <f>MAX(-16, MIN(16, Games[[#This Row],[RestDiff]]*8))</f>
        <v>-16</v>
      </c>
      <c r="N153" s="1">
        <f>MAX(-16, MIN(16, Games[[#This Row],[OppRestDiff]]*8))</f>
        <v>16</v>
      </c>
      <c r="O153" s="4" cm="1">
        <f t="array" ref="O1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1532.2314851353069</v>
      </c>
      <c r="P153" s="4" cm="1">
        <f t="array" ref="P1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1526.24788267638</v>
      </c>
      <c r="Q153" s="4">
        <f>1/(1+10^(((Games[[#This Row],[OppPreGmRate]]+IF(Games[[#This Row],[HomeAway]]="A",HCA,0)+Games[[#This Row],[OppRestAdj]])-(Games[[#This Row],[PreGmRate]]+IF(Games[[#This Row],[HomeAway]]="H",HCA,0)+Games[[#This Row],[RestAdj]]))/400))</f>
        <v>0.58267893242910418</v>
      </c>
      <c r="R153" s="1">
        <v>82</v>
      </c>
      <c r="S153" s="1">
        <v>79</v>
      </c>
      <c r="T153" s="1">
        <v>0</v>
      </c>
      <c r="U153" s="1">
        <f>Games[[#This Row],[PointsFor]]-Games[[#This Row],[PointsAgainst]]</f>
        <v>3</v>
      </c>
      <c r="V153" s="1">
        <f>IF(Games[[#This Row],[MOV]]&gt;0,1,IF(Games[[#This Row],[MOV]]=0,0.5,0))</f>
        <v>1</v>
      </c>
      <c r="W153" s="4">
        <f>((ABS(Games[[#This Row],[MOV]])+5)^0.6)/(12+0.01*(ABS(Games[[#This Row],[PreGmRate]]-Games[[#This Row],[OppPreGmRate]])))*IF(Games[[#This Row],[OT]]=1,0.9,1)</f>
        <v>0.28874374793193691</v>
      </c>
      <c r="X153" s="7" cm="1">
        <f t="array" ref="X15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3" s="9">
        <f>MAX(kmin, kmax - 0.15 * MIN(Games[[#This Row],[GamesPlayed]], 82))</f>
        <v>74.05</v>
      </c>
      <c r="Z153" s="4">
        <f>Games[[#This Row],[K]]*Games[[#This Row],[POMult]]</f>
        <v>74.05</v>
      </c>
      <c r="AA153" s="4">
        <f>(Games[[#This Row],[Keff]]*Games[[#This Row],[MOVMult]])*(Games[[#This Row],[Result]]-Games[[#This Row],[ExpectedWin%]])</f>
        <v>8.922939778919007</v>
      </c>
      <c r="AB153" s="4">
        <f>Games[[#This Row],[PreGmRate]]+Games[[#This Row],[RatingChange]]</f>
        <v>1541.154424914226</v>
      </c>
      <c r="AC153" s="2">
        <f>IF(Games[[#This Row],[Type]]="R",IF(Games[[#This Row],[Result]]&gt;0.5,1,0),0)</f>
        <v>1</v>
      </c>
      <c r="AD153" s="2">
        <f>IF(Games[[#This Row],[Type]]="R",IF(Games[[#This Row],[Result]]&lt;0.5,1,0),0)</f>
        <v>0</v>
      </c>
      <c r="AE153" s="2">
        <f>IF(AND(Games[[#This Row],[Type]]="P",Games[[#This Row],[Round]]=1),IF(Games[[#This Row],[Result]]&gt;0.5,1,0),0)</f>
        <v>0</v>
      </c>
      <c r="AF153" s="2">
        <f>IF(AND(Games[[#This Row],[Type]]="P",Games[[#This Row],[Round]]=1),IF(Games[[#This Row],[Result]]&lt;0.5,1,0),0)</f>
        <v>0</v>
      </c>
      <c r="AG153" s="2">
        <f>IF(AND(Games[[#This Row],[Type]]="P",Games[[#This Row],[Round]]=2),IF(Games[[#This Row],[Result]]&gt;0.5,1,0),0)</f>
        <v>0</v>
      </c>
      <c r="AH153" s="2">
        <f>IF(AND(Games[[#This Row],[Type]]="P",Games[[#This Row],[Round]]=2),IF(Games[[#This Row],[Result]]&lt;0.5,1,0),0)</f>
        <v>0</v>
      </c>
      <c r="AI153" s="2">
        <f>IF(AND(Games[[#This Row],[Type]]="P",Games[[#This Row],[Round]]=3),IF(Games[[#This Row],[Result]]&gt;0.5,1,0),0)</f>
        <v>0</v>
      </c>
      <c r="AJ153" s="2">
        <f>IF(AND(Games[[#This Row],[Type]]="P",Games[[#This Row],[Round]]=3),IF(Games[[#This Row],[Result]]&lt;0.5,1,0),0)</f>
        <v>0</v>
      </c>
      <c r="AK153" s="2">
        <f>IF(AND(Games[[#This Row],[Type]]="P",Games[[#This Row],[Round]]=4),IF(Games[[#This Row],[Result]]&gt;0.5,1,0),0)</f>
        <v>0</v>
      </c>
      <c r="AL153" s="2">
        <f>IF(AND(Games[[#This Row],[Type]]="P",Games[[#This Row],[Round]]=4),IF(Games[[#This Row],[Result]]&lt;0.5,1,0),0)</f>
        <v>0</v>
      </c>
    </row>
    <row r="154" spans="1:38" x14ac:dyDescent="0.35">
      <c r="A154" s="10">
        <v>40354</v>
      </c>
      <c r="B154" s="2">
        <v>2010</v>
      </c>
      <c r="C154" s="2">
        <f>COUNTIFS(Games[Team],Games[[#This Row],[Team]],Games[Season],Games[[#This Row],[Season]],Games[Date],"&lt;=" &amp; Games[[#This Row],[Date]])</f>
        <v>13</v>
      </c>
      <c r="D154" s="2" t="s">
        <v>23</v>
      </c>
      <c r="E154" s="2" t="s">
        <v>29</v>
      </c>
      <c r="F154" s="1" t="s">
        <v>73</v>
      </c>
      <c r="G154" s="1" t="s">
        <v>75</v>
      </c>
      <c r="H154" s="1" t="s">
        <v>16</v>
      </c>
      <c r="I154" s="2" cm="1">
        <f t="array" ref="I154">IFERROR(
    Games[[#This Row],[Date]]
    - LOOKUP(
        2,
        1/((Games[Team]=Games[[#This Row],[Team]]) * (Games[Date] &lt; Games[[#This Row],[Date]])),
        Games[Date]
    )
    - 1,
Games[[#This Row],[Date]]-$A$2)</f>
        <v>5</v>
      </c>
      <c r="J154" s="2" cm="1">
        <f t="array" ref="J154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54" s="2">
        <f>Games[[#This Row],[DaysOff]]-Games[[#This Row],[OppDaysOff]]</f>
        <v>1</v>
      </c>
      <c r="L154" s="2">
        <f>Games[[#This Row],[OppDaysOff]]-Games[[#This Row],[DaysOff]]</f>
        <v>-1</v>
      </c>
      <c r="M154" s="1">
        <f>MAX(-16, MIN(16, Games[[#This Row],[RestDiff]]*8))</f>
        <v>8</v>
      </c>
      <c r="N154" s="1">
        <f>MAX(-16, MIN(16, Games[[#This Row],[OppRestDiff]]*8))</f>
        <v>-8</v>
      </c>
      <c r="O154" s="4" cm="1">
        <f t="array" ref="O1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1580.5307106472667</v>
      </c>
      <c r="P154" s="4" cm="1">
        <f t="array" ref="P1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1626.5303738047373</v>
      </c>
      <c r="Q154" s="4">
        <f>1/(1+10^(((Games[[#This Row],[OppPreGmRate]]+IF(Games[[#This Row],[HomeAway]]="A",HCA,0)+Games[[#This Row],[OppRestAdj]])-(Games[[#This Row],[PreGmRate]]+IF(Games[[#This Row],[HomeAway]]="H",HCA,0)+Games[[#This Row],[RestAdj]]))/400))</f>
        <v>0.34158591517853337</v>
      </c>
      <c r="R154" s="1">
        <v>81</v>
      </c>
      <c r="S154" s="1">
        <v>85</v>
      </c>
      <c r="T154" s="1">
        <v>0</v>
      </c>
      <c r="U154" s="1">
        <f>Games[[#This Row],[PointsFor]]-Games[[#This Row],[PointsAgainst]]</f>
        <v>-4</v>
      </c>
      <c r="V154" s="1">
        <f>IF(Games[[#This Row],[MOV]]&gt;0,1,IF(Games[[#This Row],[MOV]]=0,0.5,0))</f>
        <v>0</v>
      </c>
      <c r="W154" s="4">
        <f>((ABS(Games[[#This Row],[MOV]])+5)^0.6)/(12+0.01*(ABS(Games[[#This Row],[PreGmRate]]-Games[[#This Row],[OppPreGmRate]])))*IF(Games[[#This Row],[OT]]=1,0.9,1)</f>
        <v>0.29993529929022478</v>
      </c>
      <c r="X154" s="7" cm="1">
        <f t="array" ref="X15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4" s="9">
        <f>MAX(kmin, kmax - 0.15 * MIN(Games[[#This Row],[GamesPlayed]], 82))</f>
        <v>74.05</v>
      </c>
      <c r="Z154" s="4">
        <f>Games[[#This Row],[K]]*Games[[#This Row],[POMult]]</f>
        <v>74.05</v>
      </c>
      <c r="AA154" s="4">
        <f>(Games[[#This Row],[Keff]]*Games[[#This Row],[MOVMult]])*(Games[[#This Row],[Result]]-Games[[#This Row],[ExpectedWin%]])</f>
        <v>-7.586694537662626</v>
      </c>
      <c r="AB154" s="4">
        <f>Games[[#This Row],[PreGmRate]]+Games[[#This Row],[RatingChange]]</f>
        <v>1572.944016109604</v>
      </c>
      <c r="AC154" s="2">
        <f>IF(Games[[#This Row],[Type]]="R",IF(Games[[#This Row],[Result]]&gt;0.5,1,0),0)</f>
        <v>0</v>
      </c>
      <c r="AD154" s="2">
        <f>IF(Games[[#This Row],[Type]]="R",IF(Games[[#This Row],[Result]]&lt;0.5,1,0),0)</f>
        <v>1</v>
      </c>
      <c r="AE154" s="2">
        <f>IF(AND(Games[[#This Row],[Type]]="P",Games[[#This Row],[Round]]=1),IF(Games[[#This Row],[Result]]&gt;0.5,1,0),0)</f>
        <v>0</v>
      </c>
      <c r="AF154" s="2">
        <f>IF(AND(Games[[#This Row],[Type]]="P",Games[[#This Row],[Round]]=1),IF(Games[[#This Row],[Result]]&lt;0.5,1,0),0)</f>
        <v>0</v>
      </c>
      <c r="AG154" s="2">
        <f>IF(AND(Games[[#This Row],[Type]]="P",Games[[#This Row],[Round]]=2),IF(Games[[#This Row],[Result]]&gt;0.5,1,0),0)</f>
        <v>0</v>
      </c>
      <c r="AH154" s="2">
        <f>IF(AND(Games[[#This Row],[Type]]="P",Games[[#This Row],[Round]]=2),IF(Games[[#This Row],[Result]]&lt;0.5,1,0),0)</f>
        <v>0</v>
      </c>
      <c r="AI154" s="2">
        <f>IF(AND(Games[[#This Row],[Type]]="P",Games[[#This Row],[Round]]=3),IF(Games[[#This Row],[Result]]&gt;0.5,1,0),0)</f>
        <v>0</v>
      </c>
      <c r="AJ154" s="2">
        <f>IF(AND(Games[[#This Row],[Type]]="P",Games[[#This Row],[Round]]=3),IF(Games[[#This Row],[Result]]&lt;0.5,1,0),0)</f>
        <v>0</v>
      </c>
      <c r="AK154" s="2">
        <f>IF(AND(Games[[#This Row],[Type]]="P",Games[[#This Row],[Round]]=4),IF(Games[[#This Row],[Result]]&gt;0.5,1,0),0)</f>
        <v>0</v>
      </c>
      <c r="AL154" s="2">
        <f>IF(AND(Games[[#This Row],[Type]]="P",Games[[#This Row],[Round]]=4),IF(Games[[#This Row],[Result]]&lt;0.5,1,0),0)</f>
        <v>0</v>
      </c>
    </row>
    <row r="155" spans="1:38" x14ac:dyDescent="0.35">
      <c r="A155" s="10">
        <v>40354</v>
      </c>
      <c r="B155" s="2">
        <v>2010</v>
      </c>
      <c r="C155" s="2">
        <f>COUNTIFS(Games[Team],Games[[#This Row],[Team]],Games[Season],Games[[#This Row],[Season]],Games[Date],"&lt;=" &amp; Games[[#This Row],[Date]])</f>
        <v>14</v>
      </c>
      <c r="D155" s="2" t="s">
        <v>23</v>
      </c>
      <c r="E155" s="2" t="s">
        <v>29</v>
      </c>
      <c r="F155" s="1" t="s">
        <v>75</v>
      </c>
      <c r="G155" s="1" t="s">
        <v>73</v>
      </c>
      <c r="H155" s="1" t="s">
        <v>15</v>
      </c>
      <c r="I155" s="2" cm="1">
        <f t="array" ref="I155">IFERROR(
    Games[[#This Row],[Date]]
    - LOOKUP(
        2,
        1/((Games[Team]=Games[[#This Row],[Team]]) * (Games[Date] &lt; Games[[#This Row],[Date]])),
        Games[Date]
    )
    - 1,
Games[[#This Row],[Date]]-$A$2)</f>
        <v>4</v>
      </c>
      <c r="J155" s="2" cm="1">
        <f t="array" ref="J155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155" s="2">
        <f>Games[[#This Row],[DaysOff]]-Games[[#This Row],[OppDaysOff]]</f>
        <v>-1</v>
      </c>
      <c r="L155" s="2">
        <f>Games[[#This Row],[OppDaysOff]]-Games[[#This Row],[DaysOff]]</f>
        <v>1</v>
      </c>
      <c r="M155" s="1">
        <f>MAX(-16, MIN(16, Games[[#This Row],[RestDiff]]*8))</f>
        <v>-8</v>
      </c>
      <c r="N155" s="1">
        <f>MAX(-16, MIN(16, Games[[#This Row],[OppRestDiff]]*8))</f>
        <v>8</v>
      </c>
      <c r="O155" s="4" cm="1">
        <f t="array" ref="O1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1626.5303738047373</v>
      </c>
      <c r="P155" s="4" cm="1">
        <f t="array" ref="P1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1580.5307106472667</v>
      </c>
      <c r="Q155" s="4">
        <f>1/(1+10^(((Games[[#This Row],[OppPreGmRate]]+IF(Games[[#This Row],[HomeAway]]="A",HCA,0)+Games[[#This Row],[OppRestAdj]])-(Games[[#This Row],[PreGmRate]]+IF(Games[[#This Row],[HomeAway]]="H",HCA,0)+Games[[#This Row],[RestAdj]]))/400))</f>
        <v>0.65841408482146657</v>
      </c>
      <c r="R155" s="1">
        <v>85</v>
      </c>
      <c r="S155" s="1">
        <v>81</v>
      </c>
      <c r="T155" s="1">
        <v>0</v>
      </c>
      <c r="U155" s="1">
        <f>Games[[#This Row],[PointsFor]]-Games[[#This Row],[PointsAgainst]]</f>
        <v>4</v>
      </c>
      <c r="V155" s="1">
        <f>IF(Games[[#This Row],[MOV]]&gt;0,1,IF(Games[[#This Row],[MOV]]=0,0.5,0))</f>
        <v>1</v>
      </c>
      <c r="W155" s="4">
        <f>((ABS(Games[[#This Row],[MOV]])+5)^0.6)/(12+0.01*(ABS(Games[[#This Row],[PreGmRate]]-Games[[#This Row],[OppPreGmRate]])))*IF(Games[[#This Row],[OT]]=1,0.9,1)</f>
        <v>0.29993529929022478</v>
      </c>
      <c r="X155" s="7" cm="1">
        <f t="array" ref="X15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5" s="9">
        <f>MAX(kmin, kmax - 0.15 * MIN(Games[[#This Row],[GamesPlayed]], 82))</f>
        <v>73.900000000000006</v>
      </c>
      <c r="Z155" s="4">
        <f>Games[[#This Row],[K]]*Games[[#This Row],[POMult]]</f>
        <v>73.900000000000006</v>
      </c>
      <c r="AA155" s="4">
        <f>(Games[[#This Row],[Keff]]*Games[[#This Row],[MOVMult]])*(Games[[#This Row],[Result]]-Games[[#This Row],[ExpectedWin%]])</f>
        <v>7.5713264866072691</v>
      </c>
      <c r="AB155" s="4">
        <f>Games[[#This Row],[PreGmRate]]+Games[[#This Row],[RatingChange]]</f>
        <v>1634.1017002913445</v>
      </c>
      <c r="AC155" s="2">
        <f>IF(Games[[#This Row],[Type]]="R",IF(Games[[#This Row],[Result]]&gt;0.5,1,0),0)</f>
        <v>1</v>
      </c>
      <c r="AD155" s="2">
        <f>IF(Games[[#This Row],[Type]]="R",IF(Games[[#This Row],[Result]]&lt;0.5,1,0),0)</f>
        <v>0</v>
      </c>
      <c r="AE155" s="2">
        <f>IF(AND(Games[[#This Row],[Type]]="P",Games[[#This Row],[Round]]=1),IF(Games[[#This Row],[Result]]&gt;0.5,1,0),0)</f>
        <v>0</v>
      </c>
      <c r="AF155" s="2">
        <f>IF(AND(Games[[#This Row],[Type]]="P",Games[[#This Row],[Round]]=1),IF(Games[[#This Row],[Result]]&lt;0.5,1,0),0)</f>
        <v>0</v>
      </c>
      <c r="AG155" s="2">
        <f>IF(AND(Games[[#This Row],[Type]]="P",Games[[#This Row],[Round]]=2),IF(Games[[#This Row],[Result]]&gt;0.5,1,0),0)</f>
        <v>0</v>
      </c>
      <c r="AH155" s="2">
        <f>IF(AND(Games[[#This Row],[Type]]="P",Games[[#This Row],[Round]]=2),IF(Games[[#This Row],[Result]]&lt;0.5,1,0),0)</f>
        <v>0</v>
      </c>
      <c r="AI155" s="2">
        <f>IF(AND(Games[[#This Row],[Type]]="P",Games[[#This Row],[Round]]=3),IF(Games[[#This Row],[Result]]&gt;0.5,1,0),0)</f>
        <v>0</v>
      </c>
      <c r="AJ155" s="2">
        <f>IF(AND(Games[[#This Row],[Type]]="P",Games[[#This Row],[Round]]=3),IF(Games[[#This Row],[Result]]&lt;0.5,1,0),0)</f>
        <v>0</v>
      </c>
      <c r="AK155" s="2">
        <f>IF(AND(Games[[#This Row],[Type]]="P",Games[[#This Row],[Round]]=4),IF(Games[[#This Row],[Result]]&gt;0.5,1,0),0)</f>
        <v>0</v>
      </c>
      <c r="AL155" s="2">
        <f>IF(AND(Games[[#This Row],[Type]]="P",Games[[#This Row],[Round]]=4),IF(Games[[#This Row],[Result]]&lt;0.5,1,0),0)</f>
        <v>0</v>
      </c>
    </row>
    <row r="156" spans="1:38" x14ac:dyDescent="0.35">
      <c r="A156" s="10">
        <v>40354</v>
      </c>
      <c r="B156" s="2">
        <v>2010</v>
      </c>
      <c r="C156" s="2">
        <f>COUNTIFS(Games[Team],Games[[#This Row],[Team]],Games[Season],Games[[#This Row],[Season]],Games[Date],"&lt;=" &amp; Games[[#This Row],[Date]])</f>
        <v>12</v>
      </c>
      <c r="D156" s="2" t="s">
        <v>23</v>
      </c>
      <c r="E156" s="2" t="s">
        <v>29</v>
      </c>
      <c r="F156" s="1" t="s">
        <v>64</v>
      </c>
      <c r="G156" s="1" t="s">
        <v>85</v>
      </c>
      <c r="H156" s="1" t="s">
        <v>16</v>
      </c>
      <c r="I156" s="2" cm="1">
        <f t="array" ref="I156">IFERROR(
    Games[[#This Row],[Date]]
    - LOOKUP(
        2,
        1/((Games[Team]=Games[[#This Row],[Team]]) * (Games[Date] &lt; Games[[#This Row],[Date]])),
        Games[Date]
    )
    - 1,
Games[[#This Row],[Date]]-$A$2)</f>
        <v>2</v>
      </c>
      <c r="J156" s="2" cm="1">
        <f t="array" ref="J15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6" s="2">
        <f>Games[[#This Row],[DaysOff]]-Games[[#This Row],[OppDaysOff]]</f>
        <v>1</v>
      </c>
      <c r="L156" s="2">
        <f>Games[[#This Row],[OppDaysOff]]-Games[[#This Row],[DaysOff]]</f>
        <v>-1</v>
      </c>
      <c r="M156" s="1">
        <f>MAX(-16, MIN(16, Games[[#This Row],[RestDiff]]*8))</f>
        <v>8</v>
      </c>
      <c r="N156" s="1">
        <f>MAX(-16, MIN(16, Games[[#This Row],[OppRestDiff]]*8))</f>
        <v>-8</v>
      </c>
      <c r="O156" s="4" cm="1">
        <f t="array" ref="O1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1449.5919637866734</v>
      </c>
      <c r="P156" s="4" cm="1">
        <f t="array" ref="P1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1425.0706487434161</v>
      </c>
      <c r="Q156" s="4">
        <f>1/(1+10^(((Games[[#This Row],[OppPreGmRate]]+IF(Games[[#This Row],[HomeAway]]="A",HCA,0)+Games[[#This Row],[OppRestAdj]])-(Games[[#This Row],[PreGmRate]]+IF(Games[[#This Row],[HomeAway]]="H",HCA,0)+Games[[#This Row],[RestAdj]]))/400))</f>
        <v>0.43775373865672196</v>
      </c>
      <c r="R156" s="1">
        <v>92</v>
      </c>
      <c r="S156" s="1">
        <v>78</v>
      </c>
      <c r="T156" s="1">
        <v>0</v>
      </c>
      <c r="U156" s="1">
        <f>Games[[#This Row],[PointsFor]]-Games[[#This Row],[PointsAgainst]]</f>
        <v>14</v>
      </c>
      <c r="V156" s="1">
        <f>IF(Games[[#This Row],[MOV]]&gt;0,1,IF(Games[[#This Row],[MOV]]=0,0.5,0))</f>
        <v>1</v>
      </c>
      <c r="W156" s="4">
        <f>((ABS(Games[[#This Row],[MOV]])+5)^0.6)/(12+0.01*(ABS(Games[[#This Row],[PreGmRate]]-Games[[#This Row],[OppPreGmRate]])))*IF(Games[[#This Row],[OT]]=1,0.9,1)</f>
        <v>0.47784364147246494</v>
      </c>
      <c r="X156" s="7" cm="1">
        <f t="array" ref="X15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6" s="9">
        <f>MAX(kmin, kmax - 0.15 * MIN(Games[[#This Row],[GamesPlayed]], 82))</f>
        <v>74.2</v>
      </c>
      <c r="Z156" s="4">
        <f>Games[[#This Row],[K]]*Games[[#This Row],[POMult]]</f>
        <v>74.2</v>
      </c>
      <c r="AA156" s="4">
        <f>(Games[[#This Row],[Keff]]*Games[[#This Row],[MOVMult]])*(Games[[#This Row],[Result]]-Games[[#This Row],[ExpectedWin%]])</f>
        <v>19.935002428601699</v>
      </c>
      <c r="AB156" s="4">
        <f>Games[[#This Row],[PreGmRate]]+Games[[#This Row],[RatingChange]]</f>
        <v>1469.526966215275</v>
      </c>
      <c r="AC156" s="2">
        <f>IF(Games[[#This Row],[Type]]="R",IF(Games[[#This Row],[Result]]&gt;0.5,1,0),0)</f>
        <v>1</v>
      </c>
      <c r="AD156" s="2">
        <f>IF(Games[[#This Row],[Type]]="R",IF(Games[[#This Row],[Result]]&lt;0.5,1,0),0)</f>
        <v>0</v>
      </c>
      <c r="AE156" s="2">
        <f>IF(AND(Games[[#This Row],[Type]]="P",Games[[#This Row],[Round]]=1),IF(Games[[#This Row],[Result]]&gt;0.5,1,0),0)</f>
        <v>0</v>
      </c>
      <c r="AF156" s="2">
        <f>IF(AND(Games[[#This Row],[Type]]="P",Games[[#This Row],[Round]]=1),IF(Games[[#This Row],[Result]]&lt;0.5,1,0),0)</f>
        <v>0</v>
      </c>
      <c r="AG156" s="2">
        <f>IF(AND(Games[[#This Row],[Type]]="P",Games[[#This Row],[Round]]=2),IF(Games[[#This Row],[Result]]&gt;0.5,1,0),0)</f>
        <v>0</v>
      </c>
      <c r="AH156" s="2">
        <f>IF(AND(Games[[#This Row],[Type]]="P",Games[[#This Row],[Round]]=2),IF(Games[[#This Row],[Result]]&lt;0.5,1,0),0)</f>
        <v>0</v>
      </c>
      <c r="AI156" s="2">
        <f>IF(AND(Games[[#This Row],[Type]]="P",Games[[#This Row],[Round]]=3),IF(Games[[#This Row],[Result]]&gt;0.5,1,0),0)</f>
        <v>0</v>
      </c>
      <c r="AJ156" s="2">
        <f>IF(AND(Games[[#This Row],[Type]]="P",Games[[#This Row],[Round]]=3),IF(Games[[#This Row],[Result]]&lt;0.5,1,0),0)</f>
        <v>0</v>
      </c>
      <c r="AK156" s="2">
        <f>IF(AND(Games[[#This Row],[Type]]="P",Games[[#This Row],[Round]]=4),IF(Games[[#This Row],[Result]]&gt;0.5,1,0),0)</f>
        <v>0</v>
      </c>
      <c r="AL156" s="2">
        <f>IF(AND(Games[[#This Row],[Type]]="P",Games[[#This Row],[Round]]=4),IF(Games[[#This Row],[Result]]&lt;0.5,1,0),0)</f>
        <v>0</v>
      </c>
    </row>
    <row r="157" spans="1:38" x14ac:dyDescent="0.35">
      <c r="A157" s="10">
        <v>40354</v>
      </c>
      <c r="B157" s="2">
        <v>2010</v>
      </c>
      <c r="C157" s="2">
        <f>COUNTIFS(Games[Team],Games[[#This Row],[Team]],Games[Season],Games[[#This Row],[Season]],Games[Date],"&lt;=" &amp; Games[[#This Row],[Date]])</f>
        <v>13</v>
      </c>
      <c r="D157" s="2" t="s">
        <v>23</v>
      </c>
      <c r="E157" s="2" t="s">
        <v>29</v>
      </c>
      <c r="F157" s="1" t="s">
        <v>85</v>
      </c>
      <c r="G157" s="1" t="s">
        <v>64</v>
      </c>
      <c r="H157" s="1" t="s">
        <v>15</v>
      </c>
      <c r="I157" s="2" cm="1">
        <f t="array" ref="I15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7" s="2" cm="1">
        <f t="array" ref="J15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57" s="2">
        <f>Games[[#This Row],[DaysOff]]-Games[[#This Row],[OppDaysOff]]</f>
        <v>-1</v>
      </c>
      <c r="L157" s="2">
        <f>Games[[#This Row],[OppDaysOff]]-Games[[#This Row],[DaysOff]]</f>
        <v>1</v>
      </c>
      <c r="M157" s="1">
        <f>MAX(-16, MIN(16, Games[[#This Row],[RestDiff]]*8))</f>
        <v>-8</v>
      </c>
      <c r="N157" s="1">
        <f>MAX(-16, MIN(16, Games[[#This Row],[OppRestDiff]]*8))</f>
        <v>8</v>
      </c>
      <c r="O157" s="4" cm="1">
        <f t="array" ref="O1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1425.0706487434161</v>
      </c>
      <c r="P157" s="4" cm="1">
        <f t="array" ref="P1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1449.5919637866734</v>
      </c>
      <c r="Q157" s="4">
        <f>1/(1+10^(((Games[[#This Row],[OppPreGmRate]]+IF(Games[[#This Row],[HomeAway]]="A",HCA,0)+Games[[#This Row],[OppRestAdj]])-(Games[[#This Row],[PreGmRate]]+IF(Games[[#This Row],[HomeAway]]="H",HCA,0)+Games[[#This Row],[RestAdj]]))/400))</f>
        <v>0.56224626134327804</v>
      </c>
      <c r="R157" s="1">
        <v>78</v>
      </c>
      <c r="S157" s="1">
        <v>92</v>
      </c>
      <c r="T157" s="1">
        <v>0</v>
      </c>
      <c r="U157" s="1">
        <f>Games[[#This Row],[PointsFor]]-Games[[#This Row],[PointsAgainst]]</f>
        <v>-14</v>
      </c>
      <c r="V157" s="1">
        <f>IF(Games[[#This Row],[MOV]]&gt;0,1,IF(Games[[#This Row],[MOV]]=0,0.5,0))</f>
        <v>0</v>
      </c>
      <c r="W157" s="4">
        <f>((ABS(Games[[#This Row],[MOV]])+5)^0.6)/(12+0.01*(ABS(Games[[#This Row],[PreGmRate]]-Games[[#This Row],[OppPreGmRate]])))*IF(Games[[#This Row],[OT]]=1,0.9,1)</f>
        <v>0.47784364147246494</v>
      </c>
      <c r="X157" s="7" cm="1">
        <f t="array" ref="X15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7" s="9">
        <f>MAX(kmin, kmax - 0.15 * MIN(Games[[#This Row],[GamesPlayed]], 82))</f>
        <v>74.05</v>
      </c>
      <c r="Z157" s="4">
        <f>Games[[#This Row],[K]]*Games[[#This Row],[POMult]]</f>
        <v>74.05</v>
      </c>
      <c r="AA157" s="4">
        <f>(Games[[#This Row],[Keff]]*Games[[#This Row],[MOVMult]])*(Games[[#This Row],[Result]]-Games[[#This Row],[ExpectedWin%]])</f>
        <v>-19.894702558463013</v>
      </c>
      <c r="AB157" s="4">
        <f>Games[[#This Row],[PreGmRate]]+Games[[#This Row],[RatingChange]]</f>
        <v>1405.1759461849531</v>
      </c>
      <c r="AC157" s="2">
        <f>IF(Games[[#This Row],[Type]]="R",IF(Games[[#This Row],[Result]]&gt;0.5,1,0),0)</f>
        <v>0</v>
      </c>
      <c r="AD157" s="2">
        <f>IF(Games[[#This Row],[Type]]="R",IF(Games[[#This Row],[Result]]&lt;0.5,1,0),0)</f>
        <v>1</v>
      </c>
      <c r="AE157" s="2">
        <f>IF(AND(Games[[#This Row],[Type]]="P",Games[[#This Row],[Round]]=1),IF(Games[[#This Row],[Result]]&gt;0.5,1,0),0)</f>
        <v>0</v>
      </c>
      <c r="AF157" s="2">
        <f>IF(AND(Games[[#This Row],[Type]]="P",Games[[#This Row],[Round]]=1),IF(Games[[#This Row],[Result]]&lt;0.5,1,0),0)</f>
        <v>0</v>
      </c>
      <c r="AG157" s="2">
        <f>IF(AND(Games[[#This Row],[Type]]="P",Games[[#This Row],[Round]]=2),IF(Games[[#This Row],[Result]]&gt;0.5,1,0),0)</f>
        <v>0</v>
      </c>
      <c r="AH157" s="2">
        <f>IF(AND(Games[[#This Row],[Type]]="P",Games[[#This Row],[Round]]=2),IF(Games[[#This Row],[Result]]&lt;0.5,1,0),0)</f>
        <v>0</v>
      </c>
      <c r="AI157" s="2">
        <f>IF(AND(Games[[#This Row],[Type]]="P",Games[[#This Row],[Round]]=3),IF(Games[[#This Row],[Result]]&gt;0.5,1,0),0)</f>
        <v>0</v>
      </c>
      <c r="AJ157" s="2">
        <f>IF(AND(Games[[#This Row],[Type]]="P",Games[[#This Row],[Round]]=3),IF(Games[[#This Row],[Result]]&lt;0.5,1,0),0)</f>
        <v>0</v>
      </c>
      <c r="AK157" s="2">
        <f>IF(AND(Games[[#This Row],[Type]]="P",Games[[#This Row],[Round]]=4),IF(Games[[#This Row],[Result]]&gt;0.5,1,0),0)</f>
        <v>0</v>
      </c>
      <c r="AL157" s="2">
        <f>IF(AND(Games[[#This Row],[Type]]="P",Games[[#This Row],[Round]]=4),IF(Games[[#This Row],[Result]]&lt;0.5,1,0),0)</f>
        <v>0</v>
      </c>
    </row>
    <row r="158" spans="1:38" x14ac:dyDescent="0.35">
      <c r="A158" s="10">
        <v>40355</v>
      </c>
      <c r="B158" s="2">
        <v>2010</v>
      </c>
      <c r="C158" s="2">
        <f>COUNTIFS(Games[Team],Games[[#This Row],[Team]],Games[Season],Games[[#This Row],[Season]],Games[Date],"&lt;=" &amp; Games[[#This Row],[Date]])</f>
        <v>15</v>
      </c>
      <c r="D158" s="2" t="s">
        <v>23</v>
      </c>
      <c r="E158" s="2" t="s">
        <v>29</v>
      </c>
      <c r="F158" s="1" t="s">
        <v>71</v>
      </c>
      <c r="G158" s="1" t="s">
        <v>78</v>
      </c>
      <c r="H158" s="1" t="s">
        <v>16</v>
      </c>
      <c r="I158" s="2" cm="1">
        <f t="array" ref="I158">IFERROR(
    Games[[#This Row],[Date]]
    - LOOKUP(
        2,
        1/((Games[Team]=Games[[#This Row],[Team]]) * (Games[Date] &lt; Games[[#This Row],[Date]])),
        Games[Date]
    )
    - 1,
Games[[#This Row],[Date]]-$A$2)</f>
        <v>3</v>
      </c>
      <c r="J158" s="2" cm="1">
        <f t="array" ref="J158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158" s="2">
        <f>Games[[#This Row],[DaysOff]]-Games[[#This Row],[OppDaysOff]]</f>
        <v>-2</v>
      </c>
      <c r="L158" s="2">
        <f>Games[[#This Row],[OppDaysOff]]-Games[[#This Row],[DaysOff]]</f>
        <v>2</v>
      </c>
      <c r="M158" s="1">
        <f>MAX(-16, MIN(16, Games[[#This Row],[RestDiff]]*8))</f>
        <v>-16</v>
      </c>
      <c r="N158" s="1">
        <f>MAX(-16, MIN(16, Games[[#This Row],[OppRestDiff]]*8))</f>
        <v>16</v>
      </c>
      <c r="O158" s="4" cm="1">
        <f t="array" ref="O1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1428.4579347005445</v>
      </c>
      <c r="P158" s="4" cm="1">
        <f t="array" ref="P1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1456.76401560208</v>
      </c>
      <c r="Q158" s="4">
        <f>1/(1+10^(((Games[[#This Row],[OppPreGmRate]]+IF(Games[[#This Row],[HomeAway]]="A",HCA,0)+Games[[#This Row],[OppRestAdj]])-(Games[[#This Row],[PreGmRate]]+IF(Games[[#This Row],[HomeAway]]="H",HCA,0)+Games[[#This Row],[RestAdj]]))/400))</f>
        <v>0.30349864837566454</v>
      </c>
      <c r="R158" s="1">
        <v>66</v>
      </c>
      <c r="S158" s="1">
        <v>80</v>
      </c>
      <c r="T158" s="1">
        <v>0</v>
      </c>
      <c r="U158" s="1">
        <f>Games[[#This Row],[PointsFor]]-Games[[#This Row],[PointsAgainst]]</f>
        <v>-14</v>
      </c>
      <c r="V158" s="1">
        <f>IF(Games[[#This Row],[MOV]]&gt;0,1,IF(Games[[#This Row],[MOV]]=0,0.5,0))</f>
        <v>0</v>
      </c>
      <c r="W158" s="4">
        <f>((ABS(Games[[#This Row],[MOV]])+5)^0.6)/(12+0.01*(ABS(Games[[#This Row],[PreGmRate]]-Games[[#This Row],[OppPreGmRate]])))*IF(Games[[#This Row],[OT]]=1,0.9,1)</f>
        <v>0.47637126717752298</v>
      </c>
      <c r="X158" s="7" cm="1">
        <f t="array" ref="X15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8" s="9">
        <f>MAX(kmin, kmax - 0.15 * MIN(Games[[#This Row],[GamesPlayed]], 82))</f>
        <v>73.75</v>
      </c>
      <c r="Z158" s="4">
        <f>Games[[#This Row],[K]]*Games[[#This Row],[POMult]]</f>
        <v>73.75</v>
      </c>
      <c r="AA158" s="4">
        <f>(Games[[#This Row],[Keff]]*Games[[#This Row],[MOVMult]])*(Games[[#This Row],[Result]]-Games[[#This Row],[ExpectedWin%]])</f>
        <v>-10.662630133861832</v>
      </c>
      <c r="AB158" s="4">
        <f>Games[[#This Row],[PreGmRate]]+Games[[#This Row],[RatingChange]]</f>
        <v>1417.7953045666827</v>
      </c>
      <c r="AC158" s="2">
        <f>IF(Games[[#This Row],[Type]]="R",IF(Games[[#This Row],[Result]]&gt;0.5,1,0),0)</f>
        <v>0</v>
      </c>
      <c r="AD158" s="2">
        <f>IF(Games[[#This Row],[Type]]="R",IF(Games[[#This Row],[Result]]&lt;0.5,1,0),0)</f>
        <v>1</v>
      </c>
      <c r="AE158" s="2">
        <f>IF(AND(Games[[#This Row],[Type]]="P",Games[[#This Row],[Round]]=1),IF(Games[[#This Row],[Result]]&gt;0.5,1,0),0)</f>
        <v>0</v>
      </c>
      <c r="AF158" s="2">
        <f>IF(AND(Games[[#This Row],[Type]]="P",Games[[#This Row],[Round]]=1),IF(Games[[#This Row],[Result]]&lt;0.5,1,0),0)</f>
        <v>0</v>
      </c>
      <c r="AG158" s="2">
        <f>IF(AND(Games[[#This Row],[Type]]="P",Games[[#This Row],[Round]]=2),IF(Games[[#This Row],[Result]]&gt;0.5,1,0),0)</f>
        <v>0</v>
      </c>
      <c r="AH158" s="2">
        <f>IF(AND(Games[[#This Row],[Type]]="P",Games[[#This Row],[Round]]=2),IF(Games[[#This Row],[Result]]&lt;0.5,1,0),0)</f>
        <v>0</v>
      </c>
      <c r="AI158" s="2">
        <f>IF(AND(Games[[#This Row],[Type]]="P",Games[[#This Row],[Round]]=3),IF(Games[[#This Row],[Result]]&gt;0.5,1,0),0)</f>
        <v>0</v>
      </c>
      <c r="AJ158" s="2">
        <f>IF(AND(Games[[#This Row],[Type]]="P",Games[[#This Row],[Round]]=3),IF(Games[[#This Row],[Result]]&lt;0.5,1,0),0)</f>
        <v>0</v>
      </c>
      <c r="AK158" s="2">
        <f>IF(AND(Games[[#This Row],[Type]]="P",Games[[#This Row],[Round]]=4),IF(Games[[#This Row],[Result]]&gt;0.5,1,0),0)</f>
        <v>0</v>
      </c>
      <c r="AL158" s="2">
        <f>IF(AND(Games[[#This Row],[Type]]="P",Games[[#This Row],[Round]]=4),IF(Games[[#This Row],[Result]]&lt;0.5,1,0),0)</f>
        <v>0</v>
      </c>
    </row>
    <row r="159" spans="1:38" x14ac:dyDescent="0.35">
      <c r="A159" s="10">
        <v>40355</v>
      </c>
      <c r="B159" s="2">
        <v>2010</v>
      </c>
      <c r="C159" s="2">
        <f>COUNTIFS(Games[Team],Games[[#This Row],[Team]],Games[Season],Games[[#This Row],[Season]],Games[Date],"&lt;=" &amp; Games[[#This Row],[Date]])</f>
        <v>12</v>
      </c>
      <c r="D159" s="2" t="s">
        <v>23</v>
      </c>
      <c r="E159" s="2" t="s">
        <v>29</v>
      </c>
      <c r="F159" s="1" t="s">
        <v>78</v>
      </c>
      <c r="G159" s="1" t="s">
        <v>71</v>
      </c>
      <c r="H159" s="1" t="s">
        <v>15</v>
      </c>
      <c r="I159" s="2" cm="1">
        <f t="array" ref="I159">IFERROR(
    Games[[#This Row],[Date]]
    - LOOKUP(
        2,
        1/((Games[Team]=Games[[#This Row],[Team]]) * (Games[Date] &lt; Games[[#This Row],[Date]])),
        Games[Date]
    )
    - 1,
Games[[#This Row],[Date]]-$A$2)</f>
        <v>5</v>
      </c>
      <c r="J159" s="2" cm="1">
        <f t="array" ref="J15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59" s="2">
        <f>Games[[#This Row],[DaysOff]]-Games[[#This Row],[OppDaysOff]]</f>
        <v>2</v>
      </c>
      <c r="L159" s="2">
        <f>Games[[#This Row],[OppDaysOff]]-Games[[#This Row],[DaysOff]]</f>
        <v>-2</v>
      </c>
      <c r="M159" s="1">
        <f>MAX(-16, MIN(16, Games[[#This Row],[RestDiff]]*8))</f>
        <v>16</v>
      </c>
      <c r="N159" s="1">
        <f>MAX(-16, MIN(16, Games[[#This Row],[OppRestDiff]]*8))</f>
        <v>-16</v>
      </c>
      <c r="O159" s="4" cm="1">
        <f t="array" ref="O1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1456.76401560208</v>
      </c>
      <c r="P159" s="4" cm="1">
        <f t="array" ref="P1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1428.4579347005445</v>
      </c>
      <c r="Q159" s="4">
        <f>1/(1+10^(((Games[[#This Row],[OppPreGmRate]]+IF(Games[[#This Row],[HomeAway]]="A",HCA,0)+Games[[#This Row],[OppRestAdj]])-(Games[[#This Row],[PreGmRate]]+IF(Games[[#This Row],[HomeAway]]="H",HCA,0)+Games[[#This Row],[RestAdj]]))/400))</f>
        <v>0.69650135162433546</v>
      </c>
      <c r="R159" s="1">
        <v>80</v>
      </c>
      <c r="S159" s="1">
        <v>66</v>
      </c>
      <c r="T159" s="1">
        <v>0</v>
      </c>
      <c r="U159" s="1">
        <f>Games[[#This Row],[PointsFor]]-Games[[#This Row],[PointsAgainst]]</f>
        <v>14</v>
      </c>
      <c r="V159" s="1">
        <f>IF(Games[[#This Row],[MOV]]&gt;0,1,IF(Games[[#This Row],[MOV]]=0,0.5,0))</f>
        <v>1</v>
      </c>
      <c r="W159" s="4">
        <f>((ABS(Games[[#This Row],[MOV]])+5)^0.6)/(12+0.01*(ABS(Games[[#This Row],[PreGmRate]]-Games[[#This Row],[OppPreGmRate]])))*IF(Games[[#This Row],[OT]]=1,0.9,1)</f>
        <v>0.47637126717752298</v>
      </c>
      <c r="X159" s="7" cm="1">
        <f t="array" ref="X15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9" s="9">
        <f>MAX(kmin, kmax - 0.15 * MIN(Games[[#This Row],[GamesPlayed]], 82))</f>
        <v>74.2</v>
      </c>
      <c r="Z159" s="4">
        <f>Games[[#This Row],[K]]*Games[[#This Row],[POMult]]</f>
        <v>74.2</v>
      </c>
      <c r="AA159" s="4">
        <f>(Games[[#This Row],[Keff]]*Games[[#This Row],[MOVMult]])*(Games[[#This Row],[Result]]-Games[[#This Row],[ExpectedWin%]])</f>
        <v>10.727690249932856</v>
      </c>
      <c r="AB159" s="4">
        <f>Games[[#This Row],[PreGmRate]]+Games[[#This Row],[RatingChange]]</f>
        <v>1467.491705852013</v>
      </c>
      <c r="AC159" s="2">
        <f>IF(Games[[#This Row],[Type]]="R",IF(Games[[#This Row],[Result]]&gt;0.5,1,0),0)</f>
        <v>1</v>
      </c>
      <c r="AD159" s="2">
        <f>IF(Games[[#This Row],[Type]]="R",IF(Games[[#This Row],[Result]]&lt;0.5,1,0),0)</f>
        <v>0</v>
      </c>
      <c r="AE159" s="2">
        <f>IF(AND(Games[[#This Row],[Type]]="P",Games[[#This Row],[Round]]=1),IF(Games[[#This Row],[Result]]&gt;0.5,1,0),0)</f>
        <v>0</v>
      </c>
      <c r="AF159" s="2">
        <f>IF(AND(Games[[#This Row],[Type]]="P",Games[[#This Row],[Round]]=1),IF(Games[[#This Row],[Result]]&lt;0.5,1,0),0)</f>
        <v>0</v>
      </c>
      <c r="AG159" s="2">
        <f>IF(AND(Games[[#This Row],[Type]]="P",Games[[#This Row],[Round]]=2),IF(Games[[#This Row],[Result]]&gt;0.5,1,0),0)</f>
        <v>0</v>
      </c>
      <c r="AH159" s="2">
        <f>IF(AND(Games[[#This Row],[Type]]="P",Games[[#This Row],[Round]]=2),IF(Games[[#This Row],[Result]]&lt;0.5,1,0),0)</f>
        <v>0</v>
      </c>
      <c r="AI159" s="2">
        <f>IF(AND(Games[[#This Row],[Type]]="P",Games[[#This Row],[Round]]=3),IF(Games[[#This Row],[Result]]&gt;0.5,1,0),0)</f>
        <v>0</v>
      </c>
      <c r="AJ159" s="2">
        <f>IF(AND(Games[[#This Row],[Type]]="P",Games[[#This Row],[Round]]=3),IF(Games[[#This Row],[Result]]&lt;0.5,1,0),0)</f>
        <v>0</v>
      </c>
      <c r="AK159" s="2">
        <f>IF(AND(Games[[#This Row],[Type]]="P",Games[[#This Row],[Round]]=4),IF(Games[[#This Row],[Result]]&gt;0.5,1,0),0)</f>
        <v>0</v>
      </c>
      <c r="AL159" s="2">
        <f>IF(AND(Games[[#This Row],[Type]]="P",Games[[#This Row],[Round]]=4),IF(Games[[#This Row],[Result]]&lt;0.5,1,0),0)</f>
        <v>0</v>
      </c>
    </row>
    <row r="160" spans="1:38" x14ac:dyDescent="0.35">
      <c r="A160" s="10">
        <v>40356</v>
      </c>
      <c r="B160" s="2">
        <v>2010</v>
      </c>
      <c r="C160" s="2">
        <f>COUNTIFS(Games[Team],Games[[#This Row],[Team]],Games[Season],Games[[#This Row],[Season]],Games[Date],"&lt;=" &amp; Games[[#This Row],[Date]])</f>
        <v>13</v>
      </c>
      <c r="D160" s="2" t="s">
        <v>23</v>
      </c>
      <c r="E160" s="2" t="s">
        <v>29</v>
      </c>
      <c r="F160" s="1" t="s">
        <v>67</v>
      </c>
      <c r="G160" s="1" t="s">
        <v>83</v>
      </c>
      <c r="H160" s="1" t="s">
        <v>16</v>
      </c>
      <c r="I160" s="2" cm="1">
        <f t="array" ref="I160">IFERROR(
    Games[[#This Row],[Date]]
    - LOOKUP(
        2,
        1/((Games[Team]=Games[[#This Row],[Team]]) * (Games[Date] &lt; Games[[#This Row],[Date]])),
        Games[Date]
    )
    - 1,
Games[[#This Row],[Date]]-$A$2)</f>
        <v>2</v>
      </c>
      <c r="J160" s="2" cm="1">
        <f t="array" ref="J16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60" s="2">
        <f>Games[[#This Row],[DaysOff]]-Games[[#This Row],[OppDaysOff]]</f>
        <v>-1</v>
      </c>
      <c r="L160" s="2">
        <f>Games[[#This Row],[OppDaysOff]]-Games[[#This Row],[DaysOff]]</f>
        <v>1</v>
      </c>
      <c r="M160" s="1">
        <f>MAX(-16, MIN(16, Games[[#This Row],[RestDiff]]*8))</f>
        <v>-8</v>
      </c>
      <c r="N160" s="1">
        <f>MAX(-16, MIN(16, Games[[#This Row],[OppRestDiff]]*8))</f>
        <v>8</v>
      </c>
      <c r="O160" s="4" cm="1">
        <f t="array" ref="O1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1456.2308935666942</v>
      </c>
      <c r="P160" s="4" cm="1">
        <f t="array" ref="P1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1560.4680639491412</v>
      </c>
      <c r="Q160" s="4">
        <f>1/(1+10^(((Games[[#This Row],[OppPreGmRate]]+IF(Games[[#This Row],[HomeAway]]="A",HCA,0)+Games[[#This Row],[OppRestAdj]])-(Games[[#This Row],[PreGmRate]]+IF(Games[[#This Row],[HomeAway]]="H",HCA,0)+Games[[#This Row],[RestAdj]]))/400))</f>
        <v>0.2358291730222476</v>
      </c>
      <c r="R160" s="1">
        <v>81</v>
      </c>
      <c r="S160" s="1">
        <v>89</v>
      </c>
      <c r="T160" s="1">
        <v>0</v>
      </c>
      <c r="U160" s="1">
        <f>Games[[#This Row],[PointsFor]]-Games[[#This Row],[PointsAgainst]]</f>
        <v>-8</v>
      </c>
      <c r="V160" s="1">
        <f>IF(Games[[#This Row],[MOV]]&gt;0,1,IF(Games[[#This Row],[MOV]]=0,0.5,0))</f>
        <v>0</v>
      </c>
      <c r="W160" s="4">
        <f>((ABS(Games[[#This Row],[MOV]])+5)^0.6)/(12+0.01*(ABS(Games[[#This Row],[PreGmRate]]-Games[[#This Row],[OppPreGmRate]])))*IF(Games[[#This Row],[OT]]=1,0.9,1)</f>
        <v>0.35728060247429205</v>
      </c>
      <c r="X160" s="7" cm="1">
        <f t="array" ref="X16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0" s="9">
        <f>MAX(kmin, kmax - 0.15 * MIN(Games[[#This Row],[GamesPlayed]], 82))</f>
        <v>74.05</v>
      </c>
      <c r="Z160" s="4">
        <f>Games[[#This Row],[K]]*Games[[#This Row],[POMult]]</f>
        <v>74.05</v>
      </c>
      <c r="AA160" s="4">
        <f>(Games[[#This Row],[Keff]]*Games[[#This Row],[MOVMult]])*(Games[[#This Row],[Result]]-Games[[#This Row],[ExpectedWin%]])</f>
        <v>-6.2392448468127188</v>
      </c>
      <c r="AB160" s="4">
        <f>Games[[#This Row],[PreGmRate]]+Games[[#This Row],[RatingChange]]</f>
        <v>1449.9916487198816</v>
      </c>
      <c r="AC160" s="2">
        <f>IF(Games[[#This Row],[Type]]="R",IF(Games[[#This Row],[Result]]&gt;0.5,1,0),0)</f>
        <v>0</v>
      </c>
      <c r="AD160" s="2">
        <f>IF(Games[[#This Row],[Type]]="R",IF(Games[[#This Row],[Result]]&lt;0.5,1,0),0)</f>
        <v>1</v>
      </c>
      <c r="AE160" s="2">
        <f>IF(AND(Games[[#This Row],[Type]]="P",Games[[#This Row],[Round]]=1),IF(Games[[#This Row],[Result]]&gt;0.5,1,0),0)</f>
        <v>0</v>
      </c>
      <c r="AF160" s="2">
        <f>IF(AND(Games[[#This Row],[Type]]="P",Games[[#This Row],[Round]]=1),IF(Games[[#This Row],[Result]]&lt;0.5,1,0),0)</f>
        <v>0</v>
      </c>
      <c r="AG160" s="2">
        <f>IF(AND(Games[[#This Row],[Type]]="P",Games[[#This Row],[Round]]=2),IF(Games[[#This Row],[Result]]&gt;0.5,1,0),0)</f>
        <v>0</v>
      </c>
      <c r="AH160" s="2">
        <f>IF(AND(Games[[#This Row],[Type]]="P",Games[[#This Row],[Round]]=2),IF(Games[[#This Row],[Result]]&lt;0.5,1,0),0)</f>
        <v>0</v>
      </c>
      <c r="AI160" s="2">
        <f>IF(AND(Games[[#This Row],[Type]]="P",Games[[#This Row],[Round]]=3),IF(Games[[#This Row],[Result]]&gt;0.5,1,0),0)</f>
        <v>0</v>
      </c>
      <c r="AJ160" s="2">
        <f>IF(AND(Games[[#This Row],[Type]]="P",Games[[#This Row],[Round]]=3),IF(Games[[#This Row],[Result]]&lt;0.5,1,0),0)</f>
        <v>0</v>
      </c>
      <c r="AK160" s="2">
        <f>IF(AND(Games[[#This Row],[Type]]="P",Games[[#This Row],[Round]]=4),IF(Games[[#This Row],[Result]]&gt;0.5,1,0),0)</f>
        <v>0</v>
      </c>
      <c r="AL160" s="2">
        <f>IF(AND(Games[[#This Row],[Type]]="P",Games[[#This Row],[Round]]=4),IF(Games[[#This Row],[Result]]&lt;0.5,1,0),0)</f>
        <v>0</v>
      </c>
    </row>
    <row r="161" spans="1:38" x14ac:dyDescent="0.35">
      <c r="A161" s="10">
        <v>40356</v>
      </c>
      <c r="B161" s="2">
        <v>2010</v>
      </c>
      <c r="C161" s="2">
        <f>COUNTIFS(Games[Team],Games[[#This Row],[Team]],Games[Season],Games[[#This Row],[Season]],Games[Date],"&lt;=" &amp; Games[[#This Row],[Date]])</f>
        <v>15</v>
      </c>
      <c r="D161" s="2" t="s">
        <v>23</v>
      </c>
      <c r="E161" s="2" t="s">
        <v>29</v>
      </c>
      <c r="F161" s="1" t="s">
        <v>83</v>
      </c>
      <c r="G161" s="1" t="s">
        <v>67</v>
      </c>
      <c r="H161" s="1" t="s">
        <v>15</v>
      </c>
      <c r="I161" s="2" cm="1">
        <f t="array" ref="I161">IFERROR(
    Games[[#This Row],[Date]]
    - LOOKUP(
        2,
        1/((Games[Team]=Games[[#This Row],[Team]]) * (Games[Date] &lt; Games[[#This Row],[Date]])),
        Games[Date]
    )
    - 1,
Games[[#This Row],[Date]]-$A$2)</f>
        <v>3</v>
      </c>
      <c r="J161" s="2" cm="1">
        <f t="array" ref="J16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61" s="2">
        <f>Games[[#This Row],[DaysOff]]-Games[[#This Row],[OppDaysOff]]</f>
        <v>1</v>
      </c>
      <c r="L161" s="2">
        <f>Games[[#This Row],[OppDaysOff]]-Games[[#This Row],[DaysOff]]</f>
        <v>-1</v>
      </c>
      <c r="M161" s="1">
        <f>MAX(-16, MIN(16, Games[[#This Row],[RestDiff]]*8))</f>
        <v>8</v>
      </c>
      <c r="N161" s="1">
        <f>MAX(-16, MIN(16, Games[[#This Row],[OppRestDiff]]*8))</f>
        <v>-8</v>
      </c>
      <c r="O161" s="4" cm="1">
        <f t="array" ref="O1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1560.4680639491412</v>
      </c>
      <c r="P161" s="4" cm="1">
        <f t="array" ref="P1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1456.2308935666942</v>
      </c>
      <c r="Q161" s="4">
        <f>1/(1+10^(((Games[[#This Row],[OppPreGmRate]]+IF(Games[[#This Row],[HomeAway]]="A",HCA,0)+Games[[#This Row],[OppRestAdj]])-(Games[[#This Row],[PreGmRate]]+IF(Games[[#This Row],[HomeAway]]="H",HCA,0)+Games[[#This Row],[RestAdj]]))/400))</f>
        <v>0.7641708269777524</v>
      </c>
      <c r="R161" s="1">
        <v>89</v>
      </c>
      <c r="S161" s="1">
        <v>81</v>
      </c>
      <c r="T161" s="1">
        <v>0</v>
      </c>
      <c r="U161" s="1">
        <f>Games[[#This Row],[PointsFor]]-Games[[#This Row],[PointsAgainst]]</f>
        <v>8</v>
      </c>
      <c r="V161" s="1">
        <f>IF(Games[[#This Row],[MOV]]&gt;0,1,IF(Games[[#This Row],[MOV]]=0,0.5,0))</f>
        <v>1</v>
      </c>
      <c r="W161" s="4">
        <f>((ABS(Games[[#This Row],[MOV]])+5)^0.6)/(12+0.01*(ABS(Games[[#This Row],[PreGmRate]]-Games[[#This Row],[OppPreGmRate]])))*IF(Games[[#This Row],[OT]]=1,0.9,1)</f>
        <v>0.35728060247429205</v>
      </c>
      <c r="X161" s="7" cm="1">
        <f t="array" ref="X16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1" s="9">
        <f>MAX(kmin, kmax - 0.15 * MIN(Games[[#This Row],[GamesPlayed]], 82))</f>
        <v>73.75</v>
      </c>
      <c r="Z161" s="4">
        <f>Games[[#This Row],[K]]*Games[[#This Row],[POMult]]</f>
        <v>73.75</v>
      </c>
      <c r="AA161" s="4">
        <f>(Games[[#This Row],[Keff]]*Games[[#This Row],[MOVMult]])*(Games[[#This Row],[Result]]-Games[[#This Row],[ExpectedWin%]])</f>
        <v>6.2139676901071983</v>
      </c>
      <c r="AB161" s="4">
        <f>Games[[#This Row],[PreGmRate]]+Games[[#This Row],[RatingChange]]</f>
        <v>1566.6820316392484</v>
      </c>
      <c r="AC161" s="2">
        <f>IF(Games[[#This Row],[Type]]="R",IF(Games[[#This Row],[Result]]&gt;0.5,1,0),0)</f>
        <v>1</v>
      </c>
      <c r="AD161" s="2">
        <f>IF(Games[[#This Row],[Type]]="R",IF(Games[[#This Row],[Result]]&lt;0.5,1,0),0)</f>
        <v>0</v>
      </c>
      <c r="AE161" s="2">
        <f>IF(AND(Games[[#This Row],[Type]]="P",Games[[#This Row],[Round]]=1),IF(Games[[#This Row],[Result]]&gt;0.5,1,0),0)</f>
        <v>0</v>
      </c>
      <c r="AF161" s="2">
        <f>IF(AND(Games[[#This Row],[Type]]="P",Games[[#This Row],[Round]]=1),IF(Games[[#This Row],[Result]]&lt;0.5,1,0),0)</f>
        <v>0</v>
      </c>
      <c r="AG161" s="2">
        <f>IF(AND(Games[[#This Row],[Type]]="P",Games[[#This Row],[Round]]=2),IF(Games[[#This Row],[Result]]&gt;0.5,1,0),0)</f>
        <v>0</v>
      </c>
      <c r="AH161" s="2">
        <f>IF(AND(Games[[#This Row],[Type]]="P",Games[[#This Row],[Round]]=2),IF(Games[[#This Row],[Result]]&lt;0.5,1,0),0)</f>
        <v>0</v>
      </c>
      <c r="AI161" s="2">
        <f>IF(AND(Games[[#This Row],[Type]]="P",Games[[#This Row],[Round]]=3),IF(Games[[#This Row],[Result]]&gt;0.5,1,0),0)</f>
        <v>0</v>
      </c>
      <c r="AJ161" s="2">
        <f>IF(AND(Games[[#This Row],[Type]]="P",Games[[#This Row],[Round]]=3),IF(Games[[#This Row],[Result]]&lt;0.5,1,0),0)</f>
        <v>0</v>
      </c>
      <c r="AK161" s="2">
        <f>IF(AND(Games[[#This Row],[Type]]="P",Games[[#This Row],[Round]]=4),IF(Games[[#This Row],[Result]]&gt;0.5,1,0),0)</f>
        <v>0</v>
      </c>
      <c r="AL161" s="2">
        <f>IF(AND(Games[[#This Row],[Type]]="P",Games[[#This Row],[Round]]=4),IF(Games[[#This Row],[Result]]&lt;0.5,1,0),0)</f>
        <v>0</v>
      </c>
    </row>
    <row r="162" spans="1:38" x14ac:dyDescent="0.35">
      <c r="A162" s="10">
        <v>40356</v>
      </c>
      <c r="B162" s="2">
        <v>2010</v>
      </c>
      <c r="C162" s="2">
        <f>COUNTIFS(Games[Team],Games[[#This Row],[Team]],Games[Season],Games[[#This Row],[Season]],Games[Date],"&lt;=" &amp; Games[[#This Row],[Date]])</f>
        <v>14</v>
      </c>
      <c r="D162" s="2" t="s">
        <v>23</v>
      </c>
      <c r="E162" s="2" t="s">
        <v>29</v>
      </c>
      <c r="F162" s="1" t="s">
        <v>73</v>
      </c>
      <c r="G162" s="1" t="s">
        <v>81</v>
      </c>
      <c r="H162" s="1" t="s">
        <v>16</v>
      </c>
      <c r="I162" s="2" cm="1">
        <f t="array" ref="I16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2" s="2" cm="1">
        <f t="array" ref="J16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2" s="2">
        <f>Games[[#This Row],[DaysOff]]-Games[[#This Row],[OppDaysOff]]</f>
        <v>0</v>
      </c>
      <c r="L162" s="2">
        <f>Games[[#This Row],[OppDaysOff]]-Games[[#This Row],[DaysOff]]</f>
        <v>0</v>
      </c>
      <c r="M162" s="1">
        <f>MAX(-16, MIN(16, Games[[#This Row],[RestDiff]]*8))</f>
        <v>0</v>
      </c>
      <c r="N162" s="1">
        <f>MAX(-16, MIN(16, Games[[#This Row],[OppRestDiff]]*8))</f>
        <v>0</v>
      </c>
      <c r="O162" s="4" cm="1">
        <f t="array" ref="O1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1572.944016109604</v>
      </c>
      <c r="P162" s="4" cm="1">
        <f t="array" ref="P1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1473.4722498606934</v>
      </c>
      <c r="Q162" s="4">
        <f>1/(1+10^(((Games[[#This Row],[OppPreGmRate]]+IF(Games[[#This Row],[HomeAway]]="A",HCA,0)+Games[[#This Row],[OppRestAdj]])-(Games[[#This Row],[PreGmRate]]+IF(Games[[#This Row],[HomeAway]]="H",HCA,0)+Games[[#This Row],[RestAdj]]))/400))</f>
        <v>0.52225095522989184</v>
      </c>
      <c r="R162" s="1">
        <v>70</v>
      </c>
      <c r="S162" s="1">
        <v>64</v>
      </c>
      <c r="T162" s="1">
        <v>0</v>
      </c>
      <c r="U162" s="1">
        <f>Games[[#This Row],[PointsFor]]-Games[[#This Row],[PointsAgainst]]</f>
        <v>6</v>
      </c>
      <c r="V162" s="1">
        <f>IF(Games[[#This Row],[MOV]]&gt;0,1,IF(Games[[#This Row],[MOV]]=0,0.5,0))</f>
        <v>1</v>
      </c>
      <c r="W162" s="4">
        <f>((ABS(Games[[#This Row],[MOV]])+5)^0.6)/(12+0.01*(ABS(Games[[#This Row],[PreGmRate]]-Games[[#This Row],[OppPreGmRate]])))*IF(Games[[#This Row],[OT]]=1,0.9,1)</f>
        <v>0.32439097505443271</v>
      </c>
      <c r="X162" s="7" cm="1">
        <f t="array" ref="X16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2" s="9">
        <f>MAX(kmin, kmax - 0.15 * MIN(Games[[#This Row],[GamesPlayed]], 82))</f>
        <v>73.900000000000006</v>
      </c>
      <c r="Z162" s="4">
        <f>Games[[#This Row],[K]]*Games[[#This Row],[POMult]]</f>
        <v>73.900000000000006</v>
      </c>
      <c r="AA162" s="4">
        <f>(Games[[#This Row],[Keff]]*Games[[#This Row],[MOVMult]])*(Games[[#This Row],[Result]]-Games[[#This Row],[ExpectedWin%]])</f>
        <v>11.452835658511713</v>
      </c>
      <c r="AB162" s="4">
        <f>Games[[#This Row],[PreGmRate]]+Games[[#This Row],[RatingChange]]</f>
        <v>1584.3968517681158</v>
      </c>
      <c r="AC162" s="2">
        <f>IF(Games[[#This Row],[Type]]="R",IF(Games[[#This Row],[Result]]&gt;0.5,1,0),0)</f>
        <v>1</v>
      </c>
      <c r="AD162" s="2">
        <f>IF(Games[[#This Row],[Type]]="R",IF(Games[[#This Row],[Result]]&lt;0.5,1,0),0)</f>
        <v>0</v>
      </c>
      <c r="AE162" s="2">
        <f>IF(AND(Games[[#This Row],[Type]]="P",Games[[#This Row],[Round]]=1),IF(Games[[#This Row],[Result]]&gt;0.5,1,0),0)</f>
        <v>0</v>
      </c>
      <c r="AF162" s="2">
        <f>IF(AND(Games[[#This Row],[Type]]="P",Games[[#This Row],[Round]]=1),IF(Games[[#This Row],[Result]]&lt;0.5,1,0),0)</f>
        <v>0</v>
      </c>
      <c r="AG162" s="2">
        <f>IF(AND(Games[[#This Row],[Type]]="P",Games[[#This Row],[Round]]=2),IF(Games[[#This Row],[Result]]&gt;0.5,1,0),0)</f>
        <v>0</v>
      </c>
      <c r="AH162" s="2">
        <f>IF(AND(Games[[#This Row],[Type]]="P",Games[[#This Row],[Round]]=2),IF(Games[[#This Row],[Result]]&lt;0.5,1,0),0)</f>
        <v>0</v>
      </c>
      <c r="AI162" s="2">
        <f>IF(AND(Games[[#This Row],[Type]]="P",Games[[#This Row],[Round]]=3),IF(Games[[#This Row],[Result]]&gt;0.5,1,0),0)</f>
        <v>0</v>
      </c>
      <c r="AJ162" s="2">
        <f>IF(AND(Games[[#This Row],[Type]]="P",Games[[#This Row],[Round]]=3),IF(Games[[#This Row],[Result]]&lt;0.5,1,0),0)</f>
        <v>0</v>
      </c>
      <c r="AK162" s="2">
        <f>IF(AND(Games[[#This Row],[Type]]="P",Games[[#This Row],[Round]]=4),IF(Games[[#This Row],[Result]]&gt;0.5,1,0),0)</f>
        <v>0</v>
      </c>
      <c r="AL162" s="2">
        <f>IF(AND(Games[[#This Row],[Type]]="P",Games[[#This Row],[Round]]=4),IF(Games[[#This Row],[Result]]&lt;0.5,1,0),0)</f>
        <v>0</v>
      </c>
    </row>
    <row r="163" spans="1:38" x14ac:dyDescent="0.35">
      <c r="A163" s="10">
        <v>40356</v>
      </c>
      <c r="B163" s="2">
        <v>2010</v>
      </c>
      <c r="C163" s="2">
        <f>COUNTIFS(Games[Team],Games[[#This Row],[Team]],Games[Season],Games[[#This Row],[Season]],Games[Date],"&lt;=" &amp; Games[[#This Row],[Date]])</f>
        <v>15</v>
      </c>
      <c r="D163" s="2" t="s">
        <v>23</v>
      </c>
      <c r="E163" s="2" t="s">
        <v>29</v>
      </c>
      <c r="F163" s="1" t="s">
        <v>81</v>
      </c>
      <c r="G163" s="1" t="s">
        <v>73</v>
      </c>
      <c r="H163" s="1" t="s">
        <v>15</v>
      </c>
      <c r="I163" s="2" cm="1">
        <f t="array" ref="I16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3" s="2" cm="1">
        <f t="array" ref="J16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3" s="2">
        <f>Games[[#This Row],[DaysOff]]-Games[[#This Row],[OppDaysOff]]</f>
        <v>0</v>
      </c>
      <c r="L163" s="2">
        <f>Games[[#This Row],[OppDaysOff]]-Games[[#This Row],[DaysOff]]</f>
        <v>0</v>
      </c>
      <c r="M163" s="1">
        <f>MAX(-16, MIN(16, Games[[#This Row],[RestDiff]]*8))</f>
        <v>0</v>
      </c>
      <c r="N163" s="1">
        <f>MAX(-16, MIN(16, Games[[#This Row],[OppRestDiff]]*8))</f>
        <v>0</v>
      </c>
      <c r="O163" s="4" cm="1">
        <f t="array" ref="O1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1473.4722498606934</v>
      </c>
      <c r="P163" s="4" cm="1">
        <f t="array" ref="P1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1572.944016109604</v>
      </c>
      <c r="Q163" s="4">
        <f>1/(1+10^(((Games[[#This Row],[OppPreGmRate]]+IF(Games[[#This Row],[HomeAway]]="A",HCA,0)+Games[[#This Row],[OppRestAdj]])-(Games[[#This Row],[PreGmRate]]+IF(Games[[#This Row],[HomeAway]]="H",HCA,0)+Games[[#This Row],[RestAdj]]))/400))</f>
        <v>0.47774904477010821</v>
      </c>
      <c r="R163" s="1">
        <v>64</v>
      </c>
      <c r="S163" s="1">
        <v>70</v>
      </c>
      <c r="T163" s="1">
        <v>0</v>
      </c>
      <c r="U163" s="1">
        <f>Games[[#This Row],[PointsFor]]-Games[[#This Row],[PointsAgainst]]</f>
        <v>-6</v>
      </c>
      <c r="V163" s="1">
        <f>IF(Games[[#This Row],[MOV]]&gt;0,1,IF(Games[[#This Row],[MOV]]=0,0.5,0))</f>
        <v>0</v>
      </c>
      <c r="W163" s="4">
        <f>((ABS(Games[[#This Row],[MOV]])+5)^0.6)/(12+0.01*(ABS(Games[[#This Row],[PreGmRate]]-Games[[#This Row],[OppPreGmRate]])))*IF(Games[[#This Row],[OT]]=1,0.9,1)</f>
        <v>0.32439097505443271</v>
      </c>
      <c r="X163" s="7" cm="1">
        <f t="array" ref="X16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3" s="9">
        <f>MAX(kmin, kmax - 0.15 * MIN(Games[[#This Row],[GamesPlayed]], 82))</f>
        <v>73.75</v>
      </c>
      <c r="Z163" s="4">
        <f>Games[[#This Row],[K]]*Games[[#This Row],[POMult]]</f>
        <v>73.75</v>
      </c>
      <c r="AA163" s="4">
        <f>(Games[[#This Row],[Keff]]*Games[[#This Row],[MOVMult]])*(Games[[#This Row],[Result]]-Games[[#This Row],[ExpectedWin%]])</f>
        <v>-11.429589036742067</v>
      </c>
      <c r="AB163" s="4">
        <f>Games[[#This Row],[PreGmRate]]+Games[[#This Row],[RatingChange]]</f>
        <v>1462.0426608239513</v>
      </c>
      <c r="AC163" s="2">
        <f>IF(Games[[#This Row],[Type]]="R",IF(Games[[#This Row],[Result]]&gt;0.5,1,0),0)</f>
        <v>0</v>
      </c>
      <c r="AD163" s="2">
        <f>IF(Games[[#This Row],[Type]]="R",IF(Games[[#This Row],[Result]]&lt;0.5,1,0),0)</f>
        <v>1</v>
      </c>
      <c r="AE163" s="2">
        <f>IF(AND(Games[[#This Row],[Type]]="P",Games[[#This Row],[Round]]=1),IF(Games[[#This Row],[Result]]&gt;0.5,1,0),0)</f>
        <v>0</v>
      </c>
      <c r="AF163" s="2">
        <f>IF(AND(Games[[#This Row],[Type]]="P",Games[[#This Row],[Round]]=1),IF(Games[[#This Row],[Result]]&lt;0.5,1,0),0)</f>
        <v>0</v>
      </c>
      <c r="AG163" s="2">
        <f>IF(AND(Games[[#This Row],[Type]]="P",Games[[#This Row],[Round]]=2),IF(Games[[#This Row],[Result]]&gt;0.5,1,0),0)</f>
        <v>0</v>
      </c>
      <c r="AH163" s="2">
        <f>IF(AND(Games[[#This Row],[Type]]="P",Games[[#This Row],[Round]]=2),IF(Games[[#This Row],[Result]]&lt;0.5,1,0),0)</f>
        <v>0</v>
      </c>
      <c r="AI163" s="2">
        <f>IF(AND(Games[[#This Row],[Type]]="P",Games[[#This Row],[Round]]=3),IF(Games[[#This Row],[Result]]&gt;0.5,1,0),0)</f>
        <v>0</v>
      </c>
      <c r="AJ163" s="2">
        <f>IF(AND(Games[[#This Row],[Type]]="P",Games[[#This Row],[Round]]=3),IF(Games[[#This Row],[Result]]&lt;0.5,1,0),0)</f>
        <v>0</v>
      </c>
      <c r="AK163" s="2">
        <f>IF(AND(Games[[#This Row],[Type]]="P",Games[[#This Row],[Round]]=4),IF(Games[[#This Row],[Result]]&gt;0.5,1,0),0)</f>
        <v>0</v>
      </c>
      <c r="AL163" s="2">
        <f>IF(AND(Games[[#This Row],[Type]]="P",Games[[#This Row],[Round]]=4),IF(Games[[#This Row],[Result]]&lt;0.5,1,0),0)</f>
        <v>0</v>
      </c>
    </row>
    <row r="164" spans="1:38" x14ac:dyDescent="0.35">
      <c r="A164" s="10">
        <v>40356</v>
      </c>
      <c r="B164" s="2">
        <v>2010</v>
      </c>
      <c r="C164" s="2">
        <f>COUNTIFS(Games[Team],Games[[#This Row],[Team]],Games[Season],Games[[#This Row],[Season]],Games[Date],"&lt;=" &amp; Games[[#This Row],[Date]])</f>
        <v>14</v>
      </c>
      <c r="D164" s="2" t="s">
        <v>23</v>
      </c>
      <c r="E164" s="2" t="s">
        <v>29</v>
      </c>
      <c r="F164" s="1" t="s">
        <v>80</v>
      </c>
      <c r="G164" s="1" t="s">
        <v>64</v>
      </c>
      <c r="H164" s="1" t="s">
        <v>16</v>
      </c>
      <c r="I164" s="2" cm="1">
        <f t="array" ref="I16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4" s="2" cm="1">
        <f t="array" ref="J16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4" s="2">
        <f>Games[[#This Row],[DaysOff]]-Games[[#This Row],[OppDaysOff]]</f>
        <v>0</v>
      </c>
      <c r="L164" s="2">
        <f>Games[[#This Row],[OppDaysOff]]-Games[[#This Row],[DaysOff]]</f>
        <v>0</v>
      </c>
      <c r="M164" s="1">
        <f>MAX(-16, MIN(16, Games[[#This Row],[RestDiff]]*8))</f>
        <v>0</v>
      </c>
      <c r="N164" s="1">
        <f>MAX(-16, MIN(16, Games[[#This Row],[OppRestDiff]]*8))</f>
        <v>0</v>
      </c>
      <c r="O164" s="4" cm="1">
        <f t="array" ref="O1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1541.154424914226</v>
      </c>
      <c r="P164" s="4" cm="1">
        <f t="array" ref="P1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1469.526966215275</v>
      </c>
      <c r="Q164" s="4">
        <f>1/(1+10^(((Games[[#This Row],[OppPreGmRate]]+IF(Games[[#This Row],[HomeAway]]="A",HCA,0)+Games[[#This Row],[OppRestAdj]])-(Games[[#This Row],[PreGmRate]]+IF(Games[[#This Row],[HomeAway]]="H",HCA,0)+Games[[#This Row],[RestAdj]]))/400))</f>
        <v>0.48220200462267054</v>
      </c>
      <c r="R164" s="1">
        <v>68</v>
      </c>
      <c r="S164" s="1">
        <v>77</v>
      </c>
      <c r="T164" s="1">
        <v>0</v>
      </c>
      <c r="U164" s="1">
        <f>Games[[#This Row],[PointsFor]]-Games[[#This Row],[PointsAgainst]]</f>
        <v>-9</v>
      </c>
      <c r="V164" s="1">
        <f>IF(Games[[#This Row],[MOV]]&gt;0,1,IF(Games[[#This Row],[MOV]]=0,0.5,0))</f>
        <v>0</v>
      </c>
      <c r="W164" s="4">
        <f>((ABS(Games[[#This Row],[MOV]])+5)^0.6)/(12+0.01*(ABS(Games[[#This Row],[PreGmRate]]-Games[[#This Row],[OppPreGmRate]])))*IF(Games[[#This Row],[OT]]=1,0.9,1)</f>
        <v>0.3831042096834939</v>
      </c>
      <c r="X164" s="7" cm="1">
        <f t="array" ref="X16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4" s="9">
        <f>MAX(kmin, kmax - 0.15 * MIN(Games[[#This Row],[GamesPlayed]], 82))</f>
        <v>73.900000000000006</v>
      </c>
      <c r="Z164" s="4">
        <f>Games[[#This Row],[K]]*Games[[#This Row],[POMult]]</f>
        <v>73.900000000000006</v>
      </c>
      <c r="AA164" s="4">
        <f>(Games[[#This Row],[Keff]]*Games[[#This Row],[MOVMult]])*(Games[[#This Row],[Result]]-Games[[#This Row],[ExpectedWin%]])</f>
        <v>-13.65181436197971</v>
      </c>
      <c r="AB164" s="4">
        <f>Games[[#This Row],[PreGmRate]]+Games[[#This Row],[RatingChange]]</f>
        <v>1527.5026105522463</v>
      </c>
      <c r="AC164" s="2">
        <f>IF(Games[[#This Row],[Type]]="R",IF(Games[[#This Row],[Result]]&gt;0.5,1,0),0)</f>
        <v>0</v>
      </c>
      <c r="AD164" s="2">
        <f>IF(Games[[#This Row],[Type]]="R",IF(Games[[#This Row],[Result]]&lt;0.5,1,0),0)</f>
        <v>1</v>
      </c>
      <c r="AE164" s="2">
        <f>IF(AND(Games[[#This Row],[Type]]="P",Games[[#This Row],[Round]]=1),IF(Games[[#This Row],[Result]]&gt;0.5,1,0),0)</f>
        <v>0</v>
      </c>
      <c r="AF164" s="2">
        <f>IF(AND(Games[[#This Row],[Type]]="P",Games[[#This Row],[Round]]=1),IF(Games[[#This Row],[Result]]&lt;0.5,1,0),0)</f>
        <v>0</v>
      </c>
      <c r="AG164" s="2">
        <f>IF(AND(Games[[#This Row],[Type]]="P",Games[[#This Row],[Round]]=2),IF(Games[[#This Row],[Result]]&gt;0.5,1,0),0)</f>
        <v>0</v>
      </c>
      <c r="AH164" s="2">
        <f>IF(AND(Games[[#This Row],[Type]]="P",Games[[#This Row],[Round]]=2),IF(Games[[#This Row],[Result]]&lt;0.5,1,0),0)</f>
        <v>0</v>
      </c>
      <c r="AI164" s="2">
        <f>IF(AND(Games[[#This Row],[Type]]="P",Games[[#This Row],[Round]]=3),IF(Games[[#This Row],[Result]]&gt;0.5,1,0),0)</f>
        <v>0</v>
      </c>
      <c r="AJ164" s="2">
        <f>IF(AND(Games[[#This Row],[Type]]="P",Games[[#This Row],[Round]]=3),IF(Games[[#This Row],[Result]]&lt;0.5,1,0),0)</f>
        <v>0</v>
      </c>
      <c r="AK164" s="2">
        <f>IF(AND(Games[[#This Row],[Type]]="P",Games[[#This Row],[Round]]=4),IF(Games[[#This Row],[Result]]&gt;0.5,1,0),0)</f>
        <v>0</v>
      </c>
      <c r="AL164" s="2">
        <f>IF(AND(Games[[#This Row],[Type]]="P",Games[[#This Row],[Round]]=4),IF(Games[[#This Row],[Result]]&lt;0.5,1,0),0)</f>
        <v>0</v>
      </c>
    </row>
    <row r="165" spans="1:38" x14ac:dyDescent="0.35">
      <c r="A165" s="10">
        <v>40356</v>
      </c>
      <c r="B165" s="2">
        <v>2010</v>
      </c>
      <c r="C165" s="2">
        <f>COUNTIFS(Games[Team],Games[[#This Row],[Team]],Games[Season],Games[[#This Row],[Season]],Games[Date],"&lt;=" &amp; Games[[#This Row],[Date]])</f>
        <v>13</v>
      </c>
      <c r="D165" s="2" t="s">
        <v>23</v>
      </c>
      <c r="E165" s="2" t="s">
        <v>29</v>
      </c>
      <c r="F165" s="1" t="s">
        <v>64</v>
      </c>
      <c r="G165" s="1" t="s">
        <v>80</v>
      </c>
      <c r="H165" s="1" t="s">
        <v>15</v>
      </c>
      <c r="I165" s="2" cm="1">
        <f t="array" ref="I16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5" s="2" cm="1">
        <f t="array" ref="J16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5" s="2">
        <f>Games[[#This Row],[DaysOff]]-Games[[#This Row],[OppDaysOff]]</f>
        <v>0</v>
      </c>
      <c r="L165" s="2">
        <f>Games[[#This Row],[OppDaysOff]]-Games[[#This Row],[DaysOff]]</f>
        <v>0</v>
      </c>
      <c r="M165" s="1">
        <f>MAX(-16, MIN(16, Games[[#This Row],[RestDiff]]*8))</f>
        <v>0</v>
      </c>
      <c r="N165" s="1">
        <f>MAX(-16, MIN(16, Games[[#This Row],[OppRestDiff]]*8))</f>
        <v>0</v>
      </c>
      <c r="O165" s="4" cm="1">
        <f t="array" ref="O1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1469.526966215275</v>
      </c>
      <c r="P165" s="4" cm="1">
        <f t="array" ref="P1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1541.154424914226</v>
      </c>
      <c r="Q165" s="4">
        <f>1/(1+10^(((Games[[#This Row],[OppPreGmRate]]+IF(Games[[#This Row],[HomeAway]]="A",HCA,0)+Games[[#This Row],[OppRestAdj]])-(Games[[#This Row],[PreGmRate]]+IF(Games[[#This Row],[HomeAway]]="H",HCA,0)+Games[[#This Row],[RestAdj]]))/400))</f>
        <v>0.51779799537732951</v>
      </c>
      <c r="R165" s="1">
        <v>77</v>
      </c>
      <c r="S165" s="1">
        <v>68</v>
      </c>
      <c r="T165" s="1">
        <v>0</v>
      </c>
      <c r="U165" s="1">
        <f>Games[[#This Row],[PointsFor]]-Games[[#This Row],[PointsAgainst]]</f>
        <v>9</v>
      </c>
      <c r="V165" s="1">
        <f>IF(Games[[#This Row],[MOV]]&gt;0,1,IF(Games[[#This Row],[MOV]]=0,0.5,0))</f>
        <v>1</v>
      </c>
      <c r="W165" s="4">
        <f>((ABS(Games[[#This Row],[MOV]])+5)^0.6)/(12+0.01*(ABS(Games[[#This Row],[PreGmRate]]-Games[[#This Row],[OppPreGmRate]])))*IF(Games[[#This Row],[OT]]=1,0.9,1)</f>
        <v>0.3831042096834939</v>
      </c>
      <c r="X165" s="7" cm="1">
        <f t="array" ref="X16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5" s="9">
        <f>MAX(kmin, kmax - 0.15 * MIN(Games[[#This Row],[GamesPlayed]], 82))</f>
        <v>74.05</v>
      </c>
      <c r="Z165" s="4">
        <f>Games[[#This Row],[K]]*Games[[#This Row],[POMult]]</f>
        <v>74.05</v>
      </c>
      <c r="AA165" s="4">
        <f>(Games[[#This Row],[Keff]]*Games[[#This Row],[MOVMult]])*(Games[[#This Row],[Result]]-Games[[#This Row],[ExpectedWin%]])</f>
        <v>13.679524404663022</v>
      </c>
      <c r="AB165" s="4">
        <f>Games[[#This Row],[PreGmRate]]+Games[[#This Row],[RatingChange]]</f>
        <v>1483.206490619938</v>
      </c>
      <c r="AC165" s="2">
        <f>IF(Games[[#This Row],[Type]]="R",IF(Games[[#This Row],[Result]]&gt;0.5,1,0),0)</f>
        <v>1</v>
      </c>
      <c r="AD165" s="2">
        <f>IF(Games[[#This Row],[Type]]="R",IF(Games[[#This Row],[Result]]&lt;0.5,1,0),0)</f>
        <v>0</v>
      </c>
      <c r="AE165" s="2">
        <f>IF(AND(Games[[#This Row],[Type]]="P",Games[[#This Row],[Round]]=1),IF(Games[[#This Row],[Result]]&gt;0.5,1,0),0)</f>
        <v>0</v>
      </c>
      <c r="AF165" s="2">
        <f>IF(AND(Games[[#This Row],[Type]]="P",Games[[#This Row],[Round]]=1),IF(Games[[#This Row],[Result]]&lt;0.5,1,0),0)</f>
        <v>0</v>
      </c>
      <c r="AG165" s="2">
        <f>IF(AND(Games[[#This Row],[Type]]="P",Games[[#This Row],[Round]]=2),IF(Games[[#This Row],[Result]]&gt;0.5,1,0),0)</f>
        <v>0</v>
      </c>
      <c r="AH165" s="2">
        <f>IF(AND(Games[[#This Row],[Type]]="P",Games[[#This Row],[Round]]=2),IF(Games[[#This Row],[Result]]&lt;0.5,1,0),0)</f>
        <v>0</v>
      </c>
      <c r="AI165" s="2">
        <f>IF(AND(Games[[#This Row],[Type]]="P",Games[[#This Row],[Round]]=3),IF(Games[[#This Row],[Result]]&gt;0.5,1,0),0)</f>
        <v>0</v>
      </c>
      <c r="AJ165" s="2">
        <f>IF(AND(Games[[#This Row],[Type]]="P",Games[[#This Row],[Round]]=3),IF(Games[[#This Row],[Result]]&lt;0.5,1,0),0)</f>
        <v>0</v>
      </c>
      <c r="AK165" s="2">
        <f>IF(AND(Games[[#This Row],[Type]]="P",Games[[#This Row],[Round]]=4),IF(Games[[#This Row],[Result]]&gt;0.5,1,0),0)</f>
        <v>0</v>
      </c>
      <c r="AL165" s="2">
        <f>IF(AND(Games[[#This Row],[Type]]="P",Games[[#This Row],[Round]]=4),IF(Games[[#This Row],[Result]]&lt;0.5,1,0),0)</f>
        <v>0</v>
      </c>
    </row>
    <row r="166" spans="1:38" x14ac:dyDescent="0.35">
      <c r="A166" s="10">
        <v>40356</v>
      </c>
      <c r="B166" s="2">
        <v>2010</v>
      </c>
      <c r="C166" s="2">
        <f>COUNTIFS(Games[Team],Games[[#This Row],[Team]],Games[Season],Games[[#This Row],[Season]],Games[Date],"&lt;=" &amp; Games[[#This Row],[Date]])</f>
        <v>15</v>
      </c>
      <c r="D166" s="2" t="s">
        <v>23</v>
      </c>
      <c r="E166" s="2" t="s">
        <v>29</v>
      </c>
      <c r="F166" s="1" t="s">
        <v>75</v>
      </c>
      <c r="G166" s="1" t="s">
        <v>85</v>
      </c>
      <c r="H166" s="1" t="s">
        <v>16</v>
      </c>
      <c r="I166" s="2" cm="1">
        <f t="array" ref="I16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6" s="2" cm="1">
        <f t="array" ref="J16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6" s="2">
        <f>Games[[#This Row],[DaysOff]]-Games[[#This Row],[OppDaysOff]]</f>
        <v>0</v>
      </c>
      <c r="L166" s="2">
        <f>Games[[#This Row],[OppDaysOff]]-Games[[#This Row],[DaysOff]]</f>
        <v>0</v>
      </c>
      <c r="M166" s="1">
        <f>MAX(-16, MIN(16, Games[[#This Row],[RestDiff]]*8))</f>
        <v>0</v>
      </c>
      <c r="N166" s="1">
        <f>MAX(-16, MIN(16, Games[[#This Row],[OppRestDiff]]*8))</f>
        <v>0</v>
      </c>
      <c r="O166" s="4" cm="1">
        <f t="array" ref="O1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1634.1017002913445</v>
      </c>
      <c r="P166" s="4" cm="1">
        <f t="array" ref="P1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1405.1759461849531</v>
      </c>
      <c r="Q166" s="4">
        <f>1/(1+10^(((Games[[#This Row],[OppPreGmRate]]+IF(Games[[#This Row],[HomeAway]]="A",HCA,0)+Games[[#This Row],[OppRestAdj]])-(Games[[#This Row],[PreGmRate]]+IF(Games[[#This Row],[HomeAway]]="H",HCA,0)+Games[[#This Row],[RestAdj]]))/400))</f>
        <v>0.69725486743517295</v>
      </c>
      <c r="R166" s="1">
        <v>83</v>
      </c>
      <c r="S166" s="1">
        <v>72</v>
      </c>
      <c r="T166" s="1">
        <v>0</v>
      </c>
      <c r="U166" s="1">
        <f>Games[[#This Row],[PointsFor]]-Games[[#This Row],[PointsAgainst]]</f>
        <v>11</v>
      </c>
      <c r="V166" s="1">
        <f>IF(Games[[#This Row],[MOV]]&gt;0,1,IF(Games[[#This Row],[MOV]]=0,0.5,0))</f>
        <v>1</v>
      </c>
      <c r="W166" s="4">
        <f>((ABS(Games[[#This Row],[MOV]])+5)^0.6)/(12+0.01*(ABS(Games[[#This Row],[PreGmRate]]-Games[[#This Row],[OppPreGmRate]])))*IF(Games[[#This Row],[OT]]=1,0.9,1)</f>
        <v>0.36937060081139794</v>
      </c>
      <c r="X166" s="7" cm="1">
        <f t="array" ref="X16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6" s="9">
        <f>MAX(kmin, kmax - 0.15 * MIN(Games[[#This Row],[GamesPlayed]], 82))</f>
        <v>73.75</v>
      </c>
      <c r="Z166" s="4">
        <f>Games[[#This Row],[K]]*Games[[#This Row],[POMult]]</f>
        <v>73.75</v>
      </c>
      <c r="AA166" s="4">
        <f>(Games[[#This Row],[Keff]]*Games[[#This Row],[MOVMult]])*(Games[[#This Row],[Result]]-Games[[#This Row],[ExpectedWin%]])</f>
        <v>8.2471049237294896</v>
      </c>
      <c r="AB166" s="4">
        <f>Games[[#This Row],[PreGmRate]]+Games[[#This Row],[RatingChange]]</f>
        <v>1642.348805215074</v>
      </c>
      <c r="AC166" s="2">
        <f>IF(Games[[#This Row],[Type]]="R",IF(Games[[#This Row],[Result]]&gt;0.5,1,0),0)</f>
        <v>1</v>
      </c>
      <c r="AD166" s="2">
        <f>IF(Games[[#This Row],[Type]]="R",IF(Games[[#This Row],[Result]]&lt;0.5,1,0),0)</f>
        <v>0</v>
      </c>
      <c r="AE166" s="2">
        <f>IF(AND(Games[[#This Row],[Type]]="P",Games[[#This Row],[Round]]=1),IF(Games[[#This Row],[Result]]&gt;0.5,1,0),0)</f>
        <v>0</v>
      </c>
      <c r="AF166" s="2">
        <f>IF(AND(Games[[#This Row],[Type]]="P",Games[[#This Row],[Round]]=1),IF(Games[[#This Row],[Result]]&lt;0.5,1,0),0)</f>
        <v>0</v>
      </c>
      <c r="AG166" s="2">
        <f>IF(AND(Games[[#This Row],[Type]]="P",Games[[#This Row],[Round]]=2),IF(Games[[#This Row],[Result]]&gt;0.5,1,0),0)</f>
        <v>0</v>
      </c>
      <c r="AH166" s="2">
        <f>IF(AND(Games[[#This Row],[Type]]="P",Games[[#This Row],[Round]]=2),IF(Games[[#This Row],[Result]]&lt;0.5,1,0),0)</f>
        <v>0</v>
      </c>
      <c r="AI166" s="2">
        <f>IF(AND(Games[[#This Row],[Type]]="P",Games[[#This Row],[Round]]=3),IF(Games[[#This Row],[Result]]&gt;0.5,1,0),0)</f>
        <v>0</v>
      </c>
      <c r="AJ166" s="2">
        <f>IF(AND(Games[[#This Row],[Type]]="P",Games[[#This Row],[Round]]=3),IF(Games[[#This Row],[Result]]&lt;0.5,1,0),0)</f>
        <v>0</v>
      </c>
      <c r="AK166" s="2">
        <f>IF(AND(Games[[#This Row],[Type]]="P",Games[[#This Row],[Round]]=4),IF(Games[[#This Row],[Result]]&gt;0.5,1,0),0)</f>
        <v>0</v>
      </c>
      <c r="AL166" s="2">
        <f>IF(AND(Games[[#This Row],[Type]]="P",Games[[#This Row],[Round]]=4),IF(Games[[#This Row],[Result]]&lt;0.5,1,0),0)</f>
        <v>0</v>
      </c>
    </row>
    <row r="167" spans="1:38" x14ac:dyDescent="0.35">
      <c r="A167" s="10">
        <v>40356</v>
      </c>
      <c r="B167" s="2">
        <v>2010</v>
      </c>
      <c r="C167" s="2">
        <f>COUNTIFS(Games[Team],Games[[#This Row],[Team]],Games[Season],Games[[#This Row],[Season]],Games[Date],"&lt;=" &amp; Games[[#This Row],[Date]])</f>
        <v>14</v>
      </c>
      <c r="D167" s="2" t="s">
        <v>23</v>
      </c>
      <c r="E167" s="2" t="s">
        <v>29</v>
      </c>
      <c r="F167" s="1" t="s">
        <v>85</v>
      </c>
      <c r="G167" s="1" t="s">
        <v>75</v>
      </c>
      <c r="H167" s="1" t="s">
        <v>15</v>
      </c>
      <c r="I167" s="2" cm="1">
        <f t="array" ref="I16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7" s="2" cm="1">
        <f t="array" ref="J16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7" s="2">
        <f>Games[[#This Row],[DaysOff]]-Games[[#This Row],[OppDaysOff]]</f>
        <v>0</v>
      </c>
      <c r="L167" s="2">
        <f>Games[[#This Row],[OppDaysOff]]-Games[[#This Row],[DaysOff]]</f>
        <v>0</v>
      </c>
      <c r="M167" s="1">
        <f>MAX(-16, MIN(16, Games[[#This Row],[RestDiff]]*8))</f>
        <v>0</v>
      </c>
      <c r="N167" s="1">
        <f>MAX(-16, MIN(16, Games[[#This Row],[OppRestDiff]]*8))</f>
        <v>0</v>
      </c>
      <c r="O167" s="4" cm="1">
        <f t="array" ref="O1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1405.1759461849531</v>
      </c>
      <c r="P167" s="4" cm="1">
        <f t="array" ref="P1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1634.1017002913445</v>
      </c>
      <c r="Q167" s="4">
        <f>1/(1+10^(((Games[[#This Row],[OppPreGmRate]]+IF(Games[[#This Row],[HomeAway]]="A",HCA,0)+Games[[#This Row],[OppRestAdj]])-(Games[[#This Row],[PreGmRate]]+IF(Games[[#This Row],[HomeAway]]="H",HCA,0)+Games[[#This Row],[RestAdj]]))/400))</f>
        <v>0.30274513256482705</v>
      </c>
      <c r="R167" s="1">
        <v>72</v>
      </c>
      <c r="S167" s="1">
        <v>83</v>
      </c>
      <c r="T167" s="1">
        <v>0</v>
      </c>
      <c r="U167" s="1">
        <f>Games[[#This Row],[PointsFor]]-Games[[#This Row],[PointsAgainst]]</f>
        <v>-11</v>
      </c>
      <c r="V167" s="1">
        <f>IF(Games[[#This Row],[MOV]]&gt;0,1,IF(Games[[#This Row],[MOV]]=0,0.5,0))</f>
        <v>0</v>
      </c>
      <c r="W167" s="4">
        <f>((ABS(Games[[#This Row],[MOV]])+5)^0.6)/(12+0.01*(ABS(Games[[#This Row],[PreGmRate]]-Games[[#This Row],[OppPreGmRate]])))*IF(Games[[#This Row],[OT]]=1,0.9,1)</f>
        <v>0.36937060081139794</v>
      </c>
      <c r="X167" s="7" cm="1">
        <f t="array" ref="X16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7" s="9">
        <f>MAX(kmin, kmax - 0.15 * MIN(Games[[#This Row],[GamesPlayed]], 82))</f>
        <v>73.900000000000006</v>
      </c>
      <c r="Z167" s="4">
        <f>Games[[#This Row],[K]]*Games[[#This Row],[POMult]]</f>
        <v>73.900000000000006</v>
      </c>
      <c r="AA167" s="4">
        <f>(Games[[#This Row],[Keff]]*Games[[#This Row],[MOVMult]])*(Games[[#This Row],[Result]]-Games[[#This Row],[ExpectedWin%]])</f>
        <v>-8.2638786964557198</v>
      </c>
      <c r="AB167" s="4">
        <f>Games[[#This Row],[PreGmRate]]+Games[[#This Row],[RatingChange]]</f>
        <v>1396.9120674884973</v>
      </c>
      <c r="AC167" s="2">
        <f>IF(Games[[#This Row],[Type]]="R",IF(Games[[#This Row],[Result]]&gt;0.5,1,0),0)</f>
        <v>0</v>
      </c>
      <c r="AD167" s="2">
        <f>IF(Games[[#This Row],[Type]]="R",IF(Games[[#This Row],[Result]]&lt;0.5,1,0),0)</f>
        <v>1</v>
      </c>
      <c r="AE167" s="2">
        <f>IF(AND(Games[[#This Row],[Type]]="P",Games[[#This Row],[Round]]=1),IF(Games[[#This Row],[Result]]&gt;0.5,1,0),0)</f>
        <v>0</v>
      </c>
      <c r="AF167" s="2">
        <f>IF(AND(Games[[#This Row],[Type]]="P",Games[[#This Row],[Round]]=1),IF(Games[[#This Row],[Result]]&lt;0.5,1,0),0)</f>
        <v>0</v>
      </c>
      <c r="AG167" s="2">
        <f>IF(AND(Games[[#This Row],[Type]]="P",Games[[#This Row],[Round]]=2),IF(Games[[#This Row],[Result]]&gt;0.5,1,0),0)</f>
        <v>0</v>
      </c>
      <c r="AH167" s="2">
        <f>IF(AND(Games[[#This Row],[Type]]="P",Games[[#This Row],[Round]]=2),IF(Games[[#This Row],[Result]]&lt;0.5,1,0),0)</f>
        <v>0</v>
      </c>
      <c r="AI167" s="2">
        <f>IF(AND(Games[[#This Row],[Type]]="P",Games[[#This Row],[Round]]=3),IF(Games[[#This Row],[Result]]&gt;0.5,1,0),0)</f>
        <v>0</v>
      </c>
      <c r="AJ167" s="2">
        <f>IF(AND(Games[[#This Row],[Type]]="P",Games[[#This Row],[Round]]=3),IF(Games[[#This Row],[Result]]&lt;0.5,1,0),0)</f>
        <v>0</v>
      </c>
      <c r="AK167" s="2">
        <f>IF(AND(Games[[#This Row],[Type]]="P",Games[[#This Row],[Round]]=4),IF(Games[[#This Row],[Result]]&gt;0.5,1,0),0)</f>
        <v>0</v>
      </c>
      <c r="AL167" s="2">
        <f>IF(AND(Games[[#This Row],[Type]]="P",Games[[#This Row],[Round]]=4),IF(Games[[#This Row],[Result]]&lt;0.5,1,0),0)</f>
        <v>0</v>
      </c>
    </row>
    <row r="168" spans="1:38" x14ac:dyDescent="0.35">
      <c r="A168" s="10">
        <v>40356</v>
      </c>
      <c r="B168" s="2">
        <v>2010</v>
      </c>
      <c r="C168" s="2">
        <f>COUNTIFS(Games[Team],Games[[#This Row],[Team]],Games[Season],Games[[#This Row],[Season]],Games[Date],"&lt;=" &amp; Games[[#This Row],[Date]])</f>
        <v>14</v>
      </c>
      <c r="D168" s="2" t="s">
        <v>23</v>
      </c>
      <c r="E168" s="2" t="s">
        <v>29</v>
      </c>
      <c r="F168" s="1" t="s">
        <v>44</v>
      </c>
      <c r="G168" s="1" t="s">
        <v>69</v>
      </c>
      <c r="H168" s="1" t="s">
        <v>16</v>
      </c>
      <c r="I168" s="2" cm="1">
        <f t="array" ref="I16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8" s="2" cm="1">
        <f t="array" ref="J16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8" s="2">
        <f>Games[[#This Row],[DaysOff]]-Games[[#This Row],[OppDaysOff]]</f>
        <v>0</v>
      </c>
      <c r="L168" s="2">
        <f>Games[[#This Row],[OppDaysOff]]-Games[[#This Row],[DaysOff]]</f>
        <v>0</v>
      </c>
      <c r="M168" s="1">
        <f>MAX(-16, MIN(16, Games[[#This Row],[RestDiff]]*8))</f>
        <v>0</v>
      </c>
      <c r="N168" s="1">
        <f>MAX(-16, MIN(16, Games[[#This Row],[OppRestDiff]]*8))</f>
        <v>0</v>
      </c>
      <c r="O168" s="4" cm="1">
        <f t="array" ref="O1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1517.3249428974609</v>
      </c>
      <c r="P168" s="4" cm="1">
        <f t="array" ref="P1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1522.5124610554999</v>
      </c>
      <c r="Q168" s="4">
        <f>1/(1+10^(((Games[[#This Row],[OppPreGmRate]]+IF(Games[[#This Row],[HomeAway]]="A",HCA,0)+Games[[#This Row],[OppRestAdj]])-(Games[[#This Row],[PreGmRate]]+IF(Games[[#This Row],[HomeAway]]="H",HCA,0)+Games[[#This Row],[RestAdj]]))/400))</f>
        <v>0.37439574184045038</v>
      </c>
      <c r="R168" s="1">
        <v>85</v>
      </c>
      <c r="S168" s="1">
        <v>95</v>
      </c>
      <c r="T168" s="1">
        <v>0</v>
      </c>
      <c r="U168" s="1">
        <f>Games[[#This Row],[PointsFor]]-Games[[#This Row],[PointsAgainst]]</f>
        <v>-10</v>
      </c>
      <c r="V168" s="1">
        <f>IF(Games[[#This Row],[MOV]]&gt;0,1,IF(Games[[#This Row],[MOV]]=0,0.5,0))</f>
        <v>0</v>
      </c>
      <c r="W168" s="4">
        <f>((ABS(Games[[#This Row],[MOV]])+5)^0.6)/(12+0.01*(ABS(Games[[#This Row],[PreGmRate]]-Games[[#This Row],[OppPreGmRate]])))*IF(Games[[#This Row],[OT]]=1,0.9,1)</f>
        <v>0.42130841180198614</v>
      </c>
      <c r="X168" s="7" cm="1">
        <f t="array" ref="X16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8" s="9">
        <f>MAX(kmin, kmax - 0.15 * MIN(Games[[#This Row],[GamesPlayed]], 82))</f>
        <v>73.900000000000006</v>
      </c>
      <c r="Z168" s="4">
        <f>Games[[#This Row],[K]]*Games[[#This Row],[POMult]]</f>
        <v>73.900000000000006</v>
      </c>
      <c r="AA168" s="4">
        <f>(Games[[#This Row],[Keff]]*Games[[#This Row],[MOVMult]])*(Games[[#This Row],[Result]]-Games[[#This Row],[ExpectedWin%]])</f>
        <v>-11.656695970598744</v>
      </c>
      <c r="AB168" s="4">
        <f>Games[[#This Row],[PreGmRate]]+Games[[#This Row],[RatingChange]]</f>
        <v>1505.6682469268621</v>
      </c>
      <c r="AC168" s="2">
        <f>IF(Games[[#This Row],[Type]]="R",IF(Games[[#This Row],[Result]]&gt;0.5,1,0),0)</f>
        <v>0</v>
      </c>
      <c r="AD168" s="2">
        <f>IF(Games[[#This Row],[Type]]="R",IF(Games[[#This Row],[Result]]&lt;0.5,1,0),0)</f>
        <v>1</v>
      </c>
      <c r="AE168" s="2">
        <f>IF(AND(Games[[#This Row],[Type]]="P",Games[[#This Row],[Round]]=1),IF(Games[[#This Row],[Result]]&gt;0.5,1,0),0)</f>
        <v>0</v>
      </c>
      <c r="AF168" s="2">
        <f>IF(AND(Games[[#This Row],[Type]]="P",Games[[#This Row],[Round]]=1),IF(Games[[#This Row],[Result]]&lt;0.5,1,0),0)</f>
        <v>0</v>
      </c>
      <c r="AG168" s="2">
        <f>IF(AND(Games[[#This Row],[Type]]="P",Games[[#This Row],[Round]]=2),IF(Games[[#This Row],[Result]]&gt;0.5,1,0),0)</f>
        <v>0</v>
      </c>
      <c r="AH168" s="2">
        <f>IF(AND(Games[[#This Row],[Type]]="P",Games[[#This Row],[Round]]=2),IF(Games[[#This Row],[Result]]&lt;0.5,1,0),0)</f>
        <v>0</v>
      </c>
      <c r="AI168" s="2">
        <f>IF(AND(Games[[#This Row],[Type]]="P",Games[[#This Row],[Round]]=3),IF(Games[[#This Row],[Result]]&gt;0.5,1,0),0)</f>
        <v>0</v>
      </c>
      <c r="AJ168" s="2">
        <f>IF(AND(Games[[#This Row],[Type]]="P",Games[[#This Row],[Round]]=3),IF(Games[[#This Row],[Result]]&lt;0.5,1,0),0)</f>
        <v>0</v>
      </c>
      <c r="AK168" s="2">
        <f>IF(AND(Games[[#This Row],[Type]]="P",Games[[#This Row],[Round]]=4),IF(Games[[#This Row],[Result]]&gt;0.5,1,0),0)</f>
        <v>0</v>
      </c>
      <c r="AL168" s="2">
        <f>IF(AND(Games[[#This Row],[Type]]="P",Games[[#This Row],[Round]]=4),IF(Games[[#This Row],[Result]]&lt;0.5,1,0),0)</f>
        <v>0</v>
      </c>
    </row>
    <row r="169" spans="1:38" x14ac:dyDescent="0.35">
      <c r="A169" s="10">
        <v>40356</v>
      </c>
      <c r="B169" s="2">
        <v>2010</v>
      </c>
      <c r="C169" s="2">
        <f>COUNTIFS(Games[Team],Games[[#This Row],[Team]],Games[Season],Games[[#This Row],[Season]],Games[Date],"&lt;=" &amp; Games[[#This Row],[Date]])</f>
        <v>14</v>
      </c>
      <c r="D169" s="2" t="s">
        <v>23</v>
      </c>
      <c r="E169" s="2" t="s">
        <v>29</v>
      </c>
      <c r="F169" s="1" t="s">
        <v>69</v>
      </c>
      <c r="G169" s="1" t="s">
        <v>44</v>
      </c>
      <c r="H169" s="1" t="s">
        <v>15</v>
      </c>
      <c r="I169" s="2" cm="1">
        <f t="array" ref="I16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9" s="2" cm="1">
        <f t="array" ref="J16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9" s="2">
        <f>Games[[#This Row],[DaysOff]]-Games[[#This Row],[OppDaysOff]]</f>
        <v>0</v>
      </c>
      <c r="L169" s="2">
        <f>Games[[#This Row],[OppDaysOff]]-Games[[#This Row],[DaysOff]]</f>
        <v>0</v>
      </c>
      <c r="M169" s="1">
        <f>MAX(-16, MIN(16, Games[[#This Row],[RestDiff]]*8))</f>
        <v>0</v>
      </c>
      <c r="N169" s="1">
        <f>MAX(-16, MIN(16, Games[[#This Row],[OppRestDiff]]*8))</f>
        <v>0</v>
      </c>
      <c r="O169" s="4" cm="1">
        <f t="array" ref="O1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1522.5124610554999</v>
      </c>
      <c r="P169" s="4" cm="1">
        <f t="array" ref="P1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1517.3249428974609</v>
      </c>
      <c r="Q169" s="4">
        <f>1/(1+10^(((Games[[#This Row],[OppPreGmRate]]+IF(Games[[#This Row],[HomeAway]]="A",HCA,0)+Games[[#This Row],[OppRestAdj]])-(Games[[#This Row],[PreGmRate]]+IF(Games[[#This Row],[HomeAway]]="H",HCA,0)+Games[[#This Row],[RestAdj]]))/400))</f>
        <v>0.62560425815954956</v>
      </c>
      <c r="R169" s="1">
        <v>95</v>
      </c>
      <c r="S169" s="1">
        <v>85</v>
      </c>
      <c r="T169" s="1">
        <v>0</v>
      </c>
      <c r="U169" s="1">
        <f>Games[[#This Row],[PointsFor]]-Games[[#This Row],[PointsAgainst]]</f>
        <v>10</v>
      </c>
      <c r="V169" s="1">
        <f>IF(Games[[#This Row],[MOV]]&gt;0,1,IF(Games[[#This Row],[MOV]]=0,0.5,0))</f>
        <v>1</v>
      </c>
      <c r="W169" s="4">
        <f>((ABS(Games[[#This Row],[MOV]])+5)^0.6)/(12+0.01*(ABS(Games[[#This Row],[PreGmRate]]-Games[[#This Row],[OppPreGmRate]])))*IF(Games[[#This Row],[OT]]=1,0.9,1)</f>
        <v>0.42130841180198614</v>
      </c>
      <c r="X169" s="7" cm="1">
        <f t="array" ref="X16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9" s="9">
        <f>MAX(kmin, kmax - 0.15 * MIN(Games[[#This Row],[GamesPlayed]], 82))</f>
        <v>73.900000000000006</v>
      </c>
      <c r="Z169" s="4">
        <f>Games[[#This Row],[K]]*Games[[#This Row],[POMult]]</f>
        <v>73.900000000000006</v>
      </c>
      <c r="AA169" s="4">
        <f>(Games[[#This Row],[Keff]]*Games[[#This Row],[MOVMult]])*(Games[[#This Row],[Result]]-Games[[#This Row],[ExpectedWin%]])</f>
        <v>11.656695970598745</v>
      </c>
      <c r="AB169" s="4">
        <f>Games[[#This Row],[PreGmRate]]+Games[[#This Row],[RatingChange]]</f>
        <v>1534.1691570260987</v>
      </c>
      <c r="AC169" s="2">
        <f>IF(Games[[#This Row],[Type]]="R",IF(Games[[#This Row],[Result]]&gt;0.5,1,0),0)</f>
        <v>1</v>
      </c>
      <c r="AD169" s="2">
        <f>IF(Games[[#This Row],[Type]]="R",IF(Games[[#This Row],[Result]]&lt;0.5,1,0),0)</f>
        <v>0</v>
      </c>
      <c r="AE169" s="2">
        <f>IF(AND(Games[[#This Row],[Type]]="P",Games[[#This Row],[Round]]=1),IF(Games[[#This Row],[Result]]&gt;0.5,1,0),0)</f>
        <v>0</v>
      </c>
      <c r="AF169" s="2">
        <f>IF(AND(Games[[#This Row],[Type]]="P",Games[[#This Row],[Round]]=1),IF(Games[[#This Row],[Result]]&lt;0.5,1,0),0)</f>
        <v>0</v>
      </c>
      <c r="AG169" s="2">
        <f>IF(AND(Games[[#This Row],[Type]]="P",Games[[#This Row],[Round]]=2),IF(Games[[#This Row],[Result]]&gt;0.5,1,0),0)</f>
        <v>0</v>
      </c>
      <c r="AH169" s="2">
        <f>IF(AND(Games[[#This Row],[Type]]="P",Games[[#This Row],[Round]]=2),IF(Games[[#This Row],[Result]]&lt;0.5,1,0),0)</f>
        <v>0</v>
      </c>
      <c r="AI169" s="2">
        <f>IF(AND(Games[[#This Row],[Type]]="P",Games[[#This Row],[Round]]=3),IF(Games[[#This Row],[Result]]&gt;0.5,1,0),0)</f>
        <v>0</v>
      </c>
      <c r="AJ169" s="2">
        <f>IF(AND(Games[[#This Row],[Type]]="P",Games[[#This Row],[Round]]=3),IF(Games[[#This Row],[Result]]&lt;0.5,1,0),0)</f>
        <v>0</v>
      </c>
      <c r="AK169" s="2">
        <f>IF(AND(Games[[#This Row],[Type]]="P",Games[[#This Row],[Round]]=4),IF(Games[[#This Row],[Result]]&gt;0.5,1,0),0)</f>
        <v>0</v>
      </c>
      <c r="AL169" s="2">
        <f>IF(AND(Games[[#This Row],[Type]]="P",Games[[#This Row],[Round]]=4),IF(Games[[#This Row],[Result]]&lt;0.5,1,0),0)</f>
        <v>0</v>
      </c>
    </row>
    <row r="170" spans="1:38" x14ac:dyDescent="0.35">
      <c r="A170" s="10">
        <v>40358</v>
      </c>
      <c r="B170" s="2">
        <v>2010</v>
      </c>
      <c r="C170" s="2">
        <f>COUNTIFS(Games[Team],Games[[#This Row],[Team]],Games[Season],Games[[#This Row],[Season]],Games[Date],"&lt;=" &amp; Games[[#This Row],[Date]])</f>
        <v>15</v>
      </c>
      <c r="D170" s="2" t="s">
        <v>23</v>
      </c>
      <c r="E170" s="2" t="s">
        <v>29</v>
      </c>
      <c r="F170" s="1" t="s">
        <v>44</v>
      </c>
      <c r="G170" s="1" t="s">
        <v>83</v>
      </c>
      <c r="H170" s="1" t="s">
        <v>16</v>
      </c>
      <c r="I170" s="2" cm="1">
        <f t="array" ref="I17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0" s="2" cm="1">
        <f t="array" ref="J17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0" s="2">
        <f>Games[[#This Row],[DaysOff]]-Games[[#This Row],[OppDaysOff]]</f>
        <v>0</v>
      </c>
      <c r="L170" s="2">
        <f>Games[[#This Row],[OppDaysOff]]-Games[[#This Row],[DaysOff]]</f>
        <v>0</v>
      </c>
      <c r="M170" s="1">
        <f>MAX(-16, MIN(16, Games[[#This Row],[RestDiff]]*8))</f>
        <v>0</v>
      </c>
      <c r="N170" s="1">
        <f>MAX(-16, MIN(16, Games[[#This Row],[OppRestDiff]]*8))</f>
        <v>0</v>
      </c>
      <c r="O170" s="4" cm="1">
        <f t="array" ref="O1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1505.6682469268621</v>
      </c>
      <c r="P170" s="4" cm="1">
        <f t="array" ref="P1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1566.6820316392484</v>
      </c>
      <c r="Q170" s="4">
        <f>1/(1+10^(((Games[[#This Row],[OppPreGmRate]]+IF(Games[[#This Row],[HomeAway]]="A",HCA,0)+Games[[#This Row],[OppRestAdj]])-(Games[[#This Row],[PreGmRate]]+IF(Games[[#This Row],[HomeAway]]="H",HCA,0)+Games[[#This Row],[RestAdj]]))/400))</f>
        <v>0.30263817421480554</v>
      </c>
      <c r="R170" s="1">
        <v>88</v>
      </c>
      <c r="S170" s="1">
        <v>94</v>
      </c>
      <c r="T170" s="1">
        <v>0</v>
      </c>
      <c r="U170" s="1">
        <f>Games[[#This Row],[PointsFor]]-Games[[#This Row],[PointsAgainst]]</f>
        <v>-6</v>
      </c>
      <c r="V170" s="1">
        <f>IF(Games[[#This Row],[MOV]]&gt;0,1,IF(Games[[#This Row],[MOV]]=0,0.5,0))</f>
        <v>0</v>
      </c>
      <c r="W170" s="4">
        <f>((ABS(Games[[#This Row],[MOV]])+5)^0.6)/(12+0.01*(ABS(Games[[#This Row],[PreGmRate]]-Games[[#This Row],[OppPreGmRate]])))*IF(Games[[#This Row],[OT]]=1,0.9,1)</f>
        <v>0.33428414377352322</v>
      </c>
      <c r="X170" s="7" cm="1">
        <f t="array" ref="X17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0" s="9">
        <f>MAX(kmin, kmax - 0.15 * MIN(Games[[#This Row],[GamesPlayed]], 82))</f>
        <v>73.75</v>
      </c>
      <c r="Z170" s="4">
        <f>Games[[#This Row],[K]]*Games[[#This Row],[POMult]]</f>
        <v>73.75</v>
      </c>
      <c r="AA170" s="4">
        <f>(Games[[#This Row],[Keff]]*Games[[#This Row],[MOVMult]])*(Games[[#This Row],[Result]]-Games[[#This Row],[ExpectedWin%]])</f>
        <v>-7.4610767918676739</v>
      </c>
      <c r="AB170" s="4">
        <f>Games[[#This Row],[PreGmRate]]+Games[[#This Row],[RatingChange]]</f>
        <v>1498.2071701349944</v>
      </c>
      <c r="AC170" s="2">
        <f>IF(Games[[#This Row],[Type]]="R",IF(Games[[#This Row],[Result]]&gt;0.5,1,0),0)</f>
        <v>0</v>
      </c>
      <c r="AD170" s="2">
        <f>IF(Games[[#This Row],[Type]]="R",IF(Games[[#This Row],[Result]]&lt;0.5,1,0),0)</f>
        <v>1</v>
      </c>
      <c r="AE170" s="2">
        <f>IF(AND(Games[[#This Row],[Type]]="P",Games[[#This Row],[Round]]=1),IF(Games[[#This Row],[Result]]&gt;0.5,1,0),0)</f>
        <v>0</v>
      </c>
      <c r="AF170" s="2">
        <f>IF(AND(Games[[#This Row],[Type]]="P",Games[[#This Row],[Round]]=1),IF(Games[[#This Row],[Result]]&lt;0.5,1,0),0)</f>
        <v>0</v>
      </c>
      <c r="AG170" s="2">
        <f>IF(AND(Games[[#This Row],[Type]]="P",Games[[#This Row],[Round]]=2),IF(Games[[#This Row],[Result]]&gt;0.5,1,0),0)</f>
        <v>0</v>
      </c>
      <c r="AH170" s="2">
        <f>IF(AND(Games[[#This Row],[Type]]="P",Games[[#This Row],[Round]]=2),IF(Games[[#This Row],[Result]]&lt;0.5,1,0),0)</f>
        <v>0</v>
      </c>
      <c r="AI170" s="2">
        <f>IF(AND(Games[[#This Row],[Type]]="P",Games[[#This Row],[Round]]=3),IF(Games[[#This Row],[Result]]&gt;0.5,1,0),0)</f>
        <v>0</v>
      </c>
      <c r="AJ170" s="2">
        <f>IF(AND(Games[[#This Row],[Type]]="P",Games[[#This Row],[Round]]=3),IF(Games[[#This Row],[Result]]&lt;0.5,1,0),0)</f>
        <v>0</v>
      </c>
      <c r="AK170" s="2">
        <f>IF(AND(Games[[#This Row],[Type]]="P",Games[[#This Row],[Round]]=4),IF(Games[[#This Row],[Result]]&gt;0.5,1,0),0)</f>
        <v>0</v>
      </c>
      <c r="AL170" s="2">
        <f>IF(AND(Games[[#This Row],[Type]]="P",Games[[#This Row],[Round]]=4),IF(Games[[#This Row],[Result]]&lt;0.5,1,0),0)</f>
        <v>0</v>
      </c>
    </row>
    <row r="171" spans="1:38" x14ac:dyDescent="0.35">
      <c r="A171" s="10">
        <v>40358</v>
      </c>
      <c r="B171" s="2">
        <v>2010</v>
      </c>
      <c r="C171" s="2">
        <f>COUNTIFS(Games[Team],Games[[#This Row],[Team]],Games[Season],Games[[#This Row],[Season]],Games[Date],"&lt;=" &amp; Games[[#This Row],[Date]])</f>
        <v>16</v>
      </c>
      <c r="D171" s="2" t="s">
        <v>23</v>
      </c>
      <c r="E171" s="2" t="s">
        <v>29</v>
      </c>
      <c r="F171" s="1" t="s">
        <v>83</v>
      </c>
      <c r="G171" s="1" t="s">
        <v>44</v>
      </c>
      <c r="H171" s="1" t="s">
        <v>15</v>
      </c>
      <c r="I171" s="2" cm="1">
        <f t="array" ref="I17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1" s="2" cm="1">
        <f t="array" ref="J17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1" s="2">
        <f>Games[[#This Row],[DaysOff]]-Games[[#This Row],[OppDaysOff]]</f>
        <v>0</v>
      </c>
      <c r="L171" s="2">
        <f>Games[[#This Row],[OppDaysOff]]-Games[[#This Row],[DaysOff]]</f>
        <v>0</v>
      </c>
      <c r="M171" s="1">
        <f>MAX(-16, MIN(16, Games[[#This Row],[RestDiff]]*8))</f>
        <v>0</v>
      </c>
      <c r="N171" s="1">
        <f>MAX(-16, MIN(16, Games[[#This Row],[OppRestDiff]]*8))</f>
        <v>0</v>
      </c>
      <c r="O171" s="4" cm="1">
        <f t="array" ref="O1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1566.6820316392484</v>
      </c>
      <c r="P171" s="4" cm="1">
        <f t="array" ref="P1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1505.6682469268621</v>
      </c>
      <c r="Q171" s="4">
        <f>1/(1+10^(((Games[[#This Row],[OppPreGmRate]]+IF(Games[[#This Row],[HomeAway]]="A",HCA,0)+Games[[#This Row],[OppRestAdj]])-(Games[[#This Row],[PreGmRate]]+IF(Games[[#This Row],[HomeAway]]="H",HCA,0)+Games[[#This Row],[RestAdj]]))/400))</f>
        <v>0.69736182578519446</v>
      </c>
      <c r="R171" s="1">
        <v>94</v>
      </c>
      <c r="S171" s="1">
        <v>88</v>
      </c>
      <c r="T171" s="1">
        <v>0</v>
      </c>
      <c r="U171" s="1">
        <f>Games[[#This Row],[PointsFor]]-Games[[#This Row],[PointsAgainst]]</f>
        <v>6</v>
      </c>
      <c r="V171" s="1">
        <f>IF(Games[[#This Row],[MOV]]&gt;0,1,IF(Games[[#This Row],[MOV]]=0,0.5,0))</f>
        <v>1</v>
      </c>
      <c r="W171" s="4">
        <f>((ABS(Games[[#This Row],[MOV]])+5)^0.6)/(12+0.01*(ABS(Games[[#This Row],[PreGmRate]]-Games[[#This Row],[OppPreGmRate]])))*IF(Games[[#This Row],[OT]]=1,0.9,1)</f>
        <v>0.33428414377352322</v>
      </c>
      <c r="X171" s="7" cm="1">
        <f t="array" ref="X17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1" s="9">
        <f>MAX(kmin, kmax - 0.15 * MIN(Games[[#This Row],[GamesPlayed]], 82))</f>
        <v>73.599999999999994</v>
      </c>
      <c r="Z171" s="4">
        <f>Games[[#This Row],[K]]*Games[[#This Row],[POMult]]</f>
        <v>73.599999999999994</v>
      </c>
      <c r="AA171" s="4">
        <f>(Games[[#This Row],[Keff]]*Games[[#This Row],[MOVMult]])*(Games[[#This Row],[Result]]-Games[[#This Row],[ExpectedWin%]])</f>
        <v>7.445901720426586</v>
      </c>
      <c r="AB171" s="4">
        <f>Games[[#This Row],[PreGmRate]]+Games[[#This Row],[RatingChange]]</f>
        <v>1574.1279333596749</v>
      </c>
      <c r="AC171" s="2">
        <f>IF(Games[[#This Row],[Type]]="R",IF(Games[[#This Row],[Result]]&gt;0.5,1,0),0)</f>
        <v>1</v>
      </c>
      <c r="AD171" s="2">
        <f>IF(Games[[#This Row],[Type]]="R",IF(Games[[#This Row],[Result]]&lt;0.5,1,0),0)</f>
        <v>0</v>
      </c>
      <c r="AE171" s="2">
        <f>IF(AND(Games[[#This Row],[Type]]="P",Games[[#This Row],[Round]]=1),IF(Games[[#This Row],[Result]]&gt;0.5,1,0),0)</f>
        <v>0</v>
      </c>
      <c r="AF171" s="2">
        <f>IF(AND(Games[[#This Row],[Type]]="P",Games[[#This Row],[Round]]=1),IF(Games[[#This Row],[Result]]&lt;0.5,1,0),0)</f>
        <v>0</v>
      </c>
      <c r="AG171" s="2">
        <f>IF(AND(Games[[#This Row],[Type]]="P",Games[[#This Row],[Round]]=2),IF(Games[[#This Row],[Result]]&gt;0.5,1,0),0)</f>
        <v>0</v>
      </c>
      <c r="AH171" s="2">
        <f>IF(AND(Games[[#This Row],[Type]]="P",Games[[#This Row],[Round]]=2),IF(Games[[#This Row],[Result]]&lt;0.5,1,0),0)</f>
        <v>0</v>
      </c>
      <c r="AI171" s="2">
        <f>IF(AND(Games[[#This Row],[Type]]="P",Games[[#This Row],[Round]]=3),IF(Games[[#This Row],[Result]]&gt;0.5,1,0),0)</f>
        <v>0</v>
      </c>
      <c r="AJ171" s="2">
        <f>IF(AND(Games[[#This Row],[Type]]="P",Games[[#This Row],[Round]]=3),IF(Games[[#This Row],[Result]]&lt;0.5,1,0),0)</f>
        <v>0</v>
      </c>
      <c r="AK171" s="2">
        <f>IF(AND(Games[[#This Row],[Type]]="P",Games[[#This Row],[Round]]=4),IF(Games[[#This Row],[Result]]&gt;0.5,1,0),0)</f>
        <v>0</v>
      </c>
      <c r="AL171" s="2">
        <f>IF(AND(Games[[#This Row],[Type]]="P",Games[[#This Row],[Round]]=4),IF(Games[[#This Row],[Result]]&lt;0.5,1,0),0)</f>
        <v>0</v>
      </c>
    </row>
    <row r="172" spans="1:38" x14ac:dyDescent="0.35">
      <c r="A172" s="10">
        <v>40358</v>
      </c>
      <c r="B172" s="2">
        <v>2010</v>
      </c>
      <c r="C172" s="2">
        <f>COUNTIFS(Games[Team],Games[[#This Row],[Team]],Games[Season],Games[[#This Row],[Season]],Games[Date],"&lt;=" &amp; Games[[#This Row],[Date]])</f>
        <v>14</v>
      </c>
      <c r="D172" s="2" t="s">
        <v>23</v>
      </c>
      <c r="E172" s="2" t="s">
        <v>29</v>
      </c>
      <c r="F172" s="1" t="s">
        <v>64</v>
      </c>
      <c r="G172" s="1" t="s">
        <v>67</v>
      </c>
      <c r="H172" s="1" t="s">
        <v>16</v>
      </c>
      <c r="I172" s="2" cm="1">
        <f t="array" ref="I17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2" s="2" cm="1">
        <f t="array" ref="J17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2" s="2">
        <f>Games[[#This Row],[DaysOff]]-Games[[#This Row],[OppDaysOff]]</f>
        <v>0</v>
      </c>
      <c r="L172" s="2">
        <f>Games[[#This Row],[OppDaysOff]]-Games[[#This Row],[DaysOff]]</f>
        <v>0</v>
      </c>
      <c r="M172" s="1">
        <f>MAX(-16, MIN(16, Games[[#This Row],[RestDiff]]*8))</f>
        <v>0</v>
      </c>
      <c r="N172" s="1">
        <f>MAX(-16, MIN(16, Games[[#This Row],[OppRestDiff]]*8))</f>
        <v>0</v>
      </c>
      <c r="O172" s="4" cm="1">
        <f t="array" ref="O1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1483.206490619938</v>
      </c>
      <c r="P172" s="4" cm="1">
        <f t="array" ref="P1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1449.9916487198816</v>
      </c>
      <c r="Q172" s="4">
        <f>1/(1+10^(((Games[[#This Row],[OppPreGmRate]]+IF(Games[[#This Row],[HomeAway]]="A",HCA,0)+Games[[#This Row],[OppRestAdj]])-(Games[[#This Row],[PreGmRate]]+IF(Games[[#This Row],[HomeAway]]="H",HCA,0)+Games[[#This Row],[RestAdj]]))/400))</f>
        <v>0.42743039070527372</v>
      </c>
      <c r="R172" s="1">
        <v>80</v>
      </c>
      <c r="S172" s="1">
        <v>68</v>
      </c>
      <c r="T172" s="1">
        <v>0</v>
      </c>
      <c r="U172" s="1">
        <f>Games[[#This Row],[PointsFor]]-Games[[#This Row],[PointsAgainst]]</f>
        <v>12</v>
      </c>
      <c r="V172" s="1">
        <f>IF(Games[[#This Row],[MOV]]&gt;0,1,IF(Games[[#This Row],[MOV]]=0,0.5,0))</f>
        <v>1</v>
      </c>
      <c r="W172" s="4">
        <f>((ABS(Games[[#This Row],[MOV]])+5)^0.6)/(12+0.01*(ABS(Games[[#This Row],[PreGmRate]]-Games[[#This Row],[OppPreGmRate]])))*IF(Games[[#This Row],[OT]]=1,0.9,1)</f>
        <v>0.44384426224429779</v>
      </c>
      <c r="X172" s="7" cm="1">
        <f t="array" ref="X17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2" s="9">
        <f>MAX(kmin, kmax - 0.15 * MIN(Games[[#This Row],[GamesPlayed]], 82))</f>
        <v>73.900000000000006</v>
      </c>
      <c r="Z172" s="4">
        <f>Games[[#This Row],[K]]*Games[[#This Row],[POMult]]</f>
        <v>73.900000000000006</v>
      </c>
      <c r="AA172" s="4">
        <f>(Games[[#This Row],[Keff]]*Games[[#This Row],[MOVMult]])*(Games[[#This Row],[Result]]-Games[[#This Row],[ExpectedWin%]])</f>
        <v>18.780335277166259</v>
      </c>
      <c r="AB172" s="4">
        <f>Games[[#This Row],[PreGmRate]]+Games[[#This Row],[RatingChange]]</f>
        <v>1501.9868258971042</v>
      </c>
      <c r="AC172" s="2">
        <f>IF(Games[[#This Row],[Type]]="R",IF(Games[[#This Row],[Result]]&gt;0.5,1,0),0)</f>
        <v>1</v>
      </c>
      <c r="AD172" s="2">
        <f>IF(Games[[#This Row],[Type]]="R",IF(Games[[#This Row],[Result]]&lt;0.5,1,0),0)</f>
        <v>0</v>
      </c>
      <c r="AE172" s="2">
        <f>IF(AND(Games[[#This Row],[Type]]="P",Games[[#This Row],[Round]]=1),IF(Games[[#This Row],[Result]]&gt;0.5,1,0),0)</f>
        <v>0</v>
      </c>
      <c r="AF172" s="2">
        <f>IF(AND(Games[[#This Row],[Type]]="P",Games[[#This Row],[Round]]=1),IF(Games[[#This Row],[Result]]&lt;0.5,1,0),0)</f>
        <v>0</v>
      </c>
      <c r="AG172" s="2">
        <f>IF(AND(Games[[#This Row],[Type]]="P",Games[[#This Row],[Round]]=2),IF(Games[[#This Row],[Result]]&gt;0.5,1,0),0)</f>
        <v>0</v>
      </c>
      <c r="AH172" s="2">
        <f>IF(AND(Games[[#This Row],[Type]]="P",Games[[#This Row],[Round]]=2),IF(Games[[#This Row],[Result]]&lt;0.5,1,0),0)</f>
        <v>0</v>
      </c>
      <c r="AI172" s="2">
        <f>IF(AND(Games[[#This Row],[Type]]="P",Games[[#This Row],[Round]]=3),IF(Games[[#This Row],[Result]]&gt;0.5,1,0),0)</f>
        <v>0</v>
      </c>
      <c r="AJ172" s="2">
        <f>IF(AND(Games[[#This Row],[Type]]="P",Games[[#This Row],[Round]]=3),IF(Games[[#This Row],[Result]]&lt;0.5,1,0),0)</f>
        <v>0</v>
      </c>
      <c r="AK172" s="2">
        <f>IF(AND(Games[[#This Row],[Type]]="P",Games[[#This Row],[Round]]=4),IF(Games[[#This Row],[Result]]&gt;0.5,1,0),0)</f>
        <v>0</v>
      </c>
      <c r="AL172" s="2">
        <f>IF(AND(Games[[#This Row],[Type]]="P",Games[[#This Row],[Round]]=4),IF(Games[[#This Row],[Result]]&lt;0.5,1,0),0)</f>
        <v>0</v>
      </c>
    </row>
    <row r="173" spans="1:38" x14ac:dyDescent="0.35">
      <c r="A173" s="10">
        <v>40358</v>
      </c>
      <c r="B173" s="2">
        <v>2010</v>
      </c>
      <c r="C173" s="2">
        <f>COUNTIFS(Games[Team],Games[[#This Row],[Team]],Games[Season],Games[[#This Row],[Season]],Games[Date],"&lt;=" &amp; Games[[#This Row],[Date]])</f>
        <v>14</v>
      </c>
      <c r="D173" s="2" t="s">
        <v>23</v>
      </c>
      <c r="E173" s="2" t="s">
        <v>29</v>
      </c>
      <c r="F173" s="1" t="s">
        <v>67</v>
      </c>
      <c r="G173" s="1" t="s">
        <v>64</v>
      </c>
      <c r="H173" s="1" t="s">
        <v>15</v>
      </c>
      <c r="I173" s="2" cm="1">
        <f t="array" ref="I17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3" s="2" cm="1">
        <f t="array" ref="J17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3" s="2">
        <f>Games[[#This Row],[DaysOff]]-Games[[#This Row],[OppDaysOff]]</f>
        <v>0</v>
      </c>
      <c r="L173" s="2">
        <f>Games[[#This Row],[OppDaysOff]]-Games[[#This Row],[DaysOff]]</f>
        <v>0</v>
      </c>
      <c r="M173" s="1">
        <f>MAX(-16, MIN(16, Games[[#This Row],[RestDiff]]*8))</f>
        <v>0</v>
      </c>
      <c r="N173" s="1">
        <f>MAX(-16, MIN(16, Games[[#This Row],[OppRestDiff]]*8))</f>
        <v>0</v>
      </c>
      <c r="O173" s="4" cm="1">
        <f t="array" ref="O1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1449.9916487198816</v>
      </c>
      <c r="P173" s="4" cm="1">
        <f t="array" ref="P1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1483.206490619938</v>
      </c>
      <c r="Q173" s="4">
        <f>1/(1+10^(((Games[[#This Row],[OppPreGmRate]]+IF(Games[[#This Row],[HomeAway]]="A",HCA,0)+Games[[#This Row],[OppRestAdj]])-(Games[[#This Row],[PreGmRate]]+IF(Games[[#This Row],[HomeAway]]="H",HCA,0)+Games[[#This Row],[RestAdj]]))/400))</f>
        <v>0.57256960929472622</v>
      </c>
      <c r="R173" s="1">
        <v>68</v>
      </c>
      <c r="S173" s="1">
        <v>80</v>
      </c>
      <c r="T173" s="1">
        <v>0</v>
      </c>
      <c r="U173" s="1">
        <f>Games[[#This Row],[PointsFor]]-Games[[#This Row],[PointsAgainst]]</f>
        <v>-12</v>
      </c>
      <c r="V173" s="1">
        <f>IF(Games[[#This Row],[MOV]]&gt;0,1,IF(Games[[#This Row],[MOV]]=0,0.5,0))</f>
        <v>0</v>
      </c>
      <c r="W173" s="4">
        <f>((ABS(Games[[#This Row],[MOV]])+5)^0.6)/(12+0.01*(ABS(Games[[#This Row],[PreGmRate]]-Games[[#This Row],[OppPreGmRate]])))*IF(Games[[#This Row],[OT]]=1,0.9,1)</f>
        <v>0.44384426224429779</v>
      </c>
      <c r="X173" s="7" cm="1">
        <f t="array" ref="X17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3" s="9">
        <f>MAX(kmin, kmax - 0.15 * MIN(Games[[#This Row],[GamesPlayed]], 82))</f>
        <v>73.900000000000006</v>
      </c>
      <c r="Z173" s="4">
        <f>Games[[#This Row],[K]]*Games[[#This Row],[POMult]]</f>
        <v>73.900000000000006</v>
      </c>
      <c r="AA173" s="4">
        <f>(Games[[#This Row],[Keff]]*Games[[#This Row],[MOVMult]])*(Games[[#This Row],[Result]]-Games[[#This Row],[ExpectedWin%]])</f>
        <v>-18.780335277166255</v>
      </c>
      <c r="AB173" s="4">
        <f>Games[[#This Row],[PreGmRate]]+Games[[#This Row],[RatingChange]]</f>
        <v>1431.2113134427154</v>
      </c>
      <c r="AC173" s="2">
        <f>IF(Games[[#This Row],[Type]]="R",IF(Games[[#This Row],[Result]]&gt;0.5,1,0),0)</f>
        <v>0</v>
      </c>
      <c r="AD173" s="2">
        <f>IF(Games[[#This Row],[Type]]="R",IF(Games[[#This Row],[Result]]&lt;0.5,1,0),0)</f>
        <v>1</v>
      </c>
      <c r="AE173" s="2">
        <f>IF(AND(Games[[#This Row],[Type]]="P",Games[[#This Row],[Round]]=1),IF(Games[[#This Row],[Result]]&gt;0.5,1,0),0)</f>
        <v>0</v>
      </c>
      <c r="AF173" s="2">
        <f>IF(AND(Games[[#This Row],[Type]]="P",Games[[#This Row],[Round]]=1),IF(Games[[#This Row],[Result]]&lt;0.5,1,0),0)</f>
        <v>0</v>
      </c>
      <c r="AG173" s="2">
        <f>IF(AND(Games[[#This Row],[Type]]="P",Games[[#This Row],[Round]]=2),IF(Games[[#This Row],[Result]]&gt;0.5,1,0),0)</f>
        <v>0</v>
      </c>
      <c r="AH173" s="2">
        <f>IF(AND(Games[[#This Row],[Type]]="P",Games[[#This Row],[Round]]=2),IF(Games[[#This Row],[Result]]&lt;0.5,1,0),0)</f>
        <v>0</v>
      </c>
      <c r="AI173" s="2">
        <f>IF(AND(Games[[#This Row],[Type]]="P",Games[[#This Row],[Round]]=3),IF(Games[[#This Row],[Result]]&gt;0.5,1,0),0)</f>
        <v>0</v>
      </c>
      <c r="AJ173" s="2">
        <f>IF(AND(Games[[#This Row],[Type]]="P",Games[[#This Row],[Round]]=3),IF(Games[[#This Row],[Result]]&lt;0.5,1,0),0)</f>
        <v>0</v>
      </c>
      <c r="AK173" s="2">
        <f>IF(AND(Games[[#This Row],[Type]]="P",Games[[#This Row],[Round]]=4),IF(Games[[#This Row],[Result]]&gt;0.5,1,0),0)</f>
        <v>0</v>
      </c>
      <c r="AL173" s="2">
        <f>IF(AND(Games[[#This Row],[Type]]="P",Games[[#This Row],[Round]]=4),IF(Games[[#This Row],[Result]]&lt;0.5,1,0),0)</f>
        <v>0</v>
      </c>
    </row>
    <row r="174" spans="1:38" x14ac:dyDescent="0.35">
      <c r="A174" s="10">
        <v>40358</v>
      </c>
      <c r="B174" s="2">
        <v>2010</v>
      </c>
      <c r="C174" s="2">
        <f>COUNTIFS(Games[Team],Games[[#This Row],[Team]],Games[Season],Games[[#This Row],[Season]],Games[Date],"&lt;=" &amp; Games[[#This Row],[Date]])</f>
        <v>13</v>
      </c>
      <c r="D174" s="2" t="s">
        <v>23</v>
      </c>
      <c r="E174" s="2" t="s">
        <v>29</v>
      </c>
      <c r="F174" s="1" t="s">
        <v>78</v>
      </c>
      <c r="G174" s="1" t="s">
        <v>75</v>
      </c>
      <c r="H174" s="1" t="s">
        <v>16</v>
      </c>
      <c r="I174" s="2" cm="1">
        <f t="array" ref="I174">IFERROR(
    Games[[#This Row],[Date]]
    - LOOKUP(
        2,
        1/((Games[Team]=Games[[#This Row],[Team]]) * (Games[Date] &lt; Games[[#This Row],[Date]])),
        Games[Date]
    )
    - 1,
Games[[#This Row],[Date]]-$A$2)</f>
        <v>2</v>
      </c>
      <c r="J174" s="2" cm="1">
        <f t="array" ref="J17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4" s="2">
        <f>Games[[#This Row],[DaysOff]]-Games[[#This Row],[OppDaysOff]]</f>
        <v>1</v>
      </c>
      <c r="L174" s="2">
        <f>Games[[#This Row],[OppDaysOff]]-Games[[#This Row],[DaysOff]]</f>
        <v>-1</v>
      </c>
      <c r="M174" s="1">
        <f>MAX(-16, MIN(16, Games[[#This Row],[RestDiff]]*8))</f>
        <v>8</v>
      </c>
      <c r="N174" s="1">
        <f>MAX(-16, MIN(16, Games[[#This Row],[OppRestDiff]]*8))</f>
        <v>-8</v>
      </c>
      <c r="O174" s="4" cm="1">
        <f t="array" ref="O1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1467.491705852013</v>
      </c>
      <c r="P174" s="4" cm="1">
        <f t="array" ref="P1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1642.348805215074</v>
      </c>
      <c r="Q174" s="4">
        <f>1/(1+10^(((Games[[#This Row],[OppPreGmRate]]+IF(Games[[#This Row],[HomeAway]]="A",HCA,0)+Games[[#This Row],[OppRestAdj]])-(Games[[#This Row],[PreGmRate]]+IF(Games[[#This Row],[HomeAway]]="H",HCA,0)+Games[[#This Row],[RestAdj]]))/400))</f>
        <v>0.19813401594206373</v>
      </c>
      <c r="R174" s="1">
        <v>72</v>
      </c>
      <c r="S174" s="1">
        <v>86</v>
      </c>
      <c r="T174" s="1">
        <v>0</v>
      </c>
      <c r="U174" s="1">
        <f>Games[[#This Row],[PointsFor]]-Games[[#This Row],[PointsAgainst]]</f>
        <v>-14</v>
      </c>
      <c r="V174" s="1">
        <f>IF(Games[[#This Row],[MOV]]&gt;0,1,IF(Games[[#This Row],[MOV]]=0,0.5,0))</f>
        <v>0</v>
      </c>
      <c r="W174" s="4">
        <f>((ABS(Games[[#This Row],[MOV]])+5)^0.6)/(12+0.01*(ABS(Games[[#This Row],[PreGmRate]]-Games[[#This Row],[OppPreGmRate]])))*IF(Games[[#This Row],[OT]]=1,0.9,1)</f>
        <v>0.42559312128656746</v>
      </c>
      <c r="X174" s="7" cm="1">
        <f t="array" ref="X17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4" s="9">
        <f>MAX(kmin, kmax - 0.15 * MIN(Games[[#This Row],[GamesPlayed]], 82))</f>
        <v>74.05</v>
      </c>
      <c r="Z174" s="4">
        <f>Games[[#This Row],[K]]*Games[[#This Row],[POMult]]</f>
        <v>74.05</v>
      </c>
      <c r="AA174" s="4">
        <f>(Games[[#This Row],[Keff]]*Games[[#This Row],[MOVMult]])*(Games[[#This Row],[Result]]-Games[[#This Row],[ExpectedWin%]])</f>
        <v>-6.2442273202729721</v>
      </c>
      <c r="AB174" s="4">
        <f>Games[[#This Row],[PreGmRate]]+Games[[#This Row],[RatingChange]]</f>
        <v>1461.2474785317399</v>
      </c>
      <c r="AC174" s="2">
        <f>IF(Games[[#This Row],[Type]]="R",IF(Games[[#This Row],[Result]]&gt;0.5,1,0),0)</f>
        <v>0</v>
      </c>
      <c r="AD174" s="2">
        <f>IF(Games[[#This Row],[Type]]="R",IF(Games[[#This Row],[Result]]&lt;0.5,1,0),0)</f>
        <v>1</v>
      </c>
      <c r="AE174" s="2">
        <f>IF(AND(Games[[#This Row],[Type]]="P",Games[[#This Row],[Round]]=1),IF(Games[[#This Row],[Result]]&gt;0.5,1,0),0)</f>
        <v>0</v>
      </c>
      <c r="AF174" s="2">
        <f>IF(AND(Games[[#This Row],[Type]]="P",Games[[#This Row],[Round]]=1),IF(Games[[#This Row],[Result]]&lt;0.5,1,0),0)</f>
        <v>0</v>
      </c>
      <c r="AG174" s="2">
        <f>IF(AND(Games[[#This Row],[Type]]="P",Games[[#This Row],[Round]]=2),IF(Games[[#This Row],[Result]]&gt;0.5,1,0),0)</f>
        <v>0</v>
      </c>
      <c r="AH174" s="2">
        <f>IF(AND(Games[[#This Row],[Type]]="P",Games[[#This Row],[Round]]=2),IF(Games[[#This Row],[Result]]&lt;0.5,1,0),0)</f>
        <v>0</v>
      </c>
      <c r="AI174" s="2">
        <f>IF(AND(Games[[#This Row],[Type]]="P",Games[[#This Row],[Round]]=3),IF(Games[[#This Row],[Result]]&gt;0.5,1,0),0)</f>
        <v>0</v>
      </c>
      <c r="AJ174" s="2">
        <f>IF(AND(Games[[#This Row],[Type]]="P",Games[[#This Row],[Round]]=3),IF(Games[[#This Row],[Result]]&lt;0.5,1,0),0)</f>
        <v>0</v>
      </c>
      <c r="AK174" s="2">
        <f>IF(AND(Games[[#This Row],[Type]]="P",Games[[#This Row],[Round]]=4),IF(Games[[#This Row],[Result]]&gt;0.5,1,0),0)</f>
        <v>0</v>
      </c>
      <c r="AL174" s="2">
        <f>IF(AND(Games[[#This Row],[Type]]="P",Games[[#This Row],[Round]]=4),IF(Games[[#This Row],[Result]]&lt;0.5,1,0),0)</f>
        <v>0</v>
      </c>
    </row>
    <row r="175" spans="1:38" x14ac:dyDescent="0.35">
      <c r="A175" s="10">
        <v>40358</v>
      </c>
      <c r="B175" s="2">
        <v>2010</v>
      </c>
      <c r="C175" s="2">
        <f>COUNTIFS(Games[Team],Games[[#This Row],[Team]],Games[Season],Games[[#This Row],[Season]],Games[Date],"&lt;=" &amp; Games[[#This Row],[Date]])</f>
        <v>16</v>
      </c>
      <c r="D175" s="2" t="s">
        <v>23</v>
      </c>
      <c r="E175" s="2" t="s">
        <v>29</v>
      </c>
      <c r="F175" s="1" t="s">
        <v>75</v>
      </c>
      <c r="G175" s="1" t="s">
        <v>78</v>
      </c>
      <c r="H175" s="1" t="s">
        <v>15</v>
      </c>
      <c r="I175" s="2" cm="1">
        <f t="array" ref="I17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5" s="2" cm="1">
        <f t="array" ref="J17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75" s="2">
        <f>Games[[#This Row],[DaysOff]]-Games[[#This Row],[OppDaysOff]]</f>
        <v>-1</v>
      </c>
      <c r="L175" s="2">
        <f>Games[[#This Row],[OppDaysOff]]-Games[[#This Row],[DaysOff]]</f>
        <v>1</v>
      </c>
      <c r="M175" s="1">
        <f>MAX(-16, MIN(16, Games[[#This Row],[RestDiff]]*8))</f>
        <v>-8</v>
      </c>
      <c r="N175" s="1">
        <f>MAX(-16, MIN(16, Games[[#This Row],[OppRestDiff]]*8))</f>
        <v>8</v>
      </c>
      <c r="O175" s="4" cm="1">
        <f t="array" ref="O1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1642.348805215074</v>
      </c>
      <c r="P175" s="4" cm="1">
        <f t="array" ref="P1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1467.491705852013</v>
      </c>
      <c r="Q175" s="4">
        <f>1/(1+10^(((Games[[#This Row],[OppPreGmRate]]+IF(Games[[#This Row],[HomeAway]]="A",HCA,0)+Games[[#This Row],[OppRestAdj]])-(Games[[#This Row],[PreGmRate]]+IF(Games[[#This Row],[HomeAway]]="H",HCA,0)+Games[[#This Row],[RestAdj]]))/400))</f>
        <v>0.8018659840579363</v>
      </c>
      <c r="R175" s="1">
        <v>86</v>
      </c>
      <c r="S175" s="1">
        <v>72</v>
      </c>
      <c r="T175" s="1">
        <v>0</v>
      </c>
      <c r="U175" s="1">
        <f>Games[[#This Row],[PointsFor]]-Games[[#This Row],[PointsAgainst]]</f>
        <v>14</v>
      </c>
      <c r="V175" s="1">
        <f>IF(Games[[#This Row],[MOV]]&gt;0,1,IF(Games[[#This Row],[MOV]]=0,0.5,0))</f>
        <v>1</v>
      </c>
      <c r="W175" s="4">
        <f>((ABS(Games[[#This Row],[MOV]])+5)^0.6)/(12+0.01*(ABS(Games[[#This Row],[PreGmRate]]-Games[[#This Row],[OppPreGmRate]])))*IF(Games[[#This Row],[OT]]=1,0.9,1)</f>
        <v>0.42559312128656746</v>
      </c>
      <c r="X175" s="7" cm="1">
        <f t="array" ref="X17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5" s="9">
        <f>MAX(kmin, kmax - 0.15 * MIN(Games[[#This Row],[GamesPlayed]], 82))</f>
        <v>73.599999999999994</v>
      </c>
      <c r="Z175" s="4">
        <f>Games[[#This Row],[K]]*Games[[#This Row],[POMult]]</f>
        <v>73.599999999999994</v>
      </c>
      <c r="AA175" s="4">
        <f>(Games[[#This Row],[Keff]]*Games[[#This Row],[MOVMult]])*(Games[[#This Row],[Result]]-Games[[#This Row],[ExpectedWin%]])</f>
        <v>6.2062813068479494</v>
      </c>
      <c r="AB175" s="4">
        <f>Games[[#This Row],[PreGmRate]]+Games[[#This Row],[RatingChange]]</f>
        <v>1648.555086521922</v>
      </c>
      <c r="AC175" s="2">
        <f>IF(Games[[#This Row],[Type]]="R",IF(Games[[#This Row],[Result]]&gt;0.5,1,0),0)</f>
        <v>1</v>
      </c>
      <c r="AD175" s="2">
        <f>IF(Games[[#This Row],[Type]]="R",IF(Games[[#This Row],[Result]]&lt;0.5,1,0),0)</f>
        <v>0</v>
      </c>
      <c r="AE175" s="2">
        <f>IF(AND(Games[[#This Row],[Type]]="P",Games[[#This Row],[Round]]=1),IF(Games[[#This Row],[Result]]&gt;0.5,1,0),0)</f>
        <v>0</v>
      </c>
      <c r="AF175" s="2">
        <f>IF(AND(Games[[#This Row],[Type]]="P",Games[[#This Row],[Round]]=1),IF(Games[[#This Row],[Result]]&lt;0.5,1,0),0)</f>
        <v>0</v>
      </c>
      <c r="AG175" s="2">
        <f>IF(AND(Games[[#This Row],[Type]]="P",Games[[#This Row],[Round]]=2),IF(Games[[#This Row],[Result]]&gt;0.5,1,0),0)</f>
        <v>0</v>
      </c>
      <c r="AH175" s="2">
        <f>IF(AND(Games[[#This Row],[Type]]="P",Games[[#This Row],[Round]]=2),IF(Games[[#This Row],[Result]]&lt;0.5,1,0),0)</f>
        <v>0</v>
      </c>
      <c r="AI175" s="2">
        <f>IF(AND(Games[[#This Row],[Type]]="P",Games[[#This Row],[Round]]=3),IF(Games[[#This Row],[Result]]&gt;0.5,1,0),0)</f>
        <v>0</v>
      </c>
      <c r="AJ175" s="2">
        <f>IF(AND(Games[[#This Row],[Type]]="P",Games[[#This Row],[Round]]=3),IF(Games[[#This Row],[Result]]&lt;0.5,1,0),0)</f>
        <v>0</v>
      </c>
      <c r="AK175" s="2">
        <f>IF(AND(Games[[#This Row],[Type]]="P",Games[[#This Row],[Round]]=4),IF(Games[[#This Row],[Result]]&gt;0.5,1,0),0)</f>
        <v>0</v>
      </c>
      <c r="AL175" s="2">
        <f>IF(AND(Games[[#This Row],[Type]]="P",Games[[#This Row],[Round]]=4),IF(Games[[#This Row],[Result]]&lt;0.5,1,0),0)</f>
        <v>0</v>
      </c>
    </row>
    <row r="176" spans="1:38" x14ac:dyDescent="0.35">
      <c r="A176" s="10">
        <v>40358</v>
      </c>
      <c r="B176" s="2">
        <v>2010</v>
      </c>
      <c r="C176" s="2">
        <f>COUNTIFS(Games[Team],Games[[#This Row],[Team]],Games[Season],Games[[#This Row],[Season]],Games[Date],"&lt;=" &amp; Games[[#This Row],[Date]])</f>
        <v>15</v>
      </c>
      <c r="D176" s="2" t="s">
        <v>23</v>
      </c>
      <c r="E176" s="2" t="s">
        <v>29</v>
      </c>
      <c r="F176" s="1" t="s">
        <v>80</v>
      </c>
      <c r="G176" s="1" t="s">
        <v>85</v>
      </c>
      <c r="H176" s="1" t="s">
        <v>16</v>
      </c>
      <c r="I176" s="2" cm="1">
        <f t="array" ref="I17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6" s="2" cm="1">
        <f t="array" ref="J17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6" s="2">
        <f>Games[[#This Row],[DaysOff]]-Games[[#This Row],[OppDaysOff]]</f>
        <v>0</v>
      </c>
      <c r="L176" s="2">
        <f>Games[[#This Row],[OppDaysOff]]-Games[[#This Row],[DaysOff]]</f>
        <v>0</v>
      </c>
      <c r="M176" s="1">
        <f>MAX(-16, MIN(16, Games[[#This Row],[RestDiff]]*8))</f>
        <v>0</v>
      </c>
      <c r="N176" s="1">
        <f>MAX(-16, MIN(16, Games[[#This Row],[OppRestDiff]]*8))</f>
        <v>0</v>
      </c>
      <c r="O176" s="4" cm="1">
        <f t="array" ref="O1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1527.5026105522463</v>
      </c>
      <c r="P176" s="4" cm="1">
        <f t="array" ref="P1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1396.9120674884973</v>
      </c>
      <c r="Q176" s="4">
        <f>1/(1+10^(((Games[[#This Row],[OppPreGmRate]]+IF(Games[[#This Row],[HomeAway]]="A",HCA,0)+Games[[#This Row],[OppRestAdj]])-(Games[[#This Row],[PreGmRate]]+IF(Games[[#This Row],[HomeAway]]="H",HCA,0)+Games[[#This Row],[RestAdj]]))/400))</f>
        <v>0.56665015009328368</v>
      </c>
      <c r="R176" s="1">
        <v>101</v>
      </c>
      <c r="S176" s="1">
        <v>89</v>
      </c>
      <c r="T176" s="1">
        <v>0</v>
      </c>
      <c r="U176" s="1">
        <f>Games[[#This Row],[PointsFor]]-Games[[#This Row],[PointsAgainst]]</f>
        <v>12</v>
      </c>
      <c r="V176" s="1">
        <f>IF(Games[[#This Row],[MOV]]&gt;0,1,IF(Games[[#This Row],[MOV]]=0,0.5,0))</f>
        <v>1</v>
      </c>
      <c r="W176" s="4">
        <f>((ABS(Games[[#This Row],[MOV]])+5)^0.6)/(12+0.01*(ABS(Games[[#This Row],[PreGmRate]]-Games[[#This Row],[OppPreGmRate]])))*IF(Games[[#This Row],[OT]]=1,0.9,1)</f>
        <v>0.41136270999757502</v>
      </c>
      <c r="X176" s="7" cm="1">
        <f t="array" ref="X17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6" s="9">
        <f>MAX(kmin, kmax - 0.15 * MIN(Games[[#This Row],[GamesPlayed]], 82))</f>
        <v>73.75</v>
      </c>
      <c r="Z176" s="4">
        <f>Games[[#This Row],[K]]*Games[[#This Row],[POMult]]</f>
        <v>73.75</v>
      </c>
      <c r="AA176" s="4">
        <f>(Games[[#This Row],[Keff]]*Games[[#This Row],[MOVMult]])*(Games[[#This Row],[Result]]-Games[[#This Row],[ExpectedWin%]])</f>
        <v>13.146967686806855</v>
      </c>
      <c r="AB176" s="4">
        <f>Games[[#This Row],[PreGmRate]]+Games[[#This Row],[RatingChange]]</f>
        <v>1540.6495782390532</v>
      </c>
      <c r="AC176" s="2">
        <f>IF(Games[[#This Row],[Type]]="R",IF(Games[[#This Row],[Result]]&gt;0.5,1,0),0)</f>
        <v>1</v>
      </c>
      <c r="AD176" s="2">
        <f>IF(Games[[#This Row],[Type]]="R",IF(Games[[#This Row],[Result]]&lt;0.5,1,0),0)</f>
        <v>0</v>
      </c>
      <c r="AE176" s="2">
        <f>IF(AND(Games[[#This Row],[Type]]="P",Games[[#This Row],[Round]]=1),IF(Games[[#This Row],[Result]]&gt;0.5,1,0),0)</f>
        <v>0</v>
      </c>
      <c r="AF176" s="2">
        <f>IF(AND(Games[[#This Row],[Type]]="P",Games[[#This Row],[Round]]=1),IF(Games[[#This Row],[Result]]&lt;0.5,1,0),0)</f>
        <v>0</v>
      </c>
      <c r="AG176" s="2">
        <f>IF(AND(Games[[#This Row],[Type]]="P",Games[[#This Row],[Round]]=2),IF(Games[[#This Row],[Result]]&gt;0.5,1,0),0)</f>
        <v>0</v>
      </c>
      <c r="AH176" s="2">
        <f>IF(AND(Games[[#This Row],[Type]]="P",Games[[#This Row],[Round]]=2),IF(Games[[#This Row],[Result]]&lt;0.5,1,0),0)</f>
        <v>0</v>
      </c>
      <c r="AI176" s="2">
        <f>IF(AND(Games[[#This Row],[Type]]="P",Games[[#This Row],[Round]]=3),IF(Games[[#This Row],[Result]]&gt;0.5,1,0),0)</f>
        <v>0</v>
      </c>
      <c r="AJ176" s="2">
        <f>IF(AND(Games[[#This Row],[Type]]="P",Games[[#This Row],[Round]]=3),IF(Games[[#This Row],[Result]]&lt;0.5,1,0),0)</f>
        <v>0</v>
      </c>
      <c r="AK176" s="2">
        <f>IF(AND(Games[[#This Row],[Type]]="P",Games[[#This Row],[Round]]=4),IF(Games[[#This Row],[Result]]&gt;0.5,1,0),0)</f>
        <v>0</v>
      </c>
      <c r="AL176" s="2">
        <f>IF(AND(Games[[#This Row],[Type]]="P",Games[[#This Row],[Round]]=4),IF(Games[[#This Row],[Result]]&lt;0.5,1,0),0)</f>
        <v>0</v>
      </c>
    </row>
    <row r="177" spans="1:38" x14ac:dyDescent="0.35">
      <c r="A177" s="10">
        <v>40358</v>
      </c>
      <c r="B177" s="2">
        <v>2010</v>
      </c>
      <c r="C177" s="2">
        <f>COUNTIFS(Games[Team],Games[[#This Row],[Team]],Games[Season],Games[[#This Row],[Season]],Games[Date],"&lt;=" &amp; Games[[#This Row],[Date]])</f>
        <v>15</v>
      </c>
      <c r="D177" s="2" t="s">
        <v>23</v>
      </c>
      <c r="E177" s="2" t="s">
        <v>29</v>
      </c>
      <c r="F177" s="1" t="s">
        <v>85</v>
      </c>
      <c r="G177" s="1" t="s">
        <v>80</v>
      </c>
      <c r="H177" s="1" t="s">
        <v>15</v>
      </c>
      <c r="I177" s="2" cm="1">
        <f t="array" ref="I17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7" s="2" cm="1">
        <f t="array" ref="J17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7" s="2">
        <f>Games[[#This Row],[DaysOff]]-Games[[#This Row],[OppDaysOff]]</f>
        <v>0</v>
      </c>
      <c r="L177" s="2">
        <f>Games[[#This Row],[OppDaysOff]]-Games[[#This Row],[DaysOff]]</f>
        <v>0</v>
      </c>
      <c r="M177" s="1">
        <f>MAX(-16, MIN(16, Games[[#This Row],[RestDiff]]*8))</f>
        <v>0</v>
      </c>
      <c r="N177" s="1">
        <f>MAX(-16, MIN(16, Games[[#This Row],[OppRestDiff]]*8))</f>
        <v>0</v>
      </c>
      <c r="O177" s="4" cm="1">
        <f t="array" ref="O1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1396.9120674884973</v>
      </c>
      <c r="P177" s="4" cm="1">
        <f t="array" ref="P1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1527.5026105522463</v>
      </c>
      <c r="Q177" s="4">
        <f>1/(1+10^(((Games[[#This Row],[OppPreGmRate]]+IF(Games[[#This Row],[HomeAway]]="A",HCA,0)+Games[[#This Row],[OppRestAdj]])-(Games[[#This Row],[PreGmRate]]+IF(Games[[#This Row],[HomeAway]]="H",HCA,0)+Games[[#This Row],[RestAdj]]))/400))</f>
        <v>0.43334984990671632</v>
      </c>
      <c r="R177" s="1">
        <v>89</v>
      </c>
      <c r="S177" s="1">
        <v>101</v>
      </c>
      <c r="T177" s="1">
        <v>0</v>
      </c>
      <c r="U177" s="1">
        <f>Games[[#This Row],[PointsFor]]-Games[[#This Row],[PointsAgainst]]</f>
        <v>-12</v>
      </c>
      <c r="V177" s="1">
        <f>IF(Games[[#This Row],[MOV]]&gt;0,1,IF(Games[[#This Row],[MOV]]=0,0.5,0))</f>
        <v>0</v>
      </c>
      <c r="W177" s="4">
        <f>((ABS(Games[[#This Row],[MOV]])+5)^0.6)/(12+0.01*(ABS(Games[[#This Row],[PreGmRate]]-Games[[#This Row],[OppPreGmRate]])))*IF(Games[[#This Row],[OT]]=1,0.9,1)</f>
        <v>0.41136270999757502</v>
      </c>
      <c r="X177" s="7" cm="1">
        <f t="array" ref="X17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7" s="9">
        <f>MAX(kmin, kmax - 0.15 * MIN(Games[[#This Row],[GamesPlayed]], 82))</f>
        <v>73.75</v>
      </c>
      <c r="Z177" s="4">
        <f>Games[[#This Row],[K]]*Games[[#This Row],[POMult]]</f>
        <v>73.75</v>
      </c>
      <c r="AA177" s="4">
        <f>(Games[[#This Row],[Keff]]*Games[[#This Row],[MOVMult]])*(Games[[#This Row],[Result]]-Games[[#This Row],[ExpectedWin%]])</f>
        <v>-13.146967686806855</v>
      </c>
      <c r="AB177" s="4">
        <f>Games[[#This Row],[PreGmRate]]+Games[[#This Row],[RatingChange]]</f>
        <v>1383.7650998016904</v>
      </c>
      <c r="AC177" s="2">
        <f>IF(Games[[#This Row],[Type]]="R",IF(Games[[#This Row],[Result]]&gt;0.5,1,0),0)</f>
        <v>0</v>
      </c>
      <c r="AD177" s="2">
        <f>IF(Games[[#This Row],[Type]]="R",IF(Games[[#This Row],[Result]]&lt;0.5,1,0),0)</f>
        <v>1</v>
      </c>
      <c r="AE177" s="2">
        <f>IF(AND(Games[[#This Row],[Type]]="P",Games[[#This Row],[Round]]=1),IF(Games[[#This Row],[Result]]&gt;0.5,1,0),0)</f>
        <v>0</v>
      </c>
      <c r="AF177" s="2">
        <f>IF(AND(Games[[#This Row],[Type]]="P",Games[[#This Row],[Round]]=1),IF(Games[[#This Row],[Result]]&lt;0.5,1,0),0)</f>
        <v>0</v>
      </c>
      <c r="AG177" s="2">
        <f>IF(AND(Games[[#This Row],[Type]]="P",Games[[#This Row],[Round]]=2),IF(Games[[#This Row],[Result]]&gt;0.5,1,0),0)</f>
        <v>0</v>
      </c>
      <c r="AH177" s="2">
        <f>IF(AND(Games[[#This Row],[Type]]="P",Games[[#This Row],[Round]]=2),IF(Games[[#This Row],[Result]]&lt;0.5,1,0),0)</f>
        <v>0</v>
      </c>
      <c r="AI177" s="2">
        <f>IF(AND(Games[[#This Row],[Type]]="P",Games[[#This Row],[Round]]=3),IF(Games[[#This Row],[Result]]&gt;0.5,1,0),0)</f>
        <v>0</v>
      </c>
      <c r="AJ177" s="2">
        <f>IF(AND(Games[[#This Row],[Type]]="P",Games[[#This Row],[Round]]=3),IF(Games[[#This Row],[Result]]&lt;0.5,1,0),0)</f>
        <v>0</v>
      </c>
      <c r="AK177" s="2">
        <f>IF(AND(Games[[#This Row],[Type]]="P",Games[[#This Row],[Round]]=4),IF(Games[[#This Row],[Result]]&gt;0.5,1,0),0)</f>
        <v>0</v>
      </c>
      <c r="AL177" s="2">
        <f>IF(AND(Games[[#This Row],[Type]]="P",Games[[#This Row],[Round]]=4),IF(Games[[#This Row],[Result]]&lt;0.5,1,0),0)</f>
        <v>0</v>
      </c>
    </row>
    <row r="178" spans="1:38" x14ac:dyDescent="0.35">
      <c r="A178" s="10">
        <v>40358</v>
      </c>
      <c r="B178" s="2">
        <v>2010</v>
      </c>
      <c r="C178" s="2">
        <f>COUNTIFS(Games[Team],Games[[#This Row],[Team]],Games[Season],Games[[#This Row],[Season]],Games[Date],"&lt;=" &amp; Games[[#This Row],[Date]])</f>
        <v>15</v>
      </c>
      <c r="D178" s="2" t="s">
        <v>23</v>
      </c>
      <c r="E178" s="2" t="s">
        <v>29</v>
      </c>
      <c r="F178" s="1" t="s">
        <v>73</v>
      </c>
      <c r="G178" s="1" t="s">
        <v>69</v>
      </c>
      <c r="H178" s="1" t="s">
        <v>16</v>
      </c>
      <c r="I178" s="2" cm="1">
        <f t="array" ref="I17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8" s="2" cm="1">
        <f t="array" ref="J17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8" s="2">
        <f>Games[[#This Row],[DaysOff]]-Games[[#This Row],[OppDaysOff]]</f>
        <v>0</v>
      </c>
      <c r="L178" s="2">
        <f>Games[[#This Row],[OppDaysOff]]-Games[[#This Row],[DaysOff]]</f>
        <v>0</v>
      </c>
      <c r="M178" s="1">
        <f>MAX(-16, MIN(16, Games[[#This Row],[RestDiff]]*8))</f>
        <v>0</v>
      </c>
      <c r="N178" s="1">
        <f>MAX(-16, MIN(16, Games[[#This Row],[OppRestDiff]]*8))</f>
        <v>0</v>
      </c>
      <c r="O178" s="4" cm="1">
        <f t="array" ref="O1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1584.3968517681158</v>
      </c>
      <c r="P178" s="4" cm="1">
        <f t="array" ref="P1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1534.1691570260987</v>
      </c>
      <c r="Q178" s="4">
        <f>1/(1+10^(((Games[[#This Row],[OppPreGmRate]]+IF(Games[[#This Row],[HomeAway]]="A",HCA,0)+Games[[#This Row],[OppRestAdj]])-(Games[[#This Row],[PreGmRate]]+IF(Games[[#This Row],[HomeAway]]="H",HCA,0)+Games[[#This Row],[RestAdj]]))/400))</f>
        <v>0.45155024580830222</v>
      </c>
      <c r="R178" s="1">
        <v>65</v>
      </c>
      <c r="S178" s="1">
        <v>68</v>
      </c>
      <c r="T178" s="1">
        <v>0</v>
      </c>
      <c r="U178" s="1">
        <f>Games[[#This Row],[PointsFor]]-Games[[#This Row],[PointsAgainst]]</f>
        <v>-3</v>
      </c>
      <c r="V178" s="1">
        <f>IF(Games[[#This Row],[MOV]]&gt;0,1,IF(Games[[#This Row],[MOV]]=0,0.5,0))</f>
        <v>0</v>
      </c>
      <c r="W178" s="4">
        <f>((ABS(Games[[#This Row],[MOV]])+5)^0.6)/(12+0.01*(ABS(Games[[#This Row],[PreGmRate]]-Games[[#This Row],[OppPreGmRate]])))*IF(Games[[#This Row],[OT]]=1,0.9,1)</f>
        <v>0.27852544523124201</v>
      </c>
      <c r="X178" s="7" cm="1">
        <f t="array" ref="X17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8" s="9">
        <f>MAX(kmin, kmax - 0.15 * MIN(Games[[#This Row],[GamesPlayed]], 82))</f>
        <v>73.75</v>
      </c>
      <c r="Z178" s="4">
        <f>Games[[#This Row],[K]]*Games[[#This Row],[POMult]]</f>
        <v>73.75</v>
      </c>
      <c r="AA178" s="4">
        <f>(Games[[#This Row],[Keff]]*Games[[#This Row],[MOVMult]])*(Games[[#This Row],[Result]]-Games[[#This Row],[ExpectedWin%]])</f>
        <v>-9.2754072027800181</v>
      </c>
      <c r="AB178" s="4">
        <f>Games[[#This Row],[PreGmRate]]+Games[[#This Row],[RatingChange]]</f>
        <v>1575.1214445653357</v>
      </c>
      <c r="AC178" s="2">
        <f>IF(Games[[#This Row],[Type]]="R",IF(Games[[#This Row],[Result]]&gt;0.5,1,0),0)</f>
        <v>0</v>
      </c>
      <c r="AD178" s="2">
        <f>IF(Games[[#This Row],[Type]]="R",IF(Games[[#This Row],[Result]]&lt;0.5,1,0),0)</f>
        <v>1</v>
      </c>
      <c r="AE178" s="2">
        <f>IF(AND(Games[[#This Row],[Type]]="P",Games[[#This Row],[Round]]=1),IF(Games[[#This Row],[Result]]&gt;0.5,1,0),0)</f>
        <v>0</v>
      </c>
      <c r="AF178" s="2">
        <f>IF(AND(Games[[#This Row],[Type]]="P",Games[[#This Row],[Round]]=1),IF(Games[[#This Row],[Result]]&lt;0.5,1,0),0)</f>
        <v>0</v>
      </c>
      <c r="AG178" s="2">
        <f>IF(AND(Games[[#This Row],[Type]]="P",Games[[#This Row],[Round]]=2),IF(Games[[#This Row],[Result]]&gt;0.5,1,0),0)</f>
        <v>0</v>
      </c>
      <c r="AH178" s="2">
        <f>IF(AND(Games[[#This Row],[Type]]="P",Games[[#This Row],[Round]]=2),IF(Games[[#This Row],[Result]]&lt;0.5,1,0),0)</f>
        <v>0</v>
      </c>
      <c r="AI178" s="2">
        <f>IF(AND(Games[[#This Row],[Type]]="P",Games[[#This Row],[Round]]=3),IF(Games[[#This Row],[Result]]&gt;0.5,1,0),0)</f>
        <v>0</v>
      </c>
      <c r="AJ178" s="2">
        <f>IF(AND(Games[[#This Row],[Type]]="P",Games[[#This Row],[Round]]=3),IF(Games[[#This Row],[Result]]&lt;0.5,1,0),0)</f>
        <v>0</v>
      </c>
      <c r="AK178" s="2">
        <f>IF(AND(Games[[#This Row],[Type]]="P",Games[[#This Row],[Round]]=4),IF(Games[[#This Row],[Result]]&gt;0.5,1,0),0)</f>
        <v>0</v>
      </c>
      <c r="AL178" s="2">
        <f>IF(AND(Games[[#This Row],[Type]]="P",Games[[#This Row],[Round]]=4),IF(Games[[#This Row],[Result]]&lt;0.5,1,0),0)</f>
        <v>0</v>
      </c>
    </row>
    <row r="179" spans="1:38" x14ac:dyDescent="0.35">
      <c r="A179" s="10">
        <v>40358</v>
      </c>
      <c r="B179" s="2">
        <v>2010</v>
      </c>
      <c r="C179" s="2">
        <f>COUNTIFS(Games[Team],Games[[#This Row],[Team]],Games[Season],Games[[#This Row],[Season]],Games[Date],"&lt;=" &amp; Games[[#This Row],[Date]])</f>
        <v>15</v>
      </c>
      <c r="D179" s="2" t="s">
        <v>23</v>
      </c>
      <c r="E179" s="2" t="s">
        <v>29</v>
      </c>
      <c r="F179" s="1" t="s">
        <v>69</v>
      </c>
      <c r="G179" s="1" t="s">
        <v>73</v>
      </c>
      <c r="H179" s="1" t="s">
        <v>15</v>
      </c>
      <c r="I179" s="2" cm="1">
        <f t="array" ref="I17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9" s="2" cm="1">
        <f t="array" ref="J17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9" s="2">
        <f>Games[[#This Row],[DaysOff]]-Games[[#This Row],[OppDaysOff]]</f>
        <v>0</v>
      </c>
      <c r="L179" s="2">
        <f>Games[[#This Row],[OppDaysOff]]-Games[[#This Row],[DaysOff]]</f>
        <v>0</v>
      </c>
      <c r="M179" s="1">
        <f>MAX(-16, MIN(16, Games[[#This Row],[RestDiff]]*8))</f>
        <v>0</v>
      </c>
      <c r="N179" s="1">
        <f>MAX(-16, MIN(16, Games[[#This Row],[OppRestDiff]]*8))</f>
        <v>0</v>
      </c>
      <c r="O179" s="4" cm="1">
        <f t="array" ref="O1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1534.1691570260987</v>
      </c>
      <c r="P179" s="4" cm="1">
        <f t="array" ref="P1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1584.3968517681158</v>
      </c>
      <c r="Q179" s="4">
        <f>1/(1+10^(((Games[[#This Row],[OppPreGmRate]]+IF(Games[[#This Row],[HomeAway]]="A",HCA,0)+Games[[#This Row],[OppRestAdj]])-(Games[[#This Row],[PreGmRate]]+IF(Games[[#This Row],[HomeAway]]="H",HCA,0)+Games[[#This Row],[RestAdj]]))/400))</f>
        <v>0.54844975419169784</v>
      </c>
      <c r="R179" s="1">
        <v>68</v>
      </c>
      <c r="S179" s="1">
        <v>65</v>
      </c>
      <c r="T179" s="1">
        <v>0</v>
      </c>
      <c r="U179" s="1">
        <f>Games[[#This Row],[PointsFor]]-Games[[#This Row],[PointsAgainst]]</f>
        <v>3</v>
      </c>
      <c r="V179" s="1">
        <f>IF(Games[[#This Row],[MOV]]&gt;0,1,IF(Games[[#This Row],[MOV]]=0,0.5,0))</f>
        <v>1</v>
      </c>
      <c r="W179" s="4">
        <f>((ABS(Games[[#This Row],[MOV]])+5)^0.6)/(12+0.01*(ABS(Games[[#This Row],[PreGmRate]]-Games[[#This Row],[OppPreGmRate]])))*IF(Games[[#This Row],[OT]]=1,0.9,1)</f>
        <v>0.27852544523124201</v>
      </c>
      <c r="X179" s="7" cm="1">
        <f t="array" ref="X17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9" s="9">
        <f>MAX(kmin, kmax - 0.15 * MIN(Games[[#This Row],[GamesPlayed]], 82))</f>
        <v>73.75</v>
      </c>
      <c r="Z179" s="4">
        <f>Games[[#This Row],[K]]*Games[[#This Row],[POMult]]</f>
        <v>73.75</v>
      </c>
      <c r="AA179" s="4">
        <f>(Games[[#This Row],[Keff]]*Games[[#This Row],[MOVMult]])*(Games[[#This Row],[Result]]-Games[[#This Row],[ExpectedWin%]])</f>
        <v>9.2754072027800163</v>
      </c>
      <c r="AB179" s="4">
        <f>Games[[#This Row],[PreGmRate]]+Games[[#This Row],[RatingChange]]</f>
        <v>1543.4445642288788</v>
      </c>
      <c r="AC179" s="2">
        <f>IF(Games[[#This Row],[Type]]="R",IF(Games[[#This Row],[Result]]&gt;0.5,1,0),0)</f>
        <v>1</v>
      </c>
      <c r="AD179" s="2">
        <f>IF(Games[[#This Row],[Type]]="R",IF(Games[[#This Row],[Result]]&lt;0.5,1,0),0)</f>
        <v>0</v>
      </c>
      <c r="AE179" s="2">
        <f>IF(AND(Games[[#This Row],[Type]]="P",Games[[#This Row],[Round]]=1),IF(Games[[#This Row],[Result]]&gt;0.5,1,0),0)</f>
        <v>0</v>
      </c>
      <c r="AF179" s="2">
        <f>IF(AND(Games[[#This Row],[Type]]="P",Games[[#This Row],[Round]]=1),IF(Games[[#This Row],[Result]]&lt;0.5,1,0),0)</f>
        <v>0</v>
      </c>
      <c r="AG179" s="2">
        <f>IF(AND(Games[[#This Row],[Type]]="P",Games[[#This Row],[Round]]=2),IF(Games[[#This Row],[Result]]&gt;0.5,1,0),0)</f>
        <v>0</v>
      </c>
      <c r="AH179" s="2">
        <f>IF(AND(Games[[#This Row],[Type]]="P",Games[[#This Row],[Round]]=2),IF(Games[[#This Row],[Result]]&lt;0.5,1,0),0)</f>
        <v>0</v>
      </c>
      <c r="AI179" s="2">
        <f>IF(AND(Games[[#This Row],[Type]]="P",Games[[#This Row],[Round]]=3),IF(Games[[#This Row],[Result]]&gt;0.5,1,0),0)</f>
        <v>0</v>
      </c>
      <c r="AJ179" s="2">
        <f>IF(AND(Games[[#This Row],[Type]]="P",Games[[#This Row],[Round]]=3),IF(Games[[#This Row],[Result]]&lt;0.5,1,0),0)</f>
        <v>0</v>
      </c>
      <c r="AK179" s="2">
        <f>IF(AND(Games[[#This Row],[Type]]="P",Games[[#This Row],[Round]]=4),IF(Games[[#This Row],[Result]]&gt;0.5,1,0),0)</f>
        <v>0</v>
      </c>
      <c r="AL179" s="2">
        <f>IF(AND(Games[[#This Row],[Type]]="P",Games[[#This Row],[Round]]=4),IF(Games[[#This Row],[Result]]&lt;0.5,1,0),0)</f>
        <v>0</v>
      </c>
    </row>
    <row r="180" spans="1:38" x14ac:dyDescent="0.35">
      <c r="A180" s="10">
        <v>40360</v>
      </c>
      <c r="B180" s="2">
        <v>2010</v>
      </c>
      <c r="C180" s="2">
        <f>COUNTIFS(Games[Team],Games[[#This Row],[Team]],Games[Season],Games[[#This Row],[Season]],Games[Date],"&lt;=" &amp; Games[[#This Row],[Date]])</f>
        <v>16</v>
      </c>
      <c r="D180" s="2" t="s">
        <v>23</v>
      </c>
      <c r="E180" s="2" t="s">
        <v>29</v>
      </c>
      <c r="F180" s="1" t="s">
        <v>71</v>
      </c>
      <c r="G180" s="1" t="s">
        <v>83</v>
      </c>
      <c r="H180" s="1" t="s">
        <v>16</v>
      </c>
      <c r="I180" s="2" cm="1">
        <f t="array" ref="I180">IFERROR(
    Games[[#This Row],[Date]]
    - LOOKUP(
        2,
        1/((Games[Team]=Games[[#This Row],[Team]]) * (Games[Date] &lt; Games[[#This Row],[Date]])),
        Games[Date]
    )
    - 1,
Games[[#This Row],[Date]]-$A$2)</f>
        <v>4</v>
      </c>
      <c r="J180" s="2" cm="1">
        <f t="array" ref="J18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0" s="2">
        <f>Games[[#This Row],[DaysOff]]-Games[[#This Row],[OppDaysOff]]</f>
        <v>3</v>
      </c>
      <c r="L180" s="2">
        <f>Games[[#This Row],[OppDaysOff]]-Games[[#This Row],[DaysOff]]</f>
        <v>-3</v>
      </c>
      <c r="M180" s="1">
        <f>MAX(-16, MIN(16, Games[[#This Row],[RestDiff]]*8))</f>
        <v>16</v>
      </c>
      <c r="N180" s="1">
        <f>MAX(-16, MIN(16, Games[[#This Row],[OppRestDiff]]*8))</f>
        <v>-16</v>
      </c>
      <c r="O180" s="4" cm="1">
        <f t="array" ref="O1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1417.7953045666827</v>
      </c>
      <c r="P180" s="4" cm="1">
        <f t="array" ref="P1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1574.1279333596749</v>
      </c>
      <c r="Q180" s="4">
        <f>1/(1+10^(((Games[[#This Row],[OppPreGmRate]]+IF(Games[[#This Row],[HomeAway]]="A",HCA,0)+Games[[#This Row],[OppRestAdj]])-(Games[[#This Row],[PreGmRate]]+IF(Games[[#This Row],[HomeAway]]="H",HCA,0)+Games[[#This Row],[RestAdj]]))/400))</f>
        <v>0.23160706008810969</v>
      </c>
      <c r="R180" s="1">
        <v>58</v>
      </c>
      <c r="S180" s="1">
        <v>76</v>
      </c>
      <c r="T180" s="1">
        <v>0</v>
      </c>
      <c r="U180" s="1">
        <f>Games[[#This Row],[PointsFor]]-Games[[#This Row],[PointsAgainst]]</f>
        <v>-18</v>
      </c>
      <c r="V180" s="1">
        <f>IF(Games[[#This Row],[MOV]]&gt;0,1,IF(Games[[#This Row],[MOV]]=0,0.5,0))</f>
        <v>0</v>
      </c>
      <c r="W180" s="4">
        <f>((ABS(Games[[#This Row],[MOV]])+5)^0.6)/(12+0.01*(ABS(Games[[#This Row],[PreGmRate]]-Games[[#This Row],[OppPreGmRate]])))*IF(Games[[#This Row],[OT]]=1,0.9,1)</f>
        <v>0.483805155624356</v>
      </c>
      <c r="X180" s="7" cm="1">
        <f t="array" ref="X18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0" s="9">
        <f>MAX(kmin, kmax - 0.15 * MIN(Games[[#This Row],[GamesPlayed]], 82))</f>
        <v>73.599999999999994</v>
      </c>
      <c r="Z180" s="4">
        <f>Games[[#This Row],[K]]*Games[[#This Row],[POMult]]</f>
        <v>73.599999999999994</v>
      </c>
      <c r="AA180" s="4">
        <f>(Games[[#This Row],[Keff]]*Games[[#This Row],[MOVMult]])*(Games[[#This Row],[Result]]-Games[[#This Row],[ExpectedWin%]])</f>
        <v>-8.2470779655725828</v>
      </c>
      <c r="AB180" s="4">
        <f>Games[[#This Row],[PreGmRate]]+Games[[#This Row],[RatingChange]]</f>
        <v>1409.5482266011102</v>
      </c>
      <c r="AC180" s="2">
        <f>IF(Games[[#This Row],[Type]]="R",IF(Games[[#This Row],[Result]]&gt;0.5,1,0),0)</f>
        <v>0</v>
      </c>
      <c r="AD180" s="2">
        <f>IF(Games[[#This Row],[Type]]="R",IF(Games[[#This Row],[Result]]&lt;0.5,1,0),0)</f>
        <v>1</v>
      </c>
      <c r="AE180" s="2">
        <f>IF(AND(Games[[#This Row],[Type]]="P",Games[[#This Row],[Round]]=1),IF(Games[[#This Row],[Result]]&gt;0.5,1,0),0)</f>
        <v>0</v>
      </c>
      <c r="AF180" s="2">
        <f>IF(AND(Games[[#This Row],[Type]]="P",Games[[#This Row],[Round]]=1),IF(Games[[#This Row],[Result]]&lt;0.5,1,0),0)</f>
        <v>0</v>
      </c>
      <c r="AG180" s="2">
        <f>IF(AND(Games[[#This Row],[Type]]="P",Games[[#This Row],[Round]]=2),IF(Games[[#This Row],[Result]]&gt;0.5,1,0),0)</f>
        <v>0</v>
      </c>
      <c r="AH180" s="2">
        <f>IF(AND(Games[[#This Row],[Type]]="P",Games[[#This Row],[Round]]=2),IF(Games[[#This Row],[Result]]&lt;0.5,1,0),0)</f>
        <v>0</v>
      </c>
      <c r="AI180" s="2">
        <f>IF(AND(Games[[#This Row],[Type]]="P",Games[[#This Row],[Round]]=3),IF(Games[[#This Row],[Result]]&gt;0.5,1,0),0)</f>
        <v>0</v>
      </c>
      <c r="AJ180" s="2">
        <f>IF(AND(Games[[#This Row],[Type]]="P",Games[[#This Row],[Round]]=3),IF(Games[[#This Row],[Result]]&lt;0.5,1,0),0)</f>
        <v>0</v>
      </c>
      <c r="AK180" s="2">
        <f>IF(AND(Games[[#This Row],[Type]]="P",Games[[#This Row],[Round]]=4),IF(Games[[#This Row],[Result]]&gt;0.5,1,0),0)</f>
        <v>0</v>
      </c>
      <c r="AL180" s="2">
        <f>IF(AND(Games[[#This Row],[Type]]="P",Games[[#This Row],[Round]]=4),IF(Games[[#This Row],[Result]]&lt;0.5,1,0),0)</f>
        <v>0</v>
      </c>
    </row>
    <row r="181" spans="1:38" x14ac:dyDescent="0.35">
      <c r="A181" s="10">
        <v>40360</v>
      </c>
      <c r="B181" s="2">
        <v>2010</v>
      </c>
      <c r="C181" s="2">
        <f>COUNTIFS(Games[Team],Games[[#This Row],[Team]],Games[Season],Games[[#This Row],[Season]],Games[Date],"&lt;=" &amp; Games[[#This Row],[Date]])</f>
        <v>17</v>
      </c>
      <c r="D181" s="2" t="s">
        <v>23</v>
      </c>
      <c r="E181" s="2" t="s">
        <v>29</v>
      </c>
      <c r="F181" s="1" t="s">
        <v>83</v>
      </c>
      <c r="G181" s="1" t="s">
        <v>71</v>
      </c>
      <c r="H181" s="1" t="s">
        <v>15</v>
      </c>
      <c r="I181" s="2" cm="1">
        <f t="array" ref="I18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1" s="2" cm="1">
        <f t="array" ref="J181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81" s="2">
        <f>Games[[#This Row],[DaysOff]]-Games[[#This Row],[OppDaysOff]]</f>
        <v>-3</v>
      </c>
      <c r="L181" s="2">
        <f>Games[[#This Row],[OppDaysOff]]-Games[[#This Row],[DaysOff]]</f>
        <v>3</v>
      </c>
      <c r="M181" s="1">
        <f>MAX(-16, MIN(16, Games[[#This Row],[RestDiff]]*8))</f>
        <v>-16</v>
      </c>
      <c r="N181" s="1">
        <f>MAX(-16, MIN(16, Games[[#This Row],[OppRestDiff]]*8))</f>
        <v>16</v>
      </c>
      <c r="O181" s="4" cm="1">
        <f t="array" ref="O1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1574.1279333596749</v>
      </c>
      <c r="P181" s="4" cm="1">
        <f t="array" ref="P1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1417.7953045666827</v>
      </c>
      <c r="Q181" s="4">
        <f>1/(1+10^(((Games[[#This Row],[OppPreGmRate]]+IF(Games[[#This Row],[HomeAway]]="A",HCA,0)+Games[[#This Row],[OppRestAdj]])-(Games[[#This Row],[PreGmRate]]+IF(Games[[#This Row],[HomeAway]]="H",HCA,0)+Games[[#This Row],[RestAdj]]))/400))</f>
        <v>0.76839293991189028</v>
      </c>
      <c r="R181" s="1">
        <v>76</v>
      </c>
      <c r="S181" s="1">
        <v>58</v>
      </c>
      <c r="T181" s="1">
        <v>0</v>
      </c>
      <c r="U181" s="1">
        <f>Games[[#This Row],[PointsFor]]-Games[[#This Row],[PointsAgainst]]</f>
        <v>18</v>
      </c>
      <c r="V181" s="1">
        <f>IF(Games[[#This Row],[MOV]]&gt;0,1,IF(Games[[#This Row],[MOV]]=0,0.5,0))</f>
        <v>1</v>
      </c>
      <c r="W181" s="4">
        <f>((ABS(Games[[#This Row],[MOV]])+5)^0.6)/(12+0.01*(ABS(Games[[#This Row],[PreGmRate]]-Games[[#This Row],[OppPreGmRate]])))*IF(Games[[#This Row],[OT]]=1,0.9,1)</f>
        <v>0.483805155624356</v>
      </c>
      <c r="X181" s="7" cm="1">
        <f t="array" ref="X18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1" s="9">
        <f>MAX(kmin, kmax - 0.15 * MIN(Games[[#This Row],[GamesPlayed]], 82))</f>
        <v>73.45</v>
      </c>
      <c r="Z181" s="4">
        <f>Games[[#This Row],[K]]*Games[[#This Row],[POMult]]</f>
        <v>73.45</v>
      </c>
      <c r="AA181" s="4">
        <f>(Games[[#This Row],[Keff]]*Games[[#This Row],[MOVMult]])*(Games[[#This Row],[Result]]-Games[[#This Row],[ExpectedWin%]])</f>
        <v>8.2302700621101401</v>
      </c>
      <c r="AB181" s="4">
        <f>Games[[#This Row],[PreGmRate]]+Games[[#This Row],[RatingChange]]</f>
        <v>1582.358203421785</v>
      </c>
      <c r="AC181" s="2">
        <f>IF(Games[[#This Row],[Type]]="R",IF(Games[[#This Row],[Result]]&gt;0.5,1,0),0)</f>
        <v>1</v>
      </c>
      <c r="AD181" s="2">
        <f>IF(Games[[#This Row],[Type]]="R",IF(Games[[#This Row],[Result]]&lt;0.5,1,0),0)</f>
        <v>0</v>
      </c>
      <c r="AE181" s="2">
        <f>IF(AND(Games[[#This Row],[Type]]="P",Games[[#This Row],[Round]]=1),IF(Games[[#This Row],[Result]]&gt;0.5,1,0),0)</f>
        <v>0</v>
      </c>
      <c r="AF181" s="2">
        <f>IF(AND(Games[[#This Row],[Type]]="P",Games[[#This Row],[Round]]=1),IF(Games[[#This Row],[Result]]&lt;0.5,1,0),0)</f>
        <v>0</v>
      </c>
      <c r="AG181" s="2">
        <f>IF(AND(Games[[#This Row],[Type]]="P",Games[[#This Row],[Round]]=2),IF(Games[[#This Row],[Result]]&gt;0.5,1,0),0)</f>
        <v>0</v>
      </c>
      <c r="AH181" s="2">
        <f>IF(AND(Games[[#This Row],[Type]]="P",Games[[#This Row],[Round]]=2),IF(Games[[#This Row],[Result]]&lt;0.5,1,0),0)</f>
        <v>0</v>
      </c>
      <c r="AI181" s="2">
        <f>IF(AND(Games[[#This Row],[Type]]="P",Games[[#This Row],[Round]]=3),IF(Games[[#This Row],[Result]]&gt;0.5,1,0),0)</f>
        <v>0</v>
      </c>
      <c r="AJ181" s="2">
        <f>IF(AND(Games[[#This Row],[Type]]="P",Games[[#This Row],[Round]]=3),IF(Games[[#This Row],[Result]]&lt;0.5,1,0),0)</f>
        <v>0</v>
      </c>
      <c r="AK181" s="2">
        <f>IF(AND(Games[[#This Row],[Type]]="P",Games[[#This Row],[Round]]=4),IF(Games[[#This Row],[Result]]&gt;0.5,1,0),0)</f>
        <v>0</v>
      </c>
      <c r="AL181" s="2">
        <f>IF(AND(Games[[#This Row],[Type]]="P",Games[[#This Row],[Round]]=4),IF(Games[[#This Row],[Result]]&lt;0.5,1,0),0)</f>
        <v>0</v>
      </c>
    </row>
    <row r="182" spans="1:38" x14ac:dyDescent="0.35">
      <c r="A182" s="10">
        <v>40360</v>
      </c>
      <c r="B182" s="2">
        <v>2010</v>
      </c>
      <c r="C182" s="2">
        <f>COUNTIFS(Games[Team],Games[[#This Row],[Team]],Games[Season],Games[[#This Row],[Season]],Games[Date],"&lt;=" &amp; Games[[#This Row],[Date]])</f>
        <v>16</v>
      </c>
      <c r="D182" s="2" t="s">
        <v>23</v>
      </c>
      <c r="E182" s="2" t="s">
        <v>29</v>
      </c>
      <c r="F182" s="1" t="s">
        <v>80</v>
      </c>
      <c r="G182" s="1" t="s">
        <v>81</v>
      </c>
      <c r="H182" s="1" t="s">
        <v>16</v>
      </c>
      <c r="I182" s="2" cm="1">
        <f t="array" ref="I18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2" s="2" cm="1">
        <f t="array" ref="J18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82" s="2">
        <f>Games[[#This Row],[DaysOff]]-Games[[#This Row],[OppDaysOff]]</f>
        <v>-2</v>
      </c>
      <c r="L182" s="2">
        <f>Games[[#This Row],[OppDaysOff]]-Games[[#This Row],[DaysOff]]</f>
        <v>2</v>
      </c>
      <c r="M182" s="1">
        <f>MAX(-16, MIN(16, Games[[#This Row],[RestDiff]]*8))</f>
        <v>-16</v>
      </c>
      <c r="N182" s="1">
        <f>MAX(-16, MIN(16, Games[[#This Row],[OppRestDiff]]*8))</f>
        <v>16</v>
      </c>
      <c r="O182" s="4" cm="1">
        <f t="array" ref="O1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1540.6495782390532</v>
      </c>
      <c r="P182" s="4" cm="1">
        <f t="array" ref="P1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1462.0426608239513</v>
      </c>
      <c r="Q182" s="4">
        <f>1/(1+10^(((Games[[#This Row],[OppPreGmRate]]+IF(Games[[#This Row],[HomeAway]]="A",HCA,0)+Games[[#This Row],[OppRestAdj]])-(Games[[#This Row],[PreGmRate]]+IF(Games[[#This Row],[HomeAway]]="H",HCA,0)+Games[[#This Row],[RestAdj]]))/400))</f>
        <v>0.4463938482460495</v>
      </c>
      <c r="R182" s="1">
        <v>80</v>
      </c>
      <c r="S182" s="1">
        <v>92</v>
      </c>
      <c r="T182" s="1">
        <v>0</v>
      </c>
      <c r="U182" s="1">
        <f>Games[[#This Row],[PointsFor]]-Games[[#This Row],[PointsAgainst]]</f>
        <v>-12</v>
      </c>
      <c r="V182" s="1">
        <f>IF(Games[[#This Row],[MOV]]&gt;0,1,IF(Games[[#This Row],[MOV]]=0,0.5,0))</f>
        <v>0</v>
      </c>
      <c r="W182" s="4">
        <f>((ABS(Games[[#This Row],[MOV]])+5)^0.6)/(12+0.01*(ABS(Games[[#This Row],[PreGmRate]]-Games[[#This Row],[OppPreGmRate]])))*IF(Games[[#This Row],[OT]]=1,0.9,1)</f>
        <v>0.42808725984246265</v>
      </c>
      <c r="X182" s="7" cm="1">
        <f t="array" ref="X18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2" s="9">
        <f>MAX(kmin, kmax - 0.15 * MIN(Games[[#This Row],[GamesPlayed]], 82))</f>
        <v>73.599999999999994</v>
      </c>
      <c r="Z182" s="4">
        <f>Games[[#This Row],[K]]*Games[[#This Row],[POMult]]</f>
        <v>73.599999999999994</v>
      </c>
      <c r="AA182" s="4">
        <f>(Games[[#This Row],[Keff]]*Games[[#This Row],[MOVMult]])*(Games[[#This Row],[Result]]-Games[[#This Row],[ExpectedWin%]])</f>
        <v>-14.064630220935099</v>
      </c>
      <c r="AB182" s="4">
        <f>Games[[#This Row],[PreGmRate]]+Games[[#This Row],[RatingChange]]</f>
        <v>1526.5849480181182</v>
      </c>
      <c r="AC182" s="2">
        <f>IF(Games[[#This Row],[Type]]="R",IF(Games[[#This Row],[Result]]&gt;0.5,1,0),0)</f>
        <v>0</v>
      </c>
      <c r="AD182" s="2">
        <f>IF(Games[[#This Row],[Type]]="R",IF(Games[[#This Row],[Result]]&lt;0.5,1,0),0)</f>
        <v>1</v>
      </c>
      <c r="AE182" s="2">
        <f>IF(AND(Games[[#This Row],[Type]]="P",Games[[#This Row],[Round]]=1),IF(Games[[#This Row],[Result]]&gt;0.5,1,0),0)</f>
        <v>0</v>
      </c>
      <c r="AF182" s="2">
        <f>IF(AND(Games[[#This Row],[Type]]="P",Games[[#This Row],[Round]]=1),IF(Games[[#This Row],[Result]]&lt;0.5,1,0),0)</f>
        <v>0</v>
      </c>
      <c r="AG182" s="2">
        <f>IF(AND(Games[[#This Row],[Type]]="P",Games[[#This Row],[Round]]=2),IF(Games[[#This Row],[Result]]&gt;0.5,1,0),0)</f>
        <v>0</v>
      </c>
      <c r="AH182" s="2">
        <f>IF(AND(Games[[#This Row],[Type]]="P",Games[[#This Row],[Round]]=2),IF(Games[[#This Row],[Result]]&lt;0.5,1,0),0)</f>
        <v>0</v>
      </c>
      <c r="AI182" s="2">
        <f>IF(AND(Games[[#This Row],[Type]]="P",Games[[#This Row],[Round]]=3),IF(Games[[#This Row],[Result]]&gt;0.5,1,0),0)</f>
        <v>0</v>
      </c>
      <c r="AJ182" s="2">
        <f>IF(AND(Games[[#This Row],[Type]]="P",Games[[#This Row],[Round]]=3),IF(Games[[#This Row],[Result]]&lt;0.5,1,0),0)</f>
        <v>0</v>
      </c>
      <c r="AK182" s="2">
        <f>IF(AND(Games[[#This Row],[Type]]="P",Games[[#This Row],[Round]]=4),IF(Games[[#This Row],[Result]]&gt;0.5,1,0),0)</f>
        <v>0</v>
      </c>
      <c r="AL182" s="2">
        <f>IF(AND(Games[[#This Row],[Type]]="P",Games[[#This Row],[Round]]=4),IF(Games[[#This Row],[Result]]&lt;0.5,1,0),0)</f>
        <v>0</v>
      </c>
    </row>
    <row r="183" spans="1:38" x14ac:dyDescent="0.35">
      <c r="A183" s="10">
        <v>40360</v>
      </c>
      <c r="B183" s="2">
        <v>2010</v>
      </c>
      <c r="C183" s="2">
        <f>COUNTIFS(Games[Team],Games[[#This Row],[Team]],Games[Season],Games[[#This Row],[Season]],Games[Date],"&lt;=" &amp; Games[[#This Row],[Date]])</f>
        <v>16</v>
      </c>
      <c r="D183" s="2" t="s">
        <v>23</v>
      </c>
      <c r="E183" s="2" t="s">
        <v>29</v>
      </c>
      <c r="F183" s="1" t="s">
        <v>81</v>
      </c>
      <c r="G183" s="1" t="s">
        <v>80</v>
      </c>
      <c r="H183" s="1" t="s">
        <v>15</v>
      </c>
      <c r="I183" s="2" cm="1">
        <f t="array" ref="I183">IFERROR(
    Games[[#This Row],[Date]]
    - LOOKUP(
        2,
        1/((Games[Team]=Games[[#This Row],[Team]]) * (Games[Date] &lt; Games[[#This Row],[Date]])),
        Games[Date]
    )
    - 1,
Games[[#This Row],[Date]]-$A$2)</f>
        <v>3</v>
      </c>
      <c r="J183" s="2" cm="1">
        <f t="array" ref="J18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3" s="2">
        <f>Games[[#This Row],[DaysOff]]-Games[[#This Row],[OppDaysOff]]</f>
        <v>2</v>
      </c>
      <c r="L183" s="2">
        <f>Games[[#This Row],[OppDaysOff]]-Games[[#This Row],[DaysOff]]</f>
        <v>-2</v>
      </c>
      <c r="M183" s="1">
        <f>MAX(-16, MIN(16, Games[[#This Row],[RestDiff]]*8))</f>
        <v>16</v>
      </c>
      <c r="N183" s="1">
        <f>MAX(-16, MIN(16, Games[[#This Row],[OppRestDiff]]*8))</f>
        <v>-16</v>
      </c>
      <c r="O183" s="4" cm="1">
        <f t="array" ref="O1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1462.0426608239513</v>
      </c>
      <c r="P183" s="4" cm="1">
        <f t="array" ref="P1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1540.6495782390532</v>
      </c>
      <c r="Q183" s="4">
        <f>1/(1+10^(((Games[[#This Row],[OppPreGmRate]]+IF(Games[[#This Row],[HomeAway]]="A",HCA,0)+Games[[#This Row],[OppRestAdj]])-(Games[[#This Row],[PreGmRate]]+IF(Games[[#This Row],[HomeAway]]="H",HCA,0)+Games[[#This Row],[RestAdj]]))/400))</f>
        <v>0.55360615175395045</v>
      </c>
      <c r="R183" s="1">
        <v>92</v>
      </c>
      <c r="S183" s="1">
        <v>80</v>
      </c>
      <c r="T183" s="1">
        <v>0</v>
      </c>
      <c r="U183" s="1">
        <f>Games[[#This Row],[PointsFor]]-Games[[#This Row],[PointsAgainst]]</f>
        <v>12</v>
      </c>
      <c r="V183" s="1">
        <f>IF(Games[[#This Row],[MOV]]&gt;0,1,IF(Games[[#This Row],[MOV]]=0,0.5,0))</f>
        <v>1</v>
      </c>
      <c r="W183" s="4">
        <f>((ABS(Games[[#This Row],[MOV]])+5)^0.6)/(12+0.01*(ABS(Games[[#This Row],[PreGmRate]]-Games[[#This Row],[OppPreGmRate]])))*IF(Games[[#This Row],[OT]]=1,0.9,1)</f>
        <v>0.42808725984246265</v>
      </c>
      <c r="X183" s="7" cm="1">
        <f t="array" ref="X18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3" s="9">
        <f>MAX(kmin, kmax - 0.15 * MIN(Games[[#This Row],[GamesPlayed]], 82))</f>
        <v>73.599999999999994</v>
      </c>
      <c r="Z183" s="4">
        <f>Games[[#This Row],[K]]*Games[[#This Row],[POMult]]</f>
        <v>73.599999999999994</v>
      </c>
      <c r="AA183" s="4">
        <f>(Games[[#This Row],[Keff]]*Games[[#This Row],[MOVMult]])*(Games[[#This Row],[Result]]-Games[[#This Row],[ExpectedWin%]])</f>
        <v>14.064630220935101</v>
      </c>
      <c r="AB183" s="4">
        <f>Games[[#This Row],[PreGmRate]]+Games[[#This Row],[RatingChange]]</f>
        <v>1476.1072910448866</v>
      </c>
      <c r="AC183" s="2">
        <f>IF(Games[[#This Row],[Type]]="R",IF(Games[[#This Row],[Result]]&gt;0.5,1,0),0)</f>
        <v>1</v>
      </c>
      <c r="AD183" s="2">
        <f>IF(Games[[#This Row],[Type]]="R",IF(Games[[#This Row],[Result]]&lt;0.5,1,0),0)</f>
        <v>0</v>
      </c>
      <c r="AE183" s="2">
        <f>IF(AND(Games[[#This Row],[Type]]="P",Games[[#This Row],[Round]]=1),IF(Games[[#This Row],[Result]]&gt;0.5,1,0),0)</f>
        <v>0</v>
      </c>
      <c r="AF183" s="2">
        <f>IF(AND(Games[[#This Row],[Type]]="P",Games[[#This Row],[Round]]=1),IF(Games[[#This Row],[Result]]&lt;0.5,1,0),0)</f>
        <v>0</v>
      </c>
      <c r="AG183" s="2">
        <f>IF(AND(Games[[#This Row],[Type]]="P",Games[[#This Row],[Round]]=2),IF(Games[[#This Row],[Result]]&gt;0.5,1,0),0)</f>
        <v>0</v>
      </c>
      <c r="AH183" s="2">
        <f>IF(AND(Games[[#This Row],[Type]]="P",Games[[#This Row],[Round]]=2),IF(Games[[#This Row],[Result]]&lt;0.5,1,0),0)</f>
        <v>0</v>
      </c>
      <c r="AI183" s="2">
        <f>IF(AND(Games[[#This Row],[Type]]="P",Games[[#This Row],[Round]]=3),IF(Games[[#This Row],[Result]]&gt;0.5,1,0),0)</f>
        <v>0</v>
      </c>
      <c r="AJ183" s="2">
        <f>IF(AND(Games[[#This Row],[Type]]="P",Games[[#This Row],[Round]]=3),IF(Games[[#This Row],[Result]]&lt;0.5,1,0),0)</f>
        <v>0</v>
      </c>
      <c r="AK183" s="2">
        <f>IF(AND(Games[[#This Row],[Type]]="P",Games[[#This Row],[Round]]=4),IF(Games[[#This Row],[Result]]&gt;0.5,1,0),0)</f>
        <v>0</v>
      </c>
      <c r="AL183" s="2">
        <f>IF(AND(Games[[#This Row],[Type]]="P",Games[[#This Row],[Round]]=4),IF(Games[[#This Row],[Result]]&lt;0.5,1,0),0)</f>
        <v>0</v>
      </c>
    </row>
    <row r="184" spans="1:38" x14ac:dyDescent="0.35">
      <c r="A184" s="10">
        <v>40360</v>
      </c>
      <c r="B184" s="2">
        <v>2010</v>
      </c>
      <c r="C184" s="2">
        <f>COUNTIFS(Games[Team],Games[[#This Row],[Team]],Games[Season],Games[[#This Row],[Season]],Games[Date],"&lt;=" &amp; Games[[#This Row],[Date]])</f>
        <v>14</v>
      </c>
      <c r="D184" s="2" t="s">
        <v>23</v>
      </c>
      <c r="E184" s="2" t="s">
        <v>29</v>
      </c>
      <c r="F184" s="1" t="s">
        <v>78</v>
      </c>
      <c r="G184" s="1" t="s">
        <v>67</v>
      </c>
      <c r="H184" s="1" t="s">
        <v>16</v>
      </c>
      <c r="I184" s="2" cm="1">
        <f t="array" ref="I18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4" s="2" cm="1">
        <f t="array" ref="J18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4" s="2">
        <f>Games[[#This Row],[DaysOff]]-Games[[#This Row],[OppDaysOff]]</f>
        <v>0</v>
      </c>
      <c r="L184" s="2">
        <f>Games[[#This Row],[OppDaysOff]]-Games[[#This Row],[DaysOff]]</f>
        <v>0</v>
      </c>
      <c r="M184" s="1">
        <f>MAX(-16, MIN(16, Games[[#This Row],[RestDiff]]*8))</f>
        <v>0</v>
      </c>
      <c r="N184" s="1">
        <f>MAX(-16, MIN(16, Games[[#This Row],[OppRestDiff]]*8))</f>
        <v>0</v>
      </c>
      <c r="O184" s="4" cm="1">
        <f t="array" ref="O1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1461.2474785317399</v>
      </c>
      <c r="P184" s="4" cm="1">
        <f t="array" ref="P1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1431.2113134427154</v>
      </c>
      <c r="Q184" s="4">
        <f>1/(1+10^(((Games[[#This Row],[OppPreGmRate]]+IF(Games[[#This Row],[HomeAway]]="A",HCA,0)+Games[[#This Row],[OppRestAdj]])-(Games[[#This Row],[PreGmRate]]+IF(Games[[#This Row],[HomeAway]]="H",HCA,0)+Games[[#This Row],[RestAdj]]))/400))</f>
        <v>0.42295833345323669</v>
      </c>
      <c r="R184" s="1">
        <v>63</v>
      </c>
      <c r="S184" s="1">
        <v>73</v>
      </c>
      <c r="T184" s="1">
        <v>0</v>
      </c>
      <c r="U184" s="1">
        <f>Games[[#This Row],[PointsFor]]-Games[[#This Row],[PointsAgainst]]</f>
        <v>-10</v>
      </c>
      <c r="V184" s="1">
        <f>IF(Games[[#This Row],[MOV]]&gt;0,1,IF(Games[[#This Row],[MOV]]=0,0.5,0))</f>
        <v>0</v>
      </c>
      <c r="W184" s="4">
        <f>((ABS(Games[[#This Row],[MOV]])+5)^0.6)/(12+0.01*(ABS(Games[[#This Row],[PreGmRate]]-Games[[#This Row],[OppPreGmRate]])))*IF(Games[[#This Row],[OT]]=1,0.9,1)</f>
        <v>0.41279732548513454</v>
      </c>
      <c r="X184" s="7" cm="1">
        <f t="array" ref="X18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4" s="9">
        <f>MAX(kmin, kmax - 0.15 * MIN(Games[[#This Row],[GamesPlayed]], 82))</f>
        <v>73.900000000000006</v>
      </c>
      <c r="Z184" s="4">
        <f>Games[[#This Row],[K]]*Games[[#This Row],[POMult]]</f>
        <v>73.900000000000006</v>
      </c>
      <c r="AA184" s="4">
        <f>(Games[[#This Row],[Keff]]*Games[[#This Row],[MOVMult]])*(Games[[#This Row],[Result]]-Games[[#This Row],[ExpectedWin%]])</f>
        <v>-12.902649487360677</v>
      </c>
      <c r="AB184" s="4">
        <f>Games[[#This Row],[PreGmRate]]+Games[[#This Row],[RatingChange]]</f>
        <v>1448.3448290443794</v>
      </c>
      <c r="AC184" s="2">
        <f>IF(Games[[#This Row],[Type]]="R",IF(Games[[#This Row],[Result]]&gt;0.5,1,0),0)</f>
        <v>0</v>
      </c>
      <c r="AD184" s="2">
        <f>IF(Games[[#This Row],[Type]]="R",IF(Games[[#This Row],[Result]]&lt;0.5,1,0),0)</f>
        <v>1</v>
      </c>
      <c r="AE184" s="2">
        <f>IF(AND(Games[[#This Row],[Type]]="P",Games[[#This Row],[Round]]=1),IF(Games[[#This Row],[Result]]&gt;0.5,1,0),0)</f>
        <v>0</v>
      </c>
      <c r="AF184" s="2">
        <f>IF(AND(Games[[#This Row],[Type]]="P",Games[[#This Row],[Round]]=1),IF(Games[[#This Row],[Result]]&lt;0.5,1,0),0)</f>
        <v>0</v>
      </c>
      <c r="AG184" s="2">
        <f>IF(AND(Games[[#This Row],[Type]]="P",Games[[#This Row],[Round]]=2),IF(Games[[#This Row],[Result]]&gt;0.5,1,0),0)</f>
        <v>0</v>
      </c>
      <c r="AH184" s="2">
        <f>IF(AND(Games[[#This Row],[Type]]="P",Games[[#This Row],[Round]]=2),IF(Games[[#This Row],[Result]]&lt;0.5,1,0),0)</f>
        <v>0</v>
      </c>
      <c r="AI184" s="2">
        <f>IF(AND(Games[[#This Row],[Type]]="P",Games[[#This Row],[Round]]=3),IF(Games[[#This Row],[Result]]&gt;0.5,1,0),0)</f>
        <v>0</v>
      </c>
      <c r="AJ184" s="2">
        <f>IF(AND(Games[[#This Row],[Type]]="P",Games[[#This Row],[Round]]=3),IF(Games[[#This Row],[Result]]&lt;0.5,1,0),0)</f>
        <v>0</v>
      </c>
      <c r="AK184" s="2">
        <f>IF(AND(Games[[#This Row],[Type]]="P",Games[[#This Row],[Round]]=4),IF(Games[[#This Row],[Result]]&gt;0.5,1,0),0)</f>
        <v>0</v>
      </c>
      <c r="AL184" s="2">
        <f>IF(AND(Games[[#This Row],[Type]]="P",Games[[#This Row],[Round]]=4),IF(Games[[#This Row],[Result]]&lt;0.5,1,0),0)</f>
        <v>0</v>
      </c>
    </row>
    <row r="185" spans="1:38" x14ac:dyDescent="0.35">
      <c r="A185" s="10">
        <v>40360</v>
      </c>
      <c r="B185" s="2">
        <v>2010</v>
      </c>
      <c r="C185" s="2">
        <f>COUNTIFS(Games[Team],Games[[#This Row],[Team]],Games[Season],Games[[#This Row],[Season]],Games[Date],"&lt;=" &amp; Games[[#This Row],[Date]])</f>
        <v>15</v>
      </c>
      <c r="D185" s="2" t="s">
        <v>23</v>
      </c>
      <c r="E185" s="2" t="s">
        <v>29</v>
      </c>
      <c r="F185" s="1" t="s">
        <v>67</v>
      </c>
      <c r="G185" s="1" t="s">
        <v>78</v>
      </c>
      <c r="H185" s="1" t="s">
        <v>15</v>
      </c>
      <c r="I185" s="2" cm="1">
        <f t="array" ref="I18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5" s="2" cm="1">
        <f t="array" ref="J18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5" s="2">
        <f>Games[[#This Row],[DaysOff]]-Games[[#This Row],[OppDaysOff]]</f>
        <v>0</v>
      </c>
      <c r="L185" s="2">
        <f>Games[[#This Row],[OppDaysOff]]-Games[[#This Row],[DaysOff]]</f>
        <v>0</v>
      </c>
      <c r="M185" s="1">
        <f>MAX(-16, MIN(16, Games[[#This Row],[RestDiff]]*8))</f>
        <v>0</v>
      </c>
      <c r="N185" s="1">
        <f>MAX(-16, MIN(16, Games[[#This Row],[OppRestDiff]]*8))</f>
        <v>0</v>
      </c>
      <c r="O185" s="4" cm="1">
        <f t="array" ref="O1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1431.2113134427154</v>
      </c>
      <c r="P185" s="4" cm="1">
        <f t="array" ref="P1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1461.2474785317399</v>
      </c>
      <c r="Q185" s="4">
        <f>1/(1+10^(((Games[[#This Row],[OppPreGmRate]]+IF(Games[[#This Row],[HomeAway]]="A",HCA,0)+Games[[#This Row],[OppRestAdj]])-(Games[[#This Row],[PreGmRate]]+IF(Games[[#This Row],[HomeAway]]="H",HCA,0)+Games[[#This Row],[RestAdj]]))/400))</f>
        <v>0.57704166654676337</v>
      </c>
      <c r="R185" s="1">
        <v>73</v>
      </c>
      <c r="S185" s="1">
        <v>63</v>
      </c>
      <c r="T185" s="1">
        <v>0</v>
      </c>
      <c r="U185" s="1">
        <f>Games[[#This Row],[PointsFor]]-Games[[#This Row],[PointsAgainst]]</f>
        <v>10</v>
      </c>
      <c r="V185" s="1">
        <f>IF(Games[[#This Row],[MOV]]&gt;0,1,IF(Games[[#This Row],[MOV]]=0,0.5,0))</f>
        <v>1</v>
      </c>
      <c r="W185" s="4">
        <f>((ABS(Games[[#This Row],[MOV]])+5)^0.6)/(12+0.01*(ABS(Games[[#This Row],[PreGmRate]]-Games[[#This Row],[OppPreGmRate]])))*IF(Games[[#This Row],[OT]]=1,0.9,1)</f>
        <v>0.41279732548513454</v>
      </c>
      <c r="X185" s="7" cm="1">
        <f t="array" ref="X18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5" s="9">
        <f>MAX(kmin, kmax - 0.15 * MIN(Games[[#This Row],[GamesPlayed]], 82))</f>
        <v>73.75</v>
      </c>
      <c r="Z185" s="4">
        <f>Games[[#This Row],[K]]*Games[[#This Row],[POMult]]</f>
        <v>73.75</v>
      </c>
      <c r="AA185" s="4">
        <f>(Games[[#This Row],[Keff]]*Games[[#This Row],[MOVMult]])*(Games[[#This Row],[Result]]-Games[[#This Row],[ExpectedWin%]])</f>
        <v>12.876460077034501</v>
      </c>
      <c r="AB185" s="4">
        <f>Games[[#This Row],[PreGmRate]]+Games[[#This Row],[RatingChange]]</f>
        <v>1444.08777351975</v>
      </c>
      <c r="AC185" s="2">
        <f>IF(Games[[#This Row],[Type]]="R",IF(Games[[#This Row],[Result]]&gt;0.5,1,0),0)</f>
        <v>1</v>
      </c>
      <c r="AD185" s="2">
        <f>IF(Games[[#This Row],[Type]]="R",IF(Games[[#This Row],[Result]]&lt;0.5,1,0),0)</f>
        <v>0</v>
      </c>
      <c r="AE185" s="2">
        <f>IF(AND(Games[[#This Row],[Type]]="P",Games[[#This Row],[Round]]=1),IF(Games[[#This Row],[Result]]&gt;0.5,1,0),0)</f>
        <v>0</v>
      </c>
      <c r="AF185" s="2">
        <f>IF(AND(Games[[#This Row],[Type]]="P",Games[[#This Row],[Round]]=1),IF(Games[[#This Row],[Result]]&lt;0.5,1,0),0)</f>
        <v>0</v>
      </c>
      <c r="AG185" s="2">
        <f>IF(AND(Games[[#This Row],[Type]]="P",Games[[#This Row],[Round]]=2),IF(Games[[#This Row],[Result]]&gt;0.5,1,0),0)</f>
        <v>0</v>
      </c>
      <c r="AH185" s="2">
        <f>IF(AND(Games[[#This Row],[Type]]="P",Games[[#This Row],[Round]]=2),IF(Games[[#This Row],[Result]]&lt;0.5,1,0),0)</f>
        <v>0</v>
      </c>
      <c r="AI185" s="2">
        <f>IF(AND(Games[[#This Row],[Type]]="P",Games[[#This Row],[Round]]=3),IF(Games[[#This Row],[Result]]&gt;0.5,1,0),0)</f>
        <v>0</v>
      </c>
      <c r="AJ185" s="2">
        <f>IF(AND(Games[[#This Row],[Type]]="P",Games[[#This Row],[Round]]=3),IF(Games[[#This Row],[Result]]&lt;0.5,1,0),0)</f>
        <v>0</v>
      </c>
      <c r="AK185" s="2">
        <f>IF(AND(Games[[#This Row],[Type]]="P",Games[[#This Row],[Round]]=4),IF(Games[[#This Row],[Result]]&gt;0.5,1,0),0)</f>
        <v>0</v>
      </c>
      <c r="AL185" s="2">
        <f>IF(AND(Games[[#This Row],[Type]]="P",Games[[#This Row],[Round]]=4),IF(Games[[#This Row],[Result]]&lt;0.5,1,0),0)</f>
        <v>0</v>
      </c>
    </row>
    <row r="186" spans="1:38" x14ac:dyDescent="0.35">
      <c r="A186" s="10">
        <v>40360</v>
      </c>
      <c r="B186" s="2">
        <v>2010</v>
      </c>
      <c r="C186" s="2">
        <f>COUNTIFS(Games[Team],Games[[#This Row],[Team]],Games[Season],Games[[#This Row],[Season]],Games[Date],"&lt;=" &amp; Games[[#This Row],[Date]])</f>
        <v>16</v>
      </c>
      <c r="D186" s="2" t="s">
        <v>23</v>
      </c>
      <c r="E186" s="2" t="s">
        <v>29</v>
      </c>
      <c r="F186" s="1" t="s">
        <v>69</v>
      </c>
      <c r="G186" s="1" t="s">
        <v>44</v>
      </c>
      <c r="H186" s="1" t="s">
        <v>16</v>
      </c>
      <c r="I186" s="2" cm="1">
        <f t="array" ref="I18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6" s="2" cm="1">
        <f t="array" ref="J18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6" s="2">
        <f>Games[[#This Row],[DaysOff]]-Games[[#This Row],[OppDaysOff]]</f>
        <v>0</v>
      </c>
      <c r="L186" s="2">
        <f>Games[[#This Row],[OppDaysOff]]-Games[[#This Row],[DaysOff]]</f>
        <v>0</v>
      </c>
      <c r="M186" s="1">
        <f>MAX(-16, MIN(16, Games[[#This Row],[RestDiff]]*8))</f>
        <v>0</v>
      </c>
      <c r="N186" s="1">
        <f>MAX(-16, MIN(16, Games[[#This Row],[OppRestDiff]]*8))</f>
        <v>0</v>
      </c>
      <c r="O186" s="4" cm="1">
        <f t="array" ref="O1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1543.4445642288788</v>
      </c>
      <c r="P186" s="4" cm="1">
        <f t="array" ref="P1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1498.2071701349944</v>
      </c>
      <c r="Q186" s="4">
        <f>1/(1+10^(((Games[[#This Row],[OppPreGmRate]]+IF(Games[[#This Row],[HomeAway]]="A",HCA,0)+Games[[#This Row],[OppRestAdj]])-(Games[[#This Row],[PreGmRate]]+IF(Games[[#This Row],[HomeAway]]="H",HCA,0)+Games[[#This Row],[RestAdj]]))/400))</f>
        <v>0.44444643333463024</v>
      </c>
      <c r="R186" s="1">
        <v>107</v>
      </c>
      <c r="S186" s="1">
        <v>104</v>
      </c>
      <c r="T186" s="1">
        <v>0</v>
      </c>
      <c r="U186" s="1">
        <f>Games[[#This Row],[PointsFor]]-Games[[#This Row],[PointsAgainst]]</f>
        <v>3</v>
      </c>
      <c r="V186" s="1">
        <f>IF(Games[[#This Row],[MOV]]&gt;0,1,IF(Games[[#This Row],[MOV]]=0,0.5,0))</f>
        <v>1</v>
      </c>
      <c r="W186" s="4">
        <f>((ABS(Games[[#This Row],[MOV]])+5)^0.6)/(12+0.01*(ABS(Games[[#This Row],[PreGmRate]]-Games[[#This Row],[OppPreGmRate]])))*IF(Games[[#This Row],[OT]]=1,0.9,1)</f>
        <v>0.27964163859039687</v>
      </c>
      <c r="X186" s="7" cm="1">
        <f t="array" ref="X18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6" s="9">
        <f>MAX(kmin, kmax - 0.15 * MIN(Games[[#This Row],[GamesPlayed]], 82))</f>
        <v>73.599999999999994</v>
      </c>
      <c r="Z186" s="4">
        <f>Games[[#This Row],[K]]*Games[[#This Row],[POMult]]</f>
        <v>73.599999999999994</v>
      </c>
      <c r="AA186" s="4">
        <f>(Games[[#This Row],[Keff]]*Games[[#This Row],[MOVMult]])*(Games[[#This Row],[Result]]-Games[[#This Row],[ExpectedWin%]])</f>
        <v>11.434194954438382</v>
      </c>
      <c r="AB186" s="4">
        <f>Games[[#This Row],[PreGmRate]]+Games[[#This Row],[RatingChange]]</f>
        <v>1554.8787591833172</v>
      </c>
      <c r="AC186" s="2">
        <f>IF(Games[[#This Row],[Type]]="R",IF(Games[[#This Row],[Result]]&gt;0.5,1,0),0)</f>
        <v>1</v>
      </c>
      <c r="AD186" s="2">
        <f>IF(Games[[#This Row],[Type]]="R",IF(Games[[#This Row],[Result]]&lt;0.5,1,0),0)</f>
        <v>0</v>
      </c>
      <c r="AE186" s="2">
        <f>IF(AND(Games[[#This Row],[Type]]="P",Games[[#This Row],[Round]]=1),IF(Games[[#This Row],[Result]]&gt;0.5,1,0),0)</f>
        <v>0</v>
      </c>
      <c r="AF186" s="2">
        <f>IF(AND(Games[[#This Row],[Type]]="P",Games[[#This Row],[Round]]=1),IF(Games[[#This Row],[Result]]&lt;0.5,1,0),0)</f>
        <v>0</v>
      </c>
      <c r="AG186" s="2">
        <f>IF(AND(Games[[#This Row],[Type]]="P",Games[[#This Row],[Round]]=2),IF(Games[[#This Row],[Result]]&gt;0.5,1,0),0)</f>
        <v>0</v>
      </c>
      <c r="AH186" s="2">
        <f>IF(AND(Games[[#This Row],[Type]]="P",Games[[#This Row],[Round]]=2),IF(Games[[#This Row],[Result]]&lt;0.5,1,0),0)</f>
        <v>0</v>
      </c>
      <c r="AI186" s="2">
        <f>IF(AND(Games[[#This Row],[Type]]="P",Games[[#This Row],[Round]]=3),IF(Games[[#This Row],[Result]]&gt;0.5,1,0),0)</f>
        <v>0</v>
      </c>
      <c r="AJ186" s="2">
        <f>IF(AND(Games[[#This Row],[Type]]="P",Games[[#This Row],[Round]]=3),IF(Games[[#This Row],[Result]]&lt;0.5,1,0),0)</f>
        <v>0</v>
      </c>
      <c r="AK186" s="2">
        <f>IF(AND(Games[[#This Row],[Type]]="P",Games[[#This Row],[Round]]=4),IF(Games[[#This Row],[Result]]&gt;0.5,1,0),0)</f>
        <v>0</v>
      </c>
      <c r="AL186" s="2">
        <f>IF(AND(Games[[#This Row],[Type]]="P",Games[[#This Row],[Round]]=4),IF(Games[[#This Row],[Result]]&lt;0.5,1,0),0)</f>
        <v>0</v>
      </c>
    </row>
    <row r="187" spans="1:38" x14ac:dyDescent="0.35">
      <c r="A187" s="10">
        <v>40360</v>
      </c>
      <c r="B187" s="2">
        <v>2010</v>
      </c>
      <c r="C187" s="2">
        <f>COUNTIFS(Games[Team],Games[[#This Row],[Team]],Games[Season],Games[[#This Row],[Season]],Games[Date],"&lt;=" &amp; Games[[#This Row],[Date]])</f>
        <v>16</v>
      </c>
      <c r="D187" s="2" t="s">
        <v>23</v>
      </c>
      <c r="E187" s="2" t="s">
        <v>29</v>
      </c>
      <c r="F187" s="1" t="s">
        <v>44</v>
      </c>
      <c r="G187" s="1" t="s">
        <v>69</v>
      </c>
      <c r="H187" s="1" t="s">
        <v>15</v>
      </c>
      <c r="I187" s="2" cm="1">
        <f t="array" ref="I18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7" s="2" cm="1">
        <f t="array" ref="J18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7" s="2">
        <f>Games[[#This Row],[DaysOff]]-Games[[#This Row],[OppDaysOff]]</f>
        <v>0</v>
      </c>
      <c r="L187" s="2">
        <f>Games[[#This Row],[OppDaysOff]]-Games[[#This Row],[DaysOff]]</f>
        <v>0</v>
      </c>
      <c r="M187" s="1">
        <f>MAX(-16, MIN(16, Games[[#This Row],[RestDiff]]*8))</f>
        <v>0</v>
      </c>
      <c r="N187" s="1">
        <f>MAX(-16, MIN(16, Games[[#This Row],[OppRestDiff]]*8))</f>
        <v>0</v>
      </c>
      <c r="O187" s="4" cm="1">
        <f t="array" ref="O1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1498.2071701349944</v>
      </c>
      <c r="P187" s="4" cm="1">
        <f t="array" ref="P1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1543.4445642288788</v>
      </c>
      <c r="Q187" s="4">
        <f>1/(1+10^(((Games[[#This Row],[OppPreGmRate]]+IF(Games[[#This Row],[HomeAway]]="A",HCA,0)+Games[[#This Row],[OppRestAdj]])-(Games[[#This Row],[PreGmRate]]+IF(Games[[#This Row],[HomeAway]]="H",HCA,0)+Games[[#This Row],[RestAdj]]))/400))</f>
        <v>0.55555356666536981</v>
      </c>
      <c r="R187" s="1">
        <v>104</v>
      </c>
      <c r="S187" s="1">
        <v>107</v>
      </c>
      <c r="T187" s="1">
        <v>0</v>
      </c>
      <c r="U187" s="1">
        <f>Games[[#This Row],[PointsFor]]-Games[[#This Row],[PointsAgainst]]</f>
        <v>-3</v>
      </c>
      <c r="V187" s="1">
        <f>IF(Games[[#This Row],[MOV]]&gt;0,1,IF(Games[[#This Row],[MOV]]=0,0.5,0))</f>
        <v>0</v>
      </c>
      <c r="W187" s="4">
        <f>((ABS(Games[[#This Row],[MOV]])+5)^0.6)/(12+0.01*(ABS(Games[[#This Row],[PreGmRate]]-Games[[#This Row],[OppPreGmRate]])))*IF(Games[[#This Row],[OT]]=1,0.9,1)</f>
        <v>0.27964163859039687</v>
      </c>
      <c r="X187" s="7" cm="1">
        <f t="array" ref="X18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7" s="9">
        <f>MAX(kmin, kmax - 0.15 * MIN(Games[[#This Row],[GamesPlayed]], 82))</f>
        <v>73.599999999999994</v>
      </c>
      <c r="Z187" s="4">
        <f>Games[[#This Row],[K]]*Games[[#This Row],[POMult]]</f>
        <v>73.599999999999994</v>
      </c>
      <c r="AA187" s="4">
        <f>(Games[[#This Row],[Keff]]*Games[[#This Row],[MOVMult]])*(Games[[#This Row],[Result]]-Games[[#This Row],[ExpectedWin%]])</f>
        <v>-11.434194954438386</v>
      </c>
      <c r="AB187" s="4">
        <f>Games[[#This Row],[PreGmRate]]+Games[[#This Row],[RatingChange]]</f>
        <v>1486.7729751805559</v>
      </c>
      <c r="AC187" s="2">
        <f>IF(Games[[#This Row],[Type]]="R",IF(Games[[#This Row],[Result]]&gt;0.5,1,0),0)</f>
        <v>0</v>
      </c>
      <c r="AD187" s="2">
        <f>IF(Games[[#This Row],[Type]]="R",IF(Games[[#This Row],[Result]]&lt;0.5,1,0),0)</f>
        <v>1</v>
      </c>
      <c r="AE187" s="2">
        <f>IF(AND(Games[[#This Row],[Type]]="P",Games[[#This Row],[Round]]=1),IF(Games[[#This Row],[Result]]&gt;0.5,1,0),0)</f>
        <v>0</v>
      </c>
      <c r="AF187" s="2">
        <f>IF(AND(Games[[#This Row],[Type]]="P",Games[[#This Row],[Round]]=1),IF(Games[[#This Row],[Result]]&lt;0.5,1,0),0)</f>
        <v>0</v>
      </c>
      <c r="AG187" s="2">
        <f>IF(AND(Games[[#This Row],[Type]]="P",Games[[#This Row],[Round]]=2),IF(Games[[#This Row],[Result]]&gt;0.5,1,0),0)</f>
        <v>0</v>
      </c>
      <c r="AH187" s="2">
        <f>IF(AND(Games[[#This Row],[Type]]="P",Games[[#This Row],[Round]]=2),IF(Games[[#This Row],[Result]]&lt;0.5,1,0),0)</f>
        <v>0</v>
      </c>
      <c r="AI187" s="2">
        <f>IF(AND(Games[[#This Row],[Type]]="P",Games[[#This Row],[Round]]=3),IF(Games[[#This Row],[Result]]&gt;0.5,1,0),0)</f>
        <v>0</v>
      </c>
      <c r="AJ187" s="2">
        <f>IF(AND(Games[[#This Row],[Type]]="P",Games[[#This Row],[Round]]=3),IF(Games[[#This Row],[Result]]&lt;0.5,1,0),0)</f>
        <v>0</v>
      </c>
      <c r="AK187" s="2">
        <f>IF(AND(Games[[#This Row],[Type]]="P",Games[[#This Row],[Round]]=4),IF(Games[[#This Row],[Result]]&gt;0.5,1,0),0)</f>
        <v>0</v>
      </c>
      <c r="AL187" s="2">
        <f>IF(AND(Games[[#This Row],[Type]]="P",Games[[#This Row],[Round]]=4),IF(Games[[#This Row],[Result]]&lt;0.5,1,0),0)</f>
        <v>0</v>
      </c>
    </row>
    <row r="188" spans="1:38" x14ac:dyDescent="0.35">
      <c r="A188" s="10">
        <v>40362</v>
      </c>
      <c r="B188" s="2">
        <v>2010</v>
      </c>
      <c r="C188" s="2">
        <f>COUNTIFS(Games[Team],Games[[#This Row],[Team]],Games[Season],Games[[#This Row],[Season]],Games[Date],"&lt;=" &amp; Games[[#This Row],[Date]])</f>
        <v>17</v>
      </c>
      <c r="D188" s="2" t="s">
        <v>23</v>
      </c>
      <c r="E188" s="2" t="s">
        <v>29</v>
      </c>
      <c r="F188" s="1" t="s">
        <v>81</v>
      </c>
      <c r="G188" s="1" t="s">
        <v>83</v>
      </c>
      <c r="H188" s="1" t="s">
        <v>16</v>
      </c>
      <c r="I188" s="2" cm="1">
        <f t="array" ref="I18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8" s="2" cm="1">
        <f t="array" ref="J18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8" s="2">
        <f>Games[[#This Row],[DaysOff]]-Games[[#This Row],[OppDaysOff]]</f>
        <v>0</v>
      </c>
      <c r="L188" s="2">
        <f>Games[[#This Row],[OppDaysOff]]-Games[[#This Row],[DaysOff]]</f>
        <v>0</v>
      </c>
      <c r="M188" s="1">
        <f>MAX(-16, MIN(16, Games[[#This Row],[RestDiff]]*8))</f>
        <v>0</v>
      </c>
      <c r="N188" s="1">
        <f>MAX(-16, MIN(16, Games[[#This Row],[OppRestDiff]]*8))</f>
        <v>0</v>
      </c>
      <c r="O188" s="4" cm="1">
        <f t="array" ref="O1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1476.1072910448866</v>
      </c>
      <c r="P188" s="4" cm="1">
        <f t="array" ref="P1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1582.358203421785</v>
      </c>
      <c r="Q188" s="4">
        <f>1/(1+10^(((Games[[#This Row],[OppPreGmRate]]+IF(Games[[#This Row],[HomeAway]]="A",HCA,0)+Games[[#This Row],[OppRestAdj]])-(Games[[#This Row],[PreGmRate]]+IF(Games[[#This Row],[HomeAway]]="H",HCA,0)+Games[[#This Row],[RestAdj]]))/400))</f>
        <v>0.25064555486884132</v>
      </c>
      <c r="R188" s="1">
        <v>88</v>
      </c>
      <c r="S188" s="1">
        <v>82</v>
      </c>
      <c r="T188" s="1">
        <v>0</v>
      </c>
      <c r="U188" s="1">
        <f>Games[[#This Row],[PointsFor]]-Games[[#This Row],[PointsAgainst]]</f>
        <v>6</v>
      </c>
      <c r="V188" s="1">
        <f>IF(Games[[#This Row],[MOV]]&gt;0,1,IF(Games[[#This Row],[MOV]]=0,0.5,0))</f>
        <v>1</v>
      </c>
      <c r="W188" s="4">
        <f>((ABS(Games[[#This Row],[MOV]])+5)^0.6)/(12+0.01*(ABS(Games[[#This Row],[PreGmRate]]-Games[[#This Row],[OppPreGmRate]])))*IF(Games[[#This Row],[OT]]=1,0.9,1)</f>
        <v>0.32270745942840884</v>
      </c>
      <c r="X188" s="7" cm="1">
        <f t="array" ref="X18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8" s="9">
        <f>MAX(kmin, kmax - 0.15 * MIN(Games[[#This Row],[GamesPlayed]], 82))</f>
        <v>73.45</v>
      </c>
      <c r="Z188" s="4">
        <f>Games[[#This Row],[K]]*Games[[#This Row],[POMult]]</f>
        <v>73.45</v>
      </c>
      <c r="AA188" s="4">
        <f>(Games[[#This Row],[Keff]]*Games[[#This Row],[MOVMult]])*(Games[[#This Row],[Result]]-Games[[#This Row],[ExpectedWin%]])</f>
        <v>17.761845672715115</v>
      </c>
      <c r="AB188" s="4">
        <f>Games[[#This Row],[PreGmRate]]+Games[[#This Row],[RatingChange]]</f>
        <v>1493.8691367176016</v>
      </c>
      <c r="AC188" s="2">
        <f>IF(Games[[#This Row],[Type]]="R",IF(Games[[#This Row],[Result]]&gt;0.5,1,0),0)</f>
        <v>1</v>
      </c>
      <c r="AD188" s="2">
        <f>IF(Games[[#This Row],[Type]]="R",IF(Games[[#This Row],[Result]]&lt;0.5,1,0),0)</f>
        <v>0</v>
      </c>
      <c r="AE188" s="2">
        <f>IF(AND(Games[[#This Row],[Type]]="P",Games[[#This Row],[Round]]=1),IF(Games[[#This Row],[Result]]&gt;0.5,1,0),0)</f>
        <v>0</v>
      </c>
      <c r="AF188" s="2">
        <f>IF(AND(Games[[#This Row],[Type]]="P",Games[[#This Row],[Round]]=1),IF(Games[[#This Row],[Result]]&lt;0.5,1,0),0)</f>
        <v>0</v>
      </c>
      <c r="AG188" s="2">
        <f>IF(AND(Games[[#This Row],[Type]]="P",Games[[#This Row],[Round]]=2),IF(Games[[#This Row],[Result]]&gt;0.5,1,0),0)</f>
        <v>0</v>
      </c>
      <c r="AH188" s="2">
        <f>IF(AND(Games[[#This Row],[Type]]="P",Games[[#This Row],[Round]]=2),IF(Games[[#This Row],[Result]]&lt;0.5,1,0),0)</f>
        <v>0</v>
      </c>
      <c r="AI188" s="2">
        <f>IF(AND(Games[[#This Row],[Type]]="P",Games[[#This Row],[Round]]=3),IF(Games[[#This Row],[Result]]&gt;0.5,1,0),0)</f>
        <v>0</v>
      </c>
      <c r="AJ188" s="2">
        <f>IF(AND(Games[[#This Row],[Type]]="P",Games[[#This Row],[Round]]=3),IF(Games[[#This Row],[Result]]&lt;0.5,1,0),0)</f>
        <v>0</v>
      </c>
      <c r="AK188" s="2">
        <f>IF(AND(Games[[#This Row],[Type]]="P",Games[[#This Row],[Round]]=4),IF(Games[[#This Row],[Result]]&gt;0.5,1,0),0)</f>
        <v>0</v>
      </c>
      <c r="AL188" s="2">
        <f>IF(AND(Games[[#This Row],[Type]]="P",Games[[#This Row],[Round]]=4),IF(Games[[#This Row],[Result]]&lt;0.5,1,0),0)</f>
        <v>0</v>
      </c>
    </row>
    <row r="189" spans="1:38" x14ac:dyDescent="0.35">
      <c r="A189" s="10">
        <v>40362</v>
      </c>
      <c r="B189" s="2">
        <v>2010</v>
      </c>
      <c r="C189" s="2">
        <f>COUNTIFS(Games[Team],Games[[#This Row],[Team]],Games[Season],Games[[#This Row],[Season]],Games[Date],"&lt;=" &amp; Games[[#This Row],[Date]])</f>
        <v>18</v>
      </c>
      <c r="D189" s="2" t="s">
        <v>23</v>
      </c>
      <c r="E189" s="2" t="s">
        <v>29</v>
      </c>
      <c r="F189" s="1" t="s">
        <v>83</v>
      </c>
      <c r="G189" s="1" t="s">
        <v>81</v>
      </c>
      <c r="H189" s="1" t="s">
        <v>15</v>
      </c>
      <c r="I189" s="2" cm="1">
        <f t="array" ref="I18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9" s="2" cm="1">
        <f t="array" ref="J18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9" s="2">
        <f>Games[[#This Row],[DaysOff]]-Games[[#This Row],[OppDaysOff]]</f>
        <v>0</v>
      </c>
      <c r="L189" s="2">
        <f>Games[[#This Row],[OppDaysOff]]-Games[[#This Row],[DaysOff]]</f>
        <v>0</v>
      </c>
      <c r="M189" s="1">
        <f>MAX(-16, MIN(16, Games[[#This Row],[RestDiff]]*8))</f>
        <v>0</v>
      </c>
      <c r="N189" s="1">
        <f>MAX(-16, MIN(16, Games[[#This Row],[OppRestDiff]]*8))</f>
        <v>0</v>
      </c>
      <c r="O189" s="4" cm="1">
        <f t="array" ref="O1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1582.358203421785</v>
      </c>
      <c r="P189" s="4" cm="1">
        <f t="array" ref="P1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1476.1072910448866</v>
      </c>
      <c r="Q189" s="4">
        <f>1/(1+10^(((Games[[#This Row],[OppPreGmRate]]+IF(Games[[#This Row],[HomeAway]]="A",HCA,0)+Games[[#This Row],[OppRestAdj]])-(Games[[#This Row],[PreGmRate]]+IF(Games[[#This Row],[HomeAway]]="H",HCA,0)+Games[[#This Row],[RestAdj]]))/400))</f>
        <v>0.74935444513115868</v>
      </c>
      <c r="R189" s="1">
        <v>82</v>
      </c>
      <c r="S189" s="1">
        <v>88</v>
      </c>
      <c r="T189" s="1">
        <v>0</v>
      </c>
      <c r="U189" s="1">
        <f>Games[[#This Row],[PointsFor]]-Games[[#This Row],[PointsAgainst]]</f>
        <v>-6</v>
      </c>
      <c r="V189" s="1">
        <f>IF(Games[[#This Row],[MOV]]&gt;0,1,IF(Games[[#This Row],[MOV]]=0,0.5,0))</f>
        <v>0</v>
      </c>
      <c r="W189" s="4">
        <f>((ABS(Games[[#This Row],[MOV]])+5)^0.6)/(12+0.01*(ABS(Games[[#This Row],[PreGmRate]]-Games[[#This Row],[OppPreGmRate]])))*IF(Games[[#This Row],[OT]]=1,0.9,1)</f>
        <v>0.32270745942840884</v>
      </c>
      <c r="X189" s="7" cm="1">
        <f t="array" ref="X18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9" s="9">
        <f>MAX(kmin, kmax - 0.15 * MIN(Games[[#This Row],[GamesPlayed]], 82))</f>
        <v>73.3</v>
      </c>
      <c r="Z189" s="4">
        <f>Games[[#This Row],[K]]*Games[[#This Row],[POMult]]</f>
        <v>73.3</v>
      </c>
      <c r="AA189" s="4">
        <f>(Games[[#This Row],[Keff]]*Games[[#This Row],[MOVMult]])*(Games[[#This Row],[Result]]-Games[[#This Row],[ExpectedWin%]])</f>
        <v>-17.725572332335165</v>
      </c>
      <c r="AB189" s="4">
        <f>Games[[#This Row],[PreGmRate]]+Games[[#This Row],[RatingChange]]</f>
        <v>1564.6326310894499</v>
      </c>
      <c r="AC189" s="2">
        <f>IF(Games[[#This Row],[Type]]="R",IF(Games[[#This Row],[Result]]&gt;0.5,1,0),0)</f>
        <v>0</v>
      </c>
      <c r="AD189" s="2">
        <f>IF(Games[[#This Row],[Type]]="R",IF(Games[[#This Row],[Result]]&lt;0.5,1,0),0)</f>
        <v>1</v>
      </c>
      <c r="AE189" s="2">
        <f>IF(AND(Games[[#This Row],[Type]]="P",Games[[#This Row],[Round]]=1),IF(Games[[#This Row],[Result]]&gt;0.5,1,0),0)</f>
        <v>0</v>
      </c>
      <c r="AF189" s="2">
        <f>IF(AND(Games[[#This Row],[Type]]="P",Games[[#This Row],[Round]]=1),IF(Games[[#This Row],[Result]]&lt;0.5,1,0),0)</f>
        <v>0</v>
      </c>
      <c r="AG189" s="2">
        <f>IF(AND(Games[[#This Row],[Type]]="P",Games[[#This Row],[Round]]=2),IF(Games[[#This Row],[Result]]&gt;0.5,1,0),0)</f>
        <v>0</v>
      </c>
      <c r="AH189" s="2">
        <f>IF(AND(Games[[#This Row],[Type]]="P",Games[[#This Row],[Round]]=2),IF(Games[[#This Row],[Result]]&lt;0.5,1,0),0)</f>
        <v>0</v>
      </c>
      <c r="AI189" s="2">
        <f>IF(AND(Games[[#This Row],[Type]]="P",Games[[#This Row],[Round]]=3),IF(Games[[#This Row],[Result]]&gt;0.5,1,0),0)</f>
        <v>0</v>
      </c>
      <c r="AJ189" s="2">
        <f>IF(AND(Games[[#This Row],[Type]]="P",Games[[#This Row],[Round]]=3),IF(Games[[#This Row],[Result]]&lt;0.5,1,0),0)</f>
        <v>0</v>
      </c>
      <c r="AK189" s="2">
        <f>IF(AND(Games[[#This Row],[Type]]="P",Games[[#This Row],[Round]]=4),IF(Games[[#This Row],[Result]]&gt;0.5,1,0),0)</f>
        <v>0</v>
      </c>
      <c r="AL189" s="2">
        <f>IF(AND(Games[[#This Row],[Type]]="P",Games[[#This Row],[Round]]=4),IF(Games[[#This Row],[Result]]&lt;0.5,1,0),0)</f>
        <v>0</v>
      </c>
    </row>
    <row r="190" spans="1:38" x14ac:dyDescent="0.35">
      <c r="A190" s="10">
        <v>40362</v>
      </c>
      <c r="B190" s="2">
        <v>2010</v>
      </c>
      <c r="C190" s="2">
        <f>COUNTIFS(Games[Team],Games[[#This Row],[Team]],Games[Season],Games[[#This Row],[Season]],Games[Date],"&lt;=" &amp; Games[[#This Row],[Date]])</f>
        <v>17</v>
      </c>
      <c r="D190" s="2" t="s">
        <v>23</v>
      </c>
      <c r="E190" s="2" t="s">
        <v>29</v>
      </c>
      <c r="F190" s="1" t="s">
        <v>75</v>
      </c>
      <c r="G190" s="1" t="s">
        <v>67</v>
      </c>
      <c r="H190" s="1" t="s">
        <v>16</v>
      </c>
      <c r="I190" s="2" cm="1">
        <f t="array" ref="I190">IFERROR(
    Games[[#This Row],[Date]]
    - LOOKUP(
        2,
        1/((Games[Team]=Games[[#This Row],[Team]]) * (Games[Date] &lt; Games[[#This Row],[Date]])),
        Games[Date]
    )
    - 1,
Games[[#This Row],[Date]]-$A$2)</f>
        <v>3</v>
      </c>
      <c r="J190" s="2" cm="1">
        <f t="array" ref="J19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0" s="2">
        <f>Games[[#This Row],[DaysOff]]-Games[[#This Row],[OppDaysOff]]</f>
        <v>2</v>
      </c>
      <c r="L190" s="2">
        <f>Games[[#This Row],[OppDaysOff]]-Games[[#This Row],[DaysOff]]</f>
        <v>-2</v>
      </c>
      <c r="M190" s="1">
        <f>MAX(-16, MIN(16, Games[[#This Row],[RestDiff]]*8))</f>
        <v>16</v>
      </c>
      <c r="N190" s="1">
        <f>MAX(-16, MIN(16, Games[[#This Row],[OppRestDiff]]*8))</f>
        <v>-16</v>
      </c>
      <c r="O190" s="4" cm="1">
        <f t="array" ref="O1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1648.555086521922</v>
      </c>
      <c r="P190" s="4" cm="1">
        <f t="array" ref="P1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1444.08777351975</v>
      </c>
      <c r="Q190" s="4">
        <f>1/(1+10^(((Games[[#This Row],[OppPreGmRate]]+IF(Games[[#This Row],[HomeAway]]="A",HCA,0)+Games[[#This Row],[OppRestAdj]])-(Games[[#This Row],[PreGmRate]]+IF(Games[[#This Row],[HomeAway]]="H",HCA,0)+Games[[#This Row],[RestAdj]]))/400))</f>
        <v>0.70633965417958378</v>
      </c>
      <c r="R190" s="1">
        <v>75</v>
      </c>
      <c r="S190" s="1">
        <v>62</v>
      </c>
      <c r="T190" s="1">
        <v>0</v>
      </c>
      <c r="U190" s="1">
        <f>Games[[#This Row],[PointsFor]]-Games[[#This Row],[PointsAgainst]]</f>
        <v>13</v>
      </c>
      <c r="V190" s="1">
        <f>IF(Games[[#This Row],[MOV]]&gt;0,1,IF(Games[[#This Row],[MOV]]=0,0.5,0))</f>
        <v>1</v>
      </c>
      <c r="W190" s="4">
        <f>((ABS(Games[[#This Row],[MOV]])+5)^0.6)/(12+0.01*(ABS(Games[[#This Row],[PreGmRate]]-Games[[#This Row],[OppPreGmRate]])))*IF(Games[[#This Row],[OT]]=1,0.9,1)</f>
        <v>0.40332195810673527</v>
      </c>
      <c r="X190" s="7" cm="1">
        <f t="array" ref="X19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0" s="9">
        <f>MAX(kmin, kmax - 0.15 * MIN(Games[[#This Row],[GamesPlayed]], 82))</f>
        <v>73.45</v>
      </c>
      <c r="Z190" s="4">
        <f>Games[[#This Row],[K]]*Games[[#This Row],[POMult]]</f>
        <v>73.45</v>
      </c>
      <c r="AA190" s="4">
        <f>(Games[[#This Row],[Keff]]*Games[[#This Row],[MOVMult]])*(Games[[#This Row],[Result]]-Games[[#This Row],[ExpectedWin%]])</f>
        <v>8.6993934452677308</v>
      </c>
      <c r="AB190" s="4">
        <f>Games[[#This Row],[PreGmRate]]+Games[[#This Row],[RatingChange]]</f>
        <v>1657.2544799671898</v>
      </c>
      <c r="AC190" s="2">
        <f>IF(Games[[#This Row],[Type]]="R",IF(Games[[#This Row],[Result]]&gt;0.5,1,0),0)</f>
        <v>1</v>
      </c>
      <c r="AD190" s="2">
        <f>IF(Games[[#This Row],[Type]]="R",IF(Games[[#This Row],[Result]]&lt;0.5,1,0),0)</f>
        <v>0</v>
      </c>
      <c r="AE190" s="2">
        <f>IF(AND(Games[[#This Row],[Type]]="P",Games[[#This Row],[Round]]=1),IF(Games[[#This Row],[Result]]&gt;0.5,1,0),0)</f>
        <v>0</v>
      </c>
      <c r="AF190" s="2">
        <f>IF(AND(Games[[#This Row],[Type]]="P",Games[[#This Row],[Round]]=1),IF(Games[[#This Row],[Result]]&lt;0.5,1,0),0)</f>
        <v>0</v>
      </c>
      <c r="AG190" s="2">
        <f>IF(AND(Games[[#This Row],[Type]]="P",Games[[#This Row],[Round]]=2),IF(Games[[#This Row],[Result]]&gt;0.5,1,0),0)</f>
        <v>0</v>
      </c>
      <c r="AH190" s="2">
        <f>IF(AND(Games[[#This Row],[Type]]="P",Games[[#This Row],[Round]]=2),IF(Games[[#This Row],[Result]]&lt;0.5,1,0),0)</f>
        <v>0</v>
      </c>
      <c r="AI190" s="2">
        <f>IF(AND(Games[[#This Row],[Type]]="P",Games[[#This Row],[Round]]=3),IF(Games[[#This Row],[Result]]&gt;0.5,1,0),0)</f>
        <v>0</v>
      </c>
      <c r="AJ190" s="2">
        <f>IF(AND(Games[[#This Row],[Type]]="P",Games[[#This Row],[Round]]=3),IF(Games[[#This Row],[Result]]&lt;0.5,1,0),0)</f>
        <v>0</v>
      </c>
      <c r="AK190" s="2">
        <f>IF(AND(Games[[#This Row],[Type]]="P",Games[[#This Row],[Round]]=4),IF(Games[[#This Row],[Result]]&gt;0.5,1,0),0)</f>
        <v>0</v>
      </c>
      <c r="AL190" s="2">
        <f>IF(AND(Games[[#This Row],[Type]]="P",Games[[#This Row],[Round]]=4),IF(Games[[#This Row],[Result]]&lt;0.5,1,0),0)</f>
        <v>0</v>
      </c>
    </row>
    <row r="191" spans="1:38" x14ac:dyDescent="0.35">
      <c r="A191" s="10">
        <v>40362</v>
      </c>
      <c r="B191" s="2">
        <v>2010</v>
      </c>
      <c r="C191" s="2">
        <f>COUNTIFS(Games[Team],Games[[#This Row],[Team]],Games[Season],Games[[#This Row],[Season]],Games[Date],"&lt;=" &amp; Games[[#This Row],[Date]])</f>
        <v>16</v>
      </c>
      <c r="D191" s="2" t="s">
        <v>23</v>
      </c>
      <c r="E191" s="2" t="s">
        <v>29</v>
      </c>
      <c r="F191" s="1" t="s">
        <v>67</v>
      </c>
      <c r="G191" s="1" t="s">
        <v>75</v>
      </c>
      <c r="H191" s="1" t="s">
        <v>15</v>
      </c>
      <c r="I191" s="2" cm="1">
        <f t="array" ref="I19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1" s="2" cm="1">
        <f t="array" ref="J19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91" s="2">
        <f>Games[[#This Row],[DaysOff]]-Games[[#This Row],[OppDaysOff]]</f>
        <v>-2</v>
      </c>
      <c r="L191" s="2">
        <f>Games[[#This Row],[OppDaysOff]]-Games[[#This Row],[DaysOff]]</f>
        <v>2</v>
      </c>
      <c r="M191" s="1">
        <f>MAX(-16, MIN(16, Games[[#This Row],[RestDiff]]*8))</f>
        <v>-16</v>
      </c>
      <c r="N191" s="1">
        <f>MAX(-16, MIN(16, Games[[#This Row],[OppRestDiff]]*8))</f>
        <v>16</v>
      </c>
      <c r="O191" s="4" cm="1">
        <f t="array" ref="O1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1444.08777351975</v>
      </c>
      <c r="P191" s="4" cm="1">
        <f t="array" ref="P1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1648.555086521922</v>
      </c>
      <c r="Q191" s="4">
        <f>1/(1+10^(((Games[[#This Row],[OppPreGmRate]]+IF(Games[[#This Row],[HomeAway]]="A",HCA,0)+Games[[#This Row],[OppRestAdj]])-(Games[[#This Row],[PreGmRate]]+IF(Games[[#This Row],[HomeAway]]="H",HCA,0)+Games[[#This Row],[RestAdj]]))/400))</f>
        <v>0.29366034582041622</v>
      </c>
      <c r="R191" s="1">
        <v>62</v>
      </c>
      <c r="S191" s="1">
        <v>75</v>
      </c>
      <c r="T191" s="1">
        <v>0</v>
      </c>
      <c r="U191" s="1">
        <f>Games[[#This Row],[PointsFor]]-Games[[#This Row],[PointsAgainst]]</f>
        <v>-13</v>
      </c>
      <c r="V191" s="1">
        <f>IF(Games[[#This Row],[MOV]]&gt;0,1,IF(Games[[#This Row],[MOV]]=0,0.5,0))</f>
        <v>0</v>
      </c>
      <c r="W191" s="4">
        <f>((ABS(Games[[#This Row],[MOV]])+5)^0.6)/(12+0.01*(ABS(Games[[#This Row],[PreGmRate]]-Games[[#This Row],[OppPreGmRate]])))*IF(Games[[#This Row],[OT]]=1,0.9,1)</f>
        <v>0.40332195810673527</v>
      </c>
      <c r="X191" s="7" cm="1">
        <f t="array" ref="X19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1" s="9">
        <f>MAX(kmin, kmax - 0.15 * MIN(Games[[#This Row],[GamesPlayed]], 82))</f>
        <v>73.599999999999994</v>
      </c>
      <c r="Z191" s="4">
        <f>Games[[#This Row],[K]]*Games[[#This Row],[POMult]]</f>
        <v>73.599999999999994</v>
      </c>
      <c r="AA191" s="4">
        <f>(Games[[#This Row],[Keff]]*Games[[#This Row],[MOVMult]])*(Games[[#This Row],[Result]]-Games[[#This Row],[ExpectedWin%]])</f>
        <v>-8.7171593951219197</v>
      </c>
      <c r="AB191" s="4">
        <f>Games[[#This Row],[PreGmRate]]+Games[[#This Row],[RatingChange]]</f>
        <v>1435.3706141246282</v>
      </c>
      <c r="AC191" s="2">
        <f>IF(Games[[#This Row],[Type]]="R",IF(Games[[#This Row],[Result]]&gt;0.5,1,0),0)</f>
        <v>0</v>
      </c>
      <c r="AD191" s="2">
        <f>IF(Games[[#This Row],[Type]]="R",IF(Games[[#This Row],[Result]]&lt;0.5,1,0),0)</f>
        <v>1</v>
      </c>
      <c r="AE191" s="2">
        <f>IF(AND(Games[[#This Row],[Type]]="P",Games[[#This Row],[Round]]=1),IF(Games[[#This Row],[Result]]&gt;0.5,1,0),0)</f>
        <v>0</v>
      </c>
      <c r="AF191" s="2">
        <f>IF(AND(Games[[#This Row],[Type]]="P",Games[[#This Row],[Round]]=1),IF(Games[[#This Row],[Result]]&lt;0.5,1,0),0)</f>
        <v>0</v>
      </c>
      <c r="AG191" s="2">
        <f>IF(AND(Games[[#This Row],[Type]]="P",Games[[#This Row],[Round]]=2),IF(Games[[#This Row],[Result]]&gt;0.5,1,0),0)</f>
        <v>0</v>
      </c>
      <c r="AH191" s="2">
        <f>IF(AND(Games[[#This Row],[Type]]="P",Games[[#This Row],[Round]]=2),IF(Games[[#This Row],[Result]]&lt;0.5,1,0),0)</f>
        <v>0</v>
      </c>
      <c r="AI191" s="2">
        <f>IF(AND(Games[[#This Row],[Type]]="P",Games[[#This Row],[Round]]=3),IF(Games[[#This Row],[Result]]&gt;0.5,1,0),0)</f>
        <v>0</v>
      </c>
      <c r="AJ191" s="2">
        <f>IF(AND(Games[[#This Row],[Type]]="P",Games[[#This Row],[Round]]=3),IF(Games[[#This Row],[Result]]&lt;0.5,1,0),0)</f>
        <v>0</v>
      </c>
      <c r="AK191" s="2">
        <f>IF(AND(Games[[#This Row],[Type]]="P",Games[[#This Row],[Round]]=4),IF(Games[[#This Row],[Result]]&gt;0.5,1,0),0)</f>
        <v>0</v>
      </c>
      <c r="AL191" s="2">
        <f>IF(AND(Games[[#This Row],[Type]]="P",Games[[#This Row],[Round]]=4),IF(Games[[#This Row],[Result]]&lt;0.5,1,0),0)</f>
        <v>0</v>
      </c>
    </row>
    <row r="192" spans="1:38" x14ac:dyDescent="0.35">
      <c r="A192" s="10">
        <v>40362</v>
      </c>
      <c r="B192" s="2">
        <v>2010</v>
      </c>
      <c r="C192" s="2">
        <f>COUNTIFS(Games[Team],Games[[#This Row],[Team]],Games[Season],Games[[#This Row],[Season]],Games[Date],"&lt;=" &amp; Games[[#This Row],[Date]])</f>
        <v>15</v>
      </c>
      <c r="D192" s="2" t="s">
        <v>23</v>
      </c>
      <c r="E192" s="2" t="s">
        <v>29</v>
      </c>
      <c r="F192" s="1" t="s">
        <v>64</v>
      </c>
      <c r="G192" s="1" t="s">
        <v>44</v>
      </c>
      <c r="H192" s="1" t="s">
        <v>16</v>
      </c>
      <c r="I192" s="2" cm="1">
        <f t="array" ref="I192">IFERROR(
    Games[[#This Row],[Date]]
    - LOOKUP(
        2,
        1/((Games[Team]=Games[[#This Row],[Team]]) * (Games[Date] &lt; Games[[#This Row],[Date]])),
        Games[Date]
    )
    - 1,
Games[[#This Row],[Date]]-$A$2)</f>
        <v>3</v>
      </c>
      <c r="J192" s="2" cm="1">
        <f t="array" ref="J19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2" s="2">
        <f>Games[[#This Row],[DaysOff]]-Games[[#This Row],[OppDaysOff]]</f>
        <v>2</v>
      </c>
      <c r="L192" s="2">
        <f>Games[[#This Row],[OppDaysOff]]-Games[[#This Row],[DaysOff]]</f>
        <v>-2</v>
      </c>
      <c r="M192" s="1">
        <f>MAX(-16, MIN(16, Games[[#This Row],[RestDiff]]*8))</f>
        <v>16</v>
      </c>
      <c r="N192" s="1">
        <f>MAX(-16, MIN(16, Games[[#This Row],[OppRestDiff]]*8))</f>
        <v>-16</v>
      </c>
      <c r="O192" s="4" cm="1">
        <f t="array" ref="O1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1501.9868258971042</v>
      </c>
      <c r="P192" s="4" cm="1">
        <f t="array" ref="P1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1486.7729751805559</v>
      </c>
      <c r="Q192" s="4">
        <f>1/(1+10^(((Games[[#This Row],[OppPreGmRate]]+IF(Games[[#This Row],[HomeAway]]="A",HCA,0)+Games[[#This Row],[OppRestAdj]])-(Games[[#This Row],[PreGmRate]]+IF(Games[[#This Row],[HomeAway]]="H",HCA,0)+Games[[#This Row],[RestAdj]]))/400))</f>
        <v>0.44725741651679024</v>
      </c>
      <c r="R192" s="1">
        <v>82</v>
      </c>
      <c r="S192" s="1">
        <v>97</v>
      </c>
      <c r="T192" s="1">
        <v>0</v>
      </c>
      <c r="U192" s="1">
        <f>Games[[#This Row],[PointsFor]]-Games[[#This Row],[PointsAgainst]]</f>
        <v>-15</v>
      </c>
      <c r="V192" s="1">
        <f>IF(Games[[#This Row],[MOV]]&gt;0,1,IF(Games[[#This Row],[MOV]]=0,0.5,0))</f>
        <v>0</v>
      </c>
      <c r="W192" s="4">
        <f>((ABS(Games[[#This Row],[MOV]])+5)^0.6)/(12+0.01*(ABS(Games[[#This Row],[PreGmRate]]-Games[[#This Row],[OppPreGmRate]])))*IF(Games[[#This Row],[OT]]=1,0.9,1)</f>
        <v>0.49655263005660472</v>
      </c>
      <c r="X192" s="7" cm="1">
        <f t="array" ref="X19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2" s="9">
        <f>MAX(kmin, kmax - 0.15 * MIN(Games[[#This Row],[GamesPlayed]], 82))</f>
        <v>73.75</v>
      </c>
      <c r="Z192" s="4">
        <f>Games[[#This Row],[K]]*Games[[#This Row],[POMult]]</f>
        <v>73.75</v>
      </c>
      <c r="AA192" s="4">
        <f>(Games[[#This Row],[Keff]]*Games[[#This Row],[MOVMult]])*(Games[[#This Row],[Result]]-Games[[#This Row],[ExpectedWin%]])</f>
        <v>-16.37890492817542</v>
      </c>
      <c r="AB192" s="4">
        <f>Games[[#This Row],[PreGmRate]]+Games[[#This Row],[RatingChange]]</f>
        <v>1485.6079209689287</v>
      </c>
      <c r="AC192" s="2">
        <f>IF(Games[[#This Row],[Type]]="R",IF(Games[[#This Row],[Result]]&gt;0.5,1,0),0)</f>
        <v>0</v>
      </c>
      <c r="AD192" s="2">
        <f>IF(Games[[#This Row],[Type]]="R",IF(Games[[#This Row],[Result]]&lt;0.5,1,0),0)</f>
        <v>1</v>
      </c>
      <c r="AE192" s="2">
        <f>IF(AND(Games[[#This Row],[Type]]="P",Games[[#This Row],[Round]]=1),IF(Games[[#This Row],[Result]]&gt;0.5,1,0),0)</f>
        <v>0</v>
      </c>
      <c r="AF192" s="2">
        <f>IF(AND(Games[[#This Row],[Type]]="P",Games[[#This Row],[Round]]=1),IF(Games[[#This Row],[Result]]&lt;0.5,1,0),0)</f>
        <v>0</v>
      </c>
      <c r="AG192" s="2">
        <f>IF(AND(Games[[#This Row],[Type]]="P",Games[[#This Row],[Round]]=2),IF(Games[[#This Row],[Result]]&gt;0.5,1,0),0)</f>
        <v>0</v>
      </c>
      <c r="AH192" s="2">
        <f>IF(AND(Games[[#This Row],[Type]]="P",Games[[#This Row],[Round]]=2),IF(Games[[#This Row],[Result]]&lt;0.5,1,0),0)</f>
        <v>0</v>
      </c>
      <c r="AI192" s="2">
        <f>IF(AND(Games[[#This Row],[Type]]="P",Games[[#This Row],[Round]]=3),IF(Games[[#This Row],[Result]]&gt;0.5,1,0),0)</f>
        <v>0</v>
      </c>
      <c r="AJ192" s="2">
        <f>IF(AND(Games[[#This Row],[Type]]="P",Games[[#This Row],[Round]]=3),IF(Games[[#This Row],[Result]]&lt;0.5,1,0),0)</f>
        <v>0</v>
      </c>
      <c r="AK192" s="2">
        <f>IF(AND(Games[[#This Row],[Type]]="P",Games[[#This Row],[Round]]=4),IF(Games[[#This Row],[Result]]&gt;0.5,1,0),0)</f>
        <v>0</v>
      </c>
      <c r="AL192" s="2">
        <f>IF(AND(Games[[#This Row],[Type]]="P",Games[[#This Row],[Round]]=4),IF(Games[[#This Row],[Result]]&lt;0.5,1,0),0)</f>
        <v>0</v>
      </c>
    </row>
    <row r="193" spans="1:38" x14ac:dyDescent="0.35">
      <c r="A193" s="10">
        <v>40362</v>
      </c>
      <c r="B193" s="2">
        <v>2010</v>
      </c>
      <c r="C193" s="2">
        <f>COUNTIFS(Games[Team],Games[[#This Row],[Team]],Games[Season],Games[[#This Row],[Season]],Games[Date],"&lt;=" &amp; Games[[#This Row],[Date]])</f>
        <v>17</v>
      </c>
      <c r="D193" s="2" t="s">
        <v>23</v>
      </c>
      <c r="E193" s="2" t="s">
        <v>29</v>
      </c>
      <c r="F193" s="1" t="s">
        <v>44</v>
      </c>
      <c r="G193" s="1" t="s">
        <v>64</v>
      </c>
      <c r="H193" s="1" t="s">
        <v>15</v>
      </c>
      <c r="I193" s="2" cm="1">
        <f t="array" ref="I19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3" s="2" cm="1">
        <f t="array" ref="J193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93" s="2">
        <f>Games[[#This Row],[DaysOff]]-Games[[#This Row],[OppDaysOff]]</f>
        <v>-2</v>
      </c>
      <c r="L193" s="2">
        <f>Games[[#This Row],[OppDaysOff]]-Games[[#This Row],[DaysOff]]</f>
        <v>2</v>
      </c>
      <c r="M193" s="1">
        <f>MAX(-16, MIN(16, Games[[#This Row],[RestDiff]]*8))</f>
        <v>-16</v>
      </c>
      <c r="N193" s="1">
        <f>MAX(-16, MIN(16, Games[[#This Row],[OppRestDiff]]*8))</f>
        <v>16</v>
      </c>
      <c r="O193" s="4" cm="1">
        <f t="array" ref="O1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1486.7729751805559</v>
      </c>
      <c r="P193" s="4" cm="1">
        <f t="array" ref="P1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1501.9868258971042</v>
      </c>
      <c r="Q193" s="4">
        <f>1/(1+10^(((Games[[#This Row],[OppPreGmRate]]+IF(Games[[#This Row],[HomeAway]]="A",HCA,0)+Games[[#This Row],[OppRestAdj]])-(Games[[#This Row],[PreGmRate]]+IF(Games[[#This Row],[HomeAway]]="H",HCA,0)+Games[[#This Row],[RestAdj]]))/400))</f>
        <v>0.55274258348320982</v>
      </c>
      <c r="R193" s="1">
        <v>97</v>
      </c>
      <c r="S193" s="1">
        <v>82</v>
      </c>
      <c r="T193" s="1">
        <v>0</v>
      </c>
      <c r="U193" s="1">
        <f>Games[[#This Row],[PointsFor]]-Games[[#This Row],[PointsAgainst]]</f>
        <v>15</v>
      </c>
      <c r="V193" s="1">
        <f>IF(Games[[#This Row],[MOV]]&gt;0,1,IF(Games[[#This Row],[MOV]]=0,0.5,0))</f>
        <v>1</v>
      </c>
      <c r="W193" s="4">
        <f>((ABS(Games[[#This Row],[MOV]])+5)^0.6)/(12+0.01*(ABS(Games[[#This Row],[PreGmRate]]-Games[[#This Row],[OppPreGmRate]])))*IF(Games[[#This Row],[OT]]=1,0.9,1)</f>
        <v>0.49655263005660472</v>
      </c>
      <c r="X193" s="7" cm="1">
        <f t="array" ref="X19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3" s="9">
        <f>MAX(kmin, kmax - 0.15 * MIN(Games[[#This Row],[GamesPlayed]], 82))</f>
        <v>73.45</v>
      </c>
      <c r="Z193" s="4">
        <f>Games[[#This Row],[K]]*Games[[#This Row],[POMult]]</f>
        <v>73.45</v>
      </c>
      <c r="AA193" s="4">
        <f>(Games[[#This Row],[Keff]]*Games[[#This Row],[MOVMult]])*(Games[[#This Row],[Result]]-Games[[#This Row],[ExpectedWin%]])</f>
        <v>16.312278874230298</v>
      </c>
      <c r="AB193" s="4">
        <f>Games[[#This Row],[PreGmRate]]+Games[[#This Row],[RatingChange]]</f>
        <v>1503.0852540547862</v>
      </c>
      <c r="AC193" s="2">
        <f>IF(Games[[#This Row],[Type]]="R",IF(Games[[#This Row],[Result]]&gt;0.5,1,0),0)</f>
        <v>1</v>
      </c>
      <c r="AD193" s="2">
        <f>IF(Games[[#This Row],[Type]]="R",IF(Games[[#This Row],[Result]]&lt;0.5,1,0),0)</f>
        <v>0</v>
      </c>
      <c r="AE193" s="2">
        <f>IF(AND(Games[[#This Row],[Type]]="P",Games[[#This Row],[Round]]=1),IF(Games[[#This Row],[Result]]&gt;0.5,1,0),0)</f>
        <v>0</v>
      </c>
      <c r="AF193" s="2">
        <f>IF(AND(Games[[#This Row],[Type]]="P",Games[[#This Row],[Round]]=1),IF(Games[[#This Row],[Result]]&lt;0.5,1,0),0)</f>
        <v>0</v>
      </c>
      <c r="AG193" s="2">
        <f>IF(AND(Games[[#This Row],[Type]]="P",Games[[#This Row],[Round]]=2),IF(Games[[#This Row],[Result]]&gt;0.5,1,0),0)</f>
        <v>0</v>
      </c>
      <c r="AH193" s="2">
        <f>IF(AND(Games[[#This Row],[Type]]="P",Games[[#This Row],[Round]]=2),IF(Games[[#This Row],[Result]]&lt;0.5,1,0),0)</f>
        <v>0</v>
      </c>
      <c r="AI193" s="2">
        <f>IF(AND(Games[[#This Row],[Type]]="P",Games[[#This Row],[Round]]=3),IF(Games[[#This Row],[Result]]&gt;0.5,1,0),0)</f>
        <v>0</v>
      </c>
      <c r="AJ193" s="2">
        <f>IF(AND(Games[[#This Row],[Type]]="P",Games[[#This Row],[Round]]=3),IF(Games[[#This Row],[Result]]&lt;0.5,1,0),0)</f>
        <v>0</v>
      </c>
      <c r="AK193" s="2">
        <f>IF(AND(Games[[#This Row],[Type]]="P",Games[[#This Row],[Round]]=4),IF(Games[[#This Row],[Result]]&gt;0.5,1,0),0)</f>
        <v>0</v>
      </c>
      <c r="AL193" s="2">
        <f>IF(AND(Games[[#This Row],[Type]]="P",Games[[#This Row],[Round]]=4),IF(Games[[#This Row],[Result]]&lt;0.5,1,0),0)</f>
        <v>0</v>
      </c>
    </row>
    <row r="194" spans="1:38" x14ac:dyDescent="0.35">
      <c r="A194" s="10">
        <v>40362</v>
      </c>
      <c r="B194" s="2">
        <v>2010</v>
      </c>
      <c r="C194" s="2">
        <f>COUNTIFS(Games[Team],Games[[#This Row],[Team]],Games[Season],Games[[#This Row],[Season]],Games[Date],"&lt;=" &amp; Games[[#This Row],[Date]])</f>
        <v>17</v>
      </c>
      <c r="D194" s="2" t="s">
        <v>23</v>
      </c>
      <c r="E194" s="2" t="s">
        <v>29</v>
      </c>
      <c r="F194" s="1" t="s">
        <v>69</v>
      </c>
      <c r="G194" s="1" t="s">
        <v>85</v>
      </c>
      <c r="H194" s="1" t="s">
        <v>16</v>
      </c>
      <c r="I194" s="2" cm="1">
        <f t="array" ref="I19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4" s="2" cm="1">
        <f t="array" ref="J19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94" s="2">
        <f>Games[[#This Row],[DaysOff]]-Games[[#This Row],[OppDaysOff]]</f>
        <v>-2</v>
      </c>
      <c r="L194" s="2">
        <f>Games[[#This Row],[OppDaysOff]]-Games[[#This Row],[DaysOff]]</f>
        <v>2</v>
      </c>
      <c r="M194" s="1">
        <f>MAX(-16, MIN(16, Games[[#This Row],[RestDiff]]*8))</f>
        <v>-16</v>
      </c>
      <c r="N194" s="1">
        <f>MAX(-16, MIN(16, Games[[#This Row],[OppRestDiff]]*8))</f>
        <v>16</v>
      </c>
      <c r="O194" s="4" cm="1">
        <f t="array" ref="O1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1554.8787591833172</v>
      </c>
      <c r="P194" s="4" cm="1">
        <f t="array" ref="P1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1383.7650998016904</v>
      </c>
      <c r="Q194" s="4">
        <f>1/(1+10^(((Games[[#This Row],[OppPreGmRate]]+IF(Games[[#This Row],[HomeAway]]="A",HCA,0)+Games[[#This Row],[OppRestAdj]])-(Games[[#This Row],[PreGmRate]]+IF(Games[[#This Row],[HomeAway]]="H",HCA,0)+Games[[#This Row],[RestAdj]]))/400))</f>
        <v>0.57865628166584093</v>
      </c>
      <c r="R194" s="1">
        <v>69</v>
      </c>
      <c r="S194" s="1">
        <v>54</v>
      </c>
      <c r="T194" s="1">
        <v>0</v>
      </c>
      <c r="U194" s="1">
        <f>Games[[#This Row],[PointsFor]]-Games[[#This Row],[PointsAgainst]]</f>
        <v>15</v>
      </c>
      <c r="V194" s="1">
        <f>IF(Games[[#This Row],[MOV]]&gt;0,1,IF(Games[[#This Row],[MOV]]=0,0.5,0))</f>
        <v>1</v>
      </c>
      <c r="W194" s="4">
        <f>((ABS(Games[[#This Row],[MOV]])+5)^0.6)/(12+0.01*(ABS(Games[[#This Row],[PreGmRate]]-Games[[#This Row],[OppPreGmRate]])))*IF(Games[[#This Row],[OT]]=1,0.9,1)</f>
        <v>0.44009308019486726</v>
      </c>
      <c r="X194" s="7" cm="1">
        <f t="array" ref="X19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4" s="9">
        <f>MAX(kmin, kmax - 0.15 * MIN(Games[[#This Row],[GamesPlayed]], 82))</f>
        <v>73.45</v>
      </c>
      <c r="Z194" s="4">
        <f>Games[[#This Row],[K]]*Games[[#This Row],[POMult]]</f>
        <v>73.45</v>
      </c>
      <c r="AA194" s="4">
        <f>(Games[[#This Row],[Keff]]*Games[[#This Row],[MOVMult]])*(Games[[#This Row],[Result]]-Games[[#This Row],[ExpectedWin%]])</f>
        <v>13.619866906708118</v>
      </c>
      <c r="AB194" s="4">
        <f>Games[[#This Row],[PreGmRate]]+Games[[#This Row],[RatingChange]]</f>
        <v>1568.4986260900253</v>
      </c>
      <c r="AC194" s="2">
        <f>IF(Games[[#This Row],[Type]]="R",IF(Games[[#This Row],[Result]]&gt;0.5,1,0),0)</f>
        <v>1</v>
      </c>
      <c r="AD194" s="2">
        <f>IF(Games[[#This Row],[Type]]="R",IF(Games[[#This Row],[Result]]&lt;0.5,1,0),0)</f>
        <v>0</v>
      </c>
      <c r="AE194" s="2">
        <f>IF(AND(Games[[#This Row],[Type]]="P",Games[[#This Row],[Round]]=1),IF(Games[[#This Row],[Result]]&gt;0.5,1,0),0)</f>
        <v>0</v>
      </c>
      <c r="AF194" s="2">
        <f>IF(AND(Games[[#This Row],[Type]]="P",Games[[#This Row],[Round]]=1),IF(Games[[#This Row],[Result]]&lt;0.5,1,0),0)</f>
        <v>0</v>
      </c>
      <c r="AG194" s="2">
        <f>IF(AND(Games[[#This Row],[Type]]="P",Games[[#This Row],[Round]]=2),IF(Games[[#This Row],[Result]]&gt;0.5,1,0),0)</f>
        <v>0</v>
      </c>
      <c r="AH194" s="2">
        <f>IF(AND(Games[[#This Row],[Type]]="P",Games[[#This Row],[Round]]=2),IF(Games[[#This Row],[Result]]&lt;0.5,1,0),0)</f>
        <v>0</v>
      </c>
      <c r="AI194" s="2">
        <f>IF(AND(Games[[#This Row],[Type]]="P",Games[[#This Row],[Round]]=3),IF(Games[[#This Row],[Result]]&gt;0.5,1,0),0)</f>
        <v>0</v>
      </c>
      <c r="AJ194" s="2">
        <f>IF(AND(Games[[#This Row],[Type]]="P",Games[[#This Row],[Round]]=3),IF(Games[[#This Row],[Result]]&lt;0.5,1,0),0)</f>
        <v>0</v>
      </c>
      <c r="AK194" s="2">
        <f>IF(AND(Games[[#This Row],[Type]]="P",Games[[#This Row],[Round]]=4),IF(Games[[#This Row],[Result]]&gt;0.5,1,0),0)</f>
        <v>0</v>
      </c>
      <c r="AL194" s="2">
        <f>IF(AND(Games[[#This Row],[Type]]="P",Games[[#This Row],[Round]]=4),IF(Games[[#This Row],[Result]]&lt;0.5,1,0),0)</f>
        <v>0</v>
      </c>
    </row>
    <row r="195" spans="1:38" x14ac:dyDescent="0.35">
      <c r="A195" s="10">
        <v>40362</v>
      </c>
      <c r="B195" s="2">
        <v>2010</v>
      </c>
      <c r="C195" s="2">
        <f>COUNTIFS(Games[Team],Games[[#This Row],[Team]],Games[Season],Games[[#This Row],[Season]],Games[Date],"&lt;=" &amp; Games[[#This Row],[Date]])</f>
        <v>16</v>
      </c>
      <c r="D195" s="2" t="s">
        <v>23</v>
      </c>
      <c r="E195" s="2" t="s">
        <v>29</v>
      </c>
      <c r="F195" s="1" t="s">
        <v>85</v>
      </c>
      <c r="G195" s="1" t="s">
        <v>69</v>
      </c>
      <c r="H195" s="1" t="s">
        <v>15</v>
      </c>
      <c r="I195" s="2" cm="1">
        <f t="array" ref="I195">IFERROR(
    Games[[#This Row],[Date]]
    - LOOKUP(
        2,
        1/((Games[Team]=Games[[#This Row],[Team]]) * (Games[Date] &lt; Games[[#This Row],[Date]])),
        Games[Date]
    )
    - 1,
Games[[#This Row],[Date]]-$A$2)</f>
        <v>3</v>
      </c>
      <c r="J195" s="2" cm="1">
        <f t="array" ref="J19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5" s="2">
        <f>Games[[#This Row],[DaysOff]]-Games[[#This Row],[OppDaysOff]]</f>
        <v>2</v>
      </c>
      <c r="L195" s="2">
        <f>Games[[#This Row],[OppDaysOff]]-Games[[#This Row],[DaysOff]]</f>
        <v>-2</v>
      </c>
      <c r="M195" s="1">
        <f>MAX(-16, MIN(16, Games[[#This Row],[RestDiff]]*8))</f>
        <v>16</v>
      </c>
      <c r="N195" s="1">
        <f>MAX(-16, MIN(16, Games[[#This Row],[OppRestDiff]]*8))</f>
        <v>-16</v>
      </c>
      <c r="O195" s="4" cm="1">
        <f t="array" ref="O1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1383.7650998016904</v>
      </c>
      <c r="P195" s="4" cm="1">
        <f t="array" ref="P1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1554.8787591833172</v>
      </c>
      <c r="Q195" s="4">
        <f>1/(1+10^(((Games[[#This Row],[OppPreGmRate]]+IF(Games[[#This Row],[HomeAway]]="A",HCA,0)+Games[[#This Row],[OppRestAdj]])-(Games[[#This Row],[PreGmRate]]+IF(Games[[#This Row],[HomeAway]]="H",HCA,0)+Games[[#This Row],[RestAdj]]))/400))</f>
        <v>0.42134371833415907</v>
      </c>
      <c r="R195" s="1">
        <v>54</v>
      </c>
      <c r="S195" s="1">
        <v>69</v>
      </c>
      <c r="T195" s="1">
        <v>0</v>
      </c>
      <c r="U195" s="1">
        <f>Games[[#This Row],[PointsFor]]-Games[[#This Row],[PointsAgainst]]</f>
        <v>-15</v>
      </c>
      <c r="V195" s="1">
        <f>IF(Games[[#This Row],[MOV]]&gt;0,1,IF(Games[[#This Row],[MOV]]=0,0.5,0))</f>
        <v>0</v>
      </c>
      <c r="W195" s="4">
        <f>((ABS(Games[[#This Row],[MOV]])+5)^0.6)/(12+0.01*(ABS(Games[[#This Row],[PreGmRate]]-Games[[#This Row],[OppPreGmRate]])))*IF(Games[[#This Row],[OT]]=1,0.9,1)</f>
        <v>0.44009308019486726</v>
      </c>
      <c r="X195" s="7" cm="1">
        <f t="array" ref="X19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5" s="9">
        <f>MAX(kmin, kmax - 0.15 * MIN(Games[[#This Row],[GamesPlayed]], 82))</f>
        <v>73.599999999999994</v>
      </c>
      <c r="Z195" s="4">
        <f>Games[[#This Row],[K]]*Games[[#This Row],[POMult]]</f>
        <v>73.599999999999994</v>
      </c>
      <c r="AA195" s="4">
        <f>(Games[[#This Row],[Keff]]*Games[[#This Row],[MOVMult]])*(Games[[#This Row],[Result]]-Games[[#This Row],[ExpectedWin%]])</f>
        <v>-13.647681474931481</v>
      </c>
      <c r="AB195" s="4">
        <f>Games[[#This Row],[PreGmRate]]+Games[[#This Row],[RatingChange]]</f>
        <v>1370.117418326759</v>
      </c>
      <c r="AC195" s="2">
        <f>IF(Games[[#This Row],[Type]]="R",IF(Games[[#This Row],[Result]]&gt;0.5,1,0),0)</f>
        <v>0</v>
      </c>
      <c r="AD195" s="2">
        <f>IF(Games[[#This Row],[Type]]="R",IF(Games[[#This Row],[Result]]&lt;0.5,1,0),0)</f>
        <v>1</v>
      </c>
      <c r="AE195" s="2">
        <f>IF(AND(Games[[#This Row],[Type]]="P",Games[[#This Row],[Round]]=1),IF(Games[[#This Row],[Result]]&gt;0.5,1,0),0)</f>
        <v>0</v>
      </c>
      <c r="AF195" s="2">
        <f>IF(AND(Games[[#This Row],[Type]]="P",Games[[#This Row],[Round]]=1),IF(Games[[#This Row],[Result]]&lt;0.5,1,0),0)</f>
        <v>0</v>
      </c>
      <c r="AG195" s="2">
        <f>IF(AND(Games[[#This Row],[Type]]="P",Games[[#This Row],[Round]]=2),IF(Games[[#This Row],[Result]]&gt;0.5,1,0),0)</f>
        <v>0</v>
      </c>
      <c r="AH195" s="2">
        <f>IF(AND(Games[[#This Row],[Type]]="P",Games[[#This Row],[Round]]=2),IF(Games[[#This Row],[Result]]&lt;0.5,1,0),0)</f>
        <v>0</v>
      </c>
      <c r="AI195" s="2">
        <f>IF(AND(Games[[#This Row],[Type]]="P",Games[[#This Row],[Round]]=3),IF(Games[[#This Row],[Result]]&gt;0.5,1,0),0)</f>
        <v>0</v>
      </c>
      <c r="AJ195" s="2">
        <f>IF(AND(Games[[#This Row],[Type]]="P",Games[[#This Row],[Round]]=3),IF(Games[[#This Row],[Result]]&lt;0.5,1,0),0)</f>
        <v>0</v>
      </c>
      <c r="AK195" s="2">
        <f>IF(AND(Games[[#This Row],[Type]]="P",Games[[#This Row],[Round]]=4),IF(Games[[#This Row],[Result]]&gt;0.5,1,0),0)</f>
        <v>0</v>
      </c>
      <c r="AL195" s="2">
        <f>IF(AND(Games[[#This Row],[Type]]="P",Games[[#This Row],[Round]]=4),IF(Games[[#This Row],[Result]]&lt;0.5,1,0),0)</f>
        <v>0</v>
      </c>
    </row>
    <row r="196" spans="1:38" x14ac:dyDescent="0.35">
      <c r="A196" s="10">
        <v>40365</v>
      </c>
      <c r="B196" s="2">
        <v>2010</v>
      </c>
      <c r="C196" s="2">
        <f>COUNTIFS(Games[Team],Games[[#This Row],[Team]],Games[Season],Games[[#This Row],[Season]],Games[Date],"&lt;=" &amp; Games[[#This Row],[Date]])</f>
        <v>16</v>
      </c>
      <c r="D196" s="2" t="s">
        <v>23</v>
      </c>
      <c r="E196" s="2" t="s">
        <v>29</v>
      </c>
      <c r="F196" s="1" t="s">
        <v>73</v>
      </c>
      <c r="G196" s="1" t="s">
        <v>81</v>
      </c>
      <c r="H196" s="1" t="s">
        <v>16</v>
      </c>
      <c r="I196" s="2" cm="1">
        <f t="array" ref="I196">IFERROR(
    Games[[#This Row],[Date]]
    - LOOKUP(
        2,
        1/((Games[Team]=Games[[#This Row],[Team]]) * (Games[Date] &lt; Games[[#This Row],[Date]])),
        Games[Date]
    )
    - 1,
Games[[#This Row],[Date]]-$A$2)</f>
        <v>6</v>
      </c>
      <c r="J196" s="2" cm="1">
        <f t="array" ref="J19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96" s="2">
        <f>Games[[#This Row],[DaysOff]]-Games[[#This Row],[OppDaysOff]]</f>
        <v>4</v>
      </c>
      <c r="L196" s="2">
        <f>Games[[#This Row],[OppDaysOff]]-Games[[#This Row],[DaysOff]]</f>
        <v>-4</v>
      </c>
      <c r="M196" s="1">
        <f>MAX(-16, MIN(16, Games[[#This Row],[RestDiff]]*8))</f>
        <v>16</v>
      </c>
      <c r="N196" s="1">
        <f>MAX(-16, MIN(16, Games[[#This Row],[OppRestDiff]]*8))</f>
        <v>-16</v>
      </c>
      <c r="O196" s="4" cm="1">
        <f t="array" ref="O1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1575.1214445653357</v>
      </c>
      <c r="P196" s="4" cm="1">
        <f t="array" ref="P1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1493.8691367176016</v>
      </c>
      <c r="Q196" s="4">
        <f>1/(1+10^(((Games[[#This Row],[OppPreGmRate]]+IF(Games[[#This Row],[HomeAway]]="A",HCA,0)+Games[[#This Row],[OppRestAdj]])-(Games[[#This Row],[PreGmRate]]+IF(Games[[#This Row],[HomeAway]]="H",HCA,0)+Games[[#This Row],[RestAdj]]))/400))</f>
        <v>0.54199826300263443</v>
      </c>
      <c r="R196" s="1">
        <v>58</v>
      </c>
      <c r="S196" s="1">
        <v>51</v>
      </c>
      <c r="T196" s="1">
        <v>0</v>
      </c>
      <c r="U196" s="1">
        <f>Games[[#This Row],[PointsFor]]-Games[[#This Row],[PointsAgainst]]</f>
        <v>7</v>
      </c>
      <c r="V196" s="1">
        <f>IF(Games[[#This Row],[MOV]]&gt;0,1,IF(Games[[#This Row],[MOV]]=0,0.5,0))</f>
        <v>1</v>
      </c>
      <c r="W196" s="4">
        <f>((ABS(Games[[#This Row],[MOV]])+5)^0.6)/(12+0.01*(ABS(Games[[#This Row],[PreGmRate]]-Games[[#This Row],[OppPreGmRate]])))*IF(Games[[#This Row],[OT]]=1,0.9,1)</f>
        <v>0.34663633717127706</v>
      </c>
      <c r="X196" s="7" cm="1">
        <f t="array" ref="X19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6" s="9">
        <f>MAX(kmin, kmax - 0.15 * MIN(Games[[#This Row],[GamesPlayed]], 82))</f>
        <v>73.599999999999994</v>
      </c>
      <c r="Z196" s="4">
        <f>Games[[#This Row],[K]]*Games[[#This Row],[POMult]]</f>
        <v>73.599999999999994</v>
      </c>
      <c r="AA196" s="4">
        <f>(Games[[#This Row],[Keff]]*Games[[#This Row],[MOVMult]])*(Games[[#This Row],[Result]]-Games[[#This Row],[ExpectedWin%]])</f>
        <v>11.684739277470513</v>
      </c>
      <c r="AB196" s="4">
        <f>Games[[#This Row],[PreGmRate]]+Games[[#This Row],[RatingChange]]</f>
        <v>1586.8061838428061</v>
      </c>
      <c r="AC196" s="2">
        <f>IF(Games[[#This Row],[Type]]="R",IF(Games[[#This Row],[Result]]&gt;0.5,1,0),0)</f>
        <v>1</v>
      </c>
      <c r="AD196" s="2">
        <f>IF(Games[[#This Row],[Type]]="R",IF(Games[[#This Row],[Result]]&lt;0.5,1,0),0)</f>
        <v>0</v>
      </c>
      <c r="AE196" s="2">
        <f>IF(AND(Games[[#This Row],[Type]]="P",Games[[#This Row],[Round]]=1),IF(Games[[#This Row],[Result]]&gt;0.5,1,0),0)</f>
        <v>0</v>
      </c>
      <c r="AF196" s="2">
        <f>IF(AND(Games[[#This Row],[Type]]="P",Games[[#This Row],[Round]]=1),IF(Games[[#This Row],[Result]]&lt;0.5,1,0),0)</f>
        <v>0</v>
      </c>
      <c r="AG196" s="2">
        <f>IF(AND(Games[[#This Row],[Type]]="P",Games[[#This Row],[Round]]=2),IF(Games[[#This Row],[Result]]&gt;0.5,1,0),0)</f>
        <v>0</v>
      </c>
      <c r="AH196" s="2">
        <f>IF(AND(Games[[#This Row],[Type]]="P",Games[[#This Row],[Round]]=2),IF(Games[[#This Row],[Result]]&lt;0.5,1,0),0)</f>
        <v>0</v>
      </c>
      <c r="AI196" s="2">
        <f>IF(AND(Games[[#This Row],[Type]]="P",Games[[#This Row],[Round]]=3),IF(Games[[#This Row],[Result]]&gt;0.5,1,0),0)</f>
        <v>0</v>
      </c>
      <c r="AJ196" s="2">
        <f>IF(AND(Games[[#This Row],[Type]]="P",Games[[#This Row],[Round]]=3),IF(Games[[#This Row],[Result]]&lt;0.5,1,0),0)</f>
        <v>0</v>
      </c>
      <c r="AK196" s="2">
        <f>IF(AND(Games[[#This Row],[Type]]="P",Games[[#This Row],[Round]]=4),IF(Games[[#This Row],[Result]]&gt;0.5,1,0),0)</f>
        <v>0</v>
      </c>
      <c r="AL196" s="2">
        <f>IF(AND(Games[[#This Row],[Type]]="P",Games[[#This Row],[Round]]=4),IF(Games[[#This Row],[Result]]&lt;0.5,1,0),0)</f>
        <v>0</v>
      </c>
    </row>
    <row r="197" spans="1:38" x14ac:dyDescent="0.35">
      <c r="A197" s="10">
        <v>40365</v>
      </c>
      <c r="B197" s="2">
        <v>2010</v>
      </c>
      <c r="C197" s="2">
        <f>COUNTIFS(Games[Team],Games[[#This Row],[Team]],Games[Season],Games[[#This Row],[Season]],Games[Date],"&lt;=" &amp; Games[[#This Row],[Date]])</f>
        <v>18</v>
      </c>
      <c r="D197" s="2" t="s">
        <v>23</v>
      </c>
      <c r="E197" s="2" t="s">
        <v>29</v>
      </c>
      <c r="F197" s="1" t="s">
        <v>81</v>
      </c>
      <c r="G197" s="1" t="s">
        <v>73</v>
      </c>
      <c r="H197" s="1" t="s">
        <v>15</v>
      </c>
      <c r="I197" s="2" cm="1">
        <f t="array" ref="I197">IFERROR(
    Games[[#This Row],[Date]]
    - LOOKUP(
        2,
        1/((Games[Team]=Games[[#This Row],[Team]]) * (Games[Date] &lt; Games[[#This Row],[Date]])),
        Games[Date]
    )
    - 1,
Games[[#This Row],[Date]]-$A$2)</f>
        <v>2</v>
      </c>
      <c r="J197" s="2" cm="1">
        <f t="array" ref="J197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197" s="2">
        <f>Games[[#This Row],[DaysOff]]-Games[[#This Row],[OppDaysOff]]</f>
        <v>-4</v>
      </c>
      <c r="L197" s="2">
        <f>Games[[#This Row],[OppDaysOff]]-Games[[#This Row],[DaysOff]]</f>
        <v>4</v>
      </c>
      <c r="M197" s="1">
        <f>MAX(-16, MIN(16, Games[[#This Row],[RestDiff]]*8))</f>
        <v>-16</v>
      </c>
      <c r="N197" s="1">
        <f>MAX(-16, MIN(16, Games[[#This Row],[OppRestDiff]]*8))</f>
        <v>16</v>
      </c>
      <c r="O197" s="4" cm="1">
        <f t="array" ref="O1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1493.8691367176016</v>
      </c>
      <c r="P197" s="4" cm="1">
        <f t="array" ref="P1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1575.1214445653357</v>
      </c>
      <c r="Q197" s="4">
        <f>1/(1+10^(((Games[[#This Row],[OppPreGmRate]]+IF(Games[[#This Row],[HomeAway]]="A",HCA,0)+Games[[#This Row],[OppRestAdj]])-(Games[[#This Row],[PreGmRate]]+IF(Games[[#This Row],[HomeAway]]="H",HCA,0)+Games[[#This Row],[RestAdj]]))/400))</f>
        <v>0.45800173699736557</v>
      </c>
      <c r="R197" s="1">
        <v>51</v>
      </c>
      <c r="S197" s="1">
        <v>58</v>
      </c>
      <c r="T197" s="1">
        <v>0</v>
      </c>
      <c r="U197" s="1">
        <f>Games[[#This Row],[PointsFor]]-Games[[#This Row],[PointsAgainst]]</f>
        <v>-7</v>
      </c>
      <c r="V197" s="1">
        <f>IF(Games[[#This Row],[MOV]]&gt;0,1,IF(Games[[#This Row],[MOV]]=0,0.5,0))</f>
        <v>0</v>
      </c>
      <c r="W197" s="4">
        <f>((ABS(Games[[#This Row],[MOV]])+5)^0.6)/(12+0.01*(ABS(Games[[#This Row],[PreGmRate]]-Games[[#This Row],[OppPreGmRate]])))*IF(Games[[#This Row],[OT]]=1,0.9,1)</f>
        <v>0.34663633717127706</v>
      </c>
      <c r="X197" s="7" cm="1">
        <f t="array" ref="X19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7" s="9">
        <f>MAX(kmin, kmax - 0.15 * MIN(Games[[#This Row],[GamesPlayed]], 82))</f>
        <v>73.3</v>
      </c>
      <c r="Z197" s="4">
        <f>Games[[#This Row],[K]]*Games[[#This Row],[POMult]]</f>
        <v>73.3</v>
      </c>
      <c r="AA197" s="4">
        <f>(Games[[#This Row],[Keff]]*Games[[#This Row],[MOVMult]])*(Games[[#This Row],[Result]]-Games[[#This Row],[ExpectedWin%]])</f>
        <v>-11.637111264111258</v>
      </c>
      <c r="AB197" s="4">
        <f>Games[[#This Row],[PreGmRate]]+Games[[#This Row],[RatingChange]]</f>
        <v>1482.2320254534902</v>
      </c>
      <c r="AC197" s="2">
        <f>IF(Games[[#This Row],[Type]]="R",IF(Games[[#This Row],[Result]]&gt;0.5,1,0),0)</f>
        <v>0</v>
      </c>
      <c r="AD197" s="2">
        <f>IF(Games[[#This Row],[Type]]="R",IF(Games[[#This Row],[Result]]&lt;0.5,1,0),0)</f>
        <v>1</v>
      </c>
      <c r="AE197" s="2">
        <f>IF(AND(Games[[#This Row],[Type]]="P",Games[[#This Row],[Round]]=1),IF(Games[[#This Row],[Result]]&gt;0.5,1,0),0)</f>
        <v>0</v>
      </c>
      <c r="AF197" s="2">
        <f>IF(AND(Games[[#This Row],[Type]]="P",Games[[#This Row],[Round]]=1),IF(Games[[#This Row],[Result]]&lt;0.5,1,0),0)</f>
        <v>0</v>
      </c>
      <c r="AG197" s="2">
        <f>IF(AND(Games[[#This Row],[Type]]="P",Games[[#This Row],[Round]]=2),IF(Games[[#This Row],[Result]]&gt;0.5,1,0),0)</f>
        <v>0</v>
      </c>
      <c r="AH197" s="2">
        <f>IF(AND(Games[[#This Row],[Type]]="P",Games[[#This Row],[Round]]=2),IF(Games[[#This Row],[Result]]&lt;0.5,1,0),0)</f>
        <v>0</v>
      </c>
      <c r="AI197" s="2">
        <f>IF(AND(Games[[#This Row],[Type]]="P",Games[[#This Row],[Round]]=3),IF(Games[[#This Row],[Result]]&gt;0.5,1,0),0)</f>
        <v>0</v>
      </c>
      <c r="AJ197" s="2">
        <f>IF(AND(Games[[#This Row],[Type]]="P",Games[[#This Row],[Round]]=3),IF(Games[[#This Row],[Result]]&lt;0.5,1,0),0)</f>
        <v>0</v>
      </c>
      <c r="AK197" s="2">
        <f>IF(AND(Games[[#This Row],[Type]]="P",Games[[#This Row],[Round]]=4),IF(Games[[#This Row],[Result]]&gt;0.5,1,0),0)</f>
        <v>0</v>
      </c>
      <c r="AL197" s="2">
        <f>IF(AND(Games[[#This Row],[Type]]="P",Games[[#This Row],[Round]]=4),IF(Games[[#This Row],[Result]]&lt;0.5,1,0),0)</f>
        <v>0</v>
      </c>
    </row>
    <row r="198" spans="1:38" x14ac:dyDescent="0.35">
      <c r="A198" s="10">
        <v>40365</v>
      </c>
      <c r="B198" s="2">
        <v>2010</v>
      </c>
      <c r="C198" s="2">
        <f>COUNTIFS(Games[Team],Games[[#This Row],[Team]],Games[Season],Games[[#This Row],[Season]],Games[Date],"&lt;=" &amp; Games[[#This Row],[Date]])</f>
        <v>18</v>
      </c>
      <c r="D198" s="2" t="s">
        <v>23</v>
      </c>
      <c r="E198" s="2" t="s">
        <v>29</v>
      </c>
      <c r="F198" s="1" t="s">
        <v>44</v>
      </c>
      <c r="G198" s="1" t="s">
        <v>67</v>
      </c>
      <c r="H198" s="1" t="s">
        <v>16</v>
      </c>
      <c r="I198" s="2" cm="1">
        <f t="array" ref="I198">IFERROR(
    Games[[#This Row],[Date]]
    - LOOKUP(
        2,
        1/((Games[Team]=Games[[#This Row],[Team]]) * (Games[Date] &lt; Games[[#This Row],[Date]])),
        Games[Date]
    )
    - 1,
Games[[#This Row],[Date]]-$A$2)</f>
        <v>2</v>
      </c>
      <c r="J198" s="2" cm="1">
        <f t="array" ref="J19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98" s="2">
        <f>Games[[#This Row],[DaysOff]]-Games[[#This Row],[OppDaysOff]]</f>
        <v>0</v>
      </c>
      <c r="L198" s="2">
        <f>Games[[#This Row],[OppDaysOff]]-Games[[#This Row],[DaysOff]]</f>
        <v>0</v>
      </c>
      <c r="M198" s="1">
        <f>MAX(-16, MIN(16, Games[[#This Row],[RestDiff]]*8))</f>
        <v>0</v>
      </c>
      <c r="N198" s="1">
        <f>MAX(-16, MIN(16, Games[[#This Row],[OppRestDiff]]*8))</f>
        <v>0</v>
      </c>
      <c r="O198" s="4" cm="1">
        <f t="array" ref="O1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1503.0852540547862</v>
      </c>
      <c r="P198" s="4" cm="1">
        <f t="array" ref="P1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1435.3706141246282</v>
      </c>
      <c r="Q198" s="4">
        <f>1/(1+10^(((Games[[#This Row],[OppPreGmRate]]+IF(Games[[#This Row],[HomeAway]]="A",HCA,0)+Games[[#This Row],[OppRestAdj]])-(Games[[#This Row],[PreGmRate]]+IF(Games[[#This Row],[HomeAway]]="H",HCA,0)+Games[[#This Row],[RestAdj]]))/400))</f>
        <v>0.47658063182540694</v>
      </c>
      <c r="R198" s="1">
        <v>98</v>
      </c>
      <c r="S198" s="1">
        <v>89</v>
      </c>
      <c r="T198" s="1">
        <v>0</v>
      </c>
      <c r="U198" s="1">
        <f>Games[[#This Row],[PointsFor]]-Games[[#This Row],[PointsAgainst]]</f>
        <v>9</v>
      </c>
      <c r="V198" s="1">
        <f>IF(Games[[#This Row],[MOV]]&gt;0,1,IF(Games[[#This Row],[MOV]]=0,0.5,0))</f>
        <v>1</v>
      </c>
      <c r="W198" s="4">
        <f>((ABS(Games[[#This Row],[MOV]])+5)^0.6)/(12+0.01*(ABS(Games[[#This Row],[PreGmRate]]-Games[[#This Row],[OppPreGmRate]])))*IF(Games[[#This Row],[OT]]=1,0.9,1)</f>
        <v>0.38428666612506007</v>
      </c>
      <c r="X198" s="7" cm="1">
        <f t="array" ref="X19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8" s="9">
        <f>MAX(kmin, kmax - 0.15 * MIN(Games[[#This Row],[GamesPlayed]], 82))</f>
        <v>73.3</v>
      </c>
      <c r="Z198" s="4">
        <f>Games[[#This Row],[K]]*Games[[#This Row],[POMult]]</f>
        <v>73.3</v>
      </c>
      <c r="AA198" s="4">
        <f>(Games[[#This Row],[Keff]]*Games[[#This Row],[MOVMult]])*(Games[[#This Row],[Result]]-Games[[#This Row],[ExpectedWin%]])</f>
        <v>14.743788055814612</v>
      </c>
      <c r="AB198" s="4">
        <f>Games[[#This Row],[PreGmRate]]+Games[[#This Row],[RatingChange]]</f>
        <v>1517.8290421106008</v>
      </c>
      <c r="AC198" s="2">
        <f>IF(Games[[#This Row],[Type]]="R",IF(Games[[#This Row],[Result]]&gt;0.5,1,0),0)</f>
        <v>1</v>
      </c>
      <c r="AD198" s="2">
        <f>IF(Games[[#This Row],[Type]]="R",IF(Games[[#This Row],[Result]]&lt;0.5,1,0),0)</f>
        <v>0</v>
      </c>
      <c r="AE198" s="2">
        <f>IF(AND(Games[[#This Row],[Type]]="P",Games[[#This Row],[Round]]=1),IF(Games[[#This Row],[Result]]&gt;0.5,1,0),0)</f>
        <v>0</v>
      </c>
      <c r="AF198" s="2">
        <f>IF(AND(Games[[#This Row],[Type]]="P",Games[[#This Row],[Round]]=1),IF(Games[[#This Row],[Result]]&lt;0.5,1,0),0)</f>
        <v>0</v>
      </c>
      <c r="AG198" s="2">
        <f>IF(AND(Games[[#This Row],[Type]]="P",Games[[#This Row],[Round]]=2),IF(Games[[#This Row],[Result]]&gt;0.5,1,0),0)</f>
        <v>0</v>
      </c>
      <c r="AH198" s="2">
        <f>IF(AND(Games[[#This Row],[Type]]="P",Games[[#This Row],[Round]]=2),IF(Games[[#This Row],[Result]]&lt;0.5,1,0),0)</f>
        <v>0</v>
      </c>
      <c r="AI198" s="2">
        <f>IF(AND(Games[[#This Row],[Type]]="P",Games[[#This Row],[Round]]=3),IF(Games[[#This Row],[Result]]&gt;0.5,1,0),0)</f>
        <v>0</v>
      </c>
      <c r="AJ198" s="2">
        <f>IF(AND(Games[[#This Row],[Type]]="P",Games[[#This Row],[Round]]=3),IF(Games[[#This Row],[Result]]&lt;0.5,1,0),0)</f>
        <v>0</v>
      </c>
      <c r="AK198" s="2">
        <f>IF(AND(Games[[#This Row],[Type]]="P",Games[[#This Row],[Round]]=4),IF(Games[[#This Row],[Result]]&gt;0.5,1,0),0)</f>
        <v>0</v>
      </c>
      <c r="AL198" s="2">
        <f>IF(AND(Games[[#This Row],[Type]]="P",Games[[#This Row],[Round]]=4),IF(Games[[#This Row],[Result]]&lt;0.5,1,0),0)</f>
        <v>0</v>
      </c>
    </row>
    <row r="199" spans="1:38" x14ac:dyDescent="0.35">
      <c r="A199" s="10">
        <v>40365</v>
      </c>
      <c r="B199" s="2">
        <v>2010</v>
      </c>
      <c r="C199" s="2">
        <f>COUNTIFS(Games[Team],Games[[#This Row],[Team]],Games[Season],Games[[#This Row],[Season]],Games[Date],"&lt;=" &amp; Games[[#This Row],[Date]])</f>
        <v>17</v>
      </c>
      <c r="D199" s="2" t="s">
        <v>23</v>
      </c>
      <c r="E199" s="2" t="s">
        <v>29</v>
      </c>
      <c r="F199" s="1" t="s">
        <v>67</v>
      </c>
      <c r="G199" s="1" t="s">
        <v>44</v>
      </c>
      <c r="H199" s="1" t="s">
        <v>15</v>
      </c>
      <c r="I199" s="2" cm="1">
        <f t="array" ref="I199">IFERROR(
    Games[[#This Row],[Date]]
    - LOOKUP(
        2,
        1/((Games[Team]=Games[[#This Row],[Team]]) * (Games[Date] &lt; Games[[#This Row],[Date]])),
        Games[Date]
    )
    - 1,
Games[[#This Row],[Date]]-$A$2)</f>
        <v>2</v>
      </c>
      <c r="J199" s="2" cm="1">
        <f t="array" ref="J19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99" s="2">
        <f>Games[[#This Row],[DaysOff]]-Games[[#This Row],[OppDaysOff]]</f>
        <v>0</v>
      </c>
      <c r="L199" s="2">
        <f>Games[[#This Row],[OppDaysOff]]-Games[[#This Row],[DaysOff]]</f>
        <v>0</v>
      </c>
      <c r="M199" s="1">
        <f>MAX(-16, MIN(16, Games[[#This Row],[RestDiff]]*8))</f>
        <v>0</v>
      </c>
      <c r="N199" s="1">
        <f>MAX(-16, MIN(16, Games[[#This Row],[OppRestDiff]]*8))</f>
        <v>0</v>
      </c>
      <c r="O199" s="4" cm="1">
        <f t="array" ref="O1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1435.3706141246282</v>
      </c>
      <c r="P199" s="4" cm="1">
        <f t="array" ref="P1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1503.0852540547862</v>
      </c>
      <c r="Q199" s="4">
        <f>1/(1+10^(((Games[[#This Row],[OppPreGmRate]]+IF(Games[[#This Row],[HomeAway]]="A",HCA,0)+Games[[#This Row],[OppRestAdj]])-(Games[[#This Row],[PreGmRate]]+IF(Games[[#This Row],[HomeAway]]="H",HCA,0)+Games[[#This Row],[RestAdj]]))/400))</f>
        <v>0.52341936817459311</v>
      </c>
      <c r="R199" s="1">
        <v>89</v>
      </c>
      <c r="S199" s="1">
        <v>98</v>
      </c>
      <c r="T199" s="1">
        <v>0</v>
      </c>
      <c r="U199" s="1">
        <f>Games[[#This Row],[PointsFor]]-Games[[#This Row],[PointsAgainst]]</f>
        <v>-9</v>
      </c>
      <c r="V199" s="1">
        <f>IF(Games[[#This Row],[MOV]]&gt;0,1,IF(Games[[#This Row],[MOV]]=0,0.5,0))</f>
        <v>0</v>
      </c>
      <c r="W199" s="4">
        <f>((ABS(Games[[#This Row],[MOV]])+5)^0.6)/(12+0.01*(ABS(Games[[#This Row],[PreGmRate]]-Games[[#This Row],[OppPreGmRate]])))*IF(Games[[#This Row],[OT]]=1,0.9,1)</f>
        <v>0.38428666612506007</v>
      </c>
      <c r="X199" s="7" cm="1">
        <f t="array" ref="X19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9" s="9">
        <f>MAX(kmin, kmax - 0.15 * MIN(Games[[#This Row],[GamesPlayed]], 82))</f>
        <v>73.45</v>
      </c>
      <c r="Z199" s="4">
        <f>Games[[#This Row],[K]]*Games[[#This Row],[POMult]]</f>
        <v>73.45</v>
      </c>
      <c r="AA199" s="4">
        <f>(Games[[#This Row],[Keff]]*Games[[#This Row],[MOVMult]])*(Games[[#This Row],[Result]]-Games[[#This Row],[ExpectedWin%]])</f>
        <v>-14.773959518411779</v>
      </c>
      <c r="AB199" s="4">
        <f>Games[[#This Row],[PreGmRate]]+Games[[#This Row],[RatingChange]]</f>
        <v>1420.5966546062164</v>
      </c>
      <c r="AC199" s="2">
        <f>IF(Games[[#This Row],[Type]]="R",IF(Games[[#This Row],[Result]]&gt;0.5,1,0),0)</f>
        <v>0</v>
      </c>
      <c r="AD199" s="2">
        <f>IF(Games[[#This Row],[Type]]="R",IF(Games[[#This Row],[Result]]&lt;0.5,1,0),0)</f>
        <v>1</v>
      </c>
      <c r="AE199" s="2">
        <f>IF(AND(Games[[#This Row],[Type]]="P",Games[[#This Row],[Round]]=1),IF(Games[[#This Row],[Result]]&gt;0.5,1,0),0)</f>
        <v>0</v>
      </c>
      <c r="AF199" s="2">
        <f>IF(AND(Games[[#This Row],[Type]]="P",Games[[#This Row],[Round]]=1),IF(Games[[#This Row],[Result]]&lt;0.5,1,0),0)</f>
        <v>0</v>
      </c>
      <c r="AG199" s="2">
        <f>IF(AND(Games[[#This Row],[Type]]="P",Games[[#This Row],[Round]]=2),IF(Games[[#This Row],[Result]]&gt;0.5,1,0),0)</f>
        <v>0</v>
      </c>
      <c r="AH199" s="2">
        <f>IF(AND(Games[[#This Row],[Type]]="P",Games[[#This Row],[Round]]=2),IF(Games[[#This Row],[Result]]&lt;0.5,1,0),0)</f>
        <v>0</v>
      </c>
      <c r="AI199" s="2">
        <f>IF(AND(Games[[#This Row],[Type]]="P",Games[[#This Row],[Round]]=3),IF(Games[[#This Row],[Result]]&gt;0.5,1,0),0)</f>
        <v>0</v>
      </c>
      <c r="AJ199" s="2">
        <f>IF(AND(Games[[#This Row],[Type]]="P",Games[[#This Row],[Round]]=3),IF(Games[[#This Row],[Result]]&lt;0.5,1,0),0)</f>
        <v>0</v>
      </c>
      <c r="AK199" s="2">
        <f>IF(AND(Games[[#This Row],[Type]]="P",Games[[#This Row],[Round]]=4),IF(Games[[#This Row],[Result]]&gt;0.5,1,0),0)</f>
        <v>0</v>
      </c>
      <c r="AL199" s="2">
        <f>IF(AND(Games[[#This Row],[Type]]="P",Games[[#This Row],[Round]]=4),IF(Games[[#This Row],[Result]]&lt;0.5,1,0),0)</f>
        <v>0</v>
      </c>
    </row>
    <row r="200" spans="1:38" x14ac:dyDescent="0.35">
      <c r="A200" s="10">
        <v>40365</v>
      </c>
      <c r="B200" s="2">
        <v>2010</v>
      </c>
      <c r="C200" s="2">
        <f>COUNTIFS(Games[Team],Games[[#This Row],[Team]],Games[Season],Games[[#This Row],[Season]],Games[Date],"&lt;=" &amp; Games[[#This Row],[Date]])</f>
        <v>17</v>
      </c>
      <c r="D200" s="2" t="s">
        <v>23</v>
      </c>
      <c r="E200" s="2" t="s">
        <v>29</v>
      </c>
      <c r="F200" s="1" t="s">
        <v>80</v>
      </c>
      <c r="G200" s="1" t="s">
        <v>78</v>
      </c>
      <c r="H200" s="1" t="s">
        <v>16</v>
      </c>
      <c r="I200" s="2" cm="1">
        <f t="array" ref="I200">IFERROR(
    Games[[#This Row],[Date]]
    - LOOKUP(
        2,
        1/((Games[Team]=Games[[#This Row],[Team]]) * (Games[Date] &lt; Games[[#This Row],[Date]])),
        Games[Date]
    )
    - 1,
Games[[#This Row],[Date]]-$A$2)</f>
        <v>4</v>
      </c>
      <c r="J200" s="2" cm="1">
        <f t="array" ref="J200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00" s="2">
        <f>Games[[#This Row],[DaysOff]]-Games[[#This Row],[OppDaysOff]]</f>
        <v>0</v>
      </c>
      <c r="L200" s="2">
        <f>Games[[#This Row],[OppDaysOff]]-Games[[#This Row],[DaysOff]]</f>
        <v>0</v>
      </c>
      <c r="M200" s="1">
        <f>MAX(-16, MIN(16, Games[[#This Row],[RestDiff]]*8))</f>
        <v>0</v>
      </c>
      <c r="N200" s="1">
        <f>MAX(-16, MIN(16, Games[[#This Row],[OppRestDiff]]*8))</f>
        <v>0</v>
      </c>
      <c r="O200" s="4" cm="1">
        <f t="array" ref="O2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1526.5849480181182</v>
      </c>
      <c r="P200" s="4" cm="1">
        <f t="array" ref="P2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1448.3448290443794</v>
      </c>
      <c r="Q200" s="4">
        <f>1/(1+10^(((Games[[#This Row],[OppPreGmRate]]+IF(Games[[#This Row],[HomeAway]]="A",HCA,0)+Games[[#This Row],[OppRestAdj]])-(Games[[#This Row],[PreGmRate]]+IF(Games[[#This Row],[HomeAway]]="H",HCA,0)+Games[[#This Row],[RestAdj]]))/400))</f>
        <v>0.49171162419137693</v>
      </c>
      <c r="R200" s="1">
        <v>66</v>
      </c>
      <c r="S200" s="1">
        <v>79</v>
      </c>
      <c r="T200" s="1">
        <v>0</v>
      </c>
      <c r="U200" s="1">
        <f>Games[[#This Row],[PointsFor]]-Games[[#This Row],[PointsAgainst]]</f>
        <v>-13</v>
      </c>
      <c r="V200" s="1">
        <f>IF(Games[[#This Row],[MOV]]&gt;0,1,IF(Games[[#This Row],[MOV]]=0,0.5,0))</f>
        <v>0</v>
      </c>
      <c r="W200" s="4">
        <f>((ABS(Games[[#This Row],[MOV]])+5)^0.6)/(12+0.01*(ABS(Games[[#This Row],[PreGmRate]]-Games[[#This Row],[OppPreGmRate]])))*IF(Games[[#This Row],[OT]]=1,0.9,1)</f>
        <v>0.44315031140763211</v>
      </c>
      <c r="X200" s="7" cm="1">
        <f t="array" ref="X20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0" s="9">
        <f>MAX(kmin, kmax - 0.15 * MIN(Games[[#This Row],[GamesPlayed]], 82))</f>
        <v>73.45</v>
      </c>
      <c r="Z200" s="4">
        <f>Games[[#This Row],[K]]*Games[[#This Row],[POMult]]</f>
        <v>73.45</v>
      </c>
      <c r="AA200" s="4">
        <f>(Games[[#This Row],[Keff]]*Games[[#This Row],[MOVMult]])*(Games[[#This Row],[Result]]-Games[[#This Row],[ExpectedWin%]])</f>
        <v>-16.004913606693194</v>
      </c>
      <c r="AB200" s="4">
        <f>Games[[#This Row],[PreGmRate]]+Games[[#This Row],[RatingChange]]</f>
        <v>1510.580034411425</v>
      </c>
      <c r="AC200" s="2">
        <f>IF(Games[[#This Row],[Type]]="R",IF(Games[[#This Row],[Result]]&gt;0.5,1,0),0)</f>
        <v>0</v>
      </c>
      <c r="AD200" s="2">
        <f>IF(Games[[#This Row],[Type]]="R",IF(Games[[#This Row],[Result]]&lt;0.5,1,0),0)</f>
        <v>1</v>
      </c>
      <c r="AE200" s="2">
        <f>IF(AND(Games[[#This Row],[Type]]="P",Games[[#This Row],[Round]]=1),IF(Games[[#This Row],[Result]]&gt;0.5,1,0),0)</f>
        <v>0</v>
      </c>
      <c r="AF200" s="2">
        <f>IF(AND(Games[[#This Row],[Type]]="P",Games[[#This Row],[Round]]=1),IF(Games[[#This Row],[Result]]&lt;0.5,1,0),0)</f>
        <v>0</v>
      </c>
      <c r="AG200" s="2">
        <f>IF(AND(Games[[#This Row],[Type]]="P",Games[[#This Row],[Round]]=2),IF(Games[[#This Row],[Result]]&gt;0.5,1,0),0)</f>
        <v>0</v>
      </c>
      <c r="AH200" s="2">
        <f>IF(AND(Games[[#This Row],[Type]]="P",Games[[#This Row],[Round]]=2),IF(Games[[#This Row],[Result]]&lt;0.5,1,0),0)</f>
        <v>0</v>
      </c>
      <c r="AI200" s="2">
        <f>IF(AND(Games[[#This Row],[Type]]="P",Games[[#This Row],[Round]]=3),IF(Games[[#This Row],[Result]]&gt;0.5,1,0),0)</f>
        <v>0</v>
      </c>
      <c r="AJ200" s="2">
        <f>IF(AND(Games[[#This Row],[Type]]="P",Games[[#This Row],[Round]]=3),IF(Games[[#This Row],[Result]]&lt;0.5,1,0),0)</f>
        <v>0</v>
      </c>
      <c r="AK200" s="2">
        <f>IF(AND(Games[[#This Row],[Type]]="P",Games[[#This Row],[Round]]=4),IF(Games[[#This Row],[Result]]&gt;0.5,1,0),0)</f>
        <v>0</v>
      </c>
      <c r="AL200" s="2">
        <f>IF(AND(Games[[#This Row],[Type]]="P",Games[[#This Row],[Round]]=4),IF(Games[[#This Row],[Result]]&lt;0.5,1,0),0)</f>
        <v>0</v>
      </c>
    </row>
    <row r="201" spans="1:38" x14ac:dyDescent="0.35">
      <c r="A201" s="10">
        <v>40365</v>
      </c>
      <c r="B201" s="2">
        <v>2010</v>
      </c>
      <c r="C201" s="2">
        <f>COUNTIFS(Games[Team],Games[[#This Row],[Team]],Games[Season],Games[[#This Row],[Season]],Games[Date],"&lt;=" &amp; Games[[#This Row],[Date]])</f>
        <v>15</v>
      </c>
      <c r="D201" s="2" t="s">
        <v>23</v>
      </c>
      <c r="E201" s="2" t="s">
        <v>29</v>
      </c>
      <c r="F201" s="1" t="s">
        <v>78</v>
      </c>
      <c r="G201" s="1" t="s">
        <v>80</v>
      </c>
      <c r="H201" s="1" t="s">
        <v>15</v>
      </c>
      <c r="I201" s="2" cm="1">
        <f t="array" ref="I201">IFERROR(
    Games[[#This Row],[Date]]
    - LOOKUP(
        2,
        1/((Games[Team]=Games[[#This Row],[Team]]) * (Games[Date] &lt; Games[[#This Row],[Date]])),
        Games[Date]
    )
    - 1,
Games[[#This Row],[Date]]-$A$2)</f>
        <v>4</v>
      </c>
      <c r="J201" s="2" cm="1">
        <f t="array" ref="J201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01" s="2">
        <f>Games[[#This Row],[DaysOff]]-Games[[#This Row],[OppDaysOff]]</f>
        <v>0</v>
      </c>
      <c r="L201" s="2">
        <f>Games[[#This Row],[OppDaysOff]]-Games[[#This Row],[DaysOff]]</f>
        <v>0</v>
      </c>
      <c r="M201" s="1">
        <f>MAX(-16, MIN(16, Games[[#This Row],[RestDiff]]*8))</f>
        <v>0</v>
      </c>
      <c r="N201" s="1">
        <f>MAX(-16, MIN(16, Games[[#This Row],[OppRestDiff]]*8))</f>
        <v>0</v>
      </c>
      <c r="O201" s="4" cm="1">
        <f t="array" ref="O2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1448.3448290443794</v>
      </c>
      <c r="P201" s="4" cm="1">
        <f t="array" ref="P2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1526.5849480181182</v>
      </c>
      <c r="Q201" s="4">
        <f>1/(1+10^(((Games[[#This Row],[OppPreGmRate]]+IF(Games[[#This Row],[HomeAway]]="A",HCA,0)+Games[[#This Row],[OppRestAdj]])-(Games[[#This Row],[PreGmRate]]+IF(Games[[#This Row],[HomeAway]]="H",HCA,0)+Games[[#This Row],[RestAdj]]))/400))</f>
        <v>0.50828837580862296</v>
      </c>
      <c r="R201" s="1">
        <v>79</v>
      </c>
      <c r="S201" s="1">
        <v>66</v>
      </c>
      <c r="T201" s="1">
        <v>0</v>
      </c>
      <c r="U201" s="1">
        <f>Games[[#This Row],[PointsFor]]-Games[[#This Row],[PointsAgainst]]</f>
        <v>13</v>
      </c>
      <c r="V201" s="1">
        <f>IF(Games[[#This Row],[MOV]]&gt;0,1,IF(Games[[#This Row],[MOV]]=0,0.5,0))</f>
        <v>1</v>
      </c>
      <c r="W201" s="4">
        <f>((ABS(Games[[#This Row],[MOV]])+5)^0.6)/(12+0.01*(ABS(Games[[#This Row],[PreGmRate]]-Games[[#This Row],[OppPreGmRate]])))*IF(Games[[#This Row],[OT]]=1,0.9,1)</f>
        <v>0.44315031140763211</v>
      </c>
      <c r="X201" s="7" cm="1">
        <f t="array" ref="X20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1" s="9">
        <f>MAX(kmin, kmax - 0.15 * MIN(Games[[#This Row],[GamesPlayed]], 82))</f>
        <v>73.75</v>
      </c>
      <c r="Z201" s="4">
        <f>Games[[#This Row],[K]]*Games[[#This Row],[POMult]]</f>
        <v>73.75</v>
      </c>
      <c r="AA201" s="4">
        <f>(Games[[#This Row],[Keff]]*Games[[#This Row],[MOVMult]])*(Games[[#This Row],[Result]]-Games[[#This Row],[ExpectedWin%]])</f>
        <v>16.070284254508149</v>
      </c>
      <c r="AB201" s="4">
        <f>Games[[#This Row],[PreGmRate]]+Games[[#This Row],[RatingChange]]</f>
        <v>1464.4151132988875</v>
      </c>
      <c r="AC201" s="2">
        <f>IF(Games[[#This Row],[Type]]="R",IF(Games[[#This Row],[Result]]&gt;0.5,1,0),0)</f>
        <v>1</v>
      </c>
      <c r="AD201" s="2">
        <f>IF(Games[[#This Row],[Type]]="R",IF(Games[[#This Row],[Result]]&lt;0.5,1,0),0)</f>
        <v>0</v>
      </c>
      <c r="AE201" s="2">
        <f>IF(AND(Games[[#This Row],[Type]]="P",Games[[#This Row],[Round]]=1),IF(Games[[#This Row],[Result]]&gt;0.5,1,0),0)</f>
        <v>0</v>
      </c>
      <c r="AF201" s="2">
        <f>IF(AND(Games[[#This Row],[Type]]="P",Games[[#This Row],[Round]]=1),IF(Games[[#This Row],[Result]]&lt;0.5,1,0),0)</f>
        <v>0</v>
      </c>
      <c r="AG201" s="2">
        <f>IF(AND(Games[[#This Row],[Type]]="P",Games[[#This Row],[Round]]=2),IF(Games[[#This Row],[Result]]&gt;0.5,1,0),0)</f>
        <v>0</v>
      </c>
      <c r="AH201" s="2">
        <f>IF(AND(Games[[#This Row],[Type]]="P",Games[[#This Row],[Round]]=2),IF(Games[[#This Row],[Result]]&lt;0.5,1,0),0)</f>
        <v>0</v>
      </c>
      <c r="AI201" s="2">
        <f>IF(AND(Games[[#This Row],[Type]]="P",Games[[#This Row],[Round]]=3),IF(Games[[#This Row],[Result]]&gt;0.5,1,0),0)</f>
        <v>0</v>
      </c>
      <c r="AJ201" s="2">
        <f>IF(AND(Games[[#This Row],[Type]]="P",Games[[#This Row],[Round]]=3),IF(Games[[#This Row],[Result]]&lt;0.5,1,0),0)</f>
        <v>0</v>
      </c>
      <c r="AK201" s="2">
        <f>IF(AND(Games[[#This Row],[Type]]="P",Games[[#This Row],[Round]]=4),IF(Games[[#This Row],[Result]]&gt;0.5,1,0),0)</f>
        <v>0</v>
      </c>
      <c r="AL201" s="2">
        <f>IF(AND(Games[[#This Row],[Type]]="P",Games[[#This Row],[Round]]=4),IF(Games[[#This Row],[Result]]&lt;0.5,1,0),0)</f>
        <v>0</v>
      </c>
    </row>
    <row r="202" spans="1:38" x14ac:dyDescent="0.35">
      <c r="A202" s="10">
        <v>40365</v>
      </c>
      <c r="B202" s="2">
        <v>2010</v>
      </c>
      <c r="C202" s="2">
        <f>COUNTIFS(Games[Team],Games[[#This Row],[Team]],Games[Season],Games[[#This Row],[Season]],Games[Date],"&lt;=" &amp; Games[[#This Row],[Date]])</f>
        <v>16</v>
      </c>
      <c r="D202" s="2" t="s">
        <v>23</v>
      </c>
      <c r="E202" s="2" t="s">
        <v>29</v>
      </c>
      <c r="F202" s="1" t="s">
        <v>64</v>
      </c>
      <c r="G202" s="1" t="s">
        <v>75</v>
      </c>
      <c r="H202" s="1" t="s">
        <v>16</v>
      </c>
      <c r="I202" s="2" cm="1">
        <f t="array" ref="I202">IFERROR(
    Games[[#This Row],[Date]]
    - LOOKUP(
        2,
        1/((Games[Team]=Games[[#This Row],[Team]]) * (Games[Date] &lt; Games[[#This Row],[Date]])),
        Games[Date]
    )
    - 1,
Games[[#This Row],[Date]]-$A$2)</f>
        <v>2</v>
      </c>
      <c r="J202" s="2" cm="1">
        <f t="array" ref="J20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02" s="2">
        <f>Games[[#This Row],[DaysOff]]-Games[[#This Row],[OppDaysOff]]</f>
        <v>0</v>
      </c>
      <c r="L202" s="2">
        <f>Games[[#This Row],[OppDaysOff]]-Games[[#This Row],[DaysOff]]</f>
        <v>0</v>
      </c>
      <c r="M202" s="1">
        <f>MAX(-16, MIN(16, Games[[#This Row],[RestDiff]]*8))</f>
        <v>0</v>
      </c>
      <c r="N202" s="1">
        <f>MAX(-16, MIN(16, Games[[#This Row],[OppRestDiff]]*8))</f>
        <v>0</v>
      </c>
      <c r="O202" s="4" cm="1">
        <f t="array" ref="O2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1485.6079209689287</v>
      </c>
      <c r="P202" s="4" cm="1">
        <f t="array" ref="P2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1657.2544799671898</v>
      </c>
      <c r="Q202" s="4">
        <f>1/(1+10^(((Games[[#This Row],[OppPreGmRate]]+IF(Games[[#This Row],[HomeAway]]="A",HCA,0)+Games[[#This Row],[OppRestAdj]])-(Games[[#This Row],[PreGmRate]]+IF(Games[[#This Row],[HomeAway]]="H",HCA,0)+Games[[#This Row],[RestAdj]]))/400))</f>
        <v>0.18669652358657585</v>
      </c>
      <c r="R202" s="1">
        <v>70</v>
      </c>
      <c r="S202" s="1">
        <v>78</v>
      </c>
      <c r="T202" s="1">
        <v>0</v>
      </c>
      <c r="U202" s="1">
        <f>Games[[#This Row],[PointsFor]]-Games[[#This Row],[PointsAgainst]]</f>
        <v>-8</v>
      </c>
      <c r="V202" s="1">
        <f>IF(Games[[#This Row],[MOV]]&gt;0,1,IF(Games[[#This Row],[MOV]]=0,0.5,0))</f>
        <v>0</v>
      </c>
      <c r="W202" s="4">
        <f>((ABS(Games[[#This Row],[MOV]])+5)^0.6)/(12+0.01*(ABS(Games[[#This Row],[PreGmRate]]-Games[[#This Row],[OppPreGmRate]])))*IF(Games[[#This Row],[OT]]=1,0.9,1)</f>
        <v>0.33972209454884605</v>
      </c>
      <c r="X202" s="7" cm="1">
        <f t="array" ref="X20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2" s="9">
        <f>MAX(kmin, kmax - 0.15 * MIN(Games[[#This Row],[GamesPlayed]], 82))</f>
        <v>73.599999999999994</v>
      </c>
      <c r="Z202" s="4">
        <f>Games[[#This Row],[K]]*Games[[#This Row],[POMult]]</f>
        <v>73.599999999999994</v>
      </c>
      <c r="AA202" s="4">
        <f>(Games[[#This Row],[Keff]]*Games[[#This Row],[MOVMult]])*(Games[[#This Row],[Result]]-Games[[#This Row],[ExpectedWin%]])</f>
        <v>-4.6680751451835212</v>
      </c>
      <c r="AB202" s="4">
        <f>Games[[#This Row],[PreGmRate]]+Games[[#This Row],[RatingChange]]</f>
        <v>1480.9398458237451</v>
      </c>
      <c r="AC202" s="2">
        <f>IF(Games[[#This Row],[Type]]="R",IF(Games[[#This Row],[Result]]&gt;0.5,1,0),0)</f>
        <v>0</v>
      </c>
      <c r="AD202" s="2">
        <f>IF(Games[[#This Row],[Type]]="R",IF(Games[[#This Row],[Result]]&lt;0.5,1,0),0)</f>
        <v>1</v>
      </c>
      <c r="AE202" s="2">
        <f>IF(AND(Games[[#This Row],[Type]]="P",Games[[#This Row],[Round]]=1),IF(Games[[#This Row],[Result]]&gt;0.5,1,0),0)</f>
        <v>0</v>
      </c>
      <c r="AF202" s="2">
        <f>IF(AND(Games[[#This Row],[Type]]="P",Games[[#This Row],[Round]]=1),IF(Games[[#This Row],[Result]]&lt;0.5,1,0),0)</f>
        <v>0</v>
      </c>
      <c r="AG202" s="2">
        <f>IF(AND(Games[[#This Row],[Type]]="P",Games[[#This Row],[Round]]=2),IF(Games[[#This Row],[Result]]&gt;0.5,1,0),0)</f>
        <v>0</v>
      </c>
      <c r="AH202" s="2">
        <f>IF(AND(Games[[#This Row],[Type]]="P",Games[[#This Row],[Round]]=2),IF(Games[[#This Row],[Result]]&lt;0.5,1,0),0)</f>
        <v>0</v>
      </c>
      <c r="AI202" s="2">
        <f>IF(AND(Games[[#This Row],[Type]]="P",Games[[#This Row],[Round]]=3),IF(Games[[#This Row],[Result]]&gt;0.5,1,0),0)</f>
        <v>0</v>
      </c>
      <c r="AJ202" s="2">
        <f>IF(AND(Games[[#This Row],[Type]]="P",Games[[#This Row],[Round]]=3),IF(Games[[#This Row],[Result]]&lt;0.5,1,0),0)</f>
        <v>0</v>
      </c>
      <c r="AK202" s="2">
        <f>IF(AND(Games[[#This Row],[Type]]="P",Games[[#This Row],[Round]]=4),IF(Games[[#This Row],[Result]]&gt;0.5,1,0),0)</f>
        <v>0</v>
      </c>
      <c r="AL202" s="2">
        <f>IF(AND(Games[[#This Row],[Type]]="P",Games[[#This Row],[Round]]=4),IF(Games[[#This Row],[Result]]&lt;0.5,1,0),0)</f>
        <v>0</v>
      </c>
    </row>
    <row r="203" spans="1:38" x14ac:dyDescent="0.35">
      <c r="A203" s="10">
        <v>40365</v>
      </c>
      <c r="B203" s="2">
        <v>2010</v>
      </c>
      <c r="C203" s="2">
        <f>COUNTIFS(Games[Team],Games[[#This Row],[Team]],Games[Season],Games[[#This Row],[Season]],Games[Date],"&lt;=" &amp; Games[[#This Row],[Date]])</f>
        <v>18</v>
      </c>
      <c r="D203" s="2" t="s">
        <v>23</v>
      </c>
      <c r="E203" s="2" t="s">
        <v>29</v>
      </c>
      <c r="F203" s="1" t="s">
        <v>75</v>
      </c>
      <c r="G203" s="1" t="s">
        <v>64</v>
      </c>
      <c r="H203" s="1" t="s">
        <v>15</v>
      </c>
      <c r="I203" s="2" cm="1">
        <f t="array" ref="I203">IFERROR(
    Games[[#This Row],[Date]]
    - LOOKUP(
        2,
        1/((Games[Team]=Games[[#This Row],[Team]]) * (Games[Date] &lt; Games[[#This Row],[Date]])),
        Games[Date]
    )
    - 1,
Games[[#This Row],[Date]]-$A$2)</f>
        <v>2</v>
      </c>
      <c r="J203" s="2" cm="1">
        <f t="array" ref="J20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03" s="2">
        <f>Games[[#This Row],[DaysOff]]-Games[[#This Row],[OppDaysOff]]</f>
        <v>0</v>
      </c>
      <c r="L203" s="2">
        <f>Games[[#This Row],[OppDaysOff]]-Games[[#This Row],[DaysOff]]</f>
        <v>0</v>
      </c>
      <c r="M203" s="1">
        <f>MAX(-16, MIN(16, Games[[#This Row],[RestDiff]]*8))</f>
        <v>0</v>
      </c>
      <c r="N203" s="1">
        <f>MAX(-16, MIN(16, Games[[#This Row],[OppRestDiff]]*8))</f>
        <v>0</v>
      </c>
      <c r="O203" s="4" cm="1">
        <f t="array" ref="O2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1657.2544799671898</v>
      </c>
      <c r="P203" s="4" cm="1">
        <f t="array" ref="P2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1485.6079209689287</v>
      </c>
      <c r="Q203" s="4">
        <f>1/(1+10^(((Games[[#This Row],[OppPreGmRate]]+IF(Games[[#This Row],[HomeAway]]="A",HCA,0)+Games[[#This Row],[OppRestAdj]])-(Games[[#This Row],[PreGmRate]]+IF(Games[[#This Row],[HomeAway]]="H",HCA,0)+Games[[#This Row],[RestAdj]]))/400))</f>
        <v>0.81330347641342415</v>
      </c>
      <c r="R203" s="1">
        <v>78</v>
      </c>
      <c r="S203" s="1">
        <v>70</v>
      </c>
      <c r="T203" s="1">
        <v>0</v>
      </c>
      <c r="U203" s="1">
        <f>Games[[#This Row],[PointsFor]]-Games[[#This Row],[PointsAgainst]]</f>
        <v>8</v>
      </c>
      <c r="V203" s="1">
        <f>IF(Games[[#This Row],[MOV]]&gt;0,1,IF(Games[[#This Row],[MOV]]=0,0.5,0))</f>
        <v>1</v>
      </c>
      <c r="W203" s="4">
        <f>((ABS(Games[[#This Row],[MOV]])+5)^0.6)/(12+0.01*(ABS(Games[[#This Row],[PreGmRate]]-Games[[#This Row],[OppPreGmRate]])))*IF(Games[[#This Row],[OT]]=1,0.9,1)</f>
        <v>0.33972209454884605</v>
      </c>
      <c r="X203" s="7" cm="1">
        <f t="array" ref="X20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3" s="9">
        <f>MAX(kmin, kmax - 0.15 * MIN(Games[[#This Row],[GamesPlayed]], 82))</f>
        <v>73.3</v>
      </c>
      <c r="Z203" s="4">
        <f>Games[[#This Row],[K]]*Games[[#This Row],[POMult]]</f>
        <v>73.3</v>
      </c>
      <c r="AA203" s="4">
        <f>(Games[[#This Row],[Keff]]*Games[[#This Row],[MOVMult]])*(Games[[#This Row],[Result]]-Games[[#This Row],[ExpectedWin%]])</f>
        <v>4.6490476649721755</v>
      </c>
      <c r="AB203" s="4">
        <f>Games[[#This Row],[PreGmRate]]+Games[[#This Row],[RatingChange]]</f>
        <v>1661.903527632162</v>
      </c>
      <c r="AC203" s="2">
        <f>IF(Games[[#This Row],[Type]]="R",IF(Games[[#This Row],[Result]]&gt;0.5,1,0),0)</f>
        <v>1</v>
      </c>
      <c r="AD203" s="2">
        <f>IF(Games[[#This Row],[Type]]="R",IF(Games[[#This Row],[Result]]&lt;0.5,1,0),0)</f>
        <v>0</v>
      </c>
      <c r="AE203" s="2">
        <f>IF(AND(Games[[#This Row],[Type]]="P",Games[[#This Row],[Round]]=1),IF(Games[[#This Row],[Result]]&gt;0.5,1,0),0)</f>
        <v>0</v>
      </c>
      <c r="AF203" s="2">
        <f>IF(AND(Games[[#This Row],[Type]]="P",Games[[#This Row],[Round]]=1),IF(Games[[#This Row],[Result]]&lt;0.5,1,0),0)</f>
        <v>0</v>
      </c>
      <c r="AG203" s="2">
        <f>IF(AND(Games[[#This Row],[Type]]="P",Games[[#This Row],[Round]]=2),IF(Games[[#This Row],[Result]]&gt;0.5,1,0),0)</f>
        <v>0</v>
      </c>
      <c r="AH203" s="2">
        <f>IF(AND(Games[[#This Row],[Type]]="P",Games[[#This Row],[Round]]=2),IF(Games[[#This Row],[Result]]&lt;0.5,1,0),0)</f>
        <v>0</v>
      </c>
      <c r="AI203" s="2">
        <f>IF(AND(Games[[#This Row],[Type]]="P",Games[[#This Row],[Round]]=3),IF(Games[[#This Row],[Result]]&gt;0.5,1,0),0)</f>
        <v>0</v>
      </c>
      <c r="AJ203" s="2">
        <f>IF(AND(Games[[#This Row],[Type]]="P",Games[[#This Row],[Round]]=3),IF(Games[[#This Row],[Result]]&lt;0.5,1,0),0)</f>
        <v>0</v>
      </c>
      <c r="AK203" s="2">
        <f>IF(AND(Games[[#This Row],[Type]]="P",Games[[#This Row],[Round]]=4),IF(Games[[#This Row],[Result]]&gt;0.5,1,0),0)</f>
        <v>0</v>
      </c>
      <c r="AL203" s="2">
        <f>IF(AND(Games[[#This Row],[Type]]="P",Games[[#This Row],[Round]]=4),IF(Games[[#This Row],[Result]]&lt;0.5,1,0),0)</f>
        <v>0</v>
      </c>
    </row>
    <row r="204" spans="1:38" x14ac:dyDescent="0.35">
      <c r="A204" s="10">
        <v>40366</v>
      </c>
      <c r="B204" s="2">
        <v>2010</v>
      </c>
      <c r="C204" s="2">
        <f>COUNTIFS(Games[Team],Games[[#This Row],[Team]],Games[Season],Games[[#This Row],[Season]],Games[Date],"&lt;=" &amp; Games[[#This Row],[Date]])</f>
        <v>18</v>
      </c>
      <c r="D204" s="2" t="s">
        <v>23</v>
      </c>
      <c r="E204" s="2" t="s">
        <v>29</v>
      </c>
      <c r="F204" s="1" t="s">
        <v>80</v>
      </c>
      <c r="G204" s="1" t="s">
        <v>83</v>
      </c>
      <c r="H204" s="1" t="s">
        <v>16</v>
      </c>
      <c r="I204" s="2" cm="1">
        <f t="array" ref="I204">IFERROR(
    Games[[#This Row],[Date]]
    - LOOKUP(
        2,
        1/((Games[Team]=Games[[#This Row],[Team]]) * (Games[Date] &lt; Games[[#This Row],[Date]])),
        Games[Date]
    )
    - 1,
Games[[#This Row],[Date]]-$A$2)</f>
        <v>0</v>
      </c>
      <c r="J204" s="2" cm="1">
        <f t="array" ref="J20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04" s="2">
        <f>Games[[#This Row],[DaysOff]]-Games[[#This Row],[OppDaysOff]]</f>
        <v>-3</v>
      </c>
      <c r="L204" s="2">
        <f>Games[[#This Row],[OppDaysOff]]-Games[[#This Row],[DaysOff]]</f>
        <v>3</v>
      </c>
      <c r="M204" s="1">
        <f>MAX(-16, MIN(16, Games[[#This Row],[RestDiff]]*8))</f>
        <v>-16</v>
      </c>
      <c r="N204" s="1">
        <f>MAX(-16, MIN(16, Games[[#This Row],[OppRestDiff]]*8))</f>
        <v>16</v>
      </c>
      <c r="O204" s="4" cm="1">
        <f t="array" ref="O2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1510.580034411425</v>
      </c>
      <c r="P204" s="4" cm="1">
        <f t="array" ref="P2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1564.6326310894499</v>
      </c>
      <c r="Q204" s="4">
        <f>1/(1+10^(((Games[[#This Row],[OppPreGmRate]]+IF(Games[[#This Row],[HomeAway]]="A",HCA,0)+Games[[#This Row],[OppRestAdj]])-(Games[[#This Row],[PreGmRate]]+IF(Games[[#This Row],[HomeAway]]="H",HCA,0)+Games[[#This Row],[RestAdj]]))/400))</f>
        <v>0.27310981727598937</v>
      </c>
      <c r="R204" s="1">
        <v>103</v>
      </c>
      <c r="S204" s="1">
        <v>108</v>
      </c>
      <c r="T204" s="1">
        <v>1</v>
      </c>
      <c r="U204" s="1">
        <f>Games[[#This Row],[PointsFor]]-Games[[#This Row],[PointsAgainst]]</f>
        <v>-5</v>
      </c>
      <c r="V204" s="1">
        <f>IF(Games[[#This Row],[MOV]]&gt;0,1,IF(Games[[#This Row],[MOV]]=0,0.5,0))</f>
        <v>0</v>
      </c>
      <c r="W204" s="4">
        <f>((ABS(Games[[#This Row],[MOV]])+5)^0.6)/(12+0.01*(ABS(Games[[#This Row],[PreGmRate]]-Games[[#This Row],[OppPreGmRate]])))*IF(Games[[#This Row],[OT]]=1,0.9,1)</f>
        <v>0.28571086607313917</v>
      </c>
      <c r="X204" s="7" cm="1">
        <f t="array" ref="X20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4" s="9">
        <f>MAX(kmin, kmax - 0.15 * MIN(Games[[#This Row],[GamesPlayed]], 82))</f>
        <v>73.3</v>
      </c>
      <c r="Z204" s="4">
        <f>Games[[#This Row],[K]]*Games[[#This Row],[POMult]]</f>
        <v>73.3</v>
      </c>
      <c r="AA204" s="4">
        <f>(Games[[#This Row],[Keff]]*Games[[#This Row],[MOVMult]])*(Games[[#This Row],[Result]]-Games[[#This Row],[ExpectedWin%]])</f>
        <v>-5.7196314298990787</v>
      </c>
      <c r="AB204" s="4">
        <f>Games[[#This Row],[PreGmRate]]+Games[[#This Row],[RatingChange]]</f>
        <v>1504.860402981526</v>
      </c>
      <c r="AC204" s="2">
        <f>IF(Games[[#This Row],[Type]]="R",IF(Games[[#This Row],[Result]]&gt;0.5,1,0),0)</f>
        <v>0</v>
      </c>
      <c r="AD204" s="2">
        <f>IF(Games[[#This Row],[Type]]="R",IF(Games[[#This Row],[Result]]&lt;0.5,1,0),0)</f>
        <v>1</v>
      </c>
      <c r="AE204" s="2">
        <f>IF(AND(Games[[#This Row],[Type]]="P",Games[[#This Row],[Round]]=1),IF(Games[[#This Row],[Result]]&gt;0.5,1,0),0)</f>
        <v>0</v>
      </c>
      <c r="AF204" s="2">
        <f>IF(AND(Games[[#This Row],[Type]]="P",Games[[#This Row],[Round]]=1),IF(Games[[#This Row],[Result]]&lt;0.5,1,0),0)</f>
        <v>0</v>
      </c>
      <c r="AG204" s="2">
        <f>IF(AND(Games[[#This Row],[Type]]="P",Games[[#This Row],[Round]]=2),IF(Games[[#This Row],[Result]]&gt;0.5,1,0),0)</f>
        <v>0</v>
      </c>
      <c r="AH204" s="2">
        <f>IF(AND(Games[[#This Row],[Type]]="P",Games[[#This Row],[Round]]=2),IF(Games[[#This Row],[Result]]&lt;0.5,1,0),0)</f>
        <v>0</v>
      </c>
      <c r="AI204" s="2">
        <f>IF(AND(Games[[#This Row],[Type]]="P",Games[[#This Row],[Round]]=3),IF(Games[[#This Row],[Result]]&gt;0.5,1,0),0)</f>
        <v>0</v>
      </c>
      <c r="AJ204" s="2">
        <f>IF(AND(Games[[#This Row],[Type]]="P",Games[[#This Row],[Round]]=3),IF(Games[[#This Row],[Result]]&lt;0.5,1,0),0)</f>
        <v>0</v>
      </c>
      <c r="AK204" s="2">
        <f>IF(AND(Games[[#This Row],[Type]]="P",Games[[#This Row],[Round]]=4),IF(Games[[#This Row],[Result]]&gt;0.5,1,0),0)</f>
        <v>0</v>
      </c>
      <c r="AL204" s="2">
        <f>IF(AND(Games[[#This Row],[Type]]="P",Games[[#This Row],[Round]]=4),IF(Games[[#This Row],[Result]]&lt;0.5,1,0),0)</f>
        <v>0</v>
      </c>
    </row>
    <row r="205" spans="1:38" x14ac:dyDescent="0.35">
      <c r="A205" s="10">
        <v>40366</v>
      </c>
      <c r="B205" s="2">
        <v>2010</v>
      </c>
      <c r="C205" s="2">
        <f>COUNTIFS(Games[Team],Games[[#This Row],[Team]],Games[Season],Games[[#This Row],[Season]],Games[Date],"&lt;=" &amp; Games[[#This Row],[Date]])</f>
        <v>19</v>
      </c>
      <c r="D205" s="2" t="s">
        <v>23</v>
      </c>
      <c r="E205" s="2" t="s">
        <v>29</v>
      </c>
      <c r="F205" s="1" t="s">
        <v>83</v>
      </c>
      <c r="G205" s="1" t="s">
        <v>80</v>
      </c>
      <c r="H205" s="1" t="s">
        <v>15</v>
      </c>
      <c r="I205" s="2" cm="1">
        <f t="array" ref="I205">IFERROR(
    Games[[#This Row],[Date]]
    - LOOKUP(
        2,
        1/((Games[Team]=Games[[#This Row],[Team]]) * (Games[Date] &lt; Games[[#This Row],[Date]])),
        Games[Date]
    )
    - 1,
Games[[#This Row],[Date]]-$A$2)</f>
        <v>3</v>
      </c>
      <c r="J205" s="2" cm="1">
        <f t="array" ref="J20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05" s="2">
        <f>Games[[#This Row],[DaysOff]]-Games[[#This Row],[OppDaysOff]]</f>
        <v>3</v>
      </c>
      <c r="L205" s="2">
        <f>Games[[#This Row],[OppDaysOff]]-Games[[#This Row],[DaysOff]]</f>
        <v>-3</v>
      </c>
      <c r="M205" s="1">
        <f>MAX(-16, MIN(16, Games[[#This Row],[RestDiff]]*8))</f>
        <v>16</v>
      </c>
      <c r="N205" s="1">
        <f>MAX(-16, MIN(16, Games[[#This Row],[OppRestDiff]]*8))</f>
        <v>-16</v>
      </c>
      <c r="O205" s="4" cm="1">
        <f t="array" ref="O2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1564.6326310894499</v>
      </c>
      <c r="P205" s="4" cm="1">
        <f t="array" ref="P2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1510.580034411425</v>
      </c>
      <c r="Q205" s="4">
        <f>1/(1+10^(((Games[[#This Row],[OppPreGmRate]]+IF(Games[[#This Row],[HomeAway]]="A",HCA,0)+Games[[#This Row],[OppRestAdj]])-(Games[[#This Row],[PreGmRate]]+IF(Games[[#This Row],[HomeAway]]="H",HCA,0)+Games[[#This Row],[RestAdj]]))/400))</f>
        <v>0.72689018272401063</v>
      </c>
      <c r="R205" s="1">
        <v>108</v>
      </c>
      <c r="S205" s="1">
        <v>103</v>
      </c>
      <c r="T205" s="1">
        <v>1</v>
      </c>
      <c r="U205" s="1">
        <f>Games[[#This Row],[PointsFor]]-Games[[#This Row],[PointsAgainst]]</f>
        <v>5</v>
      </c>
      <c r="V205" s="1">
        <f>IF(Games[[#This Row],[MOV]]&gt;0,1,IF(Games[[#This Row],[MOV]]=0,0.5,0))</f>
        <v>1</v>
      </c>
      <c r="W205" s="4">
        <f>((ABS(Games[[#This Row],[MOV]])+5)^0.6)/(12+0.01*(ABS(Games[[#This Row],[PreGmRate]]-Games[[#This Row],[OppPreGmRate]])))*IF(Games[[#This Row],[OT]]=1,0.9,1)</f>
        <v>0.28571086607313917</v>
      </c>
      <c r="X205" s="7" cm="1">
        <f t="array" ref="X20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5" s="9">
        <f>MAX(kmin, kmax - 0.15 * MIN(Games[[#This Row],[GamesPlayed]], 82))</f>
        <v>73.150000000000006</v>
      </c>
      <c r="Z205" s="4">
        <f>Games[[#This Row],[K]]*Games[[#This Row],[POMult]]</f>
        <v>73.150000000000006</v>
      </c>
      <c r="AA205" s="4">
        <f>(Games[[#This Row],[Keff]]*Games[[#This Row],[MOVMult]])*(Games[[#This Row],[Result]]-Games[[#This Row],[ExpectedWin%]])</f>
        <v>5.7079268635350289</v>
      </c>
      <c r="AB205" s="4">
        <f>Games[[#This Row],[PreGmRate]]+Games[[#This Row],[RatingChange]]</f>
        <v>1570.3405579529849</v>
      </c>
      <c r="AC205" s="2">
        <f>IF(Games[[#This Row],[Type]]="R",IF(Games[[#This Row],[Result]]&gt;0.5,1,0),0)</f>
        <v>1</v>
      </c>
      <c r="AD205" s="2">
        <f>IF(Games[[#This Row],[Type]]="R",IF(Games[[#This Row],[Result]]&lt;0.5,1,0),0)</f>
        <v>0</v>
      </c>
      <c r="AE205" s="2">
        <f>IF(AND(Games[[#This Row],[Type]]="P",Games[[#This Row],[Round]]=1),IF(Games[[#This Row],[Result]]&gt;0.5,1,0),0)</f>
        <v>0</v>
      </c>
      <c r="AF205" s="2">
        <f>IF(AND(Games[[#This Row],[Type]]="P",Games[[#This Row],[Round]]=1),IF(Games[[#This Row],[Result]]&lt;0.5,1,0),0)</f>
        <v>0</v>
      </c>
      <c r="AG205" s="2">
        <f>IF(AND(Games[[#This Row],[Type]]="P",Games[[#This Row],[Round]]=2),IF(Games[[#This Row],[Result]]&gt;0.5,1,0),0)</f>
        <v>0</v>
      </c>
      <c r="AH205" s="2">
        <f>IF(AND(Games[[#This Row],[Type]]="P",Games[[#This Row],[Round]]=2),IF(Games[[#This Row],[Result]]&lt;0.5,1,0),0)</f>
        <v>0</v>
      </c>
      <c r="AI205" s="2">
        <f>IF(AND(Games[[#This Row],[Type]]="P",Games[[#This Row],[Round]]=3),IF(Games[[#This Row],[Result]]&gt;0.5,1,0),0)</f>
        <v>0</v>
      </c>
      <c r="AJ205" s="2">
        <f>IF(AND(Games[[#This Row],[Type]]="P",Games[[#This Row],[Round]]=3),IF(Games[[#This Row],[Result]]&lt;0.5,1,0),0)</f>
        <v>0</v>
      </c>
      <c r="AK205" s="2">
        <f>IF(AND(Games[[#This Row],[Type]]="P",Games[[#This Row],[Round]]=4),IF(Games[[#This Row],[Result]]&gt;0.5,1,0),0)</f>
        <v>0</v>
      </c>
      <c r="AL205" s="2">
        <f>IF(AND(Games[[#This Row],[Type]]="P",Games[[#This Row],[Round]]=4),IF(Games[[#This Row],[Result]]&lt;0.5,1,0),0)</f>
        <v>0</v>
      </c>
    </row>
    <row r="206" spans="1:38" x14ac:dyDescent="0.35">
      <c r="A206" s="10">
        <v>40367</v>
      </c>
      <c r="B206" s="2">
        <v>2010</v>
      </c>
      <c r="C206" s="2">
        <f>COUNTIFS(Games[Team],Games[[#This Row],[Team]],Games[Season],Games[[#This Row],[Season]],Games[Date],"&lt;=" &amp; Games[[#This Row],[Date]])</f>
        <v>17</v>
      </c>
      <c r="D206" s="2" t="s">
        <v>23</v>
      </c>
      <c r="E206" s="2" t="s">
        <v>29</v>
      </c>
      <c r="F206" s="1" t="s">
        <v>85</v>
      </c>
      <c r="G206" s="1" t="s">
        <v>73</v>
      </c>
      <c r="H206" s="1" t="s">
        <v>16</v>
      </c>
      <c r="I206" s="2" cm="1">
        <f t="array" ref="I206">IFERROR(
    Games[[#This Row],[Date]]
    - LOOKUP(
        2,
        1/((Games[Team]=Games[[#This Row],[Team]]) * (Games[Date] &lt; Games[[#This Row],[Date]])),
        Games[Date]
    )
    - 1,
Games[[#This Row],[Date]]-$A$2)</f>
        <v>4</v>
      </c>
      <c r="J206" s="2" cm="1">
        <f t="array" ref="J20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6" s="2">
        <f>Games[[#This Row],[DaysOff]]-Games[[#This Row],[OppDaysOff]]</f>
        <v>3</v>
      </c>
      <c r="L206" s="2">
        <f>Games[[#This Row],[OppDaysOff]]-Games[[#This Row],[DaysOff]]</f>
        <v>-3</v>
      </c>
      <c r="M206" s="1">
        <f>MAX(-16, MIN(16, Games[[#This Row],[RestDiff]]*8))</f>
        <v>16</v>
      </c>
      <c r="N206" s="1">
        <f>MAX(-16, MIN(16, Games[[#This Row],[OppRestDiff]]*8))</f>
        <v>-16</v>
      </c>
      <c r="O206" s="4" cm="1">
        <f t="array" ref="O2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1370.117418326759</v>
      </c>
      <c r="P206" s="4" cm="1">
        <f t="array" ref="P2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1586.8061838428061</v>
      </c>
      <c r="Q206" s="4">
        <f>1/(1+10^(((Games[[#This Row],[OppPreGmRate]]+IF(Games[[#This Row],[HomeAway]]="A",HCA,0)+Games[[#This Row],[OppRestAdj]])-(Games[[#This Row],[PreGmRate]]+IF(Games[[#This Row],[HomeAway]]="H",HCA,0)+Games[[#This Row],[RestAdj]]))/400))</f>
        <v>0.17556385555704854</v>
      </c>
      <c r="R206" s="1">
        <v>72</v>
      </c>
      <c r="S206" s="1">
        <v>100</v>
      </c>
      <c r="T206" s="1">
        <v>0</v>
      </c>
      <c r="U206" s="1">
        <f>Games[[#This Row],[PointsFor]]-Games[[#This Row],[PointsAgainst]]</f>
        <v>-28</v>
      </c>
      <c r="V206" s="1">
        <f>IF(Games[[#This Row],[MOV]]&gt;0,1,IF(Games[[#This Row],[MOV]]=0,0.5,0))</f>
        <v>0</v>
      </c>
      <c r="W206" s="4">
        <f>((ABS(Games[[#This Row],[MOV]])+5)^0.6)/(12+0.01*(ABS(Games[[#This Row],[PreGmRate]]-Games[[#This Row],[OppPreGmRate]])))*IF(Games[[#This Row],[OT]]=1,0.9,1)</f>
        <v>0.57521991556729979</v>
      </c>
      <c r="X206" s="7" cm="1">
        <f t="array" ref="X20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6" s="9">
        <f>MAX(kmin, kmax - 0.15 * MIN(Games[[#This Row],[GamesPlayed]], 82))</f>
        <v>73.45</v>
      </c>
      <c r="Z206" s="4">
        <f>Games[[#This Row],[K]]*Games[[#This Row],[POMult]]</f>
        <v>73.45</v>
      </c>
      <c r="AA206" s="4">
        <f>(Games[[#This Row],[Keff]]*Games[[#This Row],[MOVMult]])*(Games[[#This Row],[Result]]-Games[[#This Row],[ExpectedWin%]])</f>
        <v>-7.4175558322008284</v>
      </c>
      <c r="AB206" s="4">
        <f>Games[[#This Row],[PreGmRate]]+Games[[#This Row],[RatingChange]]</f>
        <v>1362.6998624945581</v>
      </c>
      <c r="AC206" s="2">
        <f>IF(Games[[#This Row],[Type]]="R",IF(Games[[#This Row],[Result]]&gt;0.5,1,0),0)</f>
        <v>0</v>
      </c>
      <c r="AD206" s="2">
        <f>IF(Games[[#This Row],[Type]]="R",IF(Games[[#This Row],[Result]]&lt;0.5,1,0),0)</f>
        <v>1</v>
      </c>
      <c r="AE206" s="2">
        <f>IF(AND(Games[[#This Row],[Type]]="P",Games[[#This Row],[Round]]=1),IF(Games[[#This Row],[Result]]&gt;0.5,1,0),0)</f>
        <v>0</v>
      </c>
      <c r="AF206" s="2">
        <f>IF(AND(Games[[#This Row],[Type]]="P",Games[[#This Row],[Round]]=1),IF(Games[[#This Row],[Result]]&lt;0.5,1,0),0)</f>
        <v>0</v>
      </c>
      <c r="AG206" s="2">
        <f>IF(AND(Games[[#This Row],[Type]]="P",Games[[#This Row],[Round]]=2),IF(Games[[#This Row],[Result]]&gt;0.5,1,0),0)</f>
        <v>0</v>
      </c>
      <c r="AH206" s="2">
        <f>IF(AND(Games[[#This Row],[Type]]="P",Games[[#This Row],[Round]]=2),IF(Games[[#This Row],[Result]]&lt;0.5,1,0),0)</f>
        <v>0</v>
      </c>
      <c r="AI206" s="2">
        <f>IF(AND(Games[[#This Row],[Type]]="P",Games[[#This Row],[Round]]=3),IF(Games[[#This Row],[Result]]&gt;0.5,1,0),0)</f>
        <v>0</v>
      </c>
      <c r="AJ206" s="2">
        <f>IF(AND(Games[[#This Row],[Type]]="P",Games[[#This Row],[Round]]=3),IF(Games[[#This Row],[Result]]&lt;0.5,1,0),0)</f>
        <v>0</v>
      </c>
      <c r="AK206" s="2">
        <f>IF(AND(Games[[#This Row],[Type]]="P",Games[[#This Row],[Round]]=4),IF(Games[[#This Row],[Result]]&gt;0.5,1,0),0)</f>
        <v>0</v>
      </c>
      <c r="AL206" s="2">
        <f>IF(AND(Games[[#This Row],[Type]]="P",Games[[#This Row],[Round]]=4),IF(Games[[#This Row],[Result]]&lt;0.5,1,0),0)</f>
        <v>0</v>
      </c>
    </row>
    <row r="207" spans="1:38" x14ac:dyDescent="0.35">
      <c r="A207" s="10">
        <v>40367</v>
      </c>
      <c r="B207" s="2">
        <v>2010</v>
      </c>
      <c r="C207" s="2">
        <f>COUNTIFS(Games[Team],Games[[#This Row],[Team]],Games[Season],Games[[#This Row],[Season]],Games[Date],"&lt;=" &amp; Games[[#This Row],[Date]])</f>
        <v>17</v>
      </c>
      <c r="D207" s="2" t="s">
        <v>23</v>
      </c>
      <c r="E207" s="2" t="s">
        <v>29</v>
      </c>
      <c r="F207" s="1" t="s">
        <v>73</v>
      </c>
      <c r="G207" s="1" t="s">
        <v>85</v>
      </c>
      <c r="H207" s="1" t="s">
        <v>15</v>
      </c>
      <c r="I207" s="2" cm="1">
        <f t="array" ref="I20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7" s="2" cm="1">
        <f t="array" ref="J207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07" s="2">
        <f>Games[[#This Row],[DaysOff]]-Games[[#This Row],[OppDaysOff]]</f>
        <v>-3</v>
      </c>
      <c r="L207" s="2">
        <f>Games[[#This Row],[OppDaysOff]]-Games[[#This Row],[DaysOff]]</f>
        <v>3</v>
      </c>
      <c r="M207" s="1">
        <f>MAX(-16, MIN(16, Games[[#This Row],[RestDiff]]*8))</f>
        <v>-16</v>
      </c>
      <c r="N207" s="1">
        <f>MAX(-16, MIN(16, Games[[#This Row],[OppRestDiff]]*8))</f>
        <v>16</v>
      </c>
      <c r="O207" s="4" cm="1">
        <f t="array" ref="O2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1586.8061838428061</v>
      </c>
      <c r="P207" s="4" cm="1">
        <f t="array" ref="P2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1370.117418326759</v>
      </c>
      <c r="Q207" s="4">
        <f>1/(1+10^(((Games[[#This Row],[OppPreGmRate]]+IF(Games[[#This Row],[HomeAway]]="A",HCA,0)+Games[[#This Row],[OppRestAdj]])-(Games[[#This Row],[PreGmRate]]+IF(Games[[#This Row],[HomeAway]]="H",HCA,0)+Games[[#This Row],[RestAdj]]))/400))</f>
        <v>0.82443614444295144</v>
      </c>
      <c r="R207" s="1">
        <v>100</v>
      </c>
      <c r="S207" s="1">
        <v>72</v>
      </c>
      <c r="T207" s="1">
        <v>0</v>
      </c>
      <c r="U207" s="1">
        <f>Games[[#This Row],[PointsFor]]-Games[[#This Row],[PointsAgainst]]</f>
        <v>28</v>
      </c>
      <c r="V207" s="1">
        <f>IF(Games[[#This Row],[MOV]]&gt;0,1,IF(Games[[#This Row],[MOV]]=0,0.5,0))</f>
        <v>1</v>
      </c>
      <c r="W207" s="4">
        <f>((ABS(Games[[#This Row],[MOV]])+5)^0.6)/(12+0.01*(ABS(Games[[#This Row],[PreGmRate]]-Games[[#This Row],[OppPreGmRate]])))*IF(Games[[#This Row],[OT]]=1,0.9,1)</f>
        <v>0.57521991556729979</v>
      </c>
      <c r="X207" s="7" cm="1">
        <f t="array" ref="X20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7" s="9">
        <f>MAX(kmin, kmax - 0.15 * MIN(Games[[#This Row],[GamesPlayed]], 82))</f>
        <v>73.45</v>
      </c>
      <c r="Z207" s="4">
        <f>Games[[#This Row],[K]]*Games[[#This Row],[POMult]]</f>
        <v>73.45</v>
      </c>
      <c r="AA207" s="4">
        <f>(Games[[#This Row],[Keff]]*Games[[#This Row],[MOVMult]])*(Games[[#This Row],[Result]]-Games[[#This Row],[ExpectedWin%]])</f>
        <v>7.4175558322008293</v>
      </c>
      <c r="AB207" s="4">
        <f>Games[[#This Row],[PreGmRate]]+Games[[#This Row],[RatingChange]]</f>
        <v>1594.223739675007</v>
      </c>
      <c r="AC207" s="2">
        <f>IF(Games[[#This Row],[Type]]="R",IF(Games[[#This Row],[Result]]&gt;0.5,1,0),0)</f>
        <v>1</v>
      </c>
      <c r="AD207" s="2">
        <f>IF(Games[[#This Row],[Type]]="R",IF(Games[[#This Row],[Result]]&lt;0.5,1,0),0)</f>
        <v>0</v>
      </c>
      <c r="AE207" s="2">
        <f>IF(AND(Games[[#This Row],[Type]]="P",Games[[#This Row],[Round]]=1),IF(Games[[#This Row],[Result]]&gt;0.5,1,0),0)</f>
        <v>0</v>
      </c>
      <c r="AF207" s="2">
        <f>IF(AND(Games[[#This Row],[Type]]="P",Games[[#This Row],[Round]]=1),IF(Games[[#This Row],[Result]]&lt;0.5,1,0),0)</f>
        <v>0</v>
      </c>
      <c r="AG207" s="2">
        <f>IF(AND(Games[[#This Row],[Type]]="P",Games[[#This Row],[Round]]=2),IF(Games[[#This Row],[Result]]&gt;0.5,1,0),0)</f>
        <v>0</v>
      </c>
      <c r="AH207" s="2">
        <f>IF(AND(Games[[#This Row],[Type]]="P",Games[[#This Row],[Round]]=2),IF(Games[[#This Row],[Result]]&lt;0.5,1,0),0)</f>
        <v>0</v>
      </c>
      <c r="AI207" s="2">
        <f>IF(AND(Games[[#This Row],[Type]]="P",Games[[#This Row],[Round]]=3),IF(Games[[#This Row],[Result]]&gt;0.5,1,0),0)</f>
        <v>0</v>
      </c>
      <c r="AJ207" s="2">
        <f>IF(AND(Games[[#This Row],[Type]]="P",Games[[#This Row],[Round]]=3),IF(Games[[#This Row],[Result]]&lt;0.5,1,0),0)</f>
        <v>0</v>
      </c>
      <c r="AK207" s="2">
        <f>IF(AND(Games[[#This Row],[Type]]="P",Games[[#This Row],[Round]]=4),IF(Games[[#This Row],[Result]]&gt;0.5,1,0),0)</f>
        <v>0</v>
      </c>
      <c r="AL207" s="2">
        <f>IF(AND(Games[[#This Row],[Type]]="P",Games[[#This Row],[Round]]=4),IF(Games[[#This Row],[Result]]&lt;0.5,1,0),0)</f>
        <v>0</v>
      </c>
    </row>
    <row r="208" spans="1:38" x14ac:dyDescent="0.35">
      <c r="A208" s="10">
        <v>40367</v>
      </c>
      <c r="B208" s="2">
        <v>2010</v>
      </c>
      <c r="C208" s="2">
        <f>COUNTIFS(Games[Team],Games[[#This Row],[Team]],Games[Season],Games[[#This Row],[Season]],Games[Date],"&lt;=" &amp; Games[[#This Row],[Date]])</f>
        <v>16</v>
      </c>
      <c r="D208" s="2" t="s">
        <v>23</v>
      </c>
      <c r="E208" s="2" t="s">
        <v>29</v>
      </c>
      <c r="F208" s="1" t="s">
        <v>78</v>
      </c>
      <c r="G208" s="1" t="s">
        <v>71</v>
      </c>
      <c r="H208" s="1" t="s">
        <v>16</v>
      </c>
      <c r="I208" s="2" cm="1">
        <f t="array" ref="I20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8" s="2" cm="1">
        <f t="array" ref="J208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208" s="2">
        <f>Games[[#This Row],[DaysOff]]-Games[[#This Row],[OppDaysOff]]</f>
        <v>-5</v>
      </c>
      <c r="L208" s="2">
        <f>Games[[#This Row],[OppDaysOff]]-Games[[#This Row],[DaysOff]]</f>
        <v>5</v>
      </c>
      <c r="M208" s="1">
        <f>MAX(-16, MIN(16, Games[[#This Row],[RestDiff]]*8))</f>
        <v>-16</v>
      </c>
      <c r="N208" s="1">
        <f>MAX(-16, MIN(16, Games[[#This Row],[OppRestDiff]]*8))</f>
        <v>16</v>
      </c>
      <c r="O208" s="4" cm="1">
        <f t="array" ref="O2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1464.4151132988875</v>
      </c>
      <c r="P208" s="4" cm="1">
        <f t="array" ref="P2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1409.5482266011102</v>
      </c>
      <c r="Q208" s="4">
        <f>1/(1+10^(((Games[[#This Row],[OppPreGmRate]]+IF(Games[[#This Row],[HomeAway]]="A",HCA,0)+Games[[#This Row],[OppRestAdj]])-(Games[[#This Row],[PreGmRate]]+IF(Games[[#This Row],[HomeAway]]="H",HCA,0)+Games[[#This Row],[RestAdj]]))/400))</f>
        <v>0.41291920940556148</v>
      </c>
      <c r="R208" s="1">
        <v>66</v>
      </c>
      <c r="S208" s="1">
        <v>89</v>
      </c>
      <c r="T208" s="1">
        <v>0</v>
      </c>
      <c r="U208" s="1">
        <f>Games[[#This Row],[PointsFor]]-Games[[#This Row],[PointsAgainst]]</f>
        <v>-23</v>
      </c>
      <c r="V208" s="1">
        <f>IF(Games[[#This Row],[MOV]]&gt;0,1,IF(Games[[#This Row],[MOV]]=0,0.5,0))</f>
        <v>0</v>
      </c>
      <c r="W208" s="4">
        <f>((ABS(Games[[#This Row],[MOV]])+5)^0.6)/(12+0.01*(ABS(Games[[#This Row],[PreGmRate]]-Games[[#This Row],[OppPreGmRate]])))*IF(Games[[#This Row],[OT]]=1,0.9,1)</f>
        <v>0.58843318833399094</v>
      </c>
      <c r="X208" s="7" cm="1">
        <f t="array" ref="X20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8" s="9">
        <f>MAX(kmin, kmax - 0.15 * MIN(Games[[#This Row],[GamesPlayed]], 82))</f>
        <v>73.599999999999994</v>
      </c>
      <c r="Z208" s="4">
        <f>Games[[#This Row],[K]]*Games[[#This Row],[POMult]]</f>
        <v>73.599999999999994</v>
      </c>
      <c r="AA208" s="4">
        <f>(Games[[#This Row],[Keff]]*Games[[#This Row],[MOVMult]])*(Games[[#This Row],[Result]]-Games[[#This Row],[ExpectedWin%]])</f>
        <v>-17.882987004934094</v>
      </c>
      <c r="AB208" s="4">
        <f>Games[[#This Row],[PreGmRate]]+Games[[#This Row],[RatingChange]]</f>
        <v>1446.5321262939533</v>
      </c>
      <c r="AC208" s="2">
        <f>IF(Games[[#This Row],[Type]]="R",IF(Games[[#This Row],[Result]]&gt;0.5,1,0),0)</f>
        <v>0</v>
      </c>
      <c r="AD208" s="2">
        <f>IF(Games[[#This Row],[Type]]="R",IF(Games[[#This Row],[Result]]&lt;0.5,1,0),0)</f>
        <v>1</v>
      </c>
      <c r="AE208" s="2">
        <f>IF(AND(Games[[#This Row],[Type]]="P",Games[[#This Row],[Round]]=1),IF(Games[[#This Row],[Result]]&gt;0.5,1,0),0)</f>
        <v>0</v>
      </c>
      <c r="AF208" s="2">
        <f>IF(AND(Games[[#This Row],[Type]]="P",Games[[#This Row],[Round]]=1),IF(Games[[#This Row],[Result]]&lt;0.5,1,0),0)</f>
        <v>0</v>
      </c>
      <c r="AG208" s="2">
        <f>IF(AND(Games[[#This Row],[Type]]="P",Games[[#This Row],[Round]]=2),IF(Games[[#This Row],[Result]]&gt;0.5,1,0),0)</f>
        <v>0</v>
      </c>
      <c r="AH208" s="2">
        <f>IF(AND(Games[[#This Row],[Type]]="P",Games[[#This Row],[Round]]=2),IF(Games[[#This Row],[Result]]&lt;0.5,1,0),0)</f>
        <v>0</v>
      </c>
      <c r="AI208" s="2">
        <f>IF(AND(Games[[#This Row],[Type]]="P",Games[[#This Row],[Round]]=3),IF(Games[[#This Row],[Result]]&gt;0.5,1,0),0)</f>
        <v>0</v>
      </c>
      <c r="AJ208" s="2">
        <f>IF(AND(Games[[#This Row],[Type]]="P",Games[[#This Row],[Round]]=3),IF(Games[[#This Row],[Result]]&lt;0.5,1,0),0)</f>
        <v>0</v>
      </c>
      <c r="AK208" s="2">
        <f>IF(AND(Games[[#This Row],[Type]]="P",Games[[#This Row],[Round]]=4),IF(Games[[#This Row],[Result]]&gt;0.5,1,0),0)</f>
        <v>0</v>
      </c>
      <c r="AL208" s="2">
        <f>IF(AND(Games[[#This Row],[Type]]="P",Games[[#This Row],[Round]]=4),IF(Games[[#This Row],[Result]]&lt;0.5,1,0),0)</f>
        <v>0</v>
      </c>
    </row>
    <row r="209" spans="1:38" x14ac:dyDescent="0.35">
      <c r="A209" s="10">
        <v>40367</v>
      </c>
      <c r="B209" s="2">
        <v>2010</v>
      </c>
      <c r="C209" s="2">
        <f>COUNTIFS(Games[Team],Games[[#This Row],[Team]],Games[Season],Games[[#This Row],[Season]],Games[Date],"&lt;=" &amp; Games[[#This Row],[Date]])</f>
        <v>17</v>
      </c>
      <c r="D209" s="2" t="s">
        <v>23</v>
      </c>
      <c r="E209" s="2" t="s">
        <v>29</v>
      </c>
      <c r="F209" s="1" t="s">
        <v>71</v>
      </c>
      <c r="G209" s="1" t="s">
        <v>78</v>
      </c>
      <c r="H209" s="1" t="s">
        <v>15</v>
      </c>
      <c r="I209" s="2" cm="1">
        <f t="array" ref="I209">IFERROR(
    Games[[#This Row],[Date]]
    - LOOKUP(
        2,
        1/((Games[Team]=Games[[#This Row],[Team]]) * (Games[Date] &lt; Games[[#This Row],[Date]])),
        Games[Date]
    )
    - 1,
Games[[#This Row],[Date]]-$A$2)</f>
        <v>6</v>
      </c>
      <c r="J209" s="2" cm="1">
        <f t="array" ref="J20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9" s="2">
        <f>Games[[#This Row],[DaysOff]]-Games[[#This Row],[OppDaysOff]]</f>
        <v>5</v>
      </c>
      <c r="L209" s="2">
        <f>Games[[#This Row],[OppDaysOff]]-Games[[#This Row],[DaysOff]]</f>
        <v>-5</v>
      </c>
      <c r="M209" s="1">
        <f>MAX(-16, MIN(16, Games[[#This Row],[RestDiff]]*8))</f>
        <v>16</v>
      </c>
      <c r="N209" s="1">
        <f>MAX(-16, MIN(16, Games[[#This Row],[OppRestDiff]]*8))</f>
        <v>-16</v>
      </c>
      <c r="O209" s="4" cm="1">
        <f t="array" ref="O2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1409.5482266011102</v>
      </c>
      <c r="P209" s="4" cm="1">
        <f t="array" ref="P2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1464.4151132988875</v>
      </c>
      <c r="Q209" s="4">
        <f>1/(1+10^(((Games[[#This Row],[OppPreGmRate]]+IF(Games[[#This Row],[HomeAway]]="A",HCA,0)+Games[[#This Row],[OppRestAdj]])-(Games[[#This Row],[PreGmRate]]+IF(Games[[#This Row],[HomeAway]]="H",HCA,0)+Games[[#This Row],[RestAdj]]))/400))</f>
        <v>0.58708079059443852</v>
      </c>
      <c r="R209" s="1">
        <v>89</v>
      </c>
      <c r="S209" s="1">
        <v>66</v>
      </c>
      <c r="T209" s="1">
        <v>0</v>
      </c>
      <c r="U209" s="1">
        <f>Games[[#This Row],[PointsFor]]-Games[[#This Row],[PointsAgainst]]</f>
        <v>23</v>
      </c>
      <c r="V209" s="1">
        <f>IF(Games[[#This Row],[MOV]]&gt;0,1,IF(Games[[#This Row],[MOV]]=0,0.5,0))</f>
        <v>1</v>
      </c>
      <c r="W209" s="4">
        <f>((ABS(Games[[#This Row],[MOV]])+5)^0.6)/(12+0.01*(ABS(Games[[#This Row],[PreGmRate]]-Games[[#This Row],[OppPreGmRate]])))*IF(Games[[#This Row],[OT]]=1,0.9,1)</f>
        <v>0.58843318833399094</v>
      </c>
      <c r="X209" s="7" cm="1">
        <f t="array" ref="X20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9" s="9">
        <f>MAX(kmin, kmax - 0.15 * MIN(Games[[#This Row],[GamesPlayed]], 82))</f>
        <v>73.45</v>
      </c>
      <c r="Z209" s="4">
        <f>Games[[#This Row],[K]]*Games[[#This Row],[POMult]]</f>
        <v>73.45</v>
      </c>
      <c r="AA209" s="4">
        <f>(Games[[#This Row],[Keff]]*Games[[#This Row],[MOVMult]])*(Games[[#This Row],[Result]]-Games[[#This Row],[ExpectedWin%]])</f>
        <v>17.846540699896863</v>
      </c>
      <c r="AB209" s="4">
        <f>Games[[#This Row],[PreGmRate]]+Games[[#This Row],[RatingChange]]</f>
        <v>1427.3947673010071</v>
      </c>
      <c r="AC209" s="2">
        <f>IF(Games[[#This Row],[Type]]="R",IF(Games[[#This Row],[Result]]&gt;0.5,1,0),0)</f>
        <v>1</v>
      </c>
      <c r="AD209" s="2">
        <f>IF(Games[[#This Row],[Type]]="R",IF(Games[[#This Row],[Result]]&lt;0.5,1,0),0)</f>
        <v>0</v>
      </c>
      <c r="AE209" s="2">
        <f>IF(AND(Games[[#This Row],[Type]]="P",Games[[#This Row],[Round]]=1),IF(Games[[#This Row],[Result]]&gt;0.5,1,0),0)</f>
        <v>0</v>
      </c>
      <c r="AF209" s="2">
        <f>IF(AND(Games[[#This Row],[Type]]="P",Games[[#This Row],[Round]]=1),IF(Games[[#This Row],[Result]]&lt;0.5,1,0),0)</f>
        <v>0</v>
      </c>
      <c r="AG209" s="2">
        <f>IF(AND(Games[[#This Row],[Type]]="P",Games[[#This Row],[Round]]=2),IF(Games[[#This Row],[Result]]&gt;0.5,1,0),0)</f>
        <v>0</v>
      </c>
      <c r="AH209" s="2">
        <f>IF(AND(Games[[#This Row],[Type]]="P",Games[[#This Row],[Round]]=2),IF(Games[[#This Row],[Result]]&lt;0.5,1,0),0)</f>
        <v>0</v>
      </c>
      <c r="AI209" s="2">
        <f>IF(AND(Games[[#This Row],[Type]]="P",Games[[#This Row],[Round]]=3),IF(Games[[#This Row],[Result]]&gt;0.5,1,0),0)</f>
        <v>0</v>
      </c>
      <c r="AJ209" s="2">
        <f>IF(AND(Games[[#This Row],[Type]]="P",Games[[#This Row],[Round]]=3),IF(Games[[#This Row],[Result]]&lt;0.5,1,0),0)</f>
        <v>0</v>
      </c>
      <c r="AK209" s="2">
        <f>IF(AND(Games[[#This Row],[Type]]="P",Games[[#This Row],[Round]]=4),IF(Games[[#This Row],[Result]]&gt;0.5,1,0),0)</f>
        <v>0</v>
      </c>
      <c r="AL209" s="2">
        <f>IF(AND(Games[[#This Row],[Type]]="P",Games[[#This Row],[Round]]=4),IF(Games[[#This Row],[Result]]&lt;0.5,1,0),0)</f>
        <v>0</v>
      </c>
    </row>
    <row r="210" spans="1:38" x14ac:dyDescent="0.35">
      <c r="A210" s="10">
        <v>40370</v>
      </c>
      <c r="B210" s="2">
        <v>2010</v>
      </c>
      <c r="C210" s="2">
        <f>COUNTIFS(Games[Team],Games[[#This Row],[Team]],Games[Season],Games[[#This Row],[Season]],Games[Date],"&lt;=" &amp; Games[[#This Row],[Date]])</f>
        <v>19</v>
      </c>
      <c r="D210" s="2" t="s">
        <v>23</v>
      </c>
      <c r="E210" s="2" t="s">
        <v>29</v>
      </c>
      <c r="F210" s="1" t="s">
        <v>81</v>
      </c>
      <c r="G210" s="1" t="s">
        <v>64</v>
      </c>
      <c r="H210" s="1" t="s">
        <v>16</v>
      </c>
      <c r="I210" s="2" cm="1">
        <f t="array" ref="I210">IFERROR(
    Games[[#This Row],[Date]]
    - LOOKUP(
        2,
        1/((Games[Team]=Games[[#This Row],[Team]]) * (Games[Date] &lt; Games[[#This Row],[Date]])),
        Games[Date]
    )
    - 1,
Games[[#This Row],[Date]]-$A$2)</f>
        <v>4</v>
      </c>
      <c r="J210" s="2" cm="1">
        <f t="array" ref="J210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10" s="2">
        <f>Games[[#This Row],[DaysOff]]-Games[[#This Row],[OppDaysOff]]</f>
        <v>0</v>
      </c>
      <c r="L210" s="2">
        <f>Games[[#This Row],[OppDaysOff]]-Games[[#This Row],[DaysOff]]</f>
        <v>0</v>
      </c>
      <c r="M210" s="1">
        <f>MAX(-16, MIN(16, Games[[#This Row],[RestDiff]]*8))</f>
        <v>0</v>
      </c>
      <c r="N210" s="1">
        <f>MAX(-16, MIN(16, Games[[#This Row],[OppRestDiff]]*8))</f>
        <v>0</v>
      </c>
      <c r="O210" s="4" cm="1">
        <f t="array" ref="O2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1482.2320254534902</v>
      </c>
      <c r="P210" s="4" cm="1">
        <f t="array" ref="P2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1480.9398458237451</v>
      </c>
      <c r="Q210" s="4">
        <f>1/(1+10^(((Games[[#This Row],[OppPreGmRate]]+IF(Games[[#This Row],[HomeAway]]="A",HCA,0)+Games[[#This Row],[OppRestAdj]])-(Games[[#This Row],[PreGmRate]]+IF(Games[[#This Row],[HomeAway]]="H",HCA,0)+Games[[#This Row],[RestAdj]]))/400))</f>
        <v>0.38317241518147843</v>
      </c>
      <c r="R210" s="1">
        <v>54</v>
      </c>
      <c r="S210" s="1">
        <v>57</v>
      </c>
      <c r="T210" s="1">
        <v>0</v>
      </c>
      <c r="U210" s="1">
        <f>Games[[#This Row],[PointsFor]]-Games[[#This Row],[PointsAgainst]]</f>
        <v>-3</v>
      </c>
      <c r="V210" s="1">
        <f>IF(Games[[#This Row],[MOV]]&gt;0,1,IF(Games[[#This Row],[MOV]]=0,0.5,0))</f>
        <v>0</v>
      </c>
      <c r="W210" s="4">
        <f>((ABS(Games[[#This Row],[MOV]])+5)^0.6)/(12+0.01*(ABS(Games[[#This Row],[PreGmRate]]-Games[[#This Row],[OppPreGmRate]])))*IF(Games[[#This Row],[OT]]=1,0.9,1)</f>
        <v>0.28987138285190195</v>
      </c>
      <c r="X210" s="7" cm="1">
        <f t="array" ref="X2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0" s="9">
        <f>MAX(kmin, kmax - 0.15 * MIN(Games[[#This Row],[GamesPlayed]], 82))</f>
        <v>73.150000000000006</v>
      </c>
      <c r="Z210" s="4">
        <f>Games[[#This Row],[K]]*Games[[#This Row],[POMult]]</f>
        <v>73.150000000000006</v>
      </c>
      <c r="AA210" s="4">
        <f>(Games[[#This Row],[Keff]]*Games[[#This Row],[MOVMult]])*(Games[[#This Row],[Result]]-Games[[#This Row],[ExpectedWin%]])</f>
        <v>-8.1248230114120581</v>
      </c>
      <c r="AB210" s="4">
        <f>Games[[#This Row],[PreGmRate]]+Games[[#This Row],[RatingChange]]</f>
        <v>1474.1072024420782</v>
      </c>
      <c r="AC210" s="2">
        <f>IF(Games[[#This Row],[Type]]="R",IF(Games[[#This Row],[Result]]&gt;0.5,1,0),0)</f>
        <v>0</v>
      </c>
      <c r="AD210" s="2">
        <f>IF(Games[[#This Row],[Type]]="R",IF(Games[[#This Row],[Result]]&lt;0.5,1,0),0)</f>
        <v>1</v>
      </c>
      <c r="AE210" s="2">
        <f>IF(AND(Games[[#This Row],[Type]]="P",Games[[#This Row],[Round]]=1),IF(Games[[#This Row],[Result]]&gt;0.5,1,0),0)</f>
        <v>0</v>
      </c>
      <c r="AF210" s="2">
        <f>IF(AND(Games[[#This Row],[Type]]="P",Games[[#This Row],[Round]]=1),IF(Games[[#This Row],[Result]]&lt;0.5,1,0),0)</f>
        <v>0</v>
      </c>
      <c r="AG210" s="2">
        <f>IF(AND(Games[[#This Row],[Type]]="P",Games[[#This Row],[Round]]=2),IF(Games[[#This Row],[Result]]&gt;0.5,1,0),0)</f>
        <v>0</v>
      </c>
      <c r="AH210" s="2">
        <f>IF(AND(Games[[#This Row],[Type]]="P",Games[[#This Row],[Round]]=2),IF(Games[[#This Row],[Result]]&lt;0.5,1,0),0)</f>
        <v>0</v>
      </c>
      <c r="AI210" s="2">
        <f>IF(AND(Games[[#This Row],[Type]]="P",Games[[#This Row],[Round]]=3),IF(Games[[#This Row],[Result]]&gt;0.5,1,0),0)</f>
        <v>0</v>
      </c>
      <c r="AJ210" s="2">
        <f>IF(AND(Games[[#This Row],[Type]]="P",Games[[#This Row],[Round]]=3),IF(Games[[#This Row],[Result]]&lt;0.5,1,0),0)</f>
        <v>0</v>
      </c>
      <c r="AK210" s="2">
        <f>IF(AND(Games[[#This Row],[Type]]="P",Games[[#This Row],[Round]]=4),IF(Games[[#This Row],[Result]]&gt;0.5,1,0),0)</f>
        <v>0</v>
      </c>
      <c r="AL210" s="2">
        <f>IF(AND(Games[[#This Row],[Type]]="P",Games[[#This Row],[Round]]=4),IF(Games[[#This Row],[Result]]&lt;0.5,1,0),0)</f>
        <v>0</v>
      </c>
    </row>
    <row r="211" spans="1:38" x14ac:dyDescent="0.35">
      <c r="A211" s="10">
        <v>40370</v>
      </c>
      <c r="B211" s="2">
        <v>2010</v>
      </c>
      <c r="C211" s="2">
        <f>COUNTIFS(Games[Team],Games[[#This Row],[Team]],Games[Season],Games[[#This Row],[Season]],Games[Date],"&lt;=" &amp; Games[[#This Row],[Date]])</f>
        <v>17</v>
      </c>
      <c r="D211" s="2" t="s">
        <v>23</v>
      </c>
      <c r="E211" s="2" t="s">
        <v>29</v>
      </c>
      <c r="F211" s="1" t="s">
        <v>64</v>
      </c>
      <c r="G211" s="1" t="s">
        <v>81</v>
      </c>
      <c r="H211" s="1" t="s">
        <v>15</v>
      </c>
      <c r="I211" s="2" cm="1">
        <f t="array" ref="I211">IFERROR(
    Games[[#This Row],[Date]]
    - LOOKUP(
        2,
        1/((Games[Team]=Games[[#This Row],[Team]]) * (Games[Date] &lt; Games[[#This Row],[Date]])),
        Games[Date]
    )
    - 1,
Games[[#This Row],[Date]]-$A$2)</f>
        <v>4</v>
      </c>
      <c r="J211" s="2" cm="1">
        <f t="array" ref="J211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11" s="2">
        <f>Games[[#This Row],[DaysOff]]-Games[[#This Row],[OppDaysOff]]</f>
        <v>0</v>
      </c>
      <c r="L211" s="2">
        <f>Games[[#This Row],[OppDaysOff]]-Games[[#This Row],[DaysOff]]</f>
        <v>0</v>
      </c>
      <c r="M211" s="1">
        <f>MAX(-16, MIN(16, Games[[#This Row],[RestDiff]]*8))</f>
        <v>0</v>
      </c>
      <c r="N211" s="1">
        <f>MAX(-16, MIN(16, Games[[#This Row],[OppRestDiff]]*8))</f>
        <v>0</v>
      </c>
      <c r="O211" s="4" cm="1">
        <f t="array" ref="O2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1480.9398458237451</v>
      </c>
      <c r="P211" s="4" cm="1">
        <f t="array" ref="P2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1482.2320254534902</v>
      </c>
      <c r="Q211" s="4">
        <f>1/(1+10^(((Games[[#This Row],[OppPreGmRate]]+IF(Games[[#This Row],[HomeAway]]="A",HCA,0)+Games[[#This Row],[OppRestAdj]])-(Games[[#This Row],[PreGmRate]]+IF(Games[[#This Row],[HomeAway]]="H",HCA,0)+Games[[#This Row],[RestAdj]]))/400))</f>
        <v>0.61682758481852162</v>
      </c>
      <c r="R211" s="1">
        <v>57</v>
      </c>
      <c r="S211" s="1">
        <v>54</v>
      </c>
      <c r="T211" s="1">
        <v>0</v>
      </c>
      <c r="U211" s="1">
        <f>Games[[#This Row],[PointsFor]]-Games[[#This Row],[PointsAgainst]]</f>
        <v>3</v>
      </c>
      <c r="V211" s="1">
        <f>IF(Games[[#This Row],[MOV]]&gt;0,1,IF(Games[[#This Row],[MOV]]=0,0.5,0))</f>
        <v>1</v>
      </c>
      <c r="W211" s="4">
        <f>((ABS(Games[[#This Row],[MOV]])+5)^0.6)/(12+0.01*(ABS(Games[[#This Row],[PreGmRate]]-Games[[#This Row],[OppPreGmRate]])))*IF(Games[[#This Row],[OT]]=1,0.9,1)</f>
        <v>0.28987138285190195</v>
      </c>
      <c r="X211" s="7" cm="1">
        <f t="array" ref="X2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1" s="9">
        <f>MAX(kmin, kmax - 0.15 * MIN(Games[[#This Row],[GamesPlayed]], 82))</f>
        <v>73.45</v>
      </c>
      <c r="Z211" s="4">
        <f>Games[[#This Row],[K]]*Games[[#This Row],[POMult]]</f>
        <v>73.45</v>
      </c>
      <c r="AA211" s="4">
        <f>(Games[[#This Row],[Keff]]*Games[[#This Row],[MOVMult]])*(Games[[#This Row],[Result]]-Games[[#This Row],[ExpectedWin%]])</f>
        <v>8.1581442267698634</v>
      </c>
      <c r="AB211" s="4">
        <f>Games[[#This Row],[PreGmRate]]+Games[[#This Row],[RatingChange]]</f>
        <v>1489.0979900505149</v>
      </c>
      <c r="AC211" s="2">
        <f>IF(Games[[#This Row],[Type]]="R",IF(Games[[#This Row],[Result]]&gt;0.5,1,0),0)</f>
        <v>1</v>
      </c>
      <c r="AD211" s="2">
        <f>IF(Games[[#This Row],[Type]]="R",IF(Games[[#This Row],[Result]]&lt;0.5,1,0),0)</f>
        <v>0</v>
      </c>
      <c r="AE211" s="2">
        <f>IF(AND(Games[[#This Row],[Type]]="P",Games[[#This Row],[Round]]=1),IF(Games[[#This Row],[Result]]&gt;0.5,1,0),0)</f>
        <v>0</v>
      </c>
      <c r="AF211" s="2">
        <f>IF(AND(Games[[#This Row],[Type]]="P",Games[[#This Row],[Round]]=1),IF(Games[[#This Row],[Result]]&lt;0.5,1,0),0)</f>
        <v>0</v>
      </c>
      <c r="AG211" s="2">
        <f>IF(AND(Games[[#This Row],[Type]]="P",Games[[#This Row],[Round]]=2),IF(Games[[#This Row],[Result]]&gt;0.5,1,0),0)</f>
        <v>0</v>
      </c>
      <c r="AH211" s="2">
        <f>IF(AND(Games[[#This Row],[Type]]="P",Games[[#This Row],[Round]]=2),IF(Games[[#This Row],[Result]]&lt;0.5,1,0),0)</f>
        <v>0</v>
      </c>
      <c r="AI211" s="2">
        <f>IF(AND(Games[[#This Row],[Type]]="P",Games[[#This Row],[Round]]=3),IF(Games[[#This Row],[Result]]&gt;0.5,1,0),0)</f>
        <v>0</v>
      </c>
      <c r="AJ211" s="2">
        <f>IF(AND(Games[[#This Row],[Type]]="P",Games[[#This Row],[Round]]=3),IF(Games[[#This Row],[Result]]&lt;0.5,1,0),0)</f>
        <v>0</v>
      </c>
      <c r="AK211" s="2">
        <f>IF(AND(Games[[#This Row],[Type]]="P",Games[[#This Row],[Round]]=4),IF(Games[[#This Row],[Result]]&gt;0.5,1,0),0)</f>
        <v>0</v>
      </c>
      <c r="AL211" s="2">
        <f>IF(AND(Games[[#This Row],[Type]]="P",Games[[#This Row],[Round]]=4),IF(Games[[#This Row],[Result]]&lt;0.5,1,0),0)</f>
        <v>0</v>
      </c>
    </row>
    <row r="212" spans="1:38" x14ac:dyDescent="0.35">
      <c r="A212" s="10">
        <v>40372</v>
      </c>
      <c r="B212" s="2">
        <v>2010</v>
      </c>
      <c r="C212" s="2">
        <f>COUNTIFS(Games[Team],Games[[#This Row],[Team]],Games[Season],Games[[#This Row],[Season]],Games[Date],"&lt;=" &amp; Games[[#This Row],[Date]])</f>
        <v>18</v>
      </c>
      <c r="D212" s="2" t="s">
        <v>23</v>
      </c>
      <c r="E212" s="2" t="s">
        <v>29</v>
      </c>
      <c r="F212" s="1" t="s">
        <v>67</v>
      </c>
      <c r="G212" s="1" t="s">
        <v>85</v>
      </c>
      <c r="H212" s="1" t="s">
        <v>16</v>
      </c>
      <c r="I212" s="2" cm="1">
        <f t="array" ref="I212">IFERROR(
    Games[[#This Row],[Date]]
    - LOOKUP(
        2,
        1/((Games[Team]=Games[[#This Row],[Team]]) * (Games[Date] &lt; Games[[#This Row],[Date]])),
        Games[Date]
    )
    - 1,
Games[[#This Row],[Date]]-$A$2)</f>
        <v>6</v>
      </c>
      <c r="J212" s="2" cm="1">
        <f t="array" ref="J212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12" s="2">
        <f>Games[[#This Row],[DaysOff]]-Games[[#This Row],[OppDaysOff]]</f>
        <v>2</v>
      </c>
      <c r="L212" s="2">
        <f>Games[[#This Row],[OppDaysOff]]-Games[[#This Row],[DaysOff]]</f>
        <v>-2</v>
      </c>
      <c r="M212" s="1">
        <f>MAX(-16, MIN(16, Games[[#This Row],[RestDiff]]*8))</f>
        <v>16</v>
      </c>
      <c r="N212" s="1">
        <f>MAX(-16, MIN(16, Games[[#This Row],[OppRestDiff]]*8))</f>
        <v>-16</v>
      </c>
      <c r="O212" s="4" cm="1">
        <f t="array" ref="O2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1420.5966546062164</v>
      </c>
      <c r="P212" s="4" cm="1">
        <f t="array" ref="P2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1362.6998624945581</v>
      </c>
      <c r="Q212" s="4">
        <f>1/(1+10^(((Games[[#This Row],[OppPreGmRate]]+IF(Games[[#This Row],[HomeAway]]="A",HCA,0)+Games[[#This Row],[OppRestAdj]])-(Games[[#This Row],[PreGmRate]]+IF(Games[[#This Row],[HomeAway]]="H",HCA,0)+Games[[#This Row],[RestAdj]]))/400))</f>
        <v>0.50848535126005856</v>
      </c>
      <c r="R212" s="1">
        <v>87</v>
      </c>
      <c r="S212" s="1">
        <v>71</v>
      </c>
      <c r="T212" s="1">
        <v>0</v>
      </c>
      <c r="U212" s="1">
        <f>Games[[#This Row],[PointsFor]]-Games[[#This Row],[PointsAgainst]]</f>
        <v>16</v>
      </c>
      <c r="V212" s="1">
        <f>IF(Games[[#This Row],[MOV]]&gt;0,1,IF(Games[[#This Row],[MOV]]=0,0.5,0))</f>
        <v>1</v>
      </c>
      <c r="W212" s="4">
        <f>((ABS(Games[[#This Row],[MOV]])+5)^0.6)/(12+0.01*(ABS(Games[[#This Row],[PreGmRate]]-Games[[#This Row],[OppPreGmRate]])))*IF(Games[[#This Row],[OT]]=1,0.9,1)</f>
        <v>0.49395406891292892</v>
      </c>
      <c r="X212" s="7" cm="1">
        <f t="array" ref="X2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2" s="9">
        <f>MAX(kmin, kmax - 0.15 * MIN(Games[[#This Row],[GamesPlayed]], 82))</f>
        <v>73.3</v>
      </c>
      <c r="Z212" s="4">
        <f>Games[[#This Row],[K]]*Games[[#This Row],[POMult]]</f>
        <v>73.3</v>
      </c>
      <c r="AA212" s="4">
        <f>(Games[[#This Row],[Keff]]*Games[[#This Row],[MOVMult]])*(Games[[#This Row],[Result]]-Games[[#This Row],[ExpectedWin%]])</f>
        <v>17.796188927507046</v>
      </c>
      <c r="AB212" s="4">
        <f>Games[[#This Row],[PreGmRate]]+Games[[#This Row],[RatingChange]]</f>
        <v>1438.3928435337234</v>
      </c>
      <c r="AC212" s="2">
        <f>IF(Games[[#This Row],[Type]]="R",IF(Games[[#This Row],[Result]]&gt;0.5,1,0),0)</f>
        <v>1</v>
      </c>
      <c r="AD212" s="2">
        <f>IF(Games[[#This Row],[Type]]="R",IF(Games[[#This Row],[Result]]&lt;0.5,1,0),0)</f>
        <v>0</v>
      </c>
      <c r="AE212" s="2">
        <f>IF(AND(Games[[#This Row],[Type]]="P",Games[[#This Row],[Round]]=1),IF(Games[[#This Row],[Result]]&gt;0.5,1,0),0)</f>
        <v>0</v>
      </c>
      <c r="AF212" s="2">
        <f>IF(AND(Games[[#This Row],[Type]]="P",Games[[#This Row],[Round]]=1),IF(Games[[#This Row],[Result]]&lt;0.5,1,0),0)</f>
        <v>0</v>
      </c>
      <c r="AG212" s="2">
        <f>IF(AND(Games[[#This Row],[Type]]="P",Games[[#This Row],[Round]]=2),IF(Games[[#This Row],[Result]]&gt;0.5,1,0),0)</f>
        <v>0</v>
      </c>
      <c r="AH212" s="2">
        <f>IF(AND(Games[[#This Row],[Type]]="P",Games[[#This Row],[Round]]=2),IF(Games[[#This Row],[Result]]&lt;0.5,1,0),0)</f>
        <v>0</v>
      </c>
      <c r="AI212" s="2">
        <f>IF(AND(Games[[#This Row],[Type]]="P",Games[[#This Row],[Round]]=3),IF(Games[[#This Row],[Result]]&gt;0.5,1,0),0)</f>
        <v>0</v>
      </c>
      <c r="AJ212" s="2">
        <f>IF(AND(Games[[#This Row],[Type]]="P",Games[[#This Row],[Round]]=3),IF(Games[[#This Row],[Result]]&lt;0.5,1,0),0)</f>
        <v>0</v>
      </c>
      <c r="AK212" s="2">
        <f>IF(AND(Games[[#This Row],[Type]]="P",Games[[#This Row],[Round]]=4),IF(Games[[#This Row],[Result]]&gt;0.5,1,0),0)</f>
        <v>0</v>
      </c>
      <c r="AL212" s="2">
        <f>IF(AND(Games[[#This Row],[Type]]="P",Games[[#This Row],[Round]]=4),IF(Games[[#This Row],[Result]]&lt;0.5,1,0),0)</f>
        <v>0</v>
      </c>
    </row>
    <row r="213" spans="1:38" x14ac:dyDescent="0.35">
      <c r="A213" s="10">
        <v>40372</v>
      </c>
      <c r="B213" s="2">
        <v>2010</v>
      </c>
      <c r="C213" s="2">
        <f>COUNTIFS(Games[Team],Games[[#This Row],[Team]],Games[Season],Games[[#This Row],[Season]],Games[Date],"&lt;=" &amp; Games[[#This Row],[Date]])</f>
        <v>18</v>
      </c>
      <c r="D213" s="2" t="s">
        <v>23</v>
      </c>
      <c r="E213" s="2" t="s">
        <v>29</v>
      </c>
      <c r="F213" s="1" t="s">
        <v>85</v>
      </c>
      <c r="G213" s="1" t="s">
        <v>67</v>
      </c>
      <c r="H213" s="1" t="s">
        <v>15</v>
      </c>
      <c r="I213" s="2" cm="1">
        <f t="array" ref="I213">IFERROR(
    Games[[#This Row],[Date]]
    - LOOKUP(
        2,
        1/((Games[Team]=Games[[#This Row],[Team]]) * (Games[Date] &lt; Games[[#This Row],[Date]])),
        Games[Date]
    )
    - 1,
Games[[#This Row],[Date]]-$A$2)</f>
        <v>4</v>
      </c>
      <c r="J213" s="2" cm="1">
        <f t="array" ref="J213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213" s="2">
        <f>Games[[#This Row],[DaysOff]]-Games[[#This Row],[OppDaysOff]]</f>
        <v>-2</v>
      </c>
      <c r="L213" s="2">
        <f>Games[[#This Row],[OppDaysOff]]-Games[[#This Row],[DaysOff]]</f>
        <v>2</v>
      </c>
      <c r="M213" s="1">
        <f>MAX(-16, MIN(16, Games[[#This Row],[RestDiff]]*8))</f>
        <v>-16</v>
      </c>
      <c r="N213" s="1">
        <f>MAX(-16, MIN(16, Games[[#This Row],[OppRestDiff]]*8))</f>
        <v>16</v>
      </c>
      <c r="O213" s="4" cm="1">
        <f t="array" ref="O2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1362.6998624945581</v>
      </c>
      <c r="P213" s="4" cm="1">
        <f t="array" ref="P2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1420.5966546062164</v>
      </c>
      <c r="Q213" s="4">
        <f>1/(1+10^(((Games[[#This Row],[OppPreGmRate]]+IF(Games[[#This Row],[HomeAway]]="A",HCA,0)+Games[[#This Row],[OppRestAdj]])-(Games[[#This Row],[PreGmRate]]+IF(Games[[#This Row],[HomeAway]]="H",HCA,0)+Games[[#This Row],[RestAdj]]))/400))</f>
        <v>0.49151464873994144</v>
      </c>
      <c r="R213" s="1">
        <v>71</v>
      </c>
      <c r="S213" s="1">
        <v>87</v>
      </c>
      <c r="T213" s="1">
        <v>0</v>
      </c>
      <c r="U213" s="1">
        <f>Games[[#This Row],[PointsFor]]-Games[[#This Row],[PointsAgainst]]</f>
        <v>-16</v>
      </c>
      <c r="V213" s="1">
        <f>IF(Games[[#This Row],[MOV]]&gt;0,1,IF(Games[[#This Row],[MOV]]=0,0.5,0))</f>
        <v>0</v>
      </c>
      <c r="W213" s="4">
        <f>((ABS(Games[[#This Row],[MOV]])+5)^0.6)/(12+0.01*(ABS(Games[[#This Row],[PreGmRate]]-Games[[#This Row],[OppPreGmRate]])))*IF(Games[[#This Row],[OT]]=1,0.9,1)</f>
        <v>0.49395406891292892</v>
      </c>
      <c r="X213" s="7" cm="1">
        <f t="array" ref="X2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3" s="9">
        <f>MAX(kmin, kmax - 0.15 * MIN(Games[[#This Row],[GamesPlayed]], 82))</f>
        <v>73.3</v>
      </c>
      <c r="Z213" s="4">
        <f>Games[[#This Row],[K]]*Games[[#This Row],[POMult]]</f>
        <v>73.3</v>
      </c>
      <c r="AA213" s="4">
        <f>(Games[[#This Row],[Keff]]*Games[[#This Row],[MOVMult]])*(Games[[#This Row],[Result]]-Games[[#This Row],[ExpectedWin%]])</f>
        <v>-17.796188927507046</v>
      </c>
      <c r="AB213" s="4">
        <f>Games[[#This Row],[PreGmRate]]+Games[[#This Row],[RatingChange]]</f>
        <v>1344.9036735670511</v>
      </c>
      <c r="AC213" s="2">
        <f>IF(Games[[#This Row],[Type]]="R",IF(Games[[#This Row],[Result]]&gt;0.5,1,0),0)</f>
        <v>0</v>
      </c>
      <c r="AD213" s="2">
        <f>IF(Games[[#This Row],[Type]]="R",IF(Games[[#This Row],[Result]]&lt;0.5,1,0),0)</f>
        <v>1</v>
      </c>
      <c r="AE213" s="2">
        <f>IF(AND(Games[[#This Row],[Type]]="P",Games[[#This Row],[Round]]=1),IF(Games[[#This Row],[Result]]&gt;0.5,1,0),0)</f>
        <v>0</v>
      </c>
      <c r="AF213" s="2">
        <f>IF(AND(Games[[#This Row],[Type]]="P",Games[[#This Row],[Round]]=1),IF(Games[[#This Row],[Result]]&lt;0.5,1,0),0)</f>
        <v>0</v>
      </c>
      <c r="AG213" s="2">
        <f>IF(AND(Games[[#This Row],[Type]]="P",Games[[#This Row],[Round]]=2),IF(Games[[#This Row],[Result]]&gt;0.5,1,0),0)</f>
        <v>0</v>
      </c>
      <c r="AH213" s="2">
        <f>IF(AND(Games[[#This Row],[Type]]="P",Games[[#This Row],[Round]]=2),IF(Games[[#This Row],[Result]]&lt;0.5,1,0),0)</f>
        <v>0</v>
      </c>
      <c r="AI213" s="2">
        <f>IF(AND(Games[[#This Row],[Type]]="P",Games[[#This Row],[Round]]=3),IF(Games[[#This Row],[Result]]&gt;0.5,1,0),0)</f>
        <v>0</v>
      </c>
      <c r="AJ213" s="2">
        <f>IF(AND(Games[[#This Row],[Type]]="P",Games[[#This Row],[Round]]=3),IF(Games[[#This Row],[Result]]&lt;0.5,1,0),0)</f>
        <v>0</v>
      </c>
      <c r="AK213" s="2">
        <f>IF(AND(Games[[#This Row],[Type]]="P",Games[[#This Row],[Round]]=4),IF(Games[[#This Row],[Result]]&gt;0.5,1,0),0)</f>
        <v>0</v>
      </c>
      <c r="AL213" s="2">
        <f>IF(AND(Games[[#This Row],[Type]]="P",Games[[#This Row],[Round]]=4),IF(Games[[#This Row],[Result]]&lt;0.5,1,0),0)</f>
        <v>0</v>
      </c>
    </row>
    <row r="214" spans="1:38" x14ac:dyDescent="0.35">
      <c r="A214" s="10">
        <v>40373</v>
      </c>
      <c r="B214" s="2">
        <v>2010</v>
      </c>
      <c r="C214" s="2">
        <f>COUNTIFS(Games[Team],Games[[#This Row],[Team]],Games[Season],Games[[#This Row],[Season]],Games[Date],"&lt;=" &amp; Games[[#This Row],[Date]])</f>
        <v>17</v>
      </c>
      <c r="D214" s="2" t="s">
        <v>23</v>
      </c>
      <c r="E214" s="2" t="s">
        <v>29</v>
      </c>
      <c r="F214" s="1" t="s">
        <v>78</v>
      </c>
      <c r="G214" s="1" t="s">
        <v>81</v>
      </c>
      <c r="H214" s="1" t="s">
        <v>16</v>
      </c>
      <c r="I214" s="2" cm="1">
        <f t="array" ref="I214">IFERROR(
    Games[[#This Row],[Date]]
    - LOOKUP(
        2,
        1/((Games[Team]=Games[[#This Row],[Team]]) * (Games[Date] &lt; Games[[#This Row],[Date]])),
        Games[Date]
    )
    - 1,
Games[[#This Row],[Date]]-$A$2)</f>
        <v>5</v>
      </c>
      <c r="J214" s="2" cm="1">
        <f t="array" ref="J21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14" s="2">
        <f>Games[[#This Row],[DaysOff]]-Games[[#This Row],[OppDaysOff]]</f>
        <v>3</v>
      </c>
      <c r="L214" s="2">
        <f>Games[[#This Row],[OppDaysOff]]-Games[[#This Row],[DaysOff]]</f>
        <v>-3</v>
      </c>
      <c r="M214" s="1">
        <f>MAX(-16, MIN(16, Games[[#This Row],[RestDiff]]*8))</f>
        <v>16</v>
      </c>
      <c r="N214" s="1">
        <f>MAX(-16, MIN(16, Games[[#This Row],[OppRestDiff]]*8))</f>
        <v>-16</v>
      </c>
      <c r="O214" s="4" cm="1">
        <f t="array" ref="O2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1446.5321262939533</v>
      </c>
      <c r="P214" s="4" cm="1">
        <f t="array" ref="P2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1474.1072024420782</v>
      </c>
      <c r="Q214" s="4">
        <f>1/(1+10^(((Games[[#This Row],[OppPreGmRate]]+IF(Games[[#This Row],[HomeAway]]="A",HCA,0)+Games[[#This Row],[OppRestAdj]])-(Games[[#This Row],[PreGmRate]]+IF(Games[[#This Row],[HomeAway]]="H",HCA,0)+Games[[#This Row],[RestAdj]]))/400))</f>
        <v>0.38744354534688941</v>
      </c>
      <c r="R214" s="1">
        <v>61</v>
      </c>
      <c r="S214" s="1">
        <v>88</v>
      </c>
      <c r="T214" s="1">
        <v>0</v>
      </c>
      <c r="U214" s="1">
        <f>Games[[#This Row],[PointsFor]]-Games[[#This Row],[PointsAgainst]]</f>
        <v>-27</v>
      </c>
      <c r="V214" s="1">
        <f>IF(Games[[#This Row],[MOV]]&gt;0,1,IF(Games[[#This Row],[MOV]]=0,0.5,0))</f>
        <v>0</v>
      </c>
      <c r="W214" s="4">
        <f>((ABS(Games[[#This Row],[MOV]])+5)^0.6)/(12+0.01*(ABS(Games[[#This Row],[PreGmRate]]-Games[[#This Row],[OppPreGmRate]])))*IF(Games[[#This Row],[OT]]=1,0.9,1)</f>
        <v>0.65169130226253313</v>
      </c>
      <c r="X214" s="7" cm="1">
        <f t="array" ref="X2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4" s="9">
        <f>MAX(kmin, kmax - 0.15 * MIN(Games[[#This Row],[GamesPlayed]], 82))</f>
        <v>73.45</v>
      </c>
      <c r="Z214" s="4">
        <f>Games[[#This Row],[K]]*Games[[#This Row],[POMult]]</f>
        <v>73.45</v>
      </c>
      <c r="AA214" s="4">
        <f>(Games[[#This Row],[Keff]]*Games[[#This Row],[MOVMult]])*(Games[[#This Row],[Result]]-Games[[#This Row],[ExpectedWin%]])</f>
        <v>-18.545654084163029</v>
      </c>
      <c r="AB214" s="4">
        <f>Games[[#This Row],[PreGmRate]]+Games[[#This Row],[RatingChange]]</f>
        <v>1427.9864722097902</v>
      </c>
      <c r="AC214" s="2">
        <f>IF(Games[[#This Row],[Type]]="R",IF(Games[[#This Row],[Result]]&gt;0.5,1,0),0)</f>
        <v>0</v>
      </c>
      <c r="AD214" s="2">
        <f>IF(Games[[#This Row],[Type]]="R",IF(Games[[#This Row],[Result]]&lt;0.5,1,0),0)</f>
        <v>1</v>
      </c>
      <c r="AE214" s="2">
        <f>IF(AND(Games[[#This Row],[Type]]="P",Games[[#This Row],[Round]]=1),IF(Games[[#This Row],[Result]]&gt;0.5,1,0),0)</f>
        <v>0</v>
      </c>
      <c r="AF214" s="2">
        <f>IF(AND(Games[[#This Row],[Type]]="P",Games[[#This Row],[Round]]=1),IF(Games[[#This Row],[Result]]&lt;0.5,1,0),0)</f>
        <v>0</v>
      </c>
      <c r="AG214" s="2">
        <f>IF(AND(Games[[#This Row],[Type]]="P",Games[[#This Row],[Round]]=2),IF(Games[[#This Row],[Result]]&gt;0.5,1,0),0)</f>
        <v>0</v>
      </c>
      <c r="AH214" s="2">
        <f>IF(AND(Games[[#This Row],[Type]]="P",Games[[#This Row],[Round]]=2),IF(Games[[#This Row],[Result]]&lt;0.5,1,0),0)</f>
        <v>0</v>
      </c>
      <c r="AI214" s="2">
        <f>IF(AND(Games[[#This Row],[Type]]="P",Games[[#This Row],[Round]]=3),IF(Games[[#This Row],[Result]]&gt;0.5,1,0),0)</f>
        <v>0</v>
      </c>
      <c r="AJ214" s="2">
        <f>IF(AND(Games[[#This Row],[Type]]="P",Games[[#This Row],[Round]]=3),IF(Games[[#This Row],[Result]]&lt;0.5,1,0),0)</f>
        <v>0</v>
      </c>
      <c r="AK214" s="2">
        <f>IF(AND(Games[[#This Row],[Type]]="P",Games[[#This Row],[Round]]=4),IF(Games[[#This Row],[Result]]&gt;0.5,1,0),0)</f>
        <v>0</v>
      </c>
      <c r="AL214" s="2">
        <f>IF(AND(Games[[#This Row],[Type]]="P",Games[[#This Row],[Round]]=4),IF(Games[[#This Row],[Result]]&lt;0.5,1,0),0)</f>
        <v>0</v>
      </c>
    </row>
    <row r="215" spans="1:38" x14ac:dyDescent="0.35">
      <c r="A215" s="10">
        <v>40373</v>
      </c>
      <c r="B215" s="2">
        <v>2010</v>
      </c>
      <c r="C215" s="2">
        <f>COUNTIFS(Games[Team],Games[[#This Row],[Team]],Games[Season],Games[[#This Row],[Season]],Games[Date],"&lt;=" &amp; Games[[#This Row],[Date]])</f>
        <v>20</v>
      </c>
      <c r="D215" s="2" t="s">
        <v>23</v>
      </c>
      <c r="E215" s="2" t="s">
        <v>29</v>
      </c>
      <c r="F215" s="1" t="s">
        <v>81</v>
      </c>
      <c r="G215" s="1" t="s">
        <v>78</v>
      </c>
      <c r="H215" s="1" t="s">
        <v>15</v>
      </c>
      <c r="I215" s="2" cm="1">
        <f t="array" ref="I215">IFERROR(
    Games[[#This Row],[Date]]
    - LOOKUP(
        2,
        1/((Games[Team]=Games[[#This Row],[Team]]) * (Games[Date] &lt; Games[[#This Row],[Date]])),
        Games[Date]
    )
    - 1,
Games[[#This Row],[Date]]-$A$2)</f>
        <v>2</v>
      </c>
      <c r="J215" s="2" cm="1">
        <f t="array" ref="J215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15" s="2">
        <f>Games[[#This Row],[DaysOff]]-Games[[#This Row],[OppDaysOff]]</f>
        <v>-3</v>
      </c>
      <c r="L215" s="2">
        <f>Games[[#This Row],[OppDaysOff]]-Games[[#This Row],[DaysOff]]</f>
        <v>3</v>
      </c>
      <c r="M215" s="1">
        <f>MAX(-16, MIN(16, Games[[#This Row],[RestDiff]]*8))</f>
        <v>-16</v>
      </c>
      <c r="N215" s="1">
        <f>MAX(-16, MIN(16, Games[[#This Row],[OppRestDiff]]*8))</f>
        <v>16</v>
      </c>
      <c r="O215" s="4" cm="1">
        <f t="array" ref="O2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1474.1072024420782</v>
      </c>
      <c r="P215" s="4" cm="1">
        <f t="array" ref="P2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1446.5321262939533</v>
      </c>
      <c r="Q215" s="4">
        <f>1/(1+10^(((Games[[#This Row],[OppPreGmRate]]+IF(Games[[#This Row],[HomeAway]]="A",HCA,0)+Games[[#This Row],[OppRestAdj]])-(Games[[#This Row],[PreGmRate]]+IF(Games[[#This Row],[HomeAway]]="H",HCA,0)+Games[[#This Row],[RestAdj]]))/400))</f>
        <v>0.61255645465311048</v>
      </c>
      <c r="R215" s="1">
        <v>88</v>
      </c>
      <c r="S215" s="1">
        <v>61</v>
      </c>
      <c r="T215" s="1">
        <v>0</v>
      </c>
      <c r="U215" s="1">
        <f>Games[[#This Row],[PointsFor]]-Games[[#This Row],[PointsAgainst]]</f>
        <v>27</v>
      </c>
      <c r="V215" s="1">
        <f>IF(Games[[#This Row],[MOV]]&gt;0,1,IF(Games[[#This Row],[MOV]]=0,0.5,0))</f>
        <v>1</v>
      </c>
      <c r="W215" s="4">
        <f>((ABS(Games[[#This Row],[MOV]])+5)^0.6)/(12+0.01*(ABS(Games[[#This Row],[PreGmRate]]-Games[[#This Row],[OppPreGmRate]])))*IF(Games[[#This Row],[OT]]=1,0.9,1)</f>
        <v>0.65169130226253313</v>
      </c>
      <c r="X215" s="7" cm="1">
        <f t="array" ref="X2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5" s="9">
        <f>MAX(kmin, kmax - 0.15 * MIN(Games[[#This Row],[GamesPlayed]], 82))</f>
        <v>73</v>
      </c>
      <c r="Z215" s="4">
        <f>Games[[#This Row],[K]]*Games[[#This Row],[POMult]]</f>
        <v>73</v>
      </c>
      <c r="AA215" s="4">
        <f>(Games[[#This Row],[Keff]]*Games[[#This Row],[MOVMult]])*(Games[[#This Row],[Result]]-Games[[#This Row],[ExpectedWin%]])</f>
        <v>18.432031969283887</v>
      </c>
      <c r="AB215" s="4">
        <f>Games[[#This Row],[PreGmRate]]+Games[[#This Row],[RatingChange]]</f>
        <v>1492.539234411362</v>
      </c>
      <c r="AC215" s="2">
        <f>IF(Games[[#This Row],[Type]]="R",IF(Games[[#This Row],[Result]]&gt;0.5,1,0),0)</f>
        <v>1</v>
      </c>
      <c r="AD215" s="2">
        <f>IF(Games[[#This Row],[Type]]="R",IF(Games[[#This Row],[Result]]&lt;0.5,1,0),0)</f>
        <v>0</v>
      </c>
      <c r="AE215" s="2">
        <f>IF(AND(Games[[#This Row],[Type]]="P",Games[[#This Row],[Round]]=1),IF(Games[[#This Row],[Result]]&gt;0.5,1,0),0)</f>
        <v>0</v>
      </c>
      <c r="AF215" s="2">
        <f>IF(AND(Games[[#This Row],[Type]]="P",Games[[#This Row],[Round]]=1),IF(Games[[#This Row],[Result]]&lt;0.5,1,0),0)</f>
        <v>0</v>
      </c>
      <c r="AG215" s="2">
        <f>IF(AND(Games[[#This Row],[Type]]="P",Games[[#This Row],[Round]]=2),IF(Games[[#This Row],[Result]]&gt;0.5,1,0),0)</f>
        <v>0</v>
      </c>
      <c r="AH215" s="2">
        <f>IF(AND(Games[[#This Row],[Type]]="P",Games[[#This Row],[Round]]=2),IF(Games[[#This Row],[Result]]&lt;0.5,1,0),0)</f>
        <v>0</v>
      </c>
      <c r="AI215" s="2">
        <f>IF(AND(Games[[#This Row],[Type]]="P",Games[[#This Row],[Round]]=3),IF(Games[[#This Row],[Result]]&gt;0.5,1,0),0)</f>
        <v>0</v>
      </c>
      <c r="AJ215" s="2">
        <f>IF(AND(Games[[#This Row],[Type]]="P",Games[[#This Row],[Round]]=3),IF(Games[[#This Row],[Result]]&lt;0.5,1,0),0)</f>
        <v>0</v>
      </c>
      <c r="AK215" s="2">
        <f>IF(AND(Games[[#This Row],[Type]]="P",Games[[#This Row],[Round]]=4),IF(Games[[#This Row],[Result]]&gt;0.5,1,0),0)</f>
        <v>0</v>
      </c>
      <c r="AL215" s="2">
        <f>IF(AND(Games[[#This Row],[Type]]="P",Games[[#This Row],[Round]]=4),IF(Games[[#This Row],[Result]]&lt;0.5,1,0),0)</f>
        <v>0</v>
      </c>
    </row>
    <row r="216" spans="1:38" x14ac:dyDescent="0.35">
      <c r="A216" s="10">
        <v>40373</v>
      </c>
      <c r="B216" s="2">
        <v>2010</v>
      </c>
      <c r="C216" s="2">
        <f>COUNTIFS(Games[Team],Games[[#This Row],[Team]],Games[Season],Games[[#This Row],[Season]],Games[Date],"&lt;=" &amp; Games[[#This Row],[Date]])</f>
        <v>19</v>
      </c>
      <c r="D216" s="2" t="s">
        <v>23</v>
      </c>
      <c r="E216" s="2" t="s">
        <v>29</v>
      </c>
      <c r="F216" s="1" t="s">
        <v>80</v>
      </c>
      <c r="G216" s="1" t="s">
        <v>73</v>
      </c>
      <c r="H216" s="1" t="s">
        <v>16</v>
      </c>
      <c r="I216" s="2" cm="1">
        <f t="array" ref="I216">IFERROR(
    Games[[#This Row],[Date]]
    - LOOKUP(
        2,
        1/((Games[Team]=Games[[#This Row],[Team]]) * (Games[Date] &lt; Games[[#This Row],[Date]])),
        Games[Date]
    )
    - 1,
Games[[#This Row],[Date]]-$A$2)</f>
        <v>6</v>
      </c>
      <c r="J216" s="2" cm="1">
        <f t="array" ref="J216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16" s="2">
        <f>Games[[#This Row],[DaysOff]]-Games[[#This Row],[OppDaysOff]]</f>
        <v>1</v>
      </c>
      <c r="L216" s="2">
        <f>Games[[#This Row],[OppDaysOff]]-Games[[#This Row],[DaysOff]]</f>
        <v>-1</v>
      </c>
      <c r="M216" s="1">
        <f>MAX(-16, MIN(16, Games[[#This Row],[RestDiff]]*8))</f>
        <v>8</v>
      </c>
      <c r="N216" s="1">
        <f>MAX(-16, MIN(16, Games[[#This Row],[OppRestDiff]]*8))</f>
        <v>-8</v>
      </c>
      <c r="O216" s="4" cm="1">
        <f t="array" ref="O2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1504.860402981526</v>
      </c>
      <c r="P216" s="4" cm="1">
        <f t="array" ref="P2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1594.223739675007</v>
      </c>
      <c r="Q216" s="4">
        <f>1/(1+10^(((Games[[#This Row],[OppPreGmRate]]+IF(Games[[#This Row],[HomeAway]]="A",HCA,0)+Games[[#This Row],[OppRestAdj]])-(Games[[#This Row],[PreGmRate]]+IF(Games[[#This Row],[HomeAway]]="H",HCA,0)+Games[[#This Row],[RestAdj]]))/400))</f>
        <v>0.28784853822683193</v>
      </c>
      <c r="R216" s="1">
        <v>77</v>
      </c>
      <c r="S216" s="1">
        <v>68</v>
      </c>
      <c r="T216" s="1">
        <v>0</v>
      </c>
      <c r="U216" s="1">
        <f>Games[[#This Row],[PointsFor]]-Games[[#This Row],[PointsAgainst]]</f>
        <v>9</v>
      </c>
      <c r="V216" s="1">
        <f>IF(Games[[#This Row],[MOV]]&gt;0,1,IF(Games[[#This Row],[MOV]]=0,0.5,0))</f>
        <v>1</v>
      </c>
      <c r="W216" s="4">
        <f>((ABS(Games[[#This Row],[MOV]])+5)^0.6)/(12+0.01*(ABS(Games[[#This Row],[PreGmRate]]-Games[[#This Row],[OppPreGmRate]])))*IF(Games[[#This Row],[OT]]=1,0.9,1)</f>
        <v>0.37783440765890558</v>
      </c>
      <c r="X216" s="7" cm="1">
        <f t="array" ref="X2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6" s="9">
        <f>MAX(kmin, kmax - 0.15 * MIN(Games[[#This Row],[GamesPlayed]], 82))</f>
        <v>73.150000000000006</v>
      </c>
      <c r="Z216" s="4">
        <f>Games[[#This Row],[K]]*Games[[#This Row],[POMult]]</f>
        <v>73.150000000000006</v>
      </c>
      <c r="AA216" s="4">
        <f>(Games[[#This Row],[Keff]]*Games[[#This Row],[MOVMult]])*(Games[[#This Row],[Result]]-Games[[#This Row],[ExpectedWin%]])</f>
        <v>19.682860076600051</v>
      </c>
      <c r="AB216" s="4">
        <f>Games[[#This Row],[PreGmRate]]+Games[[#This Row],[RatingChange]]</f>
        <v>1524.5432630581261</v>
      </c>
      <c r="AC216" s="2">
        <f>IF(Games[[#This Row],[Type]]="R",IF(Games[[#This Row],[Result]]&gt;0.5,1,0),0)</f>
        <v>1</v>
      </c>
      <c r="AD216" s="2">
        <f>IF(Games[[#This Row],[Type]]="R",IF(Games[[#This Row],[Result]]&lt;0.5,1,0),0)</f>
        <v>0</v>
      </c>
      <c r="AE216" s="2">
        <f>IF(AND(Games[[#This Row],[Type]]="P",Games[[#This Row],[Round]]=1),IF(Games[[#This Row],[Result]]&gt;0.5,1,0),0)</f>
        <v>0</v>
      </c>
      <c r="AF216" s="2">
        <f>IF(AND(Games[[#This Row],[Type]]="P",Games[[#This Row],[Round]]=1),IF(Games[[#This Row],[Result]]&lt;0.5,1,0),0)</f>
        <v>0</v>
      </c>
      <c r="AG216" s="2">
        <f>IF(AND(Games[[#This Row],[Type]]="P",Games[[#This Row],[Round]]=2),IF(Games[[#This Row],[Result]]&gt;0.5,1,0),0)</f>
        <v>0</v>
      </c>
      <c r="AH216" s="2">
        <f>IF(AND(Games[[#This Row],[Type]]="P",Games[[#This Row],[Round]]=2),IF(Games[[#This Row],[Result]]&lt;0.5,1,0),0)</f>
        <v>0</v>
      </c>
      <c r="AI216" s="2">
        <f>IF(AND(Games[[#This Row],[Type]]="P",Games[[#This Row],[Round]]=3),IF(Games[[#This Row],[Result]]&gt;0.5,1,0),0)</f>
        <v>0</v>
      </c>
      <c r="AJ216" s="2">
        <f>IF(AND(Games[[#This Row],[Type]]="P",Games[[#This Row],[Round]]=3),IF(Games[[#This Row],[Result]]&lt;0.5,1,0),0)</f>
        <v>0</v>
      </c>
      <c r="AK216" s="2">
        <f>IF(AND(Games[[#This Row],[Type]]="P",Games[[#This Row],[Round]]=4),IF(Games[[#This Row],[Result]]&gt;0.5,1,0),0)</f>
        <v>0</v>
      </c>
      <c r="AL216" s="2">
        <f>IF(AND(Games[[#This Row],[Type]]="P",Games[[#This Row],[Round]]=4),IF(Games[[#This Row],[Result]]&lt;0.5,1,0),0)</f>
        <v>0</v>
      </c>
    </row>
    <row r="217" spans="1:38" x14ac:dyDescent="0.35">
      <c r="A217" s="10">
        <v>40373</v>
      </c>
      <c r="B217" s="2">
        <v>2010</v>
      </c>
      <c r="C217" s="2">
        <f>COUNTIFS(Games[Team],Games[[#This Row],[Team]],Games[Season],Games[[#This Row],[Season]],Games[Date],"&lt;=" &amp; Games[[#This Row],[Date]])</f>
        <v>18</v>
      </c>
      <c r="D217" s="2" t="s">
        <v>23</v>
      </c>
      <c r="E217" s="2" t="s">
        <v>29</v>
      </c>
      <c r="F217" s="1" t="s">
        <v>73</v>
      </c>
      <c r="G217" s="1" t="s">
        <v>80</v>
      </c>
      <c r="H217" s="1" t="s">
        <v>15</v>
      </c>
      <c r="I217" s="2" cm="1">
        <f t="array" ref="I217">IFERROR(
    Games[[#This Row],[Date]]
    - LOOKUP(
        2,
        1/((Games[Team]=Games[[#This Row],[Team]]) * (Games[Date] &lt; Games[[#This Row],[Date]])),
        Games[Date]
    )
    - 1,
Games[[#This Row],[Date]]-$A$2)</f>
        <v>5</v>
      </c>
      <c r="J217" s="2" cm="1">
        <f t="array" ref="J217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217" s="2">
        <f>Games[[#This Row],[DaysOff]]-Games[[#This Row],[OppDaysOff]]</f>
        <v>-1</v>
      </c>
      <c r="L217" s="2">
        <f>Games[[#This Row],[OppDaysOff]]-Games[[#This Row],[DaysOff]]</f>
        <v>1</v>
      </c>
      <c r="M217" s="1">
        <f>MAX(-16, MIN(16, Games[[#This Row],[RestDiff]]*8))</f>
        <v>-8</v>
      </c>
      <c r="N217" s="1">
        <f>MAX(-16, MIN(16, Games[[#This Row],[OppRestDiff]]*8))</f>
        <v>8</v>
      </c>
      <c r="O217" s="4" cm="1">
        <f t="array" ref="O2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1594.223739675007</v>
      </c>
      <c r="P217" s="4" cm="1">
        <f t="array" ref="P2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1504.860402981526</v>
      </c>
      <c r="Q217" s="4">
        <f>1/(1+10^(((Games[[#This Row],[OppPreGmRate]]+IF(Games[[#This Row],[HomeAway]]="A",HCA,0)+Games[[#This Row],[OppRestAdj]])-(Games[[#This Row],[PreGmRate]]+IF(Games[[#This Row],[HomeAway]]="H",HCA,0)+Games[[#This Row],[RestAdj]]))/400))</f>
        <v>0.71215146177316802</v>
      </c>
      <c r="R217" s="1">
        <v>68</v>
      </c>
      <c r="S217" s="1">
        <v>77</v>
      </c>
      <c r="T217" s="1">
        <v>0</v>
      </c>
      <c r="U217" s="1">
        <f>Games[[#This Row],[PointsFor]]-Games[[#This Row],[PointsAgainst]]</f>
        <v>-9</v>
      </c>
      <c r="V217" s="1">
        <f>IF(Games[[#This Row],[MOV]]&gt;0,1,IF(Games[[#This Row],[MOV]]=0,0.5,0))</f>
        <v>0</v>
      </c>
      <c r="W217" s="4">
        <f>((ABS(Games[[#This Row],[MOV]])+5)^0.6)/(12+0.01*(ABS(Games[[#This Row],[PreGmRate]]-Games[[#This Row],[OppPreGmRate]])))*IF(Games[[#This Row],[OT]]=1,0.9,1)</f>
        <v>0.37783440765890558</v>
      </c>
      <c r="X217" s="7" cm="1">
        <f t="array" ref="X2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7" s="9">
        <f>MAX(kmin, kmax - 0.15 * MIN(Games[[#This Row],[GamesPlayed]], 82))</f>
        <v>73.3</v>
      </c>
      <c r="Z217" s="4">
        <f>Games[[#This Row],[K]]*Games[[#This Row],[POMult]]</f>
        <v>73.3</v>
      </c>
      <c r="AA217" s="4">
        <f>(Games[[#This Row],[Keff]]*Games[[#This Row],[MOVMult]])*(Games[[#This Row],[Result]]-Games[[#This Row],[ExpectedWin%]])</f>
        <v>-19.723221375458419</v>
      </c>
      <c r="AB217" s="4">
        <f>Games[[#This Row],[PreGmRate]]+Games[[#This Row],[RatingChange]]</f>
        <v>1574.5005182995485</v>
      </c>
      <c r="AC217" s="2">
        <f>IF(Games[[#This Row],[Type]]="R",IF(Games[[#This Row],[Result]]&gt;0.5,1,0),0)</f>
        <v>0</v>
      </c>
      <c r="AD217" s="2">
        <f>IF(Games[[#This Row],[Type]]="R",IF(Games[[#This Row],[Result]]&lt;0.5,1,0),0)</f>
        <v>1</v>
      </c>
      <c r="AE217" s="2">
        <f>IF(AND(Games[[#This Row],[Type]]="P",Games[[#This Row],[Round]]=1),IF(Games[[#This Row],[Result]]&gt;0.5,1,0),0)</f>
        <v>0</v>
      </c>
      <c r="AF217" s="2">
        <f>IF(AND(Games[[#This Row],[Type]]="P",Games[[#This Row],[Round]]=1),IF(Games[[#This Row],[Result]]&lt;0.5,1,0),0)</f>
        <v>0</v>
      </c>
      <c r="AG217" s="2">
        <f>IF(AND(Games[[#This Row],[Type]]="P",Games[[#This Row],[Round]]=2),IF(Games[[#This Row],[Result]]&gt;0.5,1,0),0)</f>
        <v>0</v>
      </c>
      <c r="AH217" s="2">
        <f>IF(AND(Games[[#This Row],[Type]]="P",Games[[#This Row],[Round]]=2),IF(Games[[#This Row],[Result]]&lt;0.5,1,0),0)</f>
        <v>0</v>
      </c>
      <c r="AI217" s="2">
        <f>IF(AND(Games[[#This Row],[Type]]="P",Games[[#This Row],[Round]]=3),IF(Games[[#This Row],[Result]]&gt;0.5,1,0),0)</f>
        <v>0</v>
      </c>
      <c r="AJ217" s="2">
        <f>IF(AND(Games[[#This Row],[Type]]="P",Games[[#This Row],[Round]]=3),IF(Games[[#This Row],[Result]]&lt;0.5,1,0),0)</f>
        <v>0</v>
      </c>
      <c r="AK217" s="2">
        <f>IF(AND(Games[[#This Row],[Type]]="P",Games[[#This Row],[Round]]=4),IF(Games[[#This Row],[Result]]&gt;0.5,1,0),0)</f>
        <v>0</v>
      </c>
      <c r="AL217" s="2">
        <f>IF(AND(Games[[#This Row],[Type]]="P",Games[[#This Row],[Round]]=4),IF(Games[[#This Row],[Result]]&lt;0.5,1,0),0)</f>
        <v>0</v>
      </c>
    </row>
    <row r="218" spans="1:38" x14ac:dyDescent="0.35">
      <c r="A218" s="10">
        <v>40373</v>
      </c>
      <c r="B218" s="2">
        <v>2010</v>
      </c>
      <c r="C218" s="2">
        <f>COUNTIFS(Games[Team],Games[[#This Row],[Team]],Games[Season],Games[[#This Row],[Season]],Games[Date],"&lt;=" &amp; Games[[#This Row],[Date]])</f>
        <v>20</v>
      </c>
      <c r="D218" s="2" t="s">
        <v>23</v>
      </c>
      <c r="E218" s="2" t="s">
        <v>29</v>
      </c>
      <c r="F218" s="1" t="s">
        <v>83</v>
      </c>
      <c r="G218" s="1" t="s">
        <v>71</v>
      </c>
      <c r="H218" s="1" t="s">
        <v>16</v>
      </c>
      <c r="I218" s="2" cm="1">
        <f t="array" ref="I218">IFERROR(
    Games[[#This Row],[Date]]
    - LOOKUP(
        2,
        1/((Games[Team]=Games[[#This Row],[Team]]) * (Games[Date] &lt; Games[[#This Row],[Date]])),
        Games[Date]
    )
    - 1,
Games[[#This Row],[Date]]-$A$2)</f>
        <v>6</v>
      </c>
      <c r="J218" s="2" cm="1">
        <f t="array" ref="J218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18" s="2">
        <f>Games[[#This Row],[DaysOff]]-Games[[#This Row],[OppDaysOff]]</f>
        <v>1</v>
      </c>
      <c r="L218" s="2">
        <f>Games[[#This Row],[OppDaysOff]]-Games[[#This Row],[DaysOff]]</f>
        <v>-1</v>
      </c>
      <c r="M218" s="1">
        <f>MAX(-16, MIN(16, Games[[#This Row],[RestDiff]]*8))</f>
        <v>8</v>
      </c>
      <c r="N218" s="1">
        <f>MAX(-16, MIN(16, Games[[#This Row],[OppRestDiff]]*8))</f>
        <v>-8</v>
      </c>
      <c r="O218" s="4" cm="1">
        <f t="array" ref="O2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1570.3405579529849</v>
      </c>
      <c r="P218" s="4" cm="1">
        <f t="array" ref="P2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1427.3947673010071</v>
      </c>
      <c r="Q218" s="4">
        <f>1/(1+10^(((Games[[#This Row],[OppPreGmRate]]+IF(Games[[#This Row],[HomeAway]]="A",HCA,0)+Games[[#This Row],[OppRestAdj]])-(Games[[#This Row],[PreGmRate]]+IF(Games[[#This Row],[HomeAway]]="H",HCA,0)+Games[[#This Row],[RestAdj]]))/400))</f>
        <v>0.60621333309919068</v>
      </c>
      <c r="R218" s="1">
        <v>81</v>
      </c>
      <c r="S218" s="1">
        <v>83</v>
      </c>
      <c r="T218" s="1">
        <v>0</v>
      </c>
      <c r="U218" s="1">
        <f>Games[[#This Row],[PointsFor]]-Games[[#This Row],[PointsAgainst]]</f>
        <v>-2</v>
      </c>
      <c r="V218" s="1">
        <f>IF(Games[[#This Row],[MOV]]&gt;0,1,IF(Games[[#This Row],[MOV]]=0,0.5,0))</f>
        <v>0</v>
      </c>
      <c r="W218" s="4">
        <f>((ABS(Games[[#This Row],[MOV]])+5)^0.6)/(12+0.01*(ABS(Games[[#This Row],[PreGmRate]]-Games[[#This Row],[OppPreGmRate]])))*IF(Games[[#This Row],[OT]]=1,0.9,1)</f>
        <v>0.23933176395419864</v>
      </c>
      <c r="X218" s="7" cm="1">
        <f t="array" ref="X2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8" s="9">
        <f>MAX(kmin, kmax - 0.15 * MIN(Games[[#This Row],[GamesPlayed]], 82))</f>
        <v>73</v>
      </c>
      <c r="Z218" s="4">
        <f>Games[[#This Row],[K]]*Games[[#This Row],[POMult]]</f>
        <v>73</v>
      </c>
      <c r="AA218" s="4">
        <f>(Games[[#This Row],[Keff]]*Games[[#This Row],[MOVMult]])*(Games[[#This Row],[Result]]-Games[[#This Row],[ExpectedWin%]])</f>
        <v>-10.591285763052396</v>
      </c>
      <c r="AB218" s="4">
        <f>Games[[#This Row],[PreGmRate]]+Games[[#This Row],[RatingChange]]</f>
        <v>1559.7492721899325</v>
      </c>
      <c r="AC218" s="2">
        <f>IF(Games[[#This Row],[Type]]="R",IF(Games[[#This Row],[Result]]&gt;0.5,1,0),0)</f>
        <v>0</v>
      </c>
      <c r="AD218" s="2">
        <f>IF(Games[[#This Row],[Type]]="R",IF(Games[[#This Row],[Result]]&lt;0.5,1,0),0)</f>
        <v>1</v>
      </c>
      <c r="AE218" s="2">
        <f>IF(AND(Games[[#This Row],[Type]]="P",Games[[#This Row],[Round]]=1),IF(Games[[#This Row],[Result]]&gt;0.5,1,0),0)</f>
        <v>0</v>
      </c>
      <c r="AF218" s="2">
        <f>IF(AND(Games[[#This Row],[Type]]="P",Games[[#This Row],[Round]]=1),IF(Games[[#This Row],[Result]]&lt;0.5,1,0),0)</f>
        <v>0</v>
      </c>
      <c r="AG218" s="2">
        <f>IF(AND(Games[[#This Row],[Type]]="P",Games[[#This Row],[Round]]=2),IF(Games[[#This Row],[Result]]&gt;0.5,1,0),0)</f>
        <v>0</v>
      </c>
      <c r="AH218" s="2">
        <f>IF(AND(Games[[#This Row],[Type]]="P",Games[[#This Row],[Round]]=2),IF(Games[[#This Row],[Result]]&lt;0.5,1,0),0)</f>
        <v>0</v>
      </c>
      <c r="AI218" s="2">
        <f>IF(AND(Games[[#This Row],[Type]]="P",Games[[#This Row],[Round]]=3),IF(Games[[#This Row],[Result]]&gt;0.5,1,0),0)</f>
        <v>0</v>
      </c>
      <c r="AJ218" s="2">
        <f>IF(AND(Games[[#This Row],[Type]]="P",Games[[#This Row],[Round]]=3),IF(Games[[#This Row],[Result]]&lt;0.5,1,0),0)</f>
        <v>0</v>
      </c>
      <c r="AK218" s="2">
        <f>IF(AND(Games[[#This Row],[Type]]="P",Games[[#This Row],[Round]]=4),IF(Games[[#This Row],[Result]]&gt;0.5,1,0),0)</f>
        <v>0</v>
      </c>
      <c r="AL218" s="2">
        <f>IF(AND(Games[[#This Row],[Type]]="P",Games[[#This Row],[Round]]=4),IF(Games[[#This Row],[Result]]&lt;0.5,1,0),0)</f>
        <v>0</v>
      </c>
    </row>
    <row r="219" spans="1:38" x14ac:dyDescent="0.35">
      <c r="A219" s="10">
        <v>40373</v>
      </c>
      <c r="B219" s="2">
        <v>2010</v>
      </c>
      <c r="C219" s="2">
        <f>COUNTIFS(Games[Team],Games[[#This Row],[Team]],Games[Season],Games[[#This Row],[Season]],Games[Date],"&lt;=" &amp; Games[[#This Row],[Date]])</f>
        <v>18</v>
      </c>
      <c r="D219" s="2" t="s">
        <v>23</v>
      </c>
      <c r="E219" s="2" t="s">
        <v>29</v>
      </c>
      <c r="F219" s="1" t="s">
        <v>71</v>
      </c>
      <c r="G219" s="1" t="s">
        <v>83</v>
      </c>
      <c r="H219" s="1" t="s">
        <v>15</v>
      </c>
      <c r="I219" s="2" cm="1">
        <f t="array" ref="I219">IFERROR(
    Games[[#This Row],[Date]]
    - LOOKUP(
        2,
        1/((Games[Team]=Games[[#This Row],[Team]]) * (Games[Date] &lt; Games[[#This Row],[Date]])),
        Games[Date]
    )
    - 1,
Games[[#This Row],[Date]]-$A$2)</f>
        <v>5</v>
      </c>
      <c r="J219" s="2" cm="1">
        <f t="array" ref="J219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219" s="2">
        <f>Games[[#This Row],[DaysOff]]-Games[[#This Row],[OppDaysOff]]</f>
        <v>-1</v>
      </c>
      <c r="L219" s="2">
        <f>Games[[#This Row],[OppDaysOff]]-Games[[#This Row],[DaysOff]]</f>
        <v>1</v>
      </c>
      <c r="M219" s="1">
        <f>MAX(-16, MIN(16, Games[[#This Row],[RestDiff]]*8))</f>
        <v>-8</v>
      </c>
      <c r="N219" s="1">
        <f>MAX(-16, MIN(16, Games[[#This Row],[OppRestDiff]]*8))</f>
        <v>8</v>
      </c>
      <c r="O219" s="4" cm="1">
        <f t="array" ref="O2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1427.3947673010071</v>
      </c>
      <c r="P219" s="4" cm="1">
        <f t="array" ref="P2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1570.3405579529849</v>
      </c>
      <c r="Q219" s="4">
        <f>1/(1+10^(((Games[[#This Row],[OppPreGmRate]]+IF(Games[[#This Row],[HomeAway]]="A",HCA,0)+Games[[#This Row],[OppRestAdj]])-(Games[[#This Row],[PreGmRate]]+IF(Games[[#This Row],[HomeAway]]="H",HCA,0)+Games[[#This Row],[RestAdj]]))/400))</f>
        <v>0.39378666690080927</v>
      </c>
      <c r="R219" s="1">
        <v>83</v>
      </c>
      <c r="S219" s="1">
        <v>81</v>
      </c>
      <c r="T219" s="1">
        <v>0</v>
      </c>
      <c r="U219" s="1">
        <f>Games[[#This Row],[PointsFor]]-Games[[#This Row],[PointsAgainst]]</f>
        <v>2</v>
      </c>
      <c r="V219" s="1">
        <f>IF(Games[[#This Row],[MOV]]&gt;0,1,IF(Games[[#This Row],[MOV]]=0,0.5,0))</f>
        <v>1</v>
      </c>
      <c r="W219" s="4">
        <f>((ABS(Games[[#This Row],[MOV]])+5)^0.6)/(12+0.01*(ABS(Games[[#This Row],[PreGmRate]]-Games[[#This Row],[OppPreGmRate]])))*IF(Games[[#This Row],[OT]]=1,0.9,1)</f>
        <v>0.23933176395419864</v>
      </c>
      <c r="X219" s="7" cm="1">
        <f t="array" ref="X2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9" s="9">
        <f>MAX(kmin, kmax - 0.15 * MIN(Games[[#This Row],[GamesPlayed]], 82))</f>
        <v>73.3</v>
      </c>
      <c r="Z219" s="4">
        <f>Games[[#This Row],[K]]*Games[[#This Row],[POMult]]</f>
        <v>73.3</v>
      </c>
      <c r="AA219" s="4">
        <f>(Games[[#This Row],[Keff]]*Games[[#This Row],[MOVMult]])*(Games[[#This Row],[Result]]-Games[[#This Row],[ExpectedWin%]])</f>
        <v>10.634811594955352</v>
      </c>
      <c r="AB219" s="4">
        <f>Games[[#This Row],[PreGmRate]]+Games[[#This Row],[RatingChange]]</f>
        <v>1438.0295788959625</v>
      </c>
      <c r="AC219" s="2">
        <f>IF(Games[[#This Row],[Type]]="R",IF(Games[[#This Row],[Result]]&gt;0.5,1,0),0)</f>
        <v>1</v>
      </c>
      <c r="AD219" s="2">
        <f>IF(Games[[#This Row],[Type]]="R",IF(Games[[#This Row],[Result]]&lt;0.5,1,0),0)</f>
        <v>0</v>
      </c>
      <c r="AE219" s="2">
        <f>IF(AND(Games[[#This Row],[Type]]="P",Games[[#This Row],[Round]]=1),IF(Games[[#This Row],[Result]]&gt;0.5,1,0),0)</f>
        <v>0</v>
      </c>
      <c r="AF219" s="2">
        <f>IF(AND(Games[[#This Row],[Type]]="P",Games[[#This Row],[Round]]=1),IF(Games[[#This Row],[Result]]&lt;0.5,1,0),0)</f>
        <v>0</v>
      </c>
      <c r="AG219" s="2">
        <f>IF(AND(Games[[#This Row],[Type]]="P",Games[[#This Row],[Round]]=2),IF(Games[[#This Row],[Result]]&gt;0.5,1,0),0)</f>
        <v>0</v>
      </c>
      <c r="AH219" s="2">
        <f>IF(AND(Games[[#This Row],[Type]]="P",Games[[#This Row],[Round]]=2),IF(Games[[#This Row],[Result]]&lt;0.5,1,0),0)</f>
        <v>0</v>
      </c>
      <c r="AI219" s="2">
        <f>IF(AND(Games[[#This Row],[Type]]="P",Games[[#This Row],[Round]]=3),IF(Games[[#This Row],[Result]]&gt;0.5,1,0),0)</f>
        <v>0</v>
      </c>
      <c r="AJ219" s="2">
        <f>IF(AND(Games[[#This Row],[Type]]="P",Games[[#This Row],[Round]]=3),IF(Games[[#This Row],[Result]]&lt;0.5,1,0),0)</f>
        <v>0</v>
      </c>
      <c r="AK219" s="2">
        <f>IF(AND(Games[[#This Row],[Type]]="P",Games[[#This Row],[Round]]=4),IF(Games[[#This Row],[Result]]&gt;0.5,1,0),0)</f>
        <v>0</v>
      </c>
      <c r="AL219" s="2">
        <f>IF(AND(Games[[#This Row],[Type]]="P",Games[[#This Row],[Round]]=4),IF(Games[[#This Row],[Result]]&lt;0.5,1,0),0)</f>
        <v>0</v>
      </c>
    </row>
    <row r="220" spans="1:38" x14ac:dyDescent="0.35">
      <c r="A220" s="10">
        <v>40373</v>
      </c>
      <c r="B220" s="2">
        <v>2010</v>
      </c>
      <c r="C220" s="2">
        <f>COUNTIFS(Games[Team],Games[[#This Row],[Team]],Games[Season],Games[[#This Row],[Season]],Games[Date],"&lt;=" &amp; Games[[#This Row],[Date]])</f>
        <v>19</v>
      </c>
      <c r="D220" s="2" t="s">
        <v>23</v>
      </c>
      <c r="E220" s="2" t="s">
        <v>29</v>
      </c>
      <c r="F220" s="1" t="s">
        <v>75</v>
      </c>
      <c r="G220" s="1" t="s">
        <v>44</v>
      </c>
      <c r="H220" s="1" t="s">
        <v>16</v>
      </c>
      <c r="I220" s="2" cm="1">
        <f t="array" ref="I220">IFERROR(
    Games[[#This Row],[Date]]
    - LOOKUP(
        2,
        1/((Games[Team]=Games[[#This Row],[Team]]) * (Games[Date] &lt; Games[[#This Row],[Date]])),
        Games[Date]
    )
    - 1,
Games[[#This Row],[Date]]-$A$2)</f>
        <v>7</v>
      </c>
      <c r="J220" s="2" cm="1">
        <f t="array" ref="J220">IFERROR(
    Games[[#This Row],[Date]]
    - LOOKUP(
        2,
        1/((Games[Opponent]=Games[[#This Row],[Opponent]]) * (Games[Date] &lt; Games[[#This Row],[Date]])),
        Games[Date]
    )
    - 1,
Games[[#This Row],[Date]]-$A$2)</f>
        <v>7</v>
      </c>
      <c r="K220" s="2">
        <f>Games[[#This Row],[DaysOff]]-Games[[#This Row],[OppDaysOff]]</f>
        <v>0</v>
      </c>
      <c r="L220" s="2">
        <f>Games[[#This Row],[OppDaysOff]]-Games[[#This Row],[DaysOff]]</f>
        <v>0</v>
      </c>
      <c r="M220" s="1">
        <f>MAX(-16, MIN(16, Games[[#This Row],[RestDiff]]*8))</f>
        <v>0</v>
      </c>
      <c r="N220" s="1">
        <f>MAX(-16, MIN(16, Games[[#This Row],[OppRestDiff]]*8))</f>
        <v>0</v>
      </c>
      <c r="O220" s="4" cm="1">
        <f t="array" ref="O2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1661.903527632162</v>
      </c>
      <c r="P220" s="4" cm="1">
        <f t="array" ref="P2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1517.8290421106008</v>
      </c>
      <c r="Q220" s="4">
        <f>1/(1+10^(((Games[[#This Row],[OppPreGmRate]]+IF(Games[[#This Row],[HomeAway]]="A",HCA,0)+Games[[#This Row],[OppRestAdj]])-(Games[[#This Row],[PreGmRate]]+IF(Games[[#This Row],[HomeAway]]="H",HCA,0)+Games[[#This Row],[RestAdj]]))/400))</f>
        <v>0.58560273379596017</v>
      </c>
      <c r="R220" s="1">
        <v>111</v>
      </c>
      <c r="S220" s="1">
        <v>107</v>
      </c>
      <c r="T220" s="1">
        <v>1</v>
      </c>
      <c r="U220" s="1">
        <f>Games[[#This Row],[PointsFor]]-Games[[#This Row],[PointsAgainst]]</f>
        <v>4</v>
      </c>
      <c r="V220" s="1">
        <f>IF(Games[[#This Row],[MOV]]&gt;0,1,IF(Games[[#This Row],[MOV]]=0,0.5,0))</f>
        <v>1</v>
      </c>
      <c r="W220" s="4">
        <f>((ABS(Games[[#This Row],[MOV]])+5)^0.6)/(12+0.01*(ABS(Games[[#This Row],[PreGmRate]]-Games[[#This Row],[OppPreGmRate]])))*IF(Games[[#This Row],[OT]]=1,0.9,1)</f>
        <v>0.25024457894211999</v>
      </c>
      <c r="X220" s="7" cm="1">
        <f t="array" ref="X2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0" s="9">
        <f>MAX(kmin, kmax - 0.15 * MIN(Games[[#This Row],[GamesPlayed]], 82))</f>
        <v>73.150000000000006</v>
      </c>
      <c r="Z220" s="4">
        <f>Games[[#This Row],[K]]*Games[[#This Row],[POMult]]</f>
        <v>73.150000000000006</v>
      </c>
      <c r="AA220" s="4">
        <f>(Games[[#This Row],[Keff]]*Games[[#This Row],[MOVMult]])*(Games[[#This Row],[Result]]-Games[[#This Row],[ExpectedWin%]])</f>
        <v>7.5857039663170758</v>
      </c>
      <c r="AB220" s="4">
        <f>Games[[#This Row],[PreGmRate]]+Games[[#This Row],[RatingChange]]</f>
        <v>1669.4892315984791</v>
      </c>
      <c r="AC220" s="2">
        <f>IF(Games[[#This Row],[Type]]="R",IF(Games[[#This Row],[Result]]&gt;0.5,1,0),0)</f>
        <v>1</v>
      </c>
      <c r="AD220" s="2">
        <f>IF(Games[[#This Row],[Type]]="R",IF(Games[[#This Row],[Result]]&lt;0.5,1,0),0)</f>
        <v>0</v>
      </c>
      <c r="AE220" s="2">
        <f>IF(AND(Games[[#This Row],[Type]]="P",Games[[#This Row],[Round]]=1),IF(Games[[#This Row],[Result]]&gt;0.5,1,0),0)</f>
        <v>0</v>
      </c>
      <c r="AF220" s="2">
        <f>IF(AND(Games[[#This Row],[Type]]="P",Games[[#This Row],[Round]]=1),IF(Games[[#This Row],[Result]]&lt;0.5,1,0),0)</f>
        <v>0</v>
      </c>
      <c r="AG220" s="2">
        <f>IF(AND(Games[[#This Row],[Type]]="P",Games[[#This Row],[Round]]=2),IF(Games[[#This Row],[Result]]&gt;0.5,1,0),0)</f>
        <v>0</v>
      </c>
      <c r="AH220" s="2">
        <f>IF(AND(Games[[#This Row],[Type]]="P",Games[[#This Row],[Round]]=2),IF(Games[[#This Row],[Result]]&lt;0.5,1,0),0)</f>
        <v>0</v>
      </c>
      <c r="AI220" s="2">
        <f>IF(AND(Games[[#This Row],[Type]]="P",Games[[#This Row],[Round]]=3),IF(Games[[#This Row],[Result]]&gt;0.5,1,0),0)</f>
        <v>0</v>
      </c>
      <c r="AJ220" s="2">
        <f>IF(AND(Games[[#This Row],[Type]]="P",Games[[#This Row],[Round]]=3),IF(Games[[#This Row],[Result]]&lt;0.5,1,0),0)</f>
        <v>0</v>
      </c>
      <c r="AK220" s="2">
        <f>IF(AND(Games[[#This Row],[Type]]="P",Games[[#This Row],[Round]]=4),IF(Games[[#This Row],[Result]]&gt;0.5,1,0),0)</f>
        <v>0</v>
      </c>
      <c r="AL220" s="2">
        <f>IF(AND(Games[[#This Row],[Type]]="P",Games[[#This Row],[Round]]=4),IF(Games[[#This Row],[Result]]&lt;0.5,1,0),0)</f>
        <v>0</v>
      </c>
    </row>
    <row r="221" spans="1:38" x14ac:dyDescent="0.35">
      <c r="A221" s="10">
        <v>40373</v>
      </c>
      <c r="B221" s="2">
        <v>2010</v>
      </c>
      <c r="C221" s="2">
        <f>COUNTIFS(Games[Team],Games[[#This Row],[Team]],Games[Season],Games[[#This Row],[Season]],Games[Date],"&lt;=" &amp; Games[[#This Row],[Date]])</f>
        <v>19</v>
      </c>
      <c r="D221" s="2" t="s">
        <v>23</v>
      </c>
      <c r="E221" s="2" t="s">
        <v>29</v>
      </c>
      <c r="F221" s="1" t="s">
        <v>44</v>
      </c>
      <c r="G221" s="1" t="s">
        <v>75</v>
      </c>
      <c r="H221" s="1" t="s">
        <v>15</v>
      </c>
      <c r="I221" s="2" cm="1">
        <f t="array" ref="I221">IFERROR(
    Games[[#This Row],[Date]]
    - LOOKUP(
        2,
        1/((Games[Team]=Games[[#This Row],[Team]]) * (Games[Date] &lt; Games[[#This Row],[Date]])),
        Games[Date]
    )
    - 1,
Games[[#This Row],[Date]]-$A$2)</f>
        <v>7</v>
      </c>
      <c r="J221" s="2" cm="1">
        <f t="array" ref="J221">IFERROR(
    Games[[#This Row],[Date]]
    - LOOKUP(
        2,
        1/((Games[Opponent]=Games[[#This Row],[Opponent]]) * (Games[Date] &lt; Games[[#This Row],[Date]])),
        Games[Date]
    )
    - 1,
Games[[#This Row],[Date]]-$A$2)</f>
        <v>7</v>
      </c>
      <c r="K221" s="2">
        <f>Games[[#This Row],[DaysOff]]-Games[[#This Row],[OppDaysOff]]</f>
        <v>0</v>
      </c>
      <c r="L221" s="2">
        <f>Games[[#This Row],[OppDaysOff]]-Games[[#This Row],[DaysOff]]</f>
        <v>0</v>
      </c>
      <c r="M221" s="1">
        <f>MAX(-16, MIN(16, Games[[#This Row],[RestDiff]]*8))</f>
        <v>0</v>
      </c>
      <c r="N221" s="1">
        <f>MAX(-16, MIN(16, Games[[#This Row],[OppRestDiff]]*8))</f>
        <v>0</v>
      </c>
      <c r="O221" s="4" cm="1">
        <f t="array" ref="O2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1517.8290421106008</v>
      </c>
      <c r="P221" s="4" cm="1">
        <f t="array" ref="P2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1661.903527632162</v>
      </c>
      <c r="Q221" s="4">
        <f>1/(1+10^(((Games[[#This Row],[OppPreGmRate]]+IF(Games[[#This Row],[HomeAway]]="A",HCA,0)+Games[[#This Row],[OppRestAdj]])-(Games[[#This Row],[PreGmRate]]+IF(Games[[#This Row],[HomeAway]]="H",HCA,0)+Games[[#This Row],[RestAdj]]))/400))</f>
        <v>0.41439726620403988</v>
      </c>
      <c r="R221" s="1">
        <v>107</v>
      </c>
      <c r="S221" s="1">
        <v>111</v>
      </c>
      <c r="T221" s="1">
        <v>1</v>
      </c>
      <c r="U221" s="1">
        <f>Games[[#This Row],[PointsFor]]-Games[[#This Row],[PointsAgainst]]</f>
        <v>-4</v>
      </c>
      <c r="V221" s="1">
        <f>IF(Games[[#This Row],[MOV]]&gt;0,1,IF(Games[[#This Row],[MOV]]=0,0.5,0))</f>
        <v>0</v>
      </c>
      <c r="W221" s="4">
        <f>((ABS(Games[[#This Row],[MOV]])+5)^0.6)/(12+0.01*(ABS(Games[[#This Row],[PreGmRate]]-Games[[#This Row],[OppPreGmRate]])))*IF(Games[[#This Row],[OT]]=1,0.9,1)</f>
        <v>0.25024457894211999</v>
      </c>
      <c r="X221" s="7" cm="1">
        <f t="array" ref="X2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1" s="9">
        <f>MAX(kmin, kmax - 0.15 * MIN(Games[[#This Row],[GamesPlayed]], 82))</f>
        <v>73.150000000000006</v>
      </c>
      <c r="Z221" s="4">
        <f>Games[[#This Row],[K]]*Games[[#This Row],[POMult]]</f>
        <v>73.150000000000006</v>
      </c>
      <c r="AA221" s="4">
        <f>(Games[[#This Row],[Keff]]*Games[[#This Row],[MOVMult]])*(Games[[#This Row],[Result]]-Games[[#This Row],[ExpectedWin%]])</f>
        <v>-7.5857039663170767</v>
      </c>
      <c r="AB221" s="4">
        <f>Games[[#This Row],[PreGmRate]]+Games[[#This Row],[RatingChange]]</f>
        <v>1510.2433381442836</v>
      </c>
      <c r="AC221" s="2">
        <f>IF(Games[[#This Row],[Type]]="R",IF(Games[[#This Row],[Result]]&gt;0.5,1,0),0)</f>
        <v>0</v>
      </c>
      <c r="AD221" s="2">
        <f>IF(Games[[#This Row],[Type]]="R",IF(Games[[#This Row],[Result]]&lt;0.5,1,0),0)</f>
        <v>1</v>
      </c>
      <c r="AE221" s="2">
        <f>IF(AND(Games[[#This Row],[Type]]="P",Games[[#This Row],[Round]]=1),IF(Games[[#This Row],[Result]]&gt;0.5,1,0),0)</f>
        <v>0</v>
      </c>
      <c r="AF221" s="2">
        <f>IF(AND(Games[[#This Row],[Type]]="P",Games[[#This Row],[Round]]=1),IF(Games[[#This Row],[Result]]&lt;0.5,1,0),0)</f>
        <v>0</v>
      </c>
      <c r="AG221" s="2">
        <f>IF(AND(Games[[#This Row],[Type]]="P",Games[[#This Row],[Round]]=2),IF(Games[[#This Row],[Result]]&gt;0.5,1,0),0)</f>
        <v>0</v>
      </c>
      <c r="AH221" s="2">
        <f>IF(AND(Games[[#This Row],[Type]]="P",Games[[#This Row],[Round]]=2),IF(Games[[#This Row],[Result]]&lt;0.5,1,0),0)</f>
        <v>0</v>
      </c>
      <c r="AI221" s="2">
        <f>IF(AND(Games[[#This Row],[Type]]="P",Games[[#This Row],[Round]]=3),IF(Games[[#This Row],[Result]]&gt;0.5,1,0),0)</f>
        <v>0</v>
      </c>
      <c r="AJ221" s="2">
        <f>IF(AND(Games[[#This Row],[Type]]="P",Games[[#This Row],[Round]]=3),IF(Games[[#This Row],[Result]]&lt;0.5,1,0),0)</f>
        <v>0</v>
      </c>
      <c r="AK221" s="2">
        <f>IF(AND(Games[[#This Row],[Type]]="P",Games[[#This Row],[Round]]=4),IF(Games[[#This Row],[Result]]&gt;0.5,1,0),0)</f>
        <v>0</v>
      </c>
      <c r="AL221" s="2">
        <f>IF(AND(Games[[#This Row],[Type]]="P",Games[[#This Row],[Round]]=4),IF(Games[[#This Row],[Result]]&lt;0.5,1,0),0)</f>
        <v>0</v>
      </c>
    </row>
    <row r="222" spans="1:38" x14ac:dyDescent="0.35">
      <c r="A222" s="10">
        <v>40374</v>
      </c>
      <c r="B222" s="2">
        <v>2010</v>
      </c>
      <c r="C222" s="2">
        <f>COUNTIFS(Games[Team],Games[[#This Row],[Team]],Games[Season],Games[[#This Row],[Season]],Games[Date],"&lt;=" &amp; Games[[#This Row],[Date]])</f>
        <v>18</v>
      </c>
      <c r="D222" s="2" t="s">
        <v>23</v>
      </c>
      <c r="E222" s="2" t="s">
        <v>29</v>
      </c>
      <c r="F222" s="1" t="s">
        <v>69</v>
      </c>
      <c r="G222" s="1" t="s">
        <v>64</v>
      </c>
      <c r="H222" s="1" t="s">
        <v>16</v>
      </c>
      <c r="I222" s="2" cm="1">
        <f t="array" ref="I222">IFERROR(
    Games[[#This Row],[Date]]
    - LOOKUP(
        2,
        1/((Games[Team]=Games[[#This Row],[Team]]) * (Games[Date] &lt; Games[[#This Row],[Date]])),
        Games[Date]
    )
    - 1,
Games[[#This Row],[Date]]-$A$2)</f>
        <v>11</v>
      </c>
      <c r="J222" s="2" cm="1">
        <f t="array" ref="J22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22" s="2">
        <f>Games[[#This Row],[DaysOff]]-Games[[#This Row],[OppDaysOff]]</f>
        <v>8</v>
      </c>
      <c r="L222" s="2">
        <f>Games[[#This Row],[OppDaysOff]]-Games[[#This Row],[DaysOff]]</f>
        <v>-8</v>
      </c>
      <c r="M222" s="1">
        <f>MAX(-16, MIN(16, Games[[#This Row],[RestDiff]]*8))</f>
        <v>16</v>
      </c>
      <c r="N222" s="1">
        <f>MAX(-16, MIN(16, Games[[#This Row],[OppRestDiff]]*8))</f>
        <v>-16</v>
      </c>
      <c r="O222" s="4" cm="1">
        <f t="array" ref="O2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1568.4986260900253</v>
      </c>
      <c r="P222" s="4" cm="1">
        <f t="array" ref="P2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1489.0979900505149</v>
      </c>
      <c r="Q222" s="4">
        <f>1/(1+10^(((Games[[#This Row],[OppPreGmRate]]+IF(Games[[#This Row],[HomeAway]]="A",HCA,0)+Games[[#This Row],[OppRestAdj]])-(Games[[#This Row],[PreGmRate]]+IF(Games[[#This Row],[HomeAway]]="H",HCA,0)+Games[[#This Row],[RestAdj]]))/400))</f>
        <v>0.53935113416667158</v>
      </c>
      <c r="R222" s="1">
        <v>67</v>
      </c>
      <c r="S222" s="1">
        <v>75</v>
      </c>
      <c r="T222" s="1">
        <v>0</v>
      </c>
      <c r="U222" s="1">
        <f>Games[[#This Row],[PointsFor]]-Games[[#This Row],[PointsAgainst]]</f>
        <v>-8</v>
      </c>
      <c r="V222" s="1">
        <f>IF(Games[[#This Row],[MOV]]&gt;0,1,IF(Games[[#This Row],[MOV]]=0,0.5,0))</f>
        <v>0</v>
      </c>
      <c r="W222" s="4">
        <f>((ABS(Games[[#This Row],[MOV]])+5)^0.6)/(12+0.01*(ABS(Games[[#This Row],[PreGmRate]]-Games[[#This Row],[OppPreGmRate]])))*IF(Games[[#This Row],[OT]]=1,0.9,1)</f>
        <v>0.3642163595025884</v>
      </c>
      <c r="X222" s="7" cm="1">
        <f t="array" ref="X2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2" s="9">
        <f>MAX(kmin, kmax - 0.15 * MIN(Games[[#This Row],[GamesPlayed]], 82))</f>
        <v>73.3</v>
      </c>
      <c r="Z222" s="4">
        <f>Games[[#This Row],[K]]*Games[[#This Row],[POMult]]</f>
        <v>73.3</v>
      </c>
      <c r="AA222" s="4">
        <f>(Games[[#This Row],[Keff]]*Games[[#This Row],[MOVMult]])*(Games[[#This Row],[Result]]-Games[[#This Row],[ExpectedWin%]])</f>
        <v>-14.399089132297672</v>
      </c>
      <c r="AB222" s="4">
        <f>Games[[#This Row],[PreGmRate]]+Games[[#This Row],[RatingChange]]</f>
        <v>1554.0995369577277</v>
      </c>
      <c r="AC222" s="2">
        <f>IF(Games[[#This Row],[Type]]="R",IF(Games[[#This Row],[Result]]&gt;0.5,1,0),0)</f>
        <v>0</v>
      </c>
      <c r="AD222" s="2">
        <f>IF(Games[[#This Row],[Type]]="R",IF(Games[[#This Row],[Result]]&lt;0.5,1,0),0)</f>
        <v>1</v>
      </c>
      <c r="AE222" s="2">
        <f>IF(AND(Games[[#This Row],[Type]]="P",Games[[#This Row],[Round]]=1),IF(Games[[#This Row],[Result]]&gt;0.5,1,0),0)</f>
        <v>0</v>
      </c>
      <c r="AF222" s="2">
        <f>IF(AND(Games[[#This Row],[Type]]="P",Games[[#This Row],[Round]]=1),IF(Games[[#This Row],[Result]]&lt;0.5,1,0),0)</f>
        <v>0</v>
      </c>
      <c r="AG222" s="2">
        <f>IF(AND(Games[[#This Row],[Type]]="P",Games[[#This Row],[Round]]=2),IF(Games[[#This Row],[Result]]&gt;0.5,1,0),0)</f>
        <v>0</v>
      </c>
      <c r="AH222" s="2">
        <f>IF(AND(Games[[#This Row],[Type]]="P",Games[[#This Row],[Round]]=2),IF(Games[[#This Row],[Result]]&lt;0.5,1,0),0)</f>
        <v>0</v>
      </c>
      <c r="AI222" s="2">
        <f>IF(AND(Games[[#This Row],[Type]]="P",Games[[#This Row],[Round]]=3),IF(Games[[#This Row],[Result]]&gt;0.5,1,0),0)</f>
        <v>0</v>
      </c>
      <c r="AJ222" s="2">
        <f>IF(AND(Games[[#This Row],[Type]]="P",Games[[#This Row],[Round]]=3),IF(Games[[#This Row],[Result]]&lt;0.5,1,0),0)</f>
        <v>0</v>
      </c>
      <c r="AK222" s="2">
        <f>IF(AND(Games[[#This Row],[Type]]="P",Games[[#This Row],[Round]]=4),IF(Games[[#This Row],[Result]]&gt;0.5,1,0),0)</f>
        <v>0</v>
      </c>
      <c r="AL222" s="2">
        <f>IF(AND(Games[[#This Row],[Type]]="P",Games[[#This Row],[Round]]=4),IF(Games[[#This Row],[Result]]&lt;0.5,1,0),0)</f>
        <v>0</v>
      </c>
    </row>
    <row r="223" spans="1:38" x14ac:dyDescent="0.35">
      <c r="A223" s="10">
        <v>40374</v>
      </c>
      <c r="B223" s="2">
        <v>2010</v>
      </c>
      <c r="C223" s="2">
        <f>COUNTIFS(Games[Team],Games[[#This Row],[Team]],Games[Season],Games[[#This Row],[Season]],Games[Date],"&lt;=" &amp; Games[[#This Row],[Date]])</f>
        <v>18</v>
      </c>
      <c r="D223" s="2" t="s">
        <v>23</v>
      </c>
      <c r="E223" s="2" t="s">
        <v>29</v>
      </c>
      <c r="F223" s="1" t="s">
        <v>64</v>
      </c>
      <c r="G223" s="1" t="s">
        <v>69</v>
      </c>
      <c r="H223" s="1" t="s">
        <v>15</v>
      </c>
      <c r="I223" s="2" cm="1">
        <f t="array" ref="I223">IFERROR(
    Games[[#This Row],[Date]]
    - LOOKUP(
        2,
        1/((Games[Team]=Games[[#This Row],[Team]]) * (Games[Date] &lt; Games[[#This Row],[Date]])),
        Games[Date]
    )
    - 1,
Games[[#This Row],[Date]]-$A$2)</f>
        <v>3</v>
      </c>
      <c r="J223" s="2" cm="1">
        <f t="array" ref="J223">IFERROR(
    Games[[#This Row],[Date]]
    - LOOKUP(
        2,
        1/((Games[Opponent]=Games[[#This Row],[Opponent]]) * (Games[Date] &lt; Games[[#This Row],[Date]])),
        Games[Date]
    )
    - 1,
Games[[#This Row],[Date]]-$A$2)</f>
        <v>11</v>
      </c>
      <c r="K223" s="2">
        <f>Games[[#This Row],[DaysOff]]-Games[[#This Row],[OppDaysOff]]</f>
        <v>-8</v>
      </c>
      <c r="L223" s="2">
        <f>Games[[#This Row],[OppDaysOff]]-Games[[#This Row],[DaysOff]]</f>
        <v>8</v>
      </c>
      <c r="M223" s="1">
        <f>MAX(-16, MIN(16, Games[[#This Row],[RestDiff]]*8))</f>
        <v>-16</v>
      </c>
      <c r="N223" s="1">
        <f>MAX(-16, MIN(16, Games[[#This Row],[OppRestDiff]]*8))</f>
        <v>16</v>
      </c>
      <c r="O223" s="4" cm="1">
        <f t="array" ref="O2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1489.0979900505149</v>
      </c>
      <c r="P223" s="4" cm="1">
        <f t="array" ref="P2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1568.4986260900253</v>
      </c>
      <c r="Q223" s="4">
        <f>1/(1+10^(((Games[[#This Row],[OppPreGmRate]]+IF(Games[[#This Row],[HomeAway]]="A",HCA,0)+Games[[#This Row],[OppRestAdj]])-(Games[[#This Row],[PreGmRate]]+IF(Games[[#This Row],[HomeAway]]="H",HCA,0)+Games[[#This Row],[RestAdj]]))/400))</f>
        <v>0.46064886583332837</v>
      </c>
      <c r="R223" s="1">
        <v>75</v>
      </c>
      <c r="S223" s="1">
        <v>67</v>
      </c>
      <c r="T223" s="1">
        <v>0</v>
      </c>
      <c r="U223" s="1">
        <f>Games[[#This Row],[PointsFor]]-Games[[#This Row],[PointsAgainst]]</f>
        <v>8</v>
      </c>
      <c r="V223" s="1">
        <f>IF(Games[[#This Row],[MOV]]&gt;0,1,IF(Games[[#This Row],[MOV]]=0,0.5,0))</f>
        <v>1</v>
      </c>
      <c r="W223" s="4">
        <f>((ABS(Games[[#This Row],[MOV]])+5)^0.6)/(12+0.01*(ABS(Games[[#This Row],[PreGmRate]]-Games[[#This Row],[OppPreGmRate]])))*IF(Games[[#This Row],[OT]]=1,0.9,1)</f>
        <v>0.3642163595025884</v>
      </c>
      <c r="X223" s="7" cm="1">
        <f t="array" ref="X2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3" s="9">
        <f>MAX(kmin, kmax - 0.15 * MIN(Games[[#This Row],[GamesPlayed]], 82))</f>
        <v>73.3</v>
      </c>
      <c r="Z223" s="4">
        <f>Games[[#This Row],[K]]*Games[[#This Row],[POMult]]</f>
        <v>73.3</v>
      </c>
      <c r="AA223" s="4">
        <f>(Games[[#This Row],[Keff]]*Games[[#This Row],[MOVMult]])*(Games[[#This Row],[Result]]-Games[[#This Row],[ExpectedWin%]])</f>
        <v>14.399089132297675</v>
      </c>
      <c r="AB223" s="4">
        <f>Games[[#This Row],[PreGmRate]]+Games[[#This Row],[RatingChange]]</f>
        <v>1503.4970791828125</v>
      </c>
      <c r="AC223" s="2">
        <f>IF(Games[[#This Row],[Type]]="R",IF(Games[[#This Row],[Result]]&gt;0.5,1,0),0)</f>
        <v>1</v>
      </c>
      <c r="AD223" s="2">
        <f>IF(Games[[#This Row],[Type]]="R",IF(Games[[#This Row],[Result]]&lt;0.5,1,0),0)</f>
        <v>0</v>
      </c>
      <c r="AE223" s="2">
        <f>IF(AND(Games[[#This Row],[Type]]="P",Games[[#This Row],[Round]]=1),IF(Games[[#This Row],[Result]]&gt;0.5,1,0),0)</f>
        <v>0</v>
      </c>
      <c r="AF223" s="2">
        <f>IF(AND(Games[[#This Row],[Type]]="P",Games[[#This Row],[Round]]=1),IF(Games[[#This Row],[Result]]&lt;0.5,1,0),0)</f>
        <v>0</v>
      </c>
      <c r="AG223" s="2">
        <f>IF(AND(Games[[#This Row],[Type]]="P",Games[[#This Row],[Round]]=2),IF(Games[[#This Row],[Result]]&gt;0.5,1,0),0)</f>
        <v>0</v>
      </c>
      <c r="AH223" s="2">
        <f>IF(AND(Games[[#This Row],[Type]]="P",Games[[#This Row],[Round]]=2),IF(Games[[#This Row],[Result]]&lt;0.5,1,0),0)</f>
        <v>0</v>
      </c>
      <c r="AI223" s="2">
        <f>IF(AND(Games[[#This Row],[Type]]="P",Games[[#This Row],[Round]]=3),IF(Games[[#This Row],[Result]]&gt;0.5,1,0),0)</f>
        <v>0</v>
      </c>
      <c r="AJ223" s="2">
        <f>IF(AND(Games[[#This Row],[Type]]="P",Games[[#This Row],[Round]]=3),IF(Games[[#This Row],[Result]]&lt;0.5,1,0),0)</f>
        <v>0</v>
      </c>
      <c r="AK223" s="2">
        <f>IF(AND(Games[[#This Row],[Type]]="P",Games[[#This Row],[Round]]=4),IF(Games[[#This Row],[Result]]&gt;0.5,1,0),0)</f>
        <v>0</v>
      </c>
      <c r="AL223" s="2">
        <f>IF(AND(Games[[#This Row],[Type]]="P",Games[[#This Row],[Round]]=4),IF(Games[[#This Row],[Result]]&lt;0.5,1,0),0)</f>
        <v>0</v>
      </c>
    </row>
    <row r="224" spans="1:38" x14ac:dyDescent="0.35">
      <c r="A224" s="10">
        <v>40375</v>
      </c>
      <c r="B224" s="2">
        <v>2010</v>
      </c>
      <c r="C224" s="2">
        <f>COUNTIFS(Games[Team],Games[[#This Row],[Team]],Games[Season],Games[[#This Row],[Season]],Games[Date],"&lt;=" &amp; Games[[#This Row],[Date]])</f>
        <v>19</v>
      </c>
      <c r="D224" s="2" t="s">
        <v>23</v>
      </c>
      <c r="E224" s="2" t="s">
        <v>29</v>
      </c>
      <c r="F224" s="1" t="s">
        <v>67</v>
      </c>
      <c r="G224" s="1" t="s">
        <v>81</v>
      </c>
      <c r="H224" s="1" t="s">
        <v>16</v>
      </c>
      <c r="I224" s="2" cm="1">
        <f t="array" ref="I224">IFERROR(
    Games[[#This Row],[Date]]
    - LOOKUP(
        2,
        1/((Games[Team]=Games[[#This Row],[Team]]) * (Games[Date] &lt; Games[[#This Row],[Date]])),
        Games[Date]
    )
    - 1,
Games[[#This Row],[Date]]-$A$2)</f>
        <v>2</v>
      </c>
      <c r="J224" s="2" cm="1">
        <f t="array" ref="J22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4" s="2">
        <f>Games[[#This Row],[DaysOff]]-Games[[#This Row],[OppDaysOff]]</f>
        <v>1</v>
      </c>
      <c r="L224" s="2">
        <f>Games[[#This Row],[OppDaysOff]]-Games[[#This Row],[DaysOff]]</f>
        <v>-1</v>
      </c>
      <c r="M224" s="1">
        <f>MAX(-16, MIN(16, Games[[#This Row],[RestDiff]]*8))</f>
        <v>8</v>
      </c>
      <c r="N224" s="1">
        <f>MAX(-16, MIN(16, Games[[#This Row],[OppRestDiff]]*8))</f>
        <v>-8</v>
      </c>
      <c r="O224" s="4" cm="1">
        <f t="array" ref="O2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1438.3928435337234</v>
      </c>
      <c r="P224" s="4" cm="1">
        <f t="array" ref="P2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1492.539234411362</v>
      </c>
      <c r="Q224" s="4">
        <f>1/(1+10^(((Games[[#This Row],[OppPreGmRate]]+IF(Games[[#This Row],[HomeAway]]="A",HCA,0)+Games[[#This Row],[OppRestAdj]])-(Games[[#This Row],[PreGmRate]]+IF(Games[[#This Row],[HomeAway]]="H",HCA,0)+Games[[#This Row],[RestAdj]]))/400))</f>
        <v>0.3311183781973554</v>
      </c>
      <c r="R224" s="1">
        <v>68</v>
      </c>
      <c r="S224" s="1">
        <v>80</v>
      </c>
      <c r="T224" s="1">
        <v>0</v>
      </c>
      <c r="U224" s="1">
        <f>Games[[#This Row],[PointsFor]]-Games[[#This Row],[PointsAgainst]]</f>
        <v>-12</v>
      </c>
      <c r="V224" s="1">
        <f>IF(Games[[#This Row],[MOV]]&gt;0,1,IF(Games[[#This Row],[MOV]]=0,0.5,0))</f>
        <v>0</v>
      </c>
      <c r="W224" s="4">
        <f>((ABS(Games[[#This Row],[MOV]])+5)^0.6)/(12+0.01*(ABS(Games[[#This Row],[PreGmRate]]-Games[[#This Row],[OppPreGmRate]])))*IF(Games[[#This Row],[OT]]=1,0.9,1)</f>
        <v>0.43643655610954263</v>
      </c>
      <c r="X224" s="7" cm="1">
        <f t="array" ref="X2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4" s="9">
        <f>MAX(kmin, kmax - 0.15 * MIN(Games[[#This Row],[GamesPlayed]], 82))</f>
        <v>73.150000000000006</v>
      </c>
      <c r="Z224" s="4">
        <f>Games[[#This Row],[K]]*Games[[#This Row],[POMult]]</f>
        <v>73.150000000000006</v>
      </c>
      <c r="AA224" s="4">
        <f>(Games[[#This Row],[Keff]]*Games[[#This Row],[MOVMult]])*(Games[[#This Row],[Result]]-Games[[#This Row],[ExpectedWin%]])</f>
        <v>-10.571064843784008</v>
      </c>
      <c r="AB224" s="4">
        <f>Games[[#This Row],[PreGmRate]]+Games[[#This Row],[RatingChange]]</f>
        <v>1427.8217786899395</v>
      </c>
      <c r="AC224" s="2">
        <f>IF(Games[[#This Row],[Type]]="R",IF(Games[[#This Row],[Result]]&gt;0.5,1,0),0)</f>
        <v>0</v>
      </c>
      <c r="AD224" s="2">
        <f>IF(Games[[#This Row],[Type]]="R",IF(Games[[#This Row],[Result]]&lt;0.5,1,0),0)</f>
        <v>1</v>
      </c>
      <c r="AE224" s="2">
        <f>IF(AND(Games[[#This Row],[Type]]="P",Games[[#This Row],[Round]]=1),IF(Games[[#This Row],[Result]]&gt;0.5,1,0),0)</f>
        <v>0</v>
      </c>
      <c r="AF224" s="2">
        <f>IF(AND(Games[[#This Row],[Type]]="P",Games[[#This Row],[Round]]=1),IF(Games[[#This Row],[Result]]&lt;0.5,1,0),0)</f>
        <v>0</v>
      </c>
      <c r="AG224" s="2">
        <f>IF(AND(Games[[#This Row],[Type]]="P",Games[[#This Row],[Round]]=2),IF(Games[[#This Row],[Result]]&gt;0.5,1,0),0)</f>
        <v>0</v>
      </c>
      <c r="AH224" s="2">
        <f>IF(AND(Games[[#This Row],[Type]]="P",Games[[#This Row],[Round]]=2),IF(Games[[#This Row],[Result]]&lt;0.5,1,0),0)</f>
        <v>0</v>
      </c>
      <c r="AI224" s="2">
        <f>IF(AND(Games[[#This Row],[Type]]="P",Games[[#This Row],[Round]]=3),IF(Games[[#This Row],[Result]]&gt;0.5,1,0),0)</f>
        <v>0</v>
      </c>
      <c r="AJ224" s="2">
        <f>IF(AND(Games[[#This Row],[Type]]="P",Games[[#This Row],[Round]]=3),IF(Games[[#This Row],[Result]]&lt;0.5,1,0),0)</f>
        <v>0</v>
      </c>
      <c r="AK224" s="2">
        <f>IF(AND(Games[[#This Row],[Type]]="P",Games[[#This Row],[Round]]=4),IF(Games[[#This Row],[Result]]&gt;0.5,1,0),0)</f>
        <v>0</v>
      </c>
      <c r="AL224" s="2">
        <f>IF(AND(Games[[#This Row],[Type]]="P",Games[[#This Row],[Round]]=4),IF(Games[[#This Row],[Result]]&lt;0.5,1,0),0)</f>
        <v>0</v>
      </c>
    </row>
    <row r="225" spans="1:38" x14ac:dyDescent="0.35">
      <c r="A225" s="10">
        <v>40375</v>
      </c>
      <c r="B225" s="2">
        <v>2010</v>
      </c>
      <c r="C225" s="2">
        <f>COUNTIFS(Games[Team],Games[[#This Row],[Team]],Games[Season],Games[[#This Row],[Season]],Games[Date],"&lt;=" &amp; Games[[#This Row],[Date]])</f>
        <v>21</v>
      </c>
      <c r="D225" s="2" t="s">
        <v>23</v>
      </c>
      <c r="E225" s="2" t="s">
        <v>29</v>
      </c>
      <c r="F225" s="1" t="s">
        <v>81</v>
      </c>
      <c r="G225" s="1" t="s">
        <v>67</v>
      </c>
      <c r="H225" s="1" t="s">
        <v>15</v>
      </c>
      <c r="I225" s="2" cm="1">
        <f t="array" ref="I22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5" s="2" cm="1">
        <f t="array" ref="J22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25" s="2">
        <f>Games[[#This Row],[DaysOff]]-Games[[#This Row],[OppDaysOff]]</f>
        <v>-1</v>
      </c>
      <c r="L225" s="2">
        <f>Games[[#This Row],[OppDaysOff]]-Games[[#This Row],[DaysOff]]</f>
        <v>1</v>
      </c>
      <c r="M225" s="1">
        <f>MAX(-16, MIN(16, Games[[#This Row],[RestDiff]]*8))</f>
        <v>-8</v>
      </c>
      <c r="N225" s="1">
        <f>MAX(-16, MIN(16, Games[[#This Row],[OppRestDiff]]*8))</f>
        <v>8</v>
      </c>
      <c r="O225" s="4" cm="1">
        <f t="array" ref="O2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1492.539234411362</v>
      </c>
      <c r="P225" s="4" cm="1">
        <f t="array" ref="P2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1438.3928435337234</v>
      </c>
      <c r="Q225" s="4">
        <f>1/(1+10^(((Games[[#This Row],[OppPreGmRate]]+IF(Games[[#This Row],[HomeAway]]="A",HCA,0)+Games[[#This Row],[OppRestAdj]])-(Games[[#This Row],[PreGmRate]]+IF(Games[[#This Row],[HomeAway]]="H",HCA,0)+Games[[#This Row],[RestAdj]]))/400))</f>
        <v>0.66888162180264465</v>
      </c>
      <c r="R225" s="1">
        <v>80</v>
      </c>
      <c r="S225" s="1">
        <v>68</v>
      </c>
      <c r="T225" s="1">
        <v>0</v>
      </c>
      <c r="U225" s="1">
        <f>Games[[#This Row],[PointsFor]]-Games[[#This Row],[PointsAgainst]]</f>
        <v>12</v>
      </c>
      <c r="V225" s="1">
        <f>IF(Games[[#This Row],[MOV]]&gt;0,1,IF(Games[[#This Row],[MOV]]=0,0.5,0))</f>
        <v>1</v>
      </c>
      <c r="W225" s="4">
        <f>((ABS(Games[[#This Row],[MOV]])+5)^0.6)/(12+0.01*(ABS(Games[[#This Row],[PreGmRate]]-Games[[#This Row],[OppPreGmRate]])))*IF(Games[[#This Row],[OT]]=1,0.9,1)</f>
        <v>0.43643655610954263</v>
      </c>
      <c r="X225" s="7" cm="1">
        <f t="array" ref="X2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5" s="9">
        <f>MAX(kmin, kmax - 0.15 * MIN(Games[[#This Row],[GamesPlayed]], 82))</f>
        <v>72.849999999999994</v>
      </c>
      <c r="Z225" s="4">
        <f>Games[[#This Row],[K]]*Games[[#This Row],[POMult]]</f>
        <v>72.849999999999994</v>
      </c>
      <c r="AA225" s="4">
        <f>(Games[[#This Row],[Keff]]*Games[[#This Row],[MOVMult]])*(Games[[#This Row],[Result]]-Games[[#This Row],[ExpectedWin%]])</f>
        <v>10.527711194390495</v>
      </c>
      <c r="AB225" s="4">
        <f>Games[[#This Row],[PreGmRate]]+Games[[#This Row],[RatingChange]]</f>
        <v>1503.0669456057526</v>
      </c>
      <c r="AC225" s="2">
        <f>IF(Games[[#This Row],[Type]]="R",IF(Games[[#This Row],[Result]]&gt;0.5,1,0),0)</f>
        <v>1</v>
      </c>
      <c r="AD225" s="2">
        <f>IF(Games[[#This Row],[Type]]="R",IF(Games[[#This Row],[Result]]&lt;0.5,1,0),0)</f>
        <v>0</v>
      </c>
      <c r="AE225" s="2">
        <f>IF(AND(Games[[#This Row],[Type]]="P",Games[[#This Row],[Round]]=1),IF(Games[[#This Row],[Result]]&gt;0.5,1,0),0)</f>
        <v>0</v>
      </c>
      <c r="AF225" s="2">
        <f>IF(AND(Games[[#This Row],[Type]]="P",Games[[#This Row],[Round]]=1),IF(Games[[#This Row],[Result]]&lt;0.5,1,0),0)</f>
        <v>0</v>
      </c>
      <c r="AG225" s="2">
        <f>IF(AND(Games[[#This Row],[Type]]="P",Games[[#This Row],[Round]]=2),IF(Games[[#This Row],[Result]]&gt;0.5,1,0),0)</f>
        <v>0</v>
      </c>
      <c r="AH225" s="2">
        <f>IF(AND(Games[[#This Row],[Type]]="P",Games[[#This Row],[Round]]=2),IF(Games[[#This Row],[Result]]&lt;0.5,1,0),0)</f>
        <v>0</v>
      </c>
      <c r="AI225" s="2">
        <f>IF(AND(Games[[#This Row],[Type]]="P",Games[[#This Row],[Round]]=3),IF(Games[[#This Row],[Result]]&gt;0.5,1,0),0)</f>
        <v>0</v>
      </c>
      <c r="AJ225" s="2">
        <f>IF(AND(Games[[#This Row],[Type]]="P",Games[[#This Row],[Round]]=3),IF(Games[[#This Row],[Result]]&lt;0.5,1,0),0)</f>
        <v>0</v>
      </c>
      <c r="AK225" s="2">
        <f>IF(AND(Games[[#This Row],[Type]]="P",Games[[#This Row],[Round]]=4),IF(Games[[#This Row],[Result]]&gt;0.5,1,0),0)</f>
        <v>0</v>
      </c>
      <c r="AL225" s="2">
        <f>IF(AND(Games[[#This Row],[Type]]="P",Games[[#This Row],[Round]]=4),IF(Games[[#This Row],[Result]]&lt;0.5,1,0),0)</f>
        <v>0</v>
      </c>
    </row>
    <row r="226" spans="1:38" x14ac:dyDescent="0.35">
      <c r="A226" s="10">
        <v>40375</v>
      </c>
      <c r="B226" s="2">
        <v>2010</v>
      </c>
      <c r="C226" s="2">
        <f>COUNTIFS(Games[Team],Games[[#This Row],[Team]],Games[Season],Games[[#This Row],[Season]],Games[Date],"&lt;=" &amp; Games[[#This Row],[Date]])</f>
        <v>21</v>
      </c>
      <c r="D226" s="2" t="s">
        <v>23</v>
      </c>
      <c r="E226" s="2" t="s">
        <v>29</v>
      </c>
      <c r="F226" s="1" t="s">
        <v>83</v>
      </c>
      <c r="G226" s="1" t="s">
        <v>73</v>
      </c>
      <c r="H226" s="1" t="s">
        <v>16</v>
      </c>
      <c r="I226" s="2" cm="1">
        <f t="array" ref="I22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6" s="2" cm="1">
        <f t="array" ref="J22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6" s="2">
        <f>Games[[#This Row],[DaysOff]]-Games[[#This Row],[OppDaysOff]]</f>
        <v>0</v>
      </c>
      <c r="L226" s="2">
        <f>Games[[#This Row],[OppDaysOff]]-Games[[#This Row],[DaysOff]]</f>
        <v>0</v>
      </c>
      <c r="M226" s="1">
        <f>MAX(-16, MIN(16, Games[[#This Row],[RestDiff]]*8))</f>
        <v>0</v>
      </c>
      <c r="N226" s="1">
        <f>MAX(-16, MIN(16, Games[[#This Row],[OppRestDiff]]*8))</f>
        <v>0</v>
      </c>
      <c r="O226" s="4" cm="1">
        <f t="array" ref="O2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1559.7492721899325</v>
      </c>
      <c r="P226" s="4" cm="1">
        <f t="array" ref="P2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1574.5005182995485</v>
      </c>
      <c r="Q226" s="4">
        <f>1/(1+10^(((Games[[#This Row],[OppPreGmRate]]+IF(Games[[#This Row],[HomeAway]]="A",HCA,0)+Games[[#This Row],[OppRestAdj]])-(Games[[#This Row],[PreGmRate]]+IF(Games[[#This Row],[HomeAway]]="H",HCA,0)+Games[[#This Row],[RestAdj]]))/400))</f>
        <v>0.36159273985043155</v>
      </c>
      <c r="R226" s="1">
        <v>70</v>
      </c>
      <c r="S226" s="1">
        <v>89</v>
      </c>
      <c r="T226" s="1">
        <v>0</v>
      </c>
      <c r="U226" s="1">
        <f>Games[[#This Row],[PointsFor]]-Games[[#This Row],[PointsAgainst]]</f>
        <v>-19</v>
      </c>
      <c r="V226" s="1">
        <f>IF(Games[[#This Row],[MOV]]&gt;0,1,IF(Games[[#This Row],[MOV]]=0,0.5,0))</f>
        <v>0</v>
      </c>
      <c r="W226" s="4">
        <f>((ABS(Games[[#This Row],[MOV]])+5)^0.6)/(12+0.01*(ABS(Games[[#This Row],[PreGmRate]]-Games[[#This Row],[OppPreGmRate]])))*IF(Games[[#This Row],[OT]]=1,0.9,1)</f>
        <v>0.55416538112114377</v>
      </c>
      <c r="X226" s="7" cm="1">
        <f t="array" ref="X2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6" s="9">
        <f>MAX(kmin, kmax - 0.15 * MIN(Games[[#This Row],[GamesPlayed]], 82))</f>
        <v>72.849999999999994</v>
      </c>
      <c r="Z226" s="4">
        <f>Games[[#This Row],[K]]*Games[[#This Row],[POMult]]</f>
        <v>72.849999999999994</v>
      </c>
      <c r="AA226" s="4">
        <f>(Games[[#This Row],[Keff]]*Games[[#This Row],[MOVMult]])*(Games[[#This Row],[Result]]-Games[[#This Row],[ExpectedWin%]])</f>
        <v>-14.597841702985789</v>
      </c>
      <c r="AB226" s="4">
        <f>Games[[#This Row],[PreGmRate]]+Games[[#This Row],[RatingChange]]</f>
        <v>1545.1514304869468</v>
      </c>
      <c r="AC226" s="2">
        <f>IF(Games[[#This Row],[Type]]="R",IF(Games[[#This Row],[Result]]&gt;0.5,1,0),0)</f>
        <v>0</v>
      </c>
      <c r="AD226" s="2">
        <f>IF(Games[[#This Row],[Type]]="R",IF(Games[[#This Row],[Result]]&lt;0.5,1,0),0)</f>
        <v>1</v>
      </c>
      <c r="AE226" s="2">
        <f>IF(AND(Games[[#This Row],[Type]]="P",Games[[#This Row],[Round]]=1),IF(Games[[#This Row],[Result]]&gt;0.5,1,0),0)</f>
        <v>0</v>
      </c>
      <c r="AF226" s="2">
        <f>IF(AND(Games[[#This Row],[Type]]="P",Games[[#This Row],[Round]]=1),IF(Games[[#This Row],[Result]]&lt;0.5,1,0),0)</f>
        <v>0</v>
      </c>
      <c r="AG226" s="2">
        <f>IF(AND(Games[[#This Row],[Type]]="P",Games[[#This Row],[Round]]=2),IF(Games[[#This Row],[Result]]&gt;0.5,1,0),0)</f>
        <v>0</v>
      </c>
      <c r="AH226" s="2">
        <f>IF(AND(Games[[#This Row],[Type]]="P",Games[[#This Row],[Round]]=2),IF(Games[[#This Row],[Result]]&lt;0.5,1,0),0)</f>
        <v>0</v>
      </c>
      <c r="AI226" s="2">
        <f>IF(AND(Games[[#This Row],[Type]]="P",Games[[#This Row],[Round]]=3),IF(Games[[#This Row],[Result]]&gt;0.5,1,0),0)</f>
        <v>0</v>
      </c>
      <c r="AJ226" s="2">
        <f>IF(AND(Games[[#This Row],[Type]]="P",Games[[#This Row],[Round]]=3),IF(Games[[#This Row],[Result]]&lt;0.5,1,0),0)</f>
        <v>0</v>
      </c>
      <c r="AK226" s="2">
        <f>IF(AND(Games[[#This Row],[Type]]="P",Games[[#This Row],[Round]]=4),IF(Games[[#This Row],[Result]]&gt;0.5,1,0),0)</f>
        <v>0</v>
      </c>
      <c r="AL226" s="2">
        <f>IF(AND(Games[[#This Row],[Type]]="P",Games[[#This Row],[Round]]=4),IF(Games[[#This Row],[Result]]&lt;0.5,1,0),0)</f>
        <v>0</v>
      </c>
    </row>
    <row r="227" spans="1:38" x14ac:dyDescent="0.35">
      <c r="A227" s="10">
        <v>40375</v>
      </c>
      <c r="B227" s="2">
        <v>2010</v>
      </c>
      <c r="C227" s="2">
        <f>COUNTIFS(Games[Team],Games[[#This Row],[Team]],Games[Season],Games[[#This Row],[Season]],Games[Date],"&lt;=" &amp; Games[[#This Row],[Date]])</f>
        <v>19</v>
      </c>
      <c r="D227" s="2" t="s">
        <v>23</v>
      </c>
      <c r="E227" s="2" t="s">
        <v>29</v>
      </c>
      <c r="F227" s="1" t="s">
        <v>73</v>
      </c>
      <c r="G227" s="1" t="s">
        <v>83</v>
      </c>
      <c r="H227" s="1" t="s">
        <v>15</v>
      </c>
      <c r="I227" s="2" cm="1">
        <f t="array" ref="I22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7" s="2" cm="1">
        <f t="array" ref="J22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7" s="2">
        <f>Games[[#This Row],[DaysOff]]-Games[[#This Row],[OppDaysOff]]</f>
        <v>0</v>
      </c>
      <c r="L227" s="2">
        <f>Games[[#This Row],[OppDaysOff]]-Games[[#This Row],[DaysOff]]</f>
        <v>0</v>
      </c>
      <c r="M227" s="1">
        <f>MAX(-16, MIN(16, Games[[#This Row],[RestDiff]]*8))</f>
        <v>0</v>
      </c>
      <c r="N227" s="1">
        <f>MAX(-16, MIN(16, Games[[#This Row],[OppRestDiff]]*8))</f>
        <v>0</v>
      </c>
      <c r="O227" s="4" cm="1">
        <f t="array" ref="O2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1574.5005182995485</v>
      </c>
      <c r="P227" s="4" cm="1">
        <f t="array" ref="P2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1559.7492721899325</v>
      </c>
      <c r="Q227" s="4">
        <f>1/(1+10^(((Games[[#This Row],[OppPreGmRate]]+IF(Games[[#This Row],[HomeAway]]="A",HCA,0)+Games[[#This Row],[OppRestAdj]])-(Games[[#This Row],[PreGmRate]]+IF(Games[[#This Row],[HomeAway]]="H",HCA,0)+Games[[#This Row],[RestAdj]]))/400))</f>
        <v>0.63840726014956839</v>
      </c>
      <c r="R227" s="1">
        <v>89</v>
      </c>
      <c r="S227" s="1">
        <v>70</v>
      </c>
      <c r="T227" s="1">
        <v>0</v>
      </c>
      <c r="U227" s="1">
        <f>Games[[#This Row],[PointsFor]]-Games[[#This Row],[PointsAgainst]]</f>
        <v>19</v>
      </c>
      <c r="V227" s="1">
        <f>IF(Games[[#This Row],[MOV]]&gt;0,1,IF(Games[[#This Row],[MOV]]=0,0.5,0))</f>
        <v>1</v>
      </c>
      <c r="W227" s="4">
        <f>((ABS(Games[[#This Row],[MOV]])+5)^0.6)/(12+0.01*(ABS(Games[[#This Row],[PreGmRate]]-Games[[#This Row],[OppPreGmRate]])))*IF(Games[[#This Row],[OT]]=1,0.9,1)</f>
        <v>0.55416538112114377</v>
      </c>
      <c r="X227" s="7" cm="1">
        <f t="array" ref="X2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7" s="9">
        <f>MAX(kmin, kmax - 0.15 * MIN(Games[[#This Row],[GamesPlayed]], 82))</f>
        <v>73.150000000000006</v>
      </c>
      <c r="Z227" s="4">
        <f>Games[[#This Row],[K]]*Games[[#This Row],[POMult]]</f>
        <v>73.150000000000006</v>
      </c>
      <c r="AA227" s="4">
        <f>(Games[[#This Row],[Keff]]*Games[[#This Row],[MOVMult]])*(Games[[#This Row],[Result]]-Games[[#This Row],[ExpectedWin%]])</f>
        <v>14.65795635653275</v>
      </c>
      <c r="AB227" s="4">
        <f>Games[[#This Row],[PreGmRate]]+Games[[#This Row],[RatingChange]]</f>
        <v>1589.1584746560814</v>
      </c>
      <c r="AC227" s="2">
        <f>IF(Games[[#This Row],[Type]]="R",IF(Games[[#This Row],[Result]]&gt;0.5,1,0),0)</f>
        <v>1</v>
      </c>
      <c r="AD227" s="2">
        <f>IF(Games[[#This Row],[Type]]="R",IF(Games[[#This Row],[Result]]&lt;0.5,1,0),0)</f>
        <v>0</v>
      </c>
      <c r="AE227" s="2">
        <f>IF(AND(Games[[#This Row],[Type]]="P",Games[[#This Row],[Round]]=1),IF(Games[[#This Row],[Result]]&gt;0.5,1,0),0)</f>
        <v>0</v>
      </c>
      <c r="AF227" s="2">
        <f>IF(AND(Games[[#This Row],[Type]]="P",Games[[#This Row],[Round]]=1),IF(Games[[#This Row],[Result]]&lt;0.5,1,0),0)</f>
        <v>0</v>
      </c>
      <c r="AG227" s="2">
        <f>IF(AND(Games[[#This Row],[Type]]="P",Games[[#This Row],[Round]]=2),IF(Games[[#This Row],[Result]]&gt;0.5,1,0),0)</f>
        <v>0</v>
      </c>
      <c r="AH227" s="2">
        <f>IF(AND(Games[[#This Row],[Type]]="P",Games[[#This Row],[Round]]=2),IF(Games[[#This Row],[Result]]&lt;0.5,1,0),0)</f>
        <v>0</v>
      </c>
      <c r="AI227" s="2">
        <f>IF(AND(Games[[#This Row],[Type]]="P",Games[[#This Row],[Round]]=3),IF(Games[[#This Row],[Result]]&gt;0.5,1,0),0)</f>
        <v>0</v>
      </c>
      <c r="AJ227" s="2">
        <f>IF(AND(Games[[#This Row],[Type]]="P",Games[[#This Row],[Round]]=3),IF(Games[[#This Row],[Result]]&lt;0.5,1,0),0)</f>
        <v>0</v>
      </c>
      <c r="AK227" s="2">
        <f>IF(AND(Games[[#This Row],[Type]]="P",Games[[#This Row],[Round]]=4),IF(Games[[#This Row],[Result]]&gt;0.5,1,0),0)</f>
        <v>0</v>
      </c>
      <c r="AL227" s="2">
        <f>IF(AND(Games[[#This Row],[Type]]="P",Games[[#This Row],[Round]]=4),IF(Games[[#This Row],[Result]]&lt;0.5,1,0),0)</f>
        <v>0</v>
      </c>
    </row>
    <row r="228" spans="1:38" x14ac:dyDescent="0.35">
      <c r="A228" s="10">
        <v>40375</v>
      </c>
      <c r="B228" s="2">
        <v>2010</v>
      </c>
      <c r="C228" s="2">
        <f>COUNTIFS(Games[Team],Games[[#This Row],[Team]],Games[Season],Games[[#This Row],[Season]],Games[Date],"&lt;=" &amp; Games[[#This Row],[Date]])</f>
        <v>19</v>
      </c>
      <c r="D228" s="2" t="s">
        <v>23</v>
      </c>
      <c r="E228" s="2" t="s">
        <v>29</v>
      </c>
      <c r="F228" s="1" t="s">
        <v>85</v>
      </c>
      <c r="G228" s="1" t="s">
        <v>78</v>
      </c>
      <c r="H228" s="1" t="s">
        <v>16</v>
      </c>
      <c r="I228" s="2" cm="1">
        <f t="array" ref="I228">IFERROR(
    Games[[#This Row],[Date]]
    - LOOKUP(
        2,
        1/((Games[Team]=Games[[#This Row],[Team]]) * (Games[Date] &lt; Games[[#This Row],[Date]])),
        Games[Date]
    )
    - 1,
Games[[#This Row],[Date]]-$A$2)</f>
        <v>2</v>
      </c>
      <c r="J228" s="2" cm="1">
        <f t="array" ref="J22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8" s="2">
        <f>Games[[#This Row],[DaysOff]]-Games[[#This Row],[OppDaysOff]]</f>
        <v>1</v>
      </c>
      <c r="L228" s="2">
        <f>Games[[#This Row],[OppDaysOff]]-Games[[#This Row],[DaysOff]]</f>
        <v>-1</v>
      </c>
      <c r="M228" s="1">
        <f>MAX(-16, MIN(16, Games[[#This Row],[RestDiff]]*8))</f>
        <v>8</v>
      </c>
      <c r="N228" s="1">
        <f>MAX(-16, MIN(16, Games[[#This Row],[OppRestDiff]]*8))</f>
        <v>-8</v>
      </c>
      <c r="O228" s="4" cm="1">
        <f t="array" ref="O2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1344.9036735670511</v>
      </c>
      <c r="P228" s="4" cm="1">
        <f t="array" ref="P2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1427.9864722097902</v>
      </c>
      <c r="Q228" s="4">
        <f>1/(1+10^(((Games[[#This Row],[OppPreGmRate]]+IF(Games[[#This Row],[HomeAway]]="A",HCA,0)+Games[[#This Row],[OppRestAdj]])-(Games[[#This Row],[PreGmRate]]+IF(Games[[#This Row],[HomeAway]]="H",HCA,0)+Games[[#This Row],[RestAdj]]))/400))</f>
        <v>0.29531620935355152</v>
      </c>
      <c r="R228" s="1">
        <v>75</v>
      </c>
      <c r="S228" s="1">
        <v>70</v>
      </c>
      <c r="T228" s="1">
        <v>0</v>
      </c>
      <c r="U228" s="1">
        <f>Games[[#This Row],[PointsFor]]-Games[[#This Row],[PointsAgainst]]</f>
        <v>5</v>
      </c>
      <c r="V228" s="1">
        <f>IF(Games[[#This Row],[MOV]]&gt;0,1,IF(Games[[#This Row],[MOV]]=0,0.5,0))</f>
        <v>1</v>
      </c>
      <c r="W228" s="4">
        <f>((ABS(Games[[#This Row],[MOV]])+5)^0.6)/(12+0.01*(ABS(Games[[#This Row],[PreGmRate]]-Games[[#This Row],[OppPreGmRate]])))*IF(Games[[#This Row],[OT]]=1,0.9,1)</f>
        <v>0.31027395190288576</v>
      </c>
      <c r="X228" s="7" cm="1">
        <f t="array" ref="X2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8" s="9">
        <f>MAX(kmin, kmax - 0.15 * MIN(Games[[#This Row],[GamesPlayed]], 82))</f>
        <v>73.150000000000006</v>
      </c>
      <c r="Z228" s="4">
        <f>Games[[#This Row],[K]]*Games[[#This Row],[POMult]]</f>
        <v>73.150000000000006</v>
      </c>
      <c r="AA228" s="4">
        <f>(Games[[#This Row],[Keff]]*Games[[#This Row],[MOVMult]])*(Games[[#This Row],[Result]]-Games[[#This Row],[ExpectedWin%]])</f>
        <v>15.993883546986762</v>
      </c>
      <c r="AB228" s="4">
        <f>Games[[#This Row],[PreGmRate]]+Games[[#This Row],[RatingChange]]</f>
        <v>1360.8975571140379</v>
      </c>
      <c r="AC228" s="2">
        <f>IF(Games[[#This Row],[Type]]="R",IF(Games[[#This Row],[Result]]&gt;0.5,1,0),0)</f>
        <v>1</v>
      </c>
      <c r="AD228" s="2">
        <f>IF(Games[[#This Row],[Type]]="R",IF(Games[[#This Row],[Result]]&lt;0.5,1,0),0)</f>
        <v>0</v>
      </c>
      <c r="AE228" s="2">
        <f>IF(AND(Games[[#This Row],[Type]]="P",Games[[#This Row],[Round]]=1),IF(Games[[#This Row],[Result]]&gt;0.5,1,0),0)</f>
        <v>0</v>
      </c>
      <c r="AF228" s="2">
        <f>IF(AND(Games[[#This Row],[Type]]="P",Games[[#This Row],[Round]]=1),IF(Games[[#This Row],[Result]]&lt;0.5,1,0),0)</f>
        <v>0</v>
      </c>
      <c r="AG228" s="2">
        <f>IF(AND(Games[[#This Row],[Type]]="P",Games[[#This Row],[Round]]=2),IF(Games[[#This Row],[Result]]&gt;0.5,1,0),0)</f>
        <v>0</v>
      </c>
      <c r="AH228" s="2">
        <f>IF(AND(Games[[#This Row],[Type]]="P",Games[[#This Row],[Round]]=2),IF(Games[[#This Row],[Result]]&lt;0.5,1,0),0)</f>
        <v>0</v>
      </c>
      <c r="AI228" s="2">
        <f>IF(AND(Games[[#This Row],[Type]]="P",Games[[#This Row],[Round]]=3),IF(Games[[#This Row],[Result]]&gt;0.5,1,0),0)</f>
        <v>0</v>
      </c>
      <c r="AJ228" s="2">
        <f>IF(AND(Games[[#This Row],[Type]]="P",Games[[#This Row],[Round]]=3),IF(Games[[#This Row],[Result]]&lt;0.5,1,0),0)</f>
        <v>0</v>
      </c>
      <c r="AK228" s="2">
        <f>IF(AND(Games[[#This Row],[Type]]="P",Games[[#This Row],[Round]]=4),IF(Games[[#This Row],[Result]]&gt;0.5,1,0),0)</f>
        <v>0</v>
      </c>
      <c r="AL228" s="2">
        <f>IF(AND(Games[[#This Row],[Type]]="P",Games[[#This Row],[Round]]=4),IF(Games[[#This Row],[Result]]&lt;0.5,1,0),0)</f>
        <v>0</v>
      </c>
    </row>
    <row r="229" spans="1:38" x14ac:dyDescent="0.35">
      <c r="A229" s="10">
        <v>40375</v>
      </c>
      <c r="B229" s="2">
        <v>2010</v>
      </c>
      <c r="C229" s="2">
        <f>COUNTIFS(Games[Team],Games[[#This Row],[Team]],Games[Season],Games[[#This Row],[Season]],Games[Date],"&lt;=" &amp; Games[[#This Row],[Date]])</f>
        <v>18</v>
      </c>
      <c r="D229" s="2" t="s">
        <v>23</v>
      </c>
      <c r="E229" s="2" t="s">
        <v>29</v>
      </c>
      <c r="F229" s="1" t="s">
        <v>78</v>
      </c>
      <c r="G229" s="1" t="s">
        <v>85</v>
      </c>
      <c r="H229" s="1" t="s">
        <v>15</v>
      </c>
      <c r="I229" s="2" cm="1">
        <f t="array" ref="I22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9" s="2" cm="1">
        <f t="array" ref="J22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29" s="2">
        <f>Games[[#This Row],[DaysOff]]-Games[[#This Row],[OppDaysOff]]</f>
        <v>-1</v>
      </c>
      <c r="L229" s="2">
        <f>Games[[#This Row],[OppDaysOff]]-Games[[#This Row],[DaysOff]]</f>
        <v>1</v>
      </c>
      <c r="M229" s="1">
        <f>MAX(-16, MIN(16, Games[[#This Row],[RestDiff]]*8))</f>
        <v>-8</v>
      </c>
      <c r="N229" s="1">
        <f>MAX(-16, MIN(16, Games[[#This Row],[OppRestDiff]]*8))</f>
        <v>8</v>
      </c>
      <c r="O229" s="4" cm="1">
        <f t="array" ref="O2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1427.9864722097902</v>
      </c>
      <c r="P229" s="4" cm="1">
        <f t="array" ref="P2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1344.9036735670511</v>
      </c>
      <c r="Q229" s="4">
        <f>1/(1+10^(((Games[[#This Row],[OppPreGmRate]]+IF(Games[[#This Row],[HomeAway]]="A",HCA,0)+Games[[#This Row],[OppRestAdj]])-(Games[[#This Row],[PreGmRate]]+IF(Games[[#This Row],[HomeAway]]="H",HCA,0)+Games[[#This Row],[RestAdj]]))/400))</f>
        <v>0.70468379064644848</v>
      </c>
      <c r="R229" s="1">
        <v>70</v>
      </c>
      <c r="S229" s="1">
        <v>75</v>
      </c>
      <c r="T229" s="1">
        <v>0</v>
      </c>
      <c r="U229" s="1">
        <f>Games[[#This Row],[PointsFor]]-Games[[#This Row],[PointsAgainst]]</f>
        <v>-5</v>
      </c>
      <c r="V229" s="1">
        <f>IF(Games[[#This Row],[MOV]]&gt;0,1,IF(Games[[#This Row],[MOV]]=0,0.5,0))</f>
        <v>0</v>
      </c>
      <c r="W229" s="4">
        <f>((ABS(Games[[#This Row],[MOV]])+5)^0.6)/(12+0.01*(ABS(Games[[#This Row],[PreGmRate]]-Games[[#This Row],[OppPreGmRate]])))*IF(Games[[#This Row],[OT]]=1,0.9,1)</f>
        <v>0.31027395190288576</v>
      </c>
      <c r="X229" s="7" cm="1">
        <f t="array" ref="X2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9" s="9">
        <f>MAX(kmin, kmax - 0.15 * MIN(Games[[#This Row],[GamesPlayed]], 82))</f>
        <v>73.3</v>
      </c>
      <c r="Z229" s="4">
        <f>Games[[#This Row],[K]]*Games[[#This Row],[POMult]]</f>
        <v>73.3</v>
      </c>
      <c r="AA229" s="4">
        <f>(Games[[#This Row],[Keff]]*Games[[#This Row],[MOVMult]])*(Games[[#This Row],[Result]]-Games[[#This Row],[ExpectedWin%]])</f>
        <v>-16.026680300671629</v>
      </c>
      <c r="AB229" s="4">
        <f>Games[[#This Row],[PreGmRate]]+Games[[#This Row],[RatingChange]]</f>
        <v>1411.9597919091186</v>
      </c>
      <c r="AC229" s="2">
        <f>IF(Games[[#This Row],[Type]]="R",IF(Games[[#This Row],[Result]]&gt;0.5,1,0),0)</f>
        <v>0</v>
      </c>
      <c r="AD229" s="2">
        <f>IF(Games[[#This Row],[Type]]="R",IF(Games[[#This Row],[Result]]&lt;0.5,1,0),0)</f>
        <v>1</v>
      </c>
      <c r="AE229" s="2">
        <f>IF(AND(Games[[#This Row],[Type]]="P",Games[[#This Row],[Round]]=1),IF(Games[[#This Row],[Result]]&gt;0.5,1,0),0)</f>
        <v>0</v>
      </c>
      <c r="AF229" s="2">
        <f>IF(AND(Games[[#This Row],[Type]]="P",Games[[#This Row],[Round]]=1),IF(Games[[#This Row],[Result]]&lt;0.5,1,0),0)</f>
        <v>0</v>
      </c>
      <c r="AG229" s="2">
        <f>IF(AND(Games[[#This Row],[Type]]="P",Games[[#This Row],[Round]]=2),IF(Games[[#This Row],[Result]]&gt;0.5,1,0),0)</f>
        <v>0</v>
      </c>
      <c r="AH229" s="2">
        <f>IF(AND(Games[[#This Row],[Type]]="P",Games[[#This Row],[Round]]=2),IF(Games[[#This Row],[Result]]&lt;0.5,1,0),0)</f>
        <v>0</v>
      </c>
      <c r="AI229" s="2">
        <f>IF(AND(Games[[#This Row],[Type]]="P",Games[[#This Row],[Round]]=3),IF(Games[[#This Row],[Result]]&gt;0.5,1,0),0)</f>
        <v>0</v>
      </c>
      <c r="AJ229" s="2">
        <f>IF(AND(Games[[#This Row],[Type]]="P",Games[[#This Row],[Round]]=3),IF(Games[[#This Row],[Result]]&lt;0.5,1,0),0)</f>
        <v>0</v>
      </c>
      <c r="AK229" s="2">
        <f>IF(AND(Games[[#This Row],[Type]]="P",Games[[#This Row],[Round]]=4),IF(Games[[#This Row],[Result]]&gt;0.5,1,0),0)</f>
        <v>0</v>
      </c>
      <c r="AL229" s="2">
        <f>IF(AND(Games[[#This Row],[Type]]="P",Games[[#This Row],[Round]]=4),IF(Games[[#This Row],[Result]]&lt;0.5,1,0),0)</f>
        <v>0</v>
      </c>
    </row>
    <row r="230" spans="1:38" x14ac:dyDescent="0.35">
      <c r="A230" s="10">
        <v>40376</v>
      </c>
      <c r="B230" s="2">
        <v>2010</v>
      </c>
      <c r="C230" s="2">
        <f>COUNTIFS(Games[Team],Games[[#This Row],[Team]],Games[Season],Games[[#This Row],[Season]],Games[Date],"&lt;=" &amp; Games[[#This Row],[Date]])</f>
        <v>22</v>
      </c>
      <c r="D230" s="2" t="s">
        <v>23</v>
      </c>
      <c r="E230" s="2" t="s">
        <v>29</v>
      </c>
      <c r="F230" s="1" t="s">
        <v>83</v>
      </c>
      <c r="G230" s="1" t="s">
        <v>80</v>
      </c>
      <c r="H230" s="1" t="s">
        <v>16</v>
      </c>
      <c r="I230" s="2" cm="1">
        <f t="array" ref="I230">IFERROR(
    Games[[#This Row],[Date]]
    - LOOKUP(
        2,
        1/((Games[Team]=Games[[#This Row],[Team]]) * (Games[Date] &lt; Games[[#This Row],[Date]])),
        Games[Date]
    )
    - 1,
Games[[#This Row],[Date]]-$A$2)</f>
        <v>0</v>
      </c>
      <c r="J230" s="2" cm="1">
        <f t="array" ref="J23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30" s="2">
        <f>Games[[#This Row],[DaysOff]]-Games[[#This Row],[OppDaysOff]]</f>
        <v>-2</v>
      </c>
      <c r="L230" s="2">
        <f>Games[[#This Row],[OppDaysOff]]-Games[[#This Row],[DaysOff]]</f>
        <v>2</v>
      </c>
      <c r="M230" s="1">
        <f>MAX(-16, MIN(16, Games[[#This Row],[RestDiff]]*8))</f>
        <v>-16</v>
      </c>
      <c r="N230" s="1">
        <f>MAX(-16, MIN(16, Games[[#This Row],[OppRestDiff]]*8))</f>
        <v>16</v>
      </c>
      <c r="O230" s="4" cm="1">
        <f t="array" ref="O2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1545.1514304869468</v>
      </c>
      <c r="P230" s="4" cm="1">
        <f t="array" ref="P2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1524.5432630581261</v>
      </c>
      <c r="Q230" s="4">
        <f>1/(1+10^(((Games[[#This Row],[OppPreGmRate]]+IF(Games[[#This Row],[HomeAway]]="A",HCA,0)+Games[[#This Row],[OppRestAdj]])-(Games[[#This Row],[PreGmRate]]+IF(Games[[#This Row],[HomeAway]]="H",HCA,0)+Games[[#This Row],[RestAdj]]))/400))</f>
        <v>0.36606870906434802</v>
      </c>
      <c r="R230" s="1">
        <v>80</v>
      </c>
      <c r="S230" s="1">
        <v>96</v>
      </c>
      <c r="T230" s="1">
        <v>0</v>
      </c>
      <c r="U230" s="1">
        <f>Games[[#This Row],[PointsFor]]-Games[[#This Row],[PointsAgainst]]</f>
        <v>-16</v>
      </c>
      <c r="V230" s="1">
        <f>IF(Games[[#This Row],[MOV]]&gt;0,1,IF(Games[[#This Row],[MOV]]=0,0.5,0))</f>
        <v>0</v>
      </c>
      <c r="W230" s="4">
        <f>((ABS(Games[[#This Row],[MOV]])+5)^0.6)/(12+0.01*(ABS(Games[[#This Row],[PreGmRate]]-Games[[#This Row],[OppPreGmRate]])))*IF(Games[[#This Row],[OT]]=1,0.9,1)</f>
        <v>0.50904397931804568</v>
      </c>
      <c r="X230" s="7" cm="1">
        <f t="array" ref="X2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0" s="9">
        <f>MAX(kmin, kmax - 0.15 * MIN(Games[[#This Row],[GamesPlayed]], 82))</f>
        <v>72.7</v>
      </c>
      <c r="Z230" s="4">
        <f>Games[[#This Row],[K]]*Games[[#This Row],[POMult]]</f>
        <v>72.7</v>
      </c>
      <c r="AA230" s="4">
        <f>(Games[[#This Row],[Keff]]*Games[[#This Row],[MOVMult]])*(Games[[#This Row],[Result]]-Games[[#This Row],[ExpectedWin%]])</f>
        <v>-13.547286761003523</v>
      </c>
      <c r="AB230" s="4">
        <f>Games[[#This Row],[PreGmRate]]+Games[[#This Row],[RatingChange]]</f>
        <v>1531.6041437259432</v>
      </c>
      <c r="AC230" s="2">
        <f>IF(Games[[#This Row],[Type]]="R",IF(Games[[#This Row],[Result]]&gt;0.5,1,0),0)</f>
        <v>0</v>
      </c>
      <c r="AD230" s="2">
        <f>IF(Games[[#This Row],[Type]]="R",IF(Games[[#This Row],[Result]]&lt;0.5,1,0),0)</f>
        <v>1</v>
      </c>
      <c r="AE230" s="2">
        <f>IF(AND(Games[[#This Row],[Type]]="P",Games[[#This Row],[Round]]=1),IF(Games[[#This Row],[Result]]&gt;0.5,1,0),0)</f>
        <v>0</v>
      </c>
      <c r="AF230" s="2">
        <f>IF(AND(Games[[#This Row],[Type]]="P",Games[[#This Row],[Round]]=1),IF(Games[[#This Row],[Result]]&lt;0.5,1,0),0)</f>
        <v>0</v>
      </c>
      <c r="AG230" s="2">
        <f>IF(AND(Games[[#This Row],[Type]]="P",Games[[#This Row],[Round]]=2),IF(Games[[#This Row],[Result]]&gt;0.5,1,0),0)</f>
        <v>0</v>
      </c>
      <c r="AH230" s="2">
        <f>IF(AND(Games[[#This Row],[Type]]="P",Games[[#This Row],[Round]]=2),IF(Games[[#This Row],[Result]]&lt;0.5,1,0),0)</f>
        <v>0</v>
      </c>
      <c r="AI230" s="2">
        <f>IF(AND(Games[[#This Row],[Type]]="P",Games[[#This Row],[Round]]=3),IF(Games[[#This Row],[Result]]&gt;0.5,1,0),0)</f>
        <v>0</v>
      </c>
      <c r="AJ230" s="2">
        <f>IF(AND(Games[[#This Row],[Type]]="P",Games[[#This Row],[Round]]=3),IF(Games[[#This Row],[Result]]&lt;0.5,1,0),0)</f>
        <v>0</v>
      </c>
      <c r="AK230" s="2">
        <f>IF(AND(Games[[#This Row],[Type]]="P",Games[[#This Row],[Round]]=4),IF(Games[[#This Row],[Result]]&gt;0.5,1,0),0)</f>
        <v>0</v>
      </c>
      <c r="AL230" s="2">
        <f>IF(AND(Games[[#This Row],[Type]]="P",Games[[#This Row],[Round]]=4),IF(Games[[#This Row],[Result]]&lt;0.5,1,0),0)</f>
        <v>0</v>
      </c>
    </row>
    <row r="231" spans="1:38" x14ac:dyDescent="0.35">
      <c r="A231" s="10">
        <v>40376</v>
      </c>
      <c r="B231" s="2">
        <v>2010</v>
      </c>
      <c r="C231" s="2">
        <f>COUNTIFS(Games[Team],Games[[#This Row],[Team]],Games[Season],Games[[#This Row],[Season]],Games[Date],"&lt;=" &amp; Games[[#This Row],[Date]])</f>
        <v>20</v>
      </c>
      <c r="D231" s="2" t="s">
        <v>23</v>
      </c>
      <c r="E231" s="2" t="s">
        <v>29</v>
      </c>
      <c r="F231" s="1" t="s">
        <v>80</v>
      </c>
      <c r="G231" s="1" t="s">
        <v>83</v>
      </c>
      <c r="H231" s="1" t="s">
        <v>15</v>
      </c>
      <c r="I231" s="2" cm="1">
        <f t="array" ref="I231">IFERROR(
    Games[[#This Row],[Date]]
    - LOOKUP(
        2,
        1/((Games[Team]=Games[[#This Row],[Team]]) * (Games[Date] &lt; Games[[#This Row],[Date]])),
        Games[Date]
    )
    - 1,
Games[[#This Row],[Date]]-$A$2)</f>
        <v>2</v>
      </c>
      <c r="J231" s="2" cm="1">
        <f t="array" ref="J23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31" s="2">
        <f>Games[[#This Row],[DaysOff]]-Games[[#This Row],[OppDaysOff]]</f>
        <v>2</v>
      </c>
      <c r="L231" s="2">
        <f>Games[[#This Row],[OppDaysOff]]-Games[[#This Row],[DaysOff]]</f>
        <v>-2</v>
      </c>
      <c r="M231" s="1">
        <f>MAX(-16, MIN(16, Games[[#This Row],[RestDiff]]*8))</f>
        <v>16</v>
      </c>
      <c r="N231" s="1">
        <f>MAX(-16, MIN(16, Games[[#This Row],[OppRestDiff]]*8))</f>
        <v>-16</v>
      </c>
      <c r="O231" s="4" cm="1">
        <f t="array" ref="O2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1524.5432630581261</v>
      </c>
      <c r="P231" s="4" cm="1">
        <f t="array" ref="P2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1545.1514304869468</v>
      </c>
      <c r="Q231" s="4">
        <f>1/(1+10^(((Games[[#This Row],[OppPreGmRate]]+IF(Games[[#This Row],[HomeAway]]="A",HCA,0)+Games[[#This Row],[OppRestAdj]])-(Games[[#This Row],[PreGmRate]]+IF(Games[[#This Row],[HomeAway]]="H",HCA,0)+Games[[#This Row],[RestAdj]]))/400))</f>
        <v>0.63393129093565204</v>
      </c>
      <c r="R231" s="1">
        <v>96</v>
      </c>
      <c r="S231" s="1">
        <v>80</v>
      </c>
      <c r="T231" s="1">
        <v>0</v>
      </c>
      <c r="U231" s="1">
        <f>Games[[#This Row],[PointsFor]]-Games[[#This Row],[PointsAgainst]]</f>
        <v>16</v>
      </c>
      <c r="V231" s="1">
        <f>IF(Games[[#This Row],[MOV]]&gt;0,1,IF(Games[[#This Row],[MOV]]=0,0.5,0))</f>
        <v>1</v>
      </c>
      <c r="W231" s="4">
        <f>((ABS(Games[[#This Row],[MOV]])+5)^0.6)/(12+0.01*(ABS(Games[[#This Row],[PreGmRate]]-Games[[#This Row],[OppPreGmRate]])))*IF(Games[[#This Row],[OT]]=1,0.9,1)</f>
        <v>0.50904397931804568</v>
      </c>
      <c r="X231" s="7" cm="1">
        <f t="array" ref="X2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1" s="9">
        <f>MAX(kmin, kmax - 0.15 * MIN(Games[[#This Row],[GamesPlayed]], 82))</f>
        <v>73</v>
      </c>
      <c r="Z231" s="4">
        <f>Games[[#This Row],[K]]*Games[[#This Row],[POMult]]</f>
        <v>73</v>
      </c>
      <c r="AA231" s="4">
        <f>(Games[[#This Row],[Keff]]*Games[[#This Row],[MOVMult]])*(Games[[#This Row],[Result]]-Games[[#This Row],[ExpectedWin%]])</f>
        <v>13.603190282713301</v>
      </c>
      <c r="AB231" s="4">
        <f>Games[[#This Row],[PreGmRate]]+Games[[#This Row],[RatingChange]]</f>
        <v>1538.1464533408393</v>
      </c>
      <c r="AC231" s="2">
        <f>IF(Games[[#This Row],[Type]]="R",IF(Games[[#This Row],[Result]]&gt;0.5,1,0),0)</f>
        <v>1</v>
      </c>
      <c r="AD231" s="2">
        <f>IF(Games[[#This Row],[Type]]="R",IF(Games[[#This Row],[Result]]&lt;0.5,1,0),0)</f>
        <v>0</v>
      </c>
      <c r="AE231" s="2">
        <f>IF(AND(Games[[#This Row],[Type]]="P",Games[[#This Row],[Round]]=1),IF(Games[[#This Row],[Result]]&gt;0.5,1,0),0)</f>
        <v>0</v>
      </c>
      <c r="AF231" s="2">
        <f>IF(AND(Games[[#This Row],[Type]]="P",Games[[#This Row],[Round]]=1),IF(Games[[#This Row],[Result]]&lt;0.5,1,0),0)</f>
        <v>0</v>
      </c>
      <c r="AG231" s="2">
        <f>IF(AND(Games[[#This Row],[Type]]="P",Games[[#This Row],[Round]]=2),IF(Games[[#This Row],[Result]]&gt;0.5,1,0),0)</f>
        <v>0</v>
      </c>
      <c r="AH231" s="2">
        <f>IF(AND(Games[[#This Row],[Type]]="P",Games[[#This Row],[Round]]=2),IF(Games[[#This Row],[Result]]&lt;0.5,1,0),0)</f>
        <v>0</v>
      </c>
      <c r="AI231" s="2">
        <f>IF(AND(Games[[#This Row],[Type]]="P",Games[[#This Row],[Round]]=3),IF(Games[[#This Row],[Result]]&gt;0.5,1,0),0)</f>
        <v>0</v>
      </c>
      <c r="AJ231" s="2">
        <f>IF(AND(Games[[#This Row],[Type]]="P",Games[[#This Row],[Round]]=3),IF(Games[[#This Row],[Result]]&lt;0.5,1,0),0)</f>
        <v>0</v>
      </c>
      <c r="AK231" s="2">
        <f>IF(AND(Games[[#This Row],[Type]]="P",Games[[#This Row],[Round]]=4),IF(Games[[#This Row],[Result]]&gt;0.5,1,0),0)</f>
        <v>0</v>
      </c>
      <c r="AL231" s="2">
        <f>IF(AND(Games[[#This Row],[Type]]="P",Games[[#This Row],[Round]]=4),IF(Games[[#This Row],[Result]]&lt;0.5,1,0),0)</f>
        <v>0</v>
      </c>
    </row>
    <row r="232" spans="1:38" x14ac:dyDescent="0.35">
      <c r="A232" s="10">
        <v>40376</v>
      </c>
      <c r="B232" s="2">
        <v>2010</v>
      </c>
      <c r="C232" s="2">
        <f>COUNTIFS(Games[Team],Games[[#This Row],[Team]],Games[Season],Games[[#This Row],[Season]],Games[Date],"&lt;=" &amp; Games[[#This Row],[Date]])</f>
        <v>20</v>
      </c>
      <c r="D232" s="2" t="s">
        <v>23</v>
      </c>
      <c r="E232" s="2" t="s">
        <v>29</v>
      </c>
      <c r="F232" s="1" t="s">
        <v>75</v>
      </c>
      <c r="G232" s="1" t="s">
        <v>71</v>
      </c>
      <c r="H232" s="1" t="s">
        <v>16</v>
      </c>
      <c r="I232" s="2" cm="1">
        <f t="array" ref="I232">IFERROR(
    Games[[#This Row],[Date]]
    - LOOKUP(
        2,
        1/((Games[Team]=Games[[#This Row],[Team]]) * (Games[Date] &lt; Games[[#This Row],[Date]])),
        Games[Date]
    )
    - 1,
Games[[#This Row],[Date]]-$A$2)</f>
        <v>2</v>
      </c>
      <c r="J232" s="2" cm="1">
        <f t="array" ref="J23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32" s="2">
        <f>Games[[#This Row],[DaysOff]]-Games[[#This Row],[OppDaysOff]]</f>
        <v>0</v>
      </c>
      <c r="L232" s="2">
        <f>Games[[#This Row],[OppDaysOff]]-Games[[#This Row],[DaysOff]]</f>
        <v>0</v>
      </c>
      <c r="M232" s="1">
        <f>MAX(-16, MIN(16, Games[[#This Row],[RestDiff]]*8))</f>
        <v>0</v>
      </c>
      <c r="N232" s="1">
        <f>MAX(-16, MIN(16, Games[[#This Row],[OppRestDiff]]*8))</f>
        <v>0</v>
      </c>
      <c r="O232" s="4" cm="1">
        <f t="array" ref="O2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1669.4892315984791</v>
      </c>
      <c r="P232" s="4" cm="1">
        <f t="array" ref="P2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1438.0295788959625</v>
      </c>
      <c r="Q232" s="4">
        <f>1/(1+10^(((Games[[#This Row],[OppPreGmRate]]+IF(Games[[#This Row],[HomeAway]]="A",HCA,0)+Games[[#This Row],[OppRestAdj]])-(Games[[#This Row],[PreGmRate]]+IF(Games[[#This Row],[HomeAway]]="H",HCA,0)+Games[[#This Row],[RestAdj]]))/400))</f>
        <v>0.70032500764135686</v>
      </c>
      <c r="R232" s="1">
        <v>73</v>
      </c>
      <c r="S232" s="1">
        <v>71</v>
      </c>
      <c r="T232" s="1">
        <v>0</v>
      </c>
      <c r="U232" s="1">
        <f>Games[[#This Row],[PointsFor]]-Games[[#This Row],[PointsAgainst]]</f>
        <v>2</v>
      </c>
      <c r="V232" s="1">
        <f>IF(Games[[#This Row],[MOV]]&gt;0,1,IF(Games[[#This Row],[MOV]]=0,0.5,0))</f>
        <v>1</v>
      </c>
      <c r="W232" s="4">
        <f>((ABS(Games[[#This Row],[MOV]])+5)^0.6)/(12+0.01*(ABS(Games[[#This Row],[PreGmRate]]-Games[[#This Row],[OppPreGmRate]])))*IF(Games[[#This Row],[OT]]=1,0.9,1)</f>
        <v>0.22453275882753684</v>
      </c>
      <c r="X232" s="7" cm="1">
        <f t="array" ref="X2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2" s="9">
        <f>MAX(kmin, kmax - 0.15 * MIN(Games[[#This Row],[GamesPlayed]], 82))</f>
        <v>73</v>
      </c>
      <c r="Z232" s="4">
        <f>Games[[#This Row],[K]]*Games[[#This Row],[POMult]]</f>
        <v>73</v>
      </c>
      <c r="AA232" s="4">
        <f>(Games[[#This Row],[Keff]]*Games[[#This Row],[MOVMult]])*(Games[[#This Row],[Result]]-Games[[#This Row],[ExpectedWin%]])</f>
        <v>4.9119402533712231</v>
      </c>
      <c r="AB232" s="4">
        <f>Games[[#This Row],[PreGmRate]]+Games[[#This Row],[RatingChange]]</f>
        <v>1674.4011718518504</v>
      </c>
      <c r="AC232" s="2">
        <f>IF(Games[[#This Row],[Type]]="R",IF(Games[[#This Row],[Result]]&gt;0.5,1,0),0)</f>
        <v>1</v>
      </c>
      <c r="AD232" s="2">
        <f>IF(Games[[#This Row],[Type]]="R",IF(Games[[#This Row],[Result]]&lt;0.5,1,0),0)</f>
        <v>0</v>
      </c>
      <c r="AE232" s="2">
        <f>IF(AND(Games[[#This Row],[Type]]="P",Games[[#This Row],[Round]]=1),IF(Games[[#This Row],[Result]]&gt;0.5,1,0),0)</f>
        <v>0</v>
      </c>
      <c r="AF232" s="2">
        <f>IF(AND(Games[[#This Row],[Type]]="P",Games[[#This Row],[Round]]=1),IF(Games[[#This Row],[Result]]&lt;0.5,1,0),0)</f>
        <v>0</v>
      </c>
      <c r="AG232" s="2">
        <f>IF(AND(Games[[#This Row],[Type]]="P",Games[[#This Row],[Round]]=2),IF(Games[[#This Row],[Result]]&gt;0.5,1,0),0)</f>
        <v>0</v>
      </c>
      <c r="AH232" s="2">
        <f>IF(AND(Games[[#This Row],[Type]]="P",Games[[#This Row],[Round]]=2),IF(Games[[#This Row],[Result]]&lt;0.5,1,0),0)</f>
        <v>0</v>
      </c>
      <c r="AI232" s="2">
        <f>IF(AND(Games[[#This Row],[Type]]="P",Games[[#This Row],[Round]]=3),IF(Games[[#This Row],[Result]]&gt;0.5,1,0),0)</f>
        <v>0</v>
      </c>
      <c r="AJ232" s="2">
        <f>IF(AND(Games[[#This Row],[Type]]="P",Games[[#This Row],[Round]]=3),IF(Games[[#This Row],[Result]]&lt;0.5,1,0),0)</f>
        <v>0</v>
      </c>
      <c r="AK232" s="2">
        <f>IF(AND(Games[[#This Row],[Type]]="P",Games[[#This Row],[Round]]=4),IF(Games[[#This Row],[Result]]&gt;0.5,1,0),0)</f>
        <v>0</v>
      </c>
      <c r="AL232" s="2">
        <f>IF(AND(Games[[#This Row],[Type]]="P",Games[[#This Row],[Round]]=4),IF(Games[[#This Row],[Result]]&lt;0.5,1,0),0)</f>
        <v>0</v>
      </c>
    </row>
    <row r="233" spans="1:38" x14ac:dyDescent="0.35">
      <c r="A233" s="10">
        <v>40376</v>
      </c>
      <c r="B233" s="2">
        <v>2010</v>
      </c>
      <c r="C233" s="2">
        <f>COUNTIFS(Games[Team],Games[[#This Row],[Team]],Games[Season],Games[[#This Row],[Season]],Games[Date],"&lt;=" &amp; Games[[#This Row],[Date]])</f>
        <v>19</v>
      </c>
      <c r="D233" s="2" t="s">
        <v>23</v>
      </c>
      <c r="E233" s="2" t="s">
        <v>29</v>
      </c>
      <c r="F233" s="1" t="s">
        <v>71</v>
      </c>
      <c r="G233" s="1" t="s">
        <v>75</v>
      </c>
      <c r="H233" s="1" t="s">
        <v>15</v>
      </c>
      <c r="I233" s="2" cm="1">
        <f t="array" ref="I233">IFERROR(
    Games[[#This Row],[Date]]
    - LOOKUP(
        2,
        1/((Games[Team]=Games[[#This Row],[Team]]) * (Games[Date] &lt; Games[[#This Row],[Date]])),
        Games[Date]
    )
    - 1,
Games[[#This Row],[Date]]-$A$2)</f>
        <v>2</v>
      </c>
      <c r="J233" s="2" cm="1">
        <f t="array" ref="J23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33" s="2">
        <f>Games[[#This Row],[DaysOff]]-Games[[#This Row],[OppDaysOff]]</f>
        <v>0</v>
      </c>
      <c r="L233" s="2">
        <f>Games[[#This Row],[OppDaysOff]]-Games[[#This Row],[DaysOff]]</f>
        <v>0</v>
      </c>
      <c r="M233" s="1">
        <f>MAX(-16, MIN(16, Games[[#This Row],[RestDiff]]*8))</f>
        <v>0</v>
      </c>
      <c r="N233" s="1">
        <f>MAX(-16, MIN(16, Games[[#This Row],[OppRestDiff]]*8))</f>
        <v>0</v>
      </c>
      <c r="O233" s="4" cm="1">
        <f t="array" ref="O2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1438.0295788959625</v>
      </c>
      <c r="P233" s="4" cm="1">
        <f t="array" ref="P2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1669.4892315984791</v>
      </c>
      <c r="Q233" s="4">
        <f>1/(1+10^(((Games[[#This Row],[OppPreGmRate]]+IF(Games[[#This Row],[HomeAway]]="A",HCA,0)+Games[[#This Row],[OppRestAdj]])-(Games[[#This Row],[PreGmRate]]+IF(Games[[#This Row],[HomeAway]]="H",HCA,0)+Games[[#This Row],[RestAdj]]))/400))</f>
        <v>0.2996749923586432</v>
      </c>
      <c r="R233" s="1">
        <v>71</v>
      </c>
      <c r="S233" s="1">
        <v>73</v>
      </c>
      <c r="T233" s="1">
        <v>0</v>
      </c>
      <c r="U233" s="1">
        <f>Games[[#This Row],[PointsFor]]-Games[[#This Row],[PointsAgainst]]</f>
        <v>-2</v>
      </c>
      <c r="V233" s="1">
        <f>IF(Games[[#This Row],[MOV]]&gt;0,1,IF(Games[[#This Row],[MOV]]=0,0.5,0))</f>
        <v>0</v>
      </c>
      <c r="W233" s="4">
        <f>((ABS(Games[[#This Row],[MOV]])+5)^0.6)/(12+0.01*(ABS(Games[[#This Row],[PreGmRate]]-Games[[#This Row],[OppPreGmRate]])))*IF(Games[[#This Row],[OT]]=1,0.9,1)</f>
        <v>0.22453275882753684</v>
      </c>
      <c r="X233" s="7" cm="1">
        <f t="array" ref="X2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3" s="9">
        <f>MAX(kmin, kmax - 0.15 * MIN(Games[[#This Row],[GamesPlayed]], 82))</f>
        <v>73.150000000000006</v>
      </c>
      <c r="Z233" s="4">
        <f>Games[[#This Row],[K]]*Games[[#This Row],[POMult]]</f>
        <v>73.150000000000006</v>
      </c>
      <c r="AA233" s="4">
        <f>(Games[[#This Row],[Keff]]*Games[[#This Row],[MOVMult]])*(Games[[#This Row],[Result]]-Games[[#This Row],[ExpectedWin%]])</f>
        <v>-4.9220332812891101</v>
      </c>
      <c r="AB233" s="4">
        <f>Games[[#This Row],[PreGmRate]]+Games[[#This Row],[RatingChange]]</f>
        <v>1433.1075456146734</v>
      </c>
      <c r="AC233" s="2">
        <f>IF(Games[[#This Row],[Type]]="R",IF(Games[[#This Row],[Result]]&gt;0.5,1,0),0)</f>
        <v>0</v>
      </c>
      <c r="AD233" s="2">
        <f>IF(Games[[#This Row],[Type]]="R",IF(Games[[#This Row],[Result]]&lt;0.5,1,0),0)</f>
        <v>1</v>
      </c>
      <c r="AE233" s="2">
        <f>IF(AND(Games[[#This Row],[Type]]="P",Games[[#This Row],[Round]]=1),IF(Games[[#This Row],[Result]]&gt;0.5,1,0),0)</f>
        <v>0</v>
      </c>
      <c r="AF233" s="2">
        <f>IF(AND(Games[[#This Row],[Type]]="P",Games[[#This Row],[Round]]=1),IF(Games[[#This Row],[Result]]&lt;0.5,1,0),0)</f>
        <v>0</v>
      </c>
      <c r="AG233" s="2">
        <f>IF(AND(Games[[#This Row],[Type]]="P",Games[[#This Row],[Round]]=2),IF(Games[[#This Row],[Result]]&gt;0.5,1,0),0)</f>
        <v>0</v>
      </c>
      <c r="AH233" s="2">
        <f>IF(AND(Games[[#This Row],[Type]]="P",Games[[#This Row],[Round]]=2),IF(Games[[#This Row],[Result]]&lt;0.5,1,0),0)</f>
        <v>0</v>
      </c>
      <c r="AI233" s="2">
        <f>IF(AND(Games[[#This Row],[Type]]="P",Games[[#This Row],[Round]]=3),IF(Games[[#This Row],[Result]]&gt;0.5,1,0),0)</f>
        <v>0</v>
      </c>
      <c r="AJ233" s="2">
        <f>IF(AND(Games[[#This Row],[Type]]="P",Games[[#This Row],[Round]]=3),IF(Games[[#This Row],[Result]]&lt;0.5,1,0),0)</f>
        <v>0</v>
      </c>
      <c r="AK233" s="2">
        <f>IF(AND(Games[[#This Row],[Type]]="P",Games[[#This Row],[Round]]=4),IF(Games[[#This Row],[Result]]&gt;0.5,1,0),0)</f>
        <v>0</v>
      </c>
      <c r="AL233" s="2">
        <f>IF(AND(Games[[#This Row],[Type]]="P",Games[[#This Row],[Round]]=4),IF(Games[[#This Row],[Result]]&lt;0.5,1,0),0)</f>
        <v>0</v>
      </c>
    </row>
    <row r="234" spans="1:38" x14ac:dyDescent="0.35">
      <c r="A234" s="10">
        <v>40376</v>
      </c>
      <c r="B234" s="2">
        <v>2010</v>
      </c>
      <c r="C234" s="2">
        <f>COUNTIFS(Games[Team],Games[[#This Row],[Team]],Games[Season],Games[[#This Row],[Season]],Games[Date],"&lt;=" &amp; Games[[#This Row],[Date]])</f>
        <v>20</v>
      </c>
      <c r="D234" s="2" t="s">
        <v>23</v>
      </c>
      <c r="E234" s="2" t="s">
        <v>29</v>
      </c>
      <c r="F234" s="1" t="s">
        <v>85</v>
      </c>
      <c r="G234" s="1" t="s">
        <v>44</v>
      </c>
      <c r="H234" s="1" t="s">
        <v>16</v>
      </c>
      <c r="I234" s="2" cm="1">
        <f t="array" ref="I234">IFERROR(
    Games[[#This Row],[Date]]
    - LOOKUP(
        2,
        1/((Games[Team]=Games[[#This Row],[Team]]) * (Games[Date] &lt; Games[[#This Row],[Date]])),
        Games[Date]
    )
    - 1,
Games[[#This Row],[Date]]-$A$2)</f>
        <v>0</v>
      </c>
      <c r="J234" s="2" cm="1">
        <f t="array" ref="J23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34" s="2">
        <f>Games[[#This Row],[DaysOff]]-Games[[#This Row],[OppDaysOff]]</f>
        <v>-2</v>
      </c>
      <c r="L234" s="2">
        <f>Games[[#This Row],[OppDaysOff]]-Games[[#This Row],[DaysOff]]</f>
        <v>2</v>
      </c>
      <c r="M234" s="1">
        <f>MAX(-16, MIN(16, Games[[#This Row],[RestDiff]]*8))</f>
        <v>-16</v>
      </c>
      <c r="N234" s="1">
        <f>MAX(-16, MIN(16, Games[[#This Row],[OppRestDiff]]*8))</f>
        <v>16</v>
      </c>
      <c r="O234" s="4" cm="1">
        <f t="array" ref="O2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1360.8975571140379</v>
      </c>
      <c r="P234" s="4" cm="1">
        <f t="array" ref="P2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1510.2433381442836</v>
      </c>
      <c r="Q234" s="4">
        <f>1/(1+10^(((Games[[#This Row],[OppPreGmRate]]+IF(Games[[#This Row],[HomeAway]]="A",HCA,0)+Games[[#This Row],[OppRestAdj]])-(Games[[#This Row],[PreGmRate]]+IF(Games[[#This Row],[HomeAway]]="H",HCA,0)+Games[[#This Row],[RestAdj]]))/400))</f>
        <v>0.17836663334991087</v>
      </c>
      <c r="R234" s="1">
        <v>88</v>
      </c>
      <c r="S234" s="1">
        <v>97</v>
      </c>
      <c r="T234" s="1">
        <v>0</v>
      </c>
      <c r="U234" s="1">
        <f>Games[[#This Row],[PointsFor]]-Games[[#This Row],[PointsAgainst]]</f>
        <v>-9</v>
      </c>
      <c r="V234" s="1">
        <f>IF(Games[[#This Row],[MOV]]&gt;0,1,IF(Games[[#This Row],[MOV]]=0,0.5,0))</f>
        <v>0</v>
      </c>
      <c r="W234" s="4">
        <f>((ABS(Games[[#This Row],[MOV]])+5)^0.6)/(12+0.01*(ABS(Games[[#This Row],[PreGmRate]]-Games[[#This Row],[OppPreGmRate]])))*IF(Games[[#This Row],[OT]]=1,0.9,1)</f>
        <v>0.36103854136241709</v>
      </c>
      <c r="X234" s="7" cm="1">
        <f t="array" ref="X2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4" s="9">
        <f>MAX(kmin, kmax - 0.15 * MIN(Games[[#This Row],[GamesPlayed]], 82))</f>
        <v>73</v>
      </c>
      <c r="Z234" s="4">
        <f>Games[[#This Row],[K]]*Games[[#This Row],[POMult]]</f>
        <v>73</v>
      </c>
      <c r="AA234" s="4">
        <f>(Games[[#This Row],[Keff]]*Games[[#This Row],[MOVMult]])*(Games[[#This Row],[Result]]-Games[[#This Row],[ExpectedWin%]])</f>
        <v>-4.7009977266635126</v>
      </c>
      <c r="AB234" s="4">
        <f>Games[[#This Row],[PreGmRate]]+Games[[#This Row],[RatingChange]]</f>
        <v>1356.1965593873745</v>
      </c>
      <c r="AC234" s="2">
        <f>IF(Games[[#This Row],[Type]]="R",IF(Games[[#This Row],[Result]]&gt;0.5,1,0),0)</f>
        <v>0</v>
      </c>
      <c r="AD234" s="2">
        <f>IF(Games[[#This Row],[Type]]="R",IF(Games[[#This Row],[Result]]&lt;0.5,1,0),0)</f>
        <v>1</v>
      </c>
      <c r="AE234" s="2">
        <f>IF(AND(Games[[#This Row],[Type]]="P",Games[[#This Row],[Round]]=1),IF(Games[[#This Row],[Result]]&gt;0.5,1,0),0)</f>
        <v>0</v>
      </c>
      <c r="AF234" s="2">
        <f>IF(AND(Games[[#This Row],[Type]]="P",Games[[#This Row],[Round]]=1),IF(Games[[#This Row],[Result]]&lt;0.5,1,0),0)</f>
        <v>0</v>
      </c>
      <c r="AG234" s="2">
        <f>IF(AND(Games[[#This Row],[Type]]="P",Games[[#This Row],[Round]]=2),IF(Games[[#This Row],[Result]]&gt;0.5,1,0),0)</f>
        <v>0</v>
      </c>
      <c r="AH234" s="2">
        <f>IF(AND(Games[[#This Row],[Type]]="P",Games[[#This Row],[Round]]=2),IF(Games[[#This Row],[Result]]&lt;0.5,1,0),0)</f>
        <v>0</v>
      </c>
      <c r="AI234" s="2">
        <f>IF(AND(Games[[#This Row],[Type]]="P",Games[[#This Row],[Round]]=3),IF(Games[[#This Row],[Result]]&gt;0.5,1,0),0)</f>
        <v>0</v>
      </c>
      <c r="AJ234" s="2">
        <f>IF(AND(Games[[#This Row],[Type]]="P",Games[[#This Row],[Round]]=3),IF(Games[[#This Row],[Result]]&lt;0.5,1,0),0)</f>
        <v>0</v>
      </c>
      <c r="AK234" s="2">
        <f>IF(AND(Games[[#This Row],[Type]]="P",Games[[#This Row],[Round]]=4),IF(Games[[#This Row],[Result]]&gt;0.5,1,0),0)</f>
        <v>0</v>
      </c>
      <c r="AL234" s="2">
        <f>IF(AND(Games[[#This Row],[Type]]="P",Games[[#This Row],[Round]]=4),IF(Games[[#This Row],[Result]]&lt;0.5,1,0),0)</f>
        <v>0</v>
      </c>
    </row>
    <row r="235" spans="1:38" x14ac:dyDescent="0.35">
      <c r="A235" s="10">
        <v>40376</v>
      </c>
      <c r="B235" s="2">
        <v>2010</v>
      </c>
      <c r="C235" s="2">
        <f>COUNTIFS(Games[Team],Games[[#This Row],[Team]],Games[Season],Games[[#This Row],[Season]],Games[Date],"&lt;=" &amp; Games[[#This Row],[Date]])</f>
        <v>20</v>
      </c>
      <c r="D235" s="2" t="s">
        <v>23</v>
      </c>
      <c r="E235" s="2" t="s">
        <v>29</v>
      </c>
      <c r="F235" s="1" t="s">
        <v>44</v>
      </c>
      <c r="G235" s="1" t="s">
        <v>85</v>
      </c>
      <c r="H235" s="1" t="s">
        <v>15</v>
      </c>
      <c r="I235" s="2" cm="1">
        <f t="array" ref="I235">IFERROR(
    Games[[#This Row],[Date]]
    - LOOKUP(
        2,
        1/((Games[Team]=Games[[#This Row],[Team]]) * (Games[Date] &lt; Games[[#This Row],[Date]])),
        Games[Date]
    )
    - 1,
Games[[#This Row],[Date]]-$A$2)</f>
        <v>2</v>
      </c>
      <c r="J235" s="2" cm="1">
        <f t="array" ref="J23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35" s="2">
        <f>Games[[#This Row],[DaysOff]]-Games[[#This Row],[OppDaysOff]]</f>
        <v>2</v>
      </c>
      <c r="L235" s="2">
        <f>Games[[#This Row],[OppDaysOff]]-Games[[#This Row],[DaysOff]]</f>
        <v>-2</v>
      </c>
      <c r="M235" s="1">
        <f>MAX(-16, MIN(16, Games[[#This Row],[RestDiff]]*8))</f>
        <v>16</v>
      </c>
      <c r="N235" s="1">
        <f>MAX(-16, MIN(16, Games[[#This Row],[OppRestDiff]]*8))</f>
        <v>-16</v>
      </c>
      <c r="O235" s="4" cm="1">
        <f t="array" ref="O2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1510.2433381442836</v>
      </c>
      <c r="P235" s="4" cm="1">
        <f t="array" ref="P2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1360.8975571140379</v>
      </c>
      <c r="Q235" s="4">
        <f>1/(1+10^(((Games[[#This Row],[OppPreGmRate]]+IF(Games[[#This Row],[HomeAway]]="A",HCA,0)+Games[[#This Row],[OppRestAdj]])-(Games[[#This Row],[PreGmRate]]+IF(Games[[#This Row],[HomeAway]]="H",HCA,0)+Games[[#This Row],[RestAdj]]))/400))</f>
        <v>0.82163336665008924</v>
      </c>
      <c r="R235" s="1">
        <v>97</v>
      </c>
      <c r="S235" s="1">
        <v>88</v>
      </c>
      <c r="T235" s="1">
        <v>0</v>
      </c>
      <c r="U235" s="1">
        <f>Games[[#This Row],[PointsFor]]-Games[[#This Row],[PointsAgainst]]</f>
        <v>9</v>
      </c>
      <c r="V235" s="1">
        <f>IF(Games[[#This Row],[MOV]]&gt;0,1,IF(Games[[#This Row],[MOV]]=0,0.5,0))</f>
        <v>1</v>
      </c>
      <c r="W235" s="4">
        <f>((ABS(Games[[#This Row],[MOV]])+5)^0.6)/(12+0.01*(ABS(Games[[#This Row],[PreGmRate]]-Games[[#This Row],[OppPreGmRate]])))*IF(Games[[#This Row],[OT]]=1,0.9,1)</f>
        <v>0.36103854136241709</v>
      </c>
      <c r="X235" s="7" cm="1">
        <f t="array" ref="X2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5" s="9">
        <f>MAX(kmin, kmax - 0.15 * MIN(Games[[#This Row],[GamesPlayed]], 82))</f>
        <v>73</v>
      </c>
      <c r="Z235" s="4">
        <f>Games[[#This Row],[K]]*Games[[#This Row],[POMult]]</f>
        <v>73</v>
      </c>
      <c r="AA235" s="4">
        <f>(Games[[#This Row],[Keff]]*Games[[#This Row],[MOVMult]])*(Games[[#This Row],[Result]]-Games[[#This Row],[ExpectedWin%]])</f>
        <v>4.700997726663509</v>
      </c>
      <c r="AB235" s="4">
        <f>Games[[#This Row],[PreGmRate]]+Games[[#This Row],[RatingChange]]</f>
        <v>1514.944335870947</v>
      </c>
      <c r="AC235" s="2">
        <f>IF(Games[[#This Row],[Type]]="R",IF(Games[[#This Row],[Result]]&gt;0.5,1,0),0)</f>
        <v>1</v>
      </c>
      <c r="AD235" s="2">
        <f>IF(Games[[#This Row],[Type]]="R",IF(Games[[#This Row],[Result]]&lt;0.5,1,0),0)</f>
        <v>0</v>
      </c>
      <c r="AE235" s="2">
        <f>IF(AND(Games[[#This Row],[Type]]="P",Games[[#This Row],[Round]]=1),IF(Games[[#This Row],[Result]]&gt;0.5,1,0),0)</f>
        <v>0</v>
      </c>
      <c r="AF235" s="2">
        <f>IF(AND(Games[[#This Row],[Type]]="P",Games[[#This Row],[Round]]=1),IF(Games[[#This Row],[Result]]&lt;0.5,1,0),0)</f>
        <v>0</v>
      </c>
      <c r="AG235" s="2">
        <f>IF(AND(Games[[#This Row],[Type]]="P",Games[[#This Row],[Round]]=2),IF(Games[[#This Row],[Result]]&gt;0.5,1,0),0)</f>
        <v>0</v>
      </c>
      <c r="AH235" s="2">
        <f>IF(AND(Games[[#This Row],[Type]]="P",Games[[#This Row],[Round]]=2),IF(Games[[#This Row],[Result]]&lt;0.5,1,0),0)</f>
        <v>0</v>
      </c>
      <c r="AI235" s="2">
        <f>IF(AND(Games[[#This Row],[Type]]="P",Games[[#This Row],[Round]]=3),IF(Games[[#This Row],[Result]]&gt;0.5,1,0),0)</f>
        <v>0</v>
      </c>
      <c r="AJ235" s="2">
        <f>IF(AND(Games[[#This Row],[Type]]="P",Games[[#This Row],[Round]]=3),IF(Games[[#This Row],[Result]]&lt;0.5,1,0),0)</f>
        <v>0</v>
      </c>
      <c r="AK235" s="2">
        <f>IF(AND(Games[[#This Row],[Type]]="P",Games[[#This Row],[Round]]=4),IF(Games[[#This Row],[Result]]&gt;0.5,1,0),0)</f>
        <v>0</v>
      </c>
      <c r="AL235" s="2">
        <f>IF(AND(Games[[#This Row],[Type]]="P",Games[[#This Row],[Round]]=4),IF(Games[[#This Row],[Result]]&lt;0.5,1,0),0)</f>
        <v>0</v>
      </c>
    </row>
    <row r="236" spans="1:38" x14ac:dyDescent="0.35">
      <c r="A236" s="10">
        <v>40377</v>
      </c>
      <c r="B236" s="2">
        <v>2010</v>
      </c>
      <c r="C236" s="2">
        <f>COUNTIFS(Games[Team],Games[[#This Row],[Team]],Games[Season],Games[[#This Row],[Season]],Games[Date],"&lt;=" &amp; Games[[#This Row],[Date]])</f>
        <v>20</v>
      </c>
      <c r="D236" s="2" t="s">
        <v>23</v>
      </c>
      <c r="E236" s="2" t="s">
        <v>29</v>
      </c>
      <c r="F236" s="1" t="s">
        <v>73</v>
      </c>
      <c r="G236" s="1" t="s">
        <v>64</v>
      </c>
      <c r="H236" s="1" t="s">
        <v>16</v>
      </c>
      <c r="I236" s="2" cm="1">
        <f t="array" ref="I23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6" s="2" cm="1">
        <f t="array" ref="J23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36" s="2">
        <f>Games[[#This Row],[DaysOff]]-Games[[#This Row],[OppDaysOff]]</f>
        <v>-1</v>
      </c>
      <c r="L236" s="2">
        <f>Games[[#This Row],[OppDaysOff]]-Games[[#This Row],[DaysOff]]</f>
        <v>1</v>
      </c>
      <c r="M236" s="1">
        <f>MAX(-16, MIN(16, Games[[#This Row],[RestDiff]]*8))</f>
        <v>-8</v>
      </c>
      <c r="N236" s="1">
        <f>MAX(-16, MIN(16, Games[[#This Row],[OppRestDiff]]*8))</f>
        <v>8</v>
      </c>
      <c r="O236" s="4" cm="1">
        <f t="array" ref="O2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1589.1584746560814</v>
      </c>
      <c r="P236" s="4" cm="1">
        <f t="array" ref="P2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1503.4970791828125</v>
      </c>
      <c r="Q236" s="4">
        <f>1/(1+10^(((Games[[#This Row],[OppPreGmRate]]+IF(Games[[#This Row],[HomeAway]]="A",HCA,0)+Games[[#This Row],[OppRestAdj]])-(Games[[#This Row],[PreGmRate]]+IF(Games[[#This Row],[HomeAway]]="H",HCA,0)+Games[[#This Row],[RestAdj]]))/400))</f>
        <v>0.47937679648962156</v>
      </c>
      <c r="R236" s="1">
        <v>84</v>
      </c>
      <c r="S236" s="1">
        <v>81</v>
      </c>
      <c r="T236" s="1">
        <v>1</v>
      </c>
      <c r="U236" s="1">
        <f>Games[[#This Row],[PointsFor]]-Games[[#This Row],[PointsAgainst]]</f>
        <v>3</v>
      </c>
      <c r="V236" s="1">
        <f>IF(Games[[#This Row],[MOV]]&gt;0,1,IF(Games[[#This Row],[MOV]]=0,0.5,0))</f>
        <v>1</v>
      </c>
      <c r="W236" s="4">
        <f>((ABS(Games[[#This Row],[MOV]])+5)^0.6)/(12+0.01*(ABS(Games[[#This Row],[PreGmRate]]-Games[[#This Row],[OppPreGmRate]])))*IF(Games[[#This Row],[OT]]=1,0.9,1)</f>
        <v>0.24376418541465086</v>
      </c>
      <c r="X236" s="7" cm="1">
        <f t="array" ref="X2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6" s="9">
        <f>MAX(kmin, kmax - 0.15 * MIN(Games[[#This Row],[GamesPlayed]], 82))</f>
        <v>73</v>
      </c>
      <c r="Z236" s="4">
        <f>Games[[#This Row],[K]]*Games[[#This Row],[POMult]]</f>
        <v>73</v>
      </c>
      <c r="AA236" s="4">
        <f>(Games[[#This Row],[Keff]]*Games[[#This Row],[MOVMult]])*(Games[[#This Row],[Result]]-Games[[#This Row],[ExpectedWin%]])</f>
        <v>9.2643782511521557</v>
      </c>
      <c r="AB236" s="4">
        <f>Games[[#This Row],[PreGmRate]]+Games[[#This Row],[RatingChange]]</f>
        <v>1598.4228529072336</v>
      </c>
      <c r="AC236" s="2">
        <f>IF(Games[[#This Row],[Type]]="R",IF(Games[[#This Row],[Result]]&gt;0.5,1,0),0)</f>
        <v>1</v>
      </c>
      <c r="AD236" s="2">
        <f>IF(Games[[#This Row],[Type]]="R",IF(Games[[#This Row],[Result]]&lt;0.5,1,0),0)</f>
        <v>0</v>
      </c>
      <c r="AE236" s="2">
        <f>IF(AND(Games[[#This Row],[Type]]="P",Games[[#This Row],[Round]]=1),IF(Games[[#This Row],[Result]]&gt;0.5,1,0),0)</f>
        <v>0</v>
      </c>
      <c r="AF236" s="2">
        <f>IF(AND(Games[[#This Row],[Type]]="P",Games[[#This Row],[Round]]=1),IF(Games[[#This Row],[Result]]&lt;0.5,1,0),0)</f>
        <v>0</v>
      </c>
      <c r="AG236" s="2">
        <f>IF(AND(Games[[#This Row],[Type]]="P",Games[[#This Row],[Round]]=2),IF(Games[[#This Row],[Result]]&gt;0.5,1,0),0)</f>
        <v>0</v>
      </c>
      <c r="AH236" s="2">
        <f>IF(AND(Games[[#This Row],[Type]]="P",Games[[#This Row],[Round]]=2),IF(Games[[#This Row],[Result]]&lt;0.5,1,0),0)</f>
        <v>0</v>
      </c>
      <c r="AI236" s="2">
        <f>IF(AND(Games[[#This Row],[Type]]="P",Games[[#This Row],[Round]]=3),IF(Games[[#This Row],[Result]]&gt;0.5,1,0),0)</f>
        <v>0</v>
      </c>
      <c r="AJ236" s="2">
        <f>IF(AND(Games[[#This Row],[Type]]="P",Games[[#This Row],[Round]]=3),IF(Games[[#This Row],[Result]]&lt;0.5,1,0),0)</f>
        <v>0</v>
      </c>
      <c r="AK236" s="2">
        <f>IF(AND(Games[[#This Row],[Type]]="P",Games[[#This Row],[Round]]=4),IF(Games[[#This Row],[Result]]&gt;0.5,1,0),0)</f>
        <v>0</v>
      </c>
      <c r="AL236" s="2">
        <f>IF(AND(Games[[#This Row],[Type]]="P",Games[[#This Row],[Round]]=4),IF(Games[[#This Row],[Result]]&lt;0.5,1,0),0)</f>
        <v>0</v>
      </c>
    </row>
    <row r="237" spans="1:38" x14ac:dyDescent="0.35">
      <c r="A237" s="10">
        <v>40377</v>
      </c>
      <c r="B237" s="2">
        <v>2010</v>
      </c>
      <c r="C237" s="2">
        <f>COUNTIFS(Games[Team],Games[[#This Row],[Team]],Games[Season],Games[[#This Row],[Season]],Games[Date],"&lt;=" &amp; Games[[#This Row],[Date]])</f>
        <v>19</v>
      </c>
      <c r="D237" s="2" t="s">
        <v>23</v>
      </c>
      <c r="E237" s="2" t="s">
        <v>29</v>
      </c>
      <c r="F237" s="1" t="s">
        <v>64</v>
      </c>
      <c r="G237" s="1" t="s">
        <v>73</v>
      </c>
      <c r="H237" s="1" t="s">
        <v>15</v>
      </c>
      <c r="I237" s="2" cm="1">
        <f t="array" ref="I237">IFERROR(
    Games[[#This Row],[Date]]
    - LOOKUP(
        2,
        1/((Games[Team]=Games[[#This Row],[Team]]) * (Games[Date] &lt; Games[[#This Row],[Date]])),
        Games[Date]
    )
    - 1,
Games[[#This Row],[Date]]-$A$2)</f>
        <v>2</v>
      </c>
      <c r="J237" s="2" cm="1">
        <f t="array" ref="J23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7" s="2">
        <f>Games[[#This Row],[DaysOff]]-Games[[#This Row],[OppDaysOff]]</f>
        <v>1</v>
      </c>
      <c r="L237" s="2">
        <f>Games[[#This Row],[OppDaysOff]]-Games[[#This Row],[DaysOff]]</f>
        <v>-1</v>
      </c>
      <c r="M237" s="1">
        <f>MAX(-16, MIN(16, Games[[#This Row],[RestDiff]]*8))</f>
        <v>8</v>
      </c>
      <c r="N237" s="1">
        <f>MAX(-16, MIN(16, Games[[#This Row],[OppRestDiff]]*8))</f>
        <v>-8</v>
      </c>
      <c r="O237" s="4" cm="1">
        <f t="array" ref="O2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1503.4970791828125</v>
      </c>
      <c r="P237" s="4" cm="1">
        <f t="array" ref="P2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1589.1584746560814</v>
      </c>
      <c r="Q237" s="4">
        <f>1/(1+10^(((Games[[#This Row],[OppPreGmRate]]+IF(Games[[#This Row],[HomeAway]]="A",HCA,0)+Games[[#This Row],[OppRestAdj]])-(Games[[#This Row],[PreGmRate]]+IF(Games[[#This Row],[HomeAway]]="H",HCA,0)+Games[[#This Row],[RestAdj]]))/400))</f>
        <v>0.52062320351037839</v>
      </c>
      <c r="R237" s="1">
        <v>81</v>
      </c>
      <c r="S237" s="1">
        <v>84</v>
      </c>
      <c r="T237" s="1">
        <v>1</v>
      </c>
      <c r="U237" s="1">
        <f>Games[[#This Row],[PointsFor]]-Games[[#This Row],[PointsAgainst]]</f>
        <v>-3</v>
      </c>
      <c r="V237" s="1">
        <f>IF(Games[[#This Row],[MOV]]&gt;0,1,IF(Games[[#This Row],[MOV]]=0,0.5,0))</f>
        <v>0</v>
      </c>
      <c r="W237" s="4">
        <f>((ABS(Games[[#This Row],[MOV]])+5)^0.6)/(12+0.01*(ABS(Games[[#This Row],[PreGmRate]]-Games[[#This Row],[OppPreGmRate]])))*IF(Games[[#This Row],[OT]]=1,0.9,1)</f>
        <v>0.24376418541465086</v>
      </c>
      <c r="X237" s="7" cm="1">
        <f t="array" ref="X2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7" s="9">
        <f>MAX(kmin, kmax - 0.15 * MIN(Games[[#This Row],[GamesPlayed]], 82))</f>
        <v>73.150000000000006</v>
      </c>
      <c r="Z237" s="4">
        <f>Games[[#This Row],[K]]*Games[[#This Row],[POMult]]</f>
        <v>73.150000000000006</v>
      </c>
      <c r="AA237" s="4">
        <f>(Games[[#This Row],[Keff]]*Games[[#This Row],[MOVMult]])*(Games[[#This Row],[Result]]-Games[[#This Row],[ExpectedWin%]])</f>
        <v>-9.2834146448189099</v>
      </c>
      <c r="AB237" s="4">
        <f>Games[[#This Row],[PreGmRate]]+Games[[#This Row],[RatingChange]]</f>
        <v>1494.2136645379935</v>
      </c>
      <c r="AC237" s="2">
        <f>IF(Games[[#This Row],[Type]]="R",IF(Games[[#This Row],[Result]]&gt;0.5,1,0),0)</f>
        <v>0</v>
      </c>
      <c r="AD237" s="2">
        <f>IF(Games[[#This Row],[Type]]="R",IF(Games[[#This Row],[Result]]&lt;0.5,1,0),0)</f>
        <v>1</v>
      </c>
      <c r="AE237" s="2">
        <f>IF(AND(Games[[#This Row],[Type]]="P",Games[[#This Row],[Round]]=1),IF(Games[[#This Row],[Result]]&gt;0.5,1,0),0)</f>
        <v>0</v>
      </c>
      <c r="AF237" s="2">
        <f>IF(AND(Games[[#This Row],[Type]]="P",Games[[#This Row],[Round]]=1),IF(Games[[#This Row],[Result]]&lt;0.5,1,0),0)</f>
        <v>0</v>
      </c>
      <c r="AG237" s="2">
        <f>IF(AND(Games[[#This Row],[Type]]="P",Games[[#This Row],[Round]]=2),IF(Games[[#This Row],[Result]]&gt;0.5,1,0),0)</f>
        <v>0</v>
      </c>
      <c r="AH237" s="2">
        <f>IF(AND(Games[[#This Row],[Type]]="P",Games[[#This Row],[Round]]=2),IF(Games[[#This Row],[Result]]&lt;0.5,1,0),0)</f>
        <v>0</v>
      </c>
      <c r="AI237" s="2">
        <f>IF(AND(Games[[#This Row],[Type]]="P",Games[[#This Row],[Round]]=3),IF(Games[[#This Row],[Result]]&gt;0.5,1,0),0)</f>
        <v>0</v>
      </c>
      <c r="AJ237" s="2">
        <f>IF(AND(Games[[#This Row],[Type]]="P",Games[[#This Row],[Round]]=3),IF(Games[[#This Row],[Result]]&lt;0.5,1,0),0)</f>
        <v>0</v>
      </c>
      <c r="AK237" s="2">
        <f>IF(AND(Games[[#This Row],[Type]]="P",Games[[#This Row],[Round]]=4),IF(Games[[#This Row],[Result]]&gt;0.5,1,0),0)</f>
        <v>0</v>
      </c>
      <c r="AL237" s="2">
        <f>IF(AND(Games[[#This Row],[Type]]="P",Games[[#This Row],[Round]]=4),IF(Games[[#This Row],[Result]]&lt;0.5,1,0),0)</f>
        <v>0</v>
      </c>
    </row>
    <row r="238" spans="1:38" x14ac:dyDescent="0.35">
      <c r="A238" s="10">
        <v>40377</v>
      </c>
      <c r="B238" s="2">
        <v>2010</v>
      </c>
      <c r="C238" s="2">
        <f>COUNTIFS(Games[Team],Games[[#This Row],[Team]],Games[Season],Games[[#This Row],[Season]],Games[Date],"&lt;=" &amp; Games[[#This Row],[Date]])</f>
        <v>20</v>
      </c>
      <c r="D238" s="2" t="s">
        <v>23</v>
      </c>
      <c r="E238" s="2" t="s">
        <v>29</v>
      </c>
      <c r="F238" s="1" t="s">
        <v>67</v>
      </c>
      <c r="G238" s="1" t="s">
        <v>78</v>
      </c>
      <c r="H238" s="1" t="s">
        <v>16</v>
      </c>
      <c r="I238" s="2" cm="1">
        <f t="array" ref="I23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8" s="2" cm="1">
        <f t="array" ref="J23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8" s="2">
        <f>Games[[#This Row],[DaysOff]]-Games[[#This Row],[OppDaysOff]]</f>
        <v>0</v>
      </c>
      <c r="L238" s="2">
        <f>Games[[#This Row],[OppDaysOff]]-Games[[#This Row],[DaysOff]]</f>
        <v>0</v>
      </c>
      <c r="M238" s="1">
        <f>MAX(-16, MIN(16, Games[[#This Row],[RestDiff]]*8))</f>
        <v>0</v>
      </c>
      <c r="N238" s="1">
        <f>MAX(-16, MIN(16, Games[[#This Row],[OppRestDiff]]*8))</f>
        <v>0</v>
      </c>
      <c r="O238" s="4" cm="1">
        <f t="array" ref="O2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1427.8217786899395</v>
      </c>
      <c r="P238" s="4" cm="1">
        <f t="array" ref="P2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1411.9597919091186</v>
      </c>
      <c r="Q238" s="4">
        <f>1/(1+10^(((Games[[#This Row],[OppPreGmRate]]+IF(Games[[#This Row],[HomeAway]]="A",HCA,0)+Games[[#This Row],[OppRestAdj]])-(Games[[#This Row],[PreGmRate]]+IF(Games[[#This Row],[HomeAway]]="H",HCA,0)+Games[[#This Row],[RestAdj]]))/400))</f>
        <v>0.40317964249695282</v>
      </c>
      <c r="R238" s="1">
        <v>73</v>
      </c>
      <c r="S238" s="1">
        <v>83</v>
      </c>
      <c r="T238" s="1">
        <v>0</v>
      </c>
      <c r="U238" s="1">
        <f>Games[[#This Row],[PointsFor]]-Games[[#This Row],[PointsAgainst]]</f>
        <v>-10</v>
      </c>
      <c r="V238" s="1">
        <f>IF(Games[[#This Row],[MOV]]&gt;0,1,IF(Games[[#This Row],[MOV]]=0,0.5,0))</f>
        <v>0</v>
      </c>
      <c r="W238" s="4">
        <f>((ABS(Games[[#This Row],[MOV]])+5)^0.6)/(12+0.01*(ABS(Games[[#This Row],[PreGmRate]]-Games[[#This Row],[OppPreGmRate]])))*IF(Games[[#This Row],[OT]]=1,0.9,1)</f>
        <v>0.41760960102313982</v>
      </c>
      <c r="X238" s="7" cm="1">
        <f t="array" ref="X2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8" s="9">
        <f>MAX(kmin, kmax - 0.15 * MIN(Games[[#This Row],[GamesPlayed]], 82))</f>
        <v>73</v>
      </c>
      <c r="Z238" s="4">
        <f>Games[[#This Row],[K]]*Games[[#This Row],[POMult]]</f>
        <v>73</v>
      </c>
      <c r="AA238" s="4">
        <f>(Games[[#This Row],[Keff]]*Games[[#This Row],[MOVMult]])*(Games[[#This Row],[Result]]-Games[[#This Row],[ExpectedWin%]])</f>
        <v>-12.291133343997737</v>
      </c>
      <c r="AB238" s="4">
        <f>Games[[#This Row],[PreGmRate]]+Games[[#This Row],[RatingChange]]</f>
        <v>1415.5306453459418</v>
      </c>
      <c r="AC238" s="2">
        <f>IF(Games[[#This Row],[Type]]="R",IF(Games[[#This Row],[Result]]&gt;0.5,1,0),0)</f>
        <v>0</v>
      </c>
      <c r="AD238" s="2">
        <f>IF(Games[[#This Row],[Type]]="R",IF(Games[[#This Row],[Result]]&lt;0.5,1,0),0)</f>
        <v>1</v>
      </c>
      <c r="AE238" s="2">
        <f>IF(AND(Games[[#This Row],[Type]]="P",Games[[#This Row],[Round]]=1),IF(Games[[#This Row],[Result]]&gt;0.5,1,0),0)</f>
        <v>0</v>
      </c>
      <c r="AF238" s="2">
        <f>IF(AND(Games[[#This Row],[Type]]="P",Games[[#This Row],[Round]]=1),IF(Games[[#This Row],[Result]]&lt;0.5,1,0),0)</f>
        <v>0</v>
      </c>
      <c r="AG238" s="2">
        <f>IF(AND(Games[[#This Row],[Type]]="P",Games[[#This Row],[Round]]=2),IF(Games[[#This Row],[Result]]&gt;0.5,1,0),0)</f>
        <v>0</v>
      </c>
      <c r="AH238" s="2">
        <f>IF(AND(Games[[#This Row],[Type]]="P",Games[[#This Row],[Round]]=2),IF(Games[[#This Row],[Result]]&lt;0.5,1,0),0)</f>
        <v>0</v>
      </c>
      <c r="AI238" s="2">
        <f>IF(AND(Games[[#This Row],[Type]]="P",Games[[#This Row],[Round]]=3),IF(Games[[#This Row],[Result]]&gt;0.5,1,0),0)</f>
        <v>0</v>
      </c>
      <c r="AJ238" s="2">
        <f>IF(AND(Games[[#This Row],[Type]]="P",Games[[#This Row],[Round]]=3),IF(Games[[#This Row],[Result]]&lt;0.5,1,0),0)</f>
        <v>0</v>
      </c>
      <c r="AK238" s="2">
        <f>IF(AND(Games[[#This Row],[Type]]="P",Games[[#This Row],[Round]]=4),IF(Games[[#This Row],[Result]]&gt;0.5,1,0),0)</f>
        <v>0</v>
      </c>
      <c r="AL238" s="2">
        <f>IF(AND(Games[[#This Row],[Type]]="P",Games[[#This Row],[Round]]=4),IF(Games[[#This Row],[Result]]&lt;0.5,1,0),0)</f>
        <v>0</v>
      </c>
    </row>
    <row r="239" spans="1:38" x14ac:dyDescent="0.35">
      <c r="A239" s="10">
        <v>40377</v>
      </c>
      <c r="B239" s="2">
        <v>2010</v>
      </c>
      <c r="C239" s="2">
        <f>COUNTIFS(Games[Team],Games[[#This Row],[Team]],Games[Season],Games[[#This Row],[Season]],Games[Date],"&lt;=" &amp; Games[[#This Row],[Date]])</f>
        <v>19</v>
      </c>
      <c r="D239" s="2" t="s">
        <v>23</v>
      </c>
      <c r="E239" s="2" t="s">
        <v>29</v>
      </c>
      <c r="F239" s="1" t="s">
        <v>78</v>
      </c>
      <c r="G239" s="1" t="s">
        <v>67</v>
      </c>
      <c r="H239" s="1" t="s">
        <v>15</v>
      </c>
      <c r="I239" s="2" cm="1">
        <f t="array" ref="I23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9" s="2" cm="1">
        <f t="array" ref="J23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9" s="2">
        <f>Games[[#This Row],[DaysOff]]-Games[[#This Row],[OppDaysOff]]</f>
        <v>0</v>
      </c>
      <c r="L239" s="2">
        <f>Games[[#This Row],[OppDaysOff]]-Games[[#This Row],[DaysOff]]</f>
        <v>0</v>
      </c>
      <c r="M239" s="1">
        <f>MAX(-16, MIN(16, Games[[#This Row],[RestDiff]]*8))</f>
        <v>0</v>
      </c>
      <c r="N239" s="1">
        <f>MAX(-16, MIN(16, Games[[#This Row],[OppRestDiff]]*8))</f>
        <v>0</v>
      </c>
      <c r="O239" s="4" cm="1">
        <f t="array" ref="O2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1411.9597919091186</v>
      </c>
      <c r="P239" s="4" cm="1">
        <f t="array" ref="P2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1427.8217786899395</v>
      </c>
      <c r="Q239" s="4">
        <f>1/(1+10^(((Games[[#This Row],[OppPreGmRate]]+IF(Games[[#This Row],[HomeAway]]="A",HCA,0)+Games[[#This Row],[OppRestAdj]])-(Games[[#This Row],[PreGmRate]]+IF(Games[[#This Row],[HomeAway]]="H",HCA,0)+Games[[#This Row],[RestAdj]]))/400))</f>
        <v>0.59682035750304718</v>
      </c>
      <c r="R239" s="1">
        <v>83</v>
      </c>
      <c r="S239" s="1">
        <v>73</v>
      </c>
      <c r="T239" s="1">
        <v>0</v>
      </c>
      <c r="U239" s="1">
        <f>Games[[#This Row],[PointsFor]]-Games[[#This Row],[PointsAgainst]]</f>
        <v>10</v>
      </c>
      <c r="V239" s="1">
        <f>IF(Games[[#This Row],[MOV]]&gt;0,1,IF(Games[[#This Row],[MOV]]=0,0.5,0))</f>
        <v>1</v>
      </c>
      <c r="W239" s="4">
        <f>((ABS(Games[[#This Row],[MOV]])+5)^0.6)/(12+0.01*(ABS(Games[[#This Row],[PreGmRate]]-Games[[#This Row],[OppPreGmRate]])))*IF(Games[[#This Row],[OT]]=1,0.9,1)</f>
        <v>0.41760960102313982</v>
      </c>
      <c r="X239" s="7" cm="1">
        <f t="array" ref="X2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9" s="9">
        <f>MAX(kmin, kmax - 0.15 * MIN(Games[[#This Row],[GamesPlayed]], 82))</f>
        <v>73.150000000000006</v>
      </c>
      <c r="Z239" s="4">
        <f>Games[[#This Row],[K]]*Games[[#This Row],[POMult]]</f>
        <v>73.150000000000006</v>
      </c>
      <c r="AA239" s="4">
        <f>(Games[[#This Row],[Keff]]*Games[[#This Row],[MOVMult]])*(Games[[#This Row],[Result]]-Games[[#This Row],[ExpectedWin%]])</f>
        <v>12.316389097444308</v>
      </c>
      <c r="AB239" s="4">
        <f>Games[[#This Row],[PreGmRate]]+Games[[#This Row],[RatingChange]]</f>
        <v>1424.2761810065629</v>
      </c>
      <c r="AC239" s="2">
        <f>IF(Games[[#This Row],[Type]]="R",IF(Games[[#This Row],[Result]]&gt;0.5,1,0),0)</f>
        <v>1</v>
      </c>
      <c r="AD239" s="2">
        <f>IF(Games[[#This Row],[Type]]="R",IF(Games[[#This Row],[Result]]&lt;0.5,1,0),0)</f>
        <v>0</v>
      </c>
      <c r="AE239" s="2">
        <f>IF(AND(Games[[#This Row],[Type]]="P",Games[[#This Row],[Round]]=1),IF(Games[[#This Row],[Result]]&gt;0.5,1,0),0)</f>
        <v>0</v>
      </c>
      <c r="AF239" s="2">
        <f>IF(AND(Games[[#This Row],[Type]]="P",Games[[#This Row],[Round]]=1),IF(Games[[#This Row],[Result]]&lt;0.5,1,0),0)</f>
        <v>0</v>
      </c>
      <c r="AG239" s="2">
        <f>IF(AND(Games[[#This Row],[Type]]="P",Games[[#This Row],[Round]]=2),IF(Games[[#This Row],[Result]]&gt;0.5,1,0),0)</f>
        <v>0</v>
      </c>
      <c r="AH239" s="2">
        <f>IF(AND(Games[[#This Row],[Type]]="P",Games[[#This Row],[Round]]=2),IF(Games[[#This Row],[Result]]&lt;0.5,1,0),0)</f>
        <v>0</v>
      </c>
      <c r="AI239" s="2">
        <f>IF(AND(Games[[#This Row],[Type]]="P",Games[[#This Row],[Round]]=3),IF(Games[[#This Row],[Result]]&gt;0.5,1,0),0)</f>
        <v>0</v>
      </c>
      <c r="AJ239" s="2">
        <f>IF(AND(Games[[#This Row],[Type]]="P",Games[[#This Row],[Round]]=3),IF(Games[[#This Row],[Result]]&lt;0.5,1,0),0)</f>
        <v>0</v>
      </c>
      <c r="AK239" s="2">
        <f>IF(AND(Games[[#This Row],[Type]]="P",Games[[#This Row],[Round]]=4),IF(Games[[#This Row],[Result]]&gt;0.5,1,0),0)</f>
        <v>0</v>
      </c>
      <c r="AL239" s="2">
        <f>IF(AND(Games[[#This Row],[Type]]="P",Games[[#This Row],[Round]]=4),IF(Games[[#This Row],[Result]]&lt;0.5,1,0),0)</f>
        <v>0</v>
      </c>
    </row>
    <row r="240" spans="1:38" x14ac:dyDescent="0.35">
      <c r="A240" s="10">
        <v>40377</v>
      </c>
      <c r="B240" s="2">
        <v>2010</v>
      </c>
      <c r="C240" s="2">
        <f>COUNTIFS(Games[Team],Games[[#This Row],[Team]],Games[Season],Games[[#This Row],[Season]],Games[Date],"&lt;=" &amp; Games[[#This Row],[Date]])</f>
        <v>22</v>
      </c>
      <c r="D240" s="2" t="s">
        <v>23</v>
      </c>
      <c r="E240" s="2" t="s">
        <v>29</v>
      </c>
      <c r="F240" s="1" t="s">
        <v>81</v>
      </c>
      <c r="G240" s="1" t="s">
        <v>69</v>
      </c>
      <c r="H240" s="1" t="s">
        <v>16</v>
      </c>
      <c r="I240" s="2" cm="1">
        <f t="array" ref="I24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0" s="2" cm="1">
        <f t="array" ref="J24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40" s="2">
        <f>Games[[#This Row],[DaysOff]]-Games[[#This Row],[OppDaysOff]]</f>
        <v>-1</v>
      </c>
      <c r="L240" s="2">
        <f>Games[[#This Row],[OppDaysOff]]-Games[[#This Row],[DaysOff]]</f>
        <v>1</v>
      </c>
      <c r="M240" s="1">
        <f>MAX(-16, MIN(16, Games[[#This Row],[RestDiff]]*8))</f>
        <v>-8</v>
      </c>
      <c r="N240" s="1">
        <f>MAX(-16, MIN(16, Games[[#This Row],[OppRestDiff]]*8))</f>
        <v>8</v>
      </c>
      <c r="O240" s="4" cm="1">
        <f t="array" ref="O2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1503.0669456057526</v>
      </c>
      <c r="P240" s="4" cm="1">
        <f t="array" ref="P2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1554.0995369577277</v>
      </c>
      <c r="Q240" s="4">
        <f>1/(1+10^(((Games[[#This Row],[OppPreGmRate]]+IF(Games[[#This Row],[HomeAway]]="A",HCA,0)+Games[[#This Row],[OppRestAdj]])-(Games[[#This Row],[PreGmRate]]+IF(Games[[#This Row],[HomeAway]]="H",HCA,0)+Games[[#This Row],[RestAdj]]))/400))</f>
        <v>0.29537635853766242</v>
      </c>
      <c r="R240" s="1">
        <v>61</v>
      </c>
      <c r="S240" s="1">
        <v>59</v>
      </c>
      <c r="T240" s="1">
        <v>0</v>
      </c>
      <c r="U240" s="1">
        <f>Games[[#This Row],[PointsFor]]-Games[[#This Row],[PointsAgainst]]</f>
        <v>2</v>
      </c>
      <c r="V240" s="1">
        <f>IF(Games[[#This Row],[MOV]]&gt;0,1,IF(Games[[#This Row],[MOV]]=0,0.5,0))</f>
        <v>1</v>
      </c>
      <c r="W240" s="4">
        <f>((ABS(Games[[#This Row],[MOV]])+5)^0.6)/(12+0.01*(ABS(Games[[#This Row],[PreGmRate]]-Games[[#This Row],[OppPreGmRate]])))*IF(Games[[#This Row],[OT]]=1,0.9,1)</f>
        <v>0.2569154370504933</v>
      </c>
      <c r="X240" s="7" cm="1">
        <f t="array" ref="X2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0" s="9">
        <f>MAX(kmin, kmax - 0.15 * MIN(Games[[#This Row],[GamesPlayed]], 82))</f>
        <v>72.7</v>
      </c>
      <c r="Z240" s="4">
        <f>Games[[#This Row],[K]]*Games[[#This Row],[POMult]]</f>
        <v>72.7</v>
      </c>
      <c r="AA240" s="4">
        <f>(Games[[#This Row],[Keff]]*Games[[#This Row],[MOVMult]])*(Games[[#This Row],[Result]]-Games[[#This Row],[ExpectedWin%]])</f>
        <v>13.160785821334956</v>
      </c>
      <c r="AB240" s="4">
        <f>Games[[#This Row],[PreGmRate]]+Games[[#This Row],[RatingChange]]</f>
        <v>1516.2277314270875</v>
      </c>
      <c r="AC240" s="2">
        <f>IF(Games[[#This Row],[Type]]="R",IF(Games[[#This Row],[Result]]&gt;0.5,1,0),0)</f>
        <v>1</v>
      </c>
      <c r="AD240" s="2">
        <f>IF(Games[[#This Row],[Type]]="R",IF(Games[[#This Row],[Result]]&lt;0.5,1,0),0)</f>
        <v>0</v>
      </c>
      <c r="AE240" s="2">
        <f>IF(AND(Games[[#This Row],[Type]]="P",Games[[#This Row],[Round]]=1),IF(Games[[#This Row],[Result]]&gt;0.5,1,0),0)</f>
        <v>0</v>
      </c>
      <c r="AF240" s="2">
        <f>IF(AND(Games[[#This Row],[Type]]="P",Games[[#This Row],[Round]]=1),IF(Games[[#This Row],[Result]]&lt;0.5,1,0),0)</f>
        <v>0</v>
      </c>
      <c r="AG240" s="2">
        <f>IF(AND(Games[[#This Row],[Type]]="P",Games[[#This Row],[Round]]=2),IF(Games[[#This Row],[Result]]&gt;0.5,1,0),0)</f>
        <v>0</v>
      </c>
      <c r="AH240" s="2">
        <f>IF(AND(Games[[#This Row],[Type]]="P",Games[[#This Row],[Round]]=2),IF(Games[[#This Row],[Result]]&lt;0.5,1,0),0)</f>
        <v>0</v>
      </c>
      <c r="AI240" s="2">
        <f>IF(AND(Games[[#This Row],[Type]]="P",Games[[#This Row],[Round]]=3),IF(Games[[#This Row],[Result]]&gt;0.5,1,0),0)</f>
        <v>0</v>
      </c>
      <c r="AJ240" s="2">
        <f>IF(AND(Games[[#This Row],[Type]]="P",Games[[#This Row],[Round]]=3),IF(Games[[#This Row],[Result]]&lt;0.5,1,0),0)</f>
        <v>0</v>
      </c>
      <c r="AK240" s="2">
        <f>IF(AND(Games[[#This Row],[Type]]="P",Games[[#This Row],[Round]]=4),IF(Games[[#This Row],[Result]]&gt;0.5,1,0),0)</f>
        <v>0</v>
      </c>
      <c r="AL240" s="2">
        <f>IF(AND(Games[[#This Row],[Type]]="P",Games[[#This Row],[Round]]=4),IF(Games[[#This Row],[Result]]&lt;0.5,1,0),0)</f>
        <v>0</v>
      </c>
    </row>
    <row r="241" spans="1:38" x14ac:dyDescent="0.35">
      <c r="A241" s="10">
        <v>40377</v>
      </c>
      <c r="B241" s="2">
        <v>2010</v>
      </c>
      <c r="C241" s="2">
        <f>COUNTIFS(Games[Team],Games[[#This Row],[Team]],Games[Season],Games[[#This Row],[Season]],Games[Date],"&lt;=" &amp; Games[[#This Row],[Date]])</f>
        <v>19</v>
      </c>
      <c r="D241" s="2" t="s">
        <v>23</v>
      </c>
      <c r="E241" s="2" t="s">
        <v>29</v>
      </c>
      <c r="F241" s="1" t="s">
        <v>69</v>
      </c>
      <c r="G241" s="1" t="s">
        <v>81</v>
      </c>
      <c r="H241" s="1" t="s">
        <v>15</v>
      </c>
      <c r="I241" s="2" cm="1">
        <f t="array" ref="I241">IFERROR(
    Games[[#This Row],[Date]]
    - LOOKUP(
        2,
        1/((Games[Team]=Games[[#This Row],[Team]]) * (Games[Date] &lt; Games[[#This Row],[Date]])),
        Games[Date]
    )
    - 1,
Games[[#This Row],[Date]]-$A$2)</f>
        <v>2</v>
      </c>
      <c r="J241" s="2" cm="1">
        <f t="array" ref="J24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1" s="2">
        <f>Games[[#This Row],[DaysOff]]-Games[[#This Row],[OppDaysOff]]</f>
        <v>1</v>
      </c>
      <c r="L241" s="2">
        <f>Games[[#This Row],[OppDaysOff]]-Games[[#This Row],[DaysOff]]</f>
        <v>-1</v>
      </c>
      <c r="M241" s="1">
        <f>MAX(-16, MIN(16, Games[[#This Row],[RestDiff]]*8))</f>
        <v>8</v>
      </c>
      <c r="N241" s="1">
        <f>MAX(-16, MIN(16, Games[[#This Row],[OppRestDiff]]*8))</f>
        <v>-8</v>
      </c>
      <c r="O241" s="4" cm="1">
        <f t="array" ref="O2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1554.0995369577277</v>
      </c>
      <c r="P241" s="4" cm="1">
        <f t="array" ref="P2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1503.0669456057526</v>
      </c>
      <c r="Q241" s="4">
        <f>1/(1+10^(((Games[[#This Row],[OppPreGmRate]]+IF(Games[[#This Row],[HomeAway]]="A",HCA,0)+Games[[#This Row],[OppRestAdj]])-(Games[[#This Row],[PreGmRate]]+IF(Games[[#This Row],[HomeAway]]="H",HCA,0)+Games[[#This Row],[RestAdj]]))/400))</f>
        <v>0.70462364146233769</v>
      </c>
      <c r="R241" s="1">
        <v>59</v>
      </c>
      <c r="S241" s="1">
        <v>61</v>
      </c>
      <c r="T241" s="1">
        <v>0</v>
      </c>
      <c r="U241" s="1">
        <f>Games[[#This Row],[PointsFor]]-Games[[#This Row],[PointsAgainst]]</f>
        <v>-2</v>
      </c>
      <c r="V241" s="1">
        <f>IF(Games[[#This Row],[MOV]]&gt;0,1,IF(Games[[#This Row],[MOV]]=0,0.5,0))</f>
        <v>0</v>
      </c>
      <c r="W241" s="4">
        <f>((ABS(Games[[#This Row],[MOV]])+5)^0.6)/(12+0.01*(ABS(Games[[#This Row],[PreGmRate]]-Games[[#This Row],[OppPreGmRate]])))*IF(Games[[#This Row],[OT]]=1,0.9,1)</f>
        <v>0.2569154370504933</v>
      </c>
      <c r="X241" s="7" cm="1">
        <f t="array" ref="X2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1" s="9">
        <f>MAX(kmin, kmax - 0.15 * MIN(Games[[#This Row],[GamesPlayed]], 82))</f>
        <v>73.150000000000006</v>
      </c>
      <c r="Z241" s="4">
        <f>Games[[#This Row],[K]]*Games[[#This Row],[POMult]]</f>
        <v>73.150000000000006</v>
      </c>
      <c r="AA241" s="4">
        <f>(Games[[#This Row],[Keff]]*Games[[#This Row],[MOVMult]])*(Games[[#This Row],[Result]]-Games[[#This Row],[ExpectedWin%]])</f>
        <v>-13.242248732196042</v>
      </c>
      <c r="AB241" s="4">
        <f>Games[[#This Row],[PreGmRate]]+Games[[#This Row],[RatingChange]]</f>
        <v>1540.8572882255316</v>
      </c>
      <c r="AC241" s="2">
        <f>IF(Games[[#This Row],[Type]]="R",IF(Games[[#This Row],[Result]]&gt;0.5,1,0),0)</f>
        <v>0</v>
      </c>
      <c r="AD241" s="2">
        <f>IF(Games[[#This Row],[Type]]="R",IF(Games[[#This Row],[Result]]&lt;0.5,1,0),0)</f>
        <v>1</v>
      </c>
      <c r="AE241" s="2">
        <f>IF(AND(Games[[#This Row],[Type]]="P",Games[[#This Row],[Round]]=1),IF(Games[[#This Row],[Result]]&gt;0.5,1,0),0)</f>
        <v>0</v>
      </c>
      <c r="AF241" s="2">
        <f>IF(AND(Games[[#This Row],[Type]]="P",Games[[#This Row],[Round]]=1),IF(Games[[#This Row],[Result]]&lt;0.5,1,0),0)</f>
        <v>0</v>
      </c>
      <c r="AG241" s="2">
        <f>IF(AND(Games[[#This Row],[Type]]="P",Games[[#This Row],[Round]]=2),IF(Games[[#This Row],[Result]]&gt;0.5,1,0),0)</f>
        <v>0</v>
      </c>
      <c r="AH241" s="2">
        <f>IF(AND(Games[[#This Row],[Type]]="P",Games[[#This Row],[Round]]=2),IF(Games[[#This Row],[Result]]&lt;0.5,1,0),0)</f>
        <v>0</v>
      </c>
      <c r="AI241" s="2">
        <f>IF(AND(Games[[#This Row],[Type]]="P",Games[[#This Row],[Round]]=3),IF(Games[[#This Row],[Result]]&gt;0.5,1,0),0)</f>
        <v>0</v>
      </c>
      <c r="AJ241" s="2">
        <f>IF(AND(Games[[#This Row],[Type]]="P",Games[[#This Row],[Round]]=3),IF(Games[[#This Row],[Result]]&lt;0.5,1,0),0)</f>
        <v>0</v>
      </c>
      <c r="AK241" s="2">
        <f>IF(AND(Games[[#This Row],[Type]]="P",Games[[#This Row],[Round]]=4),IF(Games[[#This Row],[Result]]&gt;0.5,1,0),0)</f>
        <v>0</v>
      </c>
      <c r="AL241" s="2">
        <f>IF(AND(Games[[#This Row],[Type]]="P",Games[[#This Row],[Round]]=4),IF(Games[[#This Row],[Result]]&lt;0.5,1,0),0)</f>
        <v>0</v>
      </c>
    </row>
    <row r="242" spans="1:38" x14ac:dyDescent="0.35">
      <c r="A242" s="10">
        <v>40379</v>
      </c>
      <c r="B242" s="2">
        <v>2010</v>
      </c>
      <c r="C242" s="2">
        <f>COUNTIFS(Games[Team],Games[[#This Row],[Team]],Games[Season],Games[[#This Row],[Season]],Games[Date],"&lt;=" &amp; Games[[#This Row],[Date]])</f>
        <v>20</v>
      </c>
      <c r="D242" s="2" t="s">
        <v>23</v>
      </c>
      <c r="E242" s="2" t="s">
        <v>29</v>
      </c>
      <c r="F242" s="1" t="s">
        <v>64</v>
      </c>
      <c r="G242" s="1" t="s">
        <v>80</v>
      </c>
      <c r="H242" s="1" t="s">
        <v>16</v>
      </c>
      <c r="I242" s="2" cm="1">
        <f t="array" ref="I24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2" s="2" cm="1">
        <f t="array" ref="J24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42" s="2">
        <f>Games[[#This Row],[DaysOff]]-Games[[#This Row],[OppDaysOff]]</f>
        <v>-1</v>
      </c>
      <c r="L242" s="2">
        <f>Games[[#This Row],[OppDaysOff]]-Games[[#This Row],[DaysOff]]</f>
        <v>1</v>
      </c>
      <c r="M242" s="1">
        <f>MAX(-16, MIN(16, Games[[#This Row],[RestDiff]]*8))</f>
        <v>-8</v>
      </c>
      <c r="N242" s="1">
        <f>MAX(-16, MIN(16, Games[[#This Row],[OppRestDiff]]*8))</f>
        <v>8</v>
      </c>
      <c r="O242" s="4" cm="1">
        <f t="array" ref="O2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1494.2136645379935</v>
      </c>
      <c r="P242" s="4" cm="1">
        <f t="array" ref="P2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1538.1464533408393</v>
      </c>
      <c r="Q242" s="4">
        <f>1/(1+10^(((Games[[#This Row],[OppPreGmRate]]+IF(Games[[#This Row],[HomeAway]]="A",HCA,0)+Games[[#This Row],[OppRestAdj]])-(Games[[#This Row],[PreGmRate]]+IF(Games[[#This Row],[HomeAway]]="H",HCA,0)+Games[[#This Row],[RestAdj]]))/400))</f>
        <v>0.30395307782935643</v>
      </c>
      <c r="R242" s="1">
        <v>82</v>
      </c>
      <c r="S242" s="1">
        <v>74</v>
      </c>
      <c r="T242" s="1">
        <v>1</v>
      </c>
      <c r="U242" s="1">
        <f>Games[[#This Row],[PointsFor]]-Games[[#This Row],[PointsAgainst]]</f>
        <v>8</v>
      </c>
      <c r="V242" s="1">
        <f>IF(Games[[#This Row],[MOV]]&gt;0,1,IF(Games[[#This Row],[MOV]]=0,0.5,0))</f>
        <v>1</v>
      </c>
      <c r="W242" s="4">
        <f>((ABS(Games[[#This Row],[MOV]])+5)^0.6)/(12+0.01*(ABS(Games[[#This Row],[PreGmRate]]-Games[[#This Row],[OppPreGmRate]])))*IF(Games[[#This Row],[OT]]=1,0.9,1)</f>
        <v>0.33714102689330644</v>
      </c>
      <c r="X242" s="7" cm="1">
        <f t="array" ref="X2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2" s="9">
        <f>MAX(kmin, kmax - 0.15 * MIN(Games[[#This Row],[GamesPlayed]], 82))</f>
        <v>73</v>
      </c>
      <c r="Z242" s="4">
        <f>Games[[#This Row],[K]]*Games[[#This Row],[POMult]]</f>
        <v>73</v>
      </c>
      <c r="AA242" s="4">
        <f>(Games[[#This Row],[Keff]]*Games[[#This Row],[MOVMult]])*(Games[[#This Row],[Result]]-Games[[#This Row],[ExpectedWin%]])</f>
        <v>17.130616109777137</v>
      </c>
      <c r="AB242" s="4">
        <f>Games[[#This Row],[PreGmRate]]+Games[[#This Row],[RatingChange]]</f>
        <v>1511.3442806477706</v>
      </c>
      <c r="AC242" s="2">
        <f>IF(Games[[#This Row],[Type]]="R",IF(Games[[#This Row],[Result]]&gt;0.5,1,0),0)</f>
        <v>1</v>
      </c>
      <c r="AD242" s="2">
        <f>IF(Games[[#This Row],[Type]]="R",IF(Games[[#This Row],[Result]]&lt;0.5,1,0),0)</f>
        <v>0</v>
      </c>
      <c r="AE242" s="2">
        <f>IF(AND(Games[[#This Row],[Type]]="P",Games[[#This Row],[Round]]=1),IF(Games[[#This Row],[Result]]&gt;0.5,1,0),0)</f>
        <v>0</v>
      </c>
      <c r="AF242" s="2">
        <f>IF(AND(Games[[#This Row],[Type]]="P",Games[[#This Row],[Round]]=1),IF(Games[[#This Row],[Result]]&lt;0.5,1,0),0)</f>
        <v>0</v>
      </c>
      <c r="AG242" s="2">
        <f>IF(AND(Games[[#This Row],[Type]]="P",Games[[#This Row],[Round]]=2),IF(Games[[#This Row],[Result]]&gt;0.5,1,0),0)</f>
        <v>0</v>
      </c>
      <c r="AH242" s="2">
        <f>IF(AND(Games[[#This Row],[Type]]="P",Games[[#This Row],[Round]]=2),IF(Games[[#This Row],[Result]]&lt;0.5,1,0),0)</f>
        <v>0</v>
      </c>
      <c r="AI242" s="2">
        <f>IF(AND(Games[[#This Row],[Type]]="P",Games[[#This Row],[Round]]=3),IF(Games[[#This Row],[Result]]&gt;0.5,1,0),0)</f>
        <v>0</v>
      </c>
      <c r="AJ242" s="2">
        <f>IF(AND(Games[[#This Row],[Type]]="P",Games[[#This Row],[Round]]=3),IF(Games[[#This Row],[Result]]&lt;0.5,1,0),0)</f>
        <v>0</v>
      </c>
      <c r="AK242" s="2">
        <f>IF(AND(Games[[#This Row],[Type]]="P",Games[[#This Row],[Round]]=4),IF(Games[[#This Row],[Result]]&gt;0.5,1,0),0)</f>
        <v>0</v>
      </c>
      <c r="AL242" s="2">
        <f>IF(AND(Games[[#This Row],[Type]]="P",Games[[#This Row],[Round]]=4),IF(Games[[#This Row],[Result]]&lt;0.5,1,0),0)</f>
        <v>0</v>
      </c>
    </row>
    <row r="243" spans="1:38" x14ac:dyDescent="0.35">
      <c r="A243" s="10">
        <v>40379</v>
      </c>
      <c r="B243" s="2">
        <v>2010</v>
      </c>
      <c r="C243" s="2">
        <f>COUNTIFS(Games[Team],Games[[#This Row],[Team]],Games[Season],Games[[#This Row],[Season]],Games[Date],"&lt;=" &amp; Games[[#This Row],[Date]])</f>
        <v>21</v>
      </c>
      <c r="D243" s="2" t="s">
        <v>23</v>
      </c>
      <c r="E243" s="2" t="s">
        <v>29</v>
      </c>
      <c r="F243" s="1" t="s">
        <v>80</v>
      </c>
      <c r="G243" s="1" t="s">
        <v>64</v>
      </c>
      <c r="H243" s="1" t="s">
        <v>15</v>
      </c>
      <c r="I243" s="2" cm="1">
        <f t="array" ref="I243">IFERROR(
    Games[[#This Row],[Date]]
    - LOOKUP(
        2,
        1/((Games[Team]=Games[[#This Row],[Team]]) * (Games[Date] &lt; Games[[#This Row],[Date]])),
        Games[Date]
    )
    - 1,
Games[[#This Row],[Date]]-$A$2)</f>
        <v>2</v>
      </c>
      <c r="J243" s="2" cm="1">
        <f t="array" ref="J24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3" s="2">
        <f>Games[[#This Row],[DaysOff]]-Games[[#This Row],[OppDaysOff]]</f>
        <v>1</v>
      </c>
      <c r="L243" s="2">
        <f>Games[[#This Row],[OppDaysOff]]-Games[[#This Row],[DaysOff]]</f>
        <v>-1</v>
      </c>
      <c r="M243" s="1">
        <f>MAX(-16, MIN(16, Games[[#This Row],[RestDiff]]*8))</f>
        <v>8</v>
      </c>
      <c r="N243" s="1">
        <f>MAX(-16, MIN(16, Games[[#This Row],[OppRestDiff]]*8))</f>
        <v>-8</v>
      </c>
      <c r="O243" s="4" cm="1">
        <f t="array" ref="O2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1538.1464533408393</v>
      </c>
      <c r="P243" s="4" cm="1">
        <f t="array" ref="P2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1494.2136645379935</v>
      </c>
      <c r="Q243" s="4">
        <f>1/(1+10^(((Games[[#This Row],[OppPreGmRate]]+IF(Games[[#This Row],[HomeAway]]="A",HCA,0)+Games[[#This Row],[OppRestAdj]])-(Games[[#This Row],[PreGmRate]]+IF(Games[[#This Row],[HomeAway]]="H",HCA,0)+Games[[#This Row],[RestAdj]]))/400))</f>
        <v>0.69604692217064357</v>
      </c>
      <c r="R243" s="1">
        <v>74</v>
      </c>
      <c r="S243" s="1">
        <v>82</v>
      </c>
      <c r="T243" s="1">
        <v>1</v>
      </c>
      <c r="U243" s="1">
        <f>Games[[#This Row],[PointsFor]]-Games[[#This Row],[PointsAgainst]]</f>
        <v>-8</v>
      </c>
      <c r="V243" s="1">
        <f>IF(Games[[#This Row],[MOV]]&gt;0,1,IF(Games[[#This Row],[MOV]]=0,0.5,0))</f>
        <v>0</v>
      </c>
      <c r="W243" s="4">
        <f>((ABS(Games[[#This Row],[MOV]])+5)^0.6)/(12+0.01*(ABS(Games[[#This Row],[PreGmRate]]-Games[[#This Row],[OppPreGmRate]])))*IF(Games[[#This Row],[OT]]=1,0.9,1)</f>
        <v>0.33714102689330644</v>
      </c>
      <c r="X243" s="7" cm="1">
        <f t="array" ref="X2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3" s="9">
        <f>MAX(kmin, kmax - 0.15 * MIN(Games[[#This Row],[GamesPlayed]], 82))</f>
        <v>72.849999999999994</v>
      </c>
      <c r="Z243" s="4">
        <f>Games[[#This Row],[K]]*Games[[#This Row],[POMult]]</f>
        <v>72.849999999999994</v>
      </c>
      <c r="AA243" s="4">
        <f>(Games[[#This Row],[Keff]]*Games[[#This Row],[MOVMult]])*(Games[[#This Row],[Result]]-Games[[#This Row],[ExpectedWin%]])</f>
        <v>-17.095416213661153</v>
      </c>
      <c r="AB243" s="4">
        <f>Games[[#This Row],[PreGmRate]]+Games[[#This Row],[RatingChange]]</f>
        <v>1521.0510371271782</v>
      </c>
      <c r="AC243" s="2">
        <f>IF(Games[[#This Row],[Type]]="R",IF(Games[[#This Row],[Result]]&gt;0.5,1,0),0)</f>
        <v>0</v>
      </c>
      <c r="AD243" s="2">
        <f>IF(Games[[#This Row],[Type]]="R",IF(Games[[#This Row],[Result]]&lt;0.5,1,0),0)</f>
        <v>1</v>
      </c>
      <c r="AE243" s="2">
        <f>IF(AND(Games[[#This Row],[Type]]="P",Games[[#This Row],[Round]]=1),IF(Games[[#This Row],[Result]]&gt;0.5,1,0),0)</f>
        <v>0</v>
      </c>
      <c r="AF243" s="2">
        <f>IF(AND(Games[[#This Row],[Type]]="P",Games[[#This Row],[Round]]=1),IF(Games[[#This Row],[Result]]&lt;0.5,1,0),0)</f>
        <v>0</v>
      </c>
      <c r="AG243" s="2">
        <f>IF(AND(Games[[#This Row],[Type]]="P",Games[[#This Row],[Round]]=2),IF(Games[[#This Row],[Result]]&gt;0.5,1,0),0)</f>
        <v>0</v>
      </c>
      <c r="AH243" s="2">
        <f>IF(AND(Games[[#This Row],[Type]]="P",Games[[#This Row],[Round]]=2),IF(Games[[#This Row],[Result]]&lt;0.5,1,0),0)</f>
        <v>0</v>
      </c>
      <c r="AI243" s="2">
        <f>IF(AND(Games[[#This Row],[Type]]="P",Games[[#This Row],[Round]]=3),IF(Games[[#This Row],[Result]]&gt;0.5,1,0),0)</f>
        <v>0</v>
      </c>
      <c r="AJ243" s="2">
        <f>IF(AND(Games[[#This Row],[Type]]="P",Games[[#This Row],[Round]]=3),IF(Games[[#This Row],[Result]]&lt;0.5,1,0),0)</f>
        <v>0</v>
      </c>
      <c r="AK243" s="2">
        <f>IF(AND(Games[[#This Row],[Type]]="P",Games[[#This Row],[Round]]=4),IF(Games[[#This Row],[Result]]&gt;0.5,1,0),0)</f>
        <v>0</v>
      </c>
      <c r="AL243" s="2">
        <f>IF(AND(Games[[#This Row],[Type]]="P",Games[[#This Row],[Round]]=4),IF(Games[[#This Row],[Result]]&lt;0.5,1,0),0)</f>
        <v>0</v>
      </c>
    </row>
    <row r="244" spans="1:38" x14ac:dyDescent="0.35">
      <c r="A244" s="10">
        <v>40379</v>
      </c>
      <c r="B244" s="2">
        <v>2010</v>
      </c>
      <c r="C244" s="2">
        <f>COUNTIFS(Games[Team],Games[[#This Row],[Team]],Games[Season],Games[[#This Row],[Season]],Games[Date],"&lt;=" &amp; Games[[#This Row],[Date]])</f>
        <v>21</v>
      </c>
      <c r="D244" s="2" t="s">
        <v>23</v>
      </c>
      <c r="E244" s="2" t="s">
        <v>29</v>
      </c>
      <c r="F244" s="1" t="s">
        <v>85</v>
      </c>
      <c r="G244" s="1" t="s">
        <v>67</v>
      </c>
      <c r="H244" s="1" t="s">
        <v>16</v>
      </c>
      <c r="I244" s="2" cm="1">
        <f t="array" ref="I244">IFERROR(
    Games[[#This Row],[Date]]
    - LOOKUP(
        2,
        1/((Games[Team]=Games[[#This Row],[Team]]) * (Games[Date] &lt; Games[[#This Row],[Date]])),
        Games[Date]
    )
    - 1,
Games[[#This Row],[Date]]-$A$2)</f>
        <v>2</v>
      </c>
      <c r="J244" s="2" cm="1">
        <f t="array" ref="J24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4" s="2">
        <f>Games[[#This Row],[DaysOff]]-Games[[#This Row],[OppDaysOff]]</f>
        <v>1</v>
      </c>
      <c r="L244" s="2">
        <f>Games[[#This Row],[OppDaysOff]]-Games[[#This Row],[DaysOff]]</f>
        <v>-1</v>
      </c>
      <c r="M244" s="1">
        <f>MAX(-16, MIN(16, Games[[#This Row],[RestDiff]]*8))</f>
        <v>8</v>
      </c>
      <c r="N244" s="1">
        <f>MAX(-16, MIN(16, Games[[#This Row],[OppRestDiff]]*8))</f>
        <v>-8</v>
      </c>
      <c r="O244" s="4" cm="1">
        <f t="array" ref="O2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1356.1965593873745</v>
      </c>
      <c r="P244" s="4" cm="1">
        <f t="array" ref="P2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1415.5306453459418</v>
      </c>
      <c r="Q244" s="4">
        <f>1/(1+10^(((Games[[#This Row],[OppPreGmRate]]+IF(Games[[#This Row],[HomeAway]]="A",HCA,0)+Games[[#This Row],[OppRestAdj]])-(Games[[#This Row],[PreGmRate]]+IF(Games[[#This Row],[HomeAway]]="H",HCA,0)+Games[[#This Row],[RestAdj]]))/400))</f>
        <v>0.32453807634585213</v>
      </c>
      <c r="R244" s="1">
        <v>83</v>
      </c>
      <c r="S244" s="1">
        <v>86</v>
      </c>
      <c r="T244" s="1">
        <v>1</v>
      </c>
      <c r="U244" s="1">
        <f>Games[[#This Row],[PointsFor]]-Games[[#This Row],[PointsAgainst]]</f>
        <v>-3</v>
      </c>
      <c r="V244" s="1">
        <f>IF(Games[[#This Row],[MOV]]&gt;0,1,IF(Games[[#This Row],[MOV]]=0,0.5,0))</f>
        <v>0</v>
      </c>
      <c r="W244" s="4">
        <f>((ABS(Games[[#This Row],[MOV]])+5)^0.6)/(12+0.01*(ABS(Games[[#This Row],[PreGmRate]]-Games[[#This Row],[OppPreGmRate]])))*IF(Games[[#This Row],[OT]]=1,0.9,1)</f>
        <v>0.24886025581373458</v>
      </c>
      <c r="X244" s="7" cm="1">
        <f t="array" ref="X2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4" s="9">
        <f>MAX(kmin, kmax - 0.15 * MIN(Games[[#This Row],[GamesPlayed]], 82))</f>
        <v>72.849999999999994</v>
      </c>
      <c r="Z244" s="4">
        <f>Games[[#This Row],[K]]*Games[[#This Row],[POMult]]</f>
        <v>72.849999999999994</v>
      </c>
      <c r="AA244" s="4">
        <f>(Games[[#This Row],[Keff]]*Games[[#This Row],[MOVMult]])*(Games[[#This Row],[Result]]-Games[[#This Row],[ExpectedWin%]])</f>
        <v>-5.8837032008478953</v>
      </c>
      <c r="AB244" s="4">
        <f>Games[[#This Row],[PreGmRate]]+Games[[#This Row],[RatingChange]]</f>
        <v>1350.3128561865265</v>
      </c>
      <c r="AC244" s="2">
        <f>IF(Games[[#This Row],[Type]]="R",IF(Games[[#This Row],[Result]]&gt;0.5,1,0),0)</f>
        <v>0</v>
      </c>
      <c r="AD244" s="2">
        <f>IF(Games[[#This Row],[Type]]="R",IF(Games[[#This Row],[Result]]&lt;0.5,1,0),0)</f>
        <v>1</v>
      </c>
      <c r="AE244" s="2">
        <f>IF(AND(Games[[#This Row],[Type]]="P",Games[[#This Row],[Round]]=1),IF(Games[[#This Row],[Result]]&gt;0.5,1,0),0)</f>
        <v>0</v>
      </c>
      <c r="AF244" s="2">
        <f>IF(AND(Games[[#This Row],[Type]]="P",Games[[#This Row],[Round]]=1),IF(Games[[#This Row],[Result]]&lt;0.5,1,0),0)</f>
        <v>0</v>
      </c>
      <c r="AG244" s="2">
        <f>IF(AND(Games[[#This Row],[Type]]="P",Games[[#This Row],[Round]]=2),IF(Games[[#This Row],[Result]]&gt;0.5,1,0),0)</f>
        <v>0</v>
      </c>
      <c r="AH244" s="2">
        <f>IF(AND(Games[[#This Row],[Type]]="P",Games[[#This Row],[Round]]=2),IF(Games[[#This Row],[Result]]&lt;0.5,1,0),0)</f>
        <v>0</v>
      </c>
      <c r="AI244" s="2">
        <f>IF(AND(Games[[#This Row],[Type]]="P",Games[[#This Row],[Round]]=3),IF(Games[[#This Row],[Result]]&gt;0.5,1,0),0)</f>
        <v>0</v>
      </c>
      <c r="AJ244" s="2">
        <f>IF(AND(Games[[#This Row],[Type]]="P",Games[[#This Row],[Round]]=3),IF(Games[[#This Row],[Result]]&lt;0.5,1,0),0)</f>
        <v>0</v>
      </c>
      <c r="AK244" s="2">
        <f>IF(AND(Games[[#This Row],[Type]]="P",Games[[#This Row],[Round]]=4),IF(Games[[#This Row],[Result]]&gt;0.5,1,0),0)</f>
        <v>0</v>
      </c>
      <c r="AL244" s="2">
        <f>IF(AND(Games[[#This Row],[Type]]="P",Games[[#This Row],[Round]]=4),IF(Games[[#This Row],[Result]]&lt;0.5,1,0),0)</f>
        <v>0</v>
      </c>
    </row>
    <row r="245" spans="1:38" x14ac:dyDescent="0.35">
      <c r="A245" s="10">
        <v>40379</v>
      </c>
      <c r="B245" s="2">
        <v>2010</v>
      </c>
      <c r="C245" s="2">
        <f>COUNTIFS(Games[Team],Games[[#This Row],[Team]],Games[Season],Games[[#This Row],[Season]],Games[Date],"&lt;=" &amp; Games[[#This Row],[Date]])</f>
        <v>21</v>
      </c>
      <c r="D245" s="2" t="s">
        <v>23</v>
      </c>
      <c r="E245" s="2" t="s">
        <v>29</v>
      </c>
      <c r="F245" s="1" t="s">
        <v>67</v>
      </c>
      <c r="G245" s="1" t="s">
        <v>85</v>
      </c>
      <c r="H245" s="1" t="s">
        <v>15</v>
      </c>
      <c r="I245" s="2" cm="1">
        <f t="array" ref="I24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5" s="2" cm="1">
        <f t="array" ref="J24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45" s="2">
        <f>Games[[#This Row],[DaysOff]]-Games[[#This Row],[OppDaysOff]]</f>
        <v>-1</v>
      </c>
      <c r="L245" s="2">
        <f>Games[[#This Row],[OppDaysOff]]-Games[[#This Row],[DaysOff]]</f>
        <v>1</v>
      </c>
      <c r="M245" s="1">
        <f>MAX(-16, MIN(16, Games[[#This Row],[RestDiff]]*8))</f>
        <v>-8</v>
      </c>
      <c r="N245" s="1">
        <f>MAX(-16, MIN(16, Games[[#This Row],[OppRestDiff]]*8))</f>
        <v>8</v>
      </c>
      <c r="O245" s="4" cm="1">
        <f t="array" ref="O2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1415.5306453459418</v>
      </c>
      <c r="P245" s="4" cm="1">
        <f t="array" ref="P2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1356.1965593873745</v>
      </c>
      <c r="Q245" s="4">
        <f>1/(1+10^(((Games[[#This Row],[OppPreGmRate]]+IF(Games[[#This Row],[HomeAway]]="A",HCA,0)+Games[[#This Row],[OppRestAdj]])-(Games[[#This Row],[PreGmRate]]+IF(Games[[#This Row],[HomeAway]]="H",HCA,0)+Games[[#This Row],[RestAdj]]))/400))</f>
        <v>0.67546192365414792</v>
      </c>
      <c r="R245" s="1">
        <v>86</v>
      </c>
      <c r="S245" s="1">
        <v>83</v>
      </c>
      <c r="T245" s="1">
        <v>1</v>
      </c>
      <c r="U245" s="1">
        <f>Games[[#This Row],[PointsFor]]-Games[[#This Row],[PointsAgainst]]</f>
        <v>3</v>
      </c>
      <c r="V245" s="1">
        <f>IF(Games[[#This Row],[MOV]]&gt;0,1,IF(Games[[#This Row],[MOV]]=0,0.5,0))</f>
        <v>1</v>
      </c>
      <c r="W245" s="4">
        <f>((ABS(Games[[#This Row],[MOV]])+5)^0.6)/(12+0.01*(ABS(Games[[#This Row],[PreGmRate]]-Games[[#This Row],[OppPreGmRate]])))*IF(Games[[#This Row],[OT]]=1,0.9,1)</f>
        <v>0.24886025581373458</v>
      </c>
      <c r="X245" s="7" cm="1">
        <f t="array" ref="X2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5" s="9">
        <f>MAX(kmin, kmax - 0.15 * MIN(Games[[#This Row],[GamesPlayed]], 82))</f>
        <v>72.849999999999994</v>
      </c>
      <c r="Z245" s="4">
        <f>Games[[#This Row],[K]]*Games[[#This Row],[POMult]]</f>
        <v>72.849999999999994</v>
      </c>
      <c r="AA245" s="4">
        <f>(Games[[#This Row],[Keff]]*Games[[#This Row],[MOVMult]])*(Games[[#This Row],[Result]]-Games[[#This Row],[ExpectedWin%]])</f>
        <v>5.8837032008478944</v>
      </c>
      <c r="AB245" s="4">
        <f>Games[[#This Row],[PreGmRate]]+Games[[#This Row],[RatingChange]]</f>
        <v>1421.4143485467898</v>
      </c>
      <c r="AC245" s="2">
        <f>IF(Games[[#This Row],[Type]]="R",IF(Games[[#This Row],[Result]]&gt;0.5,1,0),0)</f>
        <v>1</v>
      </c>
      <c r="AD245" s="2">
        <f>IF(Games[[#This Row],[Type]]="R",IF(Games[[#This Row],[Result]]&lt;0.5,1,0),0)</f>
        <v>0</v>
      </c>
      <c r="AE245" s="2">
        <f>IF(AND(Games[[#This Row],[Type]]="P",Games[[#This Row],[Round]]=1),IF(Games[[#This Row],[Result]]&gt;0.5,1,0),0)</f>
        <v>0</v>
      </c>
      <c r="AF245" s="2">
        <f>IF(AND(Games[[#This Row],[Type]]="P",Games[[#This Row],[Round]]=1),IF(Games[[#This Row],[Result]]&lt;0.5,1,0),0)</f>
        <v>0</v>
      </c>
      <c r="AG245" s="2">
        <f>IF(AND(Games[[#This Row],[Type]]="P",Games[[#This Row],[Round]]=2),IF(Games[[#This Row],[Result]]&gt;0.5,1,0),0)</f>
        <v>0</v>
      </c>
      <c r="AH245" s="2">
        <f>IF(AND(Games[[#This Row],[Type]]="P",Games[[#This Row],[Round]]=2),IF(Games[[#This Row],[Result]]&lt;0.5,1,0),0)</f>
        <v>0</v>
      </c>
      <c r="AI245" s="2">
        <f>IF(AND(Games[[#This Row],[Type]]="P",Games[[#This Row],[Round]]=3),IF(Games[[#This Row],[Result]]&gt;0.5,1,0),0)</f>
        <v>0</v>
      </c>
      <c r="AJ245" s="2">
        <f>IF(AND(Games[[#This Row],[Type]]="P",Games[[#This Row],[Round]]=3),IF(Games[[#This Row],[Result]]&lt;0.5,1,0),0)</f>
        <v>0</v>
      </c>
      <c r="AK245" s="2">
        <f>IF(AND(Games[[#This Row],[Type]]="P",Games[[#This Row],[Round]]=4),IF(Games[[#This Row],[Result]]&gt;0.5,1,0),0)</f>
        <v>0</v>
      </c>
      <c r="AL245" s="2">
        <f>IF(AND(Games[[#This Row],[Type]]="P",Games[[#This Row],[Round]]=4),IF(Games[[#This Row],[Result]]&lt;0.5,1,0),0)</f>
        <v>0</v>
      </c>
    </row>
    <row r="246" spans="1:38" x14ac:dyDescent="0.35">
      <c r="A246" s="10">
        <v>40379</v>
      </c>
      <c r="B246" s="2">
        <v>2010</v>
      </c>
      <c r="C246" s="2">
        <f>COUNTIFS(Games[Team],Games[[#This Row],[Team]],Games[Season],Games[[#This Row],[Season]],Games[Date],"&lt;=" &amp; Games[[#This Row],[Date]])</f>
        <v>21</v>
      </c>
      <c r="D246" s="2" t="s">
        <v>23</v>
      </c>
      <c r="E246" s="2" t="s">
        <v>29</v>
      </c>
      <c r="F246" s="1" t="s">
        <v>75</v>
      </c>
      <c r="G246" s="1" t="s">
        <v>78</v>
      </c>
      <c r="H246" s="1" t="s">
        <v>16</v>
      </c>
      <c r="I246" s="2" cm="1">
        <f t="array" ref="I246">IFERROR(
    Games[[#This Row],[Date]]
    - LOOKUP(
        2,
        1/((Games[Team]=Games[[#This Row],[Team]]) * (Games[Date] &lt; Games[[#This Row],[Date]])),
        Games[Date]
    )
    - 1,
Games[[#This Row],[Date]]-$A$2)</f>
        <v>2</v>
      </c>
      <c r="J246" s="2" cm="1">
        <f t="array" ref="J24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6" s="2">
        <f>Games[[#This Row],[DaysOff]]-Games[[#This Row],[OppDaysOff]]</f>
        <v>1</v>
      </c>
      <c r="L246" s="2">
        <f>Games[[#This Row],[OppDaysOff]]-Games[[#This Row],[DaysOff]]</f>
        <v>-1</v>
      </c>
      <c r="M246" s="1">
        <f>MAX(-16, MIN(16, Games[[#This Row],[RestDiff]]*8))</f>
        <v>8</v>
      </c>
      <c r="N246" s="1">
        <f>MAX(-16, MIN(16, Games[[#This Row],[OppRestDiff]]*8))</f>
        <v>-8</v>
      </c>
      <c r="O246" s="4" cm="1">
        <f t="array" ref="O2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1674.4011718518504</v>
      </c>
      <c r="P246" s="4" cm="1">
        <f t="array" ref="P2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1424.2761810065629</v>
      </c>
      <c r="Q246" s="4">
        <f>1/(1+10^(((Games[[#This Row],[OppPreGmRate]]+IF(Games[[#This Row],[HomeAway]]="A",HCA,0)+Games[[#This Row],[OppRestAdj]])-(Games[[#This Row],[PreGmRate]]+IF(Games[[#This Row],[HomeAway]]="H",HCA,0)+Games[[#This Row],[RestAdj]]))/400))</f>
        <v>0.7404667148832651</v>
      </c>
      <c r="R246" s="1">
        <v>80</v>
      </c>
      <c r="S246" s="1">
        <v>74</v>
      </c>
      <c r="T246" s="1">
        <v>0</v>
      </c>
      <c r="U246" s="1">
        <f>Games[[#This Row],[PointsFor]]-Games[[#This Row],[PointsAgainst]]</f>
        <v>6</v>
      </c>
      <c r="V246" s="1">
        <f>IF(Games[[#This Row],[MOV]]&gt;0,1,IF(Games[[#This Row],[MOV]]=0,0.5,0))</f>
        <v>1</v>
      </c>
      <c r="W246" s="4">
        <f>((ABS(Games[[#This Row],[MOV]])+5)^0.6)/(12+0.01*(ABS(Games[[#This Row],[PreGmRate]]-Games[[#This Row],[OppPreGmRate]])))*IF(Games[[#This Row],[OT]]=1,0.9,1)</f>
        <v>0.29069005497482897</v>
      </c>
      <c r="X246" s="7" cm="1">
        <f t="array" ref="X2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6" s="9">
        <f>MAX(kmin, kmax - 0.15 * MIN(Games[[#This Row],[GamesPlayed]], 82))</f>
        <v>72.849999999999994</v>
      </c>
      <c r="Z246" s="4">
        <f>Games[[#This Row],[K]]*Games[[#This Row],[POMult]]</f>
        <v>72.849999999999994</v>
      </c>
      <c r="AA246" s="4">
        <f>(Games[[#This Row],[Keff]]*Games[[#This Row],[MOVMult]])*(Games[[#This Row],[Result]]-Games[[#This Row],[ExpectedWin%]])</f>
        <v>5.4960768173041012</v>
      </c>
      <c r="AB246" s="4">
        <f>Games[[#This Row],[PreGmRate]]+Games[[#This Row],[RatingChange]]</f>
        <v>1679.8972486691546</v>
      </c>
      <c r="AC246" s="2">
        <f>IF(Games[[#This Row],[Type]]="R",IF(Games[[#This Row],[Result]]&gt;0.5,1,0),0)</f>
        <v>1</v>
      </c>
      <c r="AD246" s="2">
        <f>IF(Games[[#This Row],[Type]]="R",IF(Games[[#This Row],[Result]]&lt;0.5,1,0),0)</f>
        <v>0</v>
      </c>
      <c r="AE246" s="2">
        <f>IF(AND(Games[[#This Row],[Type]]="P",Games[[#This Row],[Round]]=1),IF(Games[[#This Row],[Result]]&gt;0.5,1,0),0)</f>
        <v>0</v>
      </c>
      <c r="AF246" s="2">
        <f>IF(AND(Games[[#This Row],[Type]]="P",Games[[#This Row],[Round]]=1),IF(Games[[#This Row],[Result]]&lt;0.5,1,0),0)</f>
        <v>0</v>
      </c>
      <c r="AG246" s="2">
        <f>IF(AND(Games[[#This Row],[Type]]="P",Games[[#This Row],[Round]]=2),IF(Games[[#This Row],[Result]]&gt;0.5,1,0),0)</f>
        <v>0</v>
      </c>
      <c r="AH246" s="2">
        <f>IF(AND(Games[[#This Row],[Type]]="P",Games[[#This Row],[Round]]=2),IF(Games[[#This Row],[Result]]&lt;0.5,1,0),0)</f>
        <v>0</v>
      </c>
      <c r="AI246" s="2">
        <f>IF(AND(Games[[#This Row],[Type]]="P",Games[[#This Row],[Round]]=3),IF(Games[[#This Row],[Result]]&gt;0.5,1,0),0)</f>
        <v>0</v>
      </c>
      <c r="AJ246" s="2">
        <f>IF(AND(Games[[#This Row],[Type]]="P",Games[[#This Row],[Round]]=3),IF(Games[[#This Row],[Result]]&lt;0.5,1,0),0)</f>
        <v>0</v>
      </c>
      <c r="AK246" s="2">
        <f>IF(AND(Games[[#This Row],[Type]]="P",Games[[#This Row],[Round]]=4),IF(Games[[#This Row],[Result]]&gt;0.5,1,0),0)</f>
        <v>0</v>
      </c>
      <c r="AL246" s="2">
        <f>IF(AND(Games[[#This Row],[Type]]="P",Games[[#This Row],[Round]]=4),IF(Games[[#This Row],[Result]]&lt;0.5,1,0),0)</f>
        <v>0</v>
      </c>
    </row>
    <row r="247" spans="1:38" x14ac:dyDescent="0.35">
      <c r="A247" s="10">
        <v>40379</v>
      </c>
      <c r="B247" s="2">
        <v>2010</v>
      </c>
      <c r="C247" s="2">
        <f>COUNTIFS(Games[Team],Games[[#This Row],[Team]],Games[Season],Games[[#This Row],[Season]],Games[Date],"&lt;=" &amp; Games[[#This Row],[Date]])</f>
        <v>20</v>
      </c>
      <c r="D247" s="2" t="s">
        <v>23</v>
      </c>
      <c r="E247" s="2" t="s">
        <v>29</v>
      </c>
      <c r="F247" s="1" t="s">
        <v>78</v>
      </c>
      <c r="G247" s="1" t="s">
        <v>75</v>
      </c>
      <c r="H247" s="1" t="s">
        <v>15</v>
      </c>
      <c r="I247" s="2" cm="1">
        <f t="array" ref="I24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7" s="2" cm="1">
        <f t="array" ref="J24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47" s="2">
        <f>Games[[#This Row],[DaysOff]]-Games[[#This Row],[OppDaysOff]]</f>
        <v>-1</v>
      </c>
      <c r="L247" s="2">
        <f>Games[[#This Row],[OppDaysOff]]-Games[[#This Row],[DaysOff]]</f>
        <v>1</v>
      </c>
      <c r="M247" s="1">
        <f>MAX(-16, MIN(16, Games[[#This Row],[RestDiff]]*8))</f>
        <v>-8</v>
      </c>
      <c r="N247" s="1">
        <f>MAX(-16, MIN(16, Games[[#This Row],[OppRestDiff]]*8))</f>
        <v>8</v>
      </c>
      <c r="O247" s="4" cm="1">
        <f t="array" ref="O2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1424.2761810065629</v>
      </c>
      <c r="P247" s="4" cm="1">
        <f t="array" ref="P2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1674.4011718518504</v>
      </c>
      <c r="Q247" s="4">
        <f>1/(1+10^(((Games[[#This Row],[OppPreGmRate]]+IF(Games[[#This Row],[HomeAway]]="A",HCA,0)+Games[[#This Row],[OppRestAdj]])-(Games[[#This Row],[PreGmRate]]+IF(Games[[#This Row],[HomeAway]]="H",HCA,0)+Games[[#This Row],[RestAdj]]))/400))</f>
        <v>0.25953328511673485</v>
      </c>
      <c r="R247" s="1">
        <v>74</v>
      </c>
      <c r="S247" s="1">
        <v>80</v>
      </c>
      <c r="T247" s="1">
        <v>0</v>
      </c>
      <c r="U247" s="1">
        <f>Games[[#This Row],[PointsFor]]-Games[[#This Row],[PointsAgainst]]</f>
        <v>-6</v>
      </c>
      <c r="V247" s="1">
        <f>IF(Games[[#This Row],[MOV]]&gt;0,1,IF(Games[[#This Row],[MOV]]=0,0.5,0))</f>
        <v>0</v>
      </c>
      <c r="W247" s="4">
        <f>((ABS(Games[[#This Row],[MOV]])+5)^0.6)/(12+0.01*(ABS(Games[[#This Row],[PreGmRate]]-Games[[#This Row],[OppPreGmRate]])))*IF(Games[[#This Row],[OT]]=1,0.9,1)</f>
        <v>0.29069005497482897</v>
      </c>
      <c r="X247" s="7" cm="1">
        <f t="array" ref="X2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7" s="9">
        <f>MAX(kmin, kmax - 0.15 * MIN(Games[[#This Row],[GamesPlayed]], 82))</f>
        <v>73</v>
      </c>
      <c r="Z247" s="4">
        <f>Games[[#This Row],[K]]*Games[[#This Row],[POMult]]</f>
        <v>73</v>
      </c>
      <c r="AA247" s="4">
        <f>(Games[[#This Row],[Keff]]*Games[[#This Row],[MOVMult]])*(Games[[#This Row],[Result]]-Games[[#This Row],[ExpectedWin%]])</f>
        <v>-5.5073933790418579</v>
      </c>
      <c r="AB247" s="4">
        <f>Games[[#This Row],[PreGmRate]]+Games[[#This Row],[RatingChange]]</f>
        <v>1418.7687876275211</v>
      </c>
      <c r="AC247" s="2">
        <f>IF(Games[[#This Row],[Type]]="R",IF(Games[[#This Row],[Result]]&gt;0.5,1,0),0)</f>
        <v>0</v>
      </c>
      <c r="AD247" s="2">
        <f>IF(Games[[#This Row],[Type]]="R",IF(Games[[#This Row],[Result]]&lt;0.5,1,0),0)</f>
        <v>1</v>
      </c>
      <c r="AE247" s="2">
        <f>IF(AND(Games[[#This Row],[Type]]="P",Games[[#This Row],[Round]]=1),IF(Games[[#This Row],[Result]]&gt;0.5,1,0),0)</f>
        <v>0</v>
      </c>
      <c r="AF247" s="2">
        <f>IF(AND(Games[[#This Row],[Type]]="P",Games[[#This Row],[Round]]=1),IF(Games[[#This Row],[Result]]&lt;0.5,1,0),0)</f>
        <v>0</v>
      </c>
      <c r="AG247" s="2">
        <f>IF(AND(Games[[#This Row],[Type]]="P",Games[[#This Row],[Round]]=2),IF(Games[[#This Row],[Result]]&gt;0.5,1,0),0)</f>
        <v>0</v>
      </c>
      <c r="AH247" s="2">
        <f>IF(AND(Games[[#This Row],[Type]]="P",Games[[#This Row],[Round]]=2),IF(Games[[#This Row],[Result]]&lt;0.5,1,0),0)</f>
        <v>0</v>
      </c>
      <c r="AI247" s="2">
        <f>IF(AND(Games[[#This Row],[Type]]="P",Games[[#This Row],[Round]]=3),IF(Games[[#This Row],[Result]]&gt;0.5,1,0),0)</f>
        <v>0</v>
      </c>
      <c r="AJ247" s="2">
        <f>IF(AND(Games[[#This Row],[Type]]="P",Games[[#This Row],[Round]]=3),IF(Games[[#This Row],[Result]]&lt;0.5,1,0),0)</f>
        <v>0</v>
      </c>
      <c r="AK247" s="2">
        <f>IF(AND(Games[[#This Row],[Type]]="P",Games[[#This Row],[Round]]=4),IF(Games[[#This Row],[Result]]&gt;0.5,1,0),0)</f>
        <v>0</v>
      </c>
      <c r="AL247" s="2">
        <f>IF(AND(Games[[#This Row],[Type]]="P",Games[[#This Row],[Round]]=4),IF(Games[[#This Row],[Result]]&lt;0.5,1,0),0)</f>
        <v>0</v>
      </c>
    </row>
    <row r="248" spans="1:38" x14ac:dyDescent="0.35">
      <c r="A248" s="10">
        <v>40380</v>
      </c>
      <c r="B248" s="2">
        <v>2010</v>
      </c>
      <c r="C248" s="2">
        <f>COUNTIFS(Games[Team],Games[[#This Row],[Team]],Games[Season],Games[[#This Row],[Season]],Games[Date],"&lt;=" &amp; Games[[#This Row],[Date]])</f>
        <v>23</v>
      </c>
      <c r="D248" s="2" t="s">
        <v>23</v>
      </c>
      <c r="E248" s="2" t="s">
        <v>29</v>
      </c>
      <c r="F248" s="1" t="s">
        <v>83</v>
      </c>
      <c r="G248" s="1" t="s">
        <v>69</v>
      </c>
      <c r="H248" s="1" t="s">
        <v>16</v>
      </c>
      <c r="I248" s="2" cm="1">
        <f t="array" ref="I248">IFERROR(
    Games[[#This Row],[Date]]
    - LOOKUP(
        2,
        1/((Games[Team]=Games[[#This Row],[Team]]) * (Games[Date] &lt; Games[[#This Row],[Date]])),
        Games[Date]
    )
    - 1,
Games[[#This Row],[Date]]-$A$2)</f>
        <v>3</v>
      </c>
      <c r="J248" s="2" cm="1">
        <f t="array" ref="J24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48" s="2">
        <f>Games[[#This Row],[DaysOff]]-Games[[#This Row],[OppDaysOff]]</f>
        <v>1</v>
      </c>
      <c r="L248" s="2">
        <f>Games[[#This Row],[OppDaysOff]]-Games[[#This Row],[DaysOff]]</f>
        <v>-1</v>
      </c>
      <c r="M248" s="1">
        <f>MAX(-16, MIN(16, Games[[#This Row],[RestDiff]]*8))</f>
        <v>8</v>
      </c>
      <c r="N248" s="1">
        <f>MAX(-16, MIN(16, Games[[#This Row],[OppRestDiff]]*8))</f>
        <v>-8</v>
      </c>
      <c r="O248" s="4" cm="1">
        <f t="array" ref="O2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1531.6041437259432</v>
      </c>
      <c r="P248" s="4" cm="1">
        <f t="array" ref="P2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1540.8572882255316</v>
      </c>
      <c r="Q248" s="4">
        <f>1/(1+10^(((Games[[#This Row],[OppPreGmRate]]+IF(Games[[#This Row],[HomeAway]]="A",HCA,0)+Games[[#This Row],[OppRestAdj]])-(Games[[#This Row],[PreGmRate]]+IF(Games[[#This Row],[HomeAway]]="H",HCA,0)+Games[[#This Row],[RestAdj]]))/400))</f>
        <v>0.39062047111116305</v>
      </c>
      <c r="R248" s="1">
        <v>72</v>
      </c>
      <c r="S248" s="1">
        <v>82</v>
      </c>
      <c r="T248" s="1">
        <v>0</v>
      </c>
      <c r="U248" s="1">
        <f>Games[[#This Row],[PointsFor]]-Games[[#This Row],[PointsAgainst]]</f>
        <v>-10</v>
      </c>
      <c r="V248" s="1">
        <f>IF(Games[[#This Row],[MOV]]&gt;0,1,IF(Games[[#This Row],[MOV]]=0,0.5,0))</f>
        <v>0</v>
      </c>
      <c r="W248" s="4">
        <f>((ABS(Games[[#This Row],[MOV]])+5)^0.6)/(12+0.01*(ABS(Games[[#This Row],[PreGmRate]]-Games[[#This Row],[OppPreGmRate]])))*IF(Games[[#This Row],[OT]]=1,0.9,1)</f>
        <v>0.4198919320642821</v>
      </c>
      <c r="X248" s="7" cm="1">
        <f t="array" ref="X2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8" s="9">
        <f>MAX(kmin, kmax - 0.15 * MIN(Games[[#This Row],[GamesPlayed]], 82))</f>
        <v>72.55</v>
      </c>
      <c r="Z248" s="4">
        <f>Games[[#This Row],[K]]*Games[[#This Row],[POMult]]</f>
        <v>72.55</v>
      </c>
      <c r="AA248" s="4">
        <f>(Games[[#This Row],[Keff]]*Games[[#This Row],[MOVMult]])*(Games[[#This Row],[Result]]-Games[[#This Row],[ExpectedWin%]])</f>
        <v>-11.899533782323596</v>
      </c>
      <c r="AB248" s="4">
        <f>Games[[#This Row],[PreGmRate]]+Games[[#This Row],[RatingChange]]</f>
        <v>1519.7046099436197</v>
      </c>
      <c r="AC248" s="2">
        <f>IF(Games[[#This Row],[Type]]="R",IF(Games[[#This Row],[Result]]&gt;0.5,1,0),0)</f>
        <v>0</v>
      </c>
      <c r="AD248" s="2">
        <f>IF(Games[[#This Row],[Type]]="R",IF(Games[[#This Row],[Result]]&lt;0.5,1,0),0)</f>
        <v>1</v>
      </c>
      <c r="AE248" s="2">
        <f>IF(AND(Games[[#This Row],[Type]]="P",Games[[#This Row],[Round]]=1),IF(Games[[#This Row],[Result]]&gt;0.5,1,0),0)</f>
        <v>0</v>
      </c>
      <c r="AF248" s="2">
        <f>IF(AND(Games[[#This Row],[Type]]="P",Games[[#This Row],[Round]]=1),IF(Games[[#This Row],[Result]]&lt;0.5,1,0),0)</f>
        <v>0</v>
      </c>
      <c r="AG248" s="2">
        <f>IF(AND(Games[[#This Row],[Type]]="P",Games[[#This Row],[Round]]=2),IF(Games[[#This Row],[Result]]&gt;0.5,1,0),0)</f>
        <v>0</v>
      </c>
      <c r="AH248" s="2">
        <f>IF(AND(Games[[#This Row],[Type]]="P",Games[[#This Row],[Round]]=2),IF(Games[[#This Row],[Result]]&lt;0.5,1,0),0)</f>
        <v>0</v>
      </c>
      <c r="AI248" s="2">
        <f>IF(AND(Games[[#This Row],[Type]]="P",Games[[#This Row],[Round]]=3),IF(Games[[#This Row],[Result]]&gt;0.5,1,0),0)</f>
        <v>0</v>
      </c>
      <c r="AJ248" s="2">
        <f>IF(AND(Games[[#This Row],[Type]]="P",Games[[#This Row],[Round]]=3),IF(Games[[#This Row],[Result]]&lt;0.5,1,0),0)</f>
        <v>0</v>
      </c>
      <c r="AK248" s="2">
        <f>IF(AND(Games[[#This Row],[Type]]="P",Games[[#This Row],[Round]]=4),IF(Games[[#This Row],[Result]]&gt;0.5,1,0),0)</f>
        <v>0</v>
      </c>
      <c r="AL248" s="2">
        <f>IF(AND(Games[[#This Row],[Type]]="P",Games[[#This Row],[Round]]=4),IF(Games[[#This Row],[Result]]&lt;0.5,1,0),0)</f>
        <v>0</v>
      </c>
    </row>
    <row r="249" spans="1:38" x14ac:dyDescent="0.35">
      <c r="A249" s="10">
        <v>40380</v>
      </c>
      <c r="B249" s="2">
        <v>2010</v>
      </c>
      <c r="C249" s="2">
        <f>COUNTIFS(Games[Team],Games[[#This Row],[Team]],Games[Season],Games[[#This Row],[Season]],Games[Date],"&lt;=" &amp; Games[[#This Row],[Date]])</f>
        <v>20</v>
      </c>
      <c r="D249" s="2" t="s">
        <v>23</v>
      </c>
      <c r="E249" s="2" t="s">
        <v>29</v>
      </c>
      <c r="F249" s="1" t="s">
        <v>69</v>
      </c>
      <c r="G249" s="1" t="s">
        <v>83</v>
      </c>
      <c r="H249" s="1" t="s">
        <v>15</v>
      </c>
      <c r="I249" s="2" cm="1">
        <f t="array" ref="I249">IFERROR(
    Games[[#This Row],[Date]]
    - LOOKUP(
        2,
        1/((Games[Team]=Games[[#This Row],[Team]]) * (Games[Date] &lt; Games[[#This Row],[Date]])),
        Games[Date]
    )
    - 1,
Games[[#This Row],[Date]]-$A$2)</f>
        <v>2</v>
      </c>
      <c r="J249" s="2" cm="1">
        <f t="array" ref="J24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49" s="2">
        <f>Games[[#This Row],[DaysOff]]-Games[[#This Row],[OppDaysOff]]</f>
        <v>-1</v>
      </c>
      <c r="L249" s="2">
        <f>Games[[#This Row],[OppDaysOff]]-Games[[#This Row],[DaysOff]]</f>
        <v>1</v>
      </c>
      <c r="M249" s="1">
        <f>MAX(-16, MIN(16, Games[[#This Row],[RestDiff]]*8))</f>
        <v>-8</v>
      </c>
      <c r="N249" s="1">
        <f>MAX(-16, MIN(16, Games[[#This Row],[OppRestDiff]]*8))</f>
        <v>8</v>
      </c>
      <c r="O249" s="4" cm="1">
        <f t="array" ref="O2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1540.8572882255316</v>
      </c>
      <c r="P249" s="4" cm="1">
        <f t="array" ref="P2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1531.6041437259432</v>
      </c>
      <c r="Q249" s="4">
        <f>1/(1+10^(((Games[[#This Row],[OppPreGmRate]]+IF(Games[[#This Row],[HomeAway]]="A",HCA,0)+Games[[#This Row],[OppRestAdj]])-(Games[[#This Row],[PreGmRate]]+IF(Games[[#This Row],[HomeAway]]="H",HCA,0)+Games[[#This Row],[RestAdj]]))/400))</f>
        <v>0.60937952888883695</v>
      </c>
      <c r="R249" s="1">
        <v>82</v>
      </c>
      <c r="S249" s="1">
        <v>72</v>
      </c>
      <c r="T249" s="1">
        <v>0</v>
      </c>
      <c r="U249" s="1">
        <f>Games[[#This Row],[PointsFor]]-Games[[#This Row],[PointsAgainst]]</f>
        <v>10</v>
      </c>
      <c r="V249" s="1">
        <f>IF(Games[[#This Row],[MOV]]&gt;0,1,IF(Games[[#This Row],[MOV]]=0,0.5,0))</f>
        <v>1</v>
      </c>
      <c r="W249" s="4">
        <f>((ABS(Games[[#This Row],[MOV]])+5)^0.6)/(12+0.01*(ABS(Games[[#This Row],[PreGmRate]]-Games[[#This Row],[OppPreGmRate]])))*IF(Games[[#This Row],[OT]]=1,0.9,1)</f>
        <v>0.4198919320642821</v>
      </c>
      <c r="X249" s="7" cm="1">
        <f t="array" ref="X2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9" s="9">
        <f>MAX(kmin, kmax - 0.15 * MIN(Games[[#This Row],[GamesPlayed]], 82))</f>
        <v>73</v>
      </c>
      <c r="Z249" s="4">
        <f>Games[[#This Row],[K]]*Games[[#This Row],[POMult]]</f>
        <v>73</v>
      </c>
      <c r="AA249" s="4">
        <f>(Games[[#This Row],[Keff]]*Games[[#This Row],[MOVMult]])*(Games[[#This Row],[Result]]-Games[[#This Row],[ExpectedWin%]])</f>
        <v>11.973342055267022</v>
      </c>
      <c r="AB249" s="4">
        <f>Games[[#This Row],[PreGmRate]]+Games[[#This Row],[RatingChange]]</f>
        <v>1552.8306302807987</v>
      </c>
      <c r="AC249" s="2">
        <f>IF(Games[[#This Row],[Type]]="R",IF(Games[[#This Row],[Result]]&gt;0.5,1,0),0)</f>
        <v>1</v>
      </c>
      <c r="AD249" s="2">
        <f>IF(Games[[#This Row],[Type]]="R",IF(Games[[#This Row],[Result]]&lt;0.5,1,0),0)</f>
        <v>0</v>
      </c>
      <c r="AE249" s="2">
        <f>IF(AND(Games[[#This Row],[Type]]="P",Games[[#This Row],[Round]]=1),IF(Games[[#This Row],[Result]]&gt;0.5,1,0),0)</f>
        <v>0</v>
      </c>
      <c r="AF249" s="2">
        <f>IF(AND(Games[[#This Row],[Type]]="P",Games[[#This Row],[Round]]=1),IF(Games[[#This Row],[Result]]&lt;0.5,1,0),0)</f>
        <v>0</v>
      </c>
      <c r="AG249" s="2">
        <f>IF(AND(Games[[#This Row],[Type]]="P",Games[[#This Row],[Round]]=2),IF(Games[[#This Row],[Result]]&gt;0.5,1,0),0)</f>
        <v>0</v>
      </c>
      <c r="AH249" s="2">
        <f>IF(AND(Games[[#This Row],[Type]]="P",Games[[#This Row],[Round]]=2),IF(Games[[#This Row],[Result]]&lt;0.5,1,0),0)</f>
        <v>0</v>
      </c>
      <c r="AI249" s="2">
        <f>IF(AND(Games[[#This Row],[Type]]="P",Games[[#This Row],[Round]]=3),IF(Games[[#This Row],[Result]]&gt;0.5,1,0),0)</f>
        <v>0</v>
      </c>
      <c r="AJ249" s="2">
        <f>IF(AND(Games[[#This Row],[Type]]="P",Games[[#This Row],[Round]]=3),IF(Games[[#This Row],[Result]]&lt;0.5,1,0),0)</f>
        <v>0</v>
      </c>
      <c r="AK249" s="2">
        <f>IF(AND(Games[[#This Row],[Type]]="P",Games[[#This Row],[Round]]=4),IF(Games[[#This Row],[Result]]&gt;0.5,1,0),0)</f>
        <v>0</v>
      </c>
      <c r="AL249" s="2">
        <f>IF(AND(Games[[#This Row],[Type]]="P",Games[[#This Row],[Round]]=4),IF(Games[[#This Row],[Result]]&lt;0.5,1,0),0)</f>
        <v>0</v>
      </c>
    </row>
    <row r="250" spans="1:38" x14ac:dyDescent="0.35">
      <c r="A250" s="10">
        <v>40381</v>
      </c>
      <c r="B250" s="2">
        <v>2010</v>
      </c>
      <c r="C250" s="2">
        <f>COUNTIFS(Games[Team],Games[[#This Row],[Team]],Games[Season],Games[[#This Row],[Season]],Games[Date],"&lt;=" &amp; Games[[#This Row],[Date]])</f>
        <v>22</v>
      </c>
      <c r="D250" s="2" t="s">
        <v>23</v>
      </c>
      <c r="E250" s="2" t="s">
        <v>29</v>
      </c>
      <c r="F250" s="1" t="s">
        <v>67</v>
      </c>
      <c r="G250" s="1" t="s">
        <v>73</v>
      </c>
      <c r="H250" s="1" t="s">
        <v>16</v>
      </c>
      <c r="I250" s="2" cm="1">
        <f t="array" ref="I25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0" s="2" cm="1">
        <f t="array" ref="J25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50" s="2">
        <f>Games[[#This Row],[DaysOff]]-Games[[#This Row],[OppDaysOff]]</f>
        <v>-2</v>
      </c>
      <c r="L250" s="2">
        <f>Games[[#This Row],[OppDaysOff]]-Games[[#This Row],[DaysOff]]</f>
        <v>2</v>
      </c>
      <c r="M250" s="1">
        <f>MAX(-16, MIN(16, Games[[#This Row],[RestDiff]]*8))</f>
        <v>-16</v>
      </c>
      <c r="N250" s="1">
        <f>MAX(-16, MIN(16, Games[[#This Row],[OppRestDiff]]*8))</f>
        <v>16</v>
      </c>
      <c r="O250" s="4" cm="1">
        <f t="array" ref="O2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1421.4143485467898</v>
      </c>
      <c r="P250" s="4" cm="1">
        <f t="array" ref="P2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1598.4228529072336</v>
      </c>
      <c r="Q250" s="4">
        <f>1/(1+10^(((Games[[#This Row],[OppPreGmRate]]+IF(Games[[#This Row],[HomeAway]]="A",HCA,0)+Games[[#This Row],[OppRestAdj]])-(Games[[#This Row],[PreGmRate]]+IF(Games[[#This Row],[HomeAway]]="H",HCA,0)+Games[[#This Row],[RestAdj]]))/400))</f>
        <v>0.15621129923691782</v>
      </c>
      <c r="R250" s="1">
        <v>57</v>
      </c>
      <c r="S250" s="1">
        <v>76</v>
      </c>
      <c r="T250" s="1">
        <v>0</v>
      </c>
      <c r="U250" s="1">
        <f>Games[[#This Row],[PointsFor]]-Games[[#This Row],[PointsAgainst]]</f>
        <v>-19</v>
      </c>
      <c r="V250" s="1">
        <f>IF(Games[[#This Row],[MOV]]&gt;0,1,IF(Games[[#This Row],[MOV]]=0,0.5,0))</f>
        <v>0</v>
      </c>
      <c r="W250" s="4">
        <f>((ABS(Games[[#This Row],[MOV]])+5)^0.6)/(12+0.01*(ABS(Games[[#This Row],[PreGmRate]]-Games[[#This Row],[OppPreGmRate]])))*IF(Games[[#This Row],[OT]]=1,0.9,1)</f>
        <v>0.48886632517957995</v>
      </c>
      <c r="X250" s="7" cm="1">
        <f t="array" ref="X2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0" s="9">
        <f>MAX(kmin, kmax - 0.15 * MIN(Games[[#This Row],[GamesPlayed]], 82))</f>
        <v>72.7</v>
      </c>
      <c r="Z250" s="4">
        <f>Games[[#This Row],[K]]*Games[[#This Row],[POMult]]</f>
        <v>72.7</v>
      </c>
      <c r="AA250" s="4">
        <f>(Games[[#This Row],[Keff]]*Games[[#This Row],[MOVMult]])*(Games[[#This Row],[Result]]-Games[[#This Row],[ExpectedWin%]])</f>
        <v>-5.5518404649491764</v>
      </c>
      <c r="AB250" s="4">
        <f>Games[[#This Row],[PreGmRate]]+Games[[#This Row],[RatingChange]]</f>
        <v>1415.8625080818406</v>
      </c>
      <c r="AC250" s="2">
        <f>IF(Games[[#This Row],[Type]]="R",IF(Games[[#This Row],[Result]]&gt;0.5,1,0),0)</f>
        <v>0</v>
      </c>
      <c r="AD250" s="2">
        <f>IF(Games[[#This Row],[Type]]="R",IF(Games[[#This Row],[Result]]&lt;0.5,1,0),0)</f>
        <v>1</v>
      </c>
      <c r="AE250" s="2">
        <f>IF(AND(Games[[#This Row],[Type]]="P",Games[[#This Row],[Round]]=1),IF(Games[[#This Row],[Result]]&gt;0.5,1,0),0)</f>
        <v>0</v>
      </c>
      <c r="AF250" s="2">
        <f>IF(AND(Games[[#This Row],[Type]]="P",Games[[#This Row],[Round]]=1),IF(Games[[#This Row],[Result]]&lt;0.5,1,0),0)</f>
        <v>0</v>
      </c>
      <c r="AG250" s="2">
        <f>IF(AND(Games[[#This Row],[Type]]="P",Games[[#This Row],[Round]]=2),IF(Games[[#This Row],[Result]]&gt;0.5,1,0),0)</f>
        <v>0</v>
      </c>
      <c r="AH250" s="2">
        <f>IF(AND(Games[[#This Row],[Type]]="P",Games[[#This Row],[Round]]=2),IF(Games[[#This Row],[Result]]&lt;0.5,1,0),0)</f>
        <v>0</v>
      </c>
      <c r="AI250" s="2">
        <f>IF(AND(Games[[#This Row],[Type]]="P",Games[[#This Row],[Round]]=3),IF(Games[[#This Row],[Result]]&gt;0.5,1,0),0)</f>
        <v>0</v>
      </c>
      <c r="AJ250" s="2">
        <f>IF(AND(Games[[#This Row],[Type]]="P",Games[[#This Row],[Round]]=3),IF(Games[[#This Row],[Result]]&lt;0.5,1,0),0)</f>
        <v>0</v>
      </c>
      <c r="AK250" s="2">
        <f>IF(AND(Games[[#This Row],[Type]]="P",Games[[#This Row],[Round]]=4),IF(Games[[#This Row],[Result]]&gt;0.5,1,0),0)</f>
        <v>0</v>
      </c>
      <c r="AL250" s="2">
        <f>IF(AND(Games[[#This Row],[Type]]="P",Games[[#This Row],[Round]]=4),IF(Games[[#This Row],[Result]]&lt;0.5,1,0),0)</f>
        <v>0</v>
      </c>
    </row>
    <row r="251" spans="1:38" x14ac:dyDescent="0.35">
      <c r="A251" s="10">
        <v>40381</v>
      </c>
      <c r="B251" s="2">
        <v>2010</v>
      </c>
      <c r="C251" s="2">
        <f>COUNTIFS(Games[Team],Games[[#This Row],[Team]],Games[Season],Games[[#This Row],[Season]],Games[Date],"&lt;=" &amp; Games[[#This Row],[Date]])</f>
        <v>21</v>
      </c>
      <c r="D251" s="2" t="s">
        <v>23</v>
      </c>
      <c r="E251" s="2" t="s">
        <v>29</v>
      </c>
      <c r="F251" s="1" t="s">
        <v>73</v>
      </c>
      <c r="G251" s="1" t="s">
        <v>67</v>
      </c>
      <c r="H251" s="1" t="s">
        <v>15</v>
      </c>
      <c r="I251" s="2" cm="1">
        <f t="array" ref="I251">IFERROR(
    Games[[#This Row],[Date]]
    - LOOKUP(
        2,
        1/((Games[Team]=Games[[#This Row],[Team]]) * (Games[Date] &lt; Games[[#This Row],[Date]])),
        Games[Date]
    )
    - 1,
Games[[#This Row],[Date]]-$A$2)</f>
        <v>3</v>
      </c>
      <c r="J251" s="2" cm="1">
        <f t="array" ref="J25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1" s="2">
        <f>Games[[#This Row],[DaysOff]]-Games[[#This Row],[OppDaysOff]]</f>
        <v>2</v>
      </c>
      <c r="L251" s="2">
        <f>Games[[#This Row],[OppDaysOff]]-Games[[#This Row],[DaysOff]]</f>
        <v>-2</v>
      </c>
      <c r="M251" s="1">
        <f>MAX(-16, MIN(16, Games[[#This Row],[RestDiff]]*8))</f>
        <v>16</v>
      </c>
      <c r="N251" s="1">
        <f>MAX(-16, MIN(16, Games[[#This Row],[OppRestDiff]]*8))</f>
        <v>-16</v>
      </c>
      <c r="O251" s="4" cm="1">
        <f t="array" ref="O2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1598.4228529072336</v>
      </c>
      <c r="P251" s="4" cm="1">
        <f t="array" ref="P2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1421.4143485467898</v>
      </c>
      <c r="Q251" s="4">
        <f>1/(1+10^(((Games[[#This Row],[OppPreGmRate]]+IF(Games[[#This Row],[HomeAway]]="A",HCA,0)+Games[[#This Row],[OppRestAdj]])-(Games[[#This Row],[PreGmRate]]+IF(Games[[#This Row],[HomeAway]]="H",HCA,0)+Games[[#This Row],[RestAdj]]))/400))</f>
        <v>0.84378870076308221</v>
      </c>
      <c r="R251" s="1">
        <v>76</v>
      </c>
      <c r="S251" s="1">
        <v>57</v>
      </c>
      <c r="T251" s="1">
        <v>0</v>
      </c>
      <c r="U251" s="1">
        <f>Games[[#This Row],[PointsFor]]-Games[[#This Row],[PointsAgainst]]</f>
        <v>19</v>
      </c>
      <c r="V251" s="1">
        <f>IF(Games[[#This Row],[MOV]]&gt;0,1,IF(Games[[#This Row],[MOV]]=0,0.5,0))</f>
        <v>1</v>
      </c>
      <c r="W251" s="4">
        <f>((ABS(Games[[#This Row],[MOV]])+5)^0.6)/(12+0.01*(ABS(Games[[#This Row],[PreGmRate]]-Games[[#This Row],[OppPreGmRate]])))*IF(Games[[#This Row],[OT]]=1,0.9,1)</f>
        <v>0.48886632517957995</v>
      </c>
      <c r="X251" s="7" cm="1">
        <f t="array" ref="X2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1" s="9">
        <f>MAX(kmin, kmax - 0.15 * MIN(Games[[#This Row],[GamesPlayed]], 82))</f>
        <v>72.849999999999994</v>
      </c>
      <c r="Z251" s="4">
        <f>Games[[#This Row],[K]]*Games[[#This Row],[POMult]]</f>
        <v>72.849999999999994</v>
      </c>
      <c r="AA251" s="4">
        <f>(Games[[#This Row],[Keff]]*Games[[#This Row],[MOVMult]])*(Games[[#This Row],[Result]]-Games[[#This Row],[ExpectedWin%]])</f>
        <v>5.5632954315205971</v>
      </c>
      <c r="AB251" s="4">
        <f>Games[[#This Row],[PreGmRate]]+Games[[#This Row],[RatingChange]]</f>
        <v>1603.9861483387542</v>
      </c>
      <c r="AC251" s="2">
        <f>IF(Games[[#This Row],[Type]]="R",IF(Games[[#This Row],[Result]]&gt;0.5,1,0),0)</f>
        <v>1</v>
      </c>
      <c r="AD251" s="2">
        <f>IF(Games[[#This Row],[Type]]="R",IF(Games[[#This Row],[Result]]&lt;0.5,1,0),0)</f>
        <v>0</v>
      </c>
      <c r="AE251" s="2">
        <f>IF(AND(Games[[#This Row],[Type]]="P",Games[[#This Row],[Round]]=1),IF(Games[[#This Row],[Result]]&gt;0.5,1,0),0)</f>
        <v>0</v>
      </c>
      <c r="AF251" s="2">
        <f>IF(AND(Games[[#This Row],[Type]]="P",Games[[#This Row],[Round]]=1),IF(Games[[#This Row],[Result]]&lt;0.5,1,0),0)</f>
        <v>0</v>
      </c>
      <c r="AG251" s="2">
        <f>IF(AND(Games[[#This Row],[Type]]="P",Games[[#This Row],[Round]]=2),IF(Games[[#This Row],[Result]]&gt;0.5,1,0),0)</f>
        <v>0</v>
      </c>
      <c r="AH251" s="2">
        <f>IF(AND(Games[[#This Row],[Type]]="P",Games[[#This Row],[Round]]=2),IF(Games[[#This Row],[Result]]&lt;0.5,1,0),0)</f>
        <v>0</v>
      </c>
      <c r="AI251" s="2">
        <f>IF(AND(Games[[#This Row],[Type]]="P",Games[[#This Row],[Round]]=3),IF(Games[[#This Row],[Result]]&gt;0.5,1,0),0)</f>
        <v>0</v>
      </c>
      <c r="AJ251" s="2">
        <f>IF(AND(Games[[#This Row],[Type]]="P",Games[[#This Row],[Round]]=3),IF(Games[[#This Row],[Result]]&lt;0.5,1,0),0)</f>
        <v>0</v>
      </c>
      <c r="AK251" s="2">
        <f>IF(AND(Games[[#This Row],[Type]]="P",Games[[#This Row],[Round]]=4),IF(Games[[#This Row],[Result]]&gt;0.5,1,0),0)</f>
        <v>0</v>
      </c>
      <c r="AL251" s="2">
        <f>IF(AND(Games[[#This Row],[Type]]="P",Games[[#This Row],[Round]]=4),IF(Games[[#This Row],[Result]]&lt;0.5,1,0),0)</f>
        <v>0</v>
      </c>
    </row>
    <row r="252" spans="1:38" x14ac:dyDescent="0.35">
      <c r="A252" s="10">
        <v>40381</v>
      </c>
      <c r="B252" s="2">
        <v>2010</v>
      </c>
      <c r="C252" s="2">
        <f>COUNTIFS(Games[Team],Games[[#This Row],[Team]],Games[Season],Games[[#This Row],[Season]],Games[Date],"&lt;=" &amp; Games[[#This Row],[Date]])</f>
        <v>21</v>
      </c>
      <c r="D252" s="2" t="s">
        <v>23</v>
      </c>
      <c r="E252" s="2" t="s">
        <v>29</v>
      </c>
      <c r="F252" s="1" t="s">
        <v>78</v>
      </c>
      <c r="G252" s="1" t="s">
        <v>71</v>
      </c>
      <c r="H252" s="1" t="s">
        <v>16</v>
      </c>
      <c r="I252" s="2" cm="1">
        <f t="array" ref="I25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2" s="2" cm="1">
        <f t="array" ref="J252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52" s="2">
        <f>Games[[#This Row],[DaysOff]]-Games[[#This Row],[OppDaysOff]]</f>
        <v>-3</v>
      </c>
      <c r="L252" s="2">
        <f>Games[[#This Row],[OppDaysOff]]-Games[[#This Row],[DaysOff]]</f>
        <v>3</v>
      </c>
      <c r="M252" s="1">
        <f>MAX(-16, MIN(16, Games[[#This Row],[RestDiff]]*8))</f>
        <v>-16</v>
      </c>
      <c r="N252" s="1">
        <f>MAX(-16, MIN(16, Games[[#This Row],[OppRestDiff]]*8))</f>
        <v>16</v>
      </c>
      <c r="O252" s="4" cm="1">
        <f t="array" ref="O2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1418.7687876275211</v>
      </c>
      <c r="P252" s="4" cm="1">
        <f t="array" ref="P2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1433.1075456146734</v>
      </c>
      <c r="Q252" s="4">
        <f>1/(1+10^(((Games[[#This Row],[OppPreGmRate]]+IF(Games[[#This Row],[HomeAway]]="A",HCA,0)+Games[[#This Row],[OppRestAdj]])-(Games[[#This Row],[PreGmRate]]+IF(Games[[#This Row],[HomeAway]]="H",HCA,0)+Games[[#This Row],[RestAdj]]))/400))</f>
        <v>0.32075807034262777</v>
      </c>
      <c r="R252" s="1">
        <v>74</v>
      </c>
      <c r="S252" s="1">
        <v>72</v>
      </c>
      <c r="T252" s="1">
        <v>0</v>
      </c>
      <c r="U252" s="1">
        <f>Games[[#This Row],[PointsFor]]-Games[[#This Row],[PointsAgainst]]</f>
        <v>2</v>
      </c>
      <c r="V252" s="1">
        <f>IF(Games[[#This Row],[MOV]]&gt;0,1,IF(Games[[#This Row],[MOV]]=0,0.5,0))</f>
        <v>1</v>
      </c>
      <c r="W252" s="4">
        <f>((ABS(Games[[#This Row],[MOV]])+5)^0.6)/(12+0.01*(ABS(Games[[#This Row],[PreGmRate]]-Games[[#This Row],[OppPreGmRate]])))*IF(Games[[#This Row],[OT]]=1,0.9,1)</f>
        <v>0.26467868447546028</v>
      </c>
      <c r="X252" s="7" cm="1">
        <f t="array" ref="X25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2" s="9">
        <f>MAX(kmin, kmax - 0.15 * MIN(Games[[#This Row],[GamesPlayed]], 82))</f>
        <v>72.849999999999994</v>
      </c>
      <c r="Z252" s="4">
        <f>Games[[#This Row],[K]]*Games[[#This Row],[POMult]]</f>
        <v>72.849999999999994</v>
      </c>
      <c r="AA252" s="4">
        <f>(Games[[#This Row],[Keff]]*Games[[#This Row],[MOVMult]])*(Games[[#This Row],[Result]]-Games[[#This Row],[ExpectedWin%]])</f>
        <v>13.097035678849563</v>
      </c>
      <c r="AB252" s="4">
        <f>Games[[#This Row],[PreGmRate]]+Games[[#This Row],[RatingChange]]</f>
        <v>1431.8658233063707</v>
      </c>
      <c r="AC252" s="2">
        <f>IF(Games[[#This Row],[Type]]="R",IF(Games[[#This Row],[Result]]&gt;0.5,1,0),0)</f>
        <v>1</v>
      </c>
      <c r="AD252" s="2">
        <f>IF(Games[[#This Row],[Type]]="R",IF(Games[[#This Row],[Result]]&lt;0.5,1,0),0)</f>
        <v>0</v>
      </c>
      <c r="AE252" s="2">
        <f>IF(AND(Games[[#This Row],[Type]]="P",Games[[#This Row],[Round]]=1),IF(Games[[#This Row],[Result]]&gt;0.5,1,0),0)</f>
        <v>0</v>
      </c>
      <c r="AF252" s="2">
        <f>IF(AND(Games[[#This Row],[Type]]="P",Games[[#This Row],[Round]]=1),IF(Games[[#This Row],[Result]]&lt;0.5,1,0),0)</f>
        <v>0</v>
      </c>
      <c r="AG252" s="2">
        <f>IF(AND(Games[[#This Row],[Type]]="P",Games[[#This Row],[Round]]=2),IF(Games[[#This Row],[Result]]&gt;0.5,1,0),0)</f>
        <v>0</v>
      </c>
      <c r="AH252" s="2">
        <f>IF(AND(Games[[#This Row],[Type]]="P",Games[[#This Row],[Round]]=2),IF(Games[[#This Row],[Result]]&lt;0.5,1,0),0)</f>
        <v>0</v>
      </c>
      <c r="AI252" s="2">
        <f>IF(AND(Games[[#This Row],[Type]]="P",Games[[#This Row],[Round]]=3),IF(Games[[#This Row],[Result]]&gt;0.5,1,0),0)</f>
        <v>0</v>
      </c>
      <c r="AJ252" s="2">
        <f>IF(AND(Games[[#This Row],[Type]]="P",Games[[#This Row],[Round]]=3),IF(Games[[#This Row],[Result]]&lt;0.5,1,0),0)</f>
        <v>0</v>
      </c>
      <c r="AK252" s="2">
        <f>IF(AND(Games[[#This Row],[Type]]="P",Games[[#This Row],[Round]]=4),IF(Games[[#This Row],[Result]]&gt;0.5,1,0),0)</f>
        <v>0</v>
      </c>
      <c r="AL252" s="2">
        <f>IF(AND(Games[[#This Row],[Type]]="P",Games[[#This Row],[Round]]=4),IF(Games[[#This Row],[Result]]&lt;0.5,1,0),0)</f>
        <v>0</v>
      </c>
    </row>
    <row r="253" spans="1:38" x14ac:dyDescent="0.35">
      <c r="A253" s="10">
        <v>40381</v>
      </c>
      <c r="B253" s="2">
        <v>2010</v>
      </c>
      <c r="C253" s="2">
        <f>COUNTIFS(Games[Team],Games[[#This Row],[Team]],Games[Season],Games[[#This Row],[Season]],Games[Date],"&lt;=" &amp; Games[[#This Row],[Date]])</f>
        <v>20</v>
      </c>
      <c r="D253" s="2" t="s">
        <v>23</v>
      </c>
      <c r="E253" s="2" t="s">
        <v>29</v>
      </c>
      <c r="F253" s="1" t="s">
        <v>71</v>
      </c>
      <c r="G253" s="1" t="s">
        <v>78</v>
      </c>
      <c r="H253" s="1" t="s">
        <v>15</v>
      </c>
      <c r="I253" s="2" cm="1">
        <f t="array" ref="I253">IFERROR(
    Games[[#This Row],[Date]]
    - LOOKUP(
        2,
        1/((Games[Team]=Games[[#This Row],[Team]]) * (Games[Date] &lt; Games[[#This Row],[Date]])),
        Games[Date]
    )
    - 1,
Games[[#This Row],[Date]]-$A$2)</f>
        <v>4</v>
      </c>
      <c r="J253" s="2" cm="1">
        <f t="array" ref="J25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3" s="2">
        <f>Games[[#This Row],[DaysOff]]-Games[[#This Row],[OppDaysOff]]</f>
        <v>3</v>
      </c>
      <c r="L253" s="2">
        <f>Games[[#This Row],[OppDaysOff]]-Games[[#This Row],[DaysOff]]</f>
        <v>-3</v>
      </c>
      <c r="M253" s="1">
        <f>MAX(-16, MIN(16, Games[[#This Row],[RestDiff]]*8))</f>
        <v>16</v>
      </c>
      <c r="N253" s="1">
        <f>MAX(-16, MIN(16, Games[[#This Row],[OppRestDiff]]*8))</f>
        <v>-16</v>
      </c>
      <c r="O253" s="4" cm="1">
        <f t="array" ref="O2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1433.1075456146734</v>
      </c>
      <c r="P253" s="4" cm="1">
        <f t="array" ref="P2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1418.7687876275211</v>
      </c>
      <c r="Q253" s="4">
        <f>1/(1+10^(((Games[[#This Row],[OppPreGmRate]]+IF(Games[[#This Row],[HomeAway]]="A",HCA,0)+Games[[#This Row],[OppRestAdj]])-(Games[[#This Row],[PreGmRate]]+IF(Games[[#This Row],[HomeAway]]="H",HCA,0)+Games[[#This Row],[RestAdj]]))/400))</f>
        <v>0.67924192965737218</v>
      </c>
      <c r="R253" s="1">
        <v>72</v>
      </c>
      <c r="S253" s="1">
        <v>74</v>
      </c>
      <c r="T253" s="1">
        <v>0</v>
      </c>
      <c r="U253" s="1">
        <f>Games[[#This Row],[PointsFor]]-Games[[#This Row],[PointsAgainst]]</f>
        <v>-2</v>
      </c>
      <c r="V253" s="1">
        <f>IF(Games[[#This Row],[MOV]]&gt;0,1,IF(Games[[#This Row],[MOV]]=0,0.5,0))</f>
        <v>0</v>
      </c>
      <c r="W253" s="4">
        <f>((ABS(Games[[#This Row],[MOV]])+5)^0.6)/(12+0.01*(ABS(Games[[#This Row],[PreGmRate]]-Games[[#This Row],[OppPreGmRate]])))*IF(Games[[#This Row],[OT]]=1,0.9,1)</f>
        <v>0.26467868447546028</v>
      </c>
      <c r="X253" s="7" cm="1">
        <f t="array" ref="X25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3" s="9">
        <f>MAX(kmin, kmax - 0.15 * MIN(Games[[#This Row],[GamesPlayed]], 82))</f>
        <v>73</v>
      </c>
      <c r="Z253" s="4">
        <f>Games[[#This Row],[K]]*Games[[#This Row],[POMult]]</f>
        <v>73</v>
      </c>
      <c r="AA253" s="4">
        <f>(Games[[#This Row],[Keff]]*Games[[#This Row],[MOVMult]])*(Games[[#This Row],[Result]]-Games[[#This Row],[ExpectedWin%]])</f>
        <v>-13.124002807906907</v>
      </c>
      <c r="AB253" s="4">
        <f>Games[[#This Row],[PreGmRate]]+Games[[#This Row],[RatingChange]]</f>
        <v>1419.9835428067665</v>
      </c>
      <c r="AC253" s="2">
        <f>IF(Games[[#This Row],[Type]]="R",IF(Games[[#This Row],[Result]]&gt;0.5,1,0),0)</f>
        <v>0</v>
      </c>
      <c r="AD253" s="2">
        <f>IF(Games[[#This Row],[Type]]="R",IF(Games[[#This Row],[Result]]&lt;0.5,1,0),0)</f>
        <v>1</v>
      </c>
      <c r="AE253" s="2">
        <f>IF(AND(Games[[#This Row],[Type]]="P",Games[[#This Row],[Round]]=1),IF(Games[[#This Row],[Result]]&gt;0.5,1,0),0)</f>
        <v>0</v>
      </c>
      <c r="AF253" s="2">
        <f>IF(AND(Games[[#This Row],[Type]]="P",Games[[#This Row],[Round]]=1),IF(Games[[#This Row],[Result]]&lt;0.5,1,0),0)</f>
        <v>0</v>
      </c>
      <c r="AG253" s="2">
        <f>IF(AND(Games[[#This Row],[Type]]="P",Games[[#This Row],[Round]]=2),IF(Games[[#This Row],[Result]]&gt;0.5,1,0),0)</f>
        <v>0</v>
      </c>
      <c r="AH253" s="2">
        <f>IF(AND(Games[[#This Row],[Type]]="P",Games[[#This Row],[Round]]=2),IF(Games[[#This Row],[Result]]&lt;0.5,1,0),0)</f>
        <v>0</v>
      </c>
      <c r="AI253" s="2">
        <f>IF(AND(Games[[#This Row],[Type]]="P",Games[[#This Row],[Round]]=3),IF(Games[[#This Row],[Result]]&gt;0.5,1,0),0)</f>
        <v>0</v>
      </c>
      <c r="AJ253" s="2">
        <f>IF(AND(Games[[#This Row],[Type]]="P",Games[[#This Row],[Round]]=3),IF(Games[[#This Row],[Result]]&lt;0.5,1,0),0)</f>
        <v>0</v>
      </c>
      <c r="AK253" s="2">
        <f>IF(AND(Games[[#This Row],[Type]]="P",Games[[#This Row],[Round]]=4),IF(Games[[#This Row],[Result]]&gt;0.5,1,0),0)</f>
        <v>0</v>
      </c>
      <c r="AL253" s="2">
        <f>IF(AND(Games[[#This Row],[Type]]="P",Games[[#This Row],[Round]]=4),IF(Games[[#This Row],[Result]]&lt;0.5,1,0),0)</f>
        <v>0</v>
      </c>
    </row>
    <row r="254" spans="1:38" x14ac:dyDescent="0.35">
      <c r="A254" s="10">
        <v>40381</v>
      </c>
      <c r="B254" s="2">
        <v>2010</v>
      </c>
      <c r="C254" s="2">
        <f>COUNTIFS(Games[Team],Games[[#This Row],[Team]],Games[Season],Games[[#This Row],[Season]],Games[Date],"&lt;=" &amp; Games[[#This Row],[Date]])</f>
        <v>21</v>
      </c>
      <c r="D254" s="2" t="s">
        <v>23</v>
      </c>
      <c r="E254" s="2" t="s">
        <v>29</v>
      </c>
      <c r="F254" s="1" t="s">
        <v>44</v>
      </c>
      <c r="G254" s="1" t="s">
        <v>85</v>
      </c>
      <c r="H254" s="1" t="s">
        <v>16</v>
      </c>
      <c r="I254" s="2" cm="1">
        <f t="array" ref="I254">IFERROR(
    Games[[#This Row],[Date]]
    - LOOKUP(
        2,
        1/((Games[Team]=Games[[#This Row],[Team]]) * (Games[Date] &lt; Games[[#This Row],[Date]])),
        Games[Date]
    )
    - 1,
Games[[#This Row],[Date]]-$A$2)</f>
        <v>4</v>
      </c>
      <c r="J254" s="2" cm="1">
        <f t="array" ref="J25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4" s="2">
        <f>Games[[#This Row],[DaysOff]]-Games[[#This Row],[OppDaysOff]]</f>
        <v>3</v>
      </c>
      <c r="L254" s="2">
        <f>Games[[#This Row],[OppDaysOff]]-Games[[#This Row],[DaysOff]]</f>
        <v>-3</v>
      </c>
      <c r="M254" s="1">
        <f>MAX(-16, MIN(16, Games[[#This Row],[RestDiff]]*8))</f>
        <v>16</v>
      </c>
      <c r="N254" s="1">
        <f>MAX(-16, MIN(16, Games[[#This Row],[OppRestDiff]]*8))</f>
        <v>-16</v>
      </c>
      <c r="O254" s="4" cm="1">
        <f t="array" ref="O2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1514.944335870947</v>
      </c>
      <c r="P254" s="4" cm="1">
        <f t="array" ref="P2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1350.3128561865265</v>
      </c>
      <c r="Q254" s="4">
        <f>1/(1+10^(((Games[[#This Row],[OppPreGmRate]]+IF(Games[[#This Row],[HomeAway]]="A",HCA,0)+Games[[#This Row],[OppRestAdj]])-(Games[[#This Row],[PreGmRate]]+IF(Games[[#This Row],[HomeAway]]="H",HCA,0)+Games[[#This Row],[RestAdj]]))/400))</f>
        <v>0.65664055275794619</v>
      </c>
      <c r="R254" s="1">
        <v>123</v>
      </c>
      <c r="S254" s="1">
        <v>91</v>
      </c>
      <c r="T254" s="1">
        <v>0</v>
      </c>
      <c r="U254" s="1">
        <f>Games[[#This Row],[PointsFor]]-Games[[#This Row],[PointsAgainst]]</f>
        <v>32</v>
      </c>
      <c r="V254" s="1">
        <f>IF(Games[[#This Row],[MOV]]&gt;0,1,IF(Games[[#This Row],[MOV]]=0,0.5,0))</f>
        <v>1</v>
      </c>
      <c r="W254" s="4">
        <f>((ABS(Games[[#This Row],[MOV]])+5)^0.6)/(12+0.01*(ABS(Games[[#This Row],[PreGmRate]]-Games[[#This Row],[OppPreGmRate]])))*IF(Games[[#This Row],[OT]]=1,0.9,1)</f>
        <v>0.63959586735420781</v>
      </c>
      <c r="X254" s="7" cm="1">
        <f t="array" ref="X25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4" s="9">
        <f>MAX(kmin, kmax - 0.15 * MIN(Games[[#This Row],[GamesPlayed]], 82))</f>
        <v>72.849999999999994</v>
      </c>
      <c r="Z254" s="4">
        <f>Games[[#This Row],[K]]*Games[[#This Row],[POMult]]</f>
        <v>72.849999999999994</v>
      </c>
      <c r="AA254" s="4">
        <f>(Games[[#This Row],[Keff]]*Games[[#This Row],[MOVMult]])*(Games[[#This Row],[Result]]-Games[[#This Row],[ExpectedWin%]])</f>
        <v>15.998682001011163</v>
      </c>
      <c r="AB254" s="4">
        <f>Games[[#This Row],[PreGmRate]]+Games[[#This Row],[RatingChange]]</f>
        <v>1530.9430178719583</v>
      </c>
      <c r="AC254" s="2">
        <f>IF(Games[[#This Row],[Type]]="R",IF(Games[[#This Row],[Result]]&gt;0.5,1,0),0)</f>
        <v>1</v>
      </c>
      <c r="AD254" s="2">
        <f>IF(Games[[#This Row],[Type]]="R",IF(Games[[#This Row],[Result]]&lt;0.5,1,0),0)</f>
        <v>0</v>
      </c>
      <c r="AE254" s="2">
        <f>IF(AND(Games[[#This Row],[Type]]="P",Games[[#This Row],[Round]]=1),IF(Games[[#This Row],[Result]]&gt;0.5,1,0),0)</f>
        <v>0</v>
      </c>
      <c r="AF254" s="2">
        <f>IF(AND(Games[[#This Row],[Type]]="P",Games[[#This Row],[Round]]=1),IF(Games[[#This Row],[Result]]&lt;0.5,1,0),0)</f>
        <v>0</v>
      </c>
      <c r="AG254" s="2">
        <f>IF(AND(Games[[#This Row],[Type]]="P",Games[[#This Row],[Round]]=2),IF(Games[[#This Row],[Result]]&gt;0.5,1,0),0)</f>
        <v>0</v>
      </c>
      <c r="AH254" s="2">
        <f>IF(AND(Games[[#This Row],[Type]]="P",Games[[#This Row],[Round]]=2),IF(Games[[#This Row],[Result]]&lt;0.5,1,0),0)</f>
        <v>0</v>
      </c>
      <c r="AI254" s="2">
        <f>IF(AND(Games[[#This Row],[Type]]="P",Games[[#This Row],[Round]]=3),IF(Games[[#This Row],[Result]]&gt;0.5,1,0),0)</f>
        <v>0</v>
      </c>
      <c r="AJ254" s="2">
        <f>IF(AND(Games[[#This Row],[Type]]="P",Games[[#This Row],[Round]]=3),IF(Games[[#This Row],[Result]]&lt;0.5,1,0),0)</f>
        <v>0</v>
      </c>
      <c r="AK254" s="2">
        <f>IF(AND(Games[[#This Row],[Type]]="P",Games[[#This Row],[Round]]=4),IF(Games[[#This Row],[Result]]&gt;0.5,1,0),0)</f>
        <v>0</v>
      </c>
      <c r="AL254" s="2">
        <f>IF(AND(Games[[#This Row],[Type]]="P",Games[[#This Row],[Round]]=4),IF(Games[[#This Row],[Result]]&lt;0.5,1,0),0)</f>
        <v>0</v>
      </c>
    </row>
    <row r="255" spans="1:38" x14ac:dyDescent="0.35">
      <c r="A255" s="10">
        <v>40381</v>
      </c>
      <c r="B255" s="2">
        <v>2010</v>
      </c>
      <c r="C255" s="2">
        <f>COUNTIFS(Games[Team],Games[[#This Row],[Team]],Games[Season],Games[[#This Row],[Season]],Games[Date],"&lt;=" &amp; Games[[#This Row],[Date]])</f>
        <v>22</v>
      </c>
      <c r="D255" s="2" t="s">
        <v>23</v>
      </c>
      <c r="E255" s="2" t="s">
        <v>29</v>
      </c>
      <c r="F255" s="1" t="s">
        <v>85</v>
      </c>
      <c r="G255" s="1" t="s">
        <v>44</v>
      </c>
      <c r="H255" s="1" t="s">
        <v>15</v>
      </c>
      <c r="I255" s="2" cm="1">
        <f t="array" ref="I25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5" s="2" cm="1">
        <f t="array" ref="J255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55" s="2">
        <f>Games[[#This Row],[DaysOff]]-Games[[#This Row],[OppDaysOff]]</f>
        <v>-3</v>
      </c>
      <c r="L255" s="2">
        <f>Games[[#This Row],[OppDaysOff]]-Games[[#This Row],[DaysOff]]</f>
        <v>3</v>
      </c>
      <c r="M255" s="1">
        <f>MAX(-16, MIN(16, Games[[#This Row],[RestDiff]]*8))</f>
        <v>-16</v>
      </c>
      <c r="N255" s="1">
        <f>MAX(-16, MIN(16, Games[[#This Row],[OppRestDiff]]*8))</f>
        <v>16</v>
      </c>
      <c r="O255" s="4" cm="1">
        <f t="array" ref="O2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1350.3128561865265</v>
      </c>
      <c r="P255" s="4" cm="1">
        <f t="array" ref="P2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1514.944335870947</v>
      </c>
      <c r="Q255" s="4">
        <f>1/(1+10^(((Games[[#This Row],[OppPreGmRate]]+IF(Games[[#This Row],[HomeAway]]="A",HCA,0)+Games[[#This Row],[OppRestAdj]])-(Games[[#This Row],[PreGmRate]]+IF(Games[[#This Row],[HomeAway]]="H",HCA,0)+Games[[#This Row],[RestAdj]]))/400))</f>
        <v>0.34335944724205386</v>
      </c>
      <c r="R255" s="1">
        <v>91</v>
      </c>
      <c r="S255" s="1">
        <v>123</v>
      </c>
      <c r="T255" s="1">
        <v>0</v>
      </c>
      <c r="U255" s="1">
        <f>Games[[#This Row],[PointsFor]]-Games[[#This Row],[PointsAgainst]]</f>
        <v>-32</v>
      </c>
      <c r="V255" s="1">
        <f>IF(Games[[#This Row],[MOV]]&gt;0,1,IF(Games[[#This Row],[MOV]]=0,0.5,0))</f>
        <v>0</v>
      </c>
      <c r="W255" s="4">
        <f>((ABS(Games[[#This Row],[MOV]])+5)^0.6)/(12+0.01*(ABS(Games[[#This Row],[PreGmRate]]-Games[[#This Row],[OppPreGmRate]])))*IF(Games[[#This Row],[OT]]=1,0.9,1)</f>
        <v>0.63959586735420781</v>
      </c>
      <c r="X255" s="7" cm="1">
        <f t="array" ref="X25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5" s="9">
        <f>MAX(kmin, kmax - 0.15 * MIN(Games[[#This Row],[GamesPlayed]], 82))</f>
        <v>72.7</v>
      </c>
      <c r="Z255" s="4">
        <f>Games[[#This Row],[K]]*Games[[#This Row],[POMult]]</f>
        <v>72.7</v>
      </c>
      <c r="AA255" s="4">
        <f>(Games[[#This Row],[Keff]]*Games[[#This Row],[MOVMult]])*(Games[[#This Row],[Result]]-Games[[#This Row],[ExpectedWin%]])</f>
        <v>-15.965740308490211</v>
      </c>
      <c r="AB255" s="4">
        <f>Games[[#This Row],[PreGmRate]]+Games[[#This Row],[RatingChange]]</f>
        <v>1334.3471158780362</v>
      </c>
      <c r="AC255" s="2">
        <f>IF(Games[[#This Row],[Type]]="R",IF(Games[[#This Row],[Result]]&gt;0.5,1,0),0)</f>
        <v>0</v>
      </c>
      <c r="AD255" s="2">
        <f>IF(Games[[#This Row],[Type]]="R",IF(Games[[#This Row],[Result]]&lt;0.5,1,0),0)</f>
        <v>1</v>
      </c>
      <c r="AE255" s="2">
        <f>IF(AND(Games[[#This Row],[Type]]="P",Games[[#This Row],[Round]]=1),IF(Games[[#This Row],[Result]]&gt;0.5,1,0),0)</f>
        <v>0</v>
      </c>
      <c r="AF255" s="2">
        <f>IF(AND(Games[[#This Row],[Type]]="P",Games[[#This Row],[Round]]=1),IF(Games[[#This Row],[Result]]&lt;0.5,1,0),0)</f>
        <v>0</v>
      </c>
      <c r="AG255" s="2">
        <f>IF(AND(Games[[#This Row],[Type]]="P",Games[[#This Row],[Round]]=2),IF(Games[[#This Row],[Result]]&gt;0.5,1,0),0)</f>
        <v>0</v>
      </c>
      <c r="AH255" s="2">
        <f>IF(AND(Games[[#This Row],[Type]]="P",Games[[#This Row],[Round]]=2),IF(Games[[#This Row],[Result]]&lt;0.5,1,0),0)</f>
        <v>0</v>
      </c>
      <c r="AI255" s="2">
        <f>IF(AND(Games[[#This Row],[Type]]="P",Games[[#This Row],[Round]]=3),IF(Games[[#This Row],[Result]]&gt;0.5,1,0),0)</f>
        <v>0</v>
      </c>
      <c r="AJ255" s="2">
        <f>IF(AND(Games[[#This Row],[Type]]="P",Games[[#This Row],[Round]]=3),IF(Games[[#This Row],[Result]]&lt;0.5,1,0),0)</f>
        <v>0</v>
      </c>
      <c r="AK255" s="2">
        <f>IF(AND(Games[[#This Row],[Type]]="P",Games[[#This Row],[Round]]=4),IF(Games[[#This Row],[Result]]&gt;0.5,1,0),0)</f>
        <v>0</v>
      </c>
      <c r="AL255" s="2">
        <f>IF(AND(Games[[#This Row],[Type]]="P",Games[[#This Row],[Round]]=4),IF(Games[[#This Row],[Result]]&lt;0.5,1,0),0)</f>
        <v>0</v>
      </c>
    </row>
    <row r="256" spans="1:38" x14ac:dyDescent="0.35">
      <c r="A256" s="10">
        <v>40382</v>
      </c>
      <c r="B256" s="2">
        <v>2010</v>
      </c>
      <c r="C256" s="2">
        <f>COUNTIFS(Games[Team],Games[[#This Row],[Team]],Games[Season],Games[[#This Row],[Season]],Games[Date],"&lt;=" &amp; Games[[#This Row],[Date]])</f>
        <v>21</v>
      </c>
      <c r="D256" s="2" t="s">
        <v>23</v>
      </c>
      <c r="E256" s="2" t="s">
        <v>29</v>
      </c>
      <c r="F256" s="1" t="s">
        <v>64</v>
      </c>
      <c r="G256" s="1" t="s">
        <v>81</v>
      </c>
      <c r="H256" s="1" t="s">
        <v>16</v>
      </c>
      <c r="I256" s="2" cm="1">
        <f t="array" ref="I256">IFERROR(
    Games[[#This Row],[Date]]
    - LOOKUP(
        2,
        1/((Games[Team]=Games[[#This Row],[Team]]) * (Games[Date] &lt; Games[[#This Row],[Date]])),
        Games[Date]
    )
    - 1,
Games[[#This Row],[Date]]-$A$2)</f>
        <v>2</v>
      </c>
      <c r="J256" s="2" cm="1">
        <f t="array" ref="J256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56" s="2">
        <f>Games[[#This Row],[DaysOff]]-Games[[#This Row],[OppDaysOff]]</f>
        <v>-2</v>
      </c>
      <c r="L256" s="2">
        <f>Games[[#This Row],[OppDaysOff]]-Games[[#This Row],[DaysOff]]</f>
        <v>2</v>
      </c>
      <c r="M256" s="1">
        <f>MAX(-16, MIN(16, Games[[#This Row],[RestDiff]]*8))</f>
        <v>-16</v>
      </c>
      <c r="N256" s="1">
        <f>MAX(-16, MIN(16, Games[[#This Row],[OppRestDiff]]*8))</f>
        <v>16</v>
      </c>
      <c r="O256" s="4" cm="1">
        <f t="array" ref="O2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1511.3442806477706</v>
      </c>
      <c r="P256" s="4" cm="1">
        <f t="array" ref="P2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1516.2277314270875</v>
      </c>
      <c r="Q256" s="4">
        <f>1/(1+10^(((Games[[#This Row],[OppPreGmRate]]+IF(Games[[#This Row],[HomeAway]]="A",HCA,0)+Games[[#This Row],[OppRestAdj]])-(Games[[#This Row],[PreGmRate]]+IF(Games[[#This Row],[HomeAway]]="H",HCA,0)+Games[[#This Row],[RestAdj]]))/400))</f>
        <v>0.33273051773888129</v>
      </c>
      <c r="R256" s="1">
        <v>79</v>
      </c>
      <c r="S256" s="1">
        <v>71</v>
      </c>
      <c r="T256" s="1">
        <v>0</v>
      </c>
      <c r="U256" s="1">
        <f>Games[[#This Row],[PointsFor]]-Games[[#This Row],[PointsAgainst]]</f>
        <v>8</v>
      </c>
      <c r="V256" s="1">
        <f>IF(Games[[#This Row],[MOV]]&gt;0,1,IF(Games[[#This Row],[MOV]]=0,0.5,0))</f>
        <v>1</v>
      </c>
      <c r="W256" s="4">
        <f>((ABS(Games[[#This Row],[MOV]])+5)^0.6)/(12+0.01*(ABS(Games[[#This Row],[PreGmRate]]-Games[[#This Row],[OppPreGmRate]])))*IF(Games[[#This Row],[OT]]=1,0.9,1)</f>
        <v>0.3867416733977152</v>
      </c>
      <c r="X256" s="7" cm="1">
        <f t="array" ref="X25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6" s="9">
        <f>MAX(kmin, kmax - 0.15 * MIN(Games[[#This Row],[GamesPlayed]], 82))</f>
        <v>72.849999999999994</v>
      </c>
      <c r="Z256" s="4">
        <f>Games[[#This Row],[K]]*Games[[#This Row],[POMult]]</f>
        <v>72.849999999999994</v>
      </c>
      <c r="AA256" s="4">
        <f>(Games[[#This Row],[Keff]]*Games[[#This Row],[MOVMult]])*(Games[[#This Row],[Result]]-Games[[#This Row],[ExpectedWin%]])</f>
        <v>18.799737743486588</v>
      </c>
      <c r="AB256" s="4">
        <f>Games[[#This Row],[PreGmRate]]+Games[[#This Row],[RatingChange]]</f>
        <v>1530.1440183912571</v>
      </c>
      <c r="AC256" s="2">
        <f>IF(Games[[#This Row],[Type]]="R",IF(Games[[#This Row],[Result]]&gt;0.5,1,0),0)</f>
        <v>1</v>
      </c>
      <c r="AD256" s="2">
        <f>IF(Games[[#This Row],[Type]]="R",IF(Games[[#This Row],[Result]]&lt;0.5,1,0),0)</f>
        <v>0</v>
      </c>
      <c r="AE256" s="2">
        <f>IF(AND(Games[[#This Row],[Type]]="P",Games[[#This Row],[Round]]=1),IF(Games[[#This Row],[Result]]&gt;0.5,1,0),0)</f>
        <v>0</v>
      </c>
      <c r="AF256" s="2">
        <f>IF(AND(Games[[#This Row],[Type]]="P",Games[[#This Row],[Round]]=1),IF(Games[[#This Row],[Result]]&lt;0.5,1,0),0)</f>
        <v>0</v>
      </c>
      <c r="AG256" s="2">
        <f>IF(AND(Games[[#This Row],[Type]]="P",Games[[#This Row],[Round]]=2),IF(Games[[#This Row],[Result]]&gt;0.5,1,0),0)</f>
        <v>0</v>
      </c>
      <c r="AH256" s="2">
        <f>IF(AND(Games[[#This Row],[Type]]="P",Games[[#This Row],[Round]]=2),IF(Games[[#This Row],[Result]]&lt;0.5,1,0),0)</f>
        <v>0</v>
      </c>
      <c r="AI256" s="2">
        <f>IF(AND(Games[[#This Row],[Type]]="P",Games[[#This Row],[Round]]=3),IF(Games[[#This Row],[Result]]&gt;0.5,1,0),0)</f>
        <v>0</v>
      </c>
      <c r="AJ256" s="2">
        <f>IF(AND(Games[[#This Row],[Type]]="P",Games[[#This Row],[Round]]=3),IF(Games[[#This Row],[Result]]&lt;0.5,1,0),0)</f>
        <v>0</v>
      </c>
      <c r="AK256" s="2">
        <f>IF(AND(Games[[#This Row],[Type]]="P",Games[[#This Row],[Round]]=4),IF(Games[[#This Row],[Result]]&gt;0.5,1,0),0)</f>
        <v>0</v>
      </c>
      <c r="AL256" s="2">
        <f>IF(AND(Games[[#This Row],[Type]]="P",Games[[#This Row],[Round]]=4),IF(Games[[#This Row],[Result]]&lt;0.5,1,0),0)</f>
        <v>0</v>
      </c>
    </row>
    <row r="257" spans="1:38" x14ac:dyDescent="0.35">
      <c r="A257" s="10">
        <v>40382</v>
      </c>
      <c r="B257" s="2">
        <v>2010</v>
      </c>
      <c r="C257" s="2">
        <f>COUNTIFS(Games[Team],Games[[#This Row],[Team]],Games[Season],Games[[#This Row],[Season]],Games[Date],"&lt;=" &amp; Games[[#This Row],[Date]])</f>
        <v>23</v>
      </c>
      <c r="D257" s="2" t="s">
        <v>23</v>
      </c>
      <c r="E257" s="2" t="s">
        <v>29</v>
      </c>
      <c r="F257" s="1" t="s">
        <v>81</v>
      </c>
      <c r="G257" s="1" t="s">
        <v>64</v>
      </c>
      <c r="H257" s="1" t="s">
        <v>15</v>
      </c>
      <c r="I257" s="2" cm="1">
        <f t="array" ref="I257">IFERROR(
    Games[[#This Row],[Date]]
    - LOOKUP(
        2,
        1/((Games[Team]=Games[[#This Row],[Team]]) * (Games[Date] &lt; Games[[#This Row],[Date]])),
        Games[Date]
    )
    - 1,
Games[[#This Row],[Date]]-$A$2)</f>
        <v>4</v>
      </c>
      <c r="J257" s="2" cm="1">
        <f t="array" ref="J25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57" s="2">
        <f>Games[[#This Row],[DaysOff]]-Games[[#This Row],[OppDaysOff]]</f>
        <v>2</v>
      </c>
      <c r="L257" s="2">
        <f>Games[[#This Row],[OppDaysOff]]-Games[[#This Row],[DaysOff]]</f>
        <v>-2</v>
      </c>
      <c r="M257" s="1">
        <f>MAX(-16, MIN(16, Games[[#This Row],[RestDiff]]*8))</f>
        <v>16</v>
      </c>
      <c r="N257" s="1">
        <f>MAX(-16, MIN(16, Games[[#This Row],[OppRestDiff]]*8))</f>
        <v>-16</v>
      </c>
      <c r="O257" s="4" cm="1">
        <f t="array" ref="O2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1516.2277314270875</v>
      </c>
      <c r="P257" s="4" cm="1">
        <f t="array" ref="P2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1511.3442806477706</v>
      </c>
      <c r="Q257" s="4">
        <f>1/(1+10^(((Games[[#This Row],[OppPreGmRate]]+IF(Games[[#This Row],[HomeAway]]="A",HCA,0)+Games[[#This Row],[OppRestAdj]])-(Games[[#This Row],[PreGmRate]]+IF(Games[[#This Row],[HomeAway]]="H",HCA,0)+Games[[#This Row],[RestAdj]]))/400))</f>
        <v>0.66726948226111871</v>
      </c>
      <c r="R257" s="1">
        <v>71</v>
      </c>
      <c r="S257" s="1">
        <v>79</v>
      </c>
      <c r="T257" s="1">
        <v>0</v>
      </c>
      <c r="U257" s="1">
        <f>Games[[#This Row],[PointsFor]]-Games[[#This Row],[PointsAgainst]]</f>
        <v>-8</v>
      </c>
      <c r="V257" s="1">
        <f>IF(Games[[#This Row],[MOV]]&gt;0,1,IF(Games[[#This Row],[MOV]]=0,0.5,0))</f>
        <v>0</v>
      </c>
      <c r="W257" s="4">
        <f>((ABS(Games[[#This Row],[MOV]])+5)^0.6)/(12+0.01*(ABS(Games[[#This Row],[PreGmRate]]-Games[[#This Row],[OppPreGmRate]])))*IF(Games[[#This Row],[OT]]=1,0.9,1)</f>
        <v>0.3867416733977152</v>
      </c>
      <c r="X257" s="7" cm="1">
        <f t="array" ref="X25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7" s="9">
        <f>MAX(kmin, kmax - 0.15 * MIN(Games[[#This Row],[GamesPlayed]], 82))</f>
        <v>72.55</v>
      </c>
      <c r="Z257" s="4">
        <f>Games[[#This Row],[K]]*Games[[#This Row],[POMult]]</f>
        <v>72.55</v>
      </c>
      <c r="AA257" s="4">
        <f>(Games[[#This Row],[Keff]]*Games[[#This Row],[MOVMult]])*(Games[[#This Row],[Result]]-Games[[#This Row],[ExpectedWin%]])</f>
        <v>-18.722319468633522</v>
      </c>
      <c r="AB257" s="4">
        <f>Games[[#This Row],[PreGmRate]]+Games[[#This Row],[RatingChange]]</f>
        <v>1497.505411958454</v>
      </c>
      <c r="AC257" s="2">
        <f>IF(Games[[#This Row],[Type]]="R",IF(Games[[#This Row],[Result]]&gt;0.5,1,0),0)</f>
        <v>0</v>
      </c>
      <c r="AD257" s="2">
        <f>IF(Games[[#This Row],[Type]]="R",IF(Games[[#This Row],[Result]]&lt;0.5,1,0),0)</f>
        <v>1</v>
      </c>
      <c r="AE257" s="2">
        <f>IF(AND(Games[[#This Row],[Type]]="P",Games[[#This Row],[Round]]=1),IF(Games[[#This Row],[Result]]&gt;0.5,1,0),0)</f>
        <v>0</v>
      </c>
      <c r="AF257" s="2">
        <f>IF(AND(Games[[#This Row],[Type]]="P",Games[[#This Row],[Round]]=1),IF(Games[[#This Row],[Result]]&lt;0.5,1,0),0)</f>
        <v>0</v>
      </c>
      <c r="AG257" s="2">
        <f>IF(AND(Games[[#This Row],[Type]]="P",Games[[#This Row],[Round]]=2),IF(Games[[#This Row],[Result]]&gt;0.5,1,0),0)</f>
        <v>0</v>
      </c>
      <c r="AH257" s="2">
        <f>IF(AND(Games[[#This Row],[Type]]="P",Games[[#This Row],[Round]]=2),IF(Games[[#This Row],[Result]]&lt;0.5,1,0),0)</f>
        <v>0</v>
      </c>
      <c r="AI257" s="2">
        <f>IF(AND(Games[[#This Row],[Type]]="P",Games[[#This Row],[Round]]=3),IF(Games[[#This Row],[Result]]&gt;0.5,1,0),0)</f>
        <v>0</v>
      </c>
      <c r="AJ257" s="2">
        <f>IF(AND(Games[[#This Row],[Type]]="P",Games[[#This Row],[Round]]=3),IF(Games[[#This Row],[Result]]&lt;0.5,1,0),0)</f>
        <v>0</v>
      </c>
      <c r="AK257" s="2">
        <f>IF(AND(Games[[#This Row],[Type]]="P",Games[[#This Row],[Round]]=4),IF(Games[[#This Row],[Result]]&gt;0.5,1,0),0)</f>
        <v>0</v>
      </c>
      <c r="AL257" s="2">
        <f>IF(AND(Games[[#This Row],[Type]]="P",Games[[#This Row],[Round]]=4),IF(Games[[#This Row],[Result]]&lt;0.5,1,0),0)</f>
        <v>0</v>
      </c>
    </row>
    <row r="258" spans="1:38" x14ac:dyDescent="0.35">
      <c r="A258" s="10">
        <v>40383</v>
      </c>
      <c r="B258" s="2">
        <v>2010</v>
      </c>
      <c r="C258" s="2">
        <f>COUNTIFS(Games[Team],Games[[#This Row],[Team]],Games[Season],Games[[#This Row],[Season]],Games[Date],"&lt;=" &amp; Games[[#This Row],[Date]])</f>
        <v>23</v>
      </c>
      <c r="D258" s="2" t="s">
        <v>23</v>
      </c>
      <c r="E258" s="2" t="s">
        <v>29</v>
      </c>
      <c r="F258" s="1" t="s">
        <v>67</v>
      </c>
      <c r="G258" s="1" t="s">
        <v>80</v>
      </c>
      <c r="H258" s="1" t="s">
        <v>16</v>
      </c>
      <c r="I258" s="2" cm="1">
        <f t="array" ref="I25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8" s="2" cm="1">
        <f t="array" ref="J25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58" s="2">
        <f>Games[[#This Row],[DaysOff]]-Games[[#This Row],[OppDaysOff]]</f>
        <v>-2</v>
      </c>
      <c r="L258" s="2">
        <f>Games[[#This Row],[OppDaysOff]]-Games[[#This Row],[DaysOff]]</f>
        <v>2</v>
      </c>
      <c r="M258" s="1">
        <f>MAX(-16, MIN(16, Games[[#This Row],[RestDiff]]*8))</f>
        <v>-16</v>
      </c>
      <c r="N258" s="1">
        <f>MAX(-16, MIN(16, Games[[#This Row],[OppRestDiff]]*8))</f>
        <v>16</v>
      </c>
      <c r="O258" s="4" cm="1">
        <f t="array" ref="O2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1415.8625080818406</v>
      </c>
      <c r="P258" s="4" cm="1">
        <f t="array" ref="P2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1521.0510371271782</v>
      </c>
      <c r="Q258" s="4">
        <f>1/(1+10^(((Games[[#This Row],[OppPreGmRate]]+IF(Games[[#This Row],[HomeAway]]="A",HCA,0)+Games[[#This Row],[OppRestAdj]])-(Games[[#This Row],[PreGmRate]]+IF(Games[[#This Row],[HomeAway]]="H",HCA,0)+Games[[#This Row],[RestAdj]]))/400))</f>
        <v>0.21869910242254206</v>
      </c>
      <c r="R258" s="1">
        <v>89</v>
      </c>
      <c r="S258" s="1">
        <v>80</v>
      </c>
      <c r="T258" s="1">
        <v>0</v>
      </c>
      <c r="U258" s="1">
        <f>Games[[#This Row],[PointsFor]]-Games[[#This Row],[PointsAgainst]]</f>
        <v>9</v>
      </c>
      <c r="V258" s="1">
        <f>IF(Games[[#This Row],[MOV]]&gt;0,1,IF(Games[[#This Row],[MOV]]=0,0.5,0))</f>
        <v>1</v>
      </c>
      <c r="W258" s="4">
        <f>((ABS(Games[[#This Row],[MOV]])+5)^0.6)/(12+0.01*(ABS(Games[[#This Row],[PreGmRate]]-Games[[#This Row],[OppPreGmRate]])))*IF(Games[[#This Row],[OT]]=1,0.9,1)</f>
        <v>0.37325322873701794</v>
      </c>
      <c r="X258" s="7" cm="1">
        <f t="array" ref="X25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8" s="9">
        <f>MAX(kmin, kmax - 0.15 * MIN(Games[[#This Row],[GamesPlayed]], 82))</f>
        <v>72.55</v>
      </c>
      <c r="Z258" s="4">
        <f>Games[[#This Row],[K]]*Games[[#This Row],[POMult]]</f>
        <v>72.55</v>
      </c>
      <c r="AA258" s="4">
        <f>(Games[[#This Row],[Keff]]*Games[[#This Row],[MOVMult]])*(Games[[#This Row],[Result]]-Games[[#This Row],[ExpectedWin%]])</f>
        <v>21.157254645235728</v>
      </c>
      <c r="AB258" s="4">
        <f>Games[[#This Row],[PreGmRate]]+Games[[#This Row],[RatingChange]]</f>
        <v>1437.0197627270763</v>
      </c>
      <c r="AC258" s="2">
        <f>IF(Games[[#This Row],[Type]]="R",IF(Games[[#This Row],[Result]]&gt;0.5,1,0),0)</f>
        <v>1</v>
      </c>
      <c r="AD258" s="2">
        <f>IF(Games[[#This Row],[Type]]="R",IF(Games[[#This Row],[Result]]&lt;0.5,1,0),0)</f>
        <v>0</v>
      </c>
      <c r="AE258" s="2">
        <f>IF(AND(Games[[#This Row],[Type]]="P",Games[[#This Row],[Round]]=1),IF(Games[[#This Row],[Result]]&gt;0.5,1,0),0)</f>
        <v>0</v>
      </c>
      <c r="AF258" s="2">
        <f>IF(AND(Games[[#This Row],[Type]]="P",Games[[#This Row],[Round]]=1),IF(Games[[#This Row],[Result]]&lt;0.5,1,0),0)</f>
        <v>0</v>
      </c>
      <c r="AG258" s="2">
        <f>IF(AND(Games[[#This Row],[Type]]="P",Games[[#This Row],[Round]]=2),IF(Games[[#This Row],[Result]]&gt;0.5,1,0),0)</f>
        <v>0</v>
      </c>
      <c r="AH258" s="2">
        <f>IF(AND(Games[[#This Row],[Type]]="P",Games[[#This Row],[Round]]=2),IF(Games[[#This Row],[Result]]&lt;0.5,1,0),0)</f>
        <v>0</v>
      </c>
      <c r="AI258" s="2">
        <f>IF(AND(Games[[#This Row],[Type]]="P",Games[[#This Row],[Round]]=3),IF(Games[[#This Row],[Result]]&gt;0.5,1,0),0)</f>
        <v>0</v>
      </c>
      <c r="AJ258" s="2">
        <f>IF(AND(Games[[#This Row],[Type]]="P",Games[[#This Row],[Round]]=3),IF(Games[[#This Row],[Result]]&lt;0.5,1,0),0)</f>
        <v>0</v>
      </c>
      <c r="AK258" s="2">
        <f>IF(AND(Games[[#This Row],[Type]]="P",Games[[#This Row],[Round]]=4),IF(Games[[#This Row],[Result]]&gt;0.5,1,0),0)</f>
        <v>0</v>
      </c>
      <c r="AL258" s="2">
        <f>IF(AND(Games[[#This Row],[Type]]="P",Games[[#This Row],[Round]]=4),IF(Games[[#This Row],[Result]]&lt;0.5,1,0),0)</f>
        <v>0</v>
      </c>
    </row>
    <row r="259" spans="1:38" x14ac:dyDescent="0.35">
      <c r="A259" s="10">
        <v>40383</v>
      </c>
      <c r="B259" s="2">
        <v>2010</v>
      </c>
      <c r="C259" s="2">
        <f>COUNTIFS(Games[Team],Games[[#This Row],[Team]],Games[Season],Games[[#This Row],[Season]],Games[Date],"&lt;=" &amp; Games[[#This Row],[Date]])</f>
        <v>22</v>
      </c>
      <c r="D259" s="2" t="s">
        <v>23</v>
      </c>
      <c r="E259" s="2" t="s">
        <v>29</v>
      </c>
      <c r="F259" s="1" t="s">
        <v>80</v>
      </c>
      <c r="G259" s="1" t="s">
        <v>67</v>
      </c>
      <c r="H259" s="1" t="s">
        <v>15</v>
      </c>
      <c r="I259" s="2" cm="1">
        <f t="array" ref="I259">IFERROR(
    Games[[#This Row],[Date]]
    - LOOKUP(
        2,
        1/((Games[Team]=Games[[#This Row],[Team]]) * (Games[Date] &lt; Games[[#This Row],[Date]])),
        Games[Date]
    )
    - 1,
Games[[#This Row],[Date]]-$A$2)</f>
        <v>3</v>
      </c>
      <c r="J259" s="2" cm="1">
        <f t="array" ref="J25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9" s="2">
        <f>Games[[#This Row],[DaysOff]]-Games[[#This Row],[OppDaysOff]]</f>
        <v>2</v>
      </c>
      <c r="L259" s="2">
        <f>Games[[#This Row],[OppDaysOff]]-Games[[#This Row],[DaysOff]]</f>
        <v>-2</v>
      </c>
      <c r="M259" s="1">
        <f>MAX(-16, MIN(16, Games[[#This Row],[RestDiff]]*8))</f>
        <v>16</v>
      </c>
      <c r="N259" s="1">
        <f>MAX(-16, MIN(16, Games[[#This Row],[OppRestDiff]]*8))</f>
        <v>-16</v>
      </c>
      <c r="O259" s="4" cm="1">
        <f t="array" ref="O2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1521.0510371271782</v>
      </c>
      <c r="P259" s="4" cm="1">
        <f t="array" ref="P2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1415.8625080818406</v>
      </c>
      <c r="Q259" s="4">
        <f>1/(1+10^(((Games[[#This Row],[OppPreGmRate]]+IF(Games[[#This Row],[HomeAway]]="A",HCA,0)+Games[[#This Row],[OppRestAdj]])-(Games[[#This Row],[PreGmRate]]+IF(Games[[#This Row],[HomeAway]]="H",HCA,0)+Games[[#This Row],[RestAdj]]))/400))</f>
        <v>0.78130089757745791</v>
      </c>
      <c r="R259" s="1">
        <v>80</v>
      </c>
      <c r="S259" s="1">
        <v>89</v>
      </c>
      <c r="T259" s="1">
        <v>0</v>
      </c>
      <c r="U259" s="1">
        <f>Games[[#This Row],[PointsFor]]-Games[[#This Row],[PointsAgainst]]</f>
        <v>-9</v>
      </c>
      <c r="V259" s="1">
        <f>IF(Games[[#This Row],[MOV]]&gt;0,1,IF(Games[[#This Row],[MOV]]=0,0.5,0))</f>
        <v>0</v>
      </c>
      <c r="W259" s="4">
        <f>((ABS(Games[[#This Row],[MOV]])+5)^0.6)/(12+0.01*(ABS(Games[[#This Row],[PreGmRate]]-Games[[#This Row],[OppPreGmRate]])))*IF(Games[[#This Row],[OT]]=1,0.9,1)</f>
        <v>0.37325322873701794</v>
      </c>
      <c r="X259" s="7" cm="1">
        <f t="array" ref="X25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9" s="9">
        <f>MAX(kmin, kmax - 0.15 * MIN(Games[[#This Row],[GamesPlayed]], 82))</f>
        <v>72.7</v>
      </c>
      <c r="Z259" s="4">
        <f>Games[[#This Row],[K]]*Games[[#This Row],[POMult]]</f>
        <v>72.7</v>
      </c>
      <c r="AA259" s="4">
        <f>(Games[[#This Row],[Keff]]*Games[[#This Row],[MOVMult]])*(Games[[#This Row],[Result]]-Games[[#This Row],[ExpectedWin%]])</f>
        <v>-21.200998107631118</v>
      </c>
      <c r="AB259" s="4">
        <f>Games[[#This Row],[PreGmRate]]+Games[[#This Row],[RatingChange]]</f>
        <v>1499.850039019547</v>
      </c>
      <c r="AC259" s="2">
        <f>IF(Games[[#This Row],[Type]]="R",IF(Games[[#This Row],[Result]]&gt;0.5,1,0),0)</f>
        <v>0</v>
      </c>
      <c r="AD259" s="2">
        <f>IF(Games[[#This Row],[Type]]="R",IF(Games[[#This Row],[Result]]&lt;0.5,1,0),0)</f>
        <v>1</v>
      </c>
      <c r="AE259" s="2">
        <f>IF(AND(Games[[#This Row],[Type]]="P",Games[[#This Row],[Round]]=1),IF(Games[[#This Row],[Result]]&gt;0.5,1,0),0)</f>
        <v>0</v>
      </c>
      <c r="AF259" s="2">
        <f>IF(AND(Games[[#This Row],[Type]]="P",Games[[#This Row],[Round]]=1),IF(Games[[#This Row],[Result]]&lt;0.5,1,0),0)</f>
        <v>0</v>
      </c>
      <c r="AG259" s="2">
        <f>IF(AND(Games[[#This Row],[Type]]="P",Games[[#This Row],[Round]]=2),IF(Games[[#This Row],[Result]]&gt;0.5,1,0),0)</f>
        <v>0</v>
      </c>
      <c r="AH259" s="2">
        <f>IF(AND(Games[[#This Row],[Type]]="P",Games[[#This Row],[Round]]=2),IF(Games[[#This Row],[Result]]&lt;0.5,1,0),0)</f>
        <v>0</v>
      </c>
      <c r="AI259" s="2">
        <f>IF(AND(Games[[#This Row],[Type]]="P",Games[[#This Row],[Round]]=3),IF(Games[[#This Row],[Result]]&gt;0.5,1,0),0)</f>
        <v>0</v>
      </c>
      <c r="AJ259" s="2">
        <f>IF(AND(Games[[#This Row],[Type]]="P",Games[[#This Row],[Round]]=3),IF(Games[[#This Row],[Result]]&lt;0.5,1,0),0)</f>
        <v>0</v>
      </c>
      <c r="AK259" s="2">
        <f>IF(AND(Games[[#This Row],[Type]]="P",Games[[#This Row],[Round]]=4),IF(Games[[#This Row],[Result]]&gt;0.5,1,0),0)</f>
        <v>0</v>
      </c>
      <c r="AL259" s="2">
        <f>IF(AND(Games[[#This Row],[Type]]="P",Games[[#This Row],[Round]]=4),IF(Games[[#This Row],[Result]]&lt;0.5,1,0),0)</f>
        <v>0</v>
      </c>
    </row>
    <row r="260" spans="1:38" x14ac:dyDescent="0.35">
      <c r="A260" s="10">
        <v>40383</v>
      </c>
      <c r="B260" s="2">
        <v>2010</v>
      </c>
      <c r="C260" s="2">
        <f>COUNTIFS(Games[Team],Games[[#This Row],[Team]],Games[Season],Games[[#This Row],[Season]],Games[Date],"&lt;=" &amp; Games[[#This Row],[Date]])</f>
        <v>22</v>
      </c>
      <c r="D260" s="2" t="s">
        <v>23</v>
      </c>
      <c r="E260" s="2" t="s">
        <v>29</v>
      </c>
      <c r="F260" s="1" t="s">
        <v>44</v>
      </c>
      <c r="G260" s="1" t="s">
        <v>71</v>
      </c>
      <c r="H260" s="1" t="s">
        <v>16</v>
      </c>
      <c r="I260" s="2" cm="1">
        <f t="array" ref="I26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0" s="2" cm="1">
        <f t="array" ref="J26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0" s="2">
        <f>Games[[#This Row],[DaysOff]]-Games[[#This Row],[OppDaysOff]]</f>
        <v>0</v>
      </c>
      <c r="L260" s="2">
        <f>Games[[#This Row],[OppDaysOff]]-Games[[#This Row],[DaysOff]]</f>
        <v>0</v>
      </c>
      <c r="M260" s="1">
        <f>MAX(-16, MIN(16, Games[[#This Row],[RestDiff]]*8))</f>
        <v>0</v>
      </c>
      <c r="N260" s="1">
        <f>MAX(-16, MIN(16, Games[[#This Row],[OppRestDiff]]*8))</f>
        <v>0</v>
      </c>
      <c r="O260" s="4" cm="1">
        <f t="array" ref="O2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1530.9430178719583</v>
      </c>
      <c r="P260" s="4" cm="1">
        <f t="array" ref="P2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1419.9835428067665</v>
      </c>
      <c r="Q260" s="4">
        <f>1/(1+10^(((Games[[#This Row],[OppPreGmRate]]+IF(Games[[#This Row],[HomeAway]]="A",HCA,0)+Games[[#This Row],[OppRestAdj]])-(Games[[#This Row],[PreGmRate]]+IF(Games[[#This Row],[HomeAway]]="H",HCA,0)+Games[[#This Row],[RestAdj]]))/400))</f>
        <v>0.53872012225677268</v>
      </c>
      <c r="R260" s="1">
        <v>127</v>
      </c>
      <c r="S260" s="1">
        <v>124</v>
      </c>
      <c r="T260" s="1">
        <v>1</v>
      </c>
      <c r="U260" s="1">
        <f>Games[[#This Row],[PointsFor]]-Games[[#This Row],[PointsAgainst]]</f>
        <v>3</v>
      </c>
      <c r="V260" s="1">
        <f>IF(Games[[#This Row],[MOV]]&gt;0,1,IF(Games[[#This Row],[MOV]]=0,0.5,0))</f>
        <v>1</v>
      </c>
      <c r="W260" s="4">
        <f>((ABS(Games[[#This Row],[MOV]])+5)^0.6)/(12+0.01*(ABS(Games[[#This Row],[PreGmRate]]-Games[[#This Row],[OppPreGmRate]])))*IF(Games[[#This Row],[OT]]=1,0.9,1)</f>
        <v>0.23906017596083198</v>
      </c>
      <c r="X260" s="7" cm="1">
        <f t="array" ref="X26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0" s="9">
        <f>MAX(kmin, kmax - 0.15 * MIN(Games[[#This Row],[GamesPlayed]], 82))</f>
        <v>72.7</v>
      </c>
      <c r="Z260" s="4">
        <f>Games[[#This Row],[K]]*Games[[#This Row],[POMult]]</f>
        <v>72.7</v>
      </c>
      <c r="AA260" s="4">
        <f>(Games[[#This Row],[Keff]]*Games[[#This Row],[MOVMult]])*(Games[[#This Row],[Result]]-Games[[#This Row],[ExpectedWin%]])</f>
        <v>8.0168942634334037</v>
      </c>
      <c r="AB260" s="4">
        <f>Games[[#This Row],[PreGmRate]]+Games[[#This Row],[RatingChange]]</f>
        <v>1538.9599121353917</v>
      </c>
      <c r="AC260" s="2">
        <f>IF(Games[[#This Row],[Type]]="R",IF(Games[[#This Row],[Result]]&gt;0.5,1,0),0)</f>
        <v>1</v>
      </c>
      <c r="AD260" s="2">
        <f>IF(Games[[#This Row],[Type]]="R",IF(Games[[#This Row],[Result]]&lt;0.5,1,0),0)</f>
        <v>0</v>
      </c>
      <c r="AE260" s="2">
        <f>IF(AND(Games[[#This Row],[Type]]="P",Games[[#This Row],[Round]]=1),IF(Games[[#This Row],[Result]]&gt;0.5,1,0),0)</f>
        <v>0</v>
      </c>
      <c r="AF260" s="2">
        <f>IF(AND(Games[[#This Row],[Type]]="P",Games[[#This Row],[Round]]=1),IF(Games[[#This Row],[Result]]&lt;0.5,1,0),0)</f>
        <v>0</v>
      </c>
      <c r="AG260" s="2">
        <f>IF(AND(Games[[#This Row],[Type]]="P",Games[[#This Row],[Round]]=2),IF(Games[[#This Row],[Result]]&gt;0.5,1,0),0)</f>
        <v>0</v>
      </c>
      <c r="AH260" s="2">
        <f>IF(AND(Games[[#This Row],[Type]]="P",Games[[#This Row],[Round]]=2),IF(Games[[#This Row],[Result]]&lt;0.5,1,0),0)</f>
        <v>0</v>
      </c>
      <c r="AI260" s="2">
        <f>IF(AND(Games[[#This Row],[Type]]="P",Games[[#This Row],[Round]]=3),IF(Games[[#This Row],[Result]]&gt;0.5,1,0),0)</f>
        <v>0</v>
      </c>
      <c r="AJ260" s="2">
        <f>IF(AND(Games[[#This Row],[Type]]="P",Games[[#This Row],[Round]]=3),IF(Games[[#This Row],[Result]]&lt;0.5,1,0),0)</f>
        <v>0</v>
      </c>
      <c r="AK260" s="2">
        <f>IF(AND(Games[[#This Row],[Type]]="P",Games[[#This Row],[Round]]=4),IF(Games[[#This Row],[Result]]&gt;0.5,1,0),0)</f>
        <v>0</v>
      </c>
      <c r="AL260" s="2">
        <f>IF(AND(Games[[#This Row],[Type]]="P",Games[[#This Row],[Round]]=4),IF(Games[[#This Row],[Result]]&lt;0.5,1,0),0)</f>
        <v>0</v>
      </c>
    </row>
    <row r="261" spans="1:38" x14ac:dyDescent="0.35">
      <c r="A261" s="10">
        <v>40383</v>
      </c>
      <c r="B261" s="2">
        <v>2010</v>
      </c>
      <c r="C261" s="2">
        <f>COUNTIFS(Games[Team],Games[[#This Row],[Team]],Games[Season],Games[[#This Row],[Season]],Games[Date],"&lt;=" &amp; Games[[#This Row],[Date]])</f>
        <v>21</v>
      </c>
      <c r="D261" s="2" t="s">
        <v>23</v>
      </c>
      <c r="E261" s="2" t="s">
        <v>29</v>
      </c>
      <c r="F261" s="1" t="s">
        <v>71</v>
      </c>
      <c r="G261" s="1" t="s">
        <v>44</v>
      </c>
      <c r="H261" s="1" t="s">
        <v>15</v>
      </c>
      <c r="I261" s="2" cm="1">
        <f t="array" ref="I26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1" s="2" cm="1">
        <f t="array" ref="J26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1" s="2">
        <f>Games[[#This Row],[DaysOff]]-Games[[#This Row],[OppDaysOff]]</f>
        <v>0</v>
      </c>
      <c r="L261" s="2">
        <f>Games[[#This Row],[OppDaysOff]]-Games[[#This Row],[DaysOff]]</f>
        <v>0</v>
      </c>
      <c r="M261" s="1">
        <f>MAX(-16, MIN(16, Games[[#This Row],[RestDiff]]*8))</f>
        <v>0</v>
      </c>
      <c r="N261" s="1">
        <f>MAX(-16, MIN(16, Games[[#This Row],[OppRestDiff]]*8))</f>
        <v>0</v>
      </c>
      <c r="O261" s="4" cm="1">
        <f t="array" ref="O2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1419.9835428067665</v>
      </c>
      <c r="P261" s="4" cm="1">
        <f t="array" ref="P2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1530.9430178719583</v>
      </c>
      <c r="Q261" s="4">
        <f>1/(1+10^(((Games[[#This Row],[OppPreGmRate]]+IF(Games[[#This Row],[HomeAway]]="A",HCA,0)+Games[[#This Row],[OppRestAdj]])-(Games[[#This Row],[PreGmRate]]+IF(Games[[#This Row],[HomeAway]]="H",HCA,0)+Games[[#This Row],[RestAdj]]))/400))</f>
        <v>0.46127987774322732</v>
      </c>
      <c r="R261" s="1">
        <v>124</v>
      </c>
      <c r="S261" s="1">
        <v>127</v>
      </c>
      <c r="T261" s="1">
        <v>1</v>
      </c>
      <c r="U261" s="1">
        <f>Games[[#This Row],[PointsFor]]-Games[[#This Row],[PointsAgainst]]</f>
        <v>-3</v>
      </c>
      <c r="V261" s="1">
        <f>IF(Games[[#This Row],[MOV]]&gt;0,1,IF(Games[[#This Row],[MOV]]=0,0.5,0))</f>
        <v>0</v>
      </c>
      <c r="W261" s="4">
        <f>((ABS(Games[[#This Row],[MOV]])+5)^0.6)/(12+0.01*(ABS(Games[[#This Row],[PreGmRate]]-Games[[#This Row],[OppPreGmRate]])))*IF(Games[[#This Row],[OT]]=1,0.9,1)</f>
        <v>0.23906017596083198</v>
      </c>
      <c r="X261" s="7" cm="1">
        <f t="array" ref="X26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1" s="9">
        <f>MAX(kmin, kmax - 0.15 * MIN(Games[[#This Row],[GamesPlayed]], 82))</f>
        <v>72.849999999999994</v>
      </c>
      <c r="Z261" s="4">
        <f>Games[[#This Row],[K]]*Games[[#This Row],[POMult]]</f>
        <v>72.849999999999994</v>
      </c>
      <c r="AA261" s="4">
        <f>(Games[[#This Row],[Keff]]*Games[[#This Row],[MOVMult]])*(Games[[#This Row],[Result]]-Games[[#This Row],[ExpectedWin%]])</f>
        <v>-8.0334353107444763</v>
      </c>
      <c r="AB261" s="4">
        <f>Games[[#This Row],[PreGmRate]]+Games[[#This Row],[RatingChange]]</f>
        <v>1411.9501074960222</v>
      </c>
      <c r="AC261" s="2">
        <f>IF(Games[[#This Row],[Type]]="R",IF(Games[[#This Row],[Result]]&gt;0.5,1,0),0)</f>
        <v>0</v>
      </c>
      <c r="AD261" s="2">
        <f>IF(Games[[#This Row],[Type]]="R",IF(Games[[#This Row],[Result]]&lt;0.5,1,0),0)</f>
        <v>1</v>
      </c>
      <c r="AE261" s="2">
        <f>IF(AND(Games[[#This Row],[Type]]="P",Games[[#This Row],[Round]]=1),IF(Games[[#This Row],[Result]]&gt;0.5,1,0),0)</f>
        <v>0</v>
      </c>
      <c r="AF261" s="2">
        <f>IF(AND(Games[[#This Row],[Type]]="P",Games[[#This Row],[Round]]=1),IF(Games[[#This Row],[Result]]&lt;0.5,1,0),0)</f>
        <v>0</v>
      </c>
      <c r="AG261" s="2">
        <f>IF(AND(Games[[#This Row],[Type]]="P",Games[[#This Row],[Round]]=2),IF(Games[[#This Row],[Result]]&gt;0.5,1,0),0)</f>
        <v>0</v>
      </c>
      <c r="AH261" s="2">
        <f>IF(AND(Games[[#This Row],[Type]]="P",Games[[#This Row],[Round]]=2),IF(Games[[#This Row],[Result]]&lt;0.5,1,0),0)</f>
        <v>0</v>
      </c>
      <c r="AI261" s="2">
        <f>IF(AND(Games[[#This Row],[Type]]="P",Games[[#This Row],[Round]]=3),IF(Games[[#This Row],[Result]]&gt;0.5,1,0),0)</f>
        <v>0</v>
      </c>
      <c r="AJ261" s="2">
        <f>IF(AND(Games[[#This Row],[Type]]="P",Games[[#This Row],[Round]]=3),IF(Games[[#This Row],[Result]]&lt;0.5,1,0),0)</f>
        <v>0</v>
      </c>
      <c r="AK261" s="2">
        <f>IF(AND(Games[[#This Row],[Type]]="P",Games[[#This Row],[Round]]=4),IF(Games[[#This Row],[Result]]&gt;0.5,1,0),0)</f>
        <v>0</v>
      </c>
      <c r="AL261" s="2">
        <f>IF(AND(Games[[#This Row],[Type]]="P",Games[[#This Row],[Round]]=4),IF(Games[[#This Row],[Result]]&lt;0.5,1,0),0)</f>
        <v>0</v>
      </c>
    </row>
    <row r="262" spans="1:38" x14ac:dyDescent="0.35">
      <c r="A262" s="10">
        <v>40383</v>
      </c>
      <c r="B262" s="2">
        <v>2010</v>
      </c>
      <c r="C262" s="2">
        <f>COUNTIFS(Games[Team],Games[[#This Row],[Team]],Games[Season],Games[[#This Row],[Season]],Games[Date],"&lt;=" &amp; Games[[#This Row],[Date]])</f>
        <v>24</v>
      </c>
      <c r="D262" s="2" t="s">
        <v>23</v>
      </c>
      <c r="E262" s="2" t="s">
        <v>29</v>
      </c>
      <c r="F262" s="1" t="s">
        <v>81</v>
      </c>
      <c r="G262" s="1" t="s">
        <v>78</v>
      </c>
      <c r="H262" s="1" t="s">
        <v>16</v>
      </c>
      <c r="I262" s="2" cm="1">
        <f t="array" ref="I262">IFERROR(
    Games[[#This Row],[Date]]
    - LOOKUP(
        2,
        1/((Games[Team]=Games[[#This Row],[Team]]) * (Games[Date] &lt; Games[[#This Row],[Date]])),
        Games[Date]
    )
    - 1,
Games[[#This Row],[Date]]-$A$2)</f>
        <v>0</v>
      </c>
      <c r="J262" s="2" cm="1">
        <f t="array" ref="J26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2" s="2">
        <f>Games[[#This Row],[DaysOff]]-Games[[#This Row],[OppDaysOff]]</f>
        <v>-1</v>
      </c>
      <c r="L262" s="2">
        <f>Games[[#This Row],[OppDaysOff]]-Games[[#This Row],[DaysOff]]</f>
        <v>1</v>
      </c>
      <c r="M262" s="1">
        <f>MAX(-16, MIN(16, Games[[#This Row],[RestDiff]]*8))</f>
        <v>-8</v>
      </c>
      <c r="N262" s="1">
        <f>MAX(-16, MIN(16, Games[[#This Row],[OppRestDiff]]*8))</f>
        <v>8</v>
      </c>
      <c r="O262" s="4" cm="1">
        <f t="array" ref="O2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1497.505411958454</v>
      </c>
      <c r="P262" s="4" cm="1">
        <f t="array" ref="P2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1431.8658233063707</v>
      </c>
      <c r="Q262" s="4">
        <f>1/(1+10^(((Games[[#This Row],[OppPreGmRate]]+IF(Games[[#This Row],[HomeAway]]="A",HCA,0)+Games[[#This Row],[OppRestAdj]])-(Games[[#This Row],[PreGmRate]]+IF(Games[[#This Row],[HomeAway]]="H",HCA,0)+Games[[#This Row],[RestAdj]]))/400))</f>
        <v>0.45071197824726011</v>
      </c>
      <c r="R262" s="1">
        <v>75</v>
      </c>
      <c r="S262" s="1">
        <v>72</v>
      </c>
      <c r="T262" s="1">
        <v>0</v>
      </c>
      <c r="U262" s="1">
        <f>Games[[#This Row],[PointsFor]]-Games[[#This Row],[PointsAgainst]]</f>
        <v>3</v>
      </c>
      <c r="V262" s="1">
        <f>IF(Games[[#This Row],[MOV]]&gt;0,1,IF(Games[[#This Row],[MOV]]=0,0.5,0))</f>
        <v>1</v>
      </c>
      <c r="W262" s="4">
        <f>((ABS(Games[[#This Row],[MOV]])+5)^0.6)/(12+0.01*(ABS(Games[[#This Row],[PreGmRate]]-Games[[#This Row],[OppPreGmRate]])))*IF(Games[[#This Row],[OT]]=1,0.9,1)</f>
        <v>0.27513379673063726</v>
      </c>
      <c r="X262" s="7" cm="1">
        <f t="array" ref="X26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2" s="9">
        <f>MAX(kmin, kmax - 0.15 * MIN(Games[[#This Row],[GamesPlayed]], 82))</f>
        <v>72.400000000000006</v>
      </c>
      <c r="Z262" s="4">
        <f>Games[[#This Row],[K]]*Games[[#This Row],[POMult]]</f>
        <v>72.400000000000006</v>
      </c>
      <c r="AA262" s="4">
        <f>(Games[[#This Row],[Keff]]*Games[[#This Row],[MOVMult]])*(Games[[#This Row],[Result]]-Games[[#This Row],[ExpectedWin%]])</f>
        <v>10.941645402060836</v>
      </c>
      <c r="AB262" s="4">
        <f>Games[[#This Row],[PreGmRate]]+Games[[#This Row],[RatingChange]]</f>
        <v>1508.4470573605149</v>
      </c>
      <c r="AC262" s="2">
        <f>IF(Games[[#This Row],[Type]]="R",IF(Games[[#This Row],[Result]]&gt;0.5,1,0),0)</f>
        <v>1</v>
      </c>
      <c r="AD262" s="2">
        <f>IF(Games[[#This Row],[Type]]="R",IF(Games[[#This Row],[Result]]&lt;0.5,1,0),0)</f>
        <v>0</v>
      </c>
      <c r="AE262" s="2">
        <f>IF(AND(Games[[#This Row],[Type]]="P",Games[[#This Row],[Round]]=1),IF(Games[[#This Row],[Result]]&gt;0.5,1,0),0)</f>
        <v>0</v>
      </c>
      <c r="AF262" s="2">
        <f>IF(AND(Games[[#This Row],[Type]]="P",Games[[#This Row],[Round]]=1),IF(Games[[#This Row],[Result]]&lt;0.5,1,0),0)</f>
        <v>0</v>
      </c>
      <c r="AG262" s="2">
        <f>IF(AND(Games[[#This Row],[Type]]="P",Games[[#This Row],[Round]]=2),IF(Games[[#This Row],[Result]]&gt;0.5,1,0),0)</f>
        <v>0</v>
      </c>
      <c r="AH262" s="2">
        <f>IF(AND(Games[[#This Row],[Type]]="P",Games[[#This Row],[Round]]=2),IF(Games[[#This Row],[Result]]&lt;0.5,1,0),0)</f>
        <v>0</v>
      </c>
      <c r="AI262" s="2">
        <f>IF(AND(Games[[#This Row],[Type]]="P",Games[[#This Row],[Round]]=3),IF(Games[[#This Row],[Result]]&gt;0.5,1,0),0)</f>
        <v>0</v>
      </c>
      <c r="AJ262" s="2">
        <f>IF(AND(Games[[#This Row],[Type]]="P",Games[[#This Row],[Round]]=3),IF(Games[[#This Row],[Result]]&lt;0.5,1,0),0)</f>
        <v>0</v>
      </c>
      <c r="AK262" s="2">
        <f>IF(AND(Games[[#This Row],[Type]]="P",Games[[#This Row],[Round]]=4),IF(Games[[#This Row],[Result]]&gt;0.5,1,0),0)</f>
        <v>0</v>
      </c>
      <c r="AL262" s="2">
        <f>IF(AND(Games[[#This Row],[Type]]="P",Games[[#This Row],[Round]]=4),IF(Games[[#This Row],[Result]]&lt;0.5,1,0),0)</f>
        <v>0</v>
      </c>
    </row>
    <row r="263" spans="1:38" x14ac:dyDescent="0.35">
      <c r="A263" s="10">
        <v>40383</v>
      </c>
      <c r="B263" s="2">
        <v>2010</v>
      </c>
      <c r="C263" s="2">
        <f>COUNTIFS(Games[Team],Games[[#This Row],[Team]],Games[Season],Games[[#This Row],[Season]],Games[Date],"&lt;=" &amp; Games[[#This Row],[Date]])</f>
        <v>22</v>
      </c>
      <c r="D263" s="2" t="s">
        <v>23</v>
      </c>
      <c r="E263" s="2" t="s">
        <v>29</v>
      </c>
      <c r="F263" s="1" t="s">
        <v>78</v>
      </c>
      <c r="G263" s="1" t="s">
        <v>81</v>
      </c>
      <c r="H263" s="1" t="s">
        <v>15</v>
      </c>
      <c r="I263" s="2" cm="1">
        <f t="array" ref="I26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3" s="2" cm="1">
        <f t="array" ref="J26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63" s="2">
        <f>Games[[#This Row],[DaysOff]]-Games[[#This Row],[OppDaysOff]]</f>
        <v>1</v>
      </c>
      <c r="L263" s="2">
        <f>Games[[#This Row],[OppDaysOff]]-Games[[#This Row],[DaysOff]]</f>
        <v>-1</v>
      </c>
      <c r="M263" s="1">
        <f>MAX(-16, MIN(16, Games[[#This Row],[RestDiff]]*8))</f>
        <v>8</v>
      </c>
      <c r="N263" s="1">
        <f>MAX(-16, MIN(16, Games[[#This Row],[OppRestDiff]]*8))</f>
        <v>-8</v>
      </c>
      <c r="O263" s="4" cm="1">
        <f t="array" ref="O2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1431.8658233063707</v>
      </c>
      <c r="P263" s="4" cm="1">
        <f t="array" ref="P2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1497.505411958454</v>
      </c>
      <c r="Q263" s="4">
        <f>1/(1+10^(((Games[[#This Row],[OppPreGmRate]]+IF(Games[[#This Row],[HomeAway]]="A",HCA,0)+Games[[#This Row],[OppRestAdj]])-(Games[[#This Row],[PreGmRate]]+IF(Games[[#This Row],[HomeAway]]="H",HCA,0)+Games[[#This Row],[RestAdj]]))/400))</f>
        <v>0.54928802175273983</v>
      </c>
      <c r="R263" s="1">
        <v>72</v>
      </c>
      <c r="S263" s="1">
        <v>75</v>
      </c>
      <c r="T263" s="1">
        <v>0</v>
      </c>
      <c r="U263" s="1">
        <f>Games[[#This Row],[PointsFor]]-Games[[#This Row],[PointsAgainst]]</f>
        <v>-3</v>
      </c>
      <c r="V263" s="1">
        <f>IF(Games[[#This Row],[MOV]]&gt;0,1,IF(Games[[#This Row],[MOV]]=0,0.5,0))</f>
        <v>0</v>
      </c>
      <c r="W263" s="4">
        <f>((ABS(Games[[#This Row],[MOV]])+5)^0.6)/(12+0.01*(ABS(Games[[#This Row],[PreGmRate]]-Games[[#This Row],[OppPreGmRate]])))*IF(Games[[#This Row],[OT]]=1,0.9,1)</f>
        <v>0.27513379673063726</v>
      </c>
      <c r="X263" s="7" cm="1">
        <f t="array" ref="X26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3" s="9">
        <f>MAX(kmin, kmax - 0.15 * MIN(Games[[#This Row],[GamesPlayed]], 82))</f>
        <v>72.7</v>
      </c>
      <c r="Z263" s="4">
        <f>Games[[#This Row],[K]]*Games[[#This Row],[POMult]]</f>
        <v>72.7</v>
      </c>
      <c r="AA263" s="4">
        <f>(Games[[#This Row],[Keff]]*Games[[#This Row],[MOVMult]])*(Games[[#This Row],[Result]]-Games[[#This Row],[ExpectedWin%]])</f>
        <v>-10.986983711737881</v>
      </c>
      <c r="AB263" s="4">
        <f>Games[[#This Row],[PreGmRate]]+Games[[#This Row],[RatingChange]]</f>
        <v>1420.8788395946328</v>
      </c>
      <c r="AC263" s="2">
        <f>IF(Games[[#This Row],[Type]]="R",IF(Games[[#This Row],[Result]]&gt;0.5,1,0),0)</f>
        <v>0</v>
      </c>
      <c r="AD263" s="2">
        <f>IF(Games[[#This Row],[Type]]="R",IF(Games[[#This Row],[Result]]&lt;0.5,1,0),0)</f>
        <v>1</v>
      </c>
      <c r="AE263" s="2">
        <f>IF(AND(Games[[#This Row],[Type]]="P",Games[[#This Row],[Round]]=1),IF(Games[[#This Row],[Result]]&gt;0.5,1,0),0)</f>
        <v>0</v>
      </c>
      <c r="AF263" s="2">
        <f>IF(AND(Games[[#This Row],[Type]]="P",Games[[#This Row],[Round]]=1),IF(Games[[#This Row],[Result]]&lt;0.5,1,0),0)</f>
        <v>0</v>
      </c>
      <c r="AG263" s="2">
        <f>IF(AND(Games[[#This Row],[Type]]="P",Games[[#This Row],[Round]]=2),IF(Games[[#This Row],[Result]]&gt;0.5,1,0),0)</f>
        <v>0</v>
      </c>
      <c r="AH263" s="2">
        <f>IF(AND(Games[[#This Row],[Type]]="P",Games[[#This Row],[Round]]=2),IF(Games[[#This Row],[Result]]&lt;0.5,1,0),0)</f>
        <v>0</v>
      </c>
      <c r="AI263" s="2">
        <f>IF(AND(Games[[#This Row],[Type]]="P",Games[[#This Row],[Round]]=3),IF(Games[[#This Row],[Result]]&gt;0.5,1,0),0)</f>
        <v>0</v>
      </c>
      <c r="AJ263" s="2">
        <f>IF(AND(Games[[#This Row],[Type]]="P",Games[[#This Row],[Round]]=3),IF(Games[[#This Row],[Result]]&lt;0.5,1,0),0)</f>
        <v>0</v>
      </c>
      <c r="AK263" s="2">
        <f>IF(AND(Games[[#This Row],[Type]]="P",Games[[#This Row],[Round]]=4),IF(Games[[#This Row],[Result]]&gt;0.5,1,0),0)</f>
        <v>0</v>
      </c>
      <c r="AL263" s="2">
        <f>IF(AND(Games[[#This Row],[Type]]="P",Games[[#This Row],[Round]]=4),IF(Games[[#This Row],[Result]]&lt;0.5,1,0),0)</f>
        <v>0</v>
      </c>
    </row>
    <row r="264" spans="1:38" x14ac:dyDescent="0.35">
      <c r="A264" s="10">
        <v>40383</v>
      </c>
      <c r="B264" s="2">
        <v>2010</v>
      </c>
      <c r="C264" s="2">
        <f>COUNTIFS(Games[Team],Games[[#This Row],[Team]],Games[Season],Games[[#This Row],[Season]],Games[Date],"&lt;=" &amp; Games[[#This Row],[Date]])</f>
        <v>22</v>
      </c>
      <c r="D264" s="2" t="s">
        <v>23</v>
      </c>
      <c r="E264" s="2" t="s">
        <v>29</v>
      </c>
      <c r="F264" s="1" t="s">
        <v>73</v>
      </c>
      <c r="G264" s="1" t="s">
        <v>69</v>
      </c>
      <c r="H264" s="1" t="s">
        <v>16</v>
      </c>
      <c r="I264" s="2" cm="1">
        <f t="array" ref="I26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4" s="2" cm="1">
        <f t="array" ref="J26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64" s="2">
        <f>Games[[#This Row],[DaysOff]]-Games[[#This Row],[OppDaysOff]]</f>
        <v>-1</v>
      </c>
      <c r="L264" s="2">
        <f>Games[[#This Row],[OppDaysOff]]-Games[[#This Row],[DaysOff]]</f>
        <v>1</v>
      </c>
      <c r="M264" s="1">
        <f>MAX(-16, MIN(16, Games[[#This Row],[RestDiff]]*8))</f>
        <v>-8</v>
      </c>
      <c r="N264" s="1">
        <f>MAX(-16, MIN(16, Games[[#This Row],[OppRestDiff]]*8))</f>
        <v>8</v>
      </c>
      <c r="O264" s="4" cm="1">
        <f t="array" ref="O2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1603.9861483387542</v>
      </c>
      <c r="P264" s="4" cm="1">
        <f t="array" ref="P2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1552.8306302807987</v>
      </c>
      <c r="Q264" s="4">
        <f>1/(1+10^(((Games[[#This Row],[OppPreGmRate]]+IF(Games[[#This Row],[HomeAway]]="A",HCA,0)+Games[[#This Row],[OppRestAdj]])-(Games[[#This Row],[PreGmRate]]+IF(Games[[#This Row],[HomeAway]]="H",HCA,0)+Games[[#This Row],[RestAdj]]))/400))</f>
        <v>0.43016660536960594</v>
      </c>
      <c r="R264" s="1">
        <v>78</v>
      </c>
      <c r="S264" s="1">
        <v>73</v>
      </c>
      <c r="T264" s="1">
        <v>0</v>
      </c>
      <c r="U264" s="1">
        <f>Games[[#This Row],[PointsFor]]-Games[[#This Row],[PointsAgainst]]</f>
        <v>5</v>
      </c>
      <c r="V264" s="1">
        <f>IF(Games[[#This Row],[MOV]]&gt;0,1,IF(Games[[#This Row],[MOV]]=0,0.5,0))</f>
        <v>1</v>
      </c>
      <c r="W264" s="4">
        <f>((ABS(Games[[#This Row],[MOV]])+5)^0.6)/(12+0.01*(ABS(Games[[#This Row],[PreGmRate]]-Games[[#This Row],[OppPreGmRate]])))*IF(Games[[#This Row],[OT]]=1,0.9,1)</f>
        <v>0.31819159553517334</v>
      </c>
      <c r="X264" s="7" cm="1">
        <f t="array" ref="X26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4" s="9">
        <f>MAX(kmin, kmax - 0.15 * MIN(Games[[#This Row],[GamesPlayed]], 82))</f>
        <v>72.7</v>
      </c>
      <c r="Z264" s="4">
        <f>Games[[#This Row],[K]]*Games[[#This Row],[POMult]]</f>
        <v>72.7</v>
      </c>
      <c r="AA264" s="4">
        <f>(Games[[#This Row],[Keff]]*Games[[#This Row],[MOVMult]])*(Games[[#This Row],[Result]]-Games[[#This Row],[ExpectedWin%]])</f>
        <v>13.18168752383885</v>
      </c>
      <c r="AB264" s="4">
        <f>Games[[#This Row],[PreGmRate]]+Games[[#This Row],[RatingChange]]</f>
        <v>1617.1678358625932</v>
      </c>
      <c r="AC264" s="2">
        <f>IF(Games[[#This Row],[Type]]="R",IF(Games[[#This Row],[Result]]&gt;0.5,1,0),0)</f>
        <v>1</v>
      </c>
      <c r="AD264" s="2">
        <f>IF(Games[[#This Row],[Type]]="R",IF(Games[[#This Row],[Result]]&lt;0.5,1,0),0)</f>
        <v>0</v>
      </c>
      <c r="AE264" s="2">
        <f>IF(AND(Games[[#This Row],[Type]]="P",Games[[#This Row],[Round]]=1),IF(Games[[#This Row],[Result]]&gt;0.5,1,0),0)</f>
        <v>0</v>
      </c>
      <c r="AF264" s="2">
        <f>IF(AND(Games[[#This Row],[Type]]="P",Games[[#This Row],[Round]]=1),IF(Games[[#This Row],[Result]]&lt;0.5,1,0),0)</f>
        <v>0</v>
      </c>
      <c r="AG264" s="2">
        <f>IF(AND(Games[[#This Row],[Type]]="P",Games[[#This Row],[Round]]=2),IF(Games[[#This Row],[Result]]&gt;0.5,1,0),0)</f>
        <v>0</v>
      </c>
      <c r="AH264" s="2">
        <f>IF(AND(Games[[#This Row],[Type]]="P",Games[[#This Row],[Round]]=2),IF(Games[[#This Row],[Result]]&lt;0.5,1,0),0)</f>
        <v>0</v>
      </c>
      <c r="AI264" s="2">
        <f>IF(AND(Games[[#This Row],[Type]]="P",Games[[#This Row],[Round]]=3),IF(Games[[#This Row],[Result]]&gt;0.5,1,0),0)</f>
        <v>0</v>
      </c>
      <c r="AJ264" s="2">
        <f>IF(AND(Games[[#This Row],[Type]]="P",Games[[#This Row],[Round]]=3),IF(Games[[#This Row],[Result]]&lt;0.5,1,0),0)</f>
        <v>0</v>
      </c>
      <c r="AK264" s="2">
        <f>IF(AND(Games[[#This Row],[Type]]="P",Games[[#This Row],[Round]]=4),IF(Games[[#This Row],[Result]]&gt;0.5,1,0),0)</f>
        <v>0</v>
      </c>
      <c r="AL264" s="2">
        <f>IF(AND(Games[[#This Row],[Type]]="P",Games[[#This Row],[Round]]=4),IF(Games[[#This Row],[Result]]&lt;0.5,1,0),0)</f>
        <v>0</v>
      </c>
    </row>
    <row r="265" spans="1:38" x14ac:dyDescent="0.35">
      <c r="A265" s="10">
        <v>40383</v>
      </c>
      <c r="B265" s="2">
        <v>2010</v>
      </c>
      <c r="C265" s="2">
        <f>COUNTIFS(Games[Team],Games[[#This Row],[Team]],Games[Season],Games[[#This Row],[Season]],Games[Date],"&lt;=" &amp; Games[[#This Row],[Date]])</f>
        <v>21</v>
      </c>
      <c r="D265" s="2" t="s">
        <v>23</v>
      </c>
      <c r="E265" s="2" t="s">
        <v>29</v>
      </c>
      <c r="F265" s="1" t="s">
        <v>69</v>
      </c>
      <c r="G265" s="1" t="s">
        <v>73</v>
      </c>
      <c r="H265" s="1" t="s">
        <v>15</v>
      </c>
      <c r="I265" s="2" cm="1">
        <f t="array" ref="I265">IFERROR(
    Games[[#This Row],[Date]]
    - LOOKUP(
        2,
        1/((Games[Team]=Games[[#This Row],[Team]]) * (Games[Date] &lt; Games[[#This Row],[Date]])),
        Games[Date]
    )
    - 1,
Games[[#This Row],[Date]]-$A$2)</f>
        <v>2</v>
      </c>
      <c r="J265" s="2" cm="1">
        <f t="array" ref="J26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5" s="2">
        <f>Games[[#This Row],[DaysOff]]-Games[[#This Row],[OppDaysOff]]</f>
        <v>1</v>
      </c>
      <c r="L265" s="2">
        <f>Games[[#This Row],[OppDaysOff]]-Games[[#This Row],[DaysOff]]</f>
        <v>-1</v>
      </c>
      <c r="M265" s="1">
        <f>MAX(-16, MIN(16, Games[[#This Row],[RestDiff]]*8))</f>
        <v>8</v>
      </c>
      <c r="N265" s="1">
        <f>MAX(-16, MIN(16, Games[[#This Row],[OppRestDiff]]*8))</f>
        <v>-8</v>
      </c>
      <c r="O265" s="4" cm="1">
        <f t="array" ref="O2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1552.8306302807987</v>
      </c>
      <c r="P265" s="4" cm="1">
        <f t="array" ref="P2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1603.9861483387542</v>
      </c>
      <c r="Q265" s="4">
        <f>1/(1+10^(((Games[[#This Row],[OppPreGmRate]]+IF(Games[[#This Row],[HomeAway]]="A",HCA,0)+Games[[#This Row],[OppRestAdj]])-(Games[[#This Row],[PreGmRate]]+IF(Games[[#This Row],[HomeAway]]="H",HCA,0)+Games[[#This Row],[RestAdj]]))/400))</f>
        <v>0.56983339463039406</v>
      </c>
      <c r="R265" s="1">
        <v>73</v>
      </c>
      <c r="S265" s="1">
        <v>78</v>
      </c>
      <c r="T265" s="1">
        <v>0</v>
      </c>
      <c r="U265" s="1">
        <f>Games[[#This Row],[PointsFor]]-Games[[#This Row],[PointsAgainst]]</f>
        <v>-5</v>
      </c>
      <c r="V265" s="1">
        <f>IF(Games[[#This Row],[MOV]]&gt;0,1,IF(Games[[#This Row],[MOV]]=0,0.5,0))</f>
        <v>0</v>
      </c>
      <c r="W265" s="4">
        <f>((ABS(Games[[#This Row],[MOV]])+5)^0.6)/(12+0.01*(ABS(Games[[#This Row],[PreGmRate]]-Games[[#This Row],[OppPreGmRate]])))*IF(Games[[#This Row],[OT]]=1,0.9,1)</f>
        <v>0.31819159553517334</v>
      </c>
      <c r="X265" s="7" cm="1">
        <f t="array" ref="X26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5" s="9">
        <f>MAX(kmin, kmax - 0.15 * MIN(Games[[#This Row],[GamesPlayed]], 82))</f>
        <v>72.849999999999994</v>
      </c>
      <c r="Z265" s="4">
        <f>Games[[#This Row],[K]]*Games[[#This Row],[POMult]]</f>
        <v>72.849999999999994</v>
      </c>
      <c r="AA265" s="4">
        <f>(Games[[#This Row],[Keff]]*Games[[#This Row],[MOVMult]])*(Games[[#This Row],[Result]]-Games[[#This Row],[ExpectedWin%]])</f>
        <v>-13.208884953392849</v>
      </c>
      <c r="AB265" s="4">
        <f>Games[[#This Row],[PreGmRate]]+Games[[#This Row],[RatingChange]]</f>
        <v>1539.6217453274057</v>
      </c>
      <c r="AC265" s="2">
        <f>IF(Games[[#This Row],[Type]]="R",IF(Games[[#This Row],[Result]]&gt;0.5,1,0),0)</f>
        <v>0</v>
      </c>
      <c r="AD265" s="2">
        <f>IF(Games[[#This Row],[Type]]="R",IF(Games[[#This Row],[Result]]&lt;0.5,1,0),0)</f>
        <v>1</v>
      </c>
      <c r="AE265" s="2">
        <f>IF(AND(Games[[#This Row],[Type]]="P",Games[[#This Row],[Round]]=1),IF(Games[[#This Row],[Result]]&gt;0.5,1,0),0)</f>
        <v>0</v>
      </c>
      <c r="AF265" s="2">
        <f>IF(AND(Games[[#This Row],[Type]]="P",Games[[#This Row],[Round]]=1),IF(Games[[#This Row],[Result]]&lt;0.5,1,0),0)</f>
        <v>0</v>
      </c>
      <c r="AG265" s="2">
        <f>IF(AND(Games[[#This Row],[Type]]="P",Games[[#This Row],[Round]]=2),IF(Games[[#This Row],[Result]]&gt;0.5,1,0),0)</f>
        <v>0</v>
      </c>
      <c r="AH265" s="2">
        <f>IF(AND(Games[[#This Row],[Type]]="P",Games[[#This Row],[Round]]=2),IF(Games[[#This Row],[Result]]&lt;0.5,1,0),0)</f>
        <v>0</v>
      </c>
      <c r="AI265" s="2">
        <f>IF(AND(Games[[#This Row],[Type]]="P",Games[[#This Row],[Round]]=3),IF(Games[[#This Row],[Result]]&gt;0.5,1,0),0)</f>
        <v>0</v>
      </c>
      <c r="AJ265" s="2">
        <f>IF(AND(Games[[#This Row],[Type]]="P",Games[[#This Row],[Round]]=3),IF(Games[[#This Row],[Result]]&lt;0.5,1,0),0)</f>
        <v>0</v>
      </c>
      <c r="AK265" s="2">
        <f>IF(AND(Games[[#This Row],[Type]]="P",Games[[#This Row],[Round]]=4),IF(Games[[#This Row],[Result]]&gt;0.5,1,0),0)</f>
        <v>0</v>
      </c>
      <c r="AL265" s="2">
        <f>IF(AND(Games[[#This Row],[Type]]="P",Games[[#This Row],[Round]]=4),IF(Games[[#This Row],[Result]]&lt;0.5,1,0),0)</f>
        <v>0</v>
      </c>
    </row>
    <row r="266" spans="1:38" x14ac:dyDescent="0.35">
      <c r="A266" s="10">
        <v>40384</v>
      </c>
      <c r="B266" s="2">
        <v>2010</v>
      </c>
      <c r="C266" s="2">
        <f>COUNTIFS(Games[Team],Games[[#This Row],[Team]],Games[Season],Games[[#This Row],[Season]],Games[Date],"&lt;=" &amp; Games[[#This Row],[Date]])</f>
        <v>22</v>
      </c>
      <c r="D266" s="2" t="s">
        <v>23</v>
      </c>
      <c r="E266" s="2" t="s">
        <v>29</v>
      </c>
      <c r="F266" s="1" t="s">
        <v>64</v>
      </c>
      <c r="G266" s="1" t="s">
        <v>83</v>
      </c>
      <c r="H266" s="1" t="s">
        <v>16</v>
      </c>
      <c r="I266" s="2" cm="1">
        <f t="array" ref="I26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6" s="2" cm="1">
        <f t="array" ref="J26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66" s="2">
        <f>Games[[#This Row],[DaysOff]]-Games[[#This Row],[OppDaysOff]]</f>
        <v>-2</v>
      </c>
      <c r="L266" s="2">
        <f>Games[[#This Row],[OppDaysOff]]-Games[[#This Row],[DaysOff]]</f>
        <v>2</v>
      </c>
      <c r="M266" s="1">
        <f>MAX(-16, MIN(16, Games[[#This Row],[RestDiff]]*8))</f>
        <v>-16</v>
      </c>
      <c r="N266" s="1">
        <f>MAX(-16, MIN(16, Games[[#This Row],[OppRestDiff]]*8))</f>
        <v>16</v>
      </c>
      <c r="O266" s="4" cm="1">
        <f t="array" ref="O2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1530.1440183912571</v>
      </c>
      <c r="P266" s="4" cm="1">
        <f t="array" ref="P2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1519.7046099436197</v>
      </c>
      <c r="Q266" s="4">
        <f>1/(1+10^(((Games[[#This Row],[OppPreGmRate]]+IF(Games[[#This Row],[HomeAway]]="A",HCA,0)+Games[[#This Row],[OppRestAdj]])-(Games[[#This Row],[PreGmRate]]+IF(Games[[#This Row],[HomeAway]]="H",HCA,0)+Games[[#This Row],[RestAdj]]))/400))</f>
        <v>0.35259416997775361</v>
      </c>
      <c r="R266" s="1">
        <v>75</v>
      </c>
      <c r="S266" s="1">
        <v>82</v>
      </c>
      <c r="T266" s="1">
        <v>0</v>
      </c>
      <c r="U266" s="1">
        <f>Games[[#This Row],[PointsFor]]-Games[[#This Row],[PointsAgainst]]</f>
        <v>-7</v>
      </c>
      <c r="V266" s="1">
        <f>IF(Games[[#This Row],[MOV]]&gt;0,1,IF(Games[[#This Row],[MOV]]=0,0.5,0))</f>
        <v>0</v>
      </c>
      <c r="W266" s="4">
        <f>((ABS(Games[[#This Row],[MOV]])+5)^0.6)/(12+0.01*(ABS(Games[[#This Row],[PreGmRate]]-Games[[#This Row],[OppPreGmRate]])))*IF(Games[[#This Row],[OT]]=1,0.9,1)</f>
        <v>0.3669151911983512</v>
      </c>
      <c r="X266" s="7" cm="1">
        <f t="array" ref="X26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6" s="9">
        <f>MAX(kmin, kmax - 0.15 * MIN(Games[[#This Row],[GamesPlayed]], 82))</f>
        <v>72.7</v>
      </c>
      <c r="Z266" s="4">
        <f>Games[[#This Row],[K]]*Games[[#This Row],[POMult]]</f>
        <v>72.7</v>
      </c>
      <c r="AA266" s="4">
        <f>(Games[[#This Row],[Keff]]*Games[[#This Row],[MOVMult]])*(Games[[#This Row],[Result]]-Games[[#This Row],[ExpectedWin%]])</f>
        <v>-9.4053558351873896</v>
      </c>
      <c r="AB266" s="4">
        <f>Games[[#This Row],[PreGmRate]]+Games[[#This Row],[RatingChange]]</f>
        <v>1520.7386625560696</v>
      </c>
      <c r="AC266" s="2">
        <f>IF(Games[[#This Row],[Type]]="R",IF(Games[[#This Row],[Result]]&gt;0.5,1,0),0)</f>
        <v>0</v>
      </c>
      <c r="AD266" s="2">
        <f>IF(Games[[#This Row],[Type]]="R",IF(Games[[#This Row],[Result]]&lt;0.5,1,0),0)</f>
        <v>1</v>
      </c>
      <c r="AE266" s="2">
        <f>IF(AND(Games[[#This Row],[Type]]="P",Games[[#This Row],[Round]]=1),IF(Games[[#This Row],[Result]]&gt;0.5,1,0),0)</f>
        <v>0</v>
      </c>
      <c r="AF266" s="2">
        <f>IF(AND(Games[[#This Row],[Type]]="P",Games[[#This Row],[Round]]=1),IF(Games[[#This Row],[Result]]&lt;0.5,1,0),0)</f>
        <v>0</v>
      </c>
      <c r="AG266" s="2">
        <f>IF(AND(Games[[#This Row],[Type]]="P",Games[[#This Row],[Round]]=2),IF(Games[[#This Row],[Result]]&gt;0.5,1,0),0)</f>
        <v>0</v>
      </c>
      <c r="AH266" s="2">
        <f>IF(AND(Games[[#This Row],[Type]]="P",Games[[#This Row],[Round]]=2),IF(Games[[#This Row],[Result]]&lt;0.5,1,0),0)</f>
        <v>0</v>
      </c>
      <c r="AI266" s="2">
        <f>IF(AND(Games[[#This Row],[Type]]="P",Games[[#This Row],[Round]]=3),IF(Games[[#This Row],[Result]]&gt;0.5,1,0),0)</f>
        <v>0</v>
      </c>
      <c r="AJ266" s="2">
        <f>IF(AND(Games[[#This Row],[Type]]="P",Games[[#This Row],[Round]]=3),IF(Games[[#This Row],[Result]]&lt;0.5,1,0),0)</f>
        <v>0</v>
      </c>
      <c r="AK266" s="2">
        <f>IF(AND(Games[[#This Row],[Type]]="P",Games[[#This Row],[Round]]=4),IF(Games[[#This Row],[Result]]&gt;0.5,1,0),0)</f>
        <v>0</v>
      </c>
      <c r="AL266" s="2">
        <f>IF(AND(Games[[#This Row],[Type]]="P",Games[[#This Row],[Round]]=4),IF(Games[[#This Row],[Result]]&lt;0.5,1,0),0)</f>
        <v>0</v>
      </c>
    </row>
    <row r="267" spans="1:38" x14ac:dyDescent="0.35">
      <c r="A267" s="10">
        <v>40384</v>
      </c>
      <c r="B267" s="2">
        <v>2010</v>
      </c>
      <c r="C267" s="2">
        <f>COUNTIFS(Games[Team],Games[[#This Row],[Team]],Games[Season],Games[[#This Row],[Season]],Games[Date],"&lt;=" &amp; Games[[#This Row],[Date]])</f>
        <v>24</v>
      </c>
      <c r="D267" s="2" t="s">
        <v>23</v>
      </c>
      <c r="E267" s="2" t="s">
        <v>29</v>
      </c>
      <c r="F267" s="1" t="s">
        <v>83</v>
      </c>
      <c r="G267" s="1" t="s">
        <v>64</v>
      </c>
      <c r="H267" s="1" t="s">
        <v>15</v>
      </c>
      <c r="I267" s="2" cm="1">
        <f t="array" ref="I267">IFERROR(
    Games[[#This Row],[Date]]
    - LOOKUP(
        2,
        1/((Games[Team]=Games[[#This Row],[Team]]) * (Games[Date] &lt; Games[[#This Row],[Date]])),
        Games[Date]
    )
    - 1,
Games[[#This Row],[Date]]-$A$2)</f>
        <v>3</v>
      </c>
      <c r="J267" s="2" cm="1">
        <f t="array" ref="J26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7" s="2">
        <f>Games[[#This Row],[DaysOff]]-Games[[#This Row],[OppDaysOff]]</f>
        <v>2</v>
      </c>
      <c r="L267" s="2">
        <f>Games[[#This Row],[OppDaysOff]]-Games[[#This Row],[DaysOff]]</f>
        <v>-2</v>
      </c>
      <c r="M267" s="1">
        <f>MAX(-16, MIN(16, Games[[#This Row],[RestDiff]]*8))</f>
        <v>16</v>
      </c>
      <c r="N267" s="1">
        <f>MAX(-16, MIN(16, Games[[#This Row],[OppRestDiff]]*8))</f>
        <v>-16</v>
      </c>
      <c r="O267" s="4" cm="1">
        <f t="array" ref="O2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1519.7046099436197</v>
      </c>
      <c r="P267" s="4" cm="1">
        <f t="array" ref="P2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1530.1440183912571</v>
      </c>
      <c r="Q267" s="4">
        <f>1/(1+10^(((Games[[#This Row],[OppPreGmRate]]+IF(Games[[#This Row],[HomeAway]]="A",HCA,0)+Games[[#This Row],[OppRestAdj]])-(Games[[#This Row],[PreGmRate]]+IF(Games[[#This Row],[HomeAway]]="H",HCA,0)+Games[[#This Row],[RestAdj]]))/400))</f>
        <v>0.64740583002224639</v>
      </c>
      <c r="R267" s="1">
        <v>82</v>
      </c>
      <c r="S267" s="1">
        <v>75</v>
      </c>
      <c r="T267" s="1">
        <v>0</v>
      </c>
      <c r="U267" s="1">
        <f>Games[[#This Row],[PointsFor]]-Games[[#This Row],[PointsAgainst]]</f>
        <v>7</v>
      </c>
      <c r="V267" s="1">
        <f>IF(Games[[#This Row],[MOV]]&gt;0,1,IF(Games[[#This Row],[MOV]]=0,0.5,0))</f>
        <v>1</v>
      </c>
      <c r="W267" s="4">
        <f>((ABS(Games[[#This Row],[MOV]])+5)^0.6)/(12+0.01*(ABS(Games[[#This Row],[PreGmRate]]-Games[[#This Row],[OppPreGmRate]])))*IF(Games[[#This Row],[OT]]=1,0.9,1)</f>
        <v>0.3669151911983512</v>
      </c>
      <c r="X267" s="7" cm="1">
        <f t="array" ref="X26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7" s="9">
        <f>MAX(kmin, kmax - 0.15 * MIN(Games[[#This Row],[GamesPlayed]], 82))</f>
        <v>72.400000000000006</v>
      </c>
      <c r="Z267" s="4">
        <f>Games[[#This Row],[K]]*Games[[#This Row],[POMult]]</f>
        <v>72.400000000000006</v>
      </c>
      <c r="AA267" s="4">
        <f>(Games[[#This Row],[Keff]]*Games[[#This Row],[MOVMult]])*(Games[[#This Row],[Result]]-Games[[#This Row],[ExpectedWin%]])</f>
        <v>9.3665441879995477</v>
      </c>
      <c r="AB267" s="4">
        <f>Games[[#This Row],[PreGmRate]]+Games[[#This Row],[RatingChange]]</f>
        <v>1529.0711541316193</v>
      </c>
      <c r="AC267" s="2">
        <f>IF(Games[[#This Row],[Type]]="R",IF(Games[[#This Row],[Result]]&gt;0.5,1,0),0)</f>
        <v>1</v>
      </c>
      <c r="AD267" s="2">
        <f>IF(Games[[#This Row],[Type]]="R",IF(Games[[#This Row],[Result]]&lt;0.5,1,0),0)</f>
        <v>0</v>
      </c>
      <c r="AE267" s="2">
        <f>IF(AND(Games[[#This Row],[Type]]="P",Games[[#This Row],[Round]]=1),IF(Games[[#This Row],[Result]]&gt;0.5,1,0),0)</f>
        <v>0</v>
      </c>
      <c r="AF267" s="2">
        <f>IF(AND(Games[[#This Row],[Type]]="P",Games[[#This Row],[Round]]=1),IF(Games[[#This Row],[Result]]&lt;0.5,1,0),0)</f>
        <v>0</v>
      </c>
      <c r="AG267" s="2">
        <f>IF(AND(Games[[#This Row],[Type]]="P",Games[[#This Row],[Round]]=2),IF(Games[[#This Row],[Result]]&gt;0.5,1,0),0)</f>
        <v>0</v>
      </c>
      <c r="AH267" s="2">
        <f>IF(AND(Games[[#This Row],[Type]]="P",Games[[#This Row],[Round]]=2),IF(Games[[#This Row],[Result]]&lt;0.5,1,0),0)</f>
        <v>0</v>
      </c>
      <c r="AI267" s="2">
        <f>IF(AND(Games[[#This Row],[Type]]="P",Games[[#This Row],[Round]]=3),IF(Games[[#This Row],[Result]]&gt;0.5,1,0),0)</f>
        <v>0</v>
      </c>
      <c r="AJ267" s="2">
        <f>IF(AND(Games[[#This Row],[Type]]="P",Games[[#This Row],[Round]]=3),IF(Games[[#This Row],[Result]]&lt;0.5,1,0),0)</f>
        <v>0</v>
      </c>
      <c r="AK267" s="2">
        <f>IF(AND(Games[[#This Row],[Type]]="P",Games[[#This Row],[Round]]=4),IF(Games[[#This Row],[Result]]&gt;0.5,1,0),0)</f>
        <v>0</v>
      </c>
      <c r="AL267" s="2">
        <f>IF(AND(Games[[#This Row],[Type]]="P",Games[[#This Row],[Round]]=4),IF(Games[[#This Row],[Result]]&lt;0.5,1,0),0)</f>
        <v>0</v>
      </c>
    </row>
    <row r="268" spans="1:38" x14ac:dyDescent="0.35">
      <c r="A268" s="10">
        <v>40384</v>
      </c>
      <c r="B268" s="2">
        <v>2010</v>
      </c>
      <c r="C268" s="2">
        <f>COUNTIFS(Games[Team],Games[[#This Row],[Team]],Games[Season],Games[[#This Row],[Season]],Games[Date],"&lt;=" &amp; Games[[#This Row],[Date]])</f>
        <v>23</v>
      </c>
      <c r="D268" s="2" t="s">
        <v>23</v>
      </c>
      <c r="E268" s="2" t="s">
        <v>29</v>
      </c>
      <c r="F268" s="1" t="s">
        <v>85</v>
      </c>
      <c r="G268" s="1" t="s">
        <v>75</v>
      </c>
      <c r="H268" s="1" t="s">
        <v>16</v>
      </c>
      <c r="I268" s="2" cm="1">
        <f t="array" ref="I268">IFERROR(
    Games[[#This Row],[Date]]
    - LOOKUP(
        2,
        1/((Games[Team]=Games[[#This Row],[Team]]) * (Games[Date] &lt; Games[[#This Row],[Date]])),
        Games[Date]
    )
    - 1,
Games[[#This Row],[Date]]-$A$2)</f>
        <v>2</v>
      </c>
      <c r="J268" s="2" cm="1">
        <f t="array" ref="J268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68" s="2">
        <f>Games[[#This Row],[DaysOff]]-Games[[#This Row],[OppDaysOff]]</f>
        <v>-2</v>
      </c>
      <c r="L268" s="2">
        <f>Games[[#This Row],[OppDaysOff]]-Games[[#This Row],[DaysOff]]</f>
        <v>2</v>
      </c>
      <c r="M268" s="1">
        <f>MAX(-16, MIN(16, Games[[#This Row],[RestDiff]]*8))</f>
        <v>-16</v>
      </c>
      <c r="N268" s="1">
        <f>MAX(-16, MIN(16, Games[[#This Row],[OppRestDiff]]*8))</f>
        <v>16</v>
      </c>
      <c r="O268" s="4" cm="1">
        <f t="array" ref="O2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1334.3471158780362</v>
      </c>
      <c r="P268" s="4" cm="1">
        <f t="array" ref="P2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1679.8972486691546</v>
      </c>
      <c r="Q268" s="4">
        <f>1/(1+10^(((Games[[#This Row],[OppPreGmRate]]+IF(Games[[#This Row],[HomeAway]]="A",HCA,0)+Games[[#This Row],[OppRestAdj]])-(Games[[#This Row],[PreGmRate]]+IF(Games[[#This Row],[HomeAway]]="H",HCA,0)+Games[[#This Row],[RestAdj]]))/400))</f>
        <v>6.5565239734875949E-2</v>
      </c>
      <c r="R268" s="1">
        <v>59</v>
      </c>
      <c r="S268" s="1">
        <v>75</v>
      </c>
      <c r="T268" s="1">
        <v>0</v>
      </c>
      <c r="U268" s="1">
        <f>Games[[#This Row],[PointsFor]]-Games[[#This Row],[PointsAgainst]]</f>
        <v>-16</v>
      </c>
      <c r="V268" s="1">
        <f>IF(Games[[#This Row],[MOV]]&gt;0,1,IF(Games[[#This Row],[MOV]]=0,0.5,0))</f>
        <v>0</v>
      </c>
      <c r="W268" s="4">
        <f>((ABS(Games[[#This Row],[MOV]])+5)^0.6)/(12+0.01*(ABS(Games[[#This Row],[PreGmRate]]-Games[[#This Row],[OppPreGmRate]])))*IF(Games[[#This Row],[OT]]=1,0.9,1)</f>
        <v>0.40202075982743229</v>
      </c>
      <c r="X268" s="7" cm="1">
        <f t="array" ref="X26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8" s="9">
        <f>MAX(kmin, kmax - 0.15 * MIN(Games[[#This Row],[GamesPlayed]], 82))</f>
        <v>72.55</v>
      </c>
      <c r="Z268" s="4">
        <f>Games[[#This Row],[K]]*Games[[#This Row],[POMult]]</f>
        <v>72.55</v>
      </c>
      <c r="AA268" s="4">
        <f>(Games[[#This Row],[Keff]]*Games[[#This Row],[MOVMult]])*(Games[[#This Row],[Result]]-Games[[#This Row],[ExpectedWin%]])</f>
        <v>-1.9123155228698114</v>
      </c>
      <c r="AB268" s="4">
        <f>Games[[#This Row],[PreGmRate]]+Games[[#This Row],[RatingChange]]</f>
        <v>1332.4348003551663</v>
      </c>
      <c r="AC268" s="2">
        <f>IF(Games[[#This Row],[Type]]="R",IF(Games[[#This Row],[Result]]&gt;0.5,1,0),0)</f>
        <v>0</v>
      </c>
      <c r="AD268" s="2">
        <f>IF(Games[[#This Row],[Type]]="R",IF(Games[[#This Row],[Result]]&lt;0.5,1,0),0)</f>
        <v>1</v>
      </c>
      <c r="AE268" s="2">
        <f>IF(AND(Games[[#This Row],[Type]]="P",Games[[#This Row],[Round]]=1),IF(Games[[#This Row],[Result]]&gt;0.5,1,0),0)</f>
        <v>0</v>
      </c>
      <c r="AF268" s="2">
        <f>IF(AND(Games[[#This Row],[Type]]="P",Games[[#This Row],[Round]]=1),IF(Games[[#This Row],[Result]]&lt;0.5,1,0),0)</f>
        <v>0</v>
      </c>
      <c r="AG268" s="2">
        <f>IF(AND(Games[[#This Row],[Type]]="P",Games[[#This Row],[Round]]=2),IF(Games[[#This Row],[Result]]&gt;0.5,1,0),0)</f>
        <v>0</v>
      </c>
      <c r="AH268" s="2">
        <f>IF(AND(Games[[#This Row],[Type]]="P",Games[[#This Row],[Round]]=2),IF(Games[[#This Row],[Result]]&lt;0.5,1,0),0)</f>
        <v>0</v>
      </c>
      <c r="AI268" s="2">
        <f>IF(AND(Games[[#This Row],[Type]]="P",Games[[#This Row],[Round]]=3),IF(Games[[#This Row],[Result]]&gt;0.5,1,0),0)</f>
        <v>0</v>
      </c>
      <c r="AJ268" s="2">
        <f>IF(AND(Games[[#This Row],[Type]]="P",Games[[#This Row],[Round]]=3),IF(Games[[#This Row],[Result]]&lt;0.5,1,0),0)</f>
        <v>0</v>
      </c>
      <c r="AK268" s="2">
        <f>IF(AND(Games[[#This Row],[Type]]="P",Games[[#This Row],[Round]]=4),IF(Games[[#This Row],[Result]]&gt;0.5,1,0),0)</f>
        <v>0</v>
      </c>
      <c r="AL268" s="2">
        <f>IF(AND(Games[[#This Row],[Type]]="P",Games[[#This Row],[Round]]=4),IF(Games[[#This Row],[Result]]&lt;0.5,1,0),0)</f>
        <v>0</v>
      </c>
    </row>
    <row r="269" spans="1:38" x14ac:dyDescent="0.35">
      <c r="A269" s="10">
        <v>40384</v>
      </c>
      <c r="B269" s="2">
        <v>2010</v>
      </c>
      <c r="C269" s="2">
        <f>COUNTIFS(Games[Team],Games[[#This Row],[Team]],Games[Season],Games[[#This Row],[Season]],Games[Date],"&lt;=" &amp; Games[[#This Row],[Date]])</f>
        <v>22</v>
      </c>
      <c r="D269" s="2" t="s">
        <v>23</v>
      </c>
      <c r="E269" s="2" t="s">
        <v>29</v>
      </c>
      <c r="F269" s="1" t="s">
        <v>75</v>
      </c>
      <c r="G269" s="1" t="s">
        <v>85</v>
      </c>
      <c r="H269" s="1" t="s">
        <v>15</v>
      </c>
      <c r="I269" s="2" cm="1">
        <f t="array" ref="I269">IFERROR(
    Games[[#This Row],[Date]]
    - LOOKUP(
        2,
        1/((Games[Team]=Games[[#This Row],[Team]]) * (Games[Date] &lt; Games[[#This Row],[Date]])),
        Games[Date]
    )
    - 1,
Games[[#This Row],[Date]]-$A$2)</f>
        <v>4</v>
      </c>
      <c r="J269" s="2" cm="1">
        <f t="array" ref="J26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69" s="2">
        <f>Games[[#This Row],[DaysOff]]-Games[[#This Row],[OppDaysOff]]</f>
        <v>2</v>
      </c>
      <c r="L269" s="2">
        <f>Games[[#This Row],[OppDaysOff]]-Games[[#This Row],[DaysOff]]</f>
        <v>-2</v>
      </c>
      <c r="M269" s="1">
        <f>MAX(-16, MIN(16, Games[[#This Row],[RestDiff]]*8))</f>
        <v>16</v>
      </c>
      <c r="N269" s="1">
        <f>MAX(-16, MIN(16, Games[[#This Row],[OppRestDiff]]*8))</f>
        <v>-16</v>
      </c>
      <c r="O269" s="4" cm="1">
        <f t="array" ref="O2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1679.8972486691546</v>
      </c>
      <c r="P269" s="4" cm="1">
        <f t="array" ref="P2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1334.3471158780362</v>
      </c>
      <c r="Q269" s="4">
        <f>1/(1+10^(((Games[[#This Row],[OppPreGmRate]]+IF(Games[[#This Row],[HomeAway]]="A",HCA,0)+Games[[#This Row],[OppRestAdj]])-(Games[[#This Row],[PreGmRate]]+IF(Games[[#This Row],[HomeAway]]="H",HCA,0)+Games[[#This Row],[RestAdj]]))/400))</f>
        <v>0.93443476026512406</v>
      </c>
      <c r="R269" s="1">
        <v>75</v>
      </c>
      <c r="S269" s="1">
        <v>59</v>
      </c>
      <c r="T269" s="1">
        <v>0</v>
      </c>
      <c r="U269" s="1">
        <f>Games[[#This Row],[PointsFor]]-Games[[#This Row],[PointsAgainst]]</f>
        <v>16</v>
      </c>
      <c r="V269" s="1">
        <f>IF(Games[[#This Row],[MOV]]&gt;0,1,IF(Games[[#This Row],[MOV]]=0,0.5,0))</f>
        <v>1</v>
      </c>
      <c r="W269" s="4">
        <f>((ABS(Games[[#This Row],[MOV]])+5)^0.6)/(12+0.01*(ABS(Games[[#This Row],[PreGmRate]]-Games[[#This Row],[OppPreGmRate]])))*IF(Games[[#This Row],[OT]]=1,0.9,1)</f>
        <v>0.40202075982743229</v>
      </c>
      <c r="X269" s="7" cm="1">
        <f t="array" ref="X26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9" s="9">
        <f>MAX(kmin, kmax - 0.15 * MIN(Games[[#This Row],[GamesPlayed]], 82))</f>
        <v>72.7</v>
      </c>
      <c r="Z269" s="4">
        <f>Games[[#This Row],[K]]*Games[[#This Row],[POMult]]</f>
        <v>72.7</v>
      </c>
      <c r="AA269" s="4">
        <f>(Games[[#This Row],[Keff]]*Games[[#This Row],[MOVMult]])*(Games[[#This Row],[Result]]-Games[[#This Row],[ExpectedWin%]])</f>
        <v>1.9162693109942837</v>
      </c>
      <c r="AB269" s="4">
        <f>Games[[#This Row],[PreGmRate]]+Games[[#This Row],[RatingChange]]</f>
        <v>1681.8135179801488</v>
      </c>
      <c r="AC269" s="2">
        <f>IF(Games[[#This Row],[Type]]="R",IF(Games[[#This Row],[Result]]&gt;0.5,1,0),0)</f>
        <v>1</v>
      </c>
      <c r="AD269" s="2">
        <f>IF(Games[[#This Row],[Type]]="R",IF(Games[[#This Row],[Result]]&lt;0.5,1,0),0)</f>
        <v>0</v>
      </c>
      <c r="AE269" s="2">
        <f>IF(AND(Games[[#This Row],[Type]]="P",Games[[#This Row],[Round]]=1),IF(Games[[#This Row],[Result]]&gt;0.5,1,0),0)</f>
        <v>0</v>
      </c>
      <c r="AF269" s="2">
        <f>IF(AND(Games[[#This Row],[Type]]="P",Games[[#This Row],[Round]]=1),IF(Games[[#This Row],[Result]]&lt;0.5,1,0),0)</f>
        <v>0</v>
      </c>
      <c r="AG269" s="2">
        <f>IF(AND(Games[[#This Row],[Type]]="P",Games[[#This Row],[Round]]=2),IF(Games[[#This Row],[Result]]&gt;0.5,1,0),0)</f>
        <v>0</v>
      </c>
      <c r="AH269" s="2">
        <f>IF(AND(Games[[#This Row],[Type]]="P",Games[[#This Row],[Round]]=2),IF(Games[[#This Row],[Result]]&lt;0.5,1,0),0)</f>
        <v>0</v>
      </c>
      <c r="AI269" s="2">
        <f>IF(AND(Games[[#This Row],[Type]]="P",Games[[#This Row],[Round]]=3),IF(Games[[#This Row],[Result]]&gt;0.5,1,0),0)</f>
        <v>0</v>
      </c>
      <c r="AJ269" s="2">
        <f>IF(AND(Games[[#This Row],[Type]]="P",Games[[#This Row],[Round]]=3),IF(Games[[#This Row],[Result]]&lt;0.5,1,0),0)</f>
        <v>0</v>
      </c>
      <c r="AK269" s="2">
        <f>IF(AND(Games[[#This Row],[Type]]="P",Games[[#This Row],[Round]]=4),IF(Games[[#This Row],[Result]]&gt;0.5,1,0),0)</f>
        <v>0</v>
      </c>
      <c r="AL269" s="2">
        <f>IF(AND(Games[[#This Row],[Type]]="P",Games[[#This Row],[Round]]=4),IF(Games[[#This Row],[Result]]&lt;0.5,1,0),0)</f>
        <v>0</v>
      </c>
    </row>
    <row r="270" spans="1:38" x14ac:dyDescent="0.35">
      <c r="A270" s="10">
        <v>40386</v>
      </c>
      <c r="B270" s="2">
        <v>2010</v>
      </c>
      <c r="C270" s="2">
        <f>COUNTIFS(Games[Team],Games[[#This Row],[Team]],Games[Season],Games[[#This Row],[Season]],Games[Date],"&lt;=" &amp; Games[[#This Row],[Date]])</f>
        <v>22</v>
      </c>
      <c r="D270" s="2" t="s">
        <v>23</v>
      </c>
      <c r="E270" s="2" t="s">
        <v>29</v>
      </c>
      <c r="F270" s="1" t="s">
        <v>69</v>
      </c>
      <c r="G270" s="1" t="s">
        <v>80</v>
      </c>
      <c r="H270" s="1" t="s">
        <v>16</v>
      </c>
      <c r="I270" s="2" cm="1">
        <f t="array" ref="I270">IFERROR(
    Games[[#This Row],[Date]]
    - LOOKUP(
        2,
        1/((Games[Team]=Games[[#This Row],[Team]]) * (Games[Date] &lt; Games[[#This Row],[Date]])),
        Games[Date]
    )
    - 1,
Games[[#This Row],[Date]]-$A$2)</f>
        <v>2</v>
      </c>
      <c r="J270" s="2" cm="1">
        <f t="array" ref="J27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70" s="2">
        <f>Games[[#This Row],[DaysOff]]-Games[[#This Row],[OppDaysOff]]</f>
        <v>0</v>
      </c>
      <c r="L270" s="2">
        <f>Games[[#This Row],[OppDaysOff]]-Games[[#This Row],[DaysOff]]</f>
        <v>0</v>
      </c>
      <c r="M270" s="1">
        <f>MAX(-16, MIN(16, Games[[#This Row],[RestDiff]]*8))</f>
        <v>0</v>
      </c>
      <c r="N270" s="1">
        <f>MAX(-16, MIN(16, Games[[#This Row],[OppRestDiff]]*8))</f>
        <v>0</v>
      </c>
      <c r="O270" s="4" cm="1">
        <f t="array" ref="O2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1539.6217453274057</v>
      </c>
      <c r="P270" s="4" cm="1">
        <f t="array" ref="P2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1499.850039019547</v>
      </c>
      <c r="Q270" s="4">
        <f>1/(1+10^(((Games[[#This Row],[OppPreGmRate]]+IF(Games[[#This Row],[HomeAway]]="A",HCA,0)+Games[[#This Row],[OppRestAdj]])-(Games[[#This Row],[PreGmRate]]+IF(Games[[#This Row],[HomeAway]]="H",HCA,0)+Games[[#This Row],[RestAdj]]))/400))</f>
        <v>0.43669197105950935</v>
      </c>
      <c r="R270" s="1">
        <v>78</v>
      </c>
      <c r="S270" s="1">
        <v>88</v>
      </c>
      <c r="T270" s="1">
        <v>0</v>
      </c>
      <c r="U270" s="1">
        <f>Games[[#This Row],[PointsFor]]-Games[[#This Row],[PointsAgainst]]</f>
        <v>-10</v>
      </c>
      <c r="V270" s="1">
        <f>IF(Games[[#This Row],[MOV]]&gt;0,1,IF(Games[[#This Row],[MOV]]=0,0.5,0))</f>
        <v>0</v>
      </c>
      <c r="W270" s="4">
        <f>((ABS(Games[[#This Row],[MOV]])+5)^0.6)/(12+0.01*(ABS(Games[[#This Row],[PreGmRate]]-Games[[#This Row],[OppPreGmRate]])))*IF(Games[[#This Row],[OT]]=1,0.9,1)</f>
        <v>0.40955575660851179</v>
      </c>
      <c r="X270" s="7" cm="1">
        <f t="array" ref="X27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0" s="9">
        <f>MAX(kmin, kmax - 0.15 * MIN(Games[[#This Row],[GamesPlayed]], 82))</f>
        <v>72.7</v>
      </c>
      <c r="Z270" s="4">
        <f>Games[[#This Row],[K]]*Games[[#This Row],[POMult]]</f>
        <v>72.7</v>
      </c>
      <c r="AA270" s="4">
        <f>(Games[[#This Row],[Keff]]*Games[[#This Row],[MOVMult]])*(Games[[#This Row],[Result]]-Games[[#This Row],[ExpectedWin%]])</f>
        <v>-13.002373961502556</v>
      </c>
      <c r="AB270" s="4">
        <f>Games[[#This Row],[PreGmRate]]+Games[[#This Row],[RatingChange]]</f>
        <v>1526.6193713659031</v>
      </c>
      <c r="AC270" s="2">
        <f>IF(Games[[#This Row],[Type]]="R",IF(Games[[#This Row],[Result]]&gt;0.5,1,0),0)</f>
        <v>0</v>
      </c>
      <c r="AD270" s="2">
        <f>IF(Games[[#This Row],[Type]]="R",IF(Games[[#This Row],[Result]]&lt;0.5,1,0),0)</f>
        <v>1</v>
      </c>
      <c r="AE270" s="2">
        <f>IF(AND(Games[[#This Row],[Type]]="P",Games[[#This Row],[Round]]=1),IF(Games[[#This Row],[Result]]&gt;0.5,1,0),0)</f>
        <v>0</v>
      </c>
      <c r="AF270" s="2">
        <f>IF(AND(Games[[#This Row],[Type]]="P",Games[[#This Row],[Round]]=1),IF(Games[[#This Row],[Result]]&lt;0.5,1,0),0)</f>
        <v>0</v>
      </c>
      <c r="AG270" s="2">
        <f>IF(AND(Games[[#This Row],[Type]]="P",Games[[#This Row],[Round]]=2),IF(Games[[#This Row],[Result]]&gt;0.5,1,0),0)</f>
        <v>0</v>
      </c>
      <c r="AH270" s="2">
        <f>IF(AND(Games[[#This Row],[Type]]="P",Games[[#This Row],[Round]]=2),IF(Games[[#This Row],[Result]]&lt;0.5,1,0),0)</f>
        <v>0</v>
      </c>
      <c r="AI270" s="2">
        <f>IF(AND(Games[[#This Row],[Type]]="P",Games[[#This Row],[Round]]=3),IF(Games[[#This Row],[Result]]&gt;0.5,1,0),0)</f>
        <v>0</v>
      </c>
      <c r="AJ270" s="2">
        <f>IF(AND(Games[[#This Row],[Type]]="P",Games[[#This Row],[Round]]=3),IF(Games[[#This Row],[Result]]&lt;0.5,1,0),0)</f>
        <v>0</v>
      </c>
      <c r="AK270" s="2">
        <f>IF(AND(Games[[#This Row],[Type]]="P",Games[[#This Row],[Round]]=4),IF(Games[[#This Row],[Result]]&gt;0.5,1,0),0)</f>
        <v>0</v>
      </c>
      <c r="AL270" s="2">
        <f>IF(AND(Games[[#This Row],[Type]]="P",Games[[#This Row],[Round]]=4),IF(Games[[#This Row],[Result]]&lt;0.5,1,0),0)</f>
        <v>0</v>
      </c>
    </row>
    <row r="271" spans="1:38" x14ac:dyDescent="0.35">
      <c r="A271" s="10">
        <v>40386</v>
      </c>
      <c r="B271" s="2">
        <v>2010</v>
      </c>
      <c r="C271" s="2">
        <f>COUNTIFS(Games[Team],Games[[#This Row],[Team]],Games[Season],Games[[#This Row],[Season]],Games[Date],"&lt;=" &amp; Games[[#This Row],[Date]])</f>
        <v>23</v>
      </c>
      <c r="D271" s="2" t="s">
        <v>23</v>
      </c>
      <c r="E271" s="2" t="s">
        <v>29</v>
      </c>
      <c r="F271" s="1" t="s">
        <v>80</v>
      </c>
      <c r="G271" s="1" t="s">
        <v>69</v>
      </c>
      <c r="H271" s="1" t="s">
        <v>15</v>
      </c>
      <c r="I271" s="2" cm="1">
        <f t="array" ref="I271">IFERROR(
    Games[[#This Row],[Date]]
    - LOOKUP(
        2,
        1/((Games[Team]=Games[[#This Row],[Team]]) * (Games[Date] &lt; Games[[#This Row],[Date]])),
        Games[Date]
    )
    - 1,
Games[[#This Row],[Date]]-$A$2)</f>
        <v>2</v>
      </c>
      <c r="J271" s="2" cm="1">
        <f t="array" ref="J27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71" s="2">
        <f>Games[[#This Row],[DaysOff]]-Games[[#This Row],[OppDaysOff]]</f>
        <v>0</v>
      </c>
      <c r="L271" s="2">
        <f>Games[[#This Row],[OppDaysOff]]-Games[[#This Row],[DaysOff]]</f>
        <v>0</v>
      </c>
      <c r="M271" s="1">
        <f>MAX(-16, MIN(16, Games[[#This Row],[RestDiff]]*8))</f>
        <v>0</v>
      </c>
      <c r="N271" s="1">
        <f>MAX(-16, MIN(16, Games[[#This Row],[OppRestDiff]]*8))</f>
        <v>0</v>
      </c>
      <c r="O271" s="4" cm="1">
        <f t="array" ref="O2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1499.850039019547</v>
      </c>
      <c r="P271" s="4" cm="1">
        <f t="array" ref="P2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1539.6217453274057</v>
      </c>
      <c r="Q271" s="4">
        <f>1/(1+10^(((Games[[#This Row],[OppPreGmRate]]+IF(Games[[#This Row],[HomeAway]]="A",HCA,0)+Games[[#This Row],[OppRestAdj]])-(Games[[#This Row],[PreGmRate]]+IF(Games[[#This Row],[HomeAway]]="H",HCA,0)+Games[[#This Row],[RestAdj]]))/400))</f>
        <v>0.5633080289404907</v>
      </c>
      <c r="R271" s="1">
        <v>88</v>
      </c>
      <c r="S271" s="1">
        <v>78</v>
      </c>
      <c r="T271" s="1">
        <v>0</v>
      </c>
      <c r="U271" s="1">
        <f>Games[[#This Row],[PointsFor]]-Games[[#This Row],[PointsAgainst]]</f>
        <v>10</v>
      </c>
      <c r="V271" s="1">
        <f>IF(Games[[#This Row],[MOV]]&gt;0,1,IF(Games[[#This Row],[MOV]]=0,0.5,0))</f>
        <v>1</v>
      </c>
      <c r="W271" s="4">
        <f>((ABS(Games[[#This Row],[MOV]])+5)^0.6)/(12+0.01*(ABS(Games[[#This Row],[PreGmRate]]-Games[[#This Row],[OppPreGmRate]])))*IF(Games[[#This Row],[OT]]=1,0.9,1)</f>
        <v>0.40955575660851179</v>
      </c>
      <c r="X271" s="7" cm="1">
        <f t="array" ref="X27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1" s="9">
        <f>MAX(kmin, kmax - 0.15 * MIN(Games[[#This Row],[GamesPlayed]], 82))</f>
        <v>72.55</v>
      </c>
      <c r="Z271" s="4">
        <f>Games[[#This Row],[K]]*Games[[#This Row],[POMult]]</f>
        <v>72.55</v>
      </c>
      <c r="AA271" s="4">
        <f>(Games[[#This Row],[Keff]]*Games[[#This Row],[MOVMult]])*(Games[[#This Row],[Result]]-Games[[#This Row],[ExpectedWin%]])</f>
        <v>12.975546504910731</v>
      </c>
      <c r="AB271" s="4">
        <f>Games[[#This Row],[PreGmRate]]+Games[[#This Row],[RatingChange]]</f>
        <v>1512.8255855244577</v>
      </c>
      <c r="AC271" s="2">
        <f>IF(Games[[#This Row],[Type]]="R",IF(Games[[#This Row],[Result]]&gt;0.5,1,0),0)</f>
        <v>1</v>
      </c>
      <c r="AD271" s="2">
        <f>IF(Games[[#This Row],[Type]]="R",IF(Games[[#This Row],[Result]]&lt;0.5,1,0),0)</f>
        <v>0</v>
      </c>
      <c r="AE271" s="2">
        <f>IF(AND(Games[[#This Row],[Type]]="P",Games[[#This Row],[Round]]=1),IF(Games[[#This Row],[Result]]&gt;0.5,1,0),0)</f>
        <v>0</v>
      </c>
      <c r="AF271" s="2">
        <f>IF(AND(Games[[#This Row],[Type]]="P",Games[[#This Row],[Round]]=1),IF(Games[[#This Row],[Result]]&lt;0.5,1,0),0)</f>
        <v>0</v>
      </c>
      <c r="AG271" s="2">
        <f>IF(AND(Games[[#This Row],[Type]]="P",Games[[#This Row],[Round]]=2),IF(Games[[#This Row],[Result]]&gt;0.5,1,0),0)</f>
        <v>0</v>
      </c>
      <c r="AH271" s="2">
        <f>IF(AND(Games[[#This Row],[Type]]="P",Games[[#This Row],[Round]]=2),IF(Games[[#This Row],[Result]]&lt;0.5,1,0),0)</f>
        <v>0</v>
      </c>
      <c r="AI271" s="2">
        <f>IF(AND(Games[[#This Row],[Type]]="P",Games[[#This Row],[Round]]=3),IF(Games[[#This Row],[Result]]&gt;0.5,1,0),0)</f>
        <v>0</v>
      </c>
      <c r="AJ271" s="2">
        <f>IF(AND(Games[[#This Row],[Type]]="P",Games[[#This Row],[Round]]=3),IF(Games[[#This Row],[Result]]&lt;0.5,1,0),0)</f>
        <v>0</v>
      </c>
      <c r="AK271" s="2">
        <f>IF(AND(Games[[#This Row],[Type]]="P",Games[[#This Row],[Round]]=4),IF(Games[[#This Row],[Result]]&gt;0.5,1,0),0)</f>
        <v>0</v>
      </c>
      <c r="AL271" s="2">
        <f>IF(AND(Games[[#This Row],[Type]]="P",Games[[#This Row],[Round]]=4),IF(Games[[#This Row],[Result]]&lt;0.5,1,0),0)</f>
        <v>0</v>
      </c>
    </row>
    <row r="272" spans="1:38" x14ac:dyDescent="0.35">
      <c r="A272" s="10">
        <v>40386</v>
      </c>
      <c r="B272" s="2">
        <v>2010</v>
      </c>
      <c r="C272" s="2">
        <f>COUNTIFS(Games[Team],Games[[#This Row],[Team]],Games[Season],Games[[#This Row],[Season]],Games[Date],"&lt;=" &amp; Games[[#This Row],[Date]])</f>
        <v>25</v>
      </c>
      <c r="D272" s="2" t="s">
        <v>23</v>
      </c>
      <c r="E272" s="2" t="s">
        <v>29</v>
      </c>
      <c r="F272" s="1" t="s">
        <v>81</v>
      </c>
      <c r="G272" s="1" t="s">
        <v>73</v>
      </c>
      <c r="H272" s="1" t="s">
        <v>16</v>
      </c>
      <c r="I272" s="2" cm="1">
        <f t="array" ref="I272">IFERROR(
    Games[[#This Row],[Date]]
    - LOOKUP(
        2,
        1/((Games[Team]=Games[[#This Row],[Team]]) * (Games[Date] &lt; Games[[#This Row],[Date]])),
        Games[Date]
    )
    - 1,
Games[[#This Row],[Date]]-$A$2)</f>
        <v>2</v>
      </c>
      <c r="J272" s="2" cm="1">
        <f t="array" ref="J27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72" s="2">
        <f>Games[[#This Row],[DaysOff]]-Games[[#This Row],[OppDaysOff]]</f>
        <v>0</v>
      </c>
      <c r="L272" s="2">
        <f>Games[[#This Row],[OppDaysOff]]-Games[[#This Row],[DaysOff]]</f>
        <v>0</v>
      </c>
      <c r="M272" s="1">
        <f>MAX(-16, MIN(16, Games[[#This Row],[RestDiff]]*8))</f>
        <v>0</v>
      </c>
      <c r="N272" s="1">
        <f>MAX(-16, MIN(16, Games[[#This Row],[OppRestDiff]]*8))</f>
        <v>0</v>
      </c>
      <c r="O272" s="4" cm="1">
        <f t="array" ref="O2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1508.4470573605149</v>
      </c>
      <c r="P272" s="4" cm="1">
        <f t="array" ref="P2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1617.1678358625932</v>
      </c>
      <c r="Q272" s="4">
        <f>1/(1+10^(((Games[[#This Row],[OppPreGmRate]]+IF(Games[[#This Row],[HomeAway]]="A",HCA,0)+Games[[#This Row],[OppRestAdj]])-(Games[[#This Row],[PreGmRate]]+IF(Games[[#This Row],[HomeAway]]="H",HCA,0)+Games[[#This Row],[RestAdj]]))/400))</f>
        <v>0.24798463278055369</v>
      </c>
      <c r="R272" s="1">
        <v>74</v>
      </c>
      <c r="S272" s="1">
        <v>78</v>
      </c>
      <c r="T272" s="1">
        <v>0</v>
      </c>
      <c r="U272" s="1">
        <f>Games[[#This Row],[PointsFor]]-Games[[#This Row],[PointsAgainst]]</f>
        <v>-4</v>
      </c>
      <c r="V272" s="1">
        <f>IF(Games[[#This Row],[MOV]]&gt;0,1,IF(Games[[#This Row],[MOV]]=0,0.5,0))</f>
        <v>0</v>
      </c>
      <c r="W272" s="4">
        <f>((ABS(Games[[#This Row],[MOV]])+5)^0.6)/(12+0.01*(ABS(Games[[#This Row],[PreGmRate]]-Games[[#This Row],[OppPreGmRate]])))*IF(Games[[#This Row],[OT]]=1,0.9,1)</f>
        <v>0.2855607460534117</v>
      </c>
      <c r="X272" s="7" cm="1">
        <f t="array" ref="X27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2" s="9">
        <f>MAX(kmin, kmax - 0.15 * MIN(Games[[#This Row],[GamesPlayed]], 82))</f>
        <v>72.25</v>
      </c>
      <c r="Z272" s="4">
        <f>Games[[#This Row],[K]]*Games[[#This Row],[POMult]]</f>
        <v>72.25</v>
      </c>
      <c r="AA272" s="4">
        <f>(Games[[#This Row],[Keff]]*Games[[#This Row],[MOVMult]])*(Games[[#This Row],[Result]]-Games[[#This Row],[ExpectedWin%]])</f>
        <v>-5.1163603949415783</v>
      </c>
      <c r="AB272" s="4">
        <f>Games[[#This Row],[PreGmRate]]+Games[[#This Row],[RatingChange]]</f>
        <v>1503.3306969655735</v>
      </c>
      <c r="AC272" s="2">
        <f>IF(Games[[#This Row],[Type]]="R",IF(Games[[#This Row],[Result]]&gt;0.5,1,0),0)</f>
        <v>0</v>
      </c>
      <c r="AD272" s="2">
        <f>IF(Games[[#This Row],[Type]]="R",IF(Games[[#This Row],[Result]]&lt;0.5,1,0),0)</f>
        <v>1</v>
      </c>
      <c r="AE272" s="2">
        <f>IF(AND(Games[[#This Row],[Type]]="P",Games[[#This Row],[Round]]=1),IF(Games[[#This Row],[Result]]&gt;0.5,1,0),0)</f>
        <v>0</v>
      </c>
      <c r="AF272" s="2">
        <f>IF(AND(Games[[#This Row],[Type]]="P",Games[[#This Row],[Round]]=1),IF(Games[[#This Row],[Result]]&lt;0.5,1,0),0)</f>
        <v>0</v>
      </c>
      <c r="AG272" s="2">
        <f>IF(AND(Games[[#This Row],[Type]]="P",Games[[#This Row],[Round]]=2),IF(Games[[#This Row],[Result]]&gt;0.5,1,0),0)</f>
        <v>0</v>
      </c>
      <c r="AH272" s="2">
        <f>IF(AND(Games[[#This Row],[Type]]="P",Games[[#This Row],[Round]]=2),IF(Games[[#This Row],[Result]]&lt;0.5,1,0),0)</f>
        <v>0</v>
      </c>
      <c r="AI272" s="2">
        <f>IF(AND(Games[[#This Row],[Type]]="P",Games[[#This Row],[Round]]=3),IF(Games[[#This Row],[Result]]&gt;0.5,1,0),0)</f>
        <v>0</v>
      </c>
      <c r="AJ272" s="2">
        <f>IF(AND(Games[[#This Row],[Type]]="P",Games[[#This Row],[Round]]=3),IF(Games[[#This Row],[Result]]&lt;0.5,1,0),0)</f>
        <v>0</v>
      </c>
      <c r="AK272" s="2">
        <f>IF(AND(Games[[#This Row],[Type]]="P",Games[[#This Row],[Round]]=4),IF(Games[[#This Row],[Result]]&gt;0.5,1,0),0)</f>
        <v>0</v>
      </c>
      <c r="AL272" s="2">
        <f>IF(AND(Games[[#This Row],[Type]]="P",Games[[#This Row],[Round]]=4),IF(Games[[#This Row],[Result]]&lt;0.5,1,0),0)</f>
        <v>0</v>
      </c>
    </row>
    <row r="273" spans="1:38" x14ac:dyDescent="0.35">
      <c r="A273" s="10">
        <v>40386</v>
      </c>
      <c r="B273" s="2">
        <v>2010</v>
      </c>
      <c r="C273" s="2">
        <f>COUNTIFS(Games[Team],Games[[#This Row],[Team]],Games[Season],Games[[#This Row],[Season]],Games[Date],"&lt;=" &amp; Games[[#This Row],[Date]])</f>
        <v>23</v>
      </c>
      <c r="D273" s="2" t="s">
        <v>23</v>
      </c>
      <c r="E273" s="2" t="s">
        <v>29</v>
      </c>
      <c r="F273" s="1" t="s">
        <v>73</v>
      </c>
      <c r="G273" s="1" t="s">
        <v>81</v>
      </c>
      <c r="H273" s="1" t="s">
        <v>15</v>
      </c>
      <c r="I273" s="2" cm="1">
        <f t="array" ref="I273">IFERROR(
    Games[[#This Row],[Date]]
    - LOOKUP(
        2,
        1/((Games[Team]=Games[[#This Row],[Team]]) * (Games[Date] &lt; Games[[#This Row],[Date]])),
        Games[Date]
    )
    - 1,
Games[[#This Row],[Date]]-$A$2)</f>
        <v>2</v>
      </c>
      <c r="J273" s="2" cm="1">
        <f t="array" ref="J27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73" s="2">
        <f>Games[[#This Row],[DaysOff]]-Games[[#This Row],[OppDaysOff]]</f>
        <v>0</v>
      </c>
      <c r="L273" s="2">
        <f>Games[[#This Row],[OppDaysOff]]-Games[[#This Row],[DaysOff]]</f>
        <v>0</v>
      </c>
      <c r="M273" s="1">
        <f>MAX(-16, MIN(16, Games[[#This Row],[RestDiff]]*8))</f>
        <v>0</v>
      </c>
      <c r="N273" s="1">
        <f>MAX(-16, MIN(16, Games[[#This Row],[OppRestDiff]]*8))</f>
        <v>0</v>
      </c>
      <c r="O273" s="4" cm="1">
        <f t="array" ref="O2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1617.1678358625932</v>
      </c>
      <c r="P273" s="4" cm="1">
        <f t="array" ref="P2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1508.4470573605149</v>
      </c>
      <c r="Q273" s="4">
        <f>1/(1+10^(((Games[[#This Row],[OppPreGmRate]]+IF(Games[[#This Row],[HomeAway]]="A",HCA,0)+Games[[#This Row],[OppRestAdj]])-(Games[[#This Row],[PreGmRate]]+IF(Games[[#This Row],[HomeAway]]="H",HCA,0)+Games[[#This Row],[RestAdj]]))/400))</f>
        <v>0.7520153672194464</v>
      </c>
      <c r="R273" s="1">
        <v>78</v>
      </c>
      <c r="S273" s="1">
        <v>74</v>
      </c>
      <c r="T273" s="1">
        <v>0</v>
      </c>
      <c r="U273" s="1">
        <f>Games[[#This Row],[PointsFor]]-Games[[#This Row],[PointsAgainst]]</f>
        <v>4</v>
      </c>
      <c r="V273" s="1">
        <f>IF(Games[[#This Row],[MOV]]&gt;0,1,IF(Games[[#This Row],[MOV]]=0,0.5,0))</f>
        <v>1</v>
      </c>
      <c r="W273" s="4">
        <f>((ABS(Games[[#This Row],[MOV]])+5)^0.6)/(12+0.01*(ABS(Games[[#This Row],[PreGmRate]]-Games[[#This Row],[OppPreGmRate]])))*IF(Games[[#This Row],[OT]]=1,0.9,1)</f>
        <v>0.2855607460534117</v>
      </c>
      <c r="X273" s="7" cm="1">
        <f t="array" ref="X27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3" s="9">
        <f>MAX(kmin, kmax - 0.15 * MIN(Games[[#This Row],[GamesPlayed]], 82))</f>
        <v>72.55</v>
      </c>
      <c r="Z273" s="4">
        <f>Games[[#This Row],[K]]*Games[[#This Row],[POMult]]</f>
        <v>72.55</v>
      </c>
      <c r="AA273" s="4">
        <f>(Games[[#This Row],[Keff]]*Games[[#This Row],[MOVMult]])*(Games[[#This Row],[Result]]-Games[[#This Row],[ExpectedWin%]])</f>
        <v>5.1376047979655564</v>
      </c>
      <c r="AB273" s="4">
        <f>Games[[#This Row],[PreGmRate]]+Games[[#This Row],[RatingChange]]</f>
        <v>1622.3054406605588</v>
      </c>
      <c r="AC273" s="2">
        <f>IF(Games[[#This Row],[Type]]="R",IF(Games[[#This Row],[Result]]&gt;0.5,1,0),0)</f>
        <v>1</v>
      </c>
      <c r="AD273" s="2">
        <f>IF(Games[[#This Row],[Type]]="R",IF(Games[[#This Row],[Result]]&lt;0.5,1,0),0)</f>
        <v>0</v>
      </c>
      <c r="AE273" s="2">
        <f>IF(AND(Games[[#This Row],[Type]]="P",Games[[#This Row],[Round]]=1),IF(Games[[#This Row],[Result]]&gt;0.5,1,0),0)</f>
        <v>0</v>
      </c>
      <c r="AF273" s="2">
        <f>IF(AND(Games[[#This Row],[Type]]="P",Games[[#This Row],[Round]]=1),IF(Games[[#This Row],[Result]]&lt;0.5,1,0),0)</f>
        <v>0</v>
      </c>
      <c r="AG273" s="2">
        <f>IF(AND(Games[[#This Row],[Type]]="P",Games[[#This Row],[Round]]=2),IF(Games[[#This Row],[Result]]&gt;0.5,1,0),0)</f>
        <v>0</v>
      </c>
      <c r="AH273" s="2">
        <f>IF(AND(Games[[#This Row],[Type]]="P",Games[[#This Row],[Round]]=2),IF(Games[[#This Row],[Result]]&lt;0.5,1,0),0)</f>
        <v>0</v>
      </c>
      <c r="AI273" s="2">
        <f>IF(AND(Games[[#This Row],[Type]]="P",Games[[#This Row],[Round]]=3),IF(Games[[#This Row],[Result]]&gt;0.5,1,0),0)</f>
        <v>0</v>
      </c>
      <c r="AJ273" s="2">
        <f>IF(AND(Games[[#This Row],[Type]]="P",Games[[#This Row],[Round]]=3),IF(Games[[#This Row],[Result]]&lt;0.5,1,0),0)</f>
        <v>0</v>
      </c>
      <c r="AK273" s="2">
        <f>IF(AND(Games[[#This Row],[Type]]="P",Games[[#This Row],[Round]]=4),IF(Games[[#This Row],[Result]]&gt;0.5,1,0),0)</f>
        <v>0</v>
      </c>
      <c r="AL273" s="2">
        <f>IF(AND(Games[[#This Row],[Type]]="P",Games[[#This Row],[Round]]=4),IF(Games[[#This Row],[Result]]&lt;0.5,1,0),0)</f>
        <v>0</v>
      </c>
    </row>
    <row r="274" spans="1:38" x14ac:dyDescent="0.35">
      <c r="A274" s="10">
        <v>40386</v>
      </c>
      <c r="B274" s="2">
        <v>2010</v>
      </c>
      <c r="C274" s="2">
        <f>COUNTIFS(Games[Team],Games[[#This Row],[Team]],Games[Season],Games[[#This Row],[Season]],Games[Date],"&lt;=" &amp; Games[[#This Row],[Date]])</f>
        <v>24</v>
      </c>
      <c r="D274" s="2" t="s">
        <v>23</v>
      </c>
      <c r="E274" s="2" t="s">
        <v>29</v>
      </c>
      <c r="F274" s="1" t="s">
        <v>67</v>
      </c>
      <c r="G274" s="1" t="s">
        <v>71</v>
      </c>
      <c r="H274" s="1" t="s">
        <v>16</v>
      </c>
      <c r="I274" s="2" cm="1">
        <f t="array" ref="I274">IFERROR(
    Games[[#This Row],[Date]]
    - LOOKUP(
        2,
        1/((Games[Team]=Games[[#This Row],[Team]]) * (Games[Date] &lt; Games[[#This Row],[Date]])),
        Games[Date]
    )
    - 1,
Games[[#This Row],[Date]]-$A$2)</f>
        <v>2</v>
      </c>
      <c r="J274" s="2" cm="1">
        <f t="array" ref="J27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74" s="2">
        <f>Games[[#This Row],[DaysOff]]-Games[[#This Row],[OppDaysOff]]</f>
        <v>0</v>
      </c>
      <c r="L274" s="2">
        <f>Games[[#This Row],[OppDaysOff]]-Games[[#This Row],[DaysOff]]</f>
        <v>0</v>
      </c>
      <c r="M274" s="1">
        <f>MAX(-16, MIN(16, Games[[#This Row],[RestDiff]]*8))</f>
        <v>0</v>
      </c>
      <c r="N274" s="1">
        <f>MAX(-16, MIN(16, Games[[#This Row],[OppRestDiff]]*8))</f>
        <v>0</v>
      </c>
      <c r="O274" s="4" cm="1">
        <f t="array" ref="O2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1437.0197627270763</v>
      </c>
      <c r="P274" s="4" cm="1">
        <f t="array" ref="P2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1411.9501074960222</v>
      </c>
      <c r="Q274" s="4">
        <f>1/(1+10^(((Games[[#This Row],[OppPreGmRate]]+IF(Games[[#This Row],[HomeAway]]="A",HCA,0)+Games[[#This Row],[OppRestAdj]])-(Games[[#This Row],[PreGmRate]]+IF(Games[[#This Row],[HomeAway]]="H",HCA,0)+Games[[#This Row],[RestAdj]]))/400))</f>
        <v>0.41599645037193023</v>
      </c>
      <c r="R274" s="1">
        <v>71</v>
      </c>
      <c r="S274" s="1">
        <v>58</v>
      </c>
      <c r="T274" s="1">
        <v>0</v>
      </c>
      <c r="U274" s="1">
        <f>Games[[#This Row],[PointsFor]]-Games[[#This Row],[PointsAgainst]]</f>
        <v>13</v>
      </c>
      <c r="V274" s="1">
        <f>IF(Games[[#This Row],[MOV]]&gt;0,1,IF(Games[[#This Row],[MOV]]=0,0.5,0))</f>
        <v>1</v>
      </c>
      <c r="W274" s="4">
        <f>((ABS(Games[[#This Row],[MOV]])+5)^0.6)/(12+0.01*(ABS(Games[[#This Row],[PreGmRate]]-Games[[#This Row],[OppPreGmRate]])))*IF(Games[[#This Row],[OT]]=1,0.9,1)</f>
        <v>0.46238391781086546</v>
      </c>
      <c r="X274" s="7" cm="1">
        <f t="array" ref="X27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4" s="9">
        <f>MAX(kmin, kmax - 0.15 * MIN(Games[[#This Row],[GamesPlayed]], 82))</f>
        <v>72.400000000000006</v>
      </c>
      <c r="Z274" s="4">
        <f>Games[[#This Row],[K]]*Games[[#This Row],[POMult]]</f>
        <v>72.400000000000006</v>
      </c>
      <c r="AA274" s="4">
        <f>(Games[[#This Row],[Keff]]*Games[[#This Row],[MOVMult]])*(Games[[#This Row],[Result]]-Games[[#This Row],[ExpectedWin%]])</f>
        <v>19.550450688775488</v>
      </c>
      <c r="AB274" s="4">
        <f>Games[[#This Row],[PreGmRate]]+Games[[#This Row],[RatingChange]]</f>
        <v>1456.5702134158519</v>
      </c>
      <c r="AC274" s="2">
        <f>IF(Games[[#This Row],[Type]]="R",IF(Games[[#This Row],[Result]]&gt;0.5,1,0),0)</f>
        <v>1</v>
      </c>
      <c r="AD274" s="2">
        <f>IF(Games[[#This Row],[Type]]="R",IF(Games[[#This Row],[Result]]&lt;0.5,1,0),0)</f>
        <v>0</v>
      </c>
      <c r="AE274" s="2">
        <f>IF(AND(Games[[#This Row],[Type]]="P",Games[[#This Row],[Round]]=1),IF(Games[[#This Row],[Result]]&gt;0.5,1,0),0)</f>
        <v>0</v>
      </c>
      <c r="AF274" s="2">
        <f>IF(AND(Games[[#This Row],[Type]]="P",Games[[#This Row],[Round]]=1),IF(Games[[#This Row],[Result]]&lt;0.5,1,0),0)</f>
        <v>0</v>
      </c>
      <c r="AG274" s="2">
        <f>IF(AND(Games[[#This Row],[Type]]="P",Games[[#This Row],[Round]]=2),IF(Games[[#This Row],[Result]]&gt;0.5,1,0),0)</f>
        <v>0</v>
      </c>
      <c r="AH274" s="2">
        <f>IF(AND(Games[[#This Row],[Type]]="P",Games[[#This Row],[Round]]=2),IF(Games[[#This Row],[Result]]&lt;0.5,1,0),0)</f>
        <v>0</v>
      </c>
      <c r="AI274" s="2">
        <f>IF(AND(Games[[#This Row],[Type]]="P",Games[[#This Row],[Round]]=3),IF(Games[[#This Row],[Result]]&gt;0.5,1,0),0)</f>
        <v>0</v>
      </c>
      <c r="AJ274" s="2">
        <f>IF(AND(Games[[#This Row],[Type]]="P",Games[[#This Row],[Round]]=3),IF(Games[[#This Row],[Result]]&lt;0.5,1,0),0)</f>
        <v>0</v>
      </c>
      <c r="AK274" s="2">
        <f>IF(AND(Games[[#This Row],[Type]]="P",Games[[#This Row],[Round]]=4),IF(Games[[#This Row],[Result]]&gt;0.5,1,0),0)</f>
        <v>0</v>
      </c>
      <c r="AL274" s="2">
        <f>IF(AND(Games[[#This Row],[Type]]="P",Games[[#This Row],[Round]]=4),IF(Games[[#This Row],[Result]]&lt;0.5,1,0),0)</f>
        <v>0</v>
      </c>
    </row>
    <row r="275" spans="1:38" x14ac:dyDescent="0.35">
      <c r="A275" s="10">
        <v>40386</v>
      </c>
      <c r="B275" s="2">
        <v>2010</v>
      </c>
      <c r="C275" s="2">
        <f>COUNTIFS(Games[Team],Games[[#This Row],[Team]],Games[Season],Games[[#This Row],[Season]],Games[Date],"&lt;=" &amp; Games[[#This Row],[Date]])</f>
        <v>22</v>
      </c>
      <c r="D275" s="2" t="s">
        <v>23</v>
      </c>
      <c r="E275" s="2" t="s">
        <v>29</v>
      </c>
      <c r="F275" s="1" t="s">
        <v>71</v>
      </c>
      <c r="G275" s="1" t="s">
        <v>67</v>
      </c>
      <c r="H275" s="1" t="s">
        <v>15</v>
      </c>
      <c r="I275" s="2" cm="1">
        <f t="array" ref="I275">IFERROR(
    Games[[#This Row],[Date]]
    - LOOKUP(
        2,
        1/((Games[Team]=Games[[#This Row],[Team]]) * (Games[Date] &lt; Games[[#This Row],[Date]])),
        Games[Date]
    )
    - 1,
Games[[#This Row],[Date]]-$A$2)</f>
        <v>2</v>
      </c>
      <c r="J275" s="2" cm="1">
        <f t="array" ref="J27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75" s="2">
        <f>Games[[#This Row],[DaysOff]]-Games[[#This Row],[OppDaysOff]]</f>
        <v>0</v>
      </c>
      <c r="L275" s="2">
        <f>Games[[#This Row],[OppDaysOff]]-Games[[#This Row],[DaysOff]]</f>
        <v>0</v>
      </c>
      <c r="M275" s="1">
        <f>MAX(-16, MIN(16, Games[[#This Row],[RestDiff]]*8))</f>
        <v>0</v>
      </c>
      <c r="N275" s="1">
        <f>MAX(-16, MIN(16, Games[[#This Row],[OppRestDiff]]*8))</f>
        <v>0</v>
      </c>
      <c r="O275" s="4" cm="1">
        <f t="array" ref="O2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1411.9501074960222</v>
      </c>
      <c r="P275" s="4" cm="1">
        <f t="array" ref="P2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1437.0197627270763</v>
      </c>
      <c r="Q275" s="4">
        <f>1/(1+10^(((Games[[#This Row],[OppPreGmRate]]+IF(Games[[#This Row],[HomeAway]]="A",HCA,0)+Games[[#This Row],[OppRestAdj]])-(Games[[#This Row],[PreGmRate]]+IF(Games[[#This Row],[HomeAway]]="H",HCA,0)+Games[[#This Row],[RestAdj]]))/400))</f>
        <v>0.58400354962806977</v>
      </c>
      <c r="R275" s="1">
        <v>58</v>
      </c>
      <c r="S275" s="1">
        <v>71</v>
      </c>
      <c r="T275" s="1">
        <v>0</v>
      </c>
      <c r="U275" s="1">
        <f>Games[[#This Row],[PointsFor]]-Games[[#This Row],[PointsAgainst]]</f>
        <v>-13</v>
      </c>
      <c r="V275" s="1">
        <f>IF(Games[[#This Row],[MOV]]&gt;0,1,IF(Games[[#This Row],[MOV]]=0,0.5,0))</f>
        <v>0</v>
      </c>
      <c r="W275" s="4">
        <f>((ABS(Games[[#This Row],[MOV]])+5)^0.6)/(12+0.01*(ABS(Games[[#This Row],[PreGmRate]]-Games[[#This Row],[OppPreGmRate]])))*IF(Games[[#This Row],[OT]]=1,0.9,1)</f>
        <v>0.46238391781086546</v>
      </c>
      <c r="X275" s="7" cm="1">
        <f t="array" ref="X27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5" s="9">
        <f>MAX(kmin, kmax - 0.15 * MIN(Games[[#This Row],[GamesPlayed]], 82))</f>
        <v>72.7</v>
      </c>
      <c r="Z275" s="4">
        <f>Games[[#This Row],[K]]*Games[[#This Row],[POMult]]</f>
        <v>72.7</v>
      </c>
      <c r="AA275" s="4">
        <f>(Games[[#This Row],[Keff]]*Games[[#This Row],[MOVMult]])*(Games[[#This Row],[Result]]-Games[[#This Row],[ExpectedWin%]])</f>
        <v>-19.631460843563232</v>
      </c>
      <c r="AB275" s="4">
        <f>Games[[#This Row],[PreGmRate]]+Games[[#This Row],[RatingChange]]</f>
        <v>1392.3186466524589</v>
      </c>
      <c r="AC275" s="2">
        <f>IF(Games[[#This Row],[Type]]="R",IF(Games[[#This Row],[Result]]&gt;0.5,1,0),0)</f>
        <v>0</v>
      </c>
      <c r="AD275" s="2">
        <f>IF(Games[[#This Row],[Type]]="R",IF(Games[[#This Row],[Result]]&lt;0.5,1,0),0)</f>
        <v>1</v>
      </c>
      <c r="AE275" s="2">
        <f>IF(AND(Games[[#This Row],[Type]]="P",Games[[#This Row],[Round]]=1),IF(Games[[#This Row],[Result]]&gt;0.5,1,0),0)</f>
        <v>0</v>
      </c>
      <c r="AF275" s="2">
        <f>IF(AND(Games[[#This Row],[Type]]="P",Games[[#This Row],[Round]]=1),IF(Games[[#This Row],[Result]]&lt;0.5,1,0),0)</f>
        <v>0</v>
      </c>
      <c r="AG275" s="2">
        <f>IF(AND(Games[[#This Row],[Type]]="P",Games[[#This Row],[Round]]=2),IF(Games[[#This Row],[Result]]&gt;0.5,1,0),0)</f>
        <v>0</v>
      </c>
      <c r="AH275" s="2">
        <f>IF(AND(Games[[#This Row],[Type]]="P",Games[[#This Row],[Round]]=2),IF(Games[[#This Row],[Result]]&lt;0.5,1,0),0)</f>
        <v>0</v>
      </c>
      <c r="AI275" s="2">
        <f>IF(AND(Games[[#This Row],[Type]]="P",Games[[#This Row],[Round]]=3),IF(Games[[#This Row],[Result]]&gt;0.5,1,0),0)</f>
        <v>0</v>
      </c>
      <c r="AJ275" s="2">
        <f>IF(AND(Games[[#This Row],[Type]]="P",Games[[#This Row],[Round]]=3),IF(Games[[#This Row],[Result]]&lt;0.5,1,0),0)</f>
        <v>0</v>
      </c>
      <c r="AK275" s="2">
        <f>IF(AND(Games[[#This Row],[Type]]="P",Games[[#This Row],[Round]]=4),IF(Games[[#This Row],[Result]]&gt;0.5,1,0),0)</f>
        <v>0</v>
      </c>
      <c r="AL275" s="2">
        <f>IF(AND(Games[[#This Row],[Type]]="P",Games[[#This Row],[Round]]=4),IF(Games[[#This Row],[Result]]&lt;0.5,1,0),0)</f>
        <v>0</v>
      </c>
    </row>
    <row r="276" spans="1:38" x14ac:dyDescent="0.35">
      <c r="A276" s="10">
        <v>40386</v>
      </c>
      <c r="B276" s="2">
        <v>2010</v>
      </c>
      <c r="C276" s="2">
        <f>COUNTIFS(Games[Team],Games[[#This Row],[Team]],Games[Season],Games[[#This Row],[Season]],Games[Date],"&lt;=" &amp; Games[[#This Row],[Date]])</f>
        <v>23</v>
      </c>
      <c r="D276" s="2" t="s">
        <v>23</v>
      </c>
      <c r="E276" s="2" t="s">
        <v>29</v>
      </c>
      <c r="F276" s="1" t="s">
        <v>78</v>
      </c>
      <c r="G276" s="1" t="s">
        <v>64</v>
      </c>
      <c r="H276" s="1" t="s">
        <v>16</v>
      </c>
      <c r="I276" s="2" cm="1">
        <f t="array" ref="I276">IFERROR(
    Games[[#This Row],[Date]]
    - LOOKUP(
        2,
        1/((Games[Team]=Games[[#This Row],[Team]]) * (Games[Date] &lt; Games[[#This Row],[Date]])),
        Games[Date]
    )
    - 1,
Games[[#This Row],[Date]]-$A$2)</f>
        <v>2</v>
      </c>
      <c r="J276" s="2" cm="1">
        <f t="array" ref="J27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6" s="2">
        <f>Games[[#This Row],[DaysOff]]-Games[[#This Row],[OppDaysOff]]</f>
        <v>1</v>
      </c>
      <c r="L276" s="2">
        <f>Games[[#This Row],[OppDaysOff]]-Games[[#This Row],[DaysOff]]</f>
        <v>-1</v>
      </c>
      <c r="M276" s="1">
        <f>MAX(-16, MIN(16, Games[[#This Row],[RestDiff]]*8))</f>
        <v>8</v>
      </c>
      <c r="N276" s="1">
        <f>MAX(-16, MIN(16, Games[[#This Row],[OppRestDiff]]*8))</f>
        <v>-8</v>
      </c>
      <c r="O276" s="4" cm="1">
        <f t="array" ref="O2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1420.8788395946328</v>
      </c>
      <c r="P276" s="4" cm="1">
        <f t="array" ref="P2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1520.7386625560696</v>
      </c>
      <c r="Q276" s="4">
        <f>1/(1+10^(((Games[[#This Row],[OppPreGmRate]]+IF(Games[[#This Row],[HomeAway]]="A",HCA,0)+Games[[#This Row],[OppRestAdj]])-(Games[[#This Row],[PreGmRate]]+IF(Games[[#This Row],[HomeAway]]="H",HCA,0)+Games[[#This Row],[RestAdj]]))/400))</f>
        <v>0.27562283428502521</v>
      </c>
      <c r="R276" s="1">
        <v>72</v>
      </c>
      <c r="S276" s="1">
        <v>77</v>
      </c>
      <c r="T276" s="1">
        <v>0</v>
      </c>
      <c r="U276" s="1">
        <f>Games[[#This Row],[PointsFor]]-Games[[#This Row],[PointsAgainst]]</f>
        <v>-5</v>
      </c>
      <c r="V276" s="1">
        <f>IF(Games[[#This Row],[MOV]]&gt;0,1,IF(Games[[#This Row],[MOV]]=0,0.5,0))</f>
        <v>0</v>
      </c>
      <c r="W276" s="4">
        <f>((ABS(Games[[#This Row],[MOV]])+5)^0.6)/(12+0.01*(ABS(Games[[#This Row],[PreGmRate]]-Games[[#This Row],[OppPreGmRate]])))*IF(Games[[#This Row],[OT]]=1,0.9,1)</f>
        <v>0.30626930959870741</v>
      </c>
      <c r="X276" s="7" cm="1">
        <f t="array" ref="X27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6" s="9">
        <f>MAX(kmin, kmax - 0.15 * MIN(Games[[#This Row],[GamesPlayed]], 82))</f>
        <v>72.55</v>
      </c>
      <c r="Z276" s="4">
        <f>Games[[#This Row],[K]]*Games[[#This Row],[POMult]]</f>
        <v>72.55</v>
      </c>
      <c r="AA276" s="4">
        <f>(Games[[#This Row],[Keff]]*Games[[#This Row],[MOVMult]])*(Games[[#This Row],[Result]]-Games[[#This Row],[ExpectedWin%]])</f>
        <v>-6.124294840301542</v>
      </c>
      <c r="AB276" s="4">
        <f>Games[[#This Row],[PreGmRate]]+Games[[#This Row],[RatingChange]]</f>
        <v>1414.7545447543314</v>
      </c>
      <c r="AC276" s="2">
        <f>IF(Games[[#This Row],[Type]]="R",IF(Games[[#This Row],[Result]]&gt;0.5,1,0),0)</f>
        <v>0</v>
      </c>
      <c r="AD276" s="2">
        <f>IF(Games[[#This Row],[Type]]="R",IF(Games[[#This Row],[Result]]&lt;0.5,1,0),0)</f>
        <v>1</v>
      </c>
      <c r="AE276" s="2">
        <f>IF(AND(Games[[#This Row],[Type]]="P",Games[[#This Row],[Round]]=1),IF(Games[[#This Row],[Result]]&gt;0.5,1,0),0)</f>
        <v>0</v>
      </c>
      <c r="AF276" s="2">
        <f>IF(AND(Games[[#This Row],[Type]]="P",Games[[#This Row],[Round]]=1),IF(Games[[#This Row],[Result]]&lt;0.5,1,0),0)</f>
        <v>0</v>
      </c>
      <c r="AG276" s="2">
        <f>IF(AND(Games[[#This Row],[Type]]="P",Games[[#This Row],[Round]]=2),IF(Games[[#This Row],[Result]]&gt;0.5,1,0),0)</f>
        <v>0</v>
      </c>
      <c r="AH276" s="2">
        <f>IF(AND(Games[[#This Row],[Type]]="P",Games[[#This Row],[Round]]=2),IF(Games[[#This Row],[Result]]&lt;0.5,1,0),0)</f>
        <v>0</v>
      </c>
      <c r="AI276" s="2">
        <f>IF(AND(Games[[#This Row],[Type]]="P",Games[[#This Row],[Round]]=3),IF(Games[[#This Row],[Result]]&gt;0.5,1,0),0)</f>
        <v>0</v>
      </c>
      <c r="AJ276" s="2">
        <f>IF(AND(Games[[#This Row],[Type]]="P",Games[[#This Row],[Round]]=3),IF(Games[[#This Row],[Result]]&lt;0.5,1,0),0)</f>
        <v>0</v>
      </c>
      <c r="AK276" s="2">
        <f>IF(AND(Games[[#This Row],[Type]]="P",Games[[#This Row],[Round]]=4),IF(Games[[#This Row],[Result]]&gt;0.5,1,0),0)</f>
        <v>0</v>
      </c>
      <c r="AL276" s="2">
        <f>IF(AND(Games[[#This Row],[Type]]="P",Games[[#This Row],[Round]]=4),IF(Games[[#This Row],[Result]]&lt;0.5,1,0),0)</f>
        <v>0</v>
      </c>
    </row>
    <row r="277" spans="1:38" x14ac:dyDescent="0.35">
      <c r="A277" s="10">
        <v>40386</v>
      </c>
      <c r="B277" s="2">
        <v>2010</v>
      </c>
      <c r="C277" s="2">
        <f>COUNTIFS(Games[Team],Games[[#This Row],[Team]],Games[Season],Games[[#This Row],[Season]],Games[Date],"&lt;=" &amp; Games[[#This Row],[Date]])</f>
        <v>23</v>
      </c>
      <c r="D277" s="2" t="s">
        <v>23</v>
      </c>
      <c r="E277" s="2" t="s">
        <v>29</v>
      </c>
      <c r="F277" s="1" t="s">
        <v>64</v>
      </c>
      <c r="G277" s="1" t="s">
        <v>78</v>
      </c>
      <c r="H277" s="1" t="s">
        <v>15</v>
      </c>
      <c r="I277" s="2" cm="1">
        <f t="array" ref="I27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7" s="2" cm="1">
        <f t="array" ref="J27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77" s="2">
        <f>Games[[#This Row],[DaysOff]]-Games[[#This Row],[OppDaysOff]]</f>
        <v>-1</v>
      </c>
      <c r="L277" s="2">
        <f>Games[[#This Row],[OppDaysOff]]-Games[[#This Row],[DaysOff]]</f>
        <v>1</v>
      </c>
      <c r="M277" s="1">
        <f>MAX(-16, MIN(16, Games[[#This Row],[RestDiff]]*8))</f>
        <v>-8</v>
      </c>
      <c r="N277" s="1">
        <f>MAX(-16, MIN(16, Games[[#This Row],[OppRestDiff]]*8))</f>
        <v>8</v>
      </c>
      <c r="O277" s="4" cm="1">
        <f t="array" ref="O2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1520.7386625560696</v>
      </c>
      <c r="P277" s="4" cm="1">
        <f t="array" ref="P2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1420.8788395946328</v>
      </c>
      <c r="Q277" s="4">
        <f>1/(1+10^(((Games[[#This Row],[OppPreGmRate]]+IF(Games[[#This Row],[HomeAway]]="A",HCA,0)+Games[[#This Row],[OppRestAdj]])-(Games[[#This Row],[PreGmRate]]+IF(Games[[#This Row],[HomeAway]]="H",HCA,0)+Games[[#This Row],[RestAdj]]))/400))</f>
        <v>0.72437716571497479</v>
      </c>
      <c r="R277" s="1">
        <v>77</v>
      </c>
      <c r="S277" s="1">
        <v>72</v>
      </c>
      <c r="T277" s="1">
        <v>0</v>
      </c>
      <c r="U277" s="1">
        <f>Games[[#This Row],[PointsFor]]-Games[[#This Row],[PointsAgainst]]</f>
        <v>5</v>
      </c>
      <c r="V277" s="1">
        <f>IF(Games[[#This Row],[MOV]]&gt;0,1,IF(Games[[#This Row],[MOV]]=0,0.5,0))</f>
        <v>1</v>
      </c>
      <c r="W277" s="4">
        <f>((ABS(Games[[#This Row],[MOV]])+5)^0.6)/(12+0.01*(ABS(Games[[#This Row],[PreGmRate]]-Games[[#This Row],[OppPreGmRate]])))*IF(Games[[#This Row],[OT]]=1,0.9,1)</f>
        <v>0.30626930959870741</v>
      </c>
      <c r="X277" s="7" cm="1">
        <f t="array" ref="X27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7" s="9">
        <f>MAX(kmin, kmax - 0.15 * MIN(Games[[#This Row],[GamesPlayed]], 82))</f>
        <v>72.55</v>
      </c>
      <c r="Z277" s="4">
        <f>Games[[#This Row],[K]]*Games[[#This Row],[POMult]]</f>
        <v>72.55</v>
      </c>
      <c r="AA277" s="4">
        <f>(Games[[#This Row],[Keff]]*Games[[#This Row],[MOVMult]])*(Games[[#This Row],[Result]]-Games[[#This Row],[ExpectedWin%]])</f>
        <v>6.124294840301542</v>
      </c>
      <c r="AB277" s="4">
        <f>Games[[#This Row],[PreGmRate]]+Games[[#This Row],[RatingChange]]</f>
        <v>1526.862957396371</v>
      </c>
      <c r="AC277" s="2">
        <f>IF(Games[[#This Row],[Type]]="R",IF(Games[[#This Row],[Result]]&gt;0.5,1,0),0)</f>
        <v>1</v>
      </c>
      <c r="AD277" s="2">
        <f>IF(Games[[#This Row],[Type]]="R",IF(Games[[#This Row],[Result]]&lt;0.5,1,0),0)</f>
        <v>0</v>
      </c>
      <c r="AE277" s="2">
        <f>IF(AND(Games[[#This Row],[Type]]="P",Games[[#This Row],[Round]]=1),IF(Games[[#This Row],[Result]]&gt;0.5,1,0),0)</f>
        <v>0</v>
      </c>
      <c r="AF277" s="2">
        <f>IF(AND(Games[[#This Row],[Type]]="P",Games[[#This Row],[Round]]=1),IF(Games[[#This Row],[Result]]&lt;0.5,1,0),0)</f>
        <v>0</v>
      </c>
      <c r="AG277" s="2">
        <f>IF(AND(Games[[#This Row],[Type]]="P",Games[[#This Row],[Round]]=2),IF(Games[[#This Row],[Result]]&gt;0.5,1,0),0)</f>
        <v>0</v>
      </c>
      <c r="AH277" s="2">
        <f>IF(AND(Games[[#This Row],[Type]]="P",Games[[#This Row],[Round]]=2),IF(Games[[#This Row],[Result]]&lt;0.5,1,0),0)</f>
        <v>0</v>
      </c>
      <c r="AI277" s="2">
        <f>IF(AND(Games[[#This Row],[Type]]="P",Games[[#This Row],[Round]]=3),IF(Games[[#This Row],[Result]]&gt;0.5,1,0),0)</f>
        <v>0</v>
      </c>
      <c r="AJ277" s="2">
        <f>IF(AND(Games[[#This Row],[Type]]="P",Games[[#This Row],[Round]]=3),IF(Games[[#This Row],[Result]]&lt;0.5,1,0),0)</f>
        <v>0</v>
      </c>
      <c r="AK277" s="2">
        <f>IF(AND(Games[[#This Row],[Type]]="P",Games[[#This Row],[Round]]=4),IF(Games[[#This Row],[Result]]&gt;0.5,1,0),0)</f>
        <v>0</v>
      </c>
      <c r="AL277" s="2">
        <f>IF(AND(Games[[#This Row],[Type]]="P",Games[[#This Row],[Round]]=4),IF(Games[[#This Row],[Result]]&lt;0.5,1,0),0)</f>
        <v>0</v>
      </c>
    </row>
    <row r="278" spans="1:38" x14ac:dyDescent="0.35">
      <c r="A278" s="10">
        <v>40386</v>
      </c>
      <c r="B278" s="2">
        <v>2010</v>
      </c>
      <c r="C278" s="2">
        <f>COUNTIFS(Games[Team],Games[[#This Row],[Team]],Games[Season],Games[[#This Row],[Season]],Games[Date],"&lt;=" &amp; Games[[#This Row],[Date]])</f>
        <v>23</v>
      </c>
      <c r="D278" s="2" t="s">
        <v>23</v>
      </c>
      <c r="E278" s="2" t="s">
        <v>29</v>
      </c>
      <c r="F278" s="1" t="s">
        <v>44</v>
      </c>
      <c r="G278" s="1" t="s">
        <v>75</v>
      </c>
      <c r="H278" s="1" t="s">
        <v>16</v>
      </c>
      <c r="I278" s="2" cm="1">
        <f t="array" ref="I278">IFERROR(
    Games[[#This Row],[Date]]
    - LOOKUP(
        2,
        1/((Games[Team]=Games[[#This Row],[Team]]) * (Games[Date] &lt; Games[[#This Row],[Date]])),
        Games[Date]
    )
    - 1,
Games[[#This Row],[Date]]-$A$2)</f>
        <v>2</v>
      </c>
      <c r="J278" s="2" cm="1">
        <f t="array" ref="J27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8" s="2">
        <f>Games[[#This Row],[DaysOff]]-Games[[#This Row],[OppDaysOff]]</f>
        <v>1</v>
      </c>
      <c r="L278" s="2">
        <f>Games[[#This Row],[OppDaysOff]]-Games[[#This Row],[DaysOff]]</f>
        <v>-1</v>
      </c>
      <c r="M278" s="1">
        <f>MAX(-16, MIN(16, Games[[#This Row],[RestDiff]]*8))</f>
        <v>8</v>
      </c>
      <c r="N278" s="1">
        <f>MAX(-16, MIN(16, Games[[#This Row],[OppRestDiff]]*8))</f>
        <v>-8</v>
      </c>
      <c r="O278" s="4" cm="1">
        <f t="array" ref="O2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1538.9599121353917</v>
      </c>
      <c r="P278" s="4" cm="1">
        <f t="array" ref="P2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1681.8135179801488</v>
      </c>
      <c r="Q278" s="4">
        <f>1/(1+10^(((Games[[#This Row],[OppPreGmRate]]+IF(Games[[#This Row],[HomeAway]]="A",HCA,0)+Games[[#This Row],[OppRestAdj]])-(Games[[#This Row],[PreGmRate]]+IF(Games[[#This Row],[HomeAway]]="H",HCA,0)+Games[[#This Row],[RestAdj]]))/400))</f>
        <v>0.22903450956984764</v>
      </c>
      <c r="R278" s="1">
        <v>85</v>
      </c>
      <c r="S278" s="1">
        <v>91</v>
      </c>
      <c r="T278" s="1">
        <v>0</v>
      </c>
      <c r="U278" s="1">
        <f>Games[[#This Row],[PointsFor]]-Games[[#This Row],[PointsAgainst]]</f>
        <v>-6</v>
      </c>
      <c r="V278" s="1">
        <f>IF(Games[[#This Row],[MOV]]&gt;0,1,IF(Games[[#This Row],[MOV]]=0,0.5,0))</f>
        <v>0</v>
      </c>
      <c r="W278" s="4">
        <f>((ABS(Games[[#This Row],[MOV]])+5)^0.6)/(12+0.01*(ABS(Games[[#This Row],[PreGmRate]]-Games[[#This Row],[OppPreGmRate]])))*IF(Games[[#This Row],[OT]]=1,0.9,1)</f>
        <v>0.31391129418311475</v>
      </c>
      <c r="X278" s="7" cm="1">
        <f t="array" ref="X27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8" s="9">
        <f>MAX(kmin, kmax - 0.15 * MIN(Games[[#This Row],[GamesPlayed]], 82))</f>
        <v>72.55</v>
      </c>
      <c r="Z278" s="4">
        <f>Games[[#This Row],[K]]*Games[[#This Row],[POMult]]</f>
        <v>72.55</v>
      </c>
      <c r="AA278" s="4">
        <f>(Games[[#This Row],[Keff]]*Games[[#This Row],[MOVMult]])*(Games[[#This Row],[Result]]-Games[[#This Row],[ExpectedWin%]])</f>
        <v>-5.2160924760613572</v>
      </c>
      <c r="AB278" s="4">
        <f>Games[[#This Row],[PreGmRate]]+Games[[#This Row],[RatingChange]]</f>
        <v>1533.7438196593305</v>
      </c>
      <c r="AC278" s="2">
        <f>IF(Games[[#This Row],[Type]]="R",IF(Games[[#This Row],[Result]]&gt;0.5,1,0),0)</f>
        <v>0</v>
      </c>
      <c r="AD278" s="2">
        <f>IF(Games[[#This Row],[Type]]="R",IF(Games[[#This Row],[Result]]&lt;0.5,1,0),0)</f>
        <v>1</v>
      </c>
      <c r="AE278" s="2">
        <f>IF(AND(Games[[#This Row],[Type]]="P",Games[[#This Row],[Round]]=1),IF(Games[[#This Row],[Result]]&gt;0.5,1,0),0)</f>
        <v>0</v>
      </c>
      <c r="AF278" s="2">
        <f>IF(AND(Games[[#This Row],[Type]]="P",Games[[#This Row],[Round]]=1),IF(Games[[#This Row],[Result]]&lt;0.5,1,0),0)</f>
        <v>0</v>
      </c>
      <c r="AG278" s="2">
        <f>IF(AND(Games[[#This Row],[Type]]="P",Games[[#This Row],[Round]]=2),IF(Games[[#This Row],[Result]]&gt;0.5,1,0),0)</f>
        <v>0</v>
      </c>
      <c r="AH278" s="2">
        <f>IF(AND(Games[[#This Row],[Type]]="P",Games[[#This Row],[Round]]=2),IF(Games[[#This Row],[Result]]&lt;0.5,1,0),0)</f>
        <v>0</v>
      </c>
      <c r="AI278" s="2">
        <f>IF(AND(Games[[#This Row],[Type]]="P",Games[[#This Row],[Round]]=3),IF(Games[[#This Row],[Result]]&gt;0.5,1,0),0)</f>
        <v>0</v>
      </c>
      <c r="AJ278" s="2">
        <f>IF(AND(Games[[#This Row],[Type]]="P",Games[[#This Row],[Round]]=3),IF(Games[[#This Row],[Result]]&lt;0.5,1,0),0)</f>
        <v>0</v>
      </c>
      <c r="AK278" s="2">
        <f>IF(AND(Games[[#This Row],[Type]]="P",Games[[#This Row],[Round]]=4),IF(Games[[#This Row],[Result]]&gt;0.5,1,0),0)</f>
        <v>0</v>
      </c>
      <c r="AL278" s="2">
        <f>IF(AND(Games[[#This Row],[Type]]="P",Games[[#This Row],[Round]]=4),IF(Games[[#This Row],[Result]]&lt;0.5,1,0),0)</f>
        <v>0</v>
      </c>
    </row>
    <row r="279" spans="1:38" x14ac:dyDescent="0.35">
      <c r="A279" s="10">
        <v>40386</v>
      </c>
      <c r="B279" s="2">
        <v>2010</v>
      </c>
      <c r="C279" s="2">
        <f>COUNTIFS(Games[Team],Games[[#This Row],[Team]],Games[Season],Games[[#This Row],[Season]],Games[Date],"&lt;=" &amp; Games[[#This Row],[Date]])</f>
        <v>23</v>
      </c>
      <c r="D279" s="2" t="s">
        <v>23</v>
      </c>
      <c r="E279" s="2" t="s">
        <v>29</v>
      </c>
      <c r="F279" s="1" t="s">
        <v>75</v>
      </c>
      <c r="G279" s="1" t="s">
        <v>44</v>
      </c>
      <c r="H279" s="1" t="s">
        <v>15</v>
      </c>
      <c r="I279" s="2" cm="1">
        <f t="array" ref="I27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9" s="2" cm="1">
        <f t="array" ref="J27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79" s="2">
        <f>Games[[#This Row],[DaysOff]]-Games[[#This Row],[OppDaysOff]]</f>
        <v>-1</v>
      </c>
      <c r="L279" s="2">
        <f>Games[[#This Row],[OppDaysOff]]-Games[[#This Row],[DaysOff]]</f>
        <v>1</v>
      </c>
      <c r="M279" s="1">
        <f>MAX(-16, MIN(16, Games[[#This Row],[RestDiff]]*8))</f>
        <v>-8</v>
      </c>
      <c r="N279" s="1">
        <f>MAX(-16, MIN(16, Games[[#This Row],[OppRestDiff]]*8))</f>
        <v>8</v>
      </c>
      <c r="O279" s="4" cm="1">
        <f t="array" ref="O2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1681.8135179801488</v>
      </c>
      <c r="P279" s="4" cm="1">
        <f t="array" ref="P2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1538.9599121353917</v>
      </c>
      <c r="Q279" s="4">
        <f>1/(1+10^(((Games[[#This Row],[OppPreGmRate]]+IF(Games[[#This Row],[HomeAway]]="A",HCA,0)+Games[[#This Row],[OppRestAdj]])-(Games[[#This Row],[PreGmRate]]+IF(Games[[#This Row],[HomeAway]]="H",HCA,0)+Games[[#This Row],[RestAdj]]))/400))</f>
        <v>0.77096549043015228</v>
      </c>
      <c r="R279" s="1">
        <v>91</v>
      </c>
      <c r="S279" s="1">
        <v>85</v>
      </c>
      <c r="T279" s="1">
        <v>0</v>
      </c>
      <c r="U279" s="1">
        <f>Games[[#This Row],[PointsFor]]-Games[[#This Row],[PointsAgainst]]</f>
        <v>6</v>
      </c>
      <c r="V279" s="1">
        <f>IF(Games[[#This Row],[MOV]]&gt;0,1,IF(Games[[#This Row],[MOV]]=0,0.5,0))</f>
        <v>1</v>
      </c>
      <c r="W279" s="4">
        <f>((ABS(Games[[#This Row],[MOV]])+5)^0.6)/(12+0.01*(ABS(Games[[#This Row],[PreGmRate]]-Games[[#This Row],[OppPreGmRate]])))*IF(Games[[#This Row],[OT]]=1,0.9,1)</f>
        <v>0.31391129418311475</v>
      </c>
      <c r="X279" s="7" cm="1">
        <f t="array" ref="X27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9" s="9">
        <f>MAX(kmin, kmax - 0.15 * MIN(Games[[#This Row],[GamesPlayed]], 82))</f>
        <v>72.55</v>
      </c>
      <c r="Z279" s="4">
        <f>Games[[#This Row],[K]]*Games[[#This Row],[POMult]]</f>
        <v>72.55</v>
      </c>
      <c r="AA279" s="4">
        <f>(Games[[#This Row],[Keff]]*Games[[#This Row],[MOVMult]])*(Games[[#This Row],[Result]]-Games[[#This Row],[ExpectedWin%]])</f>
        <v>5.2160924760613598</v>
      </c>
      <c r="AB279" s="4">
        <f>Games[[#This Row],[PreGmRate]]+Games[[#This Row],[RatingChange]]</f>
        <v>1687.0296104562101</v>
      </c>
      <c r="AC279" s="2">
        <f>IF(Games[[#This Row],[Type]]="R",IF(Games[[#This Row],[Result]]&gt;0.5,1,0),0)</f>
        <v>1</v>
      </c>
      <c r="AD279" s="2">
        <f>IF(Games[[#This Row],[Type]]="R",IF(Games[[#This Row],[Result]]&lt;0.5,1,0),0)</f>
        <v>0</v>
      </c>
      <c r="AE279" s="2">
        <f>IF(AND(Games[[#This Row],[Type]]="P",Games[[#This Row],[Round]]=1),IF(Games[[#This Row],[Result]]&gt;0.5,1,0),0)</f>
        <v>0</v>
      </c>
      <c r="AF279" s="2">
        <f>IF(AND(Games[[#This Row],[Type]]="P",Games[[#This Row],[Round]]=1),IF(Games[[#This Row],[Result]]&lt;0.5,1,0),0)</f>
        <v>0</v>
      </c>
      <c r="AG279" s="2">
        <f>IF(AND(Games[[#This Row],[Type]]="P",Games[[#This Row],[Round]]=2),IF(Games[[#This Row],[Result]]&gt;0.5,1,0),0)</f>
        <v>0</v>
      </c>
      <c r="AH279" s="2">
        <f>IF(AND(Games[[#This Row],[Type]]="P",Games[[#This Row],[Round]]=2),IF(Games[[#This Row],[Result]]&lt;0.5,1,0),0)</f>
        <v>0</v>
      </c>
      <c r="AI279" s="2">
        <f>IF(AND(Games[[#This Row],[Type]]="P",Games[[#This Row],[Round]]=3),IF(Games[[#This Row],[Result]]&gt;0.5,1,0),0)</f>
        <v>0</v>
      </c>
      <c r="AJ279" s="2">
        <f>IF(AND(Games[[#This Row],[Type]]="P",Games[[#This Row],[Round]]=3),IF(Games[[#This Row],[Result]]&lt;0.5,1,0),0)</f>
        <v>0</v>
      </c>
      <c r="AK279" s="2">
        <f>IF(AND(Games[[#This Row],[Type]]="P",Games[[#This Row],[Round]]=4),IF(Games[[#This Row],[Result]]&gt;0.5,1,0),0)</f>
        <v>0</v>
      </c>
      <c r="AL279" s="2">
        <f>IF(AND(Games[[#This Row],[Type]]="P",Games[[#This Row],[Round]]=4),IF(Games[[#This Row],[Result]]&lt;0.5,1,0),0)</f>
        <v>0</v>
      </c>
    </row>
    <row r="280" spans="1:38" x14ac:dyDescent="0.35">
      <c r="A280" s="10">
        <v>40386</v>
      </c>
      <c r="B280" s="2">
        <v>2010</v>
      </c>
      <c r="C280" s="2">
        <f>COUNTIFS(Games[Team],Games[[#This Row],[Team]],Games[Season],Games[[#This Row],[Season]],Games[Date],"&lt;=" &amp; Games[[#This Row],[Date]])</f>
        <v>25</v>
      </c>
      <c r="D280" s="2" t="s">
        <v>23</v>
      </c>
      <c r="E280" s="2" t="s">
        <v>29</v>
      </c>
      <c r="F280" s="1" t="s">
        <v>83</v>
      </c>
      <c r="G280" s="1" t="s">
        <v>85</v>
      </c>
      <c r="H280" s="1" t="s">
        <v>16</v>
      </c>
      <c r="I280" s="2" cm="1">
        <f t="array" ref="I28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0" s="2" cm="1">
        <f t="array" ref="J28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0" s="2">
        <f>Games[[#This Row],[DaysOff]]-Games[[#This Row],[OppDaysOff]]</f>
        <v>0</v>
      </c>
      <c r="L280" s="2">
        <f>Games[[#This Row],[OppDaysOff]]-Games[[#This Row],[DaysOff]]</f>
        <v>0</v>
      </c>
      <c r="M280" s="1">
        <f>MAX(-16, MIN(16, Games[[#This Row],[RestDiff]]*8))</f>
        <v>0</v>
      </c>
      <c r="N280" s="1">
        <f>MAX(-16, MIN(16, Games[[#This Row],[OppRestDiff]]*8))</f>
        <v>0</v>
      </c>
      <c r="O280" s="4" cm="1">
        <f t="array" ref="O2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1529.0711541316193</v>
      </c>
      <c r="P280" s="4" cm="1">
        <f t="array" ref="P2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1332.4348003551663</v>
      </c>
      <c r="Q280" s="4">
        <f>1/(1+10^(((Games[[#This Row],[OppPreGmRate]]+IF(Games[[#This Row],[HomeAway]]="A",HCA,0)+Games[[#This Row],[OppRestAdj]])-(Games[[#This Row],[PreGmRate]]+IF(Games[[#This Row],[HomeAway]]="H",HCA,0)+Games[[#This Row],[RestAdj]]))/400))</f>
        <v>0.65664687868552085</v>
      </c>
      <c r="R280" s="1">
        <v>105</v>
      </c>
      <c r="S280" s="1">
        <v>89</v>
      </c>
      <c r="T280" s="1">
        <v>0</v>
      </c>
      <c r="U280" s="1">
        <f>Games[[#This Row],[PointsFor]]-Games[[#This Row],[PointsAgainst]]</f>
        <v>16</v>
      </c>
      <c r="V280" s="1">
        <f>IF(Games[[#This Row],[MOV]]&gt;0,1,IF(Games[[#This Row],[MOV]]=0,0.5,0))</f>
        <v>1</v>
      </c>
      <c r="W280" s="4">
        <f>((ABS(Games[[#This Row],[MOV]])+5)^0.6)/(12+0.01*(ABS(Games[[#This Row],[PreGmRate]]-Games[[#This Row],[OppPreGmRate]])))*IF(Games[[#This Row],[OT]]=1,0.9,1)</f>
        <v>0.44488548293618824</v>
      </c>
      <c r="X280" s="7" cm="1">
        <f t="array" ref="X28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0" s="9">
        <f>MAX(kmin, kmax - 0.15 * MIN(Games[[#This Row],[GamesPlayed]], 82))</f>
        <v>72.25</v>
      </c>
      <c r="Z280" s="4">
        <f>Games[[#This Row],[K]]*Games[[#This Row],[POMult]]</f>
        <v>72.25</v>
      </c>
      <c r="AA280" s="4">
        <f>(Games[[#This Row],[Keff]]*Games[[#This Row],[MOVMult]])*(Games[[#This Row],[Result]]-Games[[#This Row],[ExpectedWin%]])</f>
        <v>11.036391186740468</v>
      </c>
      <c r="AB280" s="4">
        <f>Games[[#This Row],[PreGmRate]]+Games[[#This Row],[RatingChange]]</f>
        <v>1540.1075453183598</v>
      </c>
      <c r="AC280" s="2">
        <f>IF(Games[[#This Row],[Type]]="R",IF(Games[[#This Row],[Result]]&gt;0.5,1,0),0)</f>
        <v>1</v>
      </c>
      <c r="AD280" s="2">
        <f>IF(Games[[#This Row],[Type]]="R",IF(Games[[#This Row],[Result]]&lt;0.5,1,0),0)</f>
        <v>0</v>
      </c>
      <c r="AE280" s="2">
        <f>IF(AND(Games[[#This Row],[Type]]="P",Games[[#This Row],[Round]]=1),IF(Games[[#This Row],[Result]]&gt;0.5,1,0),0)</f>
        <v>0</v>
      </c>
      <c r="AF280" s="2">
        <f>IF(AND(Games[[#This Row],[Type]]="P",Games[[#This Row],[Round]]=1),IF(Games[[#This Row],[Result]]&lt;0.5,1,0),0)</f>
        <v>0</v>
      </c>
      <c r="AG280" s="2">
        <f>IF(AND(Games[[#This Row],[Type]]="P",Games[[#This Row],[Round]]=2),IF(Games[[#This Row],[Result]]&gt;0.5,1,0),0)</f>
        <v>0</v>
      </c>
      <c r="AH280" s="2">
        <f>IF(AND(Games[[#This Row],[Type]]="P",Games[[#This Row],[Round]]=2),IF(Games[[#This Row],[Result]]&lt;0.5,1,0),0)</f>
        <v>0</v>
      </c>
      <c r="AI280" s="2">
        <f>IF(AND(Games[[#This Row],[Type]]="P",Games[[#This Row],[Round]]=3),IF(Games[[#This Row],[Result]]&gt;0.5,1,0),0)</f>
        <v>0</v>
      </c>
      <c r="AJ280" s="2">
        <f>IF(AND(Games[[#This Row],[Type]]="P",Games[[#This Row],[Round]]=3),IF(Games[[#This Row],[Result]]&lt;0.5,1,0),0)</f>
        <v>0</v>
      </c>
      <c r="AK280" s="2">
        <f>IF(AND(Games[[#This Row],[Type]]="P",Games[[#This Row],[Round]]=4),IF(Games[[#This Row],[Result]]&gt;0.5,1,0),0)</f>
        <v>0</v>
      </c>
      <c r="AL280" s="2">
        <f>IF(AND(Games[[#This Row],[Type]]="P",Games[[#This Row],[Round]]=4),IF(Games[[#This Row],[Result]]&lt;0.5,1,0),0)</f>
        <v>0</v>
      </c>
    </row>
    <row r="281" spans="1:38" x14ac:dyDescent="0.35">
      <c r="A281" s="10">
        <v>40386</v>
      </c>
      <c r="B281" s="2">
        <v>2010</v>
      </c>
      <c r="C281" s="2">
        <f>COUNTIFS(Games[Team],Games[[#This Row],[Team]],Games[Season],Games[[#This Row],[Season]],Games[Date],"&lt;=" &amp; Games[[#This Row],[Date]])</f>
        <v>24</v>
      </c>
      <c r="D281" s="2" t="s">
        <v>23</v>
      </c>
      <c r="E281" s="2" t="s">
        <v>29</v>
      </c>
      <c r="F281" s="1" t="s">
        <v>85</v>
      </c>
      <c r="G281" s="1" t="s">
        <v>83</v>
      </c>
      <c r="H281" s="1" t="s">
        <v>15</v>
      </c>
      <c r="I281" s="2" cm="1">
        <f t="array" ref="I28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1" s="2" cm="1">
        <f t="array" ref="J28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1" s="2">
        <f>Games[[#This Row],[DaysOff]]-Games[[#This Row],[OppDaysOff]]</f>
        <v>0</v>
      </c>
      <c r="L281" s="2">
        <f>Games[[#This Row],[OppDaysOff]]-Games[[#This Row],[DaysOff]]</f>
        <v>0</v>
      </c>
      <c r="M281" s="1">
        <f>MAX(-16, MIN(16, Games[[#This Row],[RestDiff]]*8))</f>
        <v>0</v>
      </c>
      <c r="N281" s="1">
        <f>MAX(-16, MIN(16, Games[[#This Row],[OppRestDiff]]*8))</f>
        <v>0</v>
      </c>
      <c r="O281" s="4" cm="1">
        <f t="array" ref="O2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1332.4348003551663</v>
      </c>
      <c r="P281" s="4" cm="1">
        <f t="array" ref="P2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1529.0711541316193</v>
      </c>
      <c r="Q281" s="4">
        <f>1/(1+10^(((Games[[#This Row],[OppPreGmRate]]+IF(Games[[#This Row],[HomeAway]]="A",HCA,0)+Games[[#This Row],[OppRestAdj]])-(Games[[#This Row],[PreGmRate]]+IF(Games[[#This Row],[HomeAway]]="H",HCA,0)+Games[[#This Row],[RestAdj]]))/400))</f>
        <v>0.34335312131447909</v>
      </c>
      <c r="R281" s="1">
        <v>89</v>
      </c>
      <c r="S281" s="1">
        <v>105</v>
      </c>
      <c r="T281" s="1">
        <v>0</v>
      </c>
      <c r="U281" s="1">
        <f>Games[[#This Row],[PointsFor]]-Games[[#This Row],[PointsAgainst]]</f>
        <v>-16</v>
      </c>
      <c r="V281" s="1">
        <f>IF(Games[[#This Row],[MOV]]&gt;0,1,IF(Games[[#This Row],[MOV]]=0,0.5,0))</f>
        <v>0</v>
      </c>
      <c r="W281" s="4">
        <f>((ABS(Games[[#This Row],[MOV]])+5)^0.6)/(12+0.01*(ABS(Games[[#This Row],[PreGmRate]]-Games[[#This Row],[OppPreGmRate]])))*IF(Games[[#This Row],[OT]]=1,0.9,1)</f>
        <v>0.44488548293618824</v>
      </c>
      <c r="X281" s="7" cm="1">
        <f t="array" ref="X28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1" s="9">
        <f>MAX(kmin, kmax - 0.15 * MIN(Games[[#This Row],[GamesPlayed]], 82))</f>
        <v>72.400000000000006</v>
      </c>
      <c r="Z281" s="4">
        <f>Games[[#This Row],[K]]*Games[[#This Row],[POMult]]</f>
        <v>72.400000000000006</v>
      </c>
      <c r="AA281" s="4">
        <f>(Games[[#This Row],[Keff]]*Games[[#This Row],[MOVMult]])*(Games[[#This Row],[Result]]-Games[[#This Row],[ExpectedWin%]])</f>
        <v>-11.059304109619513</v>
      </c>
      <c r="AB281" s="4">
        <f>Games[[#This Row],[PreGmRate]]+Games[[#This Row],[RatingChange]]</f>
        <v>1321.3754962455469</v>
      </c>
      <c r="AC281" s="2">
        <f>IF(Games[[#This Row],[Type]]="R",IF(Games[[#This Row],[Result]]&gt;0.5,1,0),0)</f>
        <v>0</v>
      </c>
      <c r="AD281" s="2">
        <f>IF(Games[[#This Row],[Type]]="R",IF(Games[[#This Row],[Result]]&lt;0.5,1,0),0)</f>
        <v>1</v>
      </c>
      <c r="AE281" s="2">
        <f>IF(AND(Games[[#This Row],[Type]]="P",Games[[#This Row],[Round]]=1),IF(Games[[#This Row],[Result]]&gt;0.5,1,0),0)</f>
        <v>0</v>
      </c>
      <c r="AF281" s="2">
        <f>IF(AND(Games[[#This Row],[Type]]="P",Games[[#This Row],[Round]]=1),IF(Games[[#This Row],[Result]]&lt;0.5,1,0),0)</f>
        <v>0</v>
      </c>
      <c r="AG281" s="2">
        <f>IF(AND(Games[[#This Row],[Type]]="P",Games[[#This Row],[Round]]=2),IF(Games[[#This Row],[Result]]&gt;0.5,1,0),0)</f>
        <v>0</v>
      </c>
      <c r="AH281" s="2">
        <f>IF(AND(Games[[#This Row],[Type]]="P",Games[[#This Row],[Round]]=2),IF(Games[[#This Row],[Result]]&lt;0.5,1,0),0)</f>
        <v>0</v>
      </c>
      <c r="AI281" s="2">
        <f>IF(AND(Games[[#This Row],[Type]]="P",Games[[#This Row],[Round]]=3),IF(Games[[#This Row],[Result]]&gt;0.5,1,0),0)</f>
        <v>0</v>
      </c>
      <c r="AJ281" s="2">
        <f>IF(AND(Games[[#This Row],[Type]]="P",Games[[#This Row],[Round]]=3),IF(Games[[#This Row],[Result]]&lt;0.5,1,0),0)</f>
        <v>0</v>
      </c>
      <c r="AK281" s="2">
        <f>IF(AND(Games[[#This Row],[Type]]="P",Games[[#This Row],[Round]]=4),IF(Games[[#This Row],[Result]]&gt;0.5,1,0),0)</f>
        <v>0</v>
      </c>
      <c r="AL281" s="2">
        <f>IF(AND(Games[[#This Row],[Type]]="P",Games[[#This Row],[Round]]=4),IF(Games[[#This Row],[Result]]&lt;0.5,1,0),0)</f>
        <v>0</v>
      </c>
    </row>
    <row r="282" spans="1:38" x14ac:dyDescent="0.35">
      <c r="A282" s="10">
        <v>40388</v>
      </c>
      <c r="B282" s="2">
        <v>2010</v>
      </c>
      <c r="C282" s="2">
        <f>COUNTIFS(Games[Team],Games[[#This Row],[Team]],Games[Season],Games[[#This Row],[Season]],Games[Date],"&lt;=" &amp; Games[[#This Row],[Date]])</f>
        <v>23</v>
      </c>
      <c r="D282" s="2" t="s">
        <v>23</v>
      </c>
      <c r="E282" s="2" t="s">
        <v>29</v>
      </c>
      <c r="F282" s="1" t="s">
        <v>71</v>
      </c>
      <c r="G282" s="1" t="s">
        <v>44</v>
      </c>
      <c r="H282" s="1" t="s">
        <v>16</v>
      </c>
      <c r="I282" s="2" cm="1">
        <f t="array" ref="I28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2" s="2" cm="1">
        <f t="array" ref="J28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2" s="2">
        <f>Games[[#This Row],[DaysOff]]-Games[[#This Row],[OppDaysOff]]</f>
        <v>0</v>
      </c>
      <c r="L282" s="2">
        <f>Games[[#This Row],[OppDaysOff]]-Games[[#This Row],[DaysOff]]</f>
        <v>0</v>
      </c>
      <c r="M282" s="1">
        <f>MAX(-16, MIN(16, Games[[#This Row],[RestDiff]]*8))</f>
        <v>0</v>
      </c>
      <c r="N282" s="1">
        <f>MAX(-16, MIN(16, Games[[#This Row],[OppRestDiff]]*8))</f>
        <v>0</v>
      </c>
      <c r="O282" s="4" cm="1">
        <f t="array" ref="O2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1392.3186466524589</v>
      </c>
      <c r="P282" s="4" cm="1">
        <f t="array" ref="P2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1533.7438196593305</v>
      </c>
      <c r="Q282" s="4">
        <f>1/(1+10^(((Games[[#This Row],[OppPreGmRate]]+IF(Games[[#This Row],[HomeAway]]="A",HCA,0)+Games[[#This Row],[OppRestAdj]])-(Games[[#This Row],[PreGmRate]]+IF(Games[[#This Row],[HomeAway]]="H",HCA,0)+Games[[#This Row],[RestAdj]]))/400))</f>
        <v>0.21456051288612157</v>
      </c>
      <c r="R282" s="1">
        <v>92</v>
      </c>
      <c r="S282" s="1">
        <v>110</v>
      </c>
      <c r="T282" s="1">
        <v>0</v>
      </c>
      <c r="U282" s="1">
        <f>Games[[#This Row],[PointsFor]]-Games[[#This Row],[PointsAgainst]]</f>
        <v>-18</v>
      </c>
      <c r="V282" s="1">
        <f>IF(Games[[#This Row],[MOV]]&gt;0,1,IF(Games[[#This Row],[MOV]]=0,0.5,0))</f>
        <v>0</v>
      </c>
      <c r="W282" s="4">
        <f>((ABS(Games[[#This Row],[MOV]])+5)^0.6)/(12+0.01*(ABS(Games[[#This Row],[PreGmRate]]-Games[[#This Row],[OppPreGmRate]])))*IF(Games[[#This Row],[OT]]=1,0.9,1)</f>
        <v>0.4891817536722371</v>
      </c>
      <c r="X282" s="7" cm="1">
        <f t="array" ref="X28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2" s="9">
        <f>MAX(kmin, kmax - 0.15 * MIN(Games[[#This Row],[GamesPlayed]], 82))</f>
        <v>72.55</v>
      </c>
      <c r="Z282" s="4">
        <f>Games[[#This Row],[K]]*Games[[#This Row],[POMult]]</f>
        <v>72.55</v>
      </c>
      <c r="AA282" s="4">
        <f>(Games[[#This Row],[Keff]]*Games[[#This Row],[MOVMult]])*(Games[[#This Row],[Result]]-Games[[#This Row],[ExpectedWin%]])</f>
        <v>-7.6147818316755709</v>
      </c>
      <c r="AB282" s="4">
        <f>Games[[#This Row],[PreGmRate]]+Games[[#This Row],[RatingChange]]</f>
        <v>1384.7038648207833</v>
      </c>
      <c r="AC282" s="2">
        <f>IF(Games[[#This Row],[Type]]="R",IF(Games[[#This Row],[Result]]&gt;0.5,1,0),0)</f>
        <v>0</v>
      </c>
      <c r="AD282" s="2">
        <f>IF(Games[[#This Row],[Type]]="R",IF(Games[[#This Row],[Result]]&lt;0.5,1,0),0)</f>
        <v>1</v>
      </c>
      <c r="AE282" s="2">
        <f>IF(AND(Games[[#This Row],[Type]]="P",Games[[#This Row],[Round]]=1),IF(Games[[#This Row],[Result]]&gt;0.5,1,0),0)</f>
        <v>0</v>
      </c>
      <c r="AF282" s="2">
        <f>IF(AND(Games[[#This Row],[Type]]="P",Games[[#This Row],[Round]]=1),IF(Games[[#This Row],[Result]]&lt;0.5,1,0),0)</f>
        <v>0</v>
      </c>
      <c r="AG282" s="2">
        <f>IF(AND(Games[[#This Row],[Type]]="P",Games[[#This Row],[Round]]=2),IF(Games[[#This Row],[Result]]&gt;0.5,1,0),0)</f>
        <v>0</v>
      </c>
      <c r="AH282" s="2">
        <f>IF(AND(Games[[#This Row],[Type]]="P",Games[[#This Row],[Round]]=2),IF(Games[[#This Row],[Result]]&lt;0.5,1,0),0)</f>
        <v>0</v>
      </c>
      <c r="AI282" s="2">
        <f>IF(AND(Games[[#This Row],[Type]]="P",Games[[#This Row],[Round]]=3),IF(Games[[#This Row],[Result]]&gt;0.5,1,0),0)</f>
        <v>0</v>
      </c>
      <c r="AJ282" s="2">
        <f>IF(AND(Games[[#This Row],[Type]]="P",Games[[#This Row],[Round]]=3),IF(Games[[#This Row],[Result]]&lt;0.5,1,0),0)</f>
        <v>0</v>
      </c>
      <c r="AK282" s="2">
        <f>IF(AND(Games[[#This Row],[Type]]="P",Games[[#This Row],[Round]]=4),IF(Games[[#This Row],[Result]]&gt;0.5,1,0),0)</f>
        <v>0</v>
      </c>
      <c r="AL282" s="2">
        <f>IF(AND(Games[[#This Row],[Type]]="P",Games[[#This Row],[Round]]=4),IF(Games[[#This Row],[Result]]&lt;0.5,1,0),0)</f>
        <v>0</v>
      </c>
    </row>
    <row r="283" spans="1:38" x14ac:dyDescent="0.35">
      <c r="A283" s="10">
        <v>40388</v>
      </c>
      <c r="B283" s="2">
        <v>2010</v>
      </c>
      <c r="C283" s="2">
        <f>COUNTIFS(Games[Team],Games[[#This Row],[Team]],Games[Season],Games[[#This Row],[Season]],Games[Date],"&lt;=" &amp; Games[[#This Row],[Date]])</f>
        <v>24</v>
      </c>
      <c r="D283" s="2" t="s">
        <v>23</v>
      </c>
      <c r="E283" s="2" t="s">
        <v>29</v>
      </c>
      <c r="F283" s="1" t="s">
        <v>44</v>
      </c>
      <c r="G283" s="1" t="s">
        <v>71</v>
      </c>
      <c r="H283" s="1" t="s">
        <v>15</v>
      </c>
      <c r="I283" s="2" cm="1">
        <f t="array" ref="I28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3" s="2" cm="1">
        <f t="array" ref="J28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3" s="2">
        <f>Games[[#This Row],[DaysOff]]-Games[[#This Row],[OppDaysOff]]</f>
        <v>0</v>
      </c>
      <c r="L283" s="2">
        <f>Games[[#This Row],[OppDaysOff]]-Games[[#This Row],[DaysOff]]</f>
        <v>0</v>
      </c>
      <c r="M283" s="1">
        <f>MAX(-16, MIN(16, Games[[#This Row],[RestDiff]]*8))</f>
        <v>0</v>
      </c>
      <c r="N283" s="1">
        <f>MAX(-16, MIN(16, Games[[#This Row],[OppRestDiff]]*8))</f>
        <v>0</v>
      </c>
      <c r="O283" s="4" cm="1">
        <f t="array" ref="O2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1533.7438196593305</v>
      </c>
      <c r="P283" s="4" cm="1">
        <f t="array" ref="P2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1392.3186466524589</v>
      </c>
      <c r="Q283" s="4">
        <f>1/(1+10^(((Games[[#This Row],[OppPreGmRate]]+IF(Games[[#This Row],[HomeAway]]="A",HCA,0)+Games[[#This Row],[OppRestAdj]])-(Games[[#This Row],[PreGmRate]]+IF(Games[[#This Row],[HomeAway]]="H",HCA,0)+Games[[#This Row],[RestAdj]]))/400))</f>
        <v>0.78543948711387856</v>
      </c>
      <c r="R283" s="1">
        <v>110</v>
      </c>
      <c r="S283" s="1">
        <v>92</v>
      </c>
      <c r="T283" s="1">
        <v>0</v>
      </c>
      <c r="U283" s="1">
        <f>Games[[#This Row],[PointsFor]]-Games[[#This Row],[PointsAgainst]]</f>
        <v>18</v>
      </c>
      <c r="V283" s="1">
        <f>IF(Games[[#This Row],[MOV]]&gt;0,1,IF(Games[[#This Row],[MOV]]=0,0.5,0))</f>
        <v>1</v>
      </c>
      <c r="W283" s="4">
        <f>((ABS(Games[[#This Row],[MOV]])+5)^0.6)/(12+0.01*(ABS(Games[[#This Row],[PreGmRate]]-Games[[#This Row],[OppPreGmRate]])))*IF(Games[[#This Row],[OT]]=1,0.9,1)</f>
        <v>0.4891817536722371</v>
      </c>
      <c r="X283" s="7" cm="1">
        <f t="array" ref="X28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3" s="9">
        <f>MAX(kmin, kmax - 0.15 * MIN(Games[[#This Row],[GamesPlayed]], 82))</f>
        <v>72.400000000000006</v>
      </c>
      <c r="Z283" s="4">
        <f>Games[[#This Row],[K]]*Games[[#This Row],[POMult]]</f>
        <v>72.400000000000006</v>
      </c>
      <c r="AA283" s="4">
        <f>(Games[[#This Row],[Keff]]*Games[[#This Row],[MOVMult]])*(Games[[#This Row],[Result]]-Games[[#This Row],[ExpectedWin%]])</f>
        <v>7.5990379684812002</v>
      </c>
      <c r="AB283" s="4">
        <f>Games[[#This Row],[PreGmRate]]+Games[[#This Row],[RatingChange]]</f>
        <v>1541.3428576278118</v>
      </c>
      <c r="AC283" s="2">
        <f>IF(Games[[#This Row],[Type]]="R",IF(Games[[#This Row],[Result]]&gt;0.5,1,0),0)</f>
        <v>1</v>
      </c>
      <c r="AD283" s="2">
        <f>IF(Games[[#This Row],[Type]]="R",IF(Games[[#This Row],[Result]]&lt;0.5,1,0),0)</f>
        <v>0</v>
      </c>
      <c r="AE283" s="2">
        <f>IF(AND(Games[[#This Row],[Type]]="P",Games[[#This Row],[Round]]=1),IF(Games[[#This Row],[Result]]&gt;0.5,1,0),0)</f>
        <v>0</v>
      </c>
      <c r="AF283" s="2">
        <f>IF(AND(Games[[#This Row],[Type]]="P",Games[[#This Row],[Round]]=1),IF(Games[[#This Row],[Result]]&lt;0.5,1,0),0)</f>
        <v>0</v>
      </c>
      <c r="AG283" s="2">
        <f>IF(AND(Games[[#This Row],[Type]]="P",Games[[#This Row],[Round]]=2),IF(Games[[#This Row],[Result]]&gt;0.5,1,0),0)</f>
        <v>0</v>
      </c>
      <c r="AH283" s="2">
        <f>IF(AND(Games[[#This Row],[Type]]="P",Games[[#This Row],[Round]]=2),IF(Games[[#This Row],[Result]]&lt;0.5,1,0),0)</f>
        <v>0</v>
      </c>
      <c r="AI283" s="2">
        <f>IF(AND(Games[[#This Row],[Type]]="P",Games[[#This Row],[Round]]=3),IF(Games[[#This Row],[Result]]&gt;0.5,1,0),0)</f>
        <v>0</v>
      </c>
      <c r="AJ283" s="2">
        <f>IF(AND(Games[[#This Row],[Type]]="P",Games[[#This Row],[Round]]=3),IF(Games[[#This Row],[Result]]&lt;0.5,1,0),0)</f>
        <v>0</v>
      </c>
      <c r="AK283" s="2">
        <f>IF(AND(Games[[#This Row],[Type]]="P",Games[[#This Row],[Round]]=4),IF(Games[[#This Row],[Result]]&gt;0.5,1,0),0)</f>
        <v>0</v>
      </c>
      <c r="AL283" s="2">
        <f>IF(AND(Games[[#This Row],[Type]]="P",Games[[#This Row],[Round]]=4),IF(Games[[#This Row],[Result]]&lt;0.5,1,0),0)</f>
        <v>0</v>
      </c>
    </row>
    <row r="284" spans="1:38" x14ac:dyDescent="0.35">
      <c r="A284" s="10">
        <v>40388</v>
      </c>
      <c r="B284" s="2">
        <v>2010</v>
      </c>
      <c r="C284" s="2">
        <f>COUNTIFS(Games[Team],Games[[#This Row],[Team]],Games[Season],Games[[#This Row],[Season]],Games[Date],"&lt;=" &amp; Games[[#This Row],[Date]])</f>
        <v>24</v>
      </c>
      <c r="D284" s="2" t="s">
        <v>23</v>
      </c>
      <c r="E284" s="2" t="s">
        <v>29</v>
      </c>
      <c r="F284" s="1" t="s">
        <v>78</v>
      </c>
      <c r="G284" s="1" t="s">
        <v>69</v>
      </c>
      <c r="H284" s="1" t="s">
        <v>16</v>
      </c>
      <c r="I284" s="2" cm="1">
        <f t="array" ref="I28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4" s="2" cm="1">
        <f t="array" ref="J28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4" s="2">
        <f>Games[[#This Row],[DaysOff]]-Games[[#This Row],[OppDaysOff]]</f>
        <v>0</v>
      </c>
      <c r="L284" s="2">
        <f>Games[[#This Row],[OppDaysOff]]-Games[[#This Row],[DaysOff]]</f>
        <v>0</v>
      </c>
      <c r="M284" s="1">
        <f>MAX(-16, MIN(16, Games[[#This Row],[RestDiff]]*8))</f>
        <v>0</v>
      </c>
      <c r="N284" s="1">
        <f>MAX(-16, MIN(16, Games[[#This Row],[OppRestDiff]]*8))</f>
        <v>0</v>
      </c>
      <c r="O284" s="4" cm="1">
        <f t="array" ref="O2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1414.7545447543314</v>
      </c>
      <c r="P284" s="4" cm="1">
        <f t="array" ref="P2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1526.6193713659031</v>
      </c>
      <c r="Q284" s="4">
        <f>1/(1+10^(((Games[[#This Row],[OppPreGmRate]]+IF(Games[[#This Row],[HomeAway]]="A",HCA,0)+Games[[#This Row],[OppRestAdj]])-(Games[[#This Row],[PreGmRate]]+IF(Games[[#This Row],[HomeAway]]="H",HCA,0)+Games[[#This Row],[RestAdj]]))/400))</f>
        <v>0.2446248732331649</v>
      </c>
      <c r="R284" s="1">
        <v>79</v>
      </c>
      <c r="S284" s="1">
        <v>75</v>
      </c>
      <c r="T284" s="1">
        <v>0</v>
      </c>
      <c r="U284" s="1">
        <f>Games[[#This Row],[PointsFor]]-Games[[#This Row],[PointsAgainst]]</f>
        <v>4</v>
      </c>
      <c r="V284" s="1">
        <f>IF(Games[[#This Row],[MOV]]&gt;0,1,IF(Games[[#This Row],[MOV]]=0,0.5,0))</f>
        <v>1</v>
      </c>
      <c r="W284" s="4">
        <f>((ABS(Games[[#This Row],[MOV]])+5)^0.6)/(12+0.01*(ABS(Games[[#This Row],[PreGmRate]]-Games[[#This Row],[OppPreGmRate]])))*IF(Games[[#This Row],[OT]]=1,0.9,1)</f>
        <v>0.28487636401529137</v>
      </c>
      <c r="X284" s="7" cm="1">
        <f t="array" ref="X28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4" s="9">
        <f>MAX(kmin, kmax - 0.15 * MIN(Games[[#This Row],[GamesPlayed]], 82))</f>
        <v>72.400000000000006</v>
      </c>
      <c r="Z284" s="4">
        <f>Games[[#This Row],[K]]*Games[[#This Row],[POMult]]</f>
        <v>72.400000000000006</v>
      </c>
      <c r="AA284" s="4">
        <f>(Games[[#This Row],[Keff]]*Games[[#This Row],[MOVMult]])*(Games[[#This Row],[Result]]-Games[[#This Row],[ExpectedWin%]])</f>
        <v>15.579648817659029</v>
      </c>
      <c r="AB284" s="4">
        <f>Games[[#This Row],[PreGmRate]]+Games[[#This Row],[RatingChange]]</f>
        <v>1430.3341935719905</v>
      </c>
      <c r="AC284" s="2">
        <f>IF(Games[[#This Row],[Type]]="R",IF(Games[[#This Row],[Result]]&gt;0.5,1,0),0)</f>
        <v>1</v>
      </c>
      <c r="AD284" s="2">
        <f>IF(Games[[#This Row],[Type]]="R",IF(Games[[#This Row],[Result]]&lt;0.5,1,0),0)</f>
        <v>0</v>
      </c>
      <c r="AE284" s="2">
        <f>IF(AND(Games[[#This Row],[Type]]="P",Games[[#This Row],[Round]]=1),IF(Games[[#This Row],[Result]]&gt;0.5,1,0),0)</f>
        <v>0</v>
      </c>
      <c r="AF284" s="2">
        <f>IF(AND(Games[[#This Row],[Type]]="P",Games[[#This Row],[Round]]=1),IF(Games[[#This Row],[Result]]&lt;0.5,1,0),0)</f>
        <v>0</v>
      </c>
      <c r="AG284" s="2">
        <f>IF(AND(Games[[#This Row],[Type]]="P",Games[[#This Row],[Round]]=2),IF(Games[[#This Row],[Result]]&gt;0.5,1,0),0)</f>
        <v>0</v>
      </c>
      <c r="AH284" s="2">
        <f>IF(AND(Games[[#This Row],[Type]]="P",Games[[#This Row],[Round]]=2),IF(Games[[#This Row],[Result]]&lt;0.5,1,0),0)</f>
        <v>0</v>
      </c>
      <c r="AI284" s="2">
        <f>IF(AND(Games[[#This Row],[Type]]="P",Games[[#This Row],[Round]]=3),IF(Games[[#This Row],[Result]]&gt;0.5,1,0),0)</f>
        <v>0</v>
      </c>
      <c r="AJ284" s="2">
        <f>IF(AND(Games[[#This Row],[Type]]="P",Games[[#This Row],[Round]]=3),IF(Games[[#This Row],[Result]]&lt;0.5,1,0),0)</f>
        <v>0</v>
      </c>
      <c r="AK284" s="2">
        <f>IF(AND(Games[[#This Row],[Type]]="P",Games[[#This Row],[Round]]=4),IF(Games[[#This Row],[Result]]&gt;0.5,1,0),0)</f>
        <v>0</v>
      </c>
      <c r="AL284" s="2">
        <f>IF(AND(Games[[#This Row],[Type]]="P",Games[[#This Row],[Round]]=4),IF(Games[[#This Row],[Result]]&lt;0.5,1,0),0)</f>
        <v>0</v>
      </c>
    </row>
    <row r="285" spans="1:38" x14ac:dyDescent="0.35">
      <c r="A285" s="10">
        <v>40388</v>
      </c>
      <c r="B285" s="2">
        <v>2010</v>
      </c>
      <c r="C285" s="2">
        <f>COUNTIFS(Games[Team],Games[[#This Row],[Team]],Games[Season],Games[[#This Row],[Season]],Games[Date],"&lt;=" &amp; Games[[#This Row],[Date]])</f>
        <v>23</v>
      </c>
      <c r="D285" s="2" t="s">
        <v>23</v>
      </c>
      <c r="E285" s="2" t="s">
        <v>29</v>
      </c>
      <c r="F285" s="1" t="s">
        <v>69</v>
      </c>
      <c r="G285" s="1" t="s">
        <v>78</v>
      </c>
      <c r="H285" s="1" t="s">
        <v>15</v>
      </c>
      <c r="I285" s="2" cm="1">
        <f t="array" ref="I28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5" s="2" cm="1">
        <f t="array" ref="J28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5" s="2">
        <f>Games[[#This Row],[DaysOff]]-Games[[#This Row],[OppDaysOff]]</f>
        <v>0</v>
      </c>
      <c r="L285" s="2">
        <f>Games[[#This Row],[OppDaysOff]]-Games[[#This Row],[DaysOff]]</f>
        <v>0</v>
      </c>
      <c r="M285" s="1">
        <f>MAX(-16, MIN(16, Games[[#This Row],[RestDiff]]*8))</f>
        <v>0</v>
      </c>
      <c r="N285" s="1">
        <f>MAX(-16, MIN(16, Games[[#This Row],[OppRestDiff]]*8))</f>
        <v>0</v>
      </c>
      <c r="O285" s="4" cm="1">
        <f t="array" ref="O2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1526.6193713659031</v>
      </c>
      <c r="P285" s="4" cm="1">
        <f t="array" ref="P2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1414.7545447543314</v>
      </c>
      <c r="Q285" s="4">
        <f>1/(1+10^(((Games[[#This Row],[OppPreGmRate]]+IF(Games[[#This Row],[HomeAway]]="A",HCA,0)+Games[[#This Row],[OppRestAdj]])-(Games[[#This Row],[PreGmRate]]+IF(Games[[#This Row],[HomeAway]]="H",HCA,0)+Games[[#This Row],[RestAdj]]))/400))</f>
        <v>0.75537512676683505</v>
      </c>
      <c r="R285" s="1">
        <v>75</v>
      </c>
      <c r="S285" s="1">
        <v>79</v>
      </c>
      <c r="T285" s="1">
        <v>0</v>
      </c>
      <c r="U285" s="1">
        <f>Games[[#This Row],[PointsFor]]-Games[[#This Row],[PointsAgainst]]</f>
        <v>-4</v>
      </c>
      <c r="V285" s="1">
        <f>IF(Games[[#This Row],[MOV]]&gt;0,1,IF(Games[[#This Row],[MOV]]=0,0.5,0))</f>
        <v>0</v>
      </c>
      <c r="W285" s="4">
        <f>((ABS(Games[[#This Row],[MOV]])+5)^0.6)/(12+0.01*(ABS(Games[[#This Row],[PreGmRate]]-Games[[#This Row],[OppPreGmRate]])))*IF(Games[[#This Row],[OT]]=1,0.9,1)</f>
        <v>0.28487636401529137</v>
      </c>
      <c r="X285" s="7" cm="1">
        <f t="array" ref="X28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5" s="9">
        <f>MAX(kmin, kmax - 0.15 * MIN(Games[[#This Row],[GamesPlayed]], 82))</f>
        <v>72.55</v>
      </c>
      <c r="Z285" s="4">
        <f>Games[[#This Row],[K]]*Games[[#This Row],[POMult]]</f>
        <v>72.55</v>
      </c>
      <c r="AA285" s="4">
        <f>(Games[[#This Row],[Keff]]*Games[[#This Row],[MOVMult]])*(Games[[#This Row],[Result]]-Games[[#This Row],[ExpectedWin%]])</f>
        <v>-15.611927095596164</v>
      </c>
      <c r="AB285" s="4">
        <f>Games[[#This Row],[PreGmRate]]+Games[[#This Row],[RatingChange]]</f>
        <v>1511.0074442703069</v>
      </c>
      <c r="AC285" s="2">
        <f>IF(Games[[#This Row],[Type]]="R",IF(Games[[#This Row],[Result]]&gt;0.5,1,0),0)</f>
        <v>0</v>
      </c>
      <c r="AD285" s="2">
        <f>IF(Games[[#This Row],[Type]]="R",IF(Games[[#This Row],[Result]]&lt;0.5,1,0),0)</f>
        <v>1</v>
      </c>
      <c r="AE285" s="2">
        <f>IF(AND(Games[[#This Row],[Type]]="P",Games[[#This Row],[Round]]=1),IF(Games[[#This Row],[Result]]&gt;0.5,1,0),0)</f>
        <v>0</v>
      </c>
      <c r="AF285" s="2">
        <f>IF(AND(Games[[#This Row],[Type]]="P",Games[[#This Row],[Round]]=1),IF(Games[[#This Row],[Result]]&lt;0.5,1,0),0)</f>
        <v>0</v>
      </c>
      <c r="AG285" s="2">
        <f>IF(AND(Games[[#This Row],[Type]]="P",Games[[#This Row],[Round]]=2),IF(Games[[#This Row],[Result]]&gt;0.5,1,0),0)</f>
        <v>0</v>
      </c>
      <c r="AH285" s="2">
        <f>IF(AND(Games[[#This Row],[Type]]="P",Games[[#This Row],[Round]]=2),IF(Games[[#This Row],[Result]]&lt;0.5,1,0),0)</f>
        <v>0</v>
      </c>
      <c r="AI285" s="2">
        <f>IF(AND(Games[[#This Row],[Type]]="P",Games[[#This Row],[Round]]=3),IF(Games[[#This Row],[Result]]&gt;0.5,1,0),0)</f>
        <v>0</v>
      </c>
      <c r="AJ285" s="2">
        <f>IF(AND(Games[[#This Row],[Type]]="P",Games[[#This Row],[Round]]=3),IF(Games[[#This Row],[Result]]&lt;0.5,1,0),0)</f>
        <v>0</v>
      </c>
      <c r="AK285" s="2">
        <f>IF(AND(Games[[#This Row],[Type]]="P",Games[[#This Row],[Round]]=4),IF(Games[[#This Row],[Result]]&gt;0.5,1,0),0)</f>
        <v>0</v>
      </c>
      <c r="AL285" s="2">
        <f>IF(AND(Games[[#This Row],[Type]]="P",Games[[#This Row],[Round]]=4),IF(Games[[#This Row],[Result]]&lt;0.5,1,0),0)</f>
        <v>0</v>
      </c>
    </row>
    <row r="286" spans="1:38" x14ac:dyDescent="0.35">
      <c r="A286" s="10">
        <v>40389</v>
      </c>
      <c r="B286" s="2">
        <v>2010</v>
      </c>
      <c r="C286" s="2">
        <f>COUNTIFS(Games[Team],Games[[#This Row],[Team]],Games[Season],Games[[#This Row],[Season]],Games[Date],"&lt;=" &amp; Games[[#This Row],[Date]])</f>
        <v>26</v>
      </c>
      <c r="D286" s="2" t="s">
        <v>23</v>
      </c>
      <c r="E286" s="2" t="s">
        <v>29</v>
      </c>
      <c r="F286" s="1" t="s">
        <v>83</v>
      </c>
      <c r="G286" s="1" t="s">
        <v>80</v>
      </c>
      <c r="H286" s="1" t="s">
        <v>16</v>
      </c>
      <c r="I286" s="2" cm="1">
        <f t="array" ref="I286">IFERROR(
    Games[[#This Row],[Date]]
    - LOOKUP(
        2,
        1/((Games[Team]=Games[[#This Row],[Team]]) * (Games[Date] &lt; Games[[#This Row],[Date]])),
        Games[Date]
    )
    - 1,
Games[[#This Row],[Date]]-$A$2)</f>
        <v>2</v>
      </c>
      <c r="J286" s="2" cm="1">
        <f t="array" ref="J28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86" s="2">
        <f>Games[[#This Row],[DaysOff]]-Games[[#This Row],[OppDaysOff]]</f>
        <v>0</v>
      </c>
      <c r="L286" s="2">
        <f>Games[[#This Row],[OppDaysOff]]-Games[[#This Row],[DaysOff]]</f>
        <v>0</v>
      </c>
      <c r="M286" s="1">
        <f>MAX(-16, MIN(16, Games[[#This Row],[RestDiff]]*8))</f>
        <v>0</v>
      </c>
      <c r="N286" s="1">
        <f>MAX(-16, MIN(16, Games[[#This Row],[OppRestDiff]]*8))</f>
        <v>0</v>
      </c>
      <c r="O286" s="4" cm="1">
        <f t="array" ref="O2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1540.1075453183598</v>
      </c>
      <c r="P286" s="4" cm="1">
        <f t="array" ref="P2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1512.8255855244577</v>
      </c>
      <c r="Q286" s="4">
        <f>1/(1+10^(((Games[[#This Row],[OppPreGmRate]]+IF(Games[[#This Row],[HomeAway]]="A",HCA,0)+Games[[#This Row],[OppRestAdj]])-(Games[[#This Row],[PreGmRate]]+IF(Games[[#This Row],[HomeAway]]="H",HCA,0)+Games[[#This Row],[RestAdj]]))/400))</f>
        <v>0.41909361792373023</v>
      </c>
      <c r="R286" s="1">
        <v>94</v>
      </c>
      <c r="S286" s="1">
        <v>62</v>
      </c>
      <c r="T286" s="1">
        <v>0</v>
      </c>
      <c r="U286" s="1">
        <f>Games[[#This Row],[PointsFor]]-Games[[#This Row],[PointsAgainst]]</f>
        <v>32</v>
      </c>
      <c r="V286" s="1">
        <f>IF(Games[[#This Row],[MOV]]&gt;0,1,IF(Games[[#This Row],[MOV]]=0,0.5,0))</f>
        <v>1</v>
      </c>
      <c r="W286" s="4">
        <f>((ABS(Games[[#This Row],[MOV]])+5)^0.6)/(12+0.01*(ABS(Games[[#This Row],[PreGmRate]]-Games[[#This Row],[OppPreGmRate]])))*IF(Games[[#This Row],[OT]]=1,0.9,1)</f>
        <v>0.71117533171772906</v>
      </c>
      <c r="X286" s="7" cm="1">
        <f t="array" ref="X28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6" s="9">
        <f>MAX(kmin, kmax - 0.15 * MIN(Games[[#This Row],[GamesPlayed]], 82))</f>
        <v>72.099999999999994</v>
      </c>
      <c r="Z286" s="4">
        <f>Games[[#This Row],[K]]*Games[[#This Row],[POMult]]</f>
        <v>72.099999999999994</v>
      </c>
      <c r="AA286" s="4">
        <f>(Games[[#This Row],[Keff]]*Games[[#This Row],[MOVMult]])*(Games[[#This Row],[Result]]-Games[[#This Row],[ExpectedWin%]])</f>
        <v>29.786405434739667</v>
      </c>
      <c r="AB286" s="4">
        <f>Games[[#This Row],[PreGmRate]]+Games[[#This Row],[RatingChange]]</f>
        <v>1569.8939507530995</v>
      </c>
      <c r="AC286" s="2">
        <f>IF(Games[[#This Row],[Type]]="R",IF(Games[[#This Row],[Result]]&gt;0.5,1,0),0)</f>
        <v>1</v>
      </c>
      <c r="AD286" s="2">
        <f>IF(Games[[#This Row],[Type]]="R",IF(Games[[#This Row],[Result]]&lt;0.5,1,0),0)</f>
        <v>0</v>
      </c>
      <c r="AE286" s="2">
        <f>IF(AND(Games[[#This Row],[Type]]="P",Games[[#This Row],[Round]]=1),IF(Games[[#This Row],[Result]]&gt;0.5,1,0),0)</f>
        <v>0</v>
      </c>
      <c r="AF286" s="2">
        <f>IF(AND(Games[[#This Row],[Type]]="P",Games[[#This Row],[Round]]=1),IF(Games[[#This Row],[Result]]&lt;0.5,1,0),0)</f>
        <v>0</v>
      </c>
      <c r="AG286" s="2">
        <f>IF(AND(Games[[#This Row],[Type]]="P",Games[[#This Row],[Round]]=2),IF(Games[[#This Row],[Result]]&gt;0.5,1,0),0)</f>
        <v>0</v>
      </c>
      <c r="AH286" s="2">
        <f>IF(AND(Games[[#This Row],[Type]]="P",Games[[#This Row],[Round]]=2),IF(Games[[#This Row],[Result]]&lt;0.5,1,0),0)</f>
        <v>0</v>
      </c>
      <c r="AI286" s="2">
        <f>IF(AND(Games[[#This Row],[Type]]="P",Games[[#This Row],[Round]]=3),IF(Games[[#This Row],[Result]]&gt;0.5,1,0),0)</f>
        <v>0</v>
      </c>
      <c r="AJ286" s="2">
        <f>IF(AND(Games[[#This Row],[Type]]="P",Games[[#This Row],[Round]]=3),IF(Games[[#This Row],[Result]]&lt;0.5,1,0),0)</f>
        <v>0</v>
      </c>
      <c r="AK286" s="2">
        <f>IF(AND(Games[[#This Row],[Type]]="P",Games[[#This Row],[Round]]=4),IF(Games[[#This Row],[Result]]&gt;0.5,1,0),0)</f>
        <v>0</v>
      </c>
      <c r="AL286" s="2">
        <f>IF(AND(Games[[#This Row],[Type]]="P",Games[[#This Row],[Round]]=4),IF(Games[[#This Row],[Result]]&lt;0.5,1,0),0)</f>
        <v>0</v>
      </c>
    </row>
    <row r="287" spans="1:38" x14ac:dyDescent="0.35">
      <c r="A287" s="10">
        <v>40389</v>
      </c>
      <c r="B287" s="2">
        <v>2010</v>
      </c>
      <c r="C287" s="2">
        <f>COUNTIFS(Games[Team],Games[[#This Row],[Team]],Games[Season],Games[[#This Row],[Season]],Games[Date],"&lt;=" &amp; Games[[#This Row],[Date]])</f>
        <v>24</v>
      </c>
      <c r="D287" s="2" t="s">
        <v>23</v>
      </c>
      <c r="E287" s="2" t="s">
        <v>29</v>
      </c>
      <c r="F287" s="1" t="s">
        <v>80</v>
      </c>
      <c r="G287" s="1" t="s">
        <v>83</v>
      </c>
      <c r="H287" s="1" t="s">
        <v>15</v>
      </c>
      <c r="I287" s="2" cm="1">
        <f t="array" ref="I287">IFERROR(
    Games[[#This Row],[Date]]
    - LOOKUP(
        2,
        1/((Games[Team]=Games[[#This Row],[Team]]) * (Games[Date] &lt; Games[[#This Row],[Date]])),
        Games[Date]
    )
    - 1,
Games[[#This Row],[Date]]-$A$2)</f>
        <v>2</v>
      </c>
      <c r="J287" s="2" cm="1">
        <f t="array" ref="J28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87" s="2">
        <f>Games[[#This Row],[DaysOff]]-Games[[#This Row],[OppDaysOff]]</f>
        <v>0</v>
      </c>
      <c r="L287" s="2">
        <f>Games[[#This Row],[OppDaysOff]]-Games[[#This Row],[DaysOff]]</f>
        <v>0</v>
      </c>
      <c r="M287" s="1">
        <f>MAX(-16, MIN(16, Games[[#This Row],[RestDiff]]*8))</f>
        <v>0</v>
      </c>
      <c r="N287" s="1">
        <f>MAX(-16, MIN(16, Games[[#This Row],[OppRestDiff]]*8))</f>
        <v>0</v>
      </c>
      <c r="O287" s="4" cm="1">
        <f t="array" ref="O2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1512.8255855244577</v>
      </c>
      <c r="P287" s="4" cm="1">
        <f t="array" ref="P2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1540.1075453183598</v>
      </c>
      <c r="Q287" s="4">
        <f>1/(1+10^(((Games[[#This Row],[OppPreGmRate]]+IF(Games[[#This Row],[HomeAway]]="A",HCA,0)+Games[[#This Row],[OppRestAdj]])-(Games[[#This Row],[PreGmRate]]+IF(Games[[#This Row],[HomeAway]]="H",HCA,0)+Games[[#This Row],[RestAdj]]))/400))</f>
        <v>0.58090638207626966</v>
      </c>
      <c r="R287" s="1">
        <v>62</v>
      </c>
      <c r="S287" s="1">
        <v>94</v>
      </c>
      <c r="T287" s="1">
        <v>0</v>
      </c>
      <c r="U287" s="1">
        <f>Games[[#This Row],[PointsFor]]-Games[[#This Row],[PointsAgainst]]</f>
        <v>-32</v>
      </c>
      <c r="V287" s="1">
        <f>IF(Games[[#This Row],[MOV]]&gt;0,1,IF(Games[[#This Row],[MOV]]=0,0.5,0))</f>
        <v>0</v>
      </c>
      <c r="W287" s="4">
        <f>((ABS(Games[[#This Row],[MOV]])+5)^0.6)/(12+0.01*(ABS(Games[[#This Row],[PreGmRate]]-Games[[#This Row],[OppPreGmRate]])))*IF(Games[[#This Row],[OT]]=1,0.9,1)</f>
        <v>0.71117533171772906</v>
      </c>
      <c r="X287" s="7" cm="1">
        <f t="array" ref="X28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7" s="9">
        <f>MAX(kmin, kmax - 0.15 * MIN(Games[[#This Row],[GamesPlayed]], 82))</f>
        <v>72.400000000000006</v>
      </c>
      <c r="Z287" s="4">
        <f>Games[[#This Row],[K]]*Games[[#This Row],[POMult]]</f>
        <v>72.400000000000006</v>
      </c>
      <c r="AA287" s="4">
        <f>(Games[[#This Row],[Keff]]*Games[[#This Row],[MOVMult]])*(Games[[#This Row],[Result]]-Games[[#This Row],[ExpectedWin%]])</f>
        <v>-29.910343321430677</v>
      </c>
      <c r="AB287" s="4">
        <f>Games[[#This Row],[PreGmRate]]+Games[[#This Row],[RatingChange]]</f>
        <v>1482.915242203027</v>
      </c>
      <c r="AC287" s="2">
        <f>IF(Games[[#This Row],[Type]]="R",IF(Games[[#This Row],[Result]]&gt;0.5,1,0),0)</f>
        <v>0</v>
      </c>
      <c r="AD287" s="2">
        <f>IF(Games[[#This Row],[Type]]="R",IF(Games[[#This Row],[Result]]&lt;0.5,1,0),0)</f>
        <v>1</v>
      </c>
      <c r="AE287" s="2">
        <f>IF(AND(Games[[#This Row],[Type]]="P",Games[[#This Row],[Round]]=1),IF(Games[[#This Row],[Result]]&gt;0.5,1,0),0)</f>
        <v>0</v>
      </c>
      <c r="AF287" s="2">
        <f>IF(AND(Games[[#This Row],[Type]]="P",Games[[#This Row],[Round]]=1),IF(Games[[#This Row],[Result]]&lt;0.5,1,0),0)</f>
        <v>0</v>
      </c>
      <c r="AG287" s="2">
        <f>IF(AND(Games[[#This Row],[Type]]="P",Games[[#This Row],[Round]]=2),IF(Games[[#This Row],[Result]]&gt;0.5,1,0),0)</f>
        <v>0</v>
      </c>
      <c r="AH287" s="2">
        <f>IF(AND(Games[[#This Row],[Type]]="P",Games[[#This Row],[Round]]=2),IF(Games[[#This Row],[Result]]&lt;0.5,1,0),0)</f>
        <v>0</v>
      </c>
      <c r="AI287" s="2">
        <f>IF(AND(Games[[#This Row],[Type]]="P",Games[[#This Row],[Round]]=3),IF(Games[[#This Row],[Result]]&gt;0.5,1,0),0)</f>
        <v>0</v>
      </c>
      <c r="AJ287" s="2">
        <f>IF(AND(Games[[#This Row],[Type]]="P",Games[[#This Row],[Round]]=3),IF(Games[[#This Row],[Result]]&lt;0.5,1,0),0)</f>
        <v>0</v>
      </c>
      <c r="AK287" s="2">
        <f>IF(AND(Games[[#This Row],[Type]]="P",Games[[#This Row],[Round]]=4),IF(Games[[#This Row],[Result]]&gt;0.5,1,0),0)</f>
        <v>0</v>
      </c>
      <c r="AL287" s="2">
        <f>IF(AND(Games[[#This Row],[Type]]="P",Games[[#This Row],[Round]]=4),IF(Games[[#This Row],[Result]]&lt;0.5,1,0),0)</f>
        <v>0</v>
      </c>
    </row>
    <row r="288" spans="1:38" x14ac:dyDescent="0.35">
      <c r="A288" s="10">
        <v>40389</v>
      </c>
      <c r="B288" s="2">
        <v>2010</v>
      </c>
      <c r="C288" s="2">
        <f>COUNTIFS(Games[Team],Games[[#This Row],[Team]],Games[Season],Games[[#This Row],[Season]],Games[Date],"&lt;=" &amp; Games[[#This Row],[Date]])</f>
        <v>24</v>
      </c>
      <c r="D288" s="2" t="s">
        <v>23</v>
      </c>
      <c r="E288" s="2" t="s">
        <v>29</v>
      </c>
      <c r="F288" s="1" t="s">
        <v>69</v>
      </c>
      <c r="G288" s="1" t="s">
        <v>73</v>
      </c>
      <c r="H288" s="1" t="s">
        <v>16</v>
      </c>
      <c r="I288" s="2" cm="1">
        <f t="array" ref="I288">IFERROR(
    Games[[#This Row],[Date]]
    - LOOKUP(
        2,
        1/((Games[Team]=Games[[#This Row],[Team]]) * (Games[Date] &lt; Games[[#This Row],[Date]])),
        Games[Date]
    )
    - 1,
Games[[#This Row],[Date]]-$A$2)</f>
        <v>0</v>
      </c>
      <c r="J288" s="2" cm="1">
        <f t="array" ref="J28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88" s="2">
        <f>Games[[#This Row],[DaysOff]]-Games[[#This Row],[OppDaysOff]]</f>
        <v>-2</v>
      </c>
      <c r="L288" s="2">
        <f>Games[[#This Row],[OppDaysOff]]-Games[[#This Row],[DaysOff]]</f>
        <v>2</v>
      </c>
      <c r="M288" s="1">
        <f>MAX(-16, MIN(16, Games[[#This Row],[RestDiff]]*8))</f>
        <v>-16</v>
      </c>
      <c r="N288" s="1">
        <f>MAX(-16, MIN(16, Games[[#This Row],[OppRestDiff]]*8))</f>
        <v>16</v>
      </c>
      <c r="O288" s="4" cm="1">
        <f t="array" ref="O2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1511.0074442703069</v>
      </c>
      <c r="P288" s="4" cm="1">
        <f t="array" ref="P2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1622.3054406605588</v>
      </c>
      <c r="Q288" s="4">
        <f>1/(1+10^(((Games[[#This Row],[OppPreGmRate]]+IF(Games[[#This Row],[HomeAway]]="A",HCA,0)+Games[[#This Row],[OppRestAdj]])-(Games[[#This Row],[PreGmRate]]+IF(Games[[#This Row],[HomeAway]]="H",HCA,0)+Games[[#This Row],[RestAdj]]))/400))</f>
        <v>0.21274927095131477</v>
      </c>
      <c r="R288" s="1">
        <v>77</v>
      </c>
      <c r="S288" s="1">
        <v>73</v>
      </c>
      <c r="T288" s="1">
        <v>0</v>
      </c>
      <c r="U288" s="1">
        <f>Games[[#This Row],[PointsFor]]-Games[[#This Row],[PointsAgainst]]</f>
        <v>4</v>
      </c>
      <c r="V288" s="1">
        <f>IF(Games[[#This Row],[MOV]]&gt;0,1,IF(Games[[#This Row],[MOV]]=0,0.5,0))</f>
        <v>1</v>
      </c>
      <c r="W288" s="4">
        <f>((ABS(Games[[#This Row],[MOV]])+5)^0.6)/(12+0.01*(ABS(Games[[#This Row],[PreGmRate]]-Games[[#This Row],[OppPreGmRate]])))*IF(Games[[#This Row],[OT]]=1,0.9,1)</f>
        <v>0.28499950652973743</v>
      </c>
      <c r="X288" s="7" cm="1">
        <f t="array" ref="X28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8" s="9">
        <f>MAX(kmin, kmax - 0.15 * MIN(Games[[#This Row],[GamesPlayed]], 82))</f>
        <v>72.400000000000006</v>
      </c>
      <c r="Z288" s="4">
        <f>Games[[#This Row],[K]]*Games[[#This Row],[POMult]]</f>
        <v>72.400000000000006</v>
      </c>
      <c r="AA288" s="4">
        <f>(Games[[#This Row],[Keff]]*Games[[#This Row],[MOVMult]])*(Games[[#This Row],[Result]]-Games[[#This Row],[ExpectedWin%]])</f>
        <v>16.244103416889317</v>
      </c>
      <c r="AB288" s="4">
        <f>Games[[#This Row],[PreGmRate]]+Games[[#This Row],[RatingChange]]</f>
        <v>1527.2515476871963</v>
      </c>
      <c r="AC288" s="2">
        <f>IF(Games[[#This Row],[Type]]="R",IF(Games[[#This Row],[Result]]&gt;0.5,1,0),0)</f>
        <v>1</v>
      </c>
      <c r="AD288" s="2">
        <f>IF(Games[[#This Row],[Type]]="R",IF(Games[[#This Row],[Result]]&lt;0.5,1,0),0)</f>
        <v>0</v>
      </c>
      <c r="AE288" s="2">
        <f>IF(AND(Games[[#This Row],[Type]]="P",Games[[#This Row],[Round]]=1),IF(Games[[#This Row],[Result]]&gt;0.5,1,0),0)</f>
        <v>0</v>
      </c>
      <c r="AF288" s="2">
        <f>IF(AND(Games[[#This Row],[Type]]="P",Games[[#This Row],[Round]]=1),IF(Games[[#This Row],[Result]]&lt;0.5,1,0),0)</f>
        <v>0</v>
      </c>
      <c r="AG288" s="2">
        <f>IF(AND(Games[[#This Row],[Type]]="P",Games[[#This Row],[Round]]=2),IF(Games[[#This Row],[Result]]&gt;0.5,1,0),0)</f>
        <v>0</v>
      </c>
      <c r="AH288" s="2">
        <f>IF(AND(Games[[#This Row],[Type]]="P",Games[[#This Row],[Round]]=2),IF(Games[[#This Row],[Result]]&lt;0.5,1,0),0)</f>
        <v>0</v>
      </c>
      <c r="AI288" s="2">
        <f>IF(AND(Games[[#This Row],[Type]]="P",Games[[#This Row],[Round]]=3),IF(Games[[#This Row],[Result]]&gt;0.5,1,0),0)</f>
        <v>0</v>
      </c>
      <c r="AJ288" s="2">
        <f>IF(AND(Games[[#This Row],[Type]]="P",Games[[#This Row],[Round]]=3),IF(Games[[#This Row],[Result]]&lt;0.5,1,0),0)</f>
        <v>0</v>
      </c>
      <c r="AK288" s="2">
        <f>IF(AND(Games[[#This Row],[Type]]="P",Games[[#This Row],[Round]]=4),IF(Games[[#This Row],[Result]]&gt;0.5,1,0),0)</f>
        <v>0</v>
      </c>
      <c r="AL288" s="2">
        <f>IF(AND(Games[[#This Row],[Type]]="P",Games[[#This Row],[Round]]=4),IF(Games[[#This Row],[Result]]&lt;0.5,1,0),0)</f>
        <v>0</v>
      </c>
    </row>
    <row r="289" spans="1:38" x14ac:dyDescent="0.35">
      <c r="A289" s="10">
        <v>40389</v>
      </c>
      <c r="B289" s="2">
        <v>2010</v>
      </c>
      <c r="C289" s="2">
        <f>COUNTIFS(Games[Team],Games[[#This Row],[Team]],Games[Season],Games[[#This Row],[Season]],Games[Date],"&lt;=" &amp; Games[[#This Row],[Date]])</f>
        <v>24</v>
      </c>
      <c r="D289" s="2" t="s">
        <v>23</v>
      </c>
      <c r="E289" s="2" t="s">
        <v>29</v>
      </c>
      <c r="F289" s="1" t="s">
        <v>73</v>
      </c>
      <c r="G289" s="1" t="s">
        <v>69</v>
      </c>
      <c r="H289" s="1" t="s">
        <v>15</v>
      </c>
      <c r="I289" s="2" cm="1">
        <f t="array" ref="I289">IFERROR(
    Games[[#This Row],[Date]]
    - LOOKUP(
        2,
        1/((Games[Team]=Games[[#This Row],[Team]]) * (Games[Date] &lt; Games[[#This Row],[Date]])),
        Games[Date]
    )
    - 1,
Games[[#This Row],[Date]]-$A$2)</f>
        <v>2</v>
      </c>
      <c r="J289" s="2" cm="1">
        <f t="array" ref="J28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89" s="2">
        <f>Games[[#This Row],[DaysOff]]-Games[[#This Row],[OppDaysOff]]</f>
        <v>2</v>
      </c>
      <c r="L289" s="2">
        <f>Games[[#This Row],[OppDaysOff]]-Games[[#This Row],[DaysOff]]</f>
        <v>-2</v>
      </c>
      <c r="M289" s="1">
        <f>MAX(-16, MIN(16, Games[[#This Row],[RestDiff]]*8))</f>
        <v>16</v>
      </c>
      <c r="N289" s="1">
        <f>MAX(-16, MIN(16, Games[[#This Row],[OppRestDiff]]*8))</f>
        <v>-16</v>
      </c>
      <c r="O289" s="4" cm="1">
        <f t="array" ref="O2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1622.3054406605588</v>
      </c>
      <c r="P289" s="4" cm="1">
        <f t="array" ref="P2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1511.0074442703069</v>
      </c>
      <c r="Q289" s="4">
        <f>1/(1+10^(((Games[[#This Row],[OppPreGmRate]]+IF(Games[[#This Row],[HomeAway]]="A",HCA,0)+Games[[#This Row],[OppRestAdj]])-(Games[[#This Row],[PreGmRate]]+IF(Games[[#This Row],[HomeAway]]="H",HCA,0)+Games[[#This Row],[RestAdj]]))/400))</f>
        <v>0.7872507290486852</v>
      </c>
      <c r="R289" s="1">
        <v>73</v>
      </c>
      <c r="S289" s="1">
        <v>77</v>
      </c>
      <c r="T289" s="1">
        <v>0</v>
      </c>
      <c r="U289" s="1">
        <f>Games[[#This Row],[PointsFor]]-Games[[#This Row],[PointsAgainst]]</f>
        <v>-4</v>
      </c>
      <c r="V289" s="1">
        <f>IF(Games[[#This Row],[MOV]]&gt;0,1,IF(Games[[#This Row],[MOV]]=0,0.5,0))</f>
        <v>0</v>
      </c>
      <c r="W289" s="4">
        <f>((ABS(Games[[#This Row],[MOV]])+5)^0.6)/(12+0.01*(ABS(Games[[#This Row],[PreGmRate]]-Games[[#This Row],[OppPreGmRate]])))*IF(Games[[#This Row],[OT]]=1,0.9,1)</f>
        <v>0.28499950652973743</v>
      </c>
      <c r="X289" s="7" cm="1">
        <f t="array" ref="X28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9" s="9">
        <f>MAX(kmin, kmax - 0.15 * MIN(Games[[#This Row],[GamesPlayed]], 82))</f>
        <v>72.400000000000006</v>
      </c>
      <c r="Z289" s="4">
        <f>Games[[#This Row],[K]]*Games[[#This Row],[POMult]]</f>
        <v>72.400000000000006</v>
      </c>
      <c r="AA289" s="4">
        <f>(Games[[#This Row],[Keff]]*Games[[#This Row],[MOVMult]])*(Games[[#This Row],[Result]]-Games[[#This Row],[ExpectedWin%]])</f>
        <v>-16.244103416889317</v>
      </c>
      <c r="AB289" s="4">
        <f>Games[[#This Row],[PreGmRate]]+Games[[#This Row],[RatingChange]]</f>
        <v>1606.0613372436694</v>
      </c>
      <c r="AC289" s="2">
        <f>IF(Games[[#This Row],[Type]]="R",IF(Games[[#This Row],[Result]]&gt;0.5,1,0),0)</f>
        <v>0</v>
      </c>
      <c r="AD289" s="2">
        <f>IF(Games[[#This Row],[Type]]="R",IF(Games[[#This Row],[Result]]&lt;0.5,1,0),0)</f>
        <v>1</v>
      </c>
      <c r="AE289" s="2">
        <f>IF(AND(Games[[#This Row],[Type]]="P",Games[[#This Row],[Round]]=1),IF(Games[[#This Row],[Result]]&gt;0.5,1,0),0)</f>
        <v>0</v>
      </c>
      <c r="AF289" s="2">
        <f>IF(AND(Games[[#This Row],[Type]]="P",Games[[#This Row],[Round]]=1),IF(Games[[#This Row],[Result]]&lt;0.5,1,0),0)</f>
        <v>0</v>
      </c>
      <c r="AG289" s="2">
        <f>IF(AND(Games[[#This Row],[Type]]="P",Games[[#This Row],[Round]]=2),IF(Games[[#This Row],[Result]]&gt;0.5,1,0),0)</f>
        <v>0</v>
      </c>
      <c r="AH289" s="2">
        <f>IF(AND(Games[[#This Row],[Type]]="P",Games[[#This Row],[Round]]=2),IF(Games[[#This Row],[Result]]&lt;0.5,1,0),0)</f>
        <v>0</v>
      </c>
      <c r="AI289" s="2">
        <f>IF(AND(Games[[#This Row],[Type]]="P",Games[[#This Row],[Round]]=3),IF(Games[[#This Row],[Result]]&gt;0.5,1,0),0)</f>
        <v>0</v>
      </c>
      <c r="AJ289" s="2">
        <f>IF(AND(Games[[#This Row],[Type]]="P",Games[[#This Row],[Round]]=3),IF(Games[[#This Row],[Result]]&lt;0.5,1,0),0)</f>
        <v>0</v>
      </c>
      <c r="AK289" s="2">
        <f>IF(AND(Games[[#This Row],[Type]]="P",Games[[#This Row],[Round]]=4),IF(Games[[#This Row],[Result]]&gt;0.5,1,0),0)</f>
        <v>0</v>
      </c>
      <c r="AL289" s="2">
        <f>IF(AND(Games[[#This Row],[Type]]="P",Games[[#This Row],[Round]]=4),IF(Games[[#This Row],[Result]]&lt;0.5,1,0),0)</f>
        <v>0</v>
      </c>
    </row>
    <row r="290" spans="1:38" x14ac:dyDescent="0.35">
      <c r="A290" s="10">
        <v>40389</v>
      </c>
      <c r="B290" s="2">
        <v>2010</v>
      </c>
      <c r="C290" s="2">
        <f>COUNTIFS(Games[Team],Games[[#This Row],[Team]],Games[Season],Games[[#This Row],[Season]],Games[Date],"&lt;=" &amp; Games[[#This Row],[Date]])</f>
        <v>25</v>
      </c>
      <c r="D290" s="2" t="s">
        <v>23</v>
      </c>
      <c r="E290" s="2" t="s">
        <v>29</v>
      </c>
      <c r="F290" s="1" t="s">
        <v>67</v>
      </c>
      <c r="G290" s="1" t="s">
        <v>64</v>
      </c>
      <c r="H290" s="1" t="s">
        <v>16</v>
      </c>
      <c r="I290" s="2" cm="1">
        <f t="array" ref="I290">IFERROR(
    Games[[#This Row],[Date]]
    - LOOKUP(
        2,
        1/((Games[Team]=Games[[#This Row],[Team]]) * (Games[Date] &lt; Games[[#This Row],[Date]])),
        Games[Date]
    )
    - 1,
Games[[#This Row],[Date]]-$A$2)</f>
        <v>2</v>
      </c>
      <c r="J290" s="2" cm="1">
        <f t="array" ref="J29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90" s="2">
        <f>Games[[#This Row],[DaysOff]]-Games[[#This Row],[OppDaysOff]]</f>
        <v>0</v>
      </c>
      <c r="L290" s="2">
        <f>Games[[#This Row],[OppDaysOff]]-Games[[#This Row],[DaysOff]]</f>
        <v>0</v>
      </c>
      <c r="M290" s="1">
        <f>MAX(-16, MIN(16, Games[[#This Row],[RestDiff]]*8))</f>
        <v>0</v>
      </c>
      <c r="N290" s="1">
        <f>MAX(-16, MIN(16, Games[[#This Row],[OppRestDiff]]*8))</f>
        <v>0</v>
      </c>
      <c r="O290" s="4" cm="1">
        <f t="array" ref="O2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1456.5702134158519</v>
      </c>
      <c r="P290" s="4" cm="1">
        <f t="array" ref="P2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1526.862957396371</v>
      </c>
      <c r="Q290" s="4">
        <f>1/(1+10^(((Games[[#This Row],[OppPreGmRate]]+IF(Games[[#This Row],[HomeAway]]="A",HCA,0)+Games[[#This Row],[OppRestAdj]])-(Games[[#This Row],[PreGmRate]]+IF(Games[[#This Row],[HomeAway]]="H",HCA,0)+Games[[#This Row],[RestAdj]]))/400))</f>
        <v>0.29148546535270808</v>
      </c>
      <c r="R290" s="1">
        <v>79</v>
      </c>
      <c r="S290" s="1">
        <v>88</v>
      </c>
      <c r="T290" s="1">
        <v>0</v>
      </c>
      <c r="U290" s="1">
        <f>Games[[#This Row],[PointsFor]]-Games[[#This Row],[PointsAgainst]]</f>
        <v>-9</v>
      </c>
      <c r="V290" s="1">
        <f>IF(Games[[#This Row],[MOV]]&gt;0,1,IF(Games[[#This Row],[MOV]]=0,0.5,0))</f>
        <v>0</v>
      </c>
      <c r="W290" s="4">
        <f>((ABS(Games[[#This Row],[MOV]])+5)^0.6)/(12+0.01*(ABS(Games[[#This Row],[PreGmRate]]-Games[[#This Row],[OppPreGmRate]])))*IF(Games[[#This Row],[OT]]=1,0.9,1)</f>
        <v>0.38350674274508995</v>
      </c>
      <c r="X290" s="7" cm="1">
        <f t="array" ref="X29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0" s="9">
        <f>MAX(kmin, kmax - 0.15 * MIN(Games[[#This Row],[GamesPlayed]], 82))</f>
        <v>72.25</v>
      </c>
      <c r="Z290" s="4">
        <f>Games[[#This Row],[K]]*Games[[#This Row],[POMult]]</f>
        <v>72.25</v>
      </c>
      <c r="AA290" s="4">
        <f>(Games[[#This Row],[Keff]]*Games[[#This Row],[MOVMult]])*(Games[[#This Row],[Result]]-Games[[#This Row],[ExpectedWin%]])</f>
        <v>-8.0765848393404145</v>
      </c>
      <c r="AB290" s="4">
        <f>Games[[#This Row],[PreGmRate]]+Games[[#This Row],[RatingChange]]</f>
        <v>1448.4936285765114</v>
      </c>
      <c r="AC290" s="2">
        <f>IF(Games[[#This Row],[Type]]="R",IF(Games[[#This Row],[Result]]&gt;0.5,1,0),0)</f>
        <v>0</v>
      </c>
      <c r="AD290" s="2">
        <f>IF(Games[[#This Row],[Type]]="R",IF(Games[[#This Row],[Result]]&lt;0.5,1,0),0)</f>
        <v>1</v>
      </c>
      <c r="AE290" s="2">
        <f>IF(AND(Games[[#This Row],[Type]]="P",Games[[#This Row],[Round]]=1),IF(Games[[#This Row],[Result]]&gt;0.5,1,0),0)</f>
        <v>0</v>
      </c>
      <c r="AF290" s="2">
        <f>IF(AND(Games[[#This Row],[Type]]="P",Games[[#This Row],[Round]]=1),IF(Games[[#This Row],[Result]]&lt;0.5,1,0),0)</f>
        <v>0</v>
      </c>
      <c r="AG290" s="2">
        <f>IF(AND(Games[[#This Row],[Type]]="P",Games[[#This Row],[Round]]=2),IF(Games[[#This Row],[Result]]&gt;0.5,1,0),0)</f>
        <v>0</v>
      </c>
      <c r="AH290" s="2">
        <f>IF(AND(Games[[#This Row],[Type]]="P",Games[[#This Row],[Round]]=2),IF(Games[[#This Row],[Result]]&lt;0.5,1,0),0)</f>
        <v>0</v>
      </c>
      <c r="AI290" s="2">
        <f>IF(AND(Games[[#This Row],[Type]]="P",Games[[#This Row],[Round]]=3),IF(Games[[#This Row],[Result]]&gt;0.5,1,0),0)</f>
        <v>0</v>
      </c>
      <c r="AJ290" s="2">
        <f>IF(AND(Games[[#This Row],[Type]]="P",Games[[#This Row],[Round]]=3),IF(Games[[#This Row],[Result]]&lt;0.5,1,0),0)</f>
        <v>0</v>
      </c>
      <c r="AK290" s="2">
        <f>IF(AND(Games[[#This Row],[Type]]="P",Games[[#This Row],[Round]]=4),IF(Games[[#This Row],[Result]]&gt;0.5,1,0),0)</f>
        <v>0</v>
      </c>
      <c r="AL290" s="2">
        <f>IF(AND(Games[[#This Row],[Type]]="P",Games[[#This Row],[Round]]=4),IF(Games[[#This Row],[Result]]&lt;0.5,1,0),0)</f>
        <v>0</v>
      </c>
    </row>
    <row r="291" spans="1:38" x14ac:dyDescent="0.35">
      <c r="A291" s="10">
        <v>40389</v>
      </c>
      <c r="B291" s="2">
        <v>2010</v>
      </c>
      <c r="C291" s="2">
        <f>COUNTIFS(Games[Team],Games[[#This Row],[Team]],Games[Season],Games[[#This Row],[Season]],Games[Date],"&lt;=" &amp; Games[[#This Row],[Date]])</f>
        <v>24</v>
      </c>
      <c r="D291" s="2" t="s">
        <v>23</v>
      </c>
      <c r="E291" s="2" t="s">
        <v>29</v>
      </c>
      <c r="F291" s="1" t="s">
        <v>64</v>
      </c>
      <c r="G291" s="1" t="s">
        <v>67</v>
      </c>
      <c r="H291" s="1" t="s">
        <v>15</v>
      </c>
      <c r="I291" s="2" cm="1">
        <f t="array" ref="I291">IFERROR(
    Games[[#This Row],[Date]]
    - LOOKUP(
        2,
        1/((Games[Team]=Games[[#This Row],[Team]]) * (Games[Date] &lt; Games[[#This Row],[Date]])),
        Games[Date]
    )
    - 1,
Games[[#This Row],[Date]]-$A$2)</f>
        <v>2</v>
      </c>
      <c r="J291" s="2" cm="1">
        <f t="array" ref="J29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91" s="2">
        <f>Games[[#This Row],[DaysOff]]-Games[[#This Row],[OppDaysOff]]</f>
        <v>0</v>
      </c>
      <c r="L291" s="2">
        <f>Games[[#This Row],[OppDaysOff]]-Games[[#This Row],[DaysOff]]</f>
        <v>0</v>
      </c>
      <c r="M291" s="1">
        <f>MAX(-16, MIN(16, Games[[#This Row],[RestDiff]]*8))</f>
        <v>0</v>
      </c>
      <c r="N291" s="1">
        <f>MAX(-16, MIN(16, Games[[#This Row],[OppRestDiff]]*8))</f>
        <v>0</v>
      </c>
      <c r="O291" s="4" cm="1">
        <f t="array" ref="O2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1526.862957396371</v>
      </c>
      <c r="P291" s="4" cm="1">
        <f t="array" ref="P2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1456.5702134158519</v>
      </c>
      <c r="Q291" s="4">
        <f>1/(1+10^(((Games[[#This Row],[OppPreGmRate]]+IF(Games[[#This Row],[HomeAway]]="A",HCA,0)+Games[[#This Row],[OppRestAdj]])-(Games[[#This Row],[PreGmRate]]+IF(Games[[#This Row],[HomeAway]]="H",HCA,0)+Games[[#This Row],[RestAdj]]))/400))</f>
        <v>0.70851453464729197</v>
      </c>
      <c r="R291" s="1">
        <v>88</v>
      </c>
      <c r="S291" s="1">
        <v>79</v>
      </c>
      <c r="T291" s="1">
        <v>0</v>
      </c>
      <c r="U291" s="1">
        <f>Games[[#This Row],[PointsFor]]-Games[[#This Row],[PointsAgainst]]</f>
        <v>9</v>
      </c>
      <c r="V291" s="1">
        <f>IF(Games[[#This Row],[MOV]]&gt;0,1,IF(Games[[#This Row],[MOV]]=0,0.5,0))</f>
        <v>1</v>
      </c>
      <c r="W291" s="4">
        <f>((ABS(Games[[#This Row],[MOV]])+5)^0.6)/(12+0.01*(ABS(Games[[#This Row],[PreGmRate]]-Games[[#This Row],[OppPreGmRate]])))*IF(Games[[#This Row],[OT]]=1,0.9,1)</f>
        <v>0.38350674274508995</v>
      </c>
      <c r="X291" s="7" cm="1">
        <f t="array" ref="X29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1" s="9">
        <f>MAX(kmin, kmax - 0.15 * MIN(Games[[#This Row],[GamesPlayed]], 82))</f>
        <v>72.400000000000006</v>
      </c>
      <c r="Z291" s="4">
        <f>Games[[#This Row],[K]]*Games[[#This Row],[POMult]]</f>
        <v>72.400000000000006</v>
      </c>
      <c r="AA291" s="4">
        <f>(Games[[#This Row],[Keff]]*Games[[#This Row],[MOVMult]])*(Games[[#This Row],[Result]]-Games[[#This Row],[ExpectedWin%]])</f>
        <v>8.0933528355466571</v>
      </c>
      <c r="AB291" s="4">
        <f>Games[[#This Row],[PreGmRate]]+Games[[#This Row],[RatingChange]]</f>
        <v>1534.9563102319178</v>
      </c>
      <c r="AC291" s="2">
        <f>IF(Games[[#This Row],[Type]]="R",IF(Games[[#This Row],[Result]]&gt;0.5,1,0),0)</f>
        <v>1</v>
      </c>
      <c r="AD291" s="2">
        <f>IF(Games[[#This Row],[Type]]="R",IF(Games[[#This Row],[Result]]&lt;0.5,1,0),0)</f>
        <v>0</v>
      </c>
      <c r="AE291" s="2">
        <f>IF(AND(Games[[#This Row],[Type]]="P",Games[[#This Row],[Round]]=1),IF(Games[[#This Row],[Result]]&gt;0.5,1,0),0)</f>
        <v>0</v>
      </c>
      <c r="AF291" s="2">
        <f>IF(AND(Games[[#This Row],[Type]]="P",Games[[#This Row],[Round]]=1),IF(Games[[#This Row],[Result]]&lt;0.5,1,0),0)</f>
        <v>0</v>
      </c>
      <c r="AG291" s="2">
        <f>IF(AND(Games[[#This Row],[Type]]="P",Games[[#This Row],[Round]]=2),IF(Games[[#This Row],[Result]]&gt;0.5,1,0),0)</f>
        <v>0</v>
      </c>
      <c r="AH291" s="2">
        <f>IF(AND(Games[[#This Row],[Type]]="P",Games[[#This Row],[Round]]=2),IF(Games[[#This Row],[Result]]&lt;0.5,1,0),0)</f>
        <v>0</v>
      </c>
      <c r="AI291" s="2">
        <f>IF(AND(Games[[#This Row],[Type]]="P",Games[[#This Row],[Round]]=3),IF(Games[[#This Row],[Result]]&gt;0.5,1,0),0)</f>
        <v>0</v>
      </c>
      <c r="AJ291" s="2">
        <f>IF(AND(Games[[#This Row],[Type]]="P",Games[[#This Row],[Round]]=3),IF(Games[[#This Row],[Result]]&lt;0.5,1,0),0)</f>
        <v>0</v>
      </c>
      <c r="AK291" s="2">
        <f>IF(AND(Games[[#This Row],[Type]]="P",Games[[#This Row],[Round]]=4),IF(Games[[#This Row],[Result]]&gt;0.5,1,0),0)</f>
        <v>0</v>
      </c>
      <c r="AL291" s="2">
        <f>IF(AND(Games[[#This Row],[Type]]="P",Games[[#This Row],[Round]]=4),IF(Games[[#This Row],[Result]]&lt;0.5,1,0),0)</f>
        <v>0</v>
      </c>
    </row>
    <row r="292" spans="1:38" x14ac:dyDescent="0.35">
      <c r="A292" s="10">
        <v>40389</v>
      </c>
      <c r="B292" s="2">
        <v>2010</v>
      </c>
      <c r="C292" s="2">
        <f>COUNTIFS(Games[Team],Games[[#This Row],[Team]],Games[Season],Games[[#This Row],[Season]],Games[Date],"&lt;=" &amp; Games[[#This Row],[Date]])</f>
        <v>26</v>
      </c>
      <c r="D292" s="2" t="s">
        <v>23</v>
      </c>
      <c r="E292" s="2" t="s">
        <v>29</v>
      </c>
      <c r="F292" s="1" t="s">
        <v>81</v>
      </c>
      <c r="G292" s="1" t="s">
        <v>75</v>
      </c>
      <c r="H292" s="1" t="s">
        <v>16</v>
      </c>
      <c r="I292" s="2" cm="1">
        <f t="array" ref="I292">IFERROR(
    Games[[#This Row],[Date]]
    - LOOKUP(
        2,
        1/((Games[Team]=Games[[#This Row],[Team]]) * (Games[Date] &lt; Games[[#This Row],[Date]])),
        Games[Date]
    )
    - 1,
Games[[#This Row],[Date]]-$A$2)</f>
        <v>2</v>
      </c>
      <c r="J292" s="2" cm="1">
        <f t="array" ref="J29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92" s="2">
        <f>Games[[#This Row],[DaysOff]]-Games[[#This Row],[OppDaysOff]]</f>
        <v>0</v>
      </c>
      <c r="L292" s="2">
        <f>Games[[#This Row],[OppDaysOff]]-Games[[#This Row],[DaysOff]]</f>
        <v>0</v>
      </c>
      <c r="M292" s="1">
        <f>MAX(-16, MIN(16, Games[[#This Row],[RestDiff]]*8))</f>
        <v>0</v>
      </c>
      <c r="N292" s="1">
        <f>MAX(-16, MIN(16, Games[[#This Row],[OppRestDiff]]*8))</f>
        <v>0</v>
      </c>
      <c r="O292" s="4" cm="1">
        <f t="array" ref="O2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1503.3306969655735</v>
      </c>
      <c r="P292" s="4" cm="1">
        <f t="array" ref="P2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1687.0296104562101</v>
      </c>
      <c r="Q292" s="4">
        <f>1/(1+10^(((Games[[#This Row],[OppPreGmRate]]+IF(Games[[#This Row],[HomeAway]]="A",HCA,0)+Games[[#This Row],[OppRestAdj]])-(Games[[#This Row],[PreGmRate]]+IF(Games[[#This Row],[HomeAway]]="H",HCA,0)+Games[[#This Row],[RestAdj]]))/400))</f>
        <v>0.17639012279321434</v>
      </c>
      <c r="R292" s="1">
        <v>60</v>
      </c>
      <c r="S292" s="1">
        <v>80</v>
      </c>
      <c r="T292" s="1">
        <v>0</v>
      </c>
      <c r="U292" s="1">
        <f>Games[[#This Row],[PointsFor]]-Games[[#This Row],[PointsAgainst]]</f>
        <v>-20</v>
      </c>
      <c r="V292" s="1">
        <f>IF(Games[[#This Row],[MOV]]&gt;0,1,IF(Games[[#This Row],[MOV]]=0,0.5,0))</f>
        <v>0</v>
      </c>
      <c r="W292" s="4">
        <f>((ABS(Games[[#This Row],[MOV]])+5)^0.6)/(12+0.01*(ABS(Games[[#This Row],[PreGmRate]]-Games[[#This Row],[OppPreGmRate]])))*IF(Games[[#This Row],[OT]]=1,0.9,1)</f>
        <v>0.49856570963859148</v>
      </c>
      <c r="X292" s="7" cm="1">
        <f t="array" ref="X29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2" s="9">
        <f>MAX(kmin, kmax - 0.15 * MIN(Games[[#This Row],[GamesPlayed]], 82))</f>
        <v>72.099999999999994</v>
      </c>
      <c r="Z292" s="4">
        <f>Games[[#This Row],[K]]*Games[[#This Row],[POMult]]</f>
        <v>72.099999999999994</v>
      </c>
      <c r="AA292" s="4">
        <f>(Games[[#This Row],[Keff]]*Games[[#This Row],[MOVMult]])*(Games[[#This Row],[Result]]-Games[[#This Row],[ExpectedWin%]])</f>
        <v>-6.3406230122162412</v>
      </c>
      <c r="AB292" s="4">
        <f>Games[[#This Row],[PreGmRate]]+Games[[#This Row],[RatingChange]]</f>
        <v>1496.9900739533573</v>
      </c>
      <c r="AC292" s="2">
        <f>IF(Games[[#This Row],[Type]]="R",IF(Games[[#This Row],[Result]]&gt;0.5,1,0),0)</f>
        <v>0</v>
      </c>
      <c r="AD292" s="2">
        <f>IF(Games[[#This Row],[Type]]="R",IF(Games[[#This Row],[Result]]&lt;0.5,1,0),0)</f>
        <v>1</v>
      </c>
      <c r="AE292" s="2">
        <f>IF(AND(Games[[#This Row],[Type]]="P",Games[[#This Row],[Round]]=1),IF(Games[[#This Row],[Result]]&gt;0.5,1,0),0)</f>
        <v>0</v>
      </c>
      <c r="AF292" s="2">
        <f>IF(AND(Games[[#This Row],[Type]]="P",Games[[#This Row],[Round]]=1),IF(Games[[#This Row],[Result]]&lt;0.5,1,0),0)</f>
        <v>0</v>
      </c>
      <c r="AG292" s="2">
        <f>IF(AND(Games[[#This Row],[Type]]="P",Games[[#This Row],[Round]]=2),IF(Games[[#This Row],[Result]]&gt;0.5,1,0),0)</f>
        <v>0</v>
      </c>
      <c r="AH292" s="2">
        <f>IF(AND(Games[[#This Row],[Type]]="P",Games[[#This Row],[Round]]=2),IF(Games[[#This Row],[Result]]&lt;0.5,1,0),0)</f>
        <v>0</v>
      </c>
      <c r="AI292" s="2">
        <f>IF(AND(Games[[#This Row],[Type]]="P",Games[[#This Row],[Round]]=3),IF(Games[[#This Row],[Result]]&gt;0.5,1,0),0)</f>
        <v>0</v>
      </c>
      <c r="AJ292" s="2">
        <f>IF(AND(Games[[#This Row],[Type]]="P",Games[[#This Row],[Round]]=3),IF(Games[[#This Row],[Result]]&lt;0.5,1,0),0)</f>
        <v>0</v>
      </c>
      <c r="AK292" s="2">
        <f>IF(AND(Games[[#This Row],[Type]]="P",Games[[#This Row],[Round]]=4),IF(Games[[#This Row],[Result]]&gt;0.5,1,0),0)</f>
        <v>0</v>
      </c>
      <c r="AL292" s="2">
        <f>IF(AND(Games[[#This Row],[Type]]="P",Games[[#This Row],[Round]]=4),IF(Games[[#This Row],[Result]]&lt;0.5,1,0),0)</f>
        <v>0</v>
      </c>
    </row>
    <row r="293" spans="1:38" x14ac:dyDescent="0.35">
      <c r="A293" s="10">
        <v>40389</v>
      </c>
      <c r="B293" s="2">
        <v>2010</v>
      </c>
      <c r="C293" s="2">
        <f>COUNTIFS(Games[Team],Games[[#This Row],[Team]],Games[Season],Games[[#This Row],[Season]],Games[Date],"&lt;=" &amp; Games[[#This Row],[Date]])</f>
        <v>24</v>
      </c>
      <c r="D293" s="2" t="s">
        <v>23</v>
      </c>
      <c r="E293" s="2" t="s">
        <v>29</v>
      </c>
      <c r="F293" s="1" t="s">
        <v>75</v>
      </c>
      <c r="G293" s="1" t="s">
        <v>81</v>
      </c>
      <c r="H293" s="1" t="s">
        <v>15</v>
      </c>
      <c r="I293" s="2" cm="1">
        <f t="array" ref="I293">IFERROR(
    Games[[#This Row],[Date]]
    - LOOKUP(
        2,
        1/((Games[Team]=Games[[#This Row],[Team]]) * (Games[Date] &lt; Games[[#This Row],[Date]])),
        Games[Date]
    )
    - 1,
Games[[#This Row],[Date]]-$A$2)</f>
        <v>2</v>
      </c>
      <c r="J293" s="2" cm="1">
        <f t="array" ref="J29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93" s="2">
        <f>Games[[#This Row],[DaysOff]]-Games[[#This Row],[OppDaysOff]]</f>
        <v>0</v>
      </c>
      <c r="L293" s="2">
        <f>Games[[#This Row],[OppDaysOff]]-Games[[#This Row],[DaysOff]]</f>
        <v>0</v>
      </c>
      <c r="M293" s="1">
        <f>MAX(-16, MIN(16, Games[[#This Row],[RestDiff]]*8))</f>
        <v>0</v>
      </c>
      <c r="N293" s="1">
        <f>MAX(-16, MIN(16, Games[[#This Row],[OppRestDiff]]*8))</f>
        <v>0</v>
      </c>
      <c r="O293" s="4" cm="1">
        <f t="array" ref="O2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1687.0296104562101</v>
      </c>
      <c r="P293" s="4" cm="1">
        <f t="array" ref="P2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1503.3306969655735</v>
      </c>
      <c r="Q293" s="4">
        <f>1/(1+10^(((Games[[#This Row],[OppPreGmRate]]+IF(Games[[#This Row],[HomeAway]]="A",HCA,0)+Games[[#This Row],[OppRestAdj]])-(Games[[#This Row],[PreGmRate]]+IF(Games[[#This Row],[HomeAway]]="H",HCA,0)+Games[[#This Row],[RestAdj]]))/400))</f>
        <v>0.82360987720678569</v>
      </c>
      <c r="R293" s="1">
        <v>80</v>
      </c>
      <c r="S293" s="1">
        <v>60</v>
      </c>
      <c r="T293" s="1">
        <v>0</v>
      </c>
      <c r="U293" s="1">
        <f>Games[[#This Row],[PointsFor]]-Games[[#This Row],[PointsAgainst]]</f>
        <v>20</v>
      </c>
      <c r="V293" s="1">
        <f>IF(Games[[#This Row],[MOV]]&gt;0,1,IF(Games[[#This Row],[MOV]]=0,0.5,0))</f>
        <v>1</v>
      </c>
      <c r="W293" s="4">
        <f>((ABS(Games[[#This Row],[MOV]])+5)^0.6)/(12+0.01*(ABS(Games[[#This Row],[PreGmRate]]-Games[[#This Row],[OppPreGmRate]])))*IF(Games[[#This Row],[OT]]=1,0.9,1)</f>
        <v>0.49856570963859148</v>
      </c>
      <c r="X293" s="7" cm="1">
        <f t="array" ref="X29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3" s="9">
        <f>MAX(kmin, kmax - 0.15 * MIN(Games[[#This Row],[GamesPlayed]], 82))</f>
        <v>72.400000000000006</v>
      </c>
      <c r="Z293" s="4">
        <f>Games[[#This Row],[K]]*Games[[#This Row],[POMult]]</f>
        <v>72.400000000000006</v>
      </c>
      <c r="AA293" s="4">
        <f>(Games[[#This Row],[Keff]]*Games[[#This Row],[MOVMult]])*(Games[[#This Row],[Result]]-Games[[#This Row],[ExpectedWin%]])</f>
        <v>6.3670056322393327</v>
      </c>
      <c r="AB293" s="4">
        <f>Games[[#This Row],[PreGmRate]]+Games[[#This Row],[RatingChange]]</f>
        <v>1693.3966160884495</v>
      </c>
      <c r="AC293" s="2">
        <f>IF(Games[[#This Row],[Type]]="R",IF(Games[[#This Row],[Result]]&gt;0.5,1,0),0)</f>
        <v>1</v>
      </c>
      <c r="AD293" s="2">
        <f>IF(Games[[#This Row],[Type]]="R",IF(Games[[#This Row],[Result]]&lt;0.5,1,0),0)</f>
        <v>0</v>
      </c>
      <c r="AE293" s="2">
        <f>IF(AND(Games[[#This Row],[Type]]="P",Games[[#This Row],[Round]]=1),IF(Games[[#This Row],[Result]]&gt;0.5,1,0),0)</f>
        <v>0</v>
      </c>
      <c r="AF293" s="2">
        <f>IF(AND(Games[[#This Row],[Type]]="P",Games[[#This Row],[Round]]=1),IF(Games[[#This Row],[Result]]&lt;0.5,1,0),0)</f>
        <v>0</v>
      </c>
      <c r="AG293" s="2">
        <f>IF(AND(Games[[#This Row],[Type]]="P",Games[[#This Row],[Round]]=2),IF(Games[[#This Row],[Result]]&gt;0.5,1,0),0)</f>
        <v>0</v>
      </c>
      <c r="AH293" s="2">
        <f>IF(AND(Games[[#This Row],[Type]]="P",Games[[#This Row],[Round]]=2),IF(Games[[#This Row],[Result]]&lt;0.5,1,0),0)</f>
        <v>0</v>
      </c>
      <c r="AI293" s="2">
        <f>IF(AND(Games[[#This Row],[Type]]="P",Games[[#This Row],[Round]]=3),IF(Games[[#This Row],[Result]]&gt;0.5,1,0),0)</f>
        <v>0</v>
      </c>
      <c r="AJ293" s="2">
        <f>IF(AND(Games[[#This Row],[Type]]="P",Games[[#This Row],[Round]]=3),IF(Games[[#This Row],[Result]]&lt;0.5,1,0),0)</f>
        <v>0</v>
      </c>
      <c r="AK293" s="2">
        <f>IF(AND(Games[[#This Row],[Type]]="P",Games[[#This Row],[Round]]=4),IF(Games[[#This Row],[Result]]&gt;0.5,1,0),0)</f>
        <v>0</v>
      </c>
      <c r="AL293" s="2">
        <f>IF(AND(Games[[#This Row],[Type]]="P",Games[[#This Row],[Round]]=4),IF(Games[[#This Row],[Result]]&lt;0.5,1,0),0)</f>
        <v>0</v>
      </c>
    </row>
    <row r="294" spans="1:38" x14ac:dyDescent="0.35">
      <c r="A294" s="10">
        <v>40389</v>
      </c>
      <c r="B294" s="2">
        <v>2010</v>
      </c>
      <c r="C294" s="2">
        <f>COUNTIFS(Games[Team],Games[[#This Row],[Team]],Games[Season],Games[[#This Row],[Season]],Games[Date],"&lt;=" &amp; Games[[#This Row],[Date]])</f>
        <v>25</v>
      </c>
      <c r="D294" s="2" t="s">
        <v>23</v>
      </c>
      <c r="E294" s="2" t="s">
        <v>29</v>
      </c>
      <c r="F294" s="1" t="s">
        <v>78</v>
      </c>
      <c r="G294" s="1" t="s">
        <v>85</v>
      </c>
      <c r="H294" s="1" t="s">
        <v>16</v>
      </c>
      <c r="I294" s="2" cm="1">
        <f t="array" ref="I294">IFERROR(
    Games[[#This Row],[Date]]
    - LOOKUP(
        2,
        1/((Games[Team]=Games[[#This Row],[Team]]) * (Games[Date] &lt; Games[[#This Row],[Date]])),
        Games[Date]
    )
    - 1,
Games[[#This Row],[Date]]-$A$2)</f>
        <v>0</v>
      </c>
      <c r="J294" s="2" cm="1">
        <f t="array" ref="J29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94" s="2">
        <f>Games[[#This Row],[DaysOff]]-Games[[#This Row],[OppDaysOff]]</f>
        <v>-2</v>
      </c>
      <c r="L294" s="2">
        <f>Games[[#This Row],[OppDaysOff]]-Games[[#This Row],[DaysOff]]</f>
        <v>2</v>
      </c>
      <c r="M294" s="1">
        <f>MAX(-16, MIN(16, Games[[#This Row],[RestDiff]]*8))</f>
        <v>-16</v>
      </c>
      <c r="N294" s="1">
        <f>MAX(-16, MIN(16, Games[[#This Row],[OppRestDiff]]*8))</f>
        <v>16</v>
      </c>
      <c r="O294" s="4" cm="1">
        <f t="array" ref="O2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1430.3341935719905</v>
      </c>
      <c r="P294" s="4" cm="1">
        <f t="array" ref="P2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1321.3754962455469</v>
      </c>
      <c r="Q294" s="4">
        <f>1/(1+10^(((Games[[#This Row],[OppPreGmRate]]+IF(Games[[#This Row],[HomeAway]]="A",HCA,0)+Games[[#This Row],[OppRestAdj]])-(Games[[#This Row],[PreGmRate]]+IF(Games[[#This Row],[HomeAway]]="H",HCA,0)+Games[[#This Row],[RestAdj]]))/400))</f>
        <v>0.48986813801133233</v>
      </c>
      <c r="R294" s="1">
        <v>101</v>
      </c>
      <c r="S294" s="1">
        <v>85</v>
      </c>
      <c r="T294" s="1">
        <v>0</v>
      </c>
      <c r="U294" s="1">
        <f>Games[[#This Row],[PointsFor]]-Games[[#This Row],[PointsAgainst]]</f>
        <v>16</v>
      </c>
      <c r="V294" s="1">
        <f>IF(Games[[#This Row],[MOV]]&gt;0,1,IF(Games[[#This Row],[MOV]]=0,0.5,0))</f>
        <v>1</v>
      </c>
      <c r="W294" s="4">
        <f>((ABS(Games[[#This Row],[MOV]])+5)^0.6)/(12+0.01*(ABS(Games[[#This Row],[PreGmRate]]-Games[[#This Row],[OppPreGmRate]])))*IF(Games[[#This Row],[OT]]=1,0.9,1)</f>
        <v>0.47468513712859828</v>
      </c>
      <c r="X294" s="7" cm="1">
        <f t="array" ref="X29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4" s="9">
        <f>MAX(kmin, kmax - 0.15 * MIN(Games[[#This Row],[GamesPlayed]], 82))</f>
        <v>72.25</v>
      </c>
      <c r="Z294" s="4">
        <f>Games[[#This Row],[K]]*Games[[#This Row],[POMult]]</f>
        <v>72.25</v>
      </c>
      <c r="AA294" s="4">
        <f>(Games[[#This Row],[Keff]]*Games[[#This Row],[MOVMult]])*(Games[[#This Row],[Result]]-Games[[#This Row],[ExpectedWin%]])</f>
        <v>17.495482929262007</v>
      </c>
      <c r="AB294" s="4">
        <f>Games[[#This Row],[PreGmRate]]+Games[[#This Row],[RatingChange]]</f>
        <v>1447.8296765012524</v>
      </c>
      <c r="AC294" s="2">
        <f>IF(Games[[#This Row],[Type]]="R",IF(Games[[#This Row],[Result]]&gt;0.5,1,0),0)</f>
        <v>1</v>
      </c>
      <c r="AD294" s="2">
        <f>IF(Games[[#This Row],[Type]]="R",IF(Games[[#This Row],[Result]]&lt;0.5,1,0),0)</f>
        <v>0</v>
      </c>
      <c r="AE294" s="2">
        <f>IF(AND(Games[[#This Row],[Type]]="P",Games[[#This Row],[Round]]=1),IF(Games[[#This Row],[Result]]&gt;0.5,1,0),0)</f>
        <v>0</v>
      </c>
      <c r="AF294" s="2">
        <f>IF(AND(Games[[#This Row],[Type]]="P",Games[[#This Row],[Round]]=1),IF(Games[[#This Row],[Result]]&lt;0.5,1,0),0)</f>
        <v>0</v>
      </c>
      <c r="AG294" s="2">
        <f>IF(AND(Games[[#This Row],[Type]]="P",Games[[#This Row],[Round]]=2),IF(Games[[#This Row],[Result]]&gt;0.5,1,0),0)</f>
        <v>0</v>
      </c>
      <c r="AH294" s="2">
        <f>IF(AND(Games[[#This Row],[Type]]="P",Games[[#This Row],[Round]]=2),IF(Games[[#This Row],[Result]]&lt;0.5,1,0),0)</f>
        <v>0</v>
      </c>
      <c r="AI294" s="2">
        <f>IF(AND(Games[[#This Row],[Type]]="P",Games[[#This Row],[Round]]=3),IF(Games[[#This Row],[Result]]&gt;0.5,1,0),0)</f>
        <v>0</v>
      </c>
      <c r="AJ294" s="2">
        <f>IF(AND(Games[[#This Row],[Type]]="P",Games[[#This Row],[Round]]=3),IF(Games[[#This Row],[Result]]&lt;0.5,1,0),0)</f>
        <v>0</v>
      </c>
      <c r="AK294" s="2">
        <f>IF(AND(Games[[#This Row],[Type]]="P",Games[[#This Row],[Round]]=4),IF(Games[[#This Row],[Result]]&gt;0.5,1,0),0)</f>
        <v>0</v>
      </c>
      <c r="AL294" s="2">
        <f>IF(AND(Games[[#This Row],[Type]]="P",Games[[#This Row],[Round]]=4),IF(Games[[#This Row],[Result]]&lt;0.5,1,0),0)</f>
        <v>0</v>
      </c>
    </row>
    <row r="295" spans="1:38" x14ac:dyDescent="0.35">
      <c r="A295" s="10">
        <v>40389</v>
      </c>
      <c r="B295" s="2">
        <v>2010</v>
      </c>
      <c r="C295" s="2">
        <f>COUNTIFS(Games[Team],Games[[#This Row],[Team]],Games[Season],Games[[#This Row],[Season]],Games[Date],"&lt;=" &amp; Games[[#This Row],[Date]])</f>
        <v>25</v>
      </c>
      <c r="D295" s="2" t="s">
        <v>23</v>
      </c>
      <c r="E295" s="2" t="s">
        <v>29</v>
      </c>
      <c r="F295" s="1" t="s">
        <v>85</v>
      </c>
      <c r="G295" s="1" t="s">
        <v>78</v>
      </c>
      <c r="H295" s="1" t="s">
        <v>15</v>
      </c>
      <c r="I295" s="2" cm="1">
        <f t="array" ref="I295">IFERROR(
    Games[[#This Row],[Date]]
    - LOOKUP(
        2,
        1/((Games[Team]=Games[[#This Row],[Team]]) * (Games[Date] &lt; Games[[#This Row],[Date]])),
        Games[Date]
    )
    - 1,
Games[[#This Row],[Date]]-$A$2)</f>
        <v>2</v>
      </c>
      <c r="J295" s="2" cm="1">
        <f t="array" ref="J29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95" s="2">
        <f>Games[[#This Row],[DaysOff]]-Games[[#This Row],[OppDaysOff]]</f>
        <v>2</v>
      </c>
      <c r="L295" s="2">
        <f>Games[[#This Row],[OppDaysOff]]-Games[[#This Row],[DaysOff]]</f>
        <v>-2</v>
      </c>
      <c r="M295" s="1">
        <f>MAX(-16, MIN(16, Games[[#This Row],[RestDiff]]*8))</f>
        <v>16</v>
      </c>
      <c r="N295" s="1">
        <f>MAX(-16, MIN(16, Games[[#This Row],[OppRestDiff]]*8))</f>
        <v>-16</v>
      </c>
      <c r="O295" s="4" cm="1">
        <f t="array" ref="O2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1321.3754962455469</v>
      </c>
      <c r="P295" s="4" cm="1">
        <f t="array" ref="P2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1430.3341935719905</v>
      </c>
      <c r="Q295" s="4">
        <f>1/(1+10^(((Games[[#This Row],[OppPreGmRate]]+IF(Games[[#This Row],[HomeAway]]="A",HCA,0)+Games[[#This Row],[OppRestAdj]])-(Games[[#This Row],[PreGmRate]]+IF(Games[[#This Row],[HomeAway]]="H",HCA,0)+Games[[#This Row],[RestAdj]]))/400))</f>
        <v>0.51013186198866767</v>
      </c>
      <c r="R295" s="1">
        <v>85</v>
      </c>
      <c r="S295" s="1">
        <v>101</v>
      </c>
      <c r="T295" s="1">
        <v>0</v>
      </c>
      <c r="U295" s="1">
        <f>Games[[#This Row],[PointsFor]]-Games[[#This Row],[PointsAgainst]]</f>
        <v>-16</v>
      </c>
      <c r="V295" s="1">
        <f>IF(Games[[#This Row],[MOV]]&gt;0,1,IF(Games[[#This Row],[MOV]]=0,0.5,0))</f>
        <v>0</v>
      </c>
      <c r="W295" s="4">
        <f>((ABS(Games[[#This Row],[MOV]])+5)^0.6)/(12+0.01*(ABS(Games[[#This Row],[PreGmRate]]-Games[[#This Row],[OppPreGmRate]])))*IF(Games[[#This Row],[OT]]=1,0.9,1)</f>
        <v>0.47468513712859828</v>
      </c>
      <c r="X295" s="7" cm="1">
        <f t="array" ref="X29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5" s="9">
        <f>MAX(kmin, kmax - 0.15 * MIN(Games[[#This Row],[GamesPlayed]], 82))</f>
        <v>72.25</v>
      </c>
      <c r="Z295" s="4">
        <f>Games[[#This Row],[K]]*Games[[#This Row],[POMult]]</f>
        <v>72.25</v>
      </c>
      <c r="AA295" s="4">
        <f>(Games[[#This Row],[Keff]]*Games[[#This Row],[MOVMult]])*(Games[[#This Row],[Result]]-Games[[#This Row],[ExpectedWin%]])</f>
        <v>-17.495482929262007</v>
      </c>
      <c r="AB295" s="4">
        <f>Games[[#This Row],[PreGmRate]]+Games[[#This Row],[RatingChange]]</f>
        <v>1303.8800133162849</v>
      </c>
      <c r="AC295" s="2">
        <f>IF(Games[[#This Row],[Type]]="R",IF(Games[[#This Row],[Result]]&gt;0.5,1,0),0)</f>
        <v>0</v>
      </c>
      <c r="AD295" s="2">
        <f>IF(Games[[#This Row],[Type]]="R",IF(Games[[#This Row],[Result]]&lt;0.5,1,0),0)</f>
        <v>1</v>
      </c>
      <c r="AE295" s="2">
        <f>IF(AND(Games[[#This Row],[Type]]="P",Games[[#This Row],[Round]]=1),IF(Games[[#This Row],[Result]]&gt;0.5,1,0),0)</f>
        <v>0</v>
      </c>
      <c r="AF295" s="2">
        <f>IF(AND(Games[[#This Row],[Type]]="P",Games[[#This Row],[Round]]=1),IF(Games[[#This Row],[Result]]&lt;0.5,1,0),0)</f>
        <v>0</v>
      </c>
      <c r="AG295" s="2">
        <f>IF(AND(Games[[#This Row],[Type]]="P",Games[[#This Row],[Round]]=2),IF(Games[[#This Row],[Result]]&gt;0.5,1,0),0)</f>
        <v>0</v>
      </c>
      <c r="AH295" s="2">
        <f>IF(AND(Games[[#This Row],[Type]]="P",Games[[#This Row],[Round]]=2),IF(Games[[#This Row],[Result]]&lt;0.5,1,0),0)</f>
        <v>0</v>
      </c>
      <c r="AI295" s="2">
        <f>IF(AND(Games[[#This Row],[Type]]="P",Games[[#This Row],[Round]]=3),IF(Games[[#This Row],[Result]]&gt;0.5,1,0),0)</f>
        <v>0</v>
      </c>
      <c r="AJ295" s="2">
        <f>IF(AND(Games[[#This Row],[Type]]="P",Games[[#This Row],[Round]]=3),IF(Games[[#This Row],[Result]]&lt;0.5,1,0),0)</f>
        <v>0</v>
      </c>
      <c r="AK295" s="2">
        <f>IF(AND(Games[[#This Row],[Type]]="P",Games[[#This Row],[Round]]=4),IF(Games[[#This Row],[Result]]&gt;0.5,1,0),0)</f>
        <v>0</v>
      </c>
      <c r="AL295" s="2">
        <f>IF(AND(Games[[#This Row],[Type]]="P",Games[[#This Row],[Round]]=4),IF(Games[[#This Row],[Result]]&lt;0.5,1,0),0)</f>
        <v>0</v>
      </c>
    </row>
    <row r="296" spans="1:38" x14ac:dyDescent="0.35">
      <c r="A296" s="10">
        <v>40391</v>
      </c>
      <c r="B296" s="2">
        <v>2010</v>
      </c>
      <c r="C296" s="2">
        <f>COUNTIFS(Games[Team],Games[[#This Row],[Team]],Games[Season],Games[[#This Row],[Season]],Games[Date],"&lt;=" &amp; Games[[#This Row],[Date]])</f>
        <v>25</v>
      </c>
      <c r="D296" s="2" t="s">
        <v>23</v>
      </c>
      <c r="E296" s="2" t="s">
        <v>29</v>
      </c>
      <c r="F296" s="1" t="s">
        <v>73</v>
      </c>
      <c r="G296" s="1" t="s">
        <v>83</v>
      </c>
      <c r="H296" s="1" t="s">
        <v>16</v>
      </c>
      <c r="I296" s="2" cm="1">
        <f t="array" ref="I29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6" s="2" cm="1">
        <f t="array" ref="J29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6" s="2">
        <f>Games[[#This Row],[DaysOff]]-Games[[#This Row],[OppDaysOff]]</f>
        <v>0</v>
      </c>
      <c r="L296" s="2">
        <f>Games[[#This Row],[OppDaysOff]]-Games[[#This Row],[DaysOff]]</f>
        <v>0</v>
      </c>
      <c r="M296" s="1">
        <f>MAX(-16, MIN(16, Games[[#This Row],[RestDiff]]*8))</f>
        <v>0</v>
      </c>
      <c r="N296" s="1">
        <f>MAX(-16, MIN(16, Games[[#This Row],[OppRestDiff]]*8))</f>
        <v>0</v>
      </c>
      <c r="O296" s="4" cm="1">
        <f t="array" ref="O2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1606.0613372436694</v>
      </c>
      <c r="P296" s="4" cm="1">
        <f t="array" ref="P2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1569.8939507530995</v>
      </c>
      <c r="Q296" s="4">
        <f>1/(1+10^(((Games[[#This Row],[OppPreGmRate]]+IF(Games[[#This Row],[HomeAway]]="A",HCA,0)+Games[[#This Row],[OppRestAdj]])-(Games[[#This Row],[PreGmRate]]+IF(Games[[#This Row],[HomeAway]]="H",HCA,0)+Games[[#This Row],[RestAdj]]))/400))</f>
        <v>0.43159497233415323</v>
      </c>
      <c r="R296" s="1">
        <v>74</v>
      </c>
      <c r="S296" s="1">
        <v>90</v>
      </c>
      <c r="T296" s="1">
        <v>0</v>
      </c>
      <c r="U296" s="1">
        <f>Games[[#This Row],[PointsFor]]-Games[[#This Row],[PointsAgainst]]</f>
        <v>-16</v>
      </c>
      <c r="V296" s="1">
        <f>IF(Games[[#This Row],[MOV]]&gt;0,1,IF(Games[[#This Row],[MOV]]=0,0.5,0))</f>
        <v>0</v>
      </c>
      <c r="W296" s="4">
        <f>((ABS(Games[[#This Row],[MOV]])+5)^0.6)/(12+0.01*(ABS(Games[[#This Row],[PreGmRate]]-Games[[#This Row],[OppPreGmRate]])))*IF(Games[[#This Row],[OT]]=1,0.9,1)</f>
        <v>0.50263681563387874</v>
      </c>
      <c r="X296" s="7" cm="1">
        <f t="array" ref="X29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6" s="9">
        <f>MAX(kmin, kmax - 0.15 * MIN(Games[[#This Row],[GamesPlayed]], 82))</f>
        <v>72.25</v>
      </c>
      <c r="Z296" s="4">
        <f>Games[[#This Row],[K]]*Games[[#This Row],[POMult]]</f>
        <v>72.25</v>
      </c>
      <c r="AA296" s="4">
        <f>(Games[[#This Row],[Keff]]*Games[[#This Row],[MOVMult]])*(Games[[#This Row],[Result]]-Games[[#This Row],[ExpectedWin%]])</f>
        <v>-15.673591503343822</v>
      </c>
      <c r="AB296" s="4">
        <f>Games[[#This Row],[PreGmRate]]+Games[[#This Row],[RatingChange]]</f>
        <v>1590.3877457403255</v>
      </c>
      <c r="AC296" s="2">
        <f>IF(Games[[#This Row],[Type]]="R",IF(Games[[#This Row],[Result]]&gt;0.5,1,0),0)</f>
        <v>0</v>
      </c>
      <c r="AD296" s="2">
        <f>IF(Games[[#This Row],[Type]]="R",IF(Games[[#This Row],[Result]]&lt;0.5,1,0),0)</f>
        <v>1</v>
      </c>
      <c r="AE296" s="2">
        <f>IF(AND(Games[[#This Row],[Type]]="P",Games[[#This Row],[Round]]=1),IF(Games[[#This Row],[Result]]&gt;0.5,1,0),0)</f>
        <v>0</v>
      </c>
      <c r="AF296" s="2">
        <f>IF(AND(Games[[#This Row],[Type]]="P",Games[[#This Row],[Round]]=1),IF(Games[[#This Row],[Result]]&lt;0.5,1,0),0)</f>
        <v>0</v>
      </c>
      <c r="AG296" s="2">
        <f>IF(AND(Games[[#This Row],[Type]]="P",Games[[#This Row],[Round]]=2),IF(Games[[#This Row],[Result]]&gt;0.5,1,0),0)</f>
        <v>0</v>
      </c>
      <c r="AH296" s="2">
        <f>IF(AND(Games[[#This Row],[Type]]="P",Games[[#This Row],[Round]]=2),IF(Games[[#This Row],[Result]]&lt;0.5,1,0),0)</f>
        <v>0</v>
      </c>
      <c r="AI296" s="2">
        <f>IF(AND(Games[[#This Row],[Type]]="P",Games[[#This Row],[Round]]=3),IF(Games[[#This Row],[Result]]&gt;0.5,1,0),0)</f>
        <v>0</v>
      </c>
      <c r="AJ296" s="2">
        <f>IF(AND(Games[[#This Row],[Type]]="P",Games[[#This Row],[Round]]=3),IF(Games[[#This Row],[Result]]&lt;0.5,1,0),0)</f>
        <v>0</v>
      </c>
      <c r="AK296" s="2">
        <f>IF(AND(Games[[#This Row],[Type]]="P",Games[[#This Row],[Round]]=4),IF(Games[[#This Row],[Result]]&gt;0.5,1,0),0)</f>
        <v>0</v>
      </c>
      <c r="AL296" s="2">
        <f>IF(AND(Games[[#This Row],[Type]]="P",Games[[#This Row],[Round]]=4),IF(Games[[#This Row],[Result]]&lt;0.5,1,0),0)</f>
        <v>0</v>
      </c>
    </row>
    <row r="297" spans="1:38" x14ac:dyDescent="0.35">
      <c r="A297" s="10">
        <v>40391</v>
      </c>
      <c r="B297" s="2">
        <v>2010</v>
      </c>
      <c r="C297" s="2">
        <f>COUNTIFS(Games[Team],Games[[#This Row],[Team]],Games[Season],Games[[#This Row],[Season]],Games[Date],"&lt;=" &amp; Games[[#This Row],[Date]])</f>
        <v>27</v>
      </c>
      <c r="D297" s="2" t="s">
        <v>23</v>
      </c>
      <c r="E297" s="2" t="s">
        <v>29</v>
      </c>
      <c r="F297" s="1" t="s">
        <v>83</v>
      </c>
      <c r="G297" s="1" t="s">
        <v>73</v>
      </c>
      <c r="H297" s="1" t="s">
        <v>15</v>
      </c>
      <c r="I297" s="2" cm="1">
        <f t="array" ref="I29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7" s="2" cm="1">
        <f t="array" ref="J29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7" s="2">
        <f>Games[[#This Row],[DaysOff]]-Games[[#This Row],[OppDaysOff]]</f>
        <v>0</v>
      </c>
      <c r="L297" s="2">
        <f>Games[[#This Row],[OppDaysOff]]-Games[[#This Row],[DaysOff]]</f>
        <v>0</v>
      </c>
      <c r="M297" s="1">
        <f>MAX(-16, MIN(16, Games[[#This Row],[RestDiff]]*8))</f>
        <v>0</v>
      </c>
      <c r="N297" s="1">
        <f>MAX(-16, MIN(16, Games[[#This Row],[OppRestDiff]]*8))</f>
        <v>0</v>
      </c>
      <c r="O297" s="4" cm="1">
        <f t="array" ref="O2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1569.8939507530995</v>
      </c>
      <c r="P297" s="4" cm="1">
        <f t="array" ref="P2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1606.0613372436694</v>
      </c>
      <c r="Q297" s="4">
        <f>1/(1+10^(((Games[[#This Row],[OppPreGmRate]]+IF(Games[[#This Row],[HomeAway]]="A",HCA,0)+Games[[#This Row],[OppRestAdj]])-(Games[[#This Row],[PreGmRate]]+IF(Games[[#This Row],[HomeAway]]="H",HCA,0)+Games[[#This Row],[RestAdj]]))/400))</f>
        <v>0.56840502766584677</v>
      </c>
      <c r="R297" s="1">
        <v>90</v>
      </c>
      <c r="S297" s="1">
        <v>74</v>
      </c>
      <c r="T297" s="1">
        <v>0</v>
      </c>
      <c r="U297" s="1">
        <f>Games[[#This Row],[PointsFor]]-Games[[#This Row],[PointsAgainst]]</f>
        <v>16</v>
      </c>
      <c r="V297" s="1">
        <f>IF(Games[[#This Row],[MOV]]&gt;0,1,IF(Games[[#This Row],[MOV]]=0,0.5,0))</f>
        <v>1</v>
      </c>
      <c r="W297" s="4">
        <f>((ABS(Games[[#This Row],[MOV]])+5)^0.6)/(12+0.01*(ABS(Games[[#This Row],[PreGmRate]]-Games[[#This Row],[OppPreGmRate]])))*IF(Games[[#This Row],[OT]]=1,0.9,1)</f>
        <v>0.50263681563387874</v>
      </c>
      <c r="X297" s="7" cm="1">
        <f t="array" ref="X29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7" s="9">
        <f>MAX(kmin, kmax - 0.15 * MIN(Games[[#This Row],[GamesPlayed]], 82))</f>
        <v>71.95</v>
      </c>
      <c r="Z297" s="4">
        <f>Games[[#This Row],[K]]*Games[[#This Row],[POMult]]</f>
        <v>71.95</v>
      </c>
      <c r="AA297" s="4">
        <f>(Games[[#This Row],[Keff]]*Games[[#This Row],[MOVMult]])*(Games[[#This Row],[Result]]-Games[[#This Row],[ExpectedWin%]])</f>
        <v>15.608510846582535</v>
      </c>
      <c r="AB297" s="4">
        <f>Games[[#This Row],[PreGmRate]]+Games[[#This Row],[RatingChange]]</f>
        <v>1585.502461599682</v>
      </c>
      <c r="AC297" s="2">
        <f>IF(Games[[#This Row],[Type]]="R",IF(Games[[#This Row],[Result]]&gt;0.5,1,0),0)</f>
        <v>1</v>
      </c>
      <c r="AD297" s="2">
        <f>IF(Games[[#This Row],[Type]]="R",IF(Games[[#This Row],[Result]]&lt;0.5,1,0),0)</f>
        <v>0</v>
      </c>
      <c r="AE297" s="2">
        <f>IF(AND(Games[[#This Row],[Type]]="P",Games[[#This Row],[Round]]=1),IF(Games[[#This Row],[Result]]&gt;0.5,1,0),0)</f>
        <v>0</v>
      </c>
      <c r="AF297" s="2">
        <f>IF(AND(Games[[#This Row],[Type]]="P",Games[[#This Row],[Round]]=1),IF(Games[[#This Row],[Result]]&lt;0.5,1,0),0)</f>
        <v>0</v>
      </c>
      <c r="AG297" s="2">
        <f>IF(AND(Games[[#This Row],[Type]]="P",Games[[#This Row],[Round]]=2),IF(Games[[#This Row],[Result]]&gt;0.5,1,0),0)</f>
        <v>0</v>
      </c>
      <c r="AH297" s="2">
        <f>IF(AND(Games[[#This Row],[Type]]="P",Games[[#This Row],[Round]]=2),IF(Games[[#This Row],[Result]]&lt;0.5,1,0),0)</f>
        <v>0</v>
      </c>
      <c r="AI297" s="2">
        <f>IF(AND(Games[[#This Row],[Type]]="P",Games[[#This Row],[Round]]=3),IF(Games[[#This Row],[Result]]&gt;0.5,1,0),0)</f>
        <v>0</v>
      </c>
      <c r="AJ297" s="2">
        <f>IF(AND(Games[[#This Row],[Type]]="P",Games[[#This Row],[Round]]=3),IF(Games[[#This Row],[Result]]&lt;0.5,1,0),0)</f>
        <v>0</v>
      </c>
      <c r="AK297" s="2">
        <f>IF(AND(Games[[#This Row],[Type]]="P",Games[[#This Row],[Round]]=4),IF(Games[[#This Row],[Result]]&gt;0.5,1,0),0)</f>
        <v>0</v>
      </c>
      <c r="AL297" s="2">
        <f>IF(AND(Games[[#This Row],[Type]]="P",Games[[#This Row],[Round]]=4),IF(Games[[#This Row],[Result]]&lt;0.5,1,0),0)</f>
        <v>0</v>
      </c>
    </row>
    <row r="298" spans="1:38" x14ac:dyDescent="0.35">
      <c r="A298" s="10">
        <v>40391</v>
      </c>
      <c r="B298" s="2">
        <v>2010</v>
      </c>
      <c r="C298" s="2">
        <f>COUNTIFS(Games[Team],Games[[#This Row],[Team]],Games[Season],Games[[#This Row],[Season]],Games[Date],"&lt;=" &amp; Games[[#This Row],[Date]])</f>
        <v>25</v>
      </c>
      <c r="D298" s="2" t="s">
        <v>23</v>
      </c>
      <c r="E298" s="2" t="s">
        <v>29</v>
      </c>
      <c r="F298" s="1" t="s">
        <v>75</v>
      </c>
      <c r="G298" s="1" t="s">
        <v>71</v>
      </c>
      <c r="H298" s="1" t="s">
        <v>16</v>
      </c>
      <c r="I298" s="2" cm="1">
        <f t="array" ref="I29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8" s="2" cm="1">
        <f t="array" ref="J29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98" s="2">
        <f>Games[[#This Row],[DaysOff]]-Games[[#This Row],[OppDaysOff]]</f>
        <v>-1</v>
      </c>
      <c r="L298" s="2">
        <f>Games[[#This Row],[OppDaysOff]]-Games[[#This Row],[DaysOff]]</f>
        <v>1</v>
      </c>
      <c r="M298" s="1">
        <f>MAX(-16, MIN(16, Games[[#This Row],[RestDiff]]*8))</f>
        <v>-8</v>
      </c>
      <c r="N298" s="1">
        <f>MAX(-16, MIN(16, Games[[#This Row],[OppRestDiff]]*8))</f>
        <v>8</v>
      </c>
      <c r="O298" s="4" cm="1">
        <f t="array" ref="O2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1693.3966160884495</v>
      </c>
      <c r="P298" s="4" cm="1">
        <f t="array" ref="P2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1384.7038648207833</v>
      </c>
      <c r="Q298" s="4">
        <f>1/(1+10^(((Games[[#This Row],[OppPreGmRate]]+IF(Games[[#This Row],[HomeAway]]="A",HCA,0)+Games[[#This Row],[OppRestAdj]])-(Games[[#This Row],[PreGmRate]]+IF(Games[[#This Row],[HomeAway]]="H",HCA,0)+Games[[#This Row],[RestAdj]]))/400))</f>
        <v>0.76876166217345765</v>
      </c>
      <c r="R298" s="1">
        <v>71</v>
      </c>
      <c r="S298" s="1">
        <v>72</v>
      </c>
      <c r="T298" s="1">
        <v>0</v>
      </c>
      <c r="U298" s="1">
        <f>Games[[#This Row],[PointsFor]]-Games[[#This Row],[PointsAgainst]]</f>
        <v>-1</v>
      </c>
      <c r="V298" s="1">
        <f>IF(Games[[#This Row],[MOV]]&gt;0,1,IF(Games[[#This Row],[MOV]]=0,0.5,0))</f>
        <v>0</v>
      </c>
      <c r="W298" s="4">
        <f>((ABS(Games[[#This Row],[MOV]])+5)^0.6)/(12+0.01*(ABS(Games[[#This Row],[PreGmRate]]-Games[[#This Row],[OppPreGmRate]])))*IF(Games[[#This Row],[OT]]=1,0.9,1)</f>
        <v>0.19421820971310977</v>
      </c>
      <c r="X298" s="7" cm="1">
        <f t="array" ref="X29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8" s="9">
        <f>MAX(kmin, kmax - 0.15 * MIN(Games[[#This Row],[GamesPlayed]], 82))</f>
        <v>72.25</v>
      </c>
      <c r="Z298" s="4">
        <f>Games[[#This Row],[K]]*Games[[#This Row],[POMult]]</f>
        <v>72.25</v>
      </c>
      <c r="AA298" s="4">
        <f>(Games[[#This Row],[Keff]]*Games[[#This Row],[MOVMult]])*(Games[[#This Row],[Result]]-Games[[#This Row],[ExpectedWin%]])</f>
        <v>-10.787467866515899</v>
      </c>
      <c r="AB298" s="4">
        <f>Games[[#This Row],[PreGmRate]]+Games[[#This Row],[RatingChange]]</f>
        <v>1682.6091482219335</v>
      </c>
      <c r="AC298" s="2">
        <f>IF(Games[[#This Row],[Type]]="R",IF(Games[[#This Row],[Result]]&gt;0.5,1,0),0)</f>
        <v>0</v>
      </c>
      <c r="AD298" s="2">
        <f>IF(Games[[#This Row],[Type]]="R",IF(Games[[#This Row],[Result]]&lt;0.5,1,0),0)</f>
        <v>1</v>
      </c>
      <c r="AE298" s="2">
        <f>IF(AND(Games[[#This Row],[Type]]="P",Games[[#This Row],[Round]]=1),IF(Games[[#This Row],[Result]]&gt;0.5,1,0),0)</f>
        <v>0</v>
      </c>
      <c r="AF298" s="2">
        <f>IF(AND(Games[[#This Row],[Type]]="P",Games[[#This Row],[Round]]=1),IF(Games[[#This Row],[Result]]&lt;0.5,1,0),0)</f>
        <v>0</v>
      </c>
      <c r="AG298" s="2">
        <f>IF(AND(Games[[#This Row],[Type]]="P",Games[[#This Row],[Round]]=2),IF(Games[[#This Row],[Result]]&gt;0.5,1,0),0)</f>
        <v>0</v>
      </c>
      <c r="AH298" s="2">
        <f>IF(AND(Games[[#This Row],[Type]]="P",Games[[#This Row],[Round]]=2),IF(Games[[#This Row],[Result]]&lt;0.5,1,0),0)</f>
        <v>0</v>
      </c>
      <c r="AI298" s="2">
        <f>IF(AND(Games[[#This Row],[Type]]="P",Games[[#This Row],[Round]]=3),IF(Games[[#This Row],[Result]]&gt;0.5,1,0),0)</f>
        <v>0</v>
      </c>
      <c r="AJ298" s="2">
        <f>IF(AND(Games[[#This Row],[Type]]="P",Games[[#This Row],[Round]]=3),IF(Games[[#This Row],[Result]]&lt;0.5,1,0),0)</f>
        <v>0</v>
      </c>
      <c r="AK298" s="2">
        <f>IF(AND(Games[[#This Row],[Type]]="P",Games[[#This Row],[Round]]=4),IF(Games[[#This Row],[Result]]&gt;0.5,1,0),0)</f>
        <v>0</v>
      </c>
      <c r="AL298" s="2">
        <f>IF(AND(Games[[#This Row],[Type]]="P",Games[[#This Row],[Round]]=4),IF(Games[[#This Row],[Result]]&lt;0.5,1,0),0)</f>
        <v>0</v>
      </c>
    </row>
    <row r="299" spans="1:38" x14ac:dyDescent="0.35">
      <c r="A299" s="10">
        <v>40391</v>
      </c>
      <c r="B299" s="2">
        <v>2010</v>
      </c>
      <c r="C299" s="2">
        <f>COUNTIFS(Games[Team],Games[[#This Row],[Team]],Games[Season],Games[[#This Row],[Season]],Games[Date],"&lt;=" &amp; Games[[#This Row],[Date]])</f>
        <v>24</v>
      </c>
      <c r="D299" s="2" t="s">
        <v>23</v>
      </c>
      <c r="E299" s="2" t="s">
        <v>29</v>
      </c>
      <c r="F299" s="1" t="s">
        <v>71</v>
      </c>
      <c r="G299" s="1" t="s">
        <v>75</v>
      </c>
      <c r="H299" s="1" t="s">
        <v>15</v>
      </c>
      <c r="I299" s="2" cm="1">
        <f t="array" ref="I299">IFERROR(
    Games[[#This Row],[Date]]
    - LOOKUP(
        2,
        1/((Games[Team]=Games[[#This Row],[Team]]) * (Games[Date] &lt; Games[[#This Row],[Date]])),
        Games[Date]
    )
    - 1,
Games[[#This Row],[Date]]-$A$2)</f>
        <v>2</v>
      </c>
      <c r="J299" s="2" cm="1">
        <f t="array" ref="J29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9" s="2">
        <f>Games[[#This Row],[DaysOff]]-Games[[#This Row],[OppDaysOff]]</f>
        <v>1</v>
      </c>
      <c r="L299" s="2">
        <f>Games[[#This Row],[OppDaysOff]]-Games[[#This Row],[DaysOff]]</f>
        <v>-1</v>
      </c>
      <c r="M299" s="1">
        <f>MAX(-16, MIN(16, Games[[#This Row],[RestDiff]]*8))</f>
        <v>8</v>
      </c>
      <c r="N299" s="1">
        <f>MAX(-16, MIN(16, Games[[#This Row],[OppRestDiff]]*8))</f>
        <v>-8</v>
      </c>
      <c r="O299" s="4" cm="1">
        <f t="array" ref="O2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1384.7038648207833</v>
      </c>
      <c r="P299" s="4" cm="1">
        <f t="array" ref="P2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1693.3966160884495</v>
      </c>
      <c r="Q299" s="4">
        <f>1/(1+10^(((Games[[#This Row],[OppPreGmRate]]+IF(Games[[#This Row],[HomeAway]]="A",HCA,0)+Games[[#This Row],[OppRestAdj]])-(Games[[#This Row],[PreGmRate]]+IF(Games[[#This Row],[HomeAway]]="H",HCA,0)+Games[[#This Row],[RestAdj]]))/400))</f>
        <v>0.23123833782654238</v>
      </c>
      <c r="R299" s="1">
        <v>72</v>
      </c>
      <c r="S299" s="1">
        <v>71</v>
      </c>
      <c r="T299" s="1">
        <v>0</v>
      </c>
      <c r="U299" s="1">
        <f>Games[[#This Row],[PointsFor]]-Games[[#This Row],[PointsAgainst]]</f>
        <v>1</v>
      </c>
      <c r="V299" s="1">
        <f>IF(Games[[#This Row],[MOV]]&gt;0,1,IF(Games[[#This Row],[MOV]]=0,0.5,0))</f>
        <v>1</v>
      </c>
      <c r="W299" s="4">
        <f>((ABS(Games[[#This Row],[MOV]])+5)^0.6)/(12+0.01*(ABS(Games[[#This Row],[PreGmRate]]-Games[[#This Row],[OppPreGmRate]])))*IF(Games[[#This Row],[OT]]=1,0.9,1)</f>
        <v>0.19421820971310977</v>
      </c>
      <c r="X299" s="7" cm="1">
        <f t="array" ref="X29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9" s="9">
        <f>MAX(kmin, kmax - 0.15 * MIN(Games[[#This Row],[GamesPlayed]], 82))</f>
        <v>72.400000000000006</v>
      </c>
      <c r="Z299" s="4">
        <f>Games[[#This Row],[K]]*Games[[#This Row],[POMult]]</f>
        <v>72.400000000000006</v>
      </c>
      <c r="AA299" s="4">
        <f>(Games[[#This Row],[Keff]]*Games[[#This Row],[MOVMult]])*(Games[[#This Row],[Result]]-Games[[#This Row],[ExpectedWin%]])</f>
        <v>10.80986399357441</v>
      </c>
      <c r="AB299" s="4">
        <f>Games[[#This Row],[PreGmRate]]+Games[[#This Row],[RatingChange]]</f>
        <v>1395.5137288143578</v>
      </c>
      <c r="AC299" s="2">
        <f>IF(Games[[#This Row],[Type]]="R",IF(Games[[#This Row],[Result]]&gt;0.5,1,0),0)</f>
        <v>1</v>
      </c>
      <c r="AD299" s="2">
        <f>IF(Games[[#This Row],[Type]]="R",IF(Games[[#This Row],[Result]]&lt;0.5,1,0),0)</f>
        <v>0</v>
      </c>
      <c r="AE299" s="2">
        <f>IF(AND(Games[[#This Row],[Type]]="P",Games[[#This Row],[Round]]=1),IF(Games[[#This Row],[Result]]&gt;0.5,1,0),0)</f>
        <v>0</v>
      </c>
      <c r="AF299" s="2">
        <f>IF(AND(Games[[#This Row],[Type]]="P",Games[[#This Row],[Round]]=1),IF(Games[[#This Row],[Result]]&lt;0.5,1,0),0)</f>
        <v>0</v>
      </c>
      <c r="AG299" s="2">
        <f>IF(AND(Games[[#This Row],[Type]]="P",Games[[#This Row],[Round]]=2),IF(Games[[#This Row],[Result]]&gt;0.5,1,0),0)</f>
        <v>0</v>
      </c>
      <c r="AH299" s="2">
        <f>IF(AND(Games[[#This Row],[Type]]="P",Games[[#This Row],[Round]]=2),IF(Games[[#This Row],[Result]]&lt;0.5,1,0),0)</f>
        <v>0</v>
      </c>
      <c r="AI299" s="2">
        <f>IF(AND(Games[[#This Row],[Type]]="P",Games[[#This Row],[Round]]=3),IF(Games[[#This Row],[Result]]&gt;0.5,1,0),0)</f>
        <v>0</v>
      </c>
      <c r="AJ299" s="2">
        <f>IF(AND(Games[[#This Row],[Type]]="P",Games[[#This Row],[Round]]=3),IF(Games[[#This Row],[Result]]&lt;0.5,1,0),0)</f>
        <v>0</v>
      </c>
      <c r="AK299" s="2">
        <f>IF(AND(Games[[#This Row],[Type]]="P",Games[[#This Row],[Round]]=4),IF(Games[[#This Row],[Result]]&gt;0.5,1,0),0)</f>
        <v>0</v>
      </c>
      <c r="AL299" s="2">
        <f>IF(AND(Games[[#This Row],[Type]]="P",Games[[#This Row],[Round]]=4),IF(Games[[#This Row],[Result]]&lt;0.5,1,0),0)</f>
        <v>0</v>
      </c>
    </row>
    <row r="300" spans="1:38" x14ac:dyDescent="0.35">
      <c r="A300" s="10">
        <v>40391</v>
      </c>
      <c r="B300" s="2">
        <v>2010</v>
      </c>
      <c r="C300" s="2">
        <f>COUNTIFS(Games[Team],Games[[#This Row],[Team]],Games[Season],Games[[#This Row],[Season]],Games[Date],"&lt;=" &amp; Games[[#This Row],[Date]])</f>
        <v>25</v>
      </c>
      <c r="D300" s="2" t="s">
        <v>23</v>
      </c>
      <c r="E300" s="2" t="s">
        <v>29</v>
      </c>
      <c r="F300" s="1" t="s">
        <v>80</v>
      </c>
      <c r="G300" s="1" t="s">
        <v>64</v>
      </c>
      <c r="H300" s="1" t="s">
        <v>16</v>
      </c>
      <c r="I300" s="2" cm="1">
        <f t="array" ref="I30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0" s="2" cm="1">
        <f t="array" ref="J30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0" s="2">
        <f>Games[[#This Row],[DaysOff]]-Games[[#This Row],[OppDaysOff]]</f>
        <v>0</v>
      </c>
      <c r="L300" s="2">
        <f>Games[[#This Row],[OppDaysOff]]-Games[[#This Row],[DaysOff]]</f>
        <v>0</v>
      </c>
      <c r="M300" s="1">
        <f>MAX(-16, MIN(16, Games[[#This Row],[RestDiff]]*8))</f>
        <v>0</v>
      </c>
      <c r="N300" s="1">
        <f>MAX(-16, MIN(16, Games[[#This Row],[OppRestDiff]]*8))</f>
        <v>0</v>
      </c>
      <c r="O300" s="4" cm="1">
        <f t="array" ref="O3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1482.915242203027</v>
      </c>
      <c r="P300" s="4" cm="1">
        <f t="array" ref="P3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1534.9563102319178</v>
      </c>
      <c r="Q300" s="4">
        <f>1/(1+10^(((Games[[#This Row],[OppPreGmRate]]+IF(Games[[#This Row],[HomeAway]]="A",HCA,0)+Games[[#This Row],[OppRestAdj]])-(Games[[#This Row],[PreGmRate]]+IF(Games[[#This Row],[HomeAway]]="H",HCA,0)+Games[[#This Row],[RestAdj]]))/400))</f>
        <v>0.31364884806290305</v>
      </c>
      <c r="R300" s="1">
        <v>67</v>
      </c>
      <c r="S300" s="1">
        <v>71</v>
      </c>
      <c r="T300" s="1">
        <v>0</v>
      </c>
      <c r="U300" s="1">
        <f>Games[[#This Row],[PointsFor]]-Games[[#This Row],[PointsAgainst]]</f>
        <v>-4</v>
      </c>
      <c r="V300" s="1">
        <f>IF(Games[[#This Row],[MOV]]&gt;0,1,IF(Games[[#This Row],[MOV]]=0,0.5,0))</f>
        <v>0</v>
      </c>
      <c r="W300" s="4">
        <f>((ABS(Games[[#This Row],[MOV]])+5)^0.6)/(12+0.01*(ABS(Games[[#This Row],[PreGmRate]]-Games[[#This Row],[OppPreGmRate]])))*IF(Games[[#This Row],[OT]]=1,0.9,1)</f>
        <v>0.29848803799463841</v>
      </c>
      <c r="X300" s="7" cm="1">
        <f t="array" ref="X30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0" s="9">
        <f>MAX(kmin, kmax - 0.15 * MIN(Games[[#This Row],[GamesPlayed]], 82))</f>
        <v>72.25</v>
      </c>
      <c r="Z300" s="4">
        <f>Games[[#This Row],[K]]*Games[[#This Row],[POMult]]</f>
        <v>72.25</v>
      </c>
      <c r="AA300" s="4">
        <f>(Games[[#This Row],[Keff]]*Games[[#This Row],[MOVMult]])*(Games[[#This Row],[Result]]-Games[[#This Row],[ExpectedWin%]])</f>
        <v>-6.7640760153047488</v>
      </c>
      <c r="AB300" s="4">
        <f>Games[[#This Row],[PreGmRate]]+Games[[#This Row],[RatingChange]]</f>
        <v>1476.1511661877223</v>
      </c>
      <c r="AC300" s="2">
        <f>IF(Games[[#This Row],[Type]]="R",IF(Games[[#This Row],[Result]]&gt;0.5,1,0),0)</f>
        <v>0</v>
      </c>
      <c r="AD300" s="2">
        <f>IF(Games[[#This Row],[Type]]="R",IF(Games[[#This Row],[Result]]&lt;0.5,1,0),0)</f>
        <v>1</v>
      </c>
      <c r="AE300" s="2">
        <f>IF(AND(Games[[#This Row],[Type]]="P",Games[[#This Row],[Round]]=1),IF(Games[[#This Row],[Result]]&gt;0.5,1,0),0)</f>
        <v>0</v>
      </c>
      <c r="AF300" s="2">
        <f>IF(AND(Games[[#This Row],[Type]]="P",Games[[#This Row],[Round]]=1),IF(Games[[#This Row],[Result]]&lt;0.5,1,0),0)</f>
        <v>0</v>
      </c>
      <c r="AG300" s="2">
        <f>IF(AND(Games[[#This Row],[Type]]="P",Games[[#This Row],[Round]]=2),IF(Games[[#This Row],[Result]]&gt;0.5,1,0),0)</f>
        <v>0</v>
      </c>
      <c r="AH300" s="2">
        <f>IF(AND(Games[[#This Row],[Type]]="P",Games[[#This Row],[Round]]=2),IF(Games[[#This Row],[Result]]&lt;0.5,1,0),0)</f>
        <v>0</v>
      </c>
      <c r="AI300" s="2">
        <f>IF(AND(Games[[#This Row],[Type]]="P",Games[[#This Row],[Round]]=3),IF(Games[[#This Row],[Result]]&gt;0.5,1,0),0)</f>
        <v>0</v>
      </c>
      <c r="AJ300" s="2">
        <f>IF(AND(Games[[#This Row],[Type]]="P",Games[[#This Row],[Round]]=3),IF(Games[[#This Row],[Result]]&lt;0.5,1,0),0)</f>
        <v>0</v>
      </c>
      <c r="AK300" s="2">
        <f>IF(AND(Games[[#This Row],[Type]]="P",Games[[#This Row],[Round]]=4),IF(Games[[#This Row],[Result]]&gt;0.5,1,0),0)</f>
        <v>0</v>
      </c>
      <c r="AL300" s="2">
        <f>IF(AND(Games[[#This Row],[Type]]="P",Games[[#This Row],[Round]]=4),IF(Games[[#This Row],[Result]]&lt;0.5,1,0),0)</f>
        <v>0</v>
      </c>
    </row>
    <row r="301" spans="1:38" x14ac:dyDescent="0.35">
      <c r="A301" s="10">
        <v>40391</v>
      </c>
      <c r="B301" s="2">
        <v>2010</v>
      </c>
      <c r="C301" s="2">
        <f>COUNTIFS(Games[Team],Games[[#This Row],[Team]],Games[Season],Games[[#This Row],[Season]],Games[Date],"&lt;=" &amp; Games[[#This Row],[Date]])</f>
        <v>25</v>
      </c>
      <c r="D301" s="2" t="s">
        <v>23</v>
      </c>
      <c r="E301" s="2" t="s">
        <v>29</v>
      </c>
      <c r="F301" s="1" t="s">
        <v>64</v>
      </c>
      <c r="G301" s="1" t="s">
        <v>80</v>
      </c>
      <c r="H301" s="1" t="s">
        <v>15</v>
      </c>
      <c r="I301" s="2" cm="1">
        <f t="array" ref="I30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1" s="2" cm="1">
        <f t="array" ref="J30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1" s="2">
        <f>Games[[#This Row],[DaysOff]]-Games[[#This Row],[OppDaysOff]]</f>
        <v>0</v>
      </c>
      <c r="L301" s="2">
        <f>Games[[#This Row],[OppDaysOff]]-Games[[#This Row],[DaysOff]]</f>
        <v>0</v>
      </c>
      <c r="M301" s="1">
        <f>MAX(-16, MIN(16, Games[[#This Row],[RestDiff]]*8))</f>
        <v>0</v>
      </c>
      <c r="N301" s="1">
        <f>MAX(-16, MIN(16, Games[[#This Row],[OppRestDiff]]*8))</f>
        <v>0</v>
      </c>
      <c r="O301" s="4" cm="1">
        <f t="array" ref="O3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1534.9563102319178</v>
      </c>
      <c r="P301" s="4" cm="1">
        <f t="array" ref="P3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1482.915242203027</v>
      </c>
      <c r="Q301" s="4">
        <f>1/(1+10^(((Games[[#This Row],[OppPreGmRate]]+IF(Games[[#This Row],[HomeAway]]="A",HCA,0)+Games[[#This Row],[OppRestAdj]])-(Games[[#This Row],[PreGmRate]]+IF(Games[[#This Row],[HomeAway]]="H",HCA,0)+Games[[#This Row],[RestAdj]]))/400))</f>
        <v>0.68635115193709695</v>
      </c>
      <c r="R301" s="1">
        <v>71</v>
      </c>
      <c r="S301" s="1">
        <v>67</v>
      </c>
      <c r="T301" s="1">
        <v>0</v>
      </c>
      <c r="U301" s="1">
        <f>Games[[#This Row],[PointsFor]]-Games[[#This Row],[PointsAgainst]]</f>
        <v>4</v>
      </c>
      <c r="V301" s="1">
        <f>IF(Games[[#This Row],[MOV]]&gt;0,1,IF(Games[[#This Row],[MOV]]=0,0.5,0))</f>
        <v>1</v>
      </c>
      <c r="W301" s="4">
        <f>((ABS(Games[[#This Row],[MOV]])+5)^0.6)/(12+0.01*(ABS(Games[[#This Row],[PreGmRate]]-Games[[#This Row],[OppPreGmRate]])))*IF(Games[[#This Row],[OT]]=1,0.9,1)</f>
        <v>0.29848803799463841</v>
      </c>
      <c r="X301" s="7" cm="1">
        <f t="array" ref="X30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1" s="9">
        <f>MAX(kmin, kmax - 0.15 * MIN(Games[[#This Row],[GamesPlayed]], 82))</f>
        <v>72.25</v>
      </c>
      <c r="Z301" s="4">
        <f>Games[[#This Row],[K]]*Games[[#This Row],[POMult]]</f>
        <v>72.25</v>
      </c>
      <c r="AA301" s="4">
        <f>(Games[[#This Row],[Keff]]*Games[[#This Row],[MOVMult]])*(Games[[#This Row],[Result]]-Games[[#This Row],[ExpectedWin%]])</f>
        <v>6.7640760153047488</v>
      </c>
      <c r="AB301" s="4">
        <f>Games[[#This Row],[PreGmRate]]+Games[[#This Row],[RatingChange]]</f>
        <v>1541.7203862472225</v>
      </c>
      <c r="AC301" s="2">
        <f>IF(Games[[#This Row],[Type]]="R",IF(Games[[#This Row],[Result]]&gt;0.5,1,0),0)</f>
        <v>1</v>
      </c>
      <c r="AD301" s="2">
        <f>IF(Games[[#This Row],[Type]]="R",IF(Games[[#This Row],[Result]]&lt;0.5,1,0),0)</f>
        <v>0</v>
      </c>
      <c r="AE301" s="2">
        <f>IF(AND(Games[[#This Row],[Type]]="P",Games[[#This Row],[Round]]=1),IF(Games[[#This Row],[Result]]&gt;0.5,1,0),0)</f>
        <v>0</v>
      </c>
      <c r="AF301" s="2">
        <f>IF(AND(Games[[#This Row],[Type]]="P",Games[[#This Row],[Round]]=1),IF(Games[[#This Row],[Result]]&lt;0.5,1,0),0)</f>
        <v>0</v>
      </c>
      <c r="AG301" s="2">
        <f>IF(AND(Games[[#This Row],[Type]]="P",Games[[#This Row],[Round]]=2),IF(Games[[#This Row],[Result]]&gt;0.5,1,0),0)</f>
        <v>0</v>
      </c>
      <c r="AH301" s="2">
        <f>IF(AND(Games[[#This Row],[Type]]="P",Games[[#This Row],[Round]]=2),IF(Games[[#This Row],[Result]]&lt;0.5,1,0),0)</f>
        <v>0</v>
      </c>
      <c r="AI301" s="2">
        <f>IF(AND(Games[[#This Row],[Type]]="P",Games[[#This Row],[Round]]=3),IF(Games[[#This Row],[Result]]&gt;0.5,1,0),0)</f>
        <v>0</v>
      </c>
      <c r="AJ301" s="2">
        <f>IF(AND(Games[[#This Row],[Type]]="P",Games[[#This Row],[Round]]=3),IF(Games[[#This Row],[Result]]&lt;0.5,1,0),0)</f>
        <v>0</v>
      </c>
      <c r="AK301" s="2">
        <f>IF(AND(Games[[#This Row],[Type]]="P",Games[[#This Row],[Round]]=4),IF(Games[[#This Row],[Result]]&gt;0.5,1,0),0)</f>
        <v>0</v>
      </c>
      <c r="AL301" s="2">
        <f>IF(AND(Games[[#This Row],[Type]]="P",Games[[#This Row],[Round]]=4),IF(Games[[#This Row],[Result]]&lt;0.5,1,0),0)</f>
        <v>0</v>
      </c>
    </row>
    <row r="302" spans="1:38" x14ac:dyDescent="0.35">
      <c r="A302" s="10">
        <v>40391</v>
      </c>
      <c r="B302" s="2">
        <v>2010</v>
      </c>
      <c r="C302" s="2">
        <f>COUNTIFS(Games[Team],Games[[#This Row],[Team]],Games[Season],Games[[#This Row],[Season]],Games[Date],"&lt;=" &amp; Games[[#This Row],[Date]])</f>
        <v>27</v>
      </c>
      <c r="D302" s="2" t="s">
        <v>23</v>
      </c>
      <c r="E302" s="2" t="s">
        <v>29</v>
      </c>
      <c r="F302" s="1" t="s">
        <v>81</v>
      </c>
      <c r="G302" s="1" t="s">
        <v>44</v>
      </c>
      <c r="H302" s="1" t="s">
        <v>16</v>
      </c>
      <c r="I302" s="2" cm="1">
        <f t="array" ref="I30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2" s="2" cm="1">
        <f t="array" ref="J30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02" s="2">
        <f>Games[[#This Row],[DaysOff]]-Games[[#This Row],[OppDaysOff]]</f>
        <v>-1</v>
      </c>
      <c r="L302" s="2">
        <f>Games[[#This Row],[OppDaysOff]]-Games[[#This Row],[DaysOff]]</f>
        <v>1</v>
      </c>
      <c r="M302" s="1">
        <f>MAX(-16, MIN(16, Games[[#This Row],[RestDiff]]*8))</f>
        <v>-8</v>
      </c>
      <c r="N302" s="1">
        <f>MAX(-16, MIN(16, Games[[#This Row],[OppRestDiff]]*8))</f>
        <v>8</v>
      </c>
      <c r="O302" s="4" cm="1">
        <f t="array" ref="O3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1496.9900739533573</v>
      </c>
      <c r="P302" s="4" cm="1">
        <f t="array" ref="P3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1541.3428576278118</v>
      </c>
      <c r="Q302" s="4">
        <f>1/(1+10^(((Games[[#This Row],[OppPreGmRate]]+IF(Games[[#This Row],[HomeAway]]="A",HCA,0)+Games[[#This Row],[OppRestAdj]])-(Games[[#This Row],[PreGmRate]]+IF(Games[[#This Row],[HomeAway]]="H",HCA,0)+Games[[#This Row],[RestAdj]]))/400))</f>
        <v>0.30344182145222731</v>
      </c>
      <c r="R302" s="1">
        <v>96</v>
      </c>
      <c r="S302" s="1">
        <v>97</v>
      </c>
      <c r="T302" s="1">
        <v>0</v>
      </c>
      <c r="U302" s="1">
        <f>Games[[#This Row],[PointsFor]]-Games[[#This Row],[PointsAgainst]]</f>
        <v>-1</v>
      </c>
      <c r="V302" s="1">
        <f>IF(Games[[#This Row],[MOV]]&gt;0,1,IF(Games[[#This Row],[MOV]]=0,0.5,0))</f>
        <v>0</v>
      </c>
      <c r="W302" s="4">
        <f>((ABS(Games[[#This Row],[MOV]])+5)^0.6)/(12+0.01*(ABS(Games[[#This Row],[PreGmRate]]-Games[[#This Row],[OppPreGmRate]])))*IF(Games[[#This Row],[OT]]=1,0.9,1)</f>
        <v>0.235476312668426</v>
      </c>
      <c r="X302" s="7" cm="1">
        <f t="array" ref="X30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2" s="9">
        <f>MAX(kmin, kmax - 0.15 * MIN(Games[[#This Row],[GamesPlayed]], 82))</f>
        <v>71.95</v>
      </c>
      <c r="Z302" s="4">
        <f>Games[[#This Row],[K]]*Games[[#This Row],[POMult]]</f>
        <v>71.95</v>
      </c>
      <c r="AA302" s="4">
        <f>(Games[[#This Row],[Keff]]*Games[[#This Row],[MOVMult]])*(Games[[#This Row],[Result]]-Games[[#This Row],[ExpectedWin%]])</f>
        <v>-5.1410693401359708</v>
      </c>
      <c r="AB302" s="4">
        <f>Games[[#This Row],[PreGmRate]]+Games[[#This Row],[RatingChange]]</f>
        <v>1491.8490046132213</v>
      </c>
      <c r="AC302" s="2">
        <f>IF(Games[[#This Row],[Type]]="R",IF(Games[[#This Row],[Result]]&gt;0.5,1,0),0)</f>
        <v>0</v>
      </c>
      <c r="AD302" s="2">
        <f>IF(Games[[#This Row],[Type]]="R",IF(Games[[#This Row],[Result]]&lt;0.5,1,0),0)</f>
        <v>1</v>
      </c>
      <c r="AE302" s="2">
        <f>IF(AND(Games[[#This Row],[Type]]="P",Games[[#This Row],[Round]]=1),IF(Games[[#This Row],[Result]]&gt;0.5,1,0),0)</f>
        <v>0</v>
      </c>
      <c r="AF302" s="2">
        <f>IF(AND(Games[[#This Row],[Type]]="P",Games[[#This Row],[Round]]=1),IF(Games[[#This Row],[Result]]&lt;0.5,1,0),0)</f>
        <v>0</v>
      </c>
      <c r="AG302" s="2">
        <f>IF(AND(Games[[#This Row],[Type]]="P",Games[[#This Row],[Round]]=2),IF(Games[[#This Row],[Result]]&gt;0.5,1,0),0)</f>
        <v>0</v>
      </c>
      <c r="AH302" s="2">
        <f>IF(AND(Games[[#This Row],[Type]]="P",Games[[#This Row],[Round]]=2),IF(Games[[#This Row],[Result]]&lt;0.5,1,0),0)</f>
        <v>0</v>
      </c>
      <c r="AI302" s="2">
        <f>IF(AND(Games[[#This Row],[Type]]="P",Games[[#This Row],[Round]]=3),IF(Games[[#This Row],[Result]]&gt;0.5,1,0),0)</f>
        <v>0</v>
      </c>
      <c r="AJ302" s="2">
        <f>IF(AND(Games[[#This Row],[Type]]="P",Games[[#This Row],[Round]]=3),IF(Games[[#This Row],[Result]]&lt;0.5,1,0),0)</f>
        <v>0</v>
      </c>
      <c r="AK302" s="2">
        <f>IF(AND(Games[[#This Row],[Type]]="P",Games[[#This Row],[Round]]=4),IF(Games[[#This Row],[Result]]&gt;0.5,1,0),0)</f>
        <v>0</v>
      </c>
      <c r="AL302" s="2">
        <f>IF(AND(Games[[#This Row],[Type]]="P",Games[[#This Row],[Round]]=4),IF(Games[[#This Row],[Result]]&lt;0.5,1,0),0)</f>
        <v>0</v>
      </c>
    </row>
    <row r="303" spans="1:38" x14ac:dyDescent="0.35">
      <c r="A303" s="10">
        <v>40391</v>
      </c>
      <c r="B303" s="2">
        <v>2010</v>
      </c>
      <c r="C303" s="2">
        <f>COUNTIFS(Games[Team],Games[[#This Row],[Team]],Games[Season],Games[[#This Row],[Season]],Games[Date],"&lt;=" &amp; Games[[#This Row],[Date]])</f>
        <v>25</v>
      </c>
      <c r="D303" s="2" t="s">
        <v>23</v>
      </c>
      <c r="E303" s="2" t="s">
        <v>29</v>
      </c>
      <c r="F303" s="1" t="s">
        <v>44</v>
      </c>
      <c r="G303" s="1" t="s">
        <v>81</v>
      </c>
      <c r="H303" s="1" t="s">
        <v>15</v>
      </c>
      <c r="I303" s="2" cm="1">
        <f t="array" ref="I303">IFERROR(
    Games[[#This Row],[Date]]
    - LOOKUP(
        2,
        1/((Games[Team]=Games[[#This Row],[Team]]) * (Games[Date] &lt; Games[[#This Row],[Date]])),
        Games[Date]
    )
    - 1,
Games[[#This Row],[Date]]-$A$2)</f>
        <v>2</v>
      </c>
      <c r="J303" s="2" cm="1">
        <f t="array" ref="J30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3" s="2">
        <f>Games[[#This Row],[DaysOff]]-Games[[#This Row],[OppDaysOff]]</f>
        <v>1</v>
      </c>
      <c r="L303" s="2">
        <f>Games[[#This Row],[OppDaysOff]]-Games[[#This Row],[DaysOff]]</f>
        <v>-1</v>
      </c>
      <c r="M303" s="1">
        <f>MAX(-16, MIN(16, Games[[#This Row],[RestDiff]]*8))</f>
        <v>8</v>
      </c>
      <c r="N303" s="1">
        <f>MAX(-16, MIN(16, Games[[#This Row],[OppRestDiff]]*8))</f>
        <v>-8</v>
      </c>
      <c r="O303" s="4" cm="1">
        <f t="array" ref="O3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1541.3428576278118</v>
      </c>
      <c r="P303" s="4" cm="1">
        <f t="array" ref="P3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1496.9900739533573</v>
      </c>
      <c r="Q303" s="4">
        <f>1/(1+10^(((Games[[#This Row],[OppPreGmRate]]+IF(Games[[#This Row],[HomeAway]]="A",HCA,0)+Games[[#This Row],[OppRestAdj]])-(Games[[#This Row],[PreGmRate]]+IF(Games[[#This Row],[HomeAway]]="H",HCA,0)+Games[[#This Row],[RestAdj]]))/400))</f>
        <v>0.69655817854777269</v>
      </c>
      <c r="R303" s="1">
        <v>97</v>
      </c>
      <c r="S303" s="1">
        <v>96</v>
      </c>
      <c r="T303" s="1">
        <v>0</v>
      </c>
      <c r="U303" s="1">
        <f>Games[[#This Row],[PointsFor]]-Games[[#This Row],[PointsAgainst]]</f>
        <v>1</v>
      </c>
      <c r="V303" s="1">
        <f>IF(Games[[#This Row],[MOV]]&gt;0,1,IF(Games[[#This Row],[MOV]]=0,0.5,0))</f>
        <v>1</v>
      </c>
      <c r="W303" s="4">
        <f>((ABS(Games[[#This Row],[MOV]])+5)^0.6)/(12+0.01*(ABS(Games[[#This Row],[PreGmRate]]-Games[[#This Row],[OppPreGmRate]])))*IF(Games[[#This Row],[OT]]=1,0.9,1)</f>
        <v>0.235476312668426</v>
      </c>
      <c r="X303" s="7" cm="1">
        <f t="array" ref="X30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3" s="9">
        <f>MAX(kmin, kmax - 0.15 * MIN(Games[[#This Row],[GamesPlayed]], 82))</f>
        <v>72.25</v>
      </c>
      <c r="Z303" s="4">
        <f>Games[[#This Row],[K]]*Games[[#This Row],[POMult]]</f>
        <v>72.25</v>
      </c>
      <c r="AA303" s="4">
        <f>(Games[[#This Row],[Keff]]*Games[[#This Row],[MOVMult]])*(Games[[#This Row],[Result]]-Games[[#This Row],[ExpectedWin%]])</f>
        <v>5.1625053485034593</v>
      </c>
      <c r="AB303" s="4">
        <f>Games[[#This Row],[PreGmRate]]+Games[[#This Row],[RatingChange]]</f>
        <v>1546.5053629763152</v>
      </c>
      <c r="AC303" s="2">
        <f>IF(Games[[#This Row],[Type]]="R",IF(Games[[#This Row],[Result]]&gt;0.5,1,0),0)</f>
        <v>1</v>
      </c>
      <c r="AD303" s="2">
        <f>IF(Games[[#This Row],[Type]]="R",IF(Games[[#This Row],[Result]]&lt;0.5,1,0),0)</f>
        <v>0</v>
      </c>
      <c r="AE303" s="2">
        <f>IF(AND(Games[[#This Row],[Type]]="P",Games[[#This Row],[Round]]=1),IF(Games[[#This Row],[Result]]&gt;0.5,1,0),0)</f>
        <v>0</v>
      </c>
      <c r="AF303" s="2">
        <f>IF(AND(Games[[#This Row],[Type]]="P",Games[[#This Row],[Round]]=1),IF(Games[[#This Row],[Result]]&lt;0.5,1,0),0)</f>
        <v>0</v>
      </c>
      <c r="AG303" s="2">
        <f>IF(AND(Games[[#This Row],[Type]]="P",Games[[#This Row],[Round]]=2),IF(Games[[#This Row],[Result]]&gt;0.5,1,0),0)</f>
        <v>0</v>
      </c>
      <c r="AH303" s="2">
        <f>IF(AND(Games[[#This Row],[Type]]="P",Games[[#This Row],[Round]]=2),IF(Games[[#This Row],[Result]]&lt;0.5,1,0),0)</f>
        <v>0</v>
      </c>
      <c r="AI303" s="2">
        <f>IF(AND(Games[[#This Row],[Type]]="P",Games[[#This Row],[Round]]=3),IF(Games[[#This Row],[Result]]&gt;0.5,1,0),0)</f>
        <v>0</v>
      </c>
      <c r="AJ303" s="2">
        <f>IF(AND(Games[[#This Row],[Type]]="P",Games[[#This Row],[Round]]=3),IF(Games[[#This Row],[Result]]&lt;0.5,1,0),0)</f>
        <v>0</v>
      </c>
      <c r="AK303" s="2">
        <f>IF(AND(Games[[#This Row],[Type]]="P",Games[[#This Row],[Round]]=4),IF(Games[[#This Row],[Result]]&gt;0.5,1,0),0)</f>
        <v>0</v>
      </c>
      <c r="AL303" s="2">
        <f>IF(AND(Games[[#This Row],[Type]]="P",Games[[#This Row],[Round]]=4),IF(Games[[#This Row],[Result]]&lt;0.5,1,0),0)</f>
        <v>0</v>
      </c>
    </row>
    <row r="304" spans="1:38" x14ac:dyDescent="0.35">
      <c r="A304" s="10">
        <v>40391</v>
      </c>
      <c r="B304" s="2">
        <v>2010</v>
      </c>
      <c r="C304" s="2">
        <f>COUNTIFS(Games[Team],Games[[#This Row],[Team]],Games[Season],Games[[#This Row],[Season]],Games[Date],"&lt;=" &amp; Games[[#This Row],[Date]])</f>
        <v>26</v>
      </c>
      <c r="D304" s="2" t="s">
        <v>23</v>
      </c>
      <c r="E304" s="2" t="s">
        <v>29</v>
      </c>
      <c r="F304" s="1" t="s">
        <v>85</v>
      </c>
      <c r="G304" s="1" t="s">
        <v>69</v>
      </c>
      <c r="H304" s="1" t="s">
        <v>16</v>
      </c>
      <c r="I304" s="2" cm="1">
        <f t="array" ref="I30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4" s="2" cm="1">
        <f t="array" ref="J30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4" s="2">
        <f>Games[[#This Row],[DaysOff]]-Games[[#This Row],[OppDaysOff]]</f>
        <v>0</v>
      </c>
      <c r="L304" s="2">
        <f>Games[[#This Row],[OppDaysOff]]-Games[[#This Row],[DaysOff]]</f>
        <v>0</v>
      </c>
      <c r="M304" s="1">
        <f>MAX(-16, MIN(16, Games[[#This Row],[RestDiff]]*8))</f>
        <v>0</v>
      </c>
      <c r="N304" s="1">
        <f>MAX(-16, MIN(16, Games[[#This Row],[OppRestDiff]]*8))</f>
        <v>0</v>
      </c>
      <c r="O304" s="4" cm="1">
        <f t="array" ref="O3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1303.8800133162849</v>
      </c>
      <c r="P304" s="4" cm="1">
        <f t="array" ref="P3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1527.2515476871963</v>
      </c>
      <c r="Q304" s="4">
        <f>1/(1+10^(((Games[[#This Row],[OppPreGmRate]]+IF(Games[[#This Row],[HomeAway]]="A",HCA,0)+Games[[#This Row],[OppRestAdj]])-(Games[[#This Row],[PreGmRate]]+IF(Games[[#This Row],[HomeAway]]="H",HCA,0)+Games[[#This Row],[RestAdj]]))/400))</f>
        <v>0.14562034688039047</v>
      </c>
      <c r="R304" s="1">
        <v>62</v>
      </c>
      <c r="S304" s="1">
        <v>87</v>
      </c>
      <c r="T304" s="1">
        <v>0</v>
      </c>
      <c r="U304" s="1">
        <f>Games[[#This Row],[PointsFor]]-Games[[#This Row],[PointsAgainst]]</f>
        <v>-25</v>
      </c>
      <c r="V304" s="1">
        <f>IF(Games[[#This Row],[MOV]]&gt;0,1,IF(Games[[#This Row],[MOV]]=0,0.5,0))</f>
        <v>0</v>
      </c>
      <c r="W304" s="4">
        <f>((ABS(Games[[#This Row],[MOV]])+5)^0.6)/(12+0.01*(ABS(Games[[#This Row],[PreGmRate]]-Games[[#This Row],[OppPreGmRate]])))*IF(Games[[#This Row],[OT]]=1,0.9,1)</f>
        <v>0.54069764322830483</v>
      </c>
      <c r="X304" s="7" cm="1">
        <f t="array" ref="X30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4" s="9">
        <f>MAX(kmin, kmax - 0.15 * MIN(Games[[#This Row],[GamesPlayed]], 82))</f>
        <v>72.099999999999994</v>
      </c>
      <c r="Z304" s="4">
        <f>Games[[#This Row],[K]]*Games[[#This Row],[POMult]]</f>
        <v>72.099999999999994</v>
      </c>
      <c r="AA304" s="4">
        <f>(Games[[#This Row],[Keff]]*Games[[#This Row],[MOVMult]])*(Games[[#This Row],[Result]]-Games[[#This Row],[ExpectedWin%]])</f>
        <v>-5.6769073000671364</v>
      </c>
      <c r="AB304" s="4">
        <f>Games[[#This Row],[PreGmRate]]+Games[[#This Row],[RatingChange]]</f>
        <v>1298.2031060162178</v>
      </c>
      <c r="AC304" s="2">
        <f>IF(Games[[#This Row],[Type]]="R",IF(Games[[#This Row],[Result]]&gt;0.5,1,0),0)</f>
        <v>0</v>
      </c>
      <c r="AD304" s="2">
        <f>IF(Games[[#This Row],[Type]]="R",IF(Games[[#This Row],[Result]]&lt;0.5,1,0),0)</f>
        <v>1</v>
      </c>
      <c r="AE304" s="2">
        <f>IF(AND(Games[[#This Row],[Type]]="P",Games[[#This Row],[Round]]=1),IF(Games[[#This Row],[Result]]&gt;0.5,1,0),0)</f>
        <v>0</v>
      </c>
      <c r="AF304" s="2">
        <f>IF(AND(Games[[#This Row],[Type]]="P",Games[[#This Row],[Round]]=1),IF(Games[[#This Row],[Result]]&lt;0.5,1,0),0)</f>
        <v>0</v>
      </c>
      <c r="AG304" s="2">
        <f>IF(AND(Games[[#This Row],[Type]]="P",Games[[#This Row],[Round]]=2),IF(Games[[#This Row],[Result]]&gt;0.5,1,0),0)</f>
        <v>0</v>
      </c>
      <c r="AH304" s="2">
        <f>IF(AND(Games[[#This Row],[Type]]="P",Games[[#This Row],[Round]]=2),IF(Games[[#This Row],[Result]]&lt;0.5,1,0),0)</f>
        <v>0</v>
      </c>
      <c r="AI304" s="2">
        <f>IF(AND(Games[[#This Row],[Type]]="P",Games[[#This Row],[Round]]=3),IF(Games[[#This Row],[Result]]&gt;0.5,1,0),0)</f>
        <v>0</v>
      </c>
      <c r="AJ304" s="2">
        <f>IF(AND(Games[[#This Row],[Type]]="P",Games[[#This Row],[Round]]=3),IF(Games[[#This Row],[Result]]&lt;0.5,1,0),0)</f>
        <v>0</v>
      </c>
      <c r="AK304" s="2">
        <f>IF(AND(Games[[#This Row],[Type]]="P",Games[[#This Row],[Round]]=4),IF(Games[[#This Row],[Result]]&gt;0.5,1,0),0)</f>
        <v>0</v>
      </c>
      <c r="AL304" s="2">
        <f>IF(AND(Games[[#This Row],[Type]]="P",Games[[#This Row],[Round]]=4),IF(Games[[#This Row],[Result]]&lt;0.5,1,0),0)</f>
        <v>0</v>
      </c>
    </row>
    <row r="305" spans="1:38" x14ac:dyDescent="0.35">
      <c r="A305" s="10">
        <v>40391</v>
      </c>
      <c r="B305" s="2">
        <v>2010</v>
      </c>
      <c r="C305" s="2">
        <f>COUNTIFS(Games[Team],Games[[#This Row],[Team]],Games[Season],Games[[#This Row],[Season]],Games[Date],"&lt;=" &amp; Games[[#This Row],[Date]])</f>
        <v>25</v>
      </c>
      <c r="D305" s="2" t="s">
        <v>23</v>
      </c>
      <c r="E305" s="2" t="s">
        <v>29</v>
      </c>
      <c r="F305" s="1" t="s">
        <v>69</v>
      </c>
      <c r="G305" s="1" t="s">
        <v>85</v>
      </c>
      <c r="H305" s="1" t="s">
        <v>15</v>
      </c>
      <c r="I305" s="2" cm="1">
        <f t="array" ref="I30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5" s="2" cm="1">
        <f t="array" ref="J30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5" s="2">
        <f>Games[[#This Row],[DaysOff]]-Games[[#This Row],[OppDaysOff]]</f>
        <v>0</v>
      </c>
      <c r="L305" s="2">
        <f>Games[[#This Row],[OppDaysOff]]-Games[[#This Row],[DaysOff]]</f>
        <v>0</v>
      </c>
      <c r="M305" s="1">
        <f>MAX(-16, MIN(16, Games[[#This Row],[RestDiff]]*8))</f>
        <v>0</v>
      </c>
      <c r="N305" s="1">
        <f>MAX(-16, MIN(16, Games[[#This Row],[OppRestDiff]]*8))</f>
        <v>0</v>
      </c>
      <c r="O305" s="4" cm="1">
        <f t="array" ref="O3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1527.2515476871963</v>
      </c>
      <c r="P305" s="4" cm="1">
        <f t="array" ref="P3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1303.8800133162849</v>
      </c>
      <c r="Q305" s="4">
        <f>1/(1+10^(((Games[[#This Row],[OppPreGmRate]]+IF(Games[[#This Row],[HomeAway]]="A",HCA,0)+Games[[#This Row],[OppRestAdj]])-(Games[[#This Row],[PreGmRate]]+IF(Games[[#This Row],[HomeAway]]="H",HCA,0)+Games[[#This Row],[RestAdj]]))/400))</f>
        <v>0.85437965311960962</v>
      </c>
      <c r="R305" s="1">
        <v>87</v>
      </c>
      <c r="S305" s="1">
        <v>62</v>
      </c>
      <c r="T305" s="1">
        <v>0</v>
      </c>
      <c r="U305" s="1">
        <f>Games[[#This Row],[PointsFor]]-Games[[#This Row],[PointsAgainst]]</f>
        <v>25</v>
      </c>
      <c r="V305" s="1">
        <f>IF(Games[[#This Row],[MOV]]&gt;0,1,IF(Games[[#This Row],[MOV]]=0,0.5,0))</f>
        <v>1</v>
      </c>
      <c r="W305" s="4">
        <f>((ABS(Games[[#This Row],[MOV]])+5)^0.6)/(12+0.01*(ABS(Games[[#This Row],[PreGmRate]]-Games[[#This Row],[OppPreGmRate]])))*IF(Games[[#This Row],[OT]]=1,0.9,1)</f>
        <v>0.54069764322830483</v>
      </c>
      <c r="X305" s="7" cm="1">
        <f t="array" ref="X30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5" s="9">
        <f>MAX(kmin, kmax - 0.15 * MIN(Games[[#This Row],[GamesPlayed]], 82))</f>
        <v>72.25</v>
      </c>
      <c r="Z305" s="4">
        <f>Games[[#This Row],[K]]*Games[[#This Row],[POMult]]</f>
        <v>72.25</v>
      </c>
      <c r="AA305" s="4">
        <f>(Games[[#This Row],[Keff]]*Games[[#This Row],[MOVMult]])*(Games[[#This Row],[Result]]-Games[[#This Row],[ExpectedWin%]])</f>
        <v>5.6887177868217815</v>
      </c>
      <c r="AB305" s="4">
        <f>Games[[#This Row],[PreGmRate]]+Games[[#This Row],[RatingChange]]</f>
        <v>1532.9402654740181</v>
      </c>
      <c r="AC305" s="2">
        <f>IF(Games[[#This Row],[Type]]="R",IF(Games[[#This Row],[Result]]&gt;0.5,1,0),0)</f>
        <v>1</v>
      </c>
      <c r="AD305" s="2">
        <f>IF(Games[[#This Row],[Type]]="R",IF(Games[[#This Row],[Result]]&lt;0.5,1,0),0)</f>
        <v>0</v>
      </c>
      <c r="AE305" s="2">
        <f>IF(AND(Games[[#This Row],[Type]]="P",Games[[#This Row],[Round]]=1),IF(Games[[#This Row],[Result]]&gt;0.5,1,0),0)</f>
        <v>0</v>
      </c>
      <c r="AF305" s="2">
        <f>IF(AND(Games[[#This Row],[Type]]="P",Games[[#This Row],[Round]]=1),IF(Games[[#This Row],[Result]]&lt;0.5,1,0),0)</f>
        <v>0</v>
      </c>
      <c r="AG305" s="2">
        <f>IF(AND(Games[[#This Row],[Type]]="P",Games[[#This Row],[Round]]=2),IF(Games[[#This Row],[Result]]&gt;0.5,1,0),0)</f>
        <v>0</v>
      </c>
      <c r="AH305" s="2">
        <f>IF(AND(Games[[#This Row],[Type]]="P",Games[[#This Row],[Round]]=2),IF(Games[[#This Row],[Result]]&lt;0.5,1,0),0)</f>
        <v>0</v>
      </c>
      <c r="AI305" s="2">
        <f>IF(AND(Games[[#This Row],[Type]]="P",Games[[#This Row],[Round]]=3),IF(Games[[#This Row],[Result]]&gt;0.5,1,0),0)</f>
        <v>0</v>
      </c>
      <c r="AJ305" s="2">
        <f>IF(AND(Games[[#This Row],[Type]]="P",Games[[#This Row],[Round]]=3),IF(Games[[#This Row],[Result]]&lt;0.5,1,0),0)</f>
        <v>0</v>
      </c>
      <c r="AK305" s="2">
        <f>IF(AND(Games[[#This Row],[Type]]="P",Games[[#This Row],[Round]]=4),IF(Games[[#This Row],[Result]]&gt;0.5,1,0),0)</f>
        <v>0</v>
      </c>
      <c r="AL305" s="2">
        <f>IF(AND(Games[[#This Row],[Type]]="P",Games[[#This Row],[Round]]=4),IF(Games[[#This Row],[Result]]&lt;0.5,1,0),0)</f>
        <v>0</v>
      </c>
    </row>
    <row r="306" spans="1:38" x14ac:dyDescent="0.35">
      <c r="A306" s="10">
        <v>40393</v>
      </c>
      <c r="B306" s="2">
        <v>2010</v>
      </c>
      <c r="C306" s="2">
        <f>COUNTIFS(Games[Team],Games[[#This Row],[Team]],Games[Season],Games[[#This Row],[Season]],Games[Date],"&lt;=" &amp; Games[[#This Row],[Date]])</f>
        <v>26</v>
      </c>
      <c r="D306" s="2" t="s">
        <v>23</v>
      </c>
      <c r="E306" s="2" t="s">
        <v>29</v>
      </c>
      <c r="F306" s="1" t="s">
        <v>69</v>
      </c>
      <c r="G306" s="1" t="s">
        <v>83</v>
      </c>
      <c r="H306" s="1" t="s">
        <v>16</v>
      </c>
      <c r="I306" s="2" cm="1">
        <f t="array" ref="I30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6" s="2" cm="1">
        <f t="array" ref="J30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6" s="2">
        <f>Games[[#This Row],[DaysOff]]-Games[[#This Row],[OppDaysOff]]</f>
        <v>0</v>
      </c>
      <c r="L306" s="2">
        <f>Games[[#This Row],[OppDaysOff]]-Games[[#This Row],[DaysOff]]</f>
        <v>0</v>
      </c>
      <c r="M306" s="1">
        <f>MAX(-16, MIN(16, Games[[#This Row],[RestDiff]]*8))</f>
        <v>0</v>
      </c>
      <c r="N306" s="1">
        <f>MAX(-16, MIN(16, Games[[#This Row],[OppRestDiff]]*8))</f>
        <v>0</v>
      </c>
      <c r="O306" s="4" cm="1">
        <f t="array" ref="O3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1532.9402654740181</v>
      </c>
      <c r="P306" s="4" cm="1">
        <f t="array" ref="P3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1585.502461599682</v>
      </c>
      <c r="Q306" s="4">
        <f>1/(1+10^(((Games[[#This Row],[OppPreGmRate]]+IF(Games[[#This Row],[HomeAway]]="A",HCA,0)+Games[[#This Row],[OppRestAdj]])-(Games[[#This Row],[PreGmRate]]+IF(Games[[#This Row],[HomeAway]]="H",HCA,0)+Games[[#This Row],[RestAdj]]))/400))</f>
        <v>0.31300342094233197</v>
      </c>
      <c r="R306" s="1">
        <v>86</v>
      </c>
      <c r="S306" s="1">
        <v>78</v>
      </c>
      <c r="T306" s="1">
        <v>0</v>
      </c>
      <c r="U306" s="1">
        <f>Games[[#This Row],[PointsFor]]-Games[[#This Row],[PointsAgainst]]</f>
        <v>8</v>
      </c>
      <c r="V306" s="1">
        <f>IF(Games[[#This Row],[MOV]]&gt;0,1,IF(Games[[#This Row],[MOV]]=0,0.5,0))</f>
        <v>1</v>
      </c>
      <c r="W306" s="4">
        <f>((ABS(Games[[#This Row],[MOV]])+5)^0.6)/(12+0.01*(ABS(Games[[#This Row],[PreGmRate]]-Games[[#This Row],[OppPreGmRate]])))*IF(Games[[#This Row],[OT]]=1,0.9,1)</f>
        <v>0.37202036229812663</v>
      </c>
      <c r="X306" s="7" cm="1">
        <f t="array" ref="X30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6" s="9">
        <f>MAX(kmin, kmax - 0.15 * MIN(Games[[#This Row],[GamesPlayed]], 82))</f>
        <v>72.099999999999994</v>
      </c>
      <c r="Z306" s="4">
        <f>Games[[#This Row],[K]]*Games[[#This Row],[POMult]]</f>
        <v>72.099999999999994</v>
      </c>
      <c r="AA306" s="4">
        <f>(Games[[#This Row],[Keff]]*Games[[#This Row],[MOVMult]])*(Games[[#This Row],[Result]]-Games[[#This Row],[ExpectedWin%]])</f>
        <v>18.427081240803581</v>
      </c>
      <c r="AB306" s="4">
        <f>Games[[#This Row],[PreGmRate]]+Games[[#This Row],[RatingChange]]</f>
        <v>1551.3673467148217</v>
      </c>
      <c r="AC306" s="2">
        <f>IF(Games[[#This Row],[Type]]="R",IF(Games[[#This Row],[Result]]&gt;0.5,1,0),0)</f>
        <v>1</v>
      </c>
      <c r="AD306" s="2">
        <f>IF(Games[[#This Row],[Type]]="R",IF(Games[[#This Row],[Result]]&lt;0.5,1,0),0)</f>
        <v>0</v>
      </c>
      <c r="AE306" s="2">
        <f>IF(AND(Games[[#This Row],[Type]]="P",Games[[#This Row],[Round]]=1),IF(Games[[#This Row],[Result]]&gt;0.5,1,0),0)</f>
        <v>0</v>
      </c>
      <c r="AF306" s="2">
        <f>IF(AND(Games[[#This Row],[Type]]="P",Games[[#This Row],[Round]]=1),IF(Games[[#This Row],[Result]]&lt;0.5,1,0),0)</f>
        <v>0</v>
      </c>
      <c r="AG306" s="2">
        <f>IF(AND(Games[[#This Row],[Type]]="P",Games[[#This Row],[Round]]=2),IF(Games[[#This Row],[Result]]&gt;0.5,1,0),0)</f>
        <v>0</v>
      </c>
      <c r="AH306" s="2">
        <f>IF(AND(Games[[#This Row],[Type]]="P",Games[[#This Row],[Round]]=2),IF(Games[[#This Row],[Result]]&lt;0.5,1,0),0)</f>
        <v>0</v>
      </c>
      <c r="AI306" s="2">
        <f>IF(AND(Games[[#This Row],[Type]]="P",Games[[#This Row],[Round]]=3),IF(Games[[#This Row],[Result]]&gt;0.5,1,0),0)</f>
        <v>0</v>
      </c>
      <c r="AJ306" s="2">
        <f>IF(AND(Games[[#This Row],[Type]]="P",Games[[#This Row],[Round]]=3),IF(Games[[#This Row],[Result]]&lt;0.5,1,0),0)</f>
        <v>0</v>
      </c>
      <c r="AK306" s="2">
        <f>IF(AND(Games[[#This Row],[Type]]="P",Games[[#This Row],[Round]]=4),IF(Games[[#This Row],[Result]]&gt;0.5,1,0),0)</f>
        <v>0</v>
      </c>
      <c r="AL306" s="2">
        <f>IF(AND(Games[[#This Row],[Type]]="P",Games[[#This Row],[Round]]=4),IF(Games[[#This Row],[Result]]&lt;0.5,1,0),0)</f>
        <v>0</v>
      </c>
    </row>
    <row r="307" spans="1:38" x14ac:dyDescent="0.35">
      <c r="A307" s="10">
        <v>40393</v>
      </c>
      <c r="B307" s="2">
        <v>2010</v>
      </c>
      <c r="C307" s="2">
        <f>COUNTIFS(Games[Team],Games[[#This Row],[Team]],Games[Season],Games[[#This Row],[Season]],Games[Date],"&lt;=" &amp; Games[[#This Row],[Date]])</f>
        <v>28</v>
      </c>
      <c r="D307" s="2" t="s">
        <v>23</v>
      </c>
      <c r="E307" s="2" t="s">
        <v>29</v>
      </c>
      <c r="F307" s="1" t="s">
        <v>83</v>
      </c>
      <c r="G307" s="1" t="s">
        <v>69</v>
      </c>
      <c r="H307" s="1" t="s">
        <v>15</v>
      </c>
      <c r="I307" s="2" cm="1">
        <f t="array" ref="I30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7" s="2" cm="1">
        <f t="array" ref="J30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7" s="2">
        <f>Games[[#This Row],[DaysOff]]-Games[[#This Row],[OppDaysOff]]</f>
        <v>0</v>
      </c>
      <c r="L307" s="2">
        <f>Games[[#This Row],[OppDaysOff]]-Games[[#This Row],[DaysOff]]</f>
        <v>0</v>
      </c>
      <c r="M307" s="1">
        <f>MAX(-16, MIN(16, Games[[#This Row],[RestDiff]]*8))</f>
        <v>0</v>
      </c>
      <c r="N307" s="1">
        <f>MAX(-16, MIN(16, Games[[#This Row],[OppRestDiff]]*8))</f>
        <v>0</v>
      </c>
      <c r="O307" s="4" cm="1">
        <f t="array" ref="O3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1585.502461599682</v>
      </c>
      <c r="P307" s="4" cm="1">
        <f t="array" ref="P3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1532.9402654740181</v>
      </c>
      <c r="Q307" s="4">
        <f>1/(1+10^(((Games[[#This Row],[OppPreGmRate]]+IF(Games[[#This Row],[HomeAway]]="A",HCA,0)+Games[[#This Row],[OppRestAdj]])-(Games[[#This Row],[PreGmRate]]+IF(Games[[#This Row],[HomeAway]]="H",HCA,0)+Games[[#This Row],[RestAdj]]))/400))</f>
        <v>0.68699657905766809</v>
      </c>
      <c r="R307" s="1">
        <v>78</v>
      </c>
      <c r="S307" s="1">
        <v>86</v>
      </c>
      <c r="T307" s="1">
        <v>0</v>
      </c>
      <c r="U307" s="1">
        <f>Games[[#This Row],[PointsFor]]-Games[[#This Row],[PointsAgainst]]</f>
        <v>-8</v>
      </c>
      <c r="V307" s="1">
        <f>IF(Games[[#This Row],[MOV]]&gt;0,1,IF(Games[[#This Row],[MOV]]=0,0.5,0))</f>
        <v>0</v>
      </c>
      <c r="W307" s="4">
        <f>((ABS(Games[[#This Row],[MOV]])+5)^0.6)/(12+0.01*(ABS(Games[[#This Row],[PreGmRate]]-Games[[#This Row],[OppPreGmRate]])))*IF(Games[[#This Row],[OT]]=1,0.9,1)</f>
        <v>0.37202036229812663</v>
      </c>
      <c r="X307" s="7" cm="1">
        <f t="array" ref="X30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7" s="9">
        <f>MAX(kmin, kmax - 0.15 * MIN(Games[[#This Row],[GamesPlayed]], 82))</f>
        <v>71.8</v>
      </c>
      <c r="Z307" s="4">
        <f>Games[[#This Row],[K]]*Games[[#This Row],[POMult]]</f>
        <v>71.8</v>
      </c>
      <c r="AA307" s="4">
        <f>(Games[[#This Row],[Keff]]*Games[[#This Row],[MOVMult]])*(Games[[#This Row],[Result]]-Games[[#This Row],[ExpectedWin%]])</f>
        <v>-18.350408225932004</v>
      </c>
      <c r="AB307" s="4">
        <f>Games[[#This Row],[PreGmRate]]+Games[[#This Row],[RatingChange]]</f>
        <v>1567.1520533737501</v>
      </c>
      <c r="AC307" s="2">
        <f>IF(Games[[#This Row],[Type]]="R",IF(Games[[#This Row],[Result]]&gt;0.5,1,0),0)</f>
        <v>0</v>
      </c>
      <c r="AD307" s="2">
        <f>IF(Games[[#This Row],[Type]]="R",IF(Games[[#This Row],[Result]]&lt;0.5,1,0),0)</f>
        <v>1</v>
      </c>
      <c r="AE307" s="2">
        <f>IF(AND(Games[[#This Row],[Type]]="P",Games[[#This Row],[Round]]=1),IF(Games[[#This Row],[Result]]&gt;0.5,1,0),0)</f>
        <v>0</v>
      </c>
      <c r="AF307" s="2">
        <f>IF(AND(Games[[#This Row],[Type]]="P",Games[[#This Row],[Round]]=1),IF(Games[[#This Row],[Result]]&lt;0.5,1,0),0)</f>
        <v>0</v>
      </c>
      <c r="AG307" s="2">
        <f>IF(AND(Games[[#This Row],[Type]]="P",Games[[#This Row],[Round]]=2),IF(Games[[#This Row],[Result]]&gt;0.5,1,0),0)</f>
        <v>0</v>
      </c>
      <c r="AH307" s="2">
        <f>IF(AND(Games[[#This Row],[Type]]="P",Games[[#This Row],[Round]]=2),IF(Games[[#This Row],[Result]]&lt;0.5,1,0),0)</f>
        <v>0</v>
      </c>
      <c r="AI307" s="2">
        <f>IF(AND(Games[[#This Row],[Type]]="P",Games[[#This Row],[Round]]=3),IF(Games[[#This Row],[Result]]&gt;0.5,1,0),0)</f>
        <v>0</v>
      </c>
      <c r="AJ307" s="2">
        <f>IF(AND(Games[[#This Row],[Type]]="P",Games[[#This Row],[Round]]=3),IF(Games[[#This Row],[Result]]&lt;0.5,1,0),0)</f>
        <v>0</v>
      </c>
      <c r="AK307" s="2">
        <f>IF(AND(Games[[#This Row],[Type]]="P",Games[[#This Row],[Round]]=4),IF(Games[[#This Row],[Result]]&gt;0.5,1,0),0)</f>
        <v>0</v>
      </c>
      <c r="AL307" s="2">
        <f>IF(AND(Games[[#This Row],[Type]]="P",Games[[#This Row],[Round]]=4),IF(Games[[#This Row],[Result]]&lt;0.5,1,0),0)</f>
        <v>0</v>
      </c>
    </row>
    <row r="308" spans="1:38" x14ac:dyDescent="0.35">
      <c r="A308" s="10">
        <v>40393</v>
      </c>
      <c r="B308" s="2">
        <v>2010</v>
      </c>
      <c r="C308" s="2">
        <f>COUNTIFS(Games[Team],Games[[#This Row],[Team]],Games[Season],Games[[#This Row],[Season]],Games[Date],"&lt;=" &amp; Games[[#This Row],[Date]])</f>
        <v>26</v>
      </c>
      <c r="D308" s="2" t="s">
        <v>23</v>
      </c>
      <c r="E308" s="2" t="s">
        <v>29</v>
      </c>
      <c r="F308" s="1" t="s">
        <v>64</v>
      </c>
      <c r="G308" s="1" t="s">
        <v>73</v>
      </c>
      <c r="H308" s="1" t="s">
        <v>16</v>
      </c>
      <c r="I308" s="2" cm="1">
        <f t="array" ref="I30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8" s="2" cm="1">
        <f t="array" ref="J30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8" s="2">
        <f>Games[[#This Row],[DaysOff]]-Games[[#This Row],[OppDaysOff]]</f>
        <v>0</v>
      </c>
      <c r="L308" s="2">
        <f>Games[[#This Row],[OppDaysOff]]-Games[[#This Row],[DaysOff]]</f>
        <v>0</v>
      </c>
      <c r="M308" s="1">
        <f>MAX(-16, MIN(16, Games[[#This Row],[RestDiff]]*8))</f>
        <v>0</v>
      </c>
      <c r="N308" s="1">
        <f>MAX(-16, MIN(16, Games[[#This Row],[OppRestDiff]]*8))</f>
        <v>0</v>
      </c>
      <c r="O308" s="4" cm="1">
        <f t="array" ref="O3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1541.7203862472225</v>
      </c>
      <c r="P308" s="4" cm="1">
        <f t="array" ref="P3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1590.3877457403255</v>
      </c>
      <c r="Q308" s="4">
        <f>1/(1+10^(((Games[[#This Row],[OppPreGmRate]]+IF(Games[[#This Row],[HomeAway]]="A",HCA,0)+Games[[#This Row],[OppRestAdj]])-(Games[[#This Row],[PreGmRate]]+IF(Games[[#This Row],[HomeAway]]="H",HCA,0)+Games[[#This Row],[RestAdj]]))/400))</f>
        <v>0.31784464256024142</v>
      </c>
      <c r="R308" s="1">
        <v>82</v>
      </c>
      <c r="S308" s="1">
        <v>72</v>
      </c>
      <c r="T308" s="1">
        <v>0</v>
      </c>
      <c r="U308" s="1">
        <f>Games[[#This Row],[PointsFor]]-Games[[#This Row],[PointsAgainst]]</f>
        <v>10</v>
      </c>
      <c r="V308" s="1">
        <f>IF(Games[[#This Row],[MOV]]&gt;0,1,IF(Games[[#This Row],[MOV]]=0,0.5,0))</f>
        <v>1</v>
      </c>
      <c r="W308" s="4">
        <f>((ABS(Games[[#This Row],[MOV]])+5)^0.6)/(12+0.01*(ABS(Games[[#This Row],[PreGmRate]]-Games[[#This Row],[OppPreGmRate]])))*IF(Games[[#This Row],[OT]]=1,0.9,1)</f>
        <v>0.40663803321075387</v>
      </c>
      <c r="X308" s="7" cm="1">
        <f t="array" ref="X30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8" s="9">
        <f>MAX(kmin, kmax - 0.15 * MIN(Games[[#This Row],[GamesPlayed]], 82))</f>
        <v>72.099999999999994</v>
      </c>
      <c r="Z308" s="4">
        <f>Games[[#This Row],[K]]*Games[[#This Row],[POMult]]</f>
        <v>72.099999999999994</v>
      </c>
      <c r="AA308" s="4">
        <f>(Games[[#This Row],[Keff]]*Games[[#This Row],[MOVMult]])*(Games[[#This Row],[Result]]-Games[[#This Row],[ExpectedWin%]])</f>
        <v>19.999841559620066</v>
      </c>
      <c r="AB308" s="4">
        <f>Games[[#This Row],[PreGmRate]]+Games[[#This Row],[RatingChange]]</f>
        <v>1561.7202278068426</v>
      </c>
      <c r="AC308" s="2">
        <f>IF(Games[[#This Row],[Type]]="R",IF(Games[[#This Row],[Result]]&gt;0.5,1,0),0)</f>
        <v>1</v>
      </c>
      <c r="AD308" s="2">
        <f>IF(Games[[#This Row],[Type]]="R",IF(Games[[#This Row],[Result]]&lt;0.5,1,0),0)</f>
        <v>0</v>
      </c>
      <c r="AE308" s="2">
        <f>IF(AND(Games[[#This Row],[Type]]="P",Games[[#This Row],[Round]]=1),IF(Games[[#This Row],[Result]]&gt;0.5,1,0),0)</f>
        <v>0</v>
      </c>
      <c r="AF308" s="2">
        <f>IF(AND(Games[[#This Row],[Type]]="P",Games[[#This Row],[Round]]=1),IF(Games[[#This Row],[Result]]&lt;0.5,1,0),0)</f>
        <v>0</v>
      </c>
      <c r="AG308" s="2">
        <f>IF(AND(Games[[#This Row],[Type]]="P",Games[[#This Row],[Round]]=2),IF(Games[[#This Row],[Result]]&gt;0.5,1,0),0)</f>
        <v>0</v>
      </c>
      <c r="AH308" s="2">
        <f>IF(AND(Games[[#This Row],[Type]]="P",Games[[#This Row],[Round]]=2),IF(Games[[#This Row],[Result]]&lt;0.5,1,0),0)</f>
        <v>0</v>
      </c>
      <c r="AI308" s="2">
        <f>IF(AND(Games[[#This Row],[Type]]="P",Games[[#This Row],[Round]]=3),IF(Games[[#This Row],[Result]]&gt;0.5,1,0),0)</f>
        <v>0</v>
      </c>
      <c r="AJ308" s="2">
        <f>IF(AND(Games[[#This Row],[Type]]="P",Games[[#This Row],[Round]]=3),IF(Games[[#This Row],[Result]]&lt;0.5,1,0),0)</f>
        <v>0</v>
      </c>
      <c r="AK308" s="2">
        <f>IF(AND(Games[[#This Row],[Type]]="P",Games[[#This Row],[Round]]=4),IF(Games[[#This Row],[Result]]&gt;0.5,1,0),0)</f>
        <v>0</v>
      </c>
      <c r="AL308" s="2">
        <f>IF(AND(Games[[#This Row],[Type]]="P",Games[[#This Row],[Round]]=4),IF(Games[[#This Row],[Result]]&lt;0.5,1,0),0)</f>
        <v>0</v>
      </c>
    </row>
    <row r="309" spans="1:38" x14ac:dyDescent="0.35">
      <c r="A309" s="10">
        <v>40393</v>
      </c>
      <c r="B309" s="2">
        <v>2010</v>
      </c>
      <c r="C309" s="2">
        <f>COUNTIFS(Games[Team],Games[[#This Row],[Team]],Games[Season],Games[[#This Row],[Season]],Games[Date],"&lt;=" &amp; Games[[#This Row],[Date]])</f>
        <v>26</v>
      </c>
      <c r="D309" s="2" t="s">
        <v>23</v>
      </c>
      <c r="E309" s="2" t="s">
        <v>29</v>
      </c>
      <c r="F309" s="1" t="s">
        <v>73</v>
      </c>
      <c r="G309" s="1" t="s">
        <v>64</v>
      </c>
      <c r="H309" s="1" t="s">
        <v>15</v>
      </c>
      <c r="I309" s="2" cm="1">
        <f t="array" ref="I30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9" s="2" cm="1">
        <f t="array" ref="J30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9" s="2">
        <f>Games[[#This Row],[DaysOff]]-Games[[#This Row],[OppDaysOff]]</f>
        <v>0</v>
      </c>
      <c r="L309" s="2">
        <f>Games[[#This Row],[OppDaysOff]]-Games[[#This Row],[DaysOff]]</f>
        <v>0</v>
      </c>
      <c r="M309" s="1">
        <f>MAX(-16, MIN(16, Games[[#This Row],[RestDiff]]*8))</f>
        <v>0</v>
      </c>
      <c r="N309" s="1">
        <f>MAX(-16, MIN(16, Games[[#This Row],[OppRestDiff]]*8))</f>
        <v>0</v>
      </c>
      <c r="O309" s="4" cm="1">
        <f t="array" ref="O3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1590.3877457403255</v>
      </c>
      <c r="P309" s="4" cm="1">
        <f t="array" ref="P3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1541.7203862472225</v>
      </c>
      <c r="Q309" s="4">
        <f>1/(1+10^(((Games[[#This Row],[OppPreGmRate]]+IF(Games[[#This Row],[HomeAway]]="A",HCA,0)+Games[[#This Row],[OppRestAdj]])-(Games[[#This Row],[PreGmRate]]+IF(Games[[#This Row],[HomeAway]]="H",HCA,0)+Games[[#This Row],[RestAdj]]))/400))</f>
        <v>0.68215535743975853</v>
      </c>
      <c r="R309" s="1">
        <v>72</v>
      </c>
      <c r="S309" s="1">
        <v>82</v>
      </c>
      <c r="T309" s="1">
        <v>0</v>
      </c>
      <c r="U309" s="1">
        <f>Games[[#This Row],[PointsFor]]-Games[[#This Row],[PointsAgainst]]</f>
        <v>-10</v>
      </c>
      <c r="V309" s="1">
        <f>IF(Games[[#This Row],[MOV]]&gt;0,1,IF(Games[[#This Row],[MOV]]=0,0.5,0))</f>
        <v>0</v>
      </c>
      <c r="W309" s="4">
        <f>((ABS(Games[[#This Row],[MOV]])+5)^0.6)/(12+0.01*(ABS(Games[[#This Row],[PreGmRate]]-Games[[#This Row],[OppPreGmRate]])))*IF(Games[[#This Row],[OT]]=1,0.9,1)</f>
        <v>0.40663803321075387</v>
      </c>
      <c r="X309" s="7" cm="1">
        <f t="array" ref="X30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9" s="9">
        <f>MAX(kmin, kmax - 0.15 * MIN(Games[[#This Row],[GamesPlayed]], 82))</f>
        <v>72.099999999999994</v>
      </c>
      <c r="Z309" s="4">
        <f>Games[[#This Row],[K]]*Games[[#This Row],[POMult]]</f>
        <v>72.099999999999994</v>
      </c>
      <c r="AA309" s="4">
        <f>(Games[[#This Row],[Keff]]*Games[[#This Row],[MOVMult]])*(Games[[#This Row],[Result]]-Games[[#This Row],[ExpectedWin%]])</f>
        <v>-19.999841559620066</v>
      </c>
      <c r="AB309" s="4">
        <f>Games[[#This Row],[PreGmRate]]+Games[[#This Row],[RatingChange]]</f>
        <v>1570.3879041807054</v>
      </c>
      <c r="AC309" s="2">
        <f>IF(Games[[#This Row],[Type]]="R",IF(Games[[#This Row],[Result]]&gt;0.5,1,0),0)</f>
        <v>0</v>
      </c>
      <c r="AD309" s="2">
        <f>IF(Games[[#This Row],[Type]]="R",IF(Games[[#This Row],[Result]]&lt;0.5,1,0),0)</f>
        <v>1</v>
      </c>
      <c r="AE309" s="2">
        <f>IF(AND(Games[[#This Row],[Type]]="P",Games[[#This Row],[Round]]=1),IF(Games[[#This Row],[Result]]&gt;0.5,1,0),0)</f>
        <v>0</v>
      </c>
      <c r="AF309" s="2">
        <f>IF(AND(Games[[#This Row],[Type]]="P",Games[[#This Row],[Round]]=1),IF(Games[[#This Row],[Result]]&lt;0.5,1,0),0)</f>
        <v>0</v>
      </c>
      <c r="AG309" s="2">
        <f>IF(AND(Games[[#This Row],[Type]]="P",Games[[#This Row],[Round]]=2),IF(Games[[#This Row],[Result]]&gt;0.5,1,0),0)</f>
        <v>0</v>
      </c>
      <c r="AH309" s="2">
        <f>IF(AND(Games[[#This Row],[Type]]="P",Games[[#This Row],[Round]]=2),IF(Games[[#This Row],[Result]]&lt;0.5,1,0),0)</f>
        <v>0</v>
      </c>
      <c r="AI309" s="2">
        <f>IF(AND(Games[[#This Row],[Type]]="P",Games[[#This Row],[Round]]=3),IF(Games[[#This Row],[Result]]&gt;0.5,1,0),0)</f>
        <v>0</v>
      </c>
      <c r="AJ309" s="2">
        <f>IF(AND(Games[[#This Row],[Type]]="P",Games[[#This Row],[Round]]=3),IF(Games[[#This Row],[Result]]&lt;0.5,1,0),0)</f>
        <v>0</v>
      </c>
      <c r="AK309" s="2">
        <f>IF(AND(Games[[#This Row],[Type]]="P",Games[[#This Row],[Round]]=4),IF(Games[[#This Row],[Result]]&gt;0.5,1,0),0)</f>
        <v>0</v>
      </c>
      <c r="AL309" s="2">
        <f>IF(AND(Games[[#This Row],[Type]]="P",Games[[#This Row],[Round]]=4),IF(Games[[#This Row],[Result]]&lt;0.5,1,0),0)</f>
        <v>0</v>
      </c>
    </row>
    <row r="310" spans="1:38" x14ac:dyDescent="0.35">
      <c r="A310" s="10">
        <v>40393</v>
      </c>
      <c r="B310" s="2">
        <v>2010</v>
      </c>
      <c r="C310" s="2">
        <f>COUNTIFS(Games[Team],Games[[#This Row],[Team]],Games[Season],Games[[#This Row],[Season]],Games[Date],"&lt;=" &amp; Games[[#This Row],[Date]])</f>
        <v>26</v>
      </c>
      <c r="D310" s="2" t="s">
        <v>23</v>
      </c>
      <c r="E310" s="2" t="s">
        <v>29</v>
      </c>
      <c r="F310" s="1" t="s">
        <v>80</v>
      </c>
      <c r="G310" s="1" t="s">
        <v>71</v>
      </c>
      <c r="H310" s="1" t="s">
        <v>16</v>
      </c>
      <c r="I310" s="2" cm="1">
        <f t="array" ref="I31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0" s="2" cm="1">
        <f t="array" ref="J31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0" s="2">
        <f>Games[[#This Row],[DaysOff]]-Games[[#This Row],[OppDaysOff]]</f>
        <v>0</v>
      </c>
      <c r="L310" s="2">
        <f>Games[[#This Row],[OppDaysOff]]-Games[[#This Row],[DaysOff]]</f>
        <v>0</v>
      </c>
      <c r="M310" s="1">
        <f>MAX(-16, MIN(16, Games[[#This Row],[RestDiff]]*8))</f>
        <v>0</v>
      </c>
      <c r="N310" s="1">
        <f>MAX(-16, MIN(16, Games[[#This Row],[OppRestDiff]]*8))</f>
        <v>0</v>
      </c>
      <c r="O310" s="4" cm="1">
        <f t="array" ref="O3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1476.1511661877223</v>
      </c>
      <c r="P310" s="4" cm="1">
        <f t="array" ref="P3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1395.5137288143578</v>
      </c>
      <c r="Q310" s="4">
        <f>1/(1+10^(((Games[[#This Row],[OppPreGmRate]]+IF(Games[[#This Row],[HomeAway]]="A",HCA,0)+Games[[#This Row],[OppRestAdj]])-(Games[[#This Row],[PreGmRate]]+IF(Games[[#This Row],[HomeAway]]="H",HCA,0)+Games[[#This Row],[RestAdj]]))/400))</f>
        <v>0.49516103447331544</v>
      </c>
      <c r="R310" s="1">
        <v>103</v>
      </c>
      <c r="S310" s="1">
        <v>111</v>
      </c>
      <c r="T310" s="1">
        <v>1</v>
      </c>
      <c r="U310" s="1">
        <f>Games[[#This Row],[PointsFor]]-Games[[#This Row],[PointsAgainst]]</f>
        <v>-8</v>
      </c>
      <c r="V310" s="1">
        <f>IF(Games[[#This Row],[MOV]]&gt;0,1,IF(Games[[#This Row],[MOV]]=0,0.5,0))</f>
        <v>0</v>
      </c>
      <c r="W310" s="4">
        <f>((ABS(Games[[#This Row],[MOV]])+5)^0.6)/(12+0.01*(ABS(Games[[#This Row],[PreGmRate]]-Games[[#This Row],[OppPreGmRate]])))*IF(Games[[#This Row],[OT]]=1,0.9,1)</f>
        <v>0.32747814921248258</v>
      </c>
      <c r="X310" s="7" cm="1">
        <f t="array" ref="X3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0" s="9">
        <f>MAX(kmin, kmax - 0.15 * MIN(Games[[#This Row],[GamesPlayed]], 82))</f>
        <v>72.099999999999994</v>
      </c>
      <c r="Z310" s="4">
        <f>Games[[#This Row],[K]]*Games[[#This Row],[POMult]]</f>
        <v>72.099999999999994</v>
      </c>
      <c r="AA310" s="4">
        <f>(Games[[#This Row],[Keff]]*Games[[#This Row],[MOVMult]])*(Games[[#This Row],[Result]]-Games[[#This Row],[ExpectedWin%]])</f>
        <v>-11.691333619378238</v>
      </c>
      <c r="AB310" s="4">
        <f>Games[[#This Row],[PreGmRate]]+Games[[#This Row],[RatingChange]]</f>
        <v>1464.4598325683442</v>
      </c>
      <c r="AC310" s="2">
        <f>IF(Games[[#This Row],[Type]]="R",IF(Games[[#This Row],[Result]]&gt;0.5,1,0),0)</f>
        <v>0</v>
      </c>
      <c r="AD310" s="2">
        <f>IF(Games[[#This Row],[Type]]="R",IF(Games[[#This Row],[Result]]&lt;0.5,1,0),0)</f>
        <v>1</v>
      </c>
      <c r="AE310" s="2">
        <f>IF(AND(Games[[#This Row],[Type]]="P",Games[[#This Row],[Round]]=1),IF(Games[[#This Row],[Result]]&gt;0.5,1,0),0)</f>
        <v>0</v>
      </c>
      <c r="AF310" s="2">
        <f>IF(AND(Games[[#This Row],[Type]]="P",Games[[#This Row],[Round]]=1),IF(Games[[#This Row],[Result]]&lt;0.5,1,0),0)</f>
        <v>0</v>
      </c>
      <c r="AG310" s="2">
        <f>IF(AND(Games[[#This Row],[Type]]="P",Games[[#This Row],[Round]]=2),IF(Games[[#This Row],[Result]]&gt;0.5,1,0),0)</f>
        <v>0</v>
      </c>
      <c r="AH310" s="2">
        <f>IF(AND(Games[[#This Row],[Type]]="P",Games[[#This Row],[Round]]=2),IF(Games[[#This Row],[Result]]&lt;0.5,1,0),0)</f>
        <v>0</v>
      </c>
      <c r="AI310" s="2">
        <f>IF(AND(Games[[#This Row],[Type]]="P",Games[[#This Row],[Round]]=3),IF(Games[[#This Row],[Result]]&gt;0.5,1,0),0)</f>
        <v>0</v>
      </c>
      <c r="AJ310" s="2">
        <f>IF(AND(Games[[#This Row],[Type]]="P",Games[[#This Row],[Round]]=3),IF(Games[[#This Row],[Result]]&lt;0.5,1,0),0)</f>
        <v>0</v>
      </c>
      <c r="AK310" s="2">
        <f>IF(AND(Games[[#This Row],[Type]]="P",Games[[#This Row],[Round]]=4),IF(Games[[#This Row],[Result]]&gt;0.5,1,0),0)</f>
        <v>0</v>
      </c>
      <c r="AL310" s="2">
        <f>IF(AND(Games[[#This Row],[Type]]="P",Games[[#This Row],[Round]]=4),IF(Games[[#This Row],[Result]]&lt;0.5,1,0),0)</f>
        <v>0</v>
      </c>
    </row>
    <row r="311" spans="1:38" x14ac:dyDescent="0.35">
      <c r="A311" s="10">
        <v>40393</v>
      </c>
      <c r="B311" s="2">
        <v>2010</v>
      </c>
      <c r="C311" s="2">
        <f>COUNTIFS(Games[Team],Games[[#This Row],[Team]],Games[Season],Games[[#This Row],[Season]],Games[Date],"&lt;=" &amp; Games[[#This Row],[Date]])</f>
        <v>25</v>
      </c>
      <c r="D311" s="2" t="s">
        <v>23</v>
      </c>
      <c r="E311" s="2" t="s">
        <v>29</v>
      </c>
      <c r="F311" s="1" t="s">
        <v>71</v>
      </c>
      <c r="G311" s="1" t="s">
        <v>80</v>
      </c>
      <c r="H311" s="1" t="s">
        <v>15</v>
      </c>
      <c r="I311" s="2" cm="1">
        <f t="array" ref="I31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1" s="2" cm="1">
        <f t="array" ref="J31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1" s="2">
        <f>Games[[#This Row],[DaysOff]]-Games[[#This Row],[OppDaysOff]]</f>
        <v>0</v>
      </c>
      <c r="L311" s="2">
        <f>Games[[#This Row],[OppDaysOff]]-Games[[#This Row],[DaysOff]]</f>
        <v>0</v>
      </c>
      <c r="M311" s="1">
        <f>MAX(-16, MIN(16, Games[[#This Row],[RestDiff]]*8))</f>
        <v>0</v>
      </c>
      <c r="N311" s="1">
        <f>MAX(-16, MIN(16, Games[[#This Row],[OppRestDiff]]*8))</f>
        <v>0</v>
      </c>
      <c r="O311" s="4" cm="1">
        <f t="array" ref="O3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1395.5137288143578</v>
      </c>
      <c r="P311" s="4" cm="1">
        <f t="array" ref="P3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1476.1511661877223</v>
      </c>
      <c r="Q311" s="4">
        <f>1/(1+10^(((Games[[#This Row],[OppPreGmRate]]+IF(Games[[#This Row],[HomeAway]]="A",HCA,0)+Games[[#This Row],[OppRestAdj]])-(Games[[#This Row],[PreGmRate]]+IF(Games[[#This Row],[HomeAway]]="H",HCA,0)+Games[[#This Row],[RestAdj]]))/400))</f>
        <v>0.5048389655266845</v>
      </c>
      <c r="R311" s="1">
        <v>111</v>
      </c>
      <c r="S311" s="1">
        <v>103</v>
      </c>
      <c r="T311" s="1">
        <v>1</v>
      </c>
      <c r="U311" s="1">
        <f>Games[[#This Row],[PointsFor]]-Games[[#This Row],[PointsAgainst]]</f>
        <v>8</v>
      </c>
      <c r="V311" s="1">
        <f>IF(Games[[#This Row],[MOV]]&gt;0,1,IF(Games[[#This Row],[MOV]]=0,0.5,0))</f>
        <v>1</v>
      </c>
      <c r="W311" s="4">
        <f>((ABS(Games[[#This Row],[MOV]])+5)^0.6)/(12+0.01*(ABS(Games[[#This Row],[PreGmRate]]-Games[[#This Row],[OppPreGmRate]])))*IF(Games[[#This Row],[OT]]=1,0.9,1)</f>
        <v>0.32747814921248258</v>
      </c>
      <c r="X311" s="7" cm="1">
        <f t="array" ref="X3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1" s="9">
        <f>MAX(kmin, kmax - 0.15 * MIN(Games[[#This Row],[GamesPlayed]], 82))</f>
        <v>72.25</v>
      </c>
      <c r="Z311" s="4">
        <f>Games[[#This Row],[K]]*Games[[#This Row],[POMult]]</f>
        <v>72.25</v>
      </c>
      <c r="AA311" s="4">
        <f>(Games[[#This Row],[Keff]]*Games[[#This Row],[MOVMult]])*(Games[[#This Row],[Result]]-Games[[#This Row],[ExpectedWin%]])</f>
        <v>11.71565678224796</v>
      </c>
      <c r="AB311" s="4">
        <f>Games[[#This Row],[PreGmRate]]+Games[[#This Row],[RatingChange]]</f>
        <v>1407.2293855966059</v>
      </c>
      <c r="AC311" s="2">
        <f>IF(Games[[#This Row],[Type]]="R",IF(Games[[#This Row],[Result]]&gt;0.5,1,0),0)</f>
        <v>1</v>
      </c>
      <c r="AD311" s="2">
        <f>IF(Games[[#This Row],[Type]]="R",IF(Games[[#This Row],[Result]]&lt;0.5,1,0),0)</f>
        <v>0</v>
      </c>
      <c r="AE311" s="2">
        <f>IF(AND(Games[[#This Row],[Type]]="P",Games[[#This Row],[Round]]=1),IF(Games[[#This Row],[Result]]&gt;0.5,1,0),0)</f>
        <v>0</v>
      </c>
      <c r="AF311" s="2">
        <f>IF(AND(Games[[#This Row],[Type]]="P",Games[[#This Row],[Round]]=1),IF(Games[[#This Row],[Result]]&lt;0.5,1,0),0)</f>
        <v>0</v>
      </c>
      <c r="AG311" s="2">
        <f>IF(AND(Games[[#This Row],[Type]]="P",Games[[#This Row],[Round]]=2),IF(Games[[#This Row],[Result]]&gt;0.5,1,0),0)</f>
        <v>0</v>
      </c>
      <c r="AH311" s="2">
        <f>IF(AND(Games[[#This Row],[Type]]="P",Games[[#This Row],[Round]]=2),IF(Games[[#This Row],[Result]]&lt;0.5,1,0),0)</f>
        <v>0</v>
      </c>
      <c r="AI311" s="2">
        <f>IF(AND(Games[[#This Row],[Type]]="P",Games[[#This Row],[Round]]=3),IF(Games[[#This Row],[Result]]&gt;0.5,1,0),0)</f>
        <v>0</v>
      </c>
      <c r="AJ311" s="2">
        <f>IF(AND(Games[[#This Row],[Type]]="P",Games[[#This Row],[Round]]=3),IF(Games[[#This Row],[Result]]&lt;0.5,1,0),0)</f>
        <v>0</v>
      </c>
      <c r="AK311" s="2">
        <f>IF(AND(Games[[#This Row],[Type]]="P",Games[[#This Row],[Round]]=4),IF(Games[[#This Row],[Result]]&gt;0.5,1,0),0)</f>
        <v>0</v>
      </c>
      <c r="AL311" s="2">
        <f>IF(AND(Games[[#This Row],[Type]]="P",Games[[#This Row],[Round]]=4),IF(Games[[#This Row],[Result]]&lt;0.5,1,0),0)</f>
        <v>0</v>
      </c>
    </row>
    <row r="312" spans="1:38" x14ac:dyDescent="0.35">
      <c r="A312" s="10">
        <v>40393</v>
      </c>
      <c r="B312" s="2">
        <v>2010</v>
      </c>
      <c r="C312" s="2">
        <f>COUNTIFS(Games[Team],Games[[#This Row],[Team]],Games[Season],Games[[#This Row],[Season]],Games[Date],"&lt;=" &amp; Games[[#This Row],[Date]])</f>
        <v>26</v>
      </c>
      <c r="D312" s="2" t="s">
        <v>23</v>
      </c>
      <c r="E312" s="2" t="s">
        <v>29</v>
      </c>
      <c r="F312" s="1" t="s">
        <v>44</v>
      </c>
      <c r="G312" s="1" t="s">
        <v>78</v>
      </c>
      <c r="H312" s="1" t="s">
        <v>16</v>
      </c>
      <c r="I312" s="2" cm="1">
        <f t="array" ref="I31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2" s="2" cm="1">
        <f t="array" ref="J31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12" s="2">
        <f>Games[[#This Row],[DaysOff]]-Games[[#This Row],[OppDaysOff]]</f>
        <v>-2</v>
      </c>
      <c r="L312" s="2">
        <f>Games[[#This Row],[OppDaysOff]]-Games[[#This Row],[DaysOff]]</f>
        <v>2</v>
      </c>
      <c r="M312" s="1">
        <f>MAX(-16, MIN(16, Games[[#This Row],[RestDiff]]*8))</f>
        <v>-16</v>
      </c>
      <c r="N312" s="1">
        <f>MAX(-16, MIN(16, Games[[#This Row],[OppRestDiff]]*8))</f>
        <v>16</v>
      </c>
      <c r="O312" s="4" cm="1">
        <f t="array" ref="O3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1546.5053629763152</v>
      </c>
      <c r="P312" s="4" cm="1">
        <f t="array" ref="P3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1447.8296765012524</v>
      </c>
      <c r="Q312" s="4">
        <f>1/(1+10^(((Games[[#This Row],[OppPreGmRate]]+IF(Games[[#This Row],[HomeAway]]="A",HCA,0)+Games[[#This Row],[OppRestAdj]])-(Games[[#This Row],[PreGmRate]]+IF(Games[[#This Row],[HomeAway]]="H",HCA,0)+Games[[#This Row],[RestAdj]]))/400))</f>
        <v>0.47508895120509737</v>
      </c>
      <c r="R312" s="1">
        <v>103</v>
      </c>
      <c r="S312" s="1">
        <v>92</v>
      </c>
      <c r="T312" s="1">
        <v>0</v>
      </c>
      <c r="U312" s="1">
        <f>Games[[#This Row],[PointsFor]]-Games[[#This Row],[PointsAgainst]]</f>
        <v>11</v>
      </c>
      <c r="V312" s="1">
        <f>IF(Games[[#This Row],[MOV]]&gt;0,1,IF(Games[[#This Row],[MOV]]=0,0.5,0))</f>
        <v>1</v>
      </c>
      <c r="W312" s="4">
        <f>((ABS(Games[[#This Row],[MOV]])+5)^0.6)/(12+0.01*(ABS(Games[[#This Row],[PreGmRate]]-Games[[#This Row],[OppPreGmRate]])))*IF(Games[[#This Row],[OT]]=1,0.9,1)</f>
        <v>0.40641645162523227</v>
      </c>
      <c r="X312" s="7" cm="1">
        <f t="array" ref="X3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2" s="9">
        <f>MAX(kmin, kmax - 0.15 * MIN(Games[[#This Row],[GamesPlayed]], 82))</f>
        <v>72.099999999999994</v>
      </c>
      <c r="Z312" s="4">
        <f>Games[[#This Row],[K]]*Games[[#This Row],[POMult]]</f>
        <v>72.099999999999994</v>
      </c>
      <c r="AA312" s="4">
        <f>(Games[[#This Row],[Keff]]*Games[[#This Row],[MOVMult]])*(Games[[#This Row],[Result]]-Games[[#This Row],[ExpectedWin%]])</f>
        <v>15.381272231234462</v>
      </c>
      <c r="AB312" s="4">
        <f>Games[[#This Row],[PreGmRate]]+Games[[#This Row],[RatingChange]]</f>
        <v>1561.8866352075497</v>
      </c>
      <c r="AC312" s="2">
        <f>IF(Games[[#This Row],[Type]]="R",IF(Games[[#This Row],[Result]]&gt;0.5,1,0),0)</f>
        <v>1</v>
      </c>
      <c r="AD312" s="2">
        <f>IF(Games[[#This Row],[Type]]="R",IF(Games[[#This Row],[Result]]&lt;0.5,1,0),0)</f>
        <v>0</v>
      </c>
      <c r="AE312" s="2">
        <f>IF(AND(Games[[#This Row],[Type]]="P",Games[[#This Row],[Round]]=1),IF(Games[[#This Row],[Result]]&gt;0.5,1,0),0)</f>
        <v>0</v>
      </c>
      <c r="AF312" s="2">
        <f>IF(AND(Games[[#This Row],[Type]]="P",Games[[#This Row],[Round]]=1),IF(Games[[#This Row],[Result]]&lt;0.5,1,0),0)</f>
        <v>0</v>
      </c>
      <c r="AG312" s="2">
        <f>IF(AND(Games[[#This Row],[Type]]="P",Games[[#This Row],[Round]]=2),IF(Games[[#This Row],[Result]]&gt;0.5,1,0),0)</f>
        <v>0</v>
      </c>
      <c r="AH312" s="2">
        <f>IF(AND(Games[[#This Row],[Type]]="P",Games[[#This Row],[Round]]=2),IF(Games[[#This Row],[Result]]&lt;0.5,1,0),0)</f>
        <v>0</v>
      </c>
      <c r="AI312" s="2">
        <f>IF(AND(Games[[#This Row],[Type]]="P",Games[[#This Row],[Round]]=3),IF(Games[[#This Row],[Result]]&gt;0.5,1,0),0)</f>
        <v>0</v>
      </c>
      <c r="AJ312" s="2">
        <f>IF(AND(Games[[#This Row],[Type]]="P",Games[[#This Row],[Round]]=3),IF(Games[[#This Row],[Result]]&lt;0.5,1,0),0)</f>
        <v>0</v>
      </c>
      <c r="AK312" s="2">
        <f>IF(AND(Games[[#This Row],[Type]]="P",Games[[#This Row],[Round]]=4),IF(Games[[#This Row],[Result]]&gt;0.5,1,0),0)</f>
        <v>0</v>
      </c>
      <c r="AL312" s="2">
        <f>IF(AND(Games[[#This Row],[Type]]="P",Games[[#This Row],[Round]]=4),IF(Games[[#This Row],[Result]]&lt;0.5,1,0),0)</f>
        <v>0</v>
      </c>
    </row>
    <row r="313" spans="1:38" x14ac:dyDescent="0.35">
      <c r="A313" s="10">
        <v>40393</v>
      </c>
      <c r="B313" s="2">
        <v>2010</v>
      </c>
      <c r="C313" s="2">
        <f>COUNTIFS(Games[Team],Games[[#This Row],[Team]],Games[Season],Games[[#This Row],[Season]],Games[Date],"&lt;=" &amp; Games[[#This Row],[Date]])</f>
        <v>26</v>
      </c>
      <c r="D313" s="2" t="s">
        <v>23</v>
      </c>
      <c r="E313" s="2" t="s">
        <v>29</v>
      </c>
      <c r="F313" s="1" t="s">
        <v>78</v>
      </c>
      <c r="G313" s="1" t="s">
        <v>44</v>
      </c>
      <c r="H313" s="1" t="s">
        <v>15</v>
      </c>
      <c r="I313" s="2" cm="1">
        <f t="array" ref="I313">IFERROR(
    Games[[#This Row],[Date]]
    - LOOKUP(
        2,
        1/((Games[Team]=Games[[#This Row],[Team]]) * (Games[Date] &lt; Games[[#This Row],[Date]])),
        Games[Date]
    )
    - 1,
Games[[#This Row],[Date]]-$A$2)</f>
        <v>3</v>
      </c>
      <c r="J313" s="2" cm="1">
        <f t="array" ref="J31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3" s="2">
        <f>Games[[#This Row],[DaysOff]]-Games[[#This Row],[OppDaysOff]]</f>
        <v>2</v>
      </c>
      <c r="L313" s="2">
        <f>Games[[#This Row],[OppDaysOff]]-Games[[#This Row],[DaysOff]]</f>
        <v>-2</v>
      </c>
      <c r="M313" s="1">
        <f>MAX(-16, MIN(16, Games[[#This Row],[RestDiff]]*8))</f>
        <v>16</v>
      </c>
      <c r="N313" s="1">
        <f>MAX(-16, MIN(16, Games[[#This Row],[OppRestDiff]]*8))</f>
        <v>-16</v>
      </c>
      <c r="O313" s="4" cm="1">
        <f t="array" ref="O3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1447.8296765012524</v>
      </c>
      <c r="P313" s="4" cm="1">
        <f t="array" ref="P3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1546.5053629763152</v>
      </c>
      <c r="Q313" s="4">
        <f>1/(1+10^(((Games[[#This Row],[OppPreGmRate]]+IF(Games[[#This Row],[HomeAway]]="A",HCA,0)+Games[[#This Row],[OppRestAdj]])-(Games[[#This Row],[PreGmRate]]+IF(Games[[#This Row],[HomeAway]]="H",HCA,0)+Games[[#This Row],[RestAdj]]))/400))</f>
        <v>0.52491104879490258</v>
      </c>
      <c r="R313" s="1">
        <v>92</v>
      </c>
      <c r="S313" s="1">
        <v>103</v>
      </c>
      <c r="T313" s="1">
        <v>0</v>
      </c>
      <c r="U313" s="1">
        <f>Games[[#This Row],[PointsFor]]-Games[[#This Row],[PointsAgainst]]</f>
        <v>-11</v>
      </c>
      <c r="V313" s="1">
        <f>IF(Games[[#This Row],[MOV]]&gt;0,1,IF(Games[[#This Row],[MOV]]=0,0.5,0))</f>
        <v>0</v>
      </c>
      <c r="W313" s="4">
        <f>((ABS(Games[[#This Row],[MOV]])+5)^0.6)/(12+0.01*(ABS(Games[[#This Row],[PreGmRate]]-Games[[#This Row],[OppPreGmRate]])))*IF(Games[[#This Row],[OT]]=1,0.9,1)</f>
        <v>0.40641645162523227</v>
      </c>
      <c r="X313" s="7" cm="1">
        <f t="array" ref="X3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3" s="9">
        <f>MAX(kmin, kmax - 0.15 * MIN(Games[[#This Row],[GamesPlayed]], 82))</f>
        <v>72.099999999999994</v>
      </c>
      <c r="Z313" s="4">
        <f>Games[[#This Row],[K]]*Games[[#This Row],[POMult]]</f>
        <v>72.099999999999994</v>
      </c>
      <c r="AA313" s="4">
        <f>(Games[[#This Row],[Keff]]*Games[[#This Row],[MOVMult]])*(Games[[#This Row],[Result]]-Games[[#This Row],[ExpectedWin%]])</f>
        <v>-15.381272231234458</v>
      </c>
      <c r="AB313" s="4">
        <f>Games[[#This Row],[PreGmRate]]+Games[[#This Row],[RatingChange]]</f>
        <v>1432.4484042700178</v>
      </c>
      <c r="AC313" s="2">
        <f>IF(Games[[#This Row],[Type]]="R",IF(Games[[#This Row],[Result]]&gt;0.5,1,0),0)</f>
        <v>0</v>
      </c>
      <c r="AD313" s="2">
        <f>IF(Games[[#This Row],[Type]]="R",IF(Games[[#This Row],[Result]]&lt;0.5,1,0),0)</f>
        <v>1</v>
      </c>
      <c r="AE313" s="2">
        <f>IF(AND(Games[[#This Row],[Type]]="P",Games[[#This Row],[Round]]=1),IF(Games[[#This Row],[Result]]&gt;0.5,1,0),0)</f>
        <v>0</v>
      </c>
      <c r="AF313" s="2">
        <f>IF(AND(Games[[#This Row],[Type]]="P",Games[[#This Row],[Round]]=1),IF(Games[[#This Row],[Result]]&lt;0.5,1,0),0)</f>
        <v>0</v>
      </c>
      <c r="AG313" s="2">
        <f>IF(AND(Games[[#This Row],[Type]]="P",Games[[#This Row],[Round]]=2),IF(Games[[#This Row],[Result]]&gt;0.5,1,0),0)</f>
        <v>0</v>
      </c>
      <c r="AH313" s="2">
        <f>IF(AND(Games[[#This Row],[Type]]="P",Games[[#This Row],[Round]]=2),IF(Games[[#This Row],[Result]]&lt;0.5,1,0),0)</f>
        <v>0</v>
      </c>
      <c r="AI313" s="2">
        <f>IF(AND(Games[[#This Row],[Type]]="P",Games[[#This Row],[Round]]=3),IF(Games[[#This Row],[Result]]&gt;0.5,1,0),0)</f>
        <v>0</v>
      </c>
      <c r="AJ313" s="2">
        <f>IF(AND(Games[[#This Row],[Type]]="P",Games[[#This Row],[Round]]=3),IF(Games[[#This Row],[Result]]&lt;0.5,1,0),0)</f>
        <v>0</v>
      </c>
      <c r="AK313" s="2">
        <f>IF(AND(Games[[#This Row],[Type]]="P",Games[[#This Row],[Round]]=4),IF(Games[[#This Row],[Result]]&gt;0.5,1,0),0)</f>
        <v>0</v>
      </c>
      <c r="AL313" s="2">
        <f>IF(AND(Games[[#This Row],[Type]]="P",Games[[#This Row],[Round]]=4),IF(Games[[#This Row],[Result]]&lt;0.5,1,0),0)</f>
        <v>0</v>
      </c>
    </row>
    <row r="314" spans="1:38" x14ac:dyDescent="0.35">
      <c r="A314" s="10">
        <v>40393</v>
      </c>
      <c r="B314" s="2">
        <v>2010</v>
      </c>
      <c r="C314" s="2">
        <f>COUNTIFS(Games[Team],Games[[#This Row],[Team]],Games[Season],Games[[#This Row],[Season]],Games[Date],"&lt;=" &amp; Games[[#This Row],[Date]])</f>
        <v>26</v>
      </c>
      <c r="D314" s="2" t="s">
        <v>23</v>
      </c>
      <c r="E314" s="2" t="s">
        <v>29</v>
      </c>
      <c r="F314" s="1" t="s">
        <v>75</v>
      </c>
      <c r="G314" s="1" t="s">
        <v>85</v>
      </c>
      <c r="H314" s="1" t="s">
        <v>16</v>
      </c>
      <c r="I314" s="2" cm="1">
        <f t="array" ref="I31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4" s="2" cm="1">
        <f t="array" ref="J31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4" s="2">
        <f>Games[[#This Row],[DaysOff]]-Games[[#This Row],[OppDaysOff]]</f>
        <v>0</v>
      </c>
      <c r="L314" s="2">
        <f>Games[[#This Row],[OppDaysOff]]-Games[[#This Row],[DaysOff]]</f>
        <v>0</v>
      </c>
      <c r="M314" s="1">
        <f>MAX(-16, MIN(16, Games[[#This Row],[RestDiff]]*8))</f>
        <v>0</v>
      </c>
      <c r="N314" s="1">
        <f>MAX(-16, MIN(16, Games[[#This Row],[OppRestDiff]]*8))</f>
        <v>0</v>
      </c>
      <c r="O314" s="4" cm="1">
        <f t="array" ref="O3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1682.6091482219335</v>
      </c>
      <c r="P314" s="4" cm="1">
        <f t="array" ref="P3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1298.2031060162178</v>
      </c>
      <c r="Q314" s="4">
        <f>1/(1+10^(((Games[[#This Row],[OppPreGmRate]]+IF(Games[[#This Row],[HomeAway]]="A",HCA,0)+Games[[#This Row],[OppRestAdj]])-(Games[[#This Row],[PreGmRate]]+IF(Games[[#This Row],[HomeAway]]="H",HCA,0)+Games[[#This Row],[RestAdj]]))/400))</f>
        <v>0.84931981316596028</v>
      </c>
      <c r="R314" s="1">
        <v>75</v>
      </c>
      <c r="S314" s="1">
        <v>84</v>
      </c>
      <c r="T314" s="1">
        <v>0</v>
      </c>
      <c r="U314" s="1">
        <f>Games[[#This Row],[PointsFor]]-Games[[#This Row],[PointsAgainst]]</f>
        <v>-9</v>
      </c>
      <c r="V314" s="1">
        <f>IF(Games[[#This Row],[MOV]]&gt;0,1,IF(Games[[#This Row],[MOV]]=0,0.5,0))</f>
        <v>0</v>
      </c>
      <c r="W314" s="4">
        <f>((ABS(Games[[#This Row],[MOV]])+5)^0.6)/(12+0.01*(ABS(Games[[#This Row],[PreGmRate]]-Games[[#This Row],[OppPreGmRate]])))*IF(Games[[#This Row],[OT]]=1,0.9,1)</f>
        <v>0.30747536906542472</v>
      </c>
      <c r="X314" s="7" cm="1">
        <f t="array" ref="X3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4" s="9">
        <f>MAX(kmin, kmax - 0.15 * MIN(Games[[#This Row],[GamesPlayed]], 82))</f>
        <v>72.099999999999994</v>
      </c>
      <c r="Z314" s="4">
        <f>Games[[#This Row],[K]]*Games[[#This Row],[POMult]]</f>
        <v>72.099999999999994</v>
      </c>
      <c r="AA314" s="4">
        <f>(Games[[#This Row],[Keff]]*Games[[#This Row],[MOVMult]])*(Games[[#This Row],[Result]]-Games[[#This Row],[ExpectedWin%]])</f>
        <v>-18.828548948861023</v>
      </c>
      <c r="AB314" s="4">
        <f>Games[[#This Row],[PreGmRate]]+Games[[#This Row],[RatingChange]]</f>
        <v>1663.7805992730725</v>
      </c>
      <c r="AC314" s="2">
        <f>IF(Games[[#This Row],[Type]]="R",IF(Games[[#This Row],[Result]]&gt;0.5,1,0),0)</f>
        <v>0</v>
      </c>
      <c r="AD314" s="2">
        <f>IF(Games[[#This Row],[Type]]="R",IF(Games[[#This Row],[Result]]&lt;0.5,1,0),0)</f>
        <v>1</v>
      </c>
      <c r="AE314" s="2">
        <f>IF(AND(Games[[#This Row],[Type]]="P",Games[[#This Row],[Round]]=1),IF(Games[[#This Row],[Result]]&gt;0.5,1,0),0)</f>
        <v>0</v>
      </c>
      <c r="AF314" s="2">
        <f>IF(AND(Games[[#This Row],[Type]]="P",Games[[#This Row],[Round]]=1),IF(Games[[#This Row],[Result]]&lt;0.5,1,0),0)</f>
        <v>0</v>
      </c>
      <c r="AG314" s="2">
        <f>IF(AND(Games[[#This Row],[Type]]="P",Games[[#This Row],[Round]]=2),IF(Games[[#This Row],[Result]]&gt;0.5,1,0),0)</f>
        <v>0</v>
      </c>
      <c r="AH314" s="2">
        <f>IF(AND(Games[[#This Row],[Type]]="P",Games[[#This Row],[Round]]=2),IF(Games[[#This Row],[Result]]&lt;0.5,1,0),0)</f>
        <v>0</v>
      </c>
      <c r="AI314" s="2">
        <f>IF(AND(Games[[#This Row],[Type]]="P",Games[[#This Row],[Round]]=3),IF(Games[[#This Row],[Result]]&gt;0.5,1,0),0)</f>
        <v>0</v>
      </c>
      <c r="AJ314" s="2">
        <f>IF(AND(Games[[#This Row],[Type]]="P",Games[[#This Row],[Round]]=3),IF(Games[[#This Row],[Result]]&lt;0.5,1,0),0)</f>
        <v>0</v>
      </c>
      <c r="AK314" s="2">
        <f>IF(AND(Games[[#This Row],[Type]]="P",Games[[#This Row],[Round]]=4),IF(Games[[#This Row],[Result]]&gt;0.5,1,0),0)</f>
        <v>0</v>
      </c>
      <c r="AL314" s="2">
        <f>IF(AND(Games[[#This Row],[Type]]="P",Games[[#This Row],[Round]]=4),IF(Games[[#This Row],[Result]]&lt;0.5,1,0),0)</f>
        <v>0</v>
      </c>
    </row>
    <row r="315" spans="1:38" x14ac:dyDescent="0.35">
      <c r="A315" s="10">
        <v>40393</v>
      </c>
      <c r="B315" s="2">
        <v>2010</v>
      </c>
      <c r="C315" s="2">
        <f>COUNTIFS(Games[Team],Games[[#This Row],[Team]],Games[Season],Games[[#This Row],[Season]],Games[Date],"&lt;=" &amp; Games[[#This Row],[Date]])</f>
        <v>27</v>
      </c>
      <c r="D315" s="2" t="s">
        <v>23</v>
      </c>
      <c r="E315" s="2" t="s">
        <v>29</v>
      </c>
      <c r="F315" s="1" t="s">
        <v>85</v>
      </c>
      <c r="G315" s="1" t="s">
        <v>75</v>
      </c>
      <c r="H315" s="1" t="s">
        <v>15</v>
      </c>
      <c r="I315" s="2" cm="1">
        <f t="array" ref="I31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5" s="2" cm="1">
        <f t="array" ref="J31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5" s="2">
        <f>Games[[#This Row],[DaysOff]]-Games[[#This Row],[OppDaysOff]]</f>
        <v>0</v>
      </c>
      <c r="L315" s="2">
        <f>Games[[#This Row],[OppDaysOff]]-Games[[#This Row],[DaysOff]]</f>
        <v>0</v>
      </c>
      <c r="M315" s="1">
        <f>MAX(-16, MIN(16, Games[[#This Row],[RestDiff]]*8))</f>
        <v>0</v>
      </c>
      <c r="N315" s="1">
        <f>MAX(-16, MIN(16, Games[[#This Row],[OppRestDiff]]*8))</f>
        <v>0</v>
      </c>
      <c r="O315" s="4" cm="1">
        <f t="array" ref="O3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1298.2031060162178</v>
      </c>
      <c r="P315" s="4" cm="1">
        <f t="array" ref="P3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1682.6091482219335</v>
      </c>
      <c r="Q315" s="4">
        <f>1/(1+10^(((Games[[#This Row],[OppPreGmRate]]+IF(Games[[#This Row],[HomeAway]]="A",HCA,0)+Games[[#This Row],[OppRestAdj]])-(Games[[#This Row],[PreGmRate]]+IF(Games[[#This Row],[HomeAway]]="H",HCA,0)+Games[[#This Row],[RestAdj]]))/400))</f>
        <v>0.15068018683403972</v>
      </c>
      <c r="R315" s="1">
        <v>84</v>
      </c>
      <c r="S315" s="1">
        <v>75</v>
      </c>
      <c r="T315" s="1">
        <v>0</v>
      </c>
      <c r="U315" s="1">
        <f>Games[[#This Row],[PointsFor]]-Games[[#This Row],[PointsAgainst]]</f>
        <v>9</v>
      </c>
      <c r="V315" s="1">
        <f>IF(Games[[#This Row],[MOV]]&gt;0,1,IF(Games[[#This Row],[MOV]]=0,0.5,0))</f>
        <v>1</v>
      </c>
      <c r="W315" s="4">
        <f>((ABS(Games[[#This Row],[MOV]])+5)^0.6)/(12+0.01*(ABS(Games[[#This Row],[PreGmRate]]-Games[[#This Row],[OppPreGmRate]])))*IF(Games[[#This Row],[OT]]=1,0.9,1)</f>
        <v>0.30747536906542472</v>
      </c>
      <c r="X315" s="7" cm="1">
        <f t="array" ref="X3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5" s="9">
        <f>MAX(kmin, kmax - 0.15 * MIN(Games[[#This Row],[GamesPlayed]], 82))</f>
        <v>71.95</v>
      </c>
      <c r="Z315" s="4">
        <f>Games[[#This Row],[K]]*Games[[#This Row],[POMult]]</f>
        <v>71.95</v>
      </c>
      <c r="AA315" s="4">
        <f>(Games[[#This Row],[Keff]]*Games[[#This Row],[MOVMult]])*(Games[[#This Row],[Result]]-Games[[#This Row],[ExpectedWin%]])</f>
        <v>18.78937721040986</v>
      </c>
      <c r="AB315" s="4">
        <f>Games[[#This Row],[PreGmRate]]+Games[[#This Row],[RatingChange]]</f>
        <v>1316.9924832266277</v>
      </c>
      <c r="AC315" s="2">
        <f>IF(Games[[#This Row],[Type]]="R",IF(Games[[#This Row],[Result]]&gt;0.5,1,0),0)</f>
        <v>1</v>
      </c>
      <c r="AD315" s="2">
        <f>IF(Games[[#This Row],[Type]]="R",IF(Games[[#This Row],[Result]]&lt;0.5,1,0),0)</f>
        <v>0</v>
      </c>
      <c r="AE315" s="2">
        <f>IF(AND(Games[[#This Row],[Type]]="P",Games[[#This Row],[Round]]=1),IF(Games[[#This Row],[Result]]&gt;0.5,1,0),0)</f>
        <v>0</v>
      </c>
      <c r="AF315" s="2">
        <f>IF(AND(Games[[#This Row],[Type]]="P",Games[[#This Row],[Round]]=1),IF(Games[[#This Row],[Result]]&lt;0.5,1,0),0)</f>
        <v>0</v>
      </c>
      <c r="AG315" s="2">
        <f>IF(AND(Games[[#This Row],[Type]]="P",Games[[#This Row],[Round]]=2),IF(Games[[#This Row],[Result]]&gt;0.5,1,0),0)</f>
        <v>0</v>
      </c>
      <c r="AH315" s="2">
        <f>IF(AND(Games[[#This Row],[Type]]="P",Games[[#This Row],[Round]]=2),IF(Games[[#This Row],[Result]]&lt;0.5,1,0),0)</f>
        <v>0</v>
      </c>
      <c r="AI315" s="2">
        <f>IF(AND(Games[[#This Row],[Type]]="P",Games[[#This Row],[Round]]=3),IF(Games[[#This Row],[Result]]&gt;0.5,1,0),0)</f>
        <v>0</v>
      </c>
      <c r="AJ315" s="2">
        <f>IF(AND(Games[[#This Row],[Type]]="P",Games[[#This Row],[Round]]=3),IF(Games[[#This Row],[Result]]&lt;0.5,1,0),0)</f>
        <v>0</v>
      </c>
      <c r="AK315" s="2">
        <f>IF(AND(Games[[#This Row],[Type]]="P",Games[[#This Row],[Round]]=4),IF(Games[[#This Row],[Result]]&gt;0.5,1,0),0)</f>
        <v>0</v>
      </c>
      <c r="AL315" s="2">
        <f>IF(AND(Games[[#This Row],[Type]]="P",Games[[#This Row],[Round]]=4),IF(Games[[#This Row],[Result]]&lt;0.5,1,0),0)</f>
        <v>0</v>
      </c>
    </row>
    <row r="316" spans="1:38" x14ac:dyDescent="0.35">
      <c r="A316" s="10">
        <v>40394</v>
      </c>
      <c r="B316" s="2">
        <v>2010</v>
      </c>
      <c r="C316" s="2">
        <f>COUNTIFS(Games[Team],Games[[#This Row],[Team]],Games[Season],Games[[#This Row],[Season]],Games[Date],"&lt;=" &amp; Games[[#This Row],[Date]])</f>
        <v>28</v>
      </c>
      <c r="D316" s="2" t="s">
        <v>23</v>
      </c>
      <c r="E316" s="2" t="s">
        <v>29</v>
      </c>
      <c r="F316" s="1" t="s">
        <v>81</v>
      </c>
      <c r="G316" s="1" t="s">
        <v>67</v>
      </c>
      <c r="H316" s="1" t="s">
        <v>16</v>
      </c>
      <c r="I316" s="2" cm="1">
        <f t="array" ref="I316">IFERROR(
    Games[[#This Row],[Date]]
    - LOOKUP(
        2,
        1/((Games[Team]=Games[[#This Row],[Team]]) * (Games[Date] &lt; Games[[#This Row],[Date]])),
        Games[Date]
    )
    - 1,
Games[[#This Row],[Date]]-$A$2)</f>
        <v>2</v>
      </c>
      <c r="J316" s="2" cm="1">
        <f t="array" ref="J316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16" s="2">
        <f>Games[[#This Row],[DaysOff]]-Games[[#This Row],[OppDaysOff]]</f>
        <v>-2</v>
      </c>
      <c r="L316" s="2">
        <f>Games[[#This Row],[OppDaysOff]]-Games[[#This Row],[DaysOff]]</f>
        <v>2</v>
      </c>
      <c r="M316" s="1">
        <f>MAX(-16, MIN(16, Games[[#This Row],[RestDiff]]*8))</f>
        <v>-16</v>
      </c>
      <c r="N316" s="1">
        <f>MAX(-16, MIN(16, Games[[#This Row],[OppRestDiff]]*8))</f>
        <v>16</v>
      </c>
      <c r="O316" s="4" cm="1">
        <f t="array" ref="O3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1491.8490046132213</v>
      </c>
      <c r="P316" s="4" cm="1">
        <f t="array" ref="P3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1448.4936285765114</v>
      </c>
      <c r="Q316" s="4">
        <f>1/(1+10^(((Games[[#This Row],[OppPreGmRate]]+IF(Games[[#This Row],[HomeAway]]="A",HCA,0)+Games[[#This Row],[OppRestAdj]])-(Games[[#This Row],[PreGmRate]]+IF(Games[[#This Row],[HomeAway]]="H",HCA,0)+Games[[#This Row],[RestAdj]]))/400))</f>
        <v>0.39695328270349239</v>
      </c>
      <c r="R316" s="1">
        <v>77</v>
      </c>
      <c r="S316" s="1">
        <v>82</v>
      </c>
      <c r="T316" s="1">
        <v>0</v>
      </c>
      <c r="U316" s="1">
        <f>Games[[#This Row],[PointsFor]]-Games[[#This Row],[PointsAgainst]]</f>
        <v>-5</v>
      </c>
      <c r="V316" s="1">
        <f>IF(Games[[#This Row],[MOV]]&gt;0,1,IF(Games[[#This Row],[MOV]]=0,0.5,0))</f>
        <v>0</v>
      </c>
      <c r="W316" s="4">
        <f>((ABS(Games[[#This Row],[MOV]])+5)^0.6)/(12+0.01*(ABS(Games[[#This Row],[PreGmRate]]-Games[[#This Row],[OppPreGmRate]])))*IF(Games[[#This Row],[OT]]=1,0.9,1)</f>
        <v>0.32018775824374063</v>
      </c>
      <c r="X316" s="7" cm="1">
        <f t="array" ref="X3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6" s="9">
        <f>MAX(kmin, kmax - 0.15 * MIN(Games[[#This Row],[GamesPlayed]], 82))</f>
        <v>71.8</v>
      </c>
      <c r="Z316" s="4">
        <f>Games[[#This Row],[K]]*Games[[#This Row],[POMult]]</f>
        <v>71.8</v>
      </c>
      <c r="AA316" s="4">
        <f>(Games[[#This Row],[Keff]]*Games[[#This Row],[MOVMult]])*(Games[[#This Row],[Result]]-Games[[#This Row],[ExpectedWin%]])</f>
        <v>-9.1257499672321387</v>
      </c>
      <c r="AB316" s="4">
        <f>Games[[#This Row],[PreGmRate]]+Games[[#This Row],[RatingChange]]</f>
        <v>1482.7232546459891</v>
      </c>
      <c r="AC316" s="2">
        <f>IF(Games[[#This Row],[Type]]="R",IF(Games[[#This Row],[Result]]&gt;0.5,1,0),0)</f>
        <v>0</v>
      </c>
      <c r="AD316" s="2">
        <f>IF(Games[[#This Row],[Type]]="R",IF(Games[[#This Row],[Result]]&lt;0.5,1,0),0)</f>
        <v>1</v>
      </c>
      <c r="AE316" s="2">
        <f>IF(AND(Games[[#This Row],[Type]]="P",Games[[#This Row],[Round]]=1),IF(Games[[#This Row],[Result]]&gt;0.5,1,0),0)</f>
        <v>0</v>
      </c>
      <c r="AF316" s="2">
        <f>IF(AND(Games[[#This Row],[Type]]="P",Games[[#This Row],[Round]]=1),IF(Games[[#This Row],[Result]]&lt;0.5,1,0),0)</f>
        <v>0</v>
      </c>
      <c r="AG316" s="2">
        <f>IF(AND(Games[[#This Row],[Type]]="P",Games[[#This Row],[Round]]=2),IF(Games[[#This Row],[Result]]&gt;0.5,1,0),0)</f>
        <v>0</v>
      </c>
      <c r="AH316" s="2">
        <f>IF(AND(Games[[#This Row],[Type]]="P",Games[[#This Row],[Round]]=2),IF(Games[[#This Row],[Result]]&lt;0.5,1,0),0)</f>
        <v>0</v>
      </c>
      <c r="AI316" s="2">
        <f>IF(AND(Games[[#This Row],[Type]]="P",Games[[#This Row],[Round]]=3),IF(Games[[#This Row],[Result]]&gt;0.5,1,0),0)</f>
        <v>0</v>
      </c>
      <c r="AJ316" s="2">
        <f>IF(AND(Games[[#This Row],[Type]]="P",Games[[#This Row],[Round]]=3),IF(Games[[#This Row],[Result]]&lt;0.5,1,0),0)</f>
        <v>0</v>
      </c>
      <c r="AK316" s="2">
        <f>IF(AND(Games[[#This Row],[Type]]="P",Games[[#This Row],[Round]]=4),IF(Games[[#This Row],[Result]]&gt;0.5,1,0),0)</f>
        <v>0</v>
      </c>
      <c r="AL316" s="2">
        <f>IF(AND(Games[[#This Row],[Type]]="P",Games[[#This Row],[Round]]=4),IF(Games[[#This Row],[Result]]&lt;0.5,1,0),0)</f>
        <v>0</v>
      </c>
    </row>
    <row r="317" spans="1:38" x14ac:dyDescent="0.35">
      <c r="A317" s="10">
        <v>40394</v>
      </c>
      <c r="B317" s="2">
        <v>2010</v>
      </c>
      <c r="C317" s="2">
        <f>COUNTIFS(Games[Team],Games[[#This Row],[Team]],Games[Season],Games[[#This Row],[Season]],Games[Date],"&lt;=" &amp; Games[[#This Row],[Date]])</f>
        <v>26</v>
      </c>
      <c r="D317" s="2" t="s">
        <v>23</v>
      </c>
      <c r="E317" s="2" t="s">
        <v>29</v>
      </c>
      <c r="F317" s="1" t="s">
        <v>67</v>
      </c>
      <c r="G317" s="1" t="s">
        <v>81</v>
      </c>
      <c r="H317" s="1" t="s">
        <v>15</v>
      </c>
      <c r="I317" s="2" cm="1">
        <f t="array" ref="I317">IFERROR(
    Games[[#This Row],[Date]]
    - LOOKUP(
        2,
        1/((Games[Team]=Games[[#This Row],[Team]]) * (Games[Date] &lt; Games[[#This Row],[Date]])),
        Games[Date]
    )
    - 1,
Games[[#This Row],[Date]]-$A$2)</f>
        <v>4</v>
      </c>
      <c r="J317" s="2" cm="1">
        <f t="array" ref="J31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17" s="2">
        <f>Games[[#This Row],[DaysOff]]-Games[[#This Row],[OppDaysOff]]</f>
        <v>2</v>
      </c>
      <c r="L317" s="2">
        <f>Games[[#This Row],[OppDaysOff]]-Games[[#This Row],[DaysOff]]</f>
        <v>-2</v>
      </c>
      <c r="M317" s="1">
        <f>MAX(-16, MIN(16, Games[[#This Row],[RestDiff]]*8))</f>
        <v>16</v>
      </c>
      <c r="N317" s="1">
        <f>MAX(-16, MIN(16, Games[[#This Row],[OppRestDiff]]*8))</f>
        <v>-16</v>
      </c>
      <c r="O317" s="4" cm="1">
        <f t="array" ref="O3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1448.4936285765114</v>
      </c>
      <c r="P317" s="4" cm="1">
        <f t="array" ref="P3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1491.8490046132213</v>
      </c>
      <c r="Q317" s="4">
        <f>1/(1+10^(((Games[[#This Row],[OppPreGmRate]]+IF(Games[[#This Row],[HomeAway]]="A",HCA,0)+Games[[#This Row],[OppRestAdj]])-(Games[[#This Row],[PreGmRate]]+IF(Games[[#This Row],[HomeAway]]="H",HCA,0)+Games[[#This Row],[RestAdj]]))/400))</f>
        <v>0.60304671729650772</v>
      </c>
      <c r="R317" s="1">
        <v>82</v>
      </c>
      <c r="S317" s="1">
        <v>77</v>
      </c>
      <c r="T317" s="1">
        <v>0</v>
      </c>
      <c r="U317" s="1">
        <f>Games[[#This Row],[PointsFor]]-Games[[#This Row],[PointsAgainst]]</f>
        <v>5</v>
      </c>
      <c r="V317" s="1">
        <f>IF(Games[[#This Row],[MOV]]&gt;0,1,IF(Games[[#This Row],[MOV]]=0,0.5,0))</f>
        <v>1</v>
      </c>
      <c r="W317" s="4">
        <f>((ABS(Games[[#This Row],[MOV]])+5)^0.6)/(12+0.01*(ABS(Games[[#This Row],[PreGmRate]]-Games[[#This Row],[OppPreGmRate]])))*IF(Games[[#This Row],[OT]]=1,0.9,1)</f>
        <v>0.32018775824374063</v>
      </c>
      <c r="X317" s="7" cm="1">
        <f t="array" ref="X3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7" s="9">
        <f>MAX(kmin, kmax - 0.15 * MIN(Games[[#This Row],[GamesPlayed]], 82))</f>
        <v>72.099999999999994</v>
      </c>
      <c r="Z317" s="4">
        <f>Games[[#This Row],[K]]*Games[[#This Row],[POMult]]</f>
        <v>72.099999999999994</v>
      </c>
      <c r="AA317" s="4">
        <f>(Games[[#This Row],[Keff]]*Games[[#This Row],[MOVMult]])*(Games[[#This Row],[Result]]-Games[[#This Row],[ExpectedWin%]])</f>
        <v>9.1638798417470326</v>
      </c>
      <c r="AB317" s="4">
        <f>Games[[#This Row],[PreGmRate]]+Games[[#This Row],[RatingChange]]</f>
        <v>1457.6575084182584</v>
      </c>
      <c r="AC317" s="2">
        <f>IF(Games[[#This Row],[Type]]="R",IF(Games[[#This Row],[Result]]&gt;0.5,1,0),0)</f>
        <v>1</v>
      </c>
      <c r="AD317" s="2">
        <f>IF(Games[[#This Row],[Type]]="R",IF(Games[[#This Row],[Result]]&lt;0.5,1,0),0)</f>
        <v>0</v>
      </c>
      <c r="AE317" s="2">
        <f>IF(AND(Games[[#This Row],[Type]]="P",Games[[#This Row],[Round]]=1),IF(Games[[#This Row],[Result]]&gt;0.5,1,0),0)</f>
        <v>0</v>
      </c>
      <c r="AF317" s="2">
        <f>IF(AND(Games[[#This Row],[Type]]="P",Games[[#This Row],[Round]]=1),IF(Games[[#This Row],[Result]]&lt;0.5,1,0),0)</f>
        <v>0</v>
      </c>
      <c r="AG317" s="2">
        <f>IF(AND(Games[[#This Row],[Type]]="P",Games[[#This Row],[Round]]=2),IF(Games[[#This Row],[Result]]&gt;0.5,1,0),0)</f>
        <v>0</v>
      </c>
      <c r="AH317" s="2">
        <f>IF(AND(Games[[#This Row],[Type]]="P",Games[[#This Row],[Round]]=2),IF(Games[[#This Row],[Result]]&lt;0.5,1,0),0)</f>
        <v>0</v>
      </c>
      <c r="AI317" s="2">
        <f>IF(AND(Games[[#This Row],[Type]]="P",Games[[#This Row],[Round]]=3),IF(Games[[#This Row],[Result]]&gt;0.5,1,0),0)</f>
        <v>0</v>
      </c>
      <c r="AJ317" s="2">
        <f>IF(AND(Games[[#This Row],[Type]]="P",Games[[#This Row],[Round]]=3),IF(Games[[#This Row],[Result]]&lt;0.5,1,0),0)</f>
        <v>0</v>
      </c>
      <c r="AK317" s="2">
        <f>IF(AND(Games[[#This Row],[Type]]="P",Games[[#This Row],[Round]]=4),IF(Games[[#This Row],[Result]]&gt;0.5,1,0),0)</f>
        <v>0</v>
      </c>
      <c r="AL317" s="2">
        <f>IF(AND(Games[[#This Row],[Type]]="P",Games[[#This Row],[Round]]=4),IF(Games[[#This Row],[Result]]&lt;0.5,1,0),0)</f>
        <v>0</v>
      </c>
    </row>
    <row r="318" spans="1:38" x14ac:dyDescent="0.35">
      <c r="A318" s="10">
        <v>40395</v>
      </c>
      <c r="B318" s="2">
        <v>2010</v>
      </c>
      <c r="C318" s="2">
        <f>COUNTIFS(Games[Team],Games[[#This Row],[Team]],Games[Season],Games[[#This Row],[Season]],Games[Date],"&lt;=" &amp; Games[[#This Row],[Date]])</f>
        <v>27</v>
      </c>
      <c r="D318" s="2" t="s">
        <v>23</v>
      </c>
      <c r="E318" s="2" t="s">
        <v>29</v>
      </c>
      <c r="F318" s="1" t="s">
        <v>80</v>
      </c>
      <c r="G318" s="1" t="s">
        <v>75</v>
      </c>
      <c r="H318" s="1" t="s">
        <v>16</v>
      </c>
      <c r="I318" s="2" cm="1">
        <f t="array" ref="I31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8" s="2" cm="1">
        <f t="array" ref="J31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8" s="2">
        <f>Games[[#This Row],[DaysOff]]-Games[[#This Row],[OppDaysOff]]</f>
        <v>0</v>
      </c>
      <c r="L318" s="2">
        <f>Games[[#This Row],[OppDaysOff]]-Games[[#This Row],[DaysOff]]</f>
        <v>0</v>
      </c>
      <c r="M318" s="1">
        <f>MAX(-16, MIN(16, Games[[#This Row],[RestDiff]]*8))</f>
        <v>0</v>
      </c>
      <c r="N318" s="1">
        <f>MAX(-16, MIN(16, Games[[#This Row],[OppRestDiff]]*8))</f>
        <v>0</v>
      </c>
      <c r="O318" s="4" cm="1">
        <f t="array" ref="O3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1464.4598325683442</v>
      </c>
      <c r="P318" s="4" cm="1">
        <f t="array" ref="P3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1663.7805992730725</v>
      </c>
      <c r="Q318" s="4">
        <f>1/(1+10^(((Games[[#This Row],[OppPreGmRate]]+IF(Games[[#This Row],[HomeAway]]="A",HCA,0)+Games[[#This Row],[OppRestAdj]])-(Games[[#This Row],[PreGmRate]]+IF(Games[[#This Row],[HomeAway]]="H",HCA,0)+Games[[#This Row],[RestAdj]]))/400))</f>
        <v>0.16370362536090891</v>
      </c>
      <c r="R318" s="1">
        <v>82</v>
      </c>
      <c r="S318" s="1">
        <v>83</v>
      </c>
      <c r="T318" s="1">
        <v>0</v>
      </c>
      <c r="U318" s="1">
        <f>Games[[#This Row],[PointsFor]]-Games[[#This Row],[PointsAgainst]]</f>
        <v>-1</v>
      </c>
      <c r="V318" s="1">
        <f>IF(Games[[#This Row],[MOV]]&gt;0,1,IF(Games[[#This Row],[MOV]]=0,0.5,0))</f>
        <v>0</v>
      </c>
      <c r="W318" s="4">
        <f>((ABS(Games[[#This Row],[MOV]])+5)^0.6)/(12+0.01*(ABS(Games[[#This Row],[PreGmRate]]-Games[[#This Row],[OppPreGmRate]])))*IF(Games[[#This Row],[OT]]=1,0.9,1)</f>
        <v>0.20939845397162005</v>
      </c>
      <c r="X318" s="7" cm="1">
        <f t="array" ref="X3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8" s="9">
        <f>MAX(kmin, kmax - 0.15 * MIN(Games[[#This Row],[GamesPlayed]], 82))</f>
        <v>71.95</v>
      </c>
      <c r="Z318" s="4">
        <f>Games[[#This Row],[K]]*Games[[#This Row],[POMult]]</f>
        <v>71.95</v>
      </c>
      <c r="AA318" s="4">
        <f>(Games[[#This Row],[Keff]]*Games[[#This Row],[MOVMult]])*(Games[[#This Row],[Result]]-Games[[#This Row],[ExpectedWin%]])</f>
        <v>-2.466394632025894</v>
      </c>
      <c r="AB318" s="4">
        <f>Games[[#This Row],[PreGmRate]]+Games[[#This Row],[RatingChange]]</f>
        <v>1461.9934379363183</v>
      </c>
      <c r="AC318" s="2">
        <f>IF(Games[[#This Row],[Type]]="R",IF(Games[[#This Row],[Result]]&gt;0.5,1,0),0)</f>
        <v>0</v>
      </c>
      <c r="AD318" s="2">
        <f>IF(Games[[#This Row],[Type]]="R",IF(Games[[#This Row],[Result]]&lt;0.5,1,0),0)</f>
        <v>1</v>
      </c>
      <c r="AE318" s="2">
        <f>IF(AND(Games[[#This Row],[Type]]="P",Games[[#This Row],[Round]]=1),IF(Games[[#This Row],[Result]]&gt;0.5,1,0),0)</f>
        <v>0</v>
      </c>
      <c r="AF318" s="2">
        <f>IF(AND(Games[[#This Row],[Type]]="P",Games[[#This Row],[Round]]=1),IF(Games[[#This Row],[Result]]&lt;0.5,1,0),0)</f>
        <v>0</v>
      </c>
      <c r="AG318" s="2">
        <f>IF(AND(Games[[#This Row],[Type]]="P",Games[[#This Row],[Round]]=2),IF(Games[[#This Row],[Result]]&gt;0.5,1,0),0)</f>
        <v>0</v>
      </c>
      <c r="AH318" s="2">
        <f>IF(AND(Games[[#This Row],[Type]]="P",Games[[#This Row],[Round]]=2),IF(Games[[#This Row],[Result]]&lt;0.5,1,0),0)</f>
        <v>0</v>
      </c>
      <c r="AI318" s="2">
        <f>IF(AND(Games[[#This Row],[Type]]="P",Games[[#This Row],[Round]]=3),IF(Games[[#This Row],[Result]]&gt;0.5,1,0),0)</f>
        <v>0</v>
      </c>
      <c r="AJ318" s="2">
        <f>IF(AND(Games[[#This Row],[Type]]="P",Games[[#This Row],[Round]]=3),IF(Games[[#This Row],[Result]]&lt;0.5,1,0),0)</f>
        <v>0</v>
      </c>
      <c r="AK318" s="2">
        <f>IF(AND(Games[[#This Row],[Type]]="P",Games[[#This Row],[Round]]=4),IF(Games[[#This Row],[Result]]&gt;0.5,1,0),0)</f>
        <v>0</v>
      </c>
      <c r="AL318" s="2">
        <f>IF(AND(Games[[#This Row],[Type]]="P",Games[[#This Row],[Round]]=4),IF(Games[[#This Row],[Result]]&lt;0.5,1,0),0)</f>
        <v>0</v>
      </c>
    </row>
    <row r="319" spans="1:38" x14ac:dyDescent="0.35">
      <c r="A319" s="10">
        <v>40395</v>
      </c>
      <c r="B319" s="2">
        <v>2010</v>
      </c>
      <c r="C319" s="2">
        <f>COUNTIFS(Games[Team],Games[[#This Row],[Team]],Games[Season],Games[[#This Row],[Season]],Games[Date],"&lt;=" &amp; Games[[#This Row],[Date]])</f>
        <v>27</v>
      </c>
      <c r="D319" s="2" t="s">
        <v>23</v>
      </c>
      <c r="E319" s="2" t="s">
        <v>29</v>
      </c>
      <c r="F319" s="1" t="s">
        <v>75</v>
      </c>
      <c r="G319" s="1" t="s">
        <v>80</v>
      </c>
      <c r="H319" s="1" t="s">
        <v>15</v>
      </c>
      <c r="I319" s="2" cm="1">
        <f t="array" ref="I31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9" s="2" cm="1">
        <f t="array" ref="J31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9" s="2">
        <f>Games[[#This Row],[DaysOff]]-Games[[#This Row],[OppDaysOff]]</f>
        <v>0</v>
      </c>
      <c r="L319" s="2">
        <f>Games[[#This Row],[OppDaysOff]]-Games[[#This Row],[DaysOff]]</f>
        <v>0</v>
      </c>
      <c r="M319" s="1">
        <f>MAX(-16, MIN(16, Games[[#This Row],[RestDiff]]*8))</f>
        <v>0</v>
      </c>
      <c r="N319" s="1">
        <f>MAX(-16, MIN(16, Games[[#This Row],[OppRestDiff]]*8))</f>
        <v>0</v>
      </c>
      <c r="O319" s="4" cm="1">
        <f t="array" ref="O3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1663.7805992730725</v>
      </c>
      <c r="P319" s="4" cm="1">
        <f t="array" ref="P3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1464.4598325683442</v>
      </c>
      <c r="Q319" s="4">
        <f>1/(1+10^(((Games[[#This Row],[OppPreGmRate]]+IF(Games[[#This Row],[HomeAway]]="A",HCA,0)+Games[[#This Row],[OppRestAdj]])-(Games[[#This Row],[PreGmRate]]+IF(Games[[#This Row],[HomeAway]]="H",HCA,0)+Games[[#This Row],[RestAdj]]))/400))</f>
        <v>0.83629637463909112</v>
      </c>
      <c r="R319" s="1">
        <v>83</v>
      </c>
      <c r="S319" s="1">
        <v>82</v>
      </c>
      <c r="T319" s="1">
        <v>0</v>
      </c>
      <c r="U319" s="1">
        <f>Games[[#This Row],[PointsFor]]-Games[[#This Row],[PointsAgainst]]</f>
        <v>1</v>
      </c>
      <c r="V319" s="1">
        <f>IF(Games[[#This Row],[MOV]]&gt;0,1,IF(Games[[#This Row],[MOV]]=0,0.5,0))</f>
        <v>1</v>
      </c>
      <c r="W319" s="4">
        <f>((ABS(Games[[#This Row],[MOV]])+5)^0.6)/(12+0.01*(ABS(Games[[#This Row],[PreGmRate]]-Games[[#This Row],[OppPreGmRate]])))*IF(Games[[#This Row],[OT]]=1,0.9,1)</f>
        <v>0.20939845397162005</v>
      </c>
      <c r="X319" s="7" cm="1">
        <f t="array" ref="X3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9" s="9">
        <f>MAX(kmin, kmax - 0.15 * MIN(Games[[#This Row],[GamesPlayed]], 82))</f>
        <v>71.95</v>
      </c>
      <c r="Z319" s="4">
        <f>Games[[#This Row],[K]]*Games[[#This Row],[POMult]]</f>
        <v>71.95</v>
      </c>
      <c r="AA319" s="4">
        <f>(Games[[#This Row],[Keff]]*Games[[#This Row],[MOVMult]])*(Games[[#This Row],[Result]]-Games[[#This Row],[ExpectedWin%]])</f>
        <v>2.4663946320258936</v>
      </c>
      <c r="AB319" s="4">
        <f>Games[[#This Row],[PreGmRate]]+Games[[#This Row],[RatingChange]]</f>
        <v>1666.2469939050984</v>
      </c>
      <c r="AC319" s="2">
        <f>IF(Games[[#This Row],[Type]]="R",IF(Games[[#This Row],[Result]]&gt;0.5,1,0),0)</f>
        <v>1</v>
      </c>
      <c r="AD319" s="2">
        <f>IF(Games[[#This Row],[Type]]="R",IF(Games[[#This Row],[Result]]&lt;0.5,1,0),0)</f>
        <v>0</v>
      </c>
      <c r="AE319" s="2">
        <f>IF(AND(Games[[#This Row],[Type]]="P",Games[[#This Row],[Round]]=1),IF(Games[[#This Row],[Result]]&gt;0.5,1,0),0)</f>
        <v>0</v>
      </c>
      <c r="AF319" s="2">
        <f>IF(AND(Games[[#This Row],[Type]]="P",Games[[#This Row],[Round]]=1),IF(Games[[#This Row],[Result]]&lt;0.5,1,0),0)</f>
        <v>0</v>
      </c>
      <c r="AG319" s="2">
        <f>IF(AND(Games[[#This Row],[Type]]="P",Games[[#This Row],[Round]]=2),IF(Games[[#This Row],[Result]]&gt;0.5,1,0),0)</f>
        <v>0</v>
      </c>
      <c r="AH319" s="2">
        <f>IF(AND(Games[[#This Row],[Type]]="P",Games[[#This Row],[Round]]=2),IF(Games[[#This Row],[Result]]&lt;0.5,1,0),0)</f>
        <v>0</v>
      </c>
      <c r="AI319" s="2">
        <f>IF(AND(Games[[#This Row],[Type]]="P",Games[[#This Row],[Round]]=3),IF(Games[[#This Row],[Result]]&gt;0.5,1,0),0)</f>
        <v>0</v>
      </c>
      <c r="AJ319" s="2">
        <f>IF(AND(Games[[#This Row],[Type]]="P",Games[[#This Row],[Round]]=3),IF(Games[[#This Row],[Result]]&lt;0.5,1,0),0)</f>
        <v>0</v>
      </c>
      <c r="AK319" s="2">
        <f>IF(AND(Games[[#This Row],[Type]]="P",Games[[#This Row],[Round]]=4),IF(Games[[#This Row],[Result]]&gt;0.5,1,0),0)</f>
        <v>0</v>
      </c>
      <c r="AL319" s="2">
        <f>IF(AND(Games[[#This Row],[Type]]="P",Games[[#This Row],[Round]]=4),IF(Games[[#This Row],[Result]]&lt;0.5,1,0),0)</f>
        <v>0</v>
      </c>
    </row>
    <row r="320" spans="1:38" x14ac:dyDescent="0.35">
      <c r="A320" s="10">
        <v>40396</v>
      </c>
      <c r="B320" s="2">
        <v>2010</v>
      </c>
      <c r="C320" s="2">
        <f>COUNTIFS(Games[Team],Games[[#This Row],[Team]],Games[Season],Games[[#This Row],[Season]],Games[Date],"&lt;=" &amp; Games[[#This Row],[Date]])</f>
        <v>29</v>
      </c>
      <c r="D320" s="2" t="s">
        <v>23</v>
      </c>
      <c r="E320" s="2" t="s">
        <v>29</v>
      </c>
      <c r="F320" s="1" t="s">
        <v>83</v>
      </c>
      <c r="G320" s="1" t="s">
        <v>73</v>
      </c>
      <c r="H320" s="1" t="s">
        <v>16</v>
      </c>
      <c r="I320" s="2" cm="1">
        <f t="array" ref="I320">IFERROR(
    Games[[#This Row],[Date]]
    - LOOKUP(
        2,
        1/((Games[Team]=Games[[#This Row],[Team]]) * (Games[Date] &lt; Games[[#This Row],[Date]])),
        Games[Date]
    )
    - 1,
Games[[#This Row],[Date]]-$A$2)</f>
        <v>2</v>
      </c>
      <c r="J320" s="2" cm="1">
        <f t="array" ref="J32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20" s="2">
        <f>Games[[#This Row],[DaysOff]]-Games[[#This Row],[OppDaysOff]]</f>
        <v>0</v>
      </c>
      <c r="L320" s="2">
        <f>Games[[#This Row],[OppDaysOff]]-Games[[#This Row],[DaysOff]]</f>
        <v>0</v>
      </c>
      <c r="M320" s="1">
        <f>MAX(-16, MIN(16, Games[[#This Row],[RestDiff]]*8))</f>
        <v>0</v>
      </c>
      <c r="N320" s="1">
        <f>MAX(-16, MIN(16, Games[[#This Row],[OppRestDiff]]*8))</f>
        <v>0</v>
      </c>
      <c r="O320" s="4" cm="1">
        <f t="array" ref="O3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1567.1520533737501</v>
      </c>
      <c r="P320" s="4" cm="1">
        <f t="array" ref="P3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1570.3879041807054</v>
      </c>
      <c r="Q320" s="4">
        <f>1/(1+10^(((Games[[#This Row],[OppPreGmRate]]+IF(Games[[#This Row],[HomeAway]]="A",HCA,0)+Games[[#This Row],[OppRestAdj]])-(Games[[#This Row],[PreGmRate]]+IF(Games[[#This Row],[HomeAway]]="H",HCA,0)+Games[[#This Row],[RestAdj]]))/400))</f>
        <v>0.37703086424693871</v>
      </c>
      <c r="R320" s="1">
        <v>93</v>
      </c>
      <c r="S320" s="1">
        <v>95</v>
      </c>
      <c r="T320" s="1">
        <v>0</v>
      </c>
      <c r="U320" s="1">
        <f>Games[[#This Row],[PointsFor]]-Games[[#This Row],[PointsAgainst]]</f>
        <v>-2</v>
      </c>
      <c r="V320" s="1">
        <f>IF(Games[[#This Row],[MOV]]&gt;0,1,IF(Games[[#This Row],[MOV]]=0,0.5,0))</f>
        <v>0</v>
      </c>
      <c r="W320" s="4">
        <f>((ABS(Games[[#This Row],[MOV]])+5)^0.6)/(12+0.01*(ABS(Games[[#This Row],[PreGmRate]]-Games[[#This Row],[OppPreGmRate]])))*IF(Games[[#This Row],[OT]]=1,0.9,1)</f>
        <v>0.26712101767583563</v>
      </c>
      <c r="X320" s="7" cm="1">
        <f t="array" ref="X3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0" s="9">
        <f>MAX(kmin, kmax - 0.15 * MIN(Games[[#This Row],[GamesPlayed]], 82))</f>
        <v>71.650000000000006</v>
      </c>
      <c r="Z320" s="4">
        <f>Games[[#This Row],[K]]*Games[[#This Row],[POMult]]</f>
        <v>71.650000000000006</v>
      </c>
      <c r="AA320" s="4">
        <f>(Games[[#This Row],[Keff]]*Games[[#This Row],[MOVMult]])*(Games[[#This Row],[Result]]-Games[[#This Row],[ExpectedWin%]])</f>
        <v>-7.2160770031511374</v>
      </c>
      <c r="AB320" s="4">
        <f>Games[[#This Row],[PreGmRate]]+Games[[#This Row],[RatingChange]]</f>
        <v>1559.9359763705988</v>
      </c>
      <c r="AC320" s="2">
        <f>IF(Games[[#This Row],[Type]]="R",IF(Games[[#This Row],[Result]]&gt;0.5,1,0),0)</f>
        <v>0</v>
      </c>
      <c r="AD320" s="2">
        <f>IF(Games[[#This Row],[Type]]="R",IF(Games[[#This Row],[Result]]&lt;0.5,1,0),0)</f>
        <v>1</v>
      </c>
      <c r="AE320" s="2">
        <f>IF(AND(Games[[#This Row],[Type]]="P",Games[[#This Row],[Round]]=1),IF(Games[[#This Row],[Result]]&gt;0.5,1,0),0)</f>
        <v>0</v>
      </c>
      <c r="AF320" s="2">
        <f>IF(AND(Games[[#This Row],[Type]]="P",Games[[#This Row],[Round]]=1),IF(Games[[#This Row],[Result]]&lt;0.5,1,0),0)</f>
        <v>0</v>
      </c>
      <c r="AG320" s="2">
        <f>IF(AND(Games[[#This Row],[Type]]="P",Games[[#This Row],[Round]]=2),IF(Games[[#This Row],[Result]]&gt;0.5,1,0),0)</f>
        <v>0</v>
      </c>
      <c r="AH320" s="2">
        <f>IF(AND(Games[[#This Row],[Type]]="P",Games[[#This Row],[Round]]=2),IF(Games[[#This Row],[Result]]&lt;0.5,1,0),0)</f>
        <v>0</v>
      </c>
      <c r="AI320" s="2">
        <f>IF(AND(Games[[#This Row],[Type]]="P",Games[[#This Row],[Round]]=3),IF(Games[[#This Row],[Result]]&gt;0.5,1,0),0)</f>
        <v>0</v>
      </c>
      <c r="AJ320" s="2">
        <f>IF(AND(Games[[#This Row],[Type]]="P",Games[[#This Row],[Round]]=3),IF(Games[[#This Row],[Result]]&lt;0.5,1,0),0)</f>
        <v>0</v>
      </c>
      <c r="AK320" s="2">
        <f>IF(AND(Games[[#This Row],[Type]]="P",Games[[#This Row],[Round]]=4),IF(Games[[#This Row],[Result]]&gt;0.5,1,0),0)</f>
        <v>0</v>
      </c>
      <c r="AL320" s="2">
        <f>IF(AND(Games[[#This Row],[Type]]="P",Games[[#This Row],[Round]]=4),IF(Games[[#This Row],[Result]]&lt;0.5,1,0),0)</f>
        <v>0</v>
      </c>
    </row>
    <row r="321" spans="1:38" x14ac:dyDescent="0.35">
      <c r="A321" s="10">
        <v>40396</v>
      </c>
      <c r="B321" s="2">
        <v>2010</v>
      </c>
      <c r="C321" s="2">
        <f>COUNTIFS(Games[Team],Games[[#This Row],[Team]],Games[Season],Games[[#This Row],[Season]],Games[Date],"&lt;=" &amp; Games[[#This Row],[Date]])</f>
        <v>27</v>
      </c>
      <c r="D321" s="2" t="s">
        <v>23</v>
      </c>
      <c r="E321" s="2" t="s">
        <v>29</v>
      </c>
      <c r="F321" s="1" t="s">
        <v>73</v>
      </c>
      <c r="G321" s="1" t="s">
        <v>83</v>
      </c>
      <c r="H321" s="1" t="s">
        <v>15</v>
      </c>
      <c r="I321" s="2" cm="1">
        <f t="array" ref="I321">IFERROR(
    Games[[#This Row],[Date]]
    - LOOKUP(
        2,
        1/((Games[Team]=Games[[#This Row],[Team]]) * (Games[Date] &lt; Games[[#This Row],[Date]])),
        Games[Date]
    )
    - 1,
Games[[#This Row],[Date]]-$A$2)</f>
        <v>2</v>
      </c>
      <c r="J321" s="2" cm="1">
        <f t="array" ref="J32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21" s="2">
        <f>Games[[#This Row],[DaysOff]]-Games[[#This Row],[OppDaysOff]]</f>
        <v>0</v>
      </c>
      <c r="L321" s="2">
        <f>Games[[#This Row],[OppDaysOff]]-Games[[#This Row],[DaysOff]]</f>
        <v>0</v>
      </c>
      <c r="M321" s="1">
        <f>MAX(-16, MIN(16, Games[[#This Row],[RestDiff]]*8))</f>
        <v>0</v>
      </c>
      <c r="N321" s="1">
        <f>MAX(-16, MIN(16, Games[[#This Row],[OppRestDiff]]*8))</f>
        <v>0</v>
      </c>
      <c r="O321" s="4" cm="1">
        <f t="array" ref="O3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1570.3879041807054</v>
      </c>
      <c r="P321" s="4" cm="1">
        <f t="array" ref="P3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1567.1520533737501</v>
      </c>
      <c r="Q321" s="4">
        <f>1/(1+10^(((Games[[#This Row],[OppPreGmRate]]+IF(Games[[#This Row],[HomeAway]]="A",HCA,0)+Games[[#This Row],[OppRestAdj]])-(Games[[#This Row],[PreGmRate]]+IF(Games[[#This Row],[HomeAway]]="H",HCA,0)+Games[[#This Row],[RestAdj]]))/400))</f>
        <v>0.62296913575306123</v>
      </c>
      <c r="R321" s="1">
        <v>95</v>
      </c>
      <c r="S321" s="1">
        <v>93</v>
      </c>
      <c r="T321" s="1">
        <v>0</v>
      </c>
      <c r="U321" s="1">
        <f>Games[[#This Row],[PointsFor]]-Games[[#This Row],[PointsAgainst]]</f>
        <v>2</v>
      </c>
      <c r="V321" s="1">
        <f>IF(Games[[#This Row],[MOV]]&gt;0,1,IF(Games[[#This Row],[MOV]]=0,0.5,0))</f>
        <v>1</v>
      </c>
      <c r="W321" s="4">
        <f>((ABS(Games[[#This Row],[MOV]])+5)^0.6)/(12+0.01*(ABS(Games[[#This Row],[PreGmRate]]-Games[[#This Row],[OppPreGmRate]])))*IF(Games[[#This Row],[OT]]=1,0.9,1)</f>
        <v>0.26712101767583563</v>
      </c>
      <c r="X321" s="7" cm="1">
        <f t="array" ref="X3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1" s="9">
        <f>MAX(kmin, kmax - 0.15 * MIN(Games[[#This Row],[GamesPlayed]], 82))</f>
        <v>71.95</v>
      </c>
      <c r="Z321" s="4">
        <f>Games[[#This Row],[K]]*Games[[#This Row],[POMult]]</f>
        <v>71.95</v>
      </c>
      <c r="AA321" s="4">
        <f>(Games[[#This Row],[Keff]]*Games[[#This Row],[MOVMult]])*(Games[[#This Row],[Result]]-Games[[#This Row],[ExpectedWin%]])</f>
        <v>7.2462908635969905</v>
      </c>
      <c r="AB321" s="4">
        <f>Games[[#This Row],[PreGmRate]]+Games[[#This Row],[RatingChange]]</f>
        <v>1577.6341950443025</v>
      </c>
      <c r="AC321" s="2">
        <f>IF(Games[[#This Row],[Type]]="R",IF(Games[[#This Row],[Result]]&gt;0.5,1,0),0)</f>
        <v>1</v>
      </c>
      <c r="AD321" s="2">
        <f>IF(Games[[#This Row],[Type]]="R",IF(Games[[#This Row],[Result]]&lt;0.5,1,0),0)</f>
        <v>0</v>
      </c>
      <c r="AE321" s="2">
        <f>IF(AND(Games[[#This Row],[Type]]="P",Games[[#This Row],[Round]]=1),IF(Games[[#This Row],[Result]]&gt;0.5,1,0),0)</f>
        <v>0</v>
      </c>
      <c r="AF321" s="2">
        <f>IF(AND(Games[[#This Row],[Type]]="P",Games[[#This Row],[Round]]=1),IF(Games[[#This Row],[Result]]&lt;0.5,1,0),0)</f>
        <v>0</v>
      </c>
      <c r="AG321" s="2">
        <f>IF(AND(Games[[#This Row],[Type]]="P",Games[[#This Row],[Round]]=2),IF(Games[[#This Row],[Result]]&gt;0.5,1,0),0)</f>
        <v>0</v>
      </c>
      <c r="AH321" s="2">
        <f>IF(AND(Games[[#This Row],[Type]]="P",Games[[#This Row],[Round]]=2),IF(Games[[#This Row],[Result]]&lt;0.5,1,0),0)</f>
        <v>0</v>
      </c>
      <c r="AI321" s="2">
        <f>IF(AND(Games[[#This Row],[Type]]="P",Games[[#This Row],[Round]]=3),IF(Games[[#This Row],[Result]]&gt;0.5,1,0),0)</f>
        <v>0</v>
      </c>
      <c r="AJ321" s="2">
        <f>IF(AND(Games[[#This Row],[Type]]="P",Games[[#This Row],[Round]]=3),IF(Games[[#This Row],[Result]]&lt;0.5,1,0),0)</f>
        <v>0</v>
      </c>
      <c r="AK321" s="2">
        <f>IF(AND(Games[[#This Row],[Type]]="P",Games[[#This Row],[Round]]=4),IF(Games[[#This Row],[Result]]&gt;0.5,1,0),0)</f>
        <v>0</v>
      </c>
      <c r="AL321" s="2">
        <f>IF(AND(Games[[#This Row],[Type]]="P",Games[[#This Row],[Round]]=4),IF(Games[[#This Row],[Result]]&lt;0.5,1,0),0)</f>
        <v>0</v>
      </c>
    </row>
    <row r="322" spans="1:38" x14ac:dyDescent="0.35">
      <c r="A322" s="10">
        <v>40396</v>
      </c>
      <c r="B322" s="2">
        <v>2010</v>
      </c>
      <c r="C322" s="2">
        <f>COUNTIFS(Games[Team],Games[[#This Row],[Team]],Games[Season],Games[[#This Row],[Season]],Games[Date],"&lt;=" &amp; Games[[#This Row],[Date]])</f>
        <v>28</v>
      </c>
      <c r="D322" s="2" t="s">
        <v>23</v>
      </c>
      <c r="E322" s="2" t="s">
        <v>29</v>
      </c>
      <c r="F322" s="1" t="s">
        <v>85</v>
      </c>
      <c r="G322" s="1" t="s">
        <v>67</v>
      </c>
      <c r="H322" s="1" t="s">
        <v>16</v>
      </c>
      <c r="I322" s="2" cm="1">
        <f t="array" ref="I322">IFERROR(
    Games[[#This Row],[Date]]
    - LOOKUP(
        2,
        1/((Games[Team]=Games[[#This Row],[Team]]) * (Games[Date] &lt; Games[[#This Row],[Date]])),
        Games[Date]
    )
    - 1,
Games[[#This Row],[Date]]-$A$2)</f>
        <v>2</v>
      </c>
      <c r="J322" s="2" cm="1">
        <f t="array" ref="J32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2" s="2">
        <f>Games[[#This Row],[DaysOff]]-Games[[#This Row],[OppDaysOff]]</f>
        <v>1</v>
      </c>
      <c r="L322" s="2">
        <f>Games[[#This Row],[OppDaysOff]]-Games[[#This Row],[DaysOff]]</f>
        <v>-1</v>
      </c>
      <c r="M322" s="1">
        <f>MAX(-16, MIN(16, Games[[#This Row],[RestDiff]]*8))</f>
        <v>8</v>
      </c>
      <c r="N322" s="1">
        <f>MAX(-16, MIN(16, Games[[#This Row],[OppRestDiff]]*8))</f>
        <v>-8</v>
      </c>
      <c r="O322" s="4" cm="1">
        <f t="array" ref="O3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1316.9924832266277</v>
      </c>
      <c r="P322" s="4" cm="1">
        <f t="array" ref="P3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1457.6575084182584</v>
      </c>
      <c r="Q322" s="4">
        <f>1/(1+10^(((Games[[#This Row],[OppPreGmRate]]+IF(Games[[#This Row],[HomeAway]]="A",HCA,0)+Games[[#This Row],[OppRestAdj]])-(Games[[#This Row],[PreGmRate]]+IF(Games[[#This Row],[HomeAway]]="H",HCA,0)+Games[[#This Row],[RestAdj]]))/400))</f>
        <v>0.23126671141675226</v>
      </c>
      <c r="R322" s="1">
        <v>70</v>
      </c>
      <c r="S322" s="1">
        <v>77</v>
      </c>
      <c r="T322" s="1">
        <v>0</v>
      </c>
      <c r="U322" s="1">
        <f>Games[[#This Row],[PointsFor]]-Games[[#This Row],[PointsAgainst]]</f>
        <v>-7</v>
      </c>
      <c r="V322" s="1">
        <f>IF(Games[[#This Row],[MOV]]&gt;0,1,IF(Games[[#This Row],[MOV]]=0,0.5,0))</f>
        <v>0</v>
      </c>
      <c r="W322" s="4">
        <f>((ABS(Games[[#This Row],[MOV]])+5)^0.6)/(12+0.01*(ABS(Games[[#This Row],[PreGmRate]]-Games[[#This Row],[OppPreGmRate]])))*IF(Games[[#This Row],[OT]]=1,0.9,1)</f>
        <v>0.33127485139034007</v>
      </c>
      <c r="X322" s="7" cm="1">
        <f t="array" ref="X3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2" s="9">
        <f>MAX(kmin, kmax - 0.15 * MIN(Games[[#This Row],[GamesPlayed]], 82))</f>
        <v>71.8</v>
      </c>
      <c r="Z322" s="4">
        <f>Games[[#This Row],[K]]*Games[[#This Row],[POMult]]</f>
        <v>71.8</v>
      </c>
      <c r="AA322" s="4">
        <f>(Games[[#This Row],[Keff]]*Games[[#This Row],[MOVMult]])*(Games[[#This Row],[Result]]-Games[[#This Row],[ExpectedWin%]])</f>
        <v>-5.5008023037492197</v>
      </c>
      <c r="AB322" s="4">
        <f>Games[[#This Row],[PreGmRate]]+Games[[#This Row],[RatingChange]]</f>
        <v>1311.4916809228785</v>
      </c>
      <c r="AC322" s="2">
        <f>IF(Games[[#This Row],[Type]]="R",IF(Games[[#This Row],[Result]]&gt;0.5,1,0),0)</f>
        <v>0</v>
      </c>
      <c r="AD322" s="2">
        <f>IF(Games[[#This Row],[Type]]="R",IF(Games[[#This Row],[Result]]&lt;0.5,1,0),0)</f>
        <v>1</v>
      </c>
      <c r="AE322" s="2">
        <f>IF(AND(Games[[#This Row],[Type]]="P",Games[[#This Row],[Round]]=1),IF(Games[[#This Row],[Result]]&gt;0.5,1,0),0)</f>
        <v>0</v>
      </c>
      <c r="AF322" s="2">
        <f>IF(AND(Games[[#This Row],[Type]]="P",Games[[#This Row],[Round]]=1),IF(Games[[#This Row],[Result]]&lt;0.5,1,0),0)</f>
        <v>0</v>
      </c>
      <c r="AG322" s="2">
        <f>IF(AND(Games[[#This Row],[Type]]="P",Games[[#This Row],[Round]]=2),IF(Games[[#This Row],[Result]]&gt;0.5,1,0),0)</f>
        <v>0</v>
      </c>
      <c r="AH322" s="2">
        <f>IF(AND(Games[[#This Row],[Type]]="P",Games[[#This Row],[Round]]=2),IF(Games[[#This Row],[Result]]&lt;0.5,1,0),0)</f>
        <v>0</v>
      </c>
      <c r="AI322" s="2">
        <f>IF(AND(Games[[#This Row],[Type]]="P",Games[[#This Row],[Round]]=3),IF(Games[[#This Row],[Result]]&gt;0.5,1,0),0)</f>
        <v>0</v>
      </c>
      <c r="AJ322" s="2">
        <f>IF(AND(Games[[#This Row],[Type]]="P",Games[[#This Row],[Round]]=3),IF(Games[[#This Row],[Result]]&lt;0.5,1,0),0)</f>
        <v>0</v>
      </c>
      <c r="AK322" s="2">
        <f>IF(AND(Games[[#This Row],[Type]]="P",Games[[#This Row],[Round]]=4),IF(Games[[#This Row],[Result]]&gt;0.5,1,0),0)</f>
        <v>0</v>
      </c>
      <c r="AL322" s="2">
        <f>IF(AND(Games[[#This Row],[Type]]="P",Games[[#This Row],[Round]]=4),IF(Games[[#This Row],[Result]]&lt;0.5,1,0),0)</f>
        <v>0</v>
      </c>
    </row>
    <row r="323" spans="1:38" x14ac:dyDescent="0.35">
      <c r="A323" s="10">
        <v>40396</v>
      </c>
      <c r="B323" s="2">
        <v>2010</v>
      </c>
      <c r="C323" s="2">
        <f>COUNTIFS(Games[Team],Games[[#This Row],[Team]],Games[Season],Games[[#This Row],[Season]],Games[Date],"&lt;=" &amp; Games[[#This Row],[Date]])</f>
        <v>27</v>
      </c>
      <c r="D323" s="2" t="s">
        <v>23</v>
      </c>
      <c r="E323" s="2" t="s">
        <v>29</v>
      </c>
      <c r="F323" s="1" t="s">
        <v>67</v>
      </c>
      <c r="G323" s="1" t="s">
        <v>85</v>
      </c>
      <c r="H323" s="1" t="s">
        <v>15</v>
      </c>
      <c r="I323" s="2" cm="1">
        <f t="array" ref="I32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3" s="2" cm="1">
        <f t="array" ref="J32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23" s="2">
        <f>Games[[#This Row],[DaysOff]]-Games[[#This Row],[OppDaysOff]]</f>
        <v>-1</v>
      </c>
      <c r="L323" s="2">
        <f>Games[[#This Row],[OppDaysOff]]-Games[[#This Row],[DaysOff]]</f>
        <v>1</v>
      </c>
      <c r="M323" s="1">
        <f>MAX(-16, MIN(16, Games[[#This Row],[RestDiff]]*8))</f>
        <v>-8</v>
      </c>
      <c r="N323" s="1">
        <f>MAX(-16, MIN(16, Games[[#This Row],[OppRestDiff]]*8))</f>
        <v>8</v>
      </c>
      <c r="O323" s="4" cm="1">
        <f t="array" ref="O3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1457.6575084182584</v>
      </c>
      <c r="P323" s="4" cm="1">
        <f t="array" ref="P3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1316.9924832266277</v>
      </c>
      <c r="Q323" s="4">
        <f>1/(1+10^(((Games[[#This Row],[OppPreGmRate]]+IF(Games[[#This Row],[HomeAway]]="A",HCA,0)+Games[[#This Row],[OppRestAdj]])-(Games[[#This Row],[PreGmRate]]+IF(Games[[#This Row],[HomeAway]]="H",HCA,0)+Games[[#This Row],[RestAdj]]))/400))</f>
        <v>0.76873328858324774</v>
      </c>
      <c r="R323" s="1">
        <v>77</v>
      </c>
      <c r="S323" s="1">
        <v>70</v>
      </c>
      <c r="T323" s="1">
        <v>0</v>
      </c>
      <c r="U323" s="1">
        <f>Games[[#This Row],[PointsFor]]-Games[[#This Row],[PointsAgainst]]</f>
        <v>7</v>
      </c>
      <c r="V323" s="1">
        <f>IF(Games[[#This Row],[MOV]]&gt;0,1,IF(Games[[#This Row],[MOV]]=0,0.5,0))</f>
        <v>1</v>
      </c>
      <c r="W323" s="4">
        <f>((ABS(Games[[#This Row],[MOV]])+5)^0.6)/(12+0.01*(ABS(Games[[#This Row],[PreGmRate]]-Games[[#This Row],[OppPreGmRate]])))*IF(Games[[#This Row],[OT]]=1,0.9,1)</f>
        <v>0.33127485139034007</v>
      </c>
      <c r="X323" s="7" cm="1">
        <f t="array" ref="X3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3" s="9">
        <f>MAX(kmin, kmax - 0.15 * MIN(Games[[#This Row],[GamesPlayed]], 82))</f>
        <v>71.95</v>
      </c>
      <c r="Z323" s="4">
        <f>Games[[#This Row],[K]]*Games[[#This Row],[POMult]]</f>
        <v>71.95</v>
      </c>
      <c r="AA323" s="4">
        <f>(Games[[#This Row],[Keff]]*Games[[#This Row],[MOVMult]])*(Games[[#This Row],[Result]]-Games[[#This Row],[ExpectedWin%]])</f>
        <v>5.5122942305676377</v>
      </c>
      <c r="AB323" s="4">
        <f>Games[[#This Row],[PreGmRate]]+Games[[#This Row],[RatingChange]]</f>
        <v>1463.1698026488261</v>
      </c>
      <c r="AC323" s="2">
        <f>IF(Games[[#This Row],[Type]]="R",IF(Games[[#This Row],[Result]]&gt;0.5,1,0),0)</f>
        <v>1</v>
      </c>
      <c r="AD323" s="2">
        <f>IF(Games[[#This Row],[Type]]="R",IF(Games[[#This Row],[Result]]&lt;0.5,1,0),0)</f>
        <v>0</v>
      </c>
      <c r="AE323" s="2">
        <f>IF(AND(Games[[#This Row],[Type]]="P",Games[[#This Row],[Round]]=1),IF(Games[[#This Row],[Result]]&gt;0.5,1,0),0)</f>
        <v>0</v>
      </c>
      <c r="AF323" s="2">
        <f>IF(AND(Games[[#This Row],[Type]]="P",Games[[#This Row],[Round]]=1),IF(Games[[#This Row],[Result]]&lt;0.5,1,0),0)</f>
        <v>0</v>
      </c>
      <c r="AG323" s="2">
        <f>IF(AND(Games[[#This Row],[Type]]="P",Games[[#This Row],[Round]]=2),IF(Games[[#This Row],[Result]]&gt;0.5,1,0),0)</f>
        <v>0</v>
      </c>
      <c r="AH323" s="2">
        <f>IF(AND(Games[[#This Row],[Type]]="P",Games[[#This Row],[Round]]=2),IF(Games[[#This Row],[Result]]&lt;0.5,1,0),0)</f>
        <v>0</v>
      </c>
      <c r="AI323" s="2">
        <f>IF(AND(Games[[#This Row],[Type]]="P",Games[[#This Row],[Round]]=3),IF(Games[[#This Row],[Result]]&gt;0.5,1,0),0)</f>
        <v>0</v>
      </c>
      <c r="AJ323" s="2">
        <f>IF(AND(Games[[#This Row],[Type]]="P",Games[[#This Row],[Round]]=3),IF(Games[[#This Row],[Result]]&lt;0.5,1,0),0)</f>
        <v>0</v>
      </c>
      <c r="AK323" s="2">
        <f>IF(AND(Games[[#This Row],[Type]]="P",Games[[#This Row],[Round]]=4),IF(Games[[#This Row],[Result]]&gt;0.5,1,0),0)</f>
        <v>0</v>
      </c>
      <c r="AL323" s="2">
        <f>IF(AND(Games[[#This Row],[Type]]="P",Games[[#This Row],[Round]]=4),IF(Games[[#This Row],[Result]]&lt;0.5,1,0),0)</f>
        <v>0</v>
      </c>
    </row>
    <row r="324" spans="1:38" x14ac:dyDescent="0.35">
      <c r="A324" s="10">
        <v>40396</v>
      </c>
      <c r="B324" s="2">
        <v>2010</v>
      </c>
      <c r="C324" s="2">
        <f>COUNTIFS(Games[Team],Games[[#This Row],[Team]],Games[Season],Games[[#This Row],[Season]],Games[Date],"&lt;=" &amp; Games[[#This Row],[Date]])</f>
        <v>27</v>
      </c>
      <c r="D324" s="2" t="s">
        <v>23</v>
      </c>
      <c r="E324" s="2" t="s">
        <v>29</v>
      </c>
      <c r="F324" s="1" t="s">
        <v>69</v>
      </c>
      <c r="G324" s="1" t="s">
        <v>64</v>
      </c>
      <c r="H324" s="1" t="s">
        <v>16</v>
      </c>
      <c r="I324" s="2" cm="1">
        <f t="array" ref="I324">IFERROR(
    Games[[#This Row],[Date]]
    - LOOKUP(
        2,
        1/((Games[Team]=Games[[#This Row],[Team]]) * (Games[Date] &lt; Games[[#This Row],[Date]])),
        Games[Date]
    )
    - 1,
Games[[#This Row],[Date]]-$A$2)</f>
        <v>2</v>
      </c>
      <c r="J324" s="2" cm="1">
        <f t="array" ref="J32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24" s="2">
        <f>Games[[#This Row],[DaysOff]]-Games[[#This Row],[OppDaysOff]]</f>
        <v>0</v>
      </c>
      <c r="L324" s="2">
        <f>Games[[#This Row],[OppDaysOff]]-Games[[#This Row],[DaysOff]]</f>
        <v>0</v>
      </c>
      <c r="M324" s="1">
        <f>MAX(-16, MIN(16, Games[[#This Row],[RestDiff]]*8))</f>
        <v>0</v>
      </c>
      <c r="N324" s="1">
        <f>MAX(-16, MIN(16, Games[[#This Row],[OppRestDiff]]*8))</f>
        <v>0</v>
      </c>
      <c r="O324" s="4" cm="1">
        <f t="array" ref="O3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1551.3673467148217</v>
      </c>
      <c r="P324" s="4" cm="1">
        <f t="array" ref="P3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1561.7202278068426</v>
      </c>
      <c r="Q324" s="4">
        <f>1/(1+10^(((Games[[#This Row],[OppPreGmRate]]+IF(Games[[#This Row],[HomeAway]]="A",HCA,0)+Games[[#This Row],[OppRestAdj]])-(Games[[#This Row],[PreGmRate]]+IF(Games[[#This Row],[HomeAway]]="H",HCA,0)+Games[[#This Row],[RestAdj]]))/400))</f>
        <v>0.36745770979463477</v>
      </c>
      <c r="R324" s="1">
        <v>77</v>
      </c>
      <c r="S324" s="1">
        <v>85</v>
      </c>
      <c r="T324" s="1">
        <v>0</v>
      </c>
      <c r="U324" s="1">
        <f>Games[[#This Row],[PointsFor]]-Games[[#This Row],[PointsAgainst]]</f>
        <v>-8</v>
      </c>
      <c r="V324" s="1">
        <f>IF(Games[[#This Row],[MOV]]&gt;0,1,IF(Games[[#This Row],[MOV]]=0,0.5,0))</f>
        <v>0</v>
      </c>
      <c r="W324" s="4">
        <f>((ABS(Games[[#This Row],[MOV]])+5)^0.6)/(12+0.01*(ABS(Games[[#This Row],[PreGmRate]]-Games[[#This Row],[OppPreGmRate]])))*IF(Games[[#This Row],[OT]]=1,0.9,1)</f>
        <v>0.38499403709700353</v>
      </c>
      <c r="X324" s="7" cm="1">
        <f t="array" ref="X3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4" s="9">
        <f>MAX(kmin, kmax - 0.15 * MIN(Games[[#This Row],[GamesPlayed]], 82))</f>
        <v>71.95</v>
      </c>
      <c r="Z324" s="4">
        <f>Games[[#This Row],[K]]*Games[[#This Row],[POMult]]</f>
        <v>71.95</v>
      </c>
      <c r="AA324" s="4">
        <f>(Games[[#This Row],[Keff]]*Games[[#This Row],[MOVMult]])*(Games[[#This Row],[Result]]-Games[[#This Row],[ExpectedWin%]])</f>
        <v>-10.178696503892589</v>
      </c>
      <c r="AB324" s="4">
        <f>Games[[#This Row],[PreGmRate]]+Games[[#This Row],[RatingChange]]</f>
        <v>1541.1886502109292</v>
      </c>
      <c r="AC324" s="2">
        <f>IF(Games[[#This Row],[Type]]="R",IF(Games[[#This Row],[Result]]&gt;0.5,1,0),0)</f>
        <v>0</v>
      </c>
      <c r="AD324" s="2">
        <f>IF(Games[[#This Row],[Type]]="R",IF(Games[[#This Row],[Result]]&lt;0.5,1,0),0)</f>
        <v>1</v>
      </c>
      <c r="AE324" s="2">
        <f>IF(AND(Games[[#This Row],[Type]]="P",Games[[#This Row],[Round]]=1),IF(Games[[#This Row],[Result]]&gt;0.5,1,0),0)</f>
        <v>0</v>
      </c>
      <c r="AF324" s="2">
        <f>IF(AND(Games[[#This Row],[Type]]="P",Games[[#This Row],[Round]]=1),IF(Games[[#This Row],[Result]]&lt;0.5,1,0),0)</f>
        <v>0</v>
      </c>
      <c r="AG324" s="2">
        <f>IF(AND(Games[[#This Row],[Type]]="P",Games[[#This Row],[Round]]=2),IF(Games[[#This Row],[Result]]&gt;0.5,1,0),0)</f>
        <v>0</v>
      </c>
      <c r="AH324" s="2">
        <f>IF(AND(Games[[#This Row],[Type]]="P",Games[[#This Row],[Round]]=2),IF(Games[[#This Row],[Result]]&lt;0.5,1,0),0)</f>
        <v>0</v>
      </c>
      <c r="AI324" s="2">
        <f>IF(AND(Games[[#This Row],[Type]]="P",Games[[#This Row],[Round]]=3),IF(Games[[#This Row],[Result]]&gt;0.5,1,0),0)</f>
        <v>0</v>
      </c>
      <c r="AJ324" s="2">
        <f>IF(AND(Games[[#This Row],[Type]]="P",Games[[#This Row],[Round]]=3),IF(Games[[#This Row],[Result]]&lt;0.5,1,0),0)</f>
        <v>0</v>
      </c>
      <c r="AK324" s="2">
        <f>IF(AND(Games[[#This Row],[Type]]="P",Games[[#This Row],[Round]]=4),IF(Games[[#This Row],[Result]]&gt;0.5,1,0),0)</f>
        <v>0</v>
      </c>
      <c r="AL324" s="2">
        <f>IF(AND(Games[[#This Row],[Type]]="P",Games[[#This Row],[Round]]=4),IF(Games[[#This Row],[Result]]&lt;0.5,1,0),0)</f>
        <v>0</v>
      </c>
    </row>
    <row r="325" spans="1:38" x14ac:dyDescent="0.35">
      <c r="A325" s="10">
        <v>40396</v>
      </c>
      <c r="B325" s="2">
        <v>2010</v>
      </c>
      <c r="C325" s="2">
        <f>COUNTIFS(Games[Team],Games[[#This Row],[Team]],Games[Season],Games[[#This Row],[Season]],Games[Date],"&lt;=" &amp; Games[[#This Row],[Date]])</f>
        <v>27</v>
      </c>
      <c r="D325" s="2" t="s">
        <v>23</v>
      </c>
      <c r="E325" s="2" t="s">
        <v>29</v>
      </c>
      <c r="F325" s="1" t="s">
        <v>64</v>
      </c>
      <c r="G325" s="1" t="s">
        <v>69</v>
      </c>
      <c r="H325" s="1" t="s">
        <v>15</v>
      </c>
      <c r="I325" s="2" cm="1">
        <f t="array" ref="I325">IFERROR(
    Games[[#This Row],[Date]]
    - LOOKUP(
        2,
        1/((Games[Team]=Games[[#This Row],[Team]]) * (Games[Date] &lt; Games[[#This Row],[Date]])),
        Games[Date]
    )
    - 1,
Games[[#This Row],[Date]]-$A$2)</f>
        <v>2</v>
      </c>
      <c r="J325" s="2" cm="1">
        <f t="array" ref="J32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25" s="2">
        <f>Games[[#This Row],[DaysOff]]-Games[[#This Row],[OppDaysOff]]</f>
        <v>0</v>
      </c>
      <c r="L325" s="2">
        <f>Games[[#This Row],[OppDaysOff]]-Games[[#This Row],[DaysOff]]</f>
        <v>0</v>
      </c>
      <c r="M325" s="1">
        <f>MAX(-16, MIN(16, Games[[#This Row],[RestDiff]]*8))</f>
        <v>0</v>
      </c>
      <c r="N325" s="1">
        <f>MAX(-16, MIN(16, Games[[#This Row],[OppRestDiff]]*8))</f>
        <v>0</v>
      </c>
      <c r="O325" s="4" cm="1">
        <f t="array" ref="O3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1561.7202278068426</v>
      </c>
      <c r="P325" s="4" cm="1">
        <f t="array" ref="P3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1551.3673467148217</v>
      </c>
      <c r="Q325" s="4">
        <f>1/(1+10^(((Games[[#This Row],[OppPreGmRate]]+IF(Games[[#This Row],[HomeAway]]="A",HCA,0)+Games[[#This Row],[OppRestAdj]])-(Games[[#This Row],[PreGmRate]]+IF(Games[[#This Row],[HomeAway]]="H",HCA,0)+Games[[#This Row],[RestAdj]]))/400))</f>
        <v>0.63254229020536512</v>
      </c>
      <c r="R325" s="1">
        <v>85</v>
      </c>
      <c r="S325" s="1">
        <v>77</v>
      </c>
      <c r="T325" s="1">
        <v>0</v>
      </c>
      <c r="U325" s="1">
        <f>Games[[#This Row],[PointsFor]]-Games[[#This Row],[PointsAgainst]]</f>
        <v>8</v>
      </c>
      <c r="V325" s="1">
        <f>IF(Games[[#This Row],[MOV]]&gt;0,1,IF(Games[[#This Row],[MOV]]=0,0.5,0))</f>
        <v>1</v>
      </c>
      <c r="W325" s="4">
        <f>((ABS(Games[[#This Row],[MOV]])+5)^0.6)/(12+0.01*(ABS(Games[[#This Row],[PreGmRate]]-Games[[#This Row],[OppPreGmRate]])))*IF(Games[[#This Row],[OT]]=1,0.9,1)</f>
        <v>0.38499403709700353</v>
      </c>
      <c r="X325" s="7" cm="1">
        <f t="array" ref="X3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5" s="9">
        <f>MAX(kmin, kmax - 0.15 * MIN(Games[[#This Row],[GamesPlayed]], 82))</f>
        <v>71.95</v>
      </c>
      <c r="Z325" s="4">
        <f>Games[[#This Row],[K]]*Games[[#This Row],[POMult]]</f>
        <v>71.95</v>
      </c>
      <c r="AA325" s="4">
        <f>(Games[[#This Row],[Keff]]*Games[[#This Row],[MOVMult]])*(Games[[#This Row],[Result]]-Games[[#This Row],[ExpectedWin%]])</f>
        <v>10.178696503892592</v>
      </c>
      <c r="AB325" s="4">
        <f>Games[[#This Row],[PreGmRate]]+Games[[#This Row],[RatingChange]]</f>
        <v>1571.8989243107351</v>
      </c>
      <c r="AC325" s="2">
        <f>IF(Games[[#This Row],[Type]]="R",IF(Games[[#This Row],[Result]]&gt;0.5,1,0),0)</f>
        <v>1</v>
      </c>
      <c r="AD325" s="2">
        <f>IF(Games[[#This Row],[Type]]="R",IF(Games[[#This Row],[Result]]&lt;0.5,1,0),0)</f>
        <v>0</v>
      </c>
      <c r="AE325" s="2">
        <f>IF(AND(Games[[#This Row],[Type]]="P",Games[[#This Row],[Round]]=1),IF(Games[[#This Row],[Result]]&gt;0.5,1,0),0)</f>
        <v>0</v>
      </c>
      <c r="AF325" s="2">
        <f>IF(AND(Games[[#This Row],[Type]]="P",Games[[#This Row],[Round]]=1),IF(Games[[#This Row],[Result]]&lt;0.5,1,0),0)</f>
        <v>0</v>
      </c>
      <c r="AG325" s="2">
        <f>IF(AND(Games[[#This Row],[Type]]="P",Games[[#This Row],[Round]]=2),IF(Games[[#This Row],[Result]]&gt;0.5,1,0),0)</f>
        <v>0</v>
      </c>
      <c r="AH325" s="2">
        <f>IF(AND(Games[[#This Row],[Type]]="P",Games[[#This Row],[Round]]=2),IF(Games[[#This Row],[Result]]&lt;0.5,1,0),0)</f>
        <v>0</v>
      </c>
      <c r="AI325" s="2">
        <f>IF(AND(Games[[#This Row],[Type]]="P",Games[[#This Row],[Round]]=3),IF(Games[[#This Row],[Result]]&gt;0.5,1,0),0)</f>
        <v>0</v>
      </c>
      <c r="AJ325" s="2">
        <f>IF(AND(Games[[#This Row],[Type]]="P",Games[[#This Row],[Round]]=3),IF(Games[[#This Row],[Result]]&lt;0.5,1,0),0)</f>
        <v>0</v>
      </c>
      <c r="AK325" s="2">
        <f>IF(AND(Games[[#This Row],[Type]]="P",Games[[#This Row],[Round]]=4),IF(Games[[#This Row],[Result]]&gt;0.5,1,0),0)</f>
        <v>0</v>
      </c>
      <c r="AL325" s="2">
        <f>IF(AND(Games[[#This Row],[Type]]="P",Games[[#This Row],[Round]]=4),IF(Games[[#This Row],[Result]]&lt;0.5,1,0),0)</f>
        <v>0</v>
      </c>
    </row>
    <row r="326" spans="1:38" x14ac:dyDescent="0.35">
      <c r="A326" s="10">
        <v>40396</v>
      </c>
      <c r="B326" s="2">
        <v>2010</v>
      </c>
      <c r="C326" s="2">
        <f>COUNTIFS(Games[Team],Games[[#This Row],[Team]],Games[Season],Games[[#This Row],[Season]],Games[Date],"&lt;=" &amp; Games[[#This Row],[Date]])</f>
        <v>27</v>
      </c>
      <c r="D326" s="2" t="s">
        <v>23</v>
      </c>
      <c r="E326" s="2" t="s">
        <v>29</v>
      </c>
      <c r="F326" s="1" t="s">
        <v>78</v>
      </c>
      <c r="G326" s="1" t="s">
        <v>44</v>
      </c>
      <c r="H326" s="1" t="s">
        <v>16</v>
      </c>
      <c r="I326" s="2" cm="1">
        <f t="array" ref="I326">IFERROR(
    Games[[#This Row],[Date]]
    - LOOKUP(
        2,
        1/((Games[Team]=Games[[#This Row],[Team]]) * (Games[Date] &lt; Games[[#This Row],[Date]])),
        Games[Date]
    )
    - 1,
Games[[#This Row],[Date]]-$A$2)</f>
        <v>2</v>
      </c>
      <c r="J326" s="2" cm="1">
        <f t="array" ref="J32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26" s="2">
        <f>Games[[#This Row],[DaysOff]]-Games[[#This Row],[OppDaysOff]]</f>
        <v>0</v>
      </c>
      <c r="L326" s="2">
        <f>Games[[#This Row],[OppDaysOff]]-Games[[#This Row],[DaysOff]]</f>
        <v>0</v>
      </c>
      <c r="M326" s="1">
        <f>MAX(-16, MIN(16, Games[[#This Row],[RestDiff]]*8))</f>
        <v>0</v>
      </c>
      <c r="N326" s="1">
        <f>MAX(-16, MIN(16, Games[[#This Row],[OppRestDiff]]*8))</f>
        <v>0</v>
      </c>
      <c r="O326" s="4" cm="1">
        <f t="array" ref="O3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1432.4484042700178</v>
      </c>
      <c r="P326" s="4" cm="1">
        <f t="array" ref="P3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1561.8866352075497</v>
      </c>
      <c r="Q326" s="4">
        <f>1/(1+10^(((Games[[#This Row],[OppPreGmRate]]+IF(Games[[#This Row],[HomeAway]]="A",HCA,0)+Games[[#This Row],[OppRestAdj]])-(Games[[#This Row],[PreGmRate]]+IF(Games[[#This Row],[HomeAway]]="H",HCA,0)+Games[[#This Row],[RestAdj]]))/400))</f>
        <v>0.2264179308989088</v>
      </c>
      <c r="R326" s="1">
        <v>87</v>
      </c>
      <c r="S326" s="1">
        <v>103</v>
      </c>
      <c r="T326" s="1">
        <v>0</v>
      </c>
      <c r="U326" s="1">
        <f>Games[[#This Row],[PointsFor]]-Games[[#This Row],[PointsAgainst]]</f>
        <v>-16</v>
      </c>
      <c r="V326" s="1">
        <f>IF(Games[[#This Row],[MOV]]&gt;0,1,IF(Games[[#This Row],[MOV]]=0,0.5,0))</f>
        <v>0</v>
      </c>
      <c r="W326" s="4">
        <f>((ABS(Games[[#This Row],[MOV]])+5)^0.6)/(12+0.01*(ABS(Games[[#This Row],[PreGmRate]]-Games[[#This Row],[OppPreGmRate]])))*IF(Games[[#This Row],[OT]]=1,0.9,1)</f>
        <v>0.46737277767158641</v>
      </c>
      <c r="X326" s="7" cm="1">
        <f t="array" ref="X3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6" s="9">
        <f>MAX(kmin, kmax - 0.15 * MIN(Games[[#This Row],[GamesPlayed]], 82))</f>
        <v>71.95</v>
      </c>
      <c r="Z326" s="4">
        <f>Games[[#This Row],[K]]*Games[[#This Row],[POMult]]</f>
        <v>71.95</v>
      </c>
      <c r="AA326" s="4">
        <f>(Games[[#This Row],[Keff]]*Games[[#This Row],[MOVMult]])*(Games[[#This Row],[Result]]-Games[[#This Row],[ExpectedWin%]])</f>
        <v>-7.6138624852151517</v>
      </c>
      <c r="AB326" s="4">
        <f>Games[[#This Row],[PreGmRate]]+Games[[#This Row],[RatingChange]]</f>
        <v>1424.8345417848027</v>
      </c>
      <c r="AC326" s="2">
        <f>IF(Games[[#This Row],[Type]]="R",IF(Games[[#This Row],[Result]]&gt;0.5,1,0),0)</f>
        <v>0</v>
      </c>
      <c r="AD326" s="2">
        <f>IF(Games[[#This Row],[Type]]="R",IF(Games[[#This Row],[Result]]&lt;0.5,1,0),0)</f>
        <v>1</v>
      </c>
      <c r="AE326" s="2">
        <f>IF(AND(Games[[#This Row],[Type]]="P",Games[[#This Row],[Round]]=1),IF(Games[[#This Row],[Result]]&gt;0.5,1,0),0)</f>
        <v>0</v>
      </c>
      <c r="AF326" s="2">
        <f>IF(AND(Games[[#This Row],[Type]]="P",Games[[#This Row],[Round]]=1),IF(Games[[#This Row],[Result]]&lt;0.5,1,0),0)</f>
        <v>0</v>
      </c>
      <c r="AG326" s="2">
        <f>IF(AND(Games[[#This Row],[Type]]="P",Games[[#This Row],[Round]]=2),IF(Games[[#This Row],[Result]]&gt;0.5,1,0),0)</f>
        <v>0</v>
      </c>
      <c r="AH326" s="2">
        <f>IF(AND(Games[[#This Row],[Type]]="P",Games[[#This Row],[Round]]=2),IF(Games[[#This Row],[Result]]&lt;0.5,1,0),0)</f>
        <v>0</v>
      </c>
      <c r="AI326" s="2">
        <f>IF(AND(Games[[#This Row],[Type]]="P",Games[[#This Row],[Round]]=3),IF(Games[[#This Row],[Result]]&gt;0.5,1,0),0)</f>
        <v>0</v>
      </c>
      <c r="AJ326" s="2">
        <f>IF(AND(Games[[#This Row],[Type]]="P",Games[[#This Row],[Round]]=3),IF(Games[[#This Row],[Result]]&lt;0.5,1,0),0)</f>
        <v>0</v>
      </c>
      <c r="AK326" s="2">
        <f>IF(AND(Games[[#This Row],[Type]]="P",Games[[#This Row],[Round]]=4),IF(Games[[#This Row],[Result]]&gt;0.5,1,0),0)</f>
        <v>0</v>
      </c>
      <c r="AL326" s="2">
        <f>IF(AND(Games[[#This Row],[Type]]="P",Games[[#This Row],[Round]]=4),IF(Games[[#This Row],[Result]]&lt;0.5,1,0),0)</f>
        <v>0</v>
      </c>
    </row>
    <row r="327" spans="1:38" x14ac:dyDescent="0.35">
      <c r="A327" s="10">
        <v>40396</v>
      </c>
      <c r="B327" s="2">
        <v>2010</v>
      </c>
      <c r="C327" s="2">
        <f>COUNTIFS(Games[Team],Games[[#This Row],[Team]],Games[Season],Games[[#This Row],[Season]],Games[Date],"&lt;=" &amp; Games[[#This Row],[Date]])</f>
        <v>27</v>
      </c>
      <c r="D327" s="2" t="s">
        <v>23</v>
      </c>
      <c r="E327" s="2" t="s">
        <v>29</v>
      </c>
      <c r="F327" s="1" t="s">
        <v>44</v>
      </c>
      <c r="G327" s="1" t="s">
        <v>78</v>
      </c>
      <c r="H327" s="1" t="s">
        <v>15</v>
      </c>
      <c r="I327" s="2" cm="1">
        <f t="array" ref="I327">IFERROR(
    Games[[#This Row],[Date]]
    - LOOKUP(
        2,
        1/((Games[Team]=Games[[#This Row],[Team]]) * (Games[Date] &lt; Games[[#This Row],[Date]])),
        Games[Date]
    )
    - 1,
Games[[#This Row],[Date]]-$A$2)</f>
        <v>2</v>
      </c>
      <c r="J327" s="2" cm="1">
        <f t="array" ref="J32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27" s="2">
        <f>Games[[#This Row],[DaysOff]]-Games[[#This Row],[OppDaysOff]]</f>
        <v>0</v>
      </c>
      <c r="L327" s="2">
        <f>Games[[#This Row],[OppDaysOff]]-Games[[#This Row],[DaysOff]]</f>
        <v>0</v>
      </c>
      <c r="M327" s="1">
        <f>MAX(-16, MIN(16, Games[[#This Row],[RestDiff]]*8))</f>
        <v>0</v>
      </c>
      <c r="N327" s="1">
        <f>MAX(-16, MIN(16, Games[[#This Row],[OppRestDiff]]*8))</f>
        <v>0</v>
      </c>
      <c r="O327" s="4" cm="1">
        <f t="array" ref="O3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1561.8866352075497</v>
      </c>
      <c r="P327" s="4" cm="1">
        <f t="array" ref="P3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1432.4484042700178</v>
      </c>
      <c r="Q327" s="4">
        <f>1/(1+10^(((Games[[#This Row],[OppPreGmRate]]+IF(Games[[#This Row],[HomeAway]]="A",HCA,0)+Games[[#This Row],[OppRestAdj]])-(Games[[#This Row],[PreGmRate]]+IF(Games[[#This Row],[HomeAway]]="H",HCA,0)+Games[[#This Row],[RestAdj]]))/400))</f>
        <v>0.77358206910109117</v>
      </c>
      <c r="R327" s="1">
        <v>103</v>
      </c>
      <c r="S327" s="1">
        <v>87</v>
      </c>
      <c r="T327" s="1">
        <v>0</v>
      </c>
      <c r="U327" s="1">
        <f>Games[[#This Row],[PointsFor]]-Games[[#This Row],[PointsAgainst]]</f>
        <v>16</v>
      </c>
      <c r="V327" s="1">
        <f>IF(Games[[#This Row],[MOV]]&gt;0,1,IF(Games[[#This Row],[MOV]]=0,0.5,0))</f>
        <v>1</v>
      </c>
      <c r="W327" s="4">
        <f>((ABS(Games[[#This Row],[MOV]])+5)^0.6)/(12+0.01*(ABS(Games[[#This Row],[PreGmRate]]-Games[[#This Row],[OppPreGmRate]])))*IF(Games[[#This Row],[OT]]=1,0.9,1)</f>
        <v>0.46737277767158641</v>
      </c>
      <c r="X327" s="7" cm="1">
        <f t="array" ref="X3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7" s="9">
        <f>MAX(kmin, kmax - 0.15 * MIN(Games[[#This Row],[GamesPlayed]], 82))</f>
        <v>71.95</v>
      </c>
      <c r="Z327" s="4">
        <f>Games[[#This Row],[K]]*Games[[#This Row],[POMult]]</f>
        <v>71.95</v>
      </c>
      <c r="AA327" s="4">
        <f>(Games[[#This Row],[Keff]]*Games[[#This Row],[MOVMult]])*(Games[[#This Row],[Result]]-Games[[#This Row],[ExpectedWin%]])</f>
        <v>7.6138624852151526</v>
      </c>
      <c r="AB327" s="4">
        <f>Games[[#This Row],[PreGmRate]]+Games[[#This Row],[RatingChange]]</f>
        <v>1569.5004976927648</v>
      </c>
      <c r="AC327" s="2">
        <f>IF(Games[[#This Row],[Type]]="R",IF(Games[[#This Row],[Result]]&gt;0.5,1,0),0)</f>
        <v>1</v>
      </c>
      <c r="AD327" s="2">
        <f>IF(Games[[#This Row],[Type]]="R",IF(Games[[#This Row],[Result]]&lt;0.5,1,0),0)</f>
        <v>0</v>
      </c>
      <c r="AE327" s="2">
        <f>IF(AND(Games[[#This Row],[Type]]="P",Games[[#This Row],[Round]]=1),IF(Games[[#This Row],[Result]]&gt;0.5,1,0),0)</f>
        <v>0</v>
      </c>
      <c r="AF327" s="2">
        <f>IF(AND(Games[[#This Row],[Type]]="P",Games[[#This Row],[Round]]=1),IF(Games[[#This Row],[Result]]&lt;0.5,1,0),0)</f>
        <v>0</v>
      </c>
      <c r="AG327" s="2">
        <f>IF(AND(Games[[#This Row],[Type]]="P",Games[[#This Row],[Round]]=2),IF(Games[[#This Row],[Result]]&gt;0.5,1,0),0)</f>
        <v>0</v>
      </c>
      <c r="AH327" s="2">
        <f>IF(AND(Games[[#This Row],[Type]]="P",Games[[#This Row],[Round]]=2),IF(Games[[#This Row],[Result]]&lt;0.5,1,0),0)</f>
        <v>0</v>
      </c>
      <c r="AI327" s="2">
        <f>IF(AND(Games[[#This Row],[Type]]="P",Games[[#This Row],[Round]]=3),IF(Games[[#This Row],[Result]]&gt;0.5,1,0),0)</f>
        <v>0</v>
      </c>
      <c r="AJ327" s="2">
        <f>IF(AND(Games[[#This Row],[Type]]="P",Games[[#This Row],[Round]]=3),IF(Games[[#This Row],[Result]]&lt;0.5,1,0),0)</f>
        <v>0</v>
      </c>
      <c r="AK327" s="2">
        <f>IF(AND(Games[[#This Row],[Type]]="P",Games[[#This Row],[Round]]=4),IF(Games[[#This Row],[Result]]&gt;0.5,1,0),0)</f>
        <v>0</v>
      </c>
      <c r="AL327" s="2">
        <f>IF(AND(Games[[#This Row],[Type]]="P",Games[[#This Row],[Round]]=4),IF(Games[[#This Row],[Result]]&lt;0.5,1,0),0)</f>
        <v>0</v>
      </c>
    </row>
    <row r="328" spans="1:38" x14ac:dyDescent="0.35">
      <c r="A328" s="10">
        <v>40397</v>
      </c>
      <c r="B328" s="2">
        <v>2010</v>
      </c>
      <c r="C328" s="2">
        <f>COUNTIFS(Games[Team],Games[[#This Row],[Team]],Games[Season],Games[[#This Row],[Season]],Games[Date],"&lt;=" &amp; Games[[#This Row],[Date]])</f>
        <v>26</v>
      </c>
      <c r="D328" s="2" t="s">
        <v>23</v>
      </c>
      <c r="E328" s="2" t="s">
        <v>29</v>
      </c>
      <c r="F328" s="1" t="s">
        <v>71</v>
      </c>
      <c r="G328" s="1" t="s">
        <v>81</v>
      </c>
      <c r="H328" s="1" t="s">
        <v>16</v>
      </c>
      <c r="I328" s="2" cm="1">
        <f t="array" ref="I328">IFERROR(
    Games[[#This Row],[Date]]
    - LOOKUP(
        2,
        1/((Games[Team]=Games[[#This Row],[Team]]) * (Games[Date] &lt; Games[[#This Row],[Date]])),
        Games[Date]
    )
    - 1,
Games[[#This Row],[Date]]-$A$2)</f>
        <v>3</v>
      </c>
      <c r="J328" s="2" cm="1">
        <f t="array" ref="J32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28" s="2">
        <f>Games[[#This Row],[DaysOff]]-Games[[#This Row],[OppDaysOff]]</f>
        <v>1</v>
      </c>
      <c r="L328" s="2">
        <f>Games[[#This Row],[OppDaysOff]]-Games[[#This Row],[DaysOff]]</f>
        <v>-1</v>
      </c>
      <c r="M328" s="1">
        <f>MAX(-16, MIN(16, Games[[#This Row],[RestDiff]]*8))</f>
        <v>8</v>
      </c>
      <c r="N328" s="1">
        <f>MAX(-16, MIN(16, Games[[#This Row],[OppRestDiff]]*8))</f>
        <v>-8</v>
      </c>
      <c r="O328" s="4" cm="1">
        <f t="array" ref="O3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1407.2293855966059</v>
      </c>
      <c r="P328" s="4" cm="1">
        <f t="array" ref="P3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1482.7232546459891</v>
      </c>
      <c r="Q328" s="4">
        <f>1/(1+10^(((Games[[#This Row],[OppPreGmRate]]+IF(Games[[#This Row],[HomeAway]]="A",HCA,0)+Games[[#This Row],[OppRestAdj]])-(Games[[#This Row],[PreGmRate]]+IF(Games[[#This Row],[HomeAway]]="H",HCA,0)+Games[[#This Row],[RestAdj]]))/400))</f>
        <v>0.30448788944488292</v>
      </c>
      <c r="R328" s="1">
        <v>87</v>
      </c>
      <c r="S328" s="1">
        <v>82</v>
      </c>
      <c r="T328" s="1">
        <v>1</v>
      </c>
      <c r="U328" s="1">
        <f>Games[[#This Row],[PointsFor]]-Games[[#This Row],[PointsAgainst]]</f>
        <v>5</v>
      </c>
      <c r="V328" s="1">
        <f>IF(Games[[#This Row],[MOV]]&gt;0,1,IF(Games[[#This Row],[MOV]]=0,0.5,0))</f>
        <v>1</v>
      </c>
      <c r="W328" s="4">
        <f>((ABS(Games[[#This Row],[MOV]])+5)^0.6)/(12+0.01*(ABS(Games[[#This Row],[PreGmRate]]-Games[[#This Row],[OppPreGmRate]])))*IF(Games[[#This Row],[OT]]=1,0.9,1)</f>
        <v>0.28090801703749735</v>
      </c>
      <c r="X328" s="7" cm="1">
        <f t="array" ref="X3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8" s="9">
        <f>MAX(kmin, kmax - 0.15 * MIN(Games[[#This Row],[GamesPlayed]], 82))</f>
        <v>72.099999999999994</v>
      </c>
      <c r="Z328" s="4">
        <f>Games[[#This Row],[K]]*Games[[#This Row],[POMult]]</f>
        <v>72.099999999999994</v>
      </c>
      <c r="AA328" s="4">
        <f>(Games[[#This Row],[Keff]]*Games[[#This Row],[MOVMult]])*(Games[[#This Row],[Result]]-Games[[#This Row],[ExpectedWin%]])</f>
        <v>14.086532294495544</v>
      </c>
      <c r="AB328" s="4">
        <f>Games[[#This Row],[PreGmRate]]+Games[[#This Row],[RatingChange]]</f>
        <v>1421.3159178911014</v>
      </c>
      <c r="AC328" s="2">
        <f>IF(Games[[#This Row],[Type]]="R",IF(Games[[#This Row],[Result]]&gt;0.5,1,0),0)</f>
        <v>1</v>
      </c>
      <c r="AD328" s="2">
        <f>IF(Games[[#This Row],[Type]]="R",IF(Games[[#This Row],[Result]]&lt;0.5,1,0),0)</f>
        <v>0</v>
      </c>
      <c r="AE328" s="2">
        <f>IF(AND(Games[[#This Row],[Type]]="P",Games[[#This Row],[Round]]=1),IF(Games[[#This Row],[Result]]&gt;0.5,1,0),0)</f>
        <v>0</v>
      </c>
      <c r="AF328" s="2">
        <f>IF(AND(Games[[#This Row],[Type]]="P",Games[[#This Row],[Round]]=1),IF(Games[[#This Row],[Result]]&lt;0.5,1,0),0)</f>
        <v>0</v>
      </c>
      <c r="AG328" s="2">
        <f>IF(AND(Games[[#This Row],[Type]]="P",Games[[#This Row],[Round]]=2),IF(Games[[#This Row],[Result]]&gt;0.5,1,0),0)</f>
        <v>0</v>
      </c>
      <c r="AH328" s="2">
        <f>IF(AND(Games[[#This Row],[Type]]="P",Games[[#This Row],[Round]]=2),IF(Games[[#This Row],[Result]]&lt;0.5,1,0),0)</f>
        <v>0</v>
      </c>
      <c r="AI328" s="2">
        <f>IF(AND(Games[[#This Row],[Type]]="P",Games[[#This Row],[Round]]=3),IF(Games[[#This Row],[Result]]&gt;0.5,1,0),0)</f>
        <v>0</v>
      </c>
      <c r="AJ328" s="2">
        <f>IF(AND(Games[[#This Row],[Type]]="P",Games[[#This Row],[Round]]=3),IF(Games[[#This Row],[Result]]&lt;0.5,1,0),0)</f>
        <v>0</v>
      </c>
      <c r="AK328" s="2">
        <f>IF(AND(Games[[#This Row],[Type]]="P",Games[[#This Row],[Round]]=4),IF(Games[[#This Row],[Result]]&gt;0.5,1,0),0)</f>
        <v>0</v>
      </c>
      <c r="AL328" s="2">
        <f>IF(AND(Games[[#This Row],[Type]]="P",Games[[#This Row],[Round]]=4),IF(Games[[#This Row],[Result]]&lt;0.5,1,0),0)</f>
        <v>0</v>
      </c>
    </row>
    <row r="329" spans="1:38" x14ac:dyDescent="0.35">
      <c r="A329" s="10">
        <v>40397</v>
      </c>
      <c r="B329" s="2">
        <v>2010</v>
      </c>
      <c r="C329" s="2">
        <f>COUNTIFS(Games[Team],Games[[#This Row],[Team]],Games[Season],Games[[#This Row],[Season]],Games[Date],"&lt;=" &amp; Games[[#This Row],[Date]])</f>
        <v>29</v>
      </c>
      <c r="D329" s="2" t="s">
        <v>23</v>
      </c>
      <c r="E329" s="2" t="s">
        <v>29</v>
      </c>
      <c r="F329" s="1" t="s">
        <v>81</v>
      </c>
      <c r="G329" s="1" t="s">
        <v>71</v>
      </c>
      <c r="H329" s="1" t="s">
        <v>15</v>
      </c>
      <c r="I329" s="2" cm="1">
        <f t="array" ref="I329">IFERROR(
    Games[[#This Row],[Date]]
    - LOOKUP(
        2,
        1/((Games[Team]=Games[[#This Row],[Team]]) * (Games[Date] &lt; Games[[#This Row],[Date]])),
        Games[Date]
    )
    - 1,
Games[[#This Row],[Date]]-$A$2)</f>
        <v>2</v>
      </c>
      <c r="J329" s="2" cm="1">
        <f t="array" ref="J32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29" s="2">
        <f>Games[[#This Row],[DaysOff]]-Games[[#This Row],[OppDaysOff]]</f>
        <v>-1</v>
      </c>
      <c r="L329" s="2">
        <f>Games[[#This Row],[OppDaysOff]]-Games[[#This Row],[DaysOff]]</f>
        <v>1</v>
      </c>
      <c r="M329" s="1">
        <f>MAX(-16, MIN(16, Games[[#This Row],[RestDiff]]*8))</f>
        <v>-8</v>
      </c>
      <c r="N329" s="1">
        <f>MAX(-16, MIN(16, Games[[#This Row],[OppRestDiff]]*8))</f>
        <v>8</v>
      </c>
      <c r="O329" s="4" cm="1">
        <f t="array" ref="O3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1482.7232546459891</v>
      </c>
      <c r="P329" s="4" cm="1">
        <f t="array" ref="P3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1407.2293855966059</v>
      </c>
      <c r="Q329" s="4">
        <f>1/(1+10^(((Games[[#This Row],[OppPreGmRate]]+IF(Games[[#This Row],[HomeAway]]="A",HCA,0)+Games[[#This Row],[OppRestAdj]])-(Games[[#This Row],[PreGmRate]]+IF(Games[[#This Row],[HomeAway]]="H",HCA,0)+Games[[#This Row],[RestAdj]]))/400))</f>
        <v>0.69551211055511697</v>
      </c>
      <c r="R329" s="1">
        <v>82</v>
      </c>
      <c r="S329" s="1">
        <v>87</v>
      </c>
      <c r="T329" s="1">
        <v>1</v>
      </c>
      <c r="U329" s="1">
        <f>Games[[#This Row],[PointsFor]]-Games[[#This Row],[PointsAgainst]]</f>
        <v>-5</v>
      </c>
      <c r="V329" s="1">
        <f>IF(Games[[#This Row],[MOV]]&gt;0,1,IF(Games[[#This Row],[MOV]]=0,0.5,0))</f>
        <v>0</v>
      </c>
      <c r="W329" s="4">
        <f>((ABS(Games[[#This Row],[MOV]])+5)^0.6)/(12+0.01*(ABS(Games[[#This Row],[PreGmRate]]-Games[[#This Row],[OppPreGmRate]])))*IF(Games[[#This Row],[OT]]=1,0.9,1)</f>
        <v>0.28090801703749735</v>
      </c>
      <c r="X329" s="7" cm="1">
        <f t="array" ref="X3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9" s="9">
        <f>MAX(kmin, kmax - 0.15 * MIN(Games[[#This Row],[GamesPlayed]], 82))</f>
        <v>71.650000000000006</v>
      </c>
      <c r="Z329" s="4">
        <f>Games[[#This Row],[K]]*Games[[#This Row],[POMult]]</f>
        <v>71.650000000000006</v>
      </c>
      <c r="AA329" s="4">
        <f>(Games[[#This Row],[Keff]]*Games[[#This Row],[MOVMult]])*(Games[[#This Row],[Result]]-Games[[#This Row],[ExpectedWin%]])</f>
        <v>-13.998613576984821</v>
      </c>
      <c r="AB329" s="4">
        <f>Games[[#This Row],[PreGmRate]]+Games[[#This Row],[RatingChange]]</f>
        <v>1468.7246410690043</v>
      </c>
      <c r="AC329" s="2">
        <f>IF(Games[[#This Row],[Type]]="R",IF(Games[[#This Row],[Result]]&gt;0.5,1,0),0)</f>
        <v>0</v>
      </c>
      <c r="AD329" s="2">
        <f>IF(Games[[#This Row],[Type]]="R",IF(Games[[#This Row],[Result]]&lt;0.5,1,0),0)</f>
        <v>1</v>
      </c>
      <c r="AE329" s="2">
        <f>IF(AND(Games[[#This Row],[Type]]="P",Games[[#This Row],[Round]]=1),IF(Games[[#This Row],[Result]]&gt;0.5,1,0),0)</f>
        <v>0</v>
      </c>
      <c r="AF329" s="2">
        <f>IF(AND(Games[[#This Row],[Type]]="P",Games[[#This Row],[Round]]=1),IF(Games[[#This Row],[Result]]&lt;0.5,1,0),0)</f>
        <v>0</v>
      </c>
      <c r="AG329" s="2">
        <f>IF(AND(Games[[#This Row],[Type]]="P",Games[[#This Row],[Round]]=2),IF(Games[[#This Row],[Result]]&gt;0.5,1,0),0)</f>
        <v>0</v>
      </c>
      <c r="AH329" s="2">
        <f>IF(AND(Games[[#This Row],[Type]]="P",Games[[#This Row],[Round]]=2),IF(Games[[#This Row],[Result]]&lt;0.5,1,0),0)</f>
        <v>0</v>
      </c>
      <c r="AI329" s="2">
        <f>IF(AND(Games[[#This Row],[Type]]="P",Games[[#This Row],[Round]]=3),IF(Games[[#This Row],[Result]]&gt;0.5,1,0),0)</f>
        <v>0</v>
      </c>
      <c r="AJ329" s="2">
        <f>IF(AND(Games[[#This Row],[Type]]="P",Games[[#This Row],[Round]]=3),IF(Games[[#This Row],[Result]]&lt;0.5,1,0),0)</f>
        <v>0</v>
      </c>
      <c r="AK329" s="2">
        <f>IF(AND(Games[[#This Row],[Type]]="P",Games[[#This Row],[Round]]=4),IF(Games[[#This Row],[Result]]&gt;0.5,1,0),0)</f>
        <v>0</v>
      </c>
      <c r="AL329" s="2">
        <f>IF(AND(Games[[#This Row],[Type]]="P",Games[[#This Row],[Round]]=4),IF(Games[[#This Row],[Result]]&lt;0.5,1,0),0)</f>
        <v>0</v>
      </c>
    </row>
    <row r="330" spans="1:38" x14ac:dyDescent="0.35">
      <c r="A330" s="10">
        <v>40397</v>
      </c>
      <c r="B330" s="2">
        <v>2010</v>
      </c>
      <c r="C330" s="2">
        <f>COUNTIFS(Games[Team],Games[[#This Row],[Team]],Games[Season],Games[[#This Row],[Season]],Games[Date],"&lt;=" &amp; Games[[#This Row],[Date]])</f>
        <v>29</v>
      </c>
      <c r="D330" s="2" t="s">
        <v>23</v>
      </c>
      <c r="E330" s="2" t="s">
        <v>29</v>
      </c>
      <c r="F330" s="1" t="s">
        <v>85</v>
      </c>
      <c r="G330" s="1" t="s">
        <v>75</v>
      </c>
      <c r="H330" s="1" t="s">
        <v>16</v>
      </c>
      <c r="I330" s="2" cm="1">
        <f t="array" ref="I330">IFERROR(
    Games[[#This Row],[Date]]
    - LOOKUP(
        2,
        1/((Games[Team]=Games[[#This Row],[Team]]) * (Games[Date] &lt; Games[[#This Row],[Date]])),
        Games[Date]
    )
    - 1,
Games[[#This Row],[Date]]-$A$2)</f>
        <v>0</v>
      </c>
      <c r="J330" s="2" cm="1">
        <f t="array" ref="J33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0" s="2">
        <f>Games[[#This Row],[DaysOff]]-Games[[#This Row],[OppDaysOff]]</f>
        <v>-1</v>
      </c>
      <c r="L330" s="2">
        <f>Games[[#This Row],[OppDaysOff]]-Games[[#This Row],[DaysOff]]</f>
        <v>1</v>
      </c>
      <c r="M330" s="1">
        <f>MAX(-16, MIN(16, Games[[#This Row],[RestDiff]]*8))</f>
        <v>-8</v>
      </c>
      <c r="N330" s="1">
        <f>MAX(-16, MIN(16, Games[[#This Row],[OppRestDiff]]*8))</f>
        <v>8</v>
      </c>
      <c r="O330" s="4" cm="1">
        <f t="array" ref="O3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1311.4916809228785</v>
      </c>
      <c r="P330" s="4" cm="1">
        <f t="array" ref="P3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1666.2469939050984</v>
      </c>
      <c r="Q330" s="4">
        <f>1/(1+10^(((Games[[#This Row],[OppPreGmRate]]+IF(Games[[#This Row],[HomeAway]]="A",HCA,0)+Games[[#This Row],[OppRestAdj]])-(Games[[#This Row],[PreGmRate]]+IF(Games[[#This Row],[HomeAway]]="H",HCA,0)+Games[[#This Row],[RestAdj]]))/400))</f>
        <v>6.8002731425121934E-2</v>
      </c>
      <c r="R330" s="1">
        <v>65</v>
      </c>
      <c r="S330" s="1">
        <v>111</v>
      </c>
      <c r="T330" s="1">
        <v>0</v>
      </c>
      <c r="U330" s="1">
        <f>Games[[#This Row],[PointsFor]]-Games[[#This Row],[PointsAgainst]]</f>
        <v>-46</v>
      </c>
      <c r="V330" s="1">
        <f>IF(Games[[#This Row],[MOV]]&gt;0,1,IF(Games[[#This Row],[MOV]]=0,0.5,0))</f>
        <v>0</v>
      </c>
      <c r="W330" s="4">
        <f>((ABS(Games[[#This Row],[MOV]])+5)^0.6)/(12+0.01*(ABS(Games[[#This Row],[PreGmRate]]-Games[[#This Row],[OppPreGmRate]])))*IF(Games[[#This Row],[OT]]=1,0.9,1)</f>
        <v>0.68058136903530375</v>
      </c>
      <c r="X330" s="7" cm="1">
        <f t="array" ref="X3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0" s="9">
        <f>MAX(kmin, kmax - 0.15 * MIN(Games[[#This Row],[GamesPlayed]], 82))</f>
        <v>71.650000000000006</v>
      </c>
      <c r="Z330" s="4">
        <f>Games[[#This Row],[K]]*Games[[#This Row],[POMult]]</f>
        <v>71.650000000000006</v>
      </c>
      <c r="AA330" s="4">
        <f>(Games[[#This Row],[Keff]]*Games[[#This Row],[MOVMult]])*(Games[[#This Row],[Result]]-Games[[#This Row],[ExpectedWin%]])</f>
        <v>-3.316061740486361</v>
      </c>
      <c r="AB330" s="4">
        <f>Games[[#This Row],[PreGmRate]]+Games[[#This Row],[RatingChange]]</f>
        <v>1308.1756191823922</v>
      </c>
      <c r="AC330" s="2">
        <f>IF(Games[[#This Row],[Type]]="R",IF(Games[[#This Row],[Result]]&gt;0.5,1,0),0)</f>
        <v>0</v>
      </c>
      <c r="AD330" s="2">
        <f>IF(Games[[#This Row],[Type]]="R",IF(Games[[#This Row],[Result]]&lt;0.5,1,0),0)</f>
        <v>1</v>
      </c>
      <c r="AE330" s="2">
        <f>IF(AND(Games[[#This Row],[Type]]="P",Games[[#This Row],[Round]]=1),IF(Games[[#This Row],[Result]]&gt;0.5,1,0),0)</f>
        <v>0</v>
      </c>
      <c r="AF330" s="2">
        <f>IF(AND(Games[[#This Row],[Type]]="P",Games[[#This Row],[Round]]=1),IF(Games[[#This Row],[Result]]&lt;0.5,1,0),0)</f>
        <v>0</v>
      </c>
      <c r="AG330" s="2">
        <f>IF(AND(Games[[#This Row],[Type]]="P",Games[[#This Row],[Round]]=2),IF(Games[[#This Row],[Result]]&gt;0.5,1,0),0)</f>
        <v>0</v>
      </c>
      <c r="AH330" s="2">
        <f>IF(AND(Games[[#This Row],[Type]]="P",Games[[#This Row],[Round]]=2),IF(Games[[#This Row],[Result]]&lt;0.5,1,0),0)</f>
        <v>0</v>
      </c>
      <c r="AI330" s="2">
        <f>IF(AND(Games[[#This Row],[Type]]="P",Games[[#This Row],[Round]]=3),IF(Games[[#This Row],[Result]]&gt;0.5,1,0),0)</f>
        <v>0</v>
      </c>
      <c r="AJ330" s="2">
        <f>IF(AND(Games[[#This Row],[Type]]="P",Games[[#This Row],[Round]]=3),IF(Games[[#This Row],[Result]]&lt;0.5,1,0),0)</f>
        <v>0</v>
      </c>
      <c r="AK330" s="2">
        <f>IF(AND(Games[[#This Row],[Type]]="P",Games[[#This Row],[Round]]=4),IF(Games[[#This Row],[Result]]&gt;0.5,1,0),0)</f>
        <v>0</v>
      </c>
      <c r="AL330" s="2">
        <f>IF(AND(Games[[#This Row],[Type]]="P",Games[[#This Row],[Round]]=4),IF(Games[[#This Row],[Result]]&lt;0.5,1,0),0)</f>
        <v>0</v>
      </c>
    </row>
    <row r="331" spans="1:38" x14ac:dyDescent="0.35">
      <c r="A331" s="10">
        <v>40397</v>
      </c>
      <c r="B331" s="2">
        <v>2010</v>
      </c>
      <c r="C331" s="2">
        <f>COUNTIFS(Games[Team],Games[[#This Row],[Team]],Games[Season],Games[[#This Row],[Season]],Games[Date],"&lt;=" &amp; Games[[#This Row],[Date]])</f>
        <v>28</v>
      </c>
      <c r="D331" s="2" t="s">
        <v>23</v>
      </c>
      <c r="E331" s="2" t="s">
        <v>29</v>
      </c>
      <c r="F331" s="1" t="s">
        <v>75</v>
      </c>
      <c r="G331" s="1" t="s">
        <v>85</v>
      </c>
      <c r="H331" s="1" t="s">
        <v>15</v>
      </c>
      <c r="I331" s="2" cm="1">
        <f t="array" ref="I33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1" s="2" cm="1">
        <f t="array" ref="J33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31" s="2">
        <f>Games[[#This Row],[DaysOff]]-Games[[#This Row],[OppDaysOff]]</f>
        <v>1</v>
      </c>
      <c r="L331" s="2">
        <f>Games[[#This Row],[OppDaysOff]]-Games[[#This Row],[DaysOff]]</f>
        <v>-1</v>
      </c>
      <c r="M331" s="1">
        <f>MAX(-16, MIN(16, Games[[#This Row],[RestDiff]]*8))</f>
        <v>8</v>
      </c>
      <c r="N331" s="1">
        <f>MAX(-16, MIN(16, Games[[#This Row],[OppRestDiff]]*8))</f>
        <v>-8</v>
      </c>
      <c r="O331" s="4" cm="1">
        <f t="array" ref="O3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1666.2469939050984</v>
      </c>
      <c r="P331" s="4" cm="1">
        <f t="array" ref="P3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1311.4916809228785</v>
      </c>
      <c r="Q331" s="4">
        <f>1/(1+10^(((Games[[#This Row],[OppPreGmRate]]+IF(Games[[#This Row],[HomeAway]]="A",HCA,0)+Games[[#This Row],[OppRestAdj]])-(Games[[#This Row],[PreGmRate]]+IF(Games[[#This Row],[HomeAway]]="H",HCA,0)+Games[[#This Row],[RestAdj]]))/400))</f>
        <v>0.93199726857487797</v>
      </c>
      <c r="R331" s="1">
        <v>111</v>
      </c>
      <c r="S331" s="1">
        <v>65</v>
      </c>
      <c r="T331" s="1">
        <v>0</v>
      </c>
      <c r="U331" s="1">
        <f>Games[[#This Row],[PointsFor]]-Games[[#This Row],[PointsAgainst]]</f>
        <v>46</v>
      </c>
      <c r="V331" s="1">
        <f>IF(Games[[#This Row],[MOV]]&gt;0,1,IF(Games[[#This Row],[MOV]]=0,0.5,0))</f>
        <v>1</v>
      </c>
      <c r="W331" s="4">
        <f>((ABS(Games[[#This Row],[MOV]])+5)^0.6)/(12+0.01*(ABS(Games[[#This Row],[PreGmRate]]-Games[[#This Row],[OppPreGmRate]])))*IF(Games[[#This Row],[OT]]=1,0.9,1)</f>
        <v>0.68058136903530375</v>
      </c>
      <c r="X331" s="7" cm="1">
        <f t="array" ref="X3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1" s="9">
        <f>MAX(kmin, kmax - 0.15 * MIN(Games[[#This Row],[GamesPlayed]], 82))</f>
        <v>71.8</v>
      </c>
      <c r="Z331" s="4">
        <f>Games[[#This Row],[K]]*Games[[#This Row],[POMult]]</f>
        <v>71.8</v>
      </c>
      <c r="AA331" s="4">
        <f>(Games[[#This Row],[Keff]]*Games[[#This Row],[MOVMult]])*(Games[[#This Row],[Result]]-Games[[#This Row],[ExpectedWin%]])</f>
        <v>3.3230039492940828</v>
      </c>
      <c r="AB331" s="4">
        <f>Games[[#This Row],[PreGmRate]]+Games[[#This Row],[RatingChange]]</f>
        <v>1669.5699978543926</v>
      </c>
      <c r="AC331" s="2">
        <f>IF(Games[[#This Row],[Type]]="R",IF(Games[[#This Row],[Result]]&gt;0.5,1,0),0)</f>
        <v>1</v>
      </c>
      <c r="AD331" s="2">
        <f>IF(Games[[#This Row],[Type]]="R",IF(Games[[#This Row],[Result]]&lt;0.5,1,0),0)</f>
        <v>0</v>
      </c>
      <c r="AE331" s="2">
        <f>IF(AND(Games[[#This Row],[Type]]="P",Games[[#This Row],[Round]]=1),IF(Games[[#This Row],[Result]]&gt;0.5,1,0),0)</f>
        <v>0</v>
      </c>
      <c r="AF331" s="2">
        <f>IF(AND(Games[[#This Row],[Type]]="P",Games[[#This Row],[Round]]=1),IF(Games[[#This Row],[Result]]&lt;0.5,1,0),0)</f>
        <v>0</v>
      </c>
      <c r="AG331" s="2">
        <f>IF(AND(Games[[#This Row],[Type]]="P",Games[[#This Row],[Round]]=2),IF(Games[[#This Row],[Result]]&gt;0.5,1,0),0)</f>
        <v>0</v>
      </c>
      <c r="AH331" s="2">
        <f>IF(AND(Games[[#This Row],[Type]]="P",Games[[#This Row],[Round]]=2),IF(Games[[#This Row],[Result]]&lt;0.5,1,0),0)</f>
        <v>0</v>
      </c>
      <c r="AI331" s="2">
        <f>IF(AND(Games[[#This Row],[Type]]="P",Games[[#This Row],[Round]]=3),IF(Games[[#This Row],[Result]]&gt;0.5,1,0),0)</f>
        <v>0</v>
      </c>
      <c r="AJ331" s="2">
        <f>IF(AND(Games[[#This Row],[Type]]="P",Games[[#This Row],[Round]]=3),IF(Games[[#This Row],[Result]]&lt;0.5,1,0),0)</f>
        <v>0</v>
      </c>
      <c r="AK331" s="2">
        <f>IF(AND(Games[[#This Row],[Type]]="P",Games[[#This Row],[Round]]=4),IF(Games[[#This Row],[Result]]&gt;0.5,1,0),0)</f>
        <v>0</v>
      </c>
      <c r="AL331" s="2">
        <f>IF(AND(Games[[#This Row],[Type]]="P",Games[[#This Row],[Round]]=4),IF(Games[[#This Row],[Result]]&lt;0.5,1,0),0)</f>
        <v>0</v>
      </c>
    </row>
    <row r="332" spans="1:38" x14ac:dyDescent="0.35">
      <c r="A332" s="10">
        <v>40398</v>
      </c>
      <c r="B332" s="2">
        <v>2010</v>
      </c>
      <c r="C332" s="2">
        <f>COUNTIFS(Games[Team],Games[[#This Row],[Team]],Games[Season],Games[[#This Row],[Season]],Games[Date],"&lt;=" &amp; Games[[#This Row],[Date]])</f>
        <v>28</v>
      </c>
      <c r="D332" s="2" t="s">
        <v>23</v>
      </c>
      <c r="E332" s="2" t="s">
        <v>29</v>
      </c>
      <c r="F332" s="1" t="s">
        <v>69</v>
      </c>
      <c r="G332" s="1" t="s">
        <v>80</v>
      </c>
      <c r="H332" s="1" t="s">
        <v>16</v>
      </c>
      <c r="I332" s="2" cm="1">
        <f t="array" ref="I33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2" s="2" cm="1">
        <f t="array" ref="J33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32" s="2">
        <f>Games[[#This Row],[DaysOff]]-Games[[#This Row],[OppDaysOff]]</f>
        <v>-1</v>
      </c>
      <c r="L332" s="2">
        <f>Games[[#This Row],[OppDaysOff]]-Games[[#This Row],[DaysOff]]</f>
        <v>1</v>
      </c>
      <c r="M332" s="1">
        <f>MAX(-16, MIN(16, Games[[#This Row],[RestDiff]]*8))</f>
        <v>-8</v>
      </c>
      <c r="N332" s="1">
        <f>MAX(-16, MIN(16, Games[[#This Row],[OppRestDiff]]*8))</f>
        <v>8</v>
      </c>
      <c r="O332" s="4" cm="1">
        <f t="array" ref="O3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1541.1886502109292</v>
      </c>
      <c r="P332" s="4" cm="1">
        <f t="array" ref="P3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1461.9934379363183</v>
      </c>
      <c r="Q332" s="4">
        <f>1/(1+10^(((Games[[#This Row],[OppPreGmRate]]+IF(Games[[#This Row],[HomeAway]]="A",HCA,0)+Games[[#This Row],[OppRestAdj]])-(Games[[#This Row],[PreGmRate]]+IF(Games[[#This Row],[HomeAway]]="H",HCA,0)+Games[[#This Row],[RestAdj]]))/400))</f>
        <v>0.47009523865812813</v>
      </c>
      <c r="R332" s="1">
        <v>67</v>
      </c>
      <c r="S332" s="1">
        <v>76</v>
      </c>
      <c r="T332" s="1">
        <v>0</v>
      </c>
      <c r="U332" s="1">
        <f>Games[[#This Row],[PointsFor]]-Games[[#This Row],[PointsAgainst]]</f>
        <v>-9</v>
      </c>
      <c r="V332" s="1">
        <f>IF(Games[[#This Row],[MOV]]&gt;0,1,IF(Games[[#This Row],[MOV]]=0,0.5,0))</f>
        <v>0</v>
      </c>
      <c r="W332" s="4">
        <f>((ABS(Games[[#This Row],[MOV]])+5)^0.6)/(12+0.01*(ABS(Games[[#This Row],[PreGmRate]]-Games[[#This Row],[OppPreGmRate]])))*IF(Games[[#This Row],[OT]]=1,0.9,1)</f>
        <v>0.3808377547868036</v>
      </c>
      <c r="X332" s="7" cm="1">
        <f t="array" ref="X3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2" s="9">
        <f>MAX(kmin, kmax - 0.15 * MIN(Games[[#This Row],[GamesPlayed]], 82))</f>
        <v>71.8</v>
      </c>
      <c r="Z332" s="4">
        <f>Games[[#This Row],[K]]*Games[[#This Row],[POMult]]</f>
        <v>71.8</v>
      </c>
      <c r="AA332" s="4">
        <f>(Games[[#This Row],[Keff]]*Games[[#This Row],[MOVMult]])*(Games[[#This Row],[Result]]-Games[[#This Row],[ExpectedWin%]])</f>
        <v>-12.854355093264717</v>
      </c>
      <c r="AB332" s="4">
        <f>Games[[#This Row],[PreGmRate]]+Games[[#This Row],[RatingChange]]</f>
        <v>1528.3342951176644</v>
      </c>
      <c r="AC332" s="2">
        <f>IF(Games[[#This Row],[Type]]="R",IF(Games[[#This Row],[Result]]&gt;0.5,1,0),0)</f>
        <v>0</v>
      </c>
      <c r="AD332" s="2">
        <f>IF(Games[[#This Row],[Type]]="R",IF(Games[[#This Row],[Result]]&lt;0.5,1,0),0)</f>
        <v>1</v>
      </c>
      <c r="AE332" s="2">
        <f>IF(AND(Games[[#This Row],[Type]]="P",Games[[#This Row],[Round]]=1),IF(Games[[#This Row],[Result]]&gt;0.5,1,0),0)</f>
        <v>0</v>
      </c>
      <c r="AF332" s="2">
        <f>IF(AND(Games[[#This Row],[Type]]="P",Games[[#This Row],[Round]]=1),IF(Games[[#This Row],[Result]]&lt;0.5,1,0),0)</f>
        <v>0</v>
      </c>
      <c r="AG332" s="2">
        <f>IF(AND(Games[[#This Row],[Type]]="P",Games[[#This Row],[Round]]=2),IF(Games[[#This Row],[Result]]&gt;0.5,1,0),0)</f>
        <v>0</v>
      </c>
      <c r="AH332" s="2">
        <f>IF(AND(Games[[#This Row],[Type]]="P",Games[[#This Row],[Round]]=2),IF(Games[[#This Row],[Result]]&lt;0.5,1,0),0)</f>
        <v>0</v>
      </c>
      <c r="AI332" s="2">
        <f>IF(AND(Games[[#This Row],[Type]]="P",Games[[#This Row],[Round]]=3),IF(Games[[#This Row],[Result]]&gt;0.5,1,0),0)</f>
        <v>0</v>
      </c>
      <c r="AJ332" s="2">
        <f>IF(AND(Games[[#This Row],[Type]]="P",Games[[#This Row],[Round]]=3),IF(Games[[#This Row],[Result]]&lt;0.5,1,0),0)</f>
        <v>0</v>
      </c>
      <c r="AK332" s="2">
        <f>IF(AND(Games[[#This Row],[Type]]="P",Games[[#This Row],[Round]]=4),IF(Games[[#This Row],[Result]]&gt;0.5,1,0),0)</f>
        <v>0</v>
      </c>
      <c r="AL332" s="2">
        <f>IF(AND(Games[[#This Row],[Type]]="P",Games[[#This Row],[Round]]=4),IF(Games[[#This Row],[Result]]&lt;0.5,1,0),0)</f>
        <v>0</v>
      </c>
    </row>
    <row r="333" spans="1:38" x14ac:dyDescent="0.35">
      <c r="A333" s="10">
        <v>40398</v>
      </c>
      <c r="B333" s="2">
        <v>2010</v>
      </c>
      <c r="C333" s="2">
        <f>COUNTIFS(Games[Team],Games[[#This Row],[Team]],Games[Season],Games[[#This Row],[Season]],Games[Date],"&lt;=" &amp; Games[[#This Row],[Date]])</f>
        <v>28</v>
      </c>
      <c r="D333" s="2" t="s">
        <v>23</v>
      </c>
      <c r="E333" s="2" t="s">
        <v>29</v>
      </c>
      <c r="F333" s="1" t="s">
        <v>80</v>
      </c>
      <c r="G333" s="1" t="s">
        <v>69</v>
      </c>
      <c r="H333" s="1" t="s">
        <v>15</v>
      </c>
      <c r="I333" s="2" cm="1">
        <f t="array" ref="I333">IFERROR(
    Games[[#This Row],[Date]]
    - LOOKUP(
        2,
        1/((Games[Team]=Games[[#This Row],[Team]]) * (Games[Date] &lt; Games[[#This Row],[Date]])),
        Games[Date]
    )
    - 1,
Games[[#This Row],[Date]]-$A$2)</f>
        <v>2</v>
      </c>
      <c r="J333" s="2" cm="1">
        <f t="array" ref="J33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3" s="2">
        <f>Games[[#This Row],[DaysOff]]-Games[[#This Row],[OppDaysOff]]</f>
        <v>1</v>
      </c>
      <c r="L333" s="2">
        <f>Games[[#This Row],[OppDaysOff]]-Games[[#This Row],[DaysOff]]</f>
        <v>-1</v>
      </c>
      <c r="M333" s="1">
        <f>MAX(-16, MIN(16, Games[[#This Row],[RestDiff]]*8))</f>
        <v>8</v>
      </c>
      <c r="N333" s="1">
        <f>MAX(-16, MIN(16, Games[[#This Row],[OppRestDiff]]*8))</f>
        <v>-8</v>
      </c>
      <c r="O333" s="4" cm="1">
        <f t="array" ref="O3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1461.9934379363183</v>
      </c>
      <c r="P333" s="4" cm="1">
        <f t="array" ref="P3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1541.1886502109292</v>
      </c>
      <c r="Q333" s="4">
        <f>1/(1+10^(((Games[[#This Row],[OppPreGmRate]]+IF(Games[[#This Row],[HomeAway]]="A",HCA,0)+Games[[#This Row],[OppRestAdj]])-(Games[[#This Row],[PreGmRate]]+IF(Games[[#This Row],[HomeAway]]="H",HCA,0)+Games[[#This Row],[RestAdj]]))/400))</f>
        <v>0.52990476134187181</v>
      </c>
      <c r="R333" s="1">
        <v>76</v>
      </c>
      <c r="S333" s="1">
        <v>67</v>
      </c>
      <c r="T333" s="1">
        <v>0</v>
      </c>
      <c r="U333" s="1">
        <f>Games[[#This Row],[PointsFor]]-Games[[#This Row],[PointsAgainst]]</f>
        <v>9</v>
      </c>
      <c r="V333" s="1">
        <f>IF(Games[[#This Row],[MOV]]&gt;0,1,IF(Games[[#This Row],[MOV]]=0,0.5,0))</f>
        <v>1</v>
      </c>
      <c r="W333" s="4">
        <f>((ABS(Games[[#This Row],[MOV]])+5)^0.6)/(12+0.01*(ABS(Games[[#This Row],[PreGmRate]]-Games[[#This Row],[OppPreGmRate]])))*IF(Games[[#This Row],[OT]]=1,0.9,1)</f>
        <v>0.3808377547868036</v>
      </c>
      <c r="X333" s="7" cm="1">
        <f t="array" ref="X3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3" s="9">
        <f>MAX(kmin, kmax - 0.15 * MIN(Games[[#This Row],[GamesPlayed]], 82))</f>
        <v>71.8</v>
      </c>
      <c r="Z333" s="4">
        <f>Games[[#This Row],[K]]*Games[[#This Row],[POMult]]</f>
        <v>71.8</v>
      </c>
      <c r="AA333" s="4">
        <f>(Games[[#This Row],[Keff]]*Games[[#This Row],[MOVMult]])*(Games[[#This Row],[Result]]-Games[[#This Row],[ExpectedWin%]])</f>
        <v>12.854355093264719</v>
      </c>
      <c r="AB333" s="4">
        <f>Games[[#This Row],[PreGmRate]]+Games[[#This Row],[RatingChange]]</f>
        <v>1474.847793029583</v>
      </c>
      <c r="AC333" s="2">
        <f>IF(Games[[#This Row],[Type]]="R",IF(Games[[#This Row],[Result]]&gt;0.5,1,0),0)</f>
        <v>1</v>
      </c>
      <c r="AD333" s="2">
        <f>IF(Games[[#This Row],[Type]]="R",IF(Games[[#This Row],[Result]]&lt;0.5,1,0),0)</f>
        <v>0</v>
      </c>
      <c r="AE333" s="2">
        <f>IF(AND(Games[[#This Row],[Type]]="P",Games[[#This Row],[Round]]=1),IF(Games[[#This Row],[Result]]&gt;0.5,1,0),0)</f>
        <v>0</v>
      </c>
      <c r="AF333" s="2">
        <f>IF(AND(Games[[#This Row],[Type]]="P",Games[[#This Row],[Round]]=1),IF(Games[[#This Row],[Result]]&lt;0.5,1,0),0)</f>
        <v>0</v>
      </c>
      <c r="AG333" s="2">
        <f>IF(AND(Games[[#This Row],[Type]]="P",Games[[#This Row],[Round]]=2),IF(Games[[#This Row],[Result]]&gt;0.5,1,0),0)</f>
        <v>0</v>
      </c>
      <c r="AH333" s="2">
        <f>IF(AND(Games[[#This Row],[Type]]="P",Games[[#This Row],[Round]]=2),IF(Games[[#This Row],[Result]]&lt;0.5,1,0),0)</f>
        <v>0</v>
      </c>
      <c r="AI333" s="2">
        <f>IF(AND(Games[[#This Row],[Type]]="P",Games[[#This Row],[Round]]=3),IF(Games[[#This Row],[Result]]&gt;0.5,1,0),0)</f>
        <v>0</v>
      </c>
      <c r="AJ333" s="2">
        <f>IF(AND(Games[[#This Row],[Type]]="P",Games[[#This Row],[Round]]=3),IF(Games[[#This Row],[Result]]&lt;0.5,1,0),0)</f>
        <v>0</v>
      </c>
      <c r="AK333" s="2">
        <f>IF(AND(Games[[#This Row],[Type]]="P",Games[[#This Row],[Round]]=4),IF(Games[[#This Row],[Result]]&gt;0.5,1,0),0)</f>
        <v>0</v>
      </c>
      <c r="AL333" s="2">
        <f>IF(AND(Games[[#This Row],[Type]]="P",Games[[#This Row],[Round]]=4),IF(Games[[#This Row],[Result]]&lt;0.5,1,0),0)</f>
        <v>0</v>
      </c>
    </row>
    <row r="334" spans="1:38" x14ac:dyDescent="0.35">
      <c r="A334" s="10">
        <v>40398</v>
      </c>
      <c r="B334" s="2">
        <v>2010</v>
      </c>
      <c r="C334" s="2">
        <f>COUNTIFS(Games[Team],Games[[#This Row],[Team]],Games[Season],Games[[#This Row],[Season]],Games[Date],"&lt;=" &amp; Games[[#This Row],[Date]])</f>
        <v>28</v>
      </c>
      <c r="D334" s="2" t="s">
        <v>23</v>
      </c>
      <c r="E334" s="2" t="s">
        <v>29</v>
      </c>
      <c r="F334" s="1" t="s">
        <v>78</v>
      </c>
      <c r="G334" s="1" t="s">
        <v>67</v>
      </c>
      <c r="H334" s="1" t="s">
        <v>16</v>
      </c>
      <c r="I334" s="2" cm="1">
        <f t="array" ref="I33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4" s="2" cm="1">
        <f t="array" ref="J33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4" s="2">
        <f>Games[[#This Row],[DaysOff]]-Games[[#This Row],[OppDaysOff]]</f>
        <v>0</v>
      </c>
      <c r="L334" s="2">
        <f>Games[[#This Row],[OppDaysOff]]-Games[[#This Row],[DaysOff]]</f>
        <v>0</v>
      </c>
      <c r="M334" s="1">
        <f>MAX(-16, MIN(16, Games[[#This Row],[RestDiff]]*8))</f>
        <v>0</v>
      </c>
      <c r="N334" s="1">
        <f>MAX(-16, MIN(16, Games[[#This Row],[OppRestDiff]]*8))</f>
        <v>0</v>
      </c>
      <c r="O334" s="4" cm="1">
        <f t="array" ref="O3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1424.8345417848027</v>
      </c>
      <c r="P334" s="4" cm="1">
        <f t="array" ref="P3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1463.1698026488261</v>
      </c>
      <c r="Q334" s="4">
        <f>1/(1+10^(((Games[[#This Row],[OppPreGmRate]]+IF(Games[[#This Row],[HomeAway]]="A",HCA,0)+Games[[#This Row],[OppRestAdj]])-(Games[[#This Row],[PreGmRate]]+IF(Games[[#This Row],[HomeAway]]="H",HCA,0)+Games[[#This Row],[RestAdj]]))/400))</f>
        <v>0.33087762535733867</v>
      </c>
      <c r="R334" s="1">
        <v>92</v>
      </c>
      <c r="S334" s="1">
        <v>83</v>
      </c>
      <c r="T334" s="1">
        <v>0</v>
      </c>
      <c r="U334" s="1">
        <f>Games[[#This Row],[PointsFor]]-Games[[#This Row],[PointsAgainst]]</f>
        <v>9</v>
      </c>
      <c r="V334" s="1">
        <f>IF(Games[[#This Row],[MOV]]&gt;0,1,IF(Games[[#This Row],[MOV]]=0,0.5,0))</f>
        <v>1</v>
      </c>
      <c r="W334" s="4">
        <f>((ABS(Games[[#This Row],[MOV]])+5)^0.6)/(12+0.01*(ABS(Games[[#This Row],[PreGmRate]]-Games[[#This Row],[OppPreGmRate]])))*IF(Games[[#This Row],[OT]]=1,0.9,1)</f>
        <v>0.393403828488887</v>
      </c>
      <c r="X334" s="7" cm="1">
        <f t="array" ref="X3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4" s="9">
        <f>MAX(kmin, kmax - 0.15 * MIN(Games[[#This Row],[GamesPlayed]], 82))</f>
        <v>71.8</v>
      </c>
      <c r="Z334" s="4">
        <f>Games[[#This Row],[K]]*Games[[#This Row],[POMult]]</f>
        <v>71.8</v>
      </c>
      <c r="AA334" s="4">
        <f>(Games[[#This Row],[Keff]]*Games[[#This Row],[MOVMult]])*(Games[[#This Row],[Result]]-Games[[#This Row],[ExpectedWin%]])</f>
        <v>18.900294820881477</v>
      </c>
      <c r="AB334" s="4">
        <f>Games[[#This Row],[PreGmRate]]+Games[[#This Row],[RatingChange]]</f>
        <v>1443.7348366056842</v>
      </c>
      <c r="AC334" s="2">
        <f>IF(Games[[#This Row],[Type]]="R",IF(Games[[#This Row],[Result]]&gt;0.5,1,0),0)</f>
        <v>1</v>
      </c>
      <c r="AD334" s="2">
        <f>IF(Games[[#This Row],[Type]]="R",IF(Games[[#This Row],[Result]]&lt;0.5,1,0),0)</f>
        <v>0</v>
      </c>
      <c r="AE334" s="2">
        <f>IF(AND(Games[[#This Row],[Type]]="P",Games[[#This Row],[Round]]=1),IF(Games[[#This Row],[Result]]&gt;0.5,1,0),0)</f>
        <v>0</v>
      </c>
      <c r="AF334" s="2">
        <f>IF(AND(Games[[#This Row],[Type]]="P",Games[[#This Row],[Round]]=1),IF(Games[[#This Row],[Result]]&lt;0.5,1,0),0)</f>
        <v>0</v>
      </c>
      <c r="AG334" s="2">
        <f>IF(AND(Games[[#This Row],[Type]]="P",Games[[#This Row],[Round]]=2),IF(Games[[#This Row],[Result]]&gt;0.5,1,0),0)</f>
        <v>0</v>
      </c>
      <c r="AH334" s="2">
        <f>IF(AND(Games[[#This Row],[Type]]="P",Games[[#This Row],[Round]]=2),IF(Games[[#This Row],[Result]]&lt;0.5,1,0),0)</f>
        <v>0</v>
      </c>
      <c r="AI334" s="2">
        <f>IF(AND(Games[[#This Row],[Type]]="P",Games[[#This Row],[Round]]=3),IF(Games[[#This Row],[Result]]&gt;0.5,1,0),0)</f>
        <v>0</v>
      </c>
      <c r="AJ334" s="2">
        <f>IF(AND(Games[[#This Row],[Type]]="P",Games[[#This Row],[Round]]=3),IF(Games[[#This Row],[Result]]&lt;0.5,1,0),0)</f>
        <v>0</v>
      </c>
      <c r="AK334" s="2">
        <f>IF(AND(Games[[#This Row],[Type]]="P",Games[[#This Row],[Round]]=4),IF(Games[[#This Row],[Result]]&gt;0.5,1,0),0)</f>
        <v>0</v>
      </c>
      <c r="AL334" s="2">
        <f>IF(AND(Games[[#This Row],[Type]]="P",Games[[#This Row],[Round]]=4),IF(Games[[#This Row],[Result]]&lt;0.5,1,0),0)</f>
        <v>0</v>
      </c>
    </row>
    <row r="335" spans="1:38" x14ac:dyDescent="0.35">
      <c r="A335" s="10">
        <v>40398</v>
      </c>
      <c r="B335" s="2">
        <v>2010</v>
      </c>
      <c r="C335" s="2">
        <f>COUNTIFS(Games[Team],Games[[#This Row],[Team]],Games[Season],Games[[#This Row],[Season]],Games[Date],"&lt;=" &amp; Games[[#This Row],[Date]])</f>
        <v>28</v>
      </c>
      <c r="D335" s="2" t="s">
        <v>23</v>
      </c>
      <c r="E335" s="2" t="s">
        <v>29</v>
      </c>
      <c r="F335" s="1" t="s">
        <v>67</v>
      </c>
      <c r="G335" s="1" t="s">
        <v>78</v>
      </c>
      <c r="H335" s="1" t="s">
        <v>15</v>
      </c>
      <c r="I335" s="2" cm="1">
        <f t="array" ref="I33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5" s="2" cm="1">
        <f t="array" ref="J33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5" s="2">
        <f>Games[[#This Row],[DaysOff]]-Games[[#This Row],[OppDaysOff]]</f>
        <v>0</v>
      </c>
      <c r="L335" s="2">
        <f>Games[[#This Row],[OppDaysOff]]-Games[[#This Row],[DaysOff]]</f>
        <v>0</v>
      </c>
      <c r="M335" s="1">
        <f>MAX(-16, MIN(16, Games[[#This Row],[RestDiff]]*8))</f>
        <v>0</v>
      </c>
      <c r="N335" s="1">
        <f>MAX(-16, MIN(16, Games[[#This Row],[OppRestDiff]]*8))</f>
        <v>0</v>
      </c>
      <c r="O335" s="4" cm="1">
        <f t="array" ref="O3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1463.1698026488261</v>
      </c>
      <c r="P335" s="4" cm="1">
        <f t="array" ref="P3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1424.8345417848027</v>
      </c>
      <c r="Q335" s="4">
        <f>1/(1+10^(((Games[[#This Row],[OppPreGmRate]]+IF(Games[[#This Row],[HomeAway]]="A",HCA,0)+Games[[#This Row],[OppRestAdj]])-(Games[[#This Row],[PreGmRate]]+IF(Games[[#This Row],[HomeAway]]="H",HCA,0)+Games[[#This Row],[RestAdj]]))/400))</f>
        <v>0.66912237464266133</v>
      </c>
      <c r="R335" s="1">
        <v>83</v>
      </c>
      <c r="S335" s="1">
        <v>92</v>
      </c>
      <c r="T335" s="1">
        <v>0</v>
      </c>
      <c r="U335" s="1">
        <f>Games[[#This Row],[PointsFor]]-Games[[#This Row],[PointsAgainst]]</f>
        <v>-9</v>
      </c>
      <c r="V335" s="1">
        <f>IF(Games[[#This Row],[MOV]]&gt;0,1,IF(Games[[#This Row],[MOV]]=0,0.5,0))</f>
        <v>0</v>
      </c>
      <c r="W335" s="4">
        <f>((ABS(Games[[#This Row],[MOV]])+5)^0.6)/(12+0.01*(ABS(Games[[#This Row],[PreGmRate]]-Games[[#This Row],[OppPreGmRate]])))*IF(Games[[#This Row],[OT]]=1,0.9,1)</f>
        <v>0.393403828488887</v>
      </c>
      <c r="X335" s="7" cm="1">
        <f t="array" ref="X3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5" s="9">
        <f>MAX(kmin, kmax - 0.15 * MIN(Games[[#This Row],[GamesPlayed]], 82))</f>
        <v>71.8</v>
      </c>
      <c r="Z335" s="4">
        <f>Games[[#This Row],[K]]*Games[[#This Row],[POMult]]</f>
        <v>71.8</v>
      </c>
      <c r="AA335" s="4">
        <f>(Games[[#This Row],[Keff]]*Games[[#This Row],[MOVMult]])*(Games[[#This Row],[Result]]-Games[[#This Row],[ExpectedWin%]])</f>
        <v>-18.900294820881477</v>
      </c>
      <c r="AB335" s="4">
        <f>Games[[#This Row],[PreGmRate]]+Games[[#This Row],[RatingChange]]</f>
        <v>1444.2695078279446</v>
      </c>
      <c r="AC335" s="2">
        <f>IF(Games[[#This Row],[Type]]="R",IF(Games[[#This Row],[Result]]&gt;0.5,1,0),0)</f>
        <v>0</v>
      </c>
      <c r="AD335" s="2">
        <f>IF(Games[[#This Row],[Type]]="R",IF(Games[[#This Row],[Result]]&lt;0.5,1,0),0)</f>
        <v>1</v>
      </c>
      <c r="AE335" s="2">
        <f>IF(AND(Games[[#This Row],[Type]]="P",Games[[#This Row],[Round]]=1),IF(Games[[#This Row],[Result]]&gt;0.5,1,0),0)</f>
        <v>0</v>
      </c>
      <c r="AF335" s="2">
        <f>IF(AND(Games[[#This Row],[Type]]="P",Games[[#This Row],[Round]]=1),IF(Games[[#This Row],[Result]]&lt;0.5,1,0),0)</f>
        <v>0</v>
      </c>
      <c r="AG335" s="2">
        <f>IF(AND(Games[[#This Row],[Type]]="P",Games[[#This Row],[Round]]=2),IF(Games[[#This Row],[Result]]&gt;0.5,1,0),0)</f>
        <v>0</v>
      </c>
      <c r="AH335" s="2">
        <f>IF(AND(Games[[#This Row],[Type]]="P",Games[[#This Row],[Round]]=2),IF(Games[[#This Row],[Result]]&lt;0.5,1,0),0)</f>
        <v>0</v>
      </c>
      <c r="AI335" s="2">
        <f>IF(AND(Games[[#This Row],[Type]]="P",Games[[#This Row],[Round]]=3),IF(Games[[#This Row],[Result]]&gt;0.5,1,0),0)</f>
        <v>0</v>
      </c>
      <c r="AJ335" s="2">
        <f>IF(AND(Games[[#This Row],[Type]]="P",Games[[#This Row],[Round]]=3),IF(Games[[#This Row],[Result]]&lt;0.5,1,0),0)</f>
        <v>0</v>
      </c>
      <c r="AK335" s="2">
        <f>IF(AND(Games[[#This Row],[Type]]="P",Games[[#This Row],[Round]]=4),IF(Games[[#This Row],[Result]]&gt;0.5,1,0),0)</f>
        <v>0</v>
      </c>
      <c r="AL335" s="2">
        <f>IF(AND(Games[[#This Row],[Type]]="P",Games[[#This Row],[Round]]=4),IF(Games[[#This Row],[Result]]&lt;0.5,1,0),0)</f>
        <v>0</v>
      </c>
    </row>
    <row r="336" spans="1:38" x14ac:dyDescent="0.35">
      <c r="A336" s="10">
        <v>40398</v>
      </c>
      <c r="B336" s="2">
        <v>2010</v>
      </c>
      <c r="C336" s="2">
        <f>COUNTIFS(Games[Team],Games[[#This Row],[Team]],Games[Season],Games[[#This Row],[Season]],Games[Date],"&lt;=" &amp; Games[[#This Row],[Date]])</f>
        <v>28</v>
      </c>
      <c r="D336" s="2" t="s">
        <v>23</v>
      </c>
      <c r="E336" s="2" t="s">
        <v>29</v>
      </c>
      <c r="F336" s="1" t="s">
        <v>64</v>
      </c>
      <c r="G336" s="1" t="s">
        <v>71</v>
      </c>
      <c r="H336" s="1" t="s">
        <v>16</v>
      </c>
      <c r="I336" s="2" cm="1">
        <f t="array" ref="I33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6" s="2" cm="1">
        <f t="array" ref="J336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36" s="2">
        <f>Games[[#This Row],[DaysOff]]-Games[[#This Row],[OppDaysOff]]</f>
        <v>1</v>
      </c>
      <c r="L336" s="2">
        <f>Games[[#This Row],[OppDaysOff]]-Games[[#This Row],[DaysOff]]</f>
        <v>-1</v>
      </c>
      <c r="M336" s="1">
        <f>MAX(-16, MIN(16, Games[[#This Row],[RestDiff]]*8))</f>
        <v>8</v>
      </c>
      <c r="N336" s="1">
        <f>MAX(-16, MIN(16, Games[[#This Row],[OppRestDiff]]*8))</f>
        <v>-8</v>
      </c>
      <c r="O336" s="4" cm="1">
        <f t="array" ref="O3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1571.8989243107351</v>
      </c>
      <c r="P336" s="4" cm="1">
        <f t="array" ref="P3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1421.3159178911014</v>
      </c>
      <c r="Q336" s="4">
        <f>1/(1+10^(((Games[[#This Row],[OppPreGmRate]]+IF(Games[[#This Row],[HomeAway]]="A",HCA,0)+Games[[#This Row],[OppRestAdj]])-(Games[[#This Row],[PreGmRate]]+IF(Games[[#This Row],[HomeAway]]="H",HCA,0)+Games[[#This Row],[RestAdj]]))/400))</f>
        <v>0.6166577552571364</v>
      </c>
      <c r="R336" s="1">
        <v>74</v>
      </c>
      <c r="S336" s="1">
        <v>72</v>
      </c>
      <c r="T336" s="1">
        <v>0</v>
      </c>
      <c r="U336" s="1">
        <f>Games[[#This Row],[PointsFor]]-Games[[#This Row],[PointsAgainst]]</f>
        <v>2</v>
      </c>
      <c r="V336" s="1">
        <f>IF(Games[[#This Row],[MOV]]&gt;0,1,IF(Games[[#This Row],[MOV]]=0,0.5,0))</f>
        <v>1</v>
      </c>
      <c r="W336" s="4">
        <f>((ABS(Games[[#This Row],[MOV]])+5)^0.6)/(12+0.01*(ABS(Games[[#This Row],[PreGmRate]]-Games[[#This Row],[OppPreGmRate]])))*IF(Games[[#This Row],[OT]]=1,0.9,1)</f>
        <v>0.23797840150799299</v>
      </c>
      <c r="X336" s="7" cm="1">
        <f t="array" ref="X3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6" s="9">
        <f>MAX(kmin, kmax - 0.15 * MIN(Games[[#This Row],[GamesPlayed]], 82))</f>
        <v>71.8</v>
      </c>
      <c r="Z336" s="4">
        <f>Games[[#This Row],[K]]*Games[[#This Row],[POMult]]</f>
        <v>71.8</v>
      </c>
      <c r="AA336" s="4">
        <f>(Games[[#This Row],[Keff]]*Games[[#This Row],[MOVMult]])*(Games[[#This Row],[Result]]-Games[[#This Row],[ExpectedWin%]])</f>
        <v>6.5501111387493811</v>
      </c>
      <c r="AB336" s="4">
        <f>Games[[#This Row],[PreGmRate]]+Games[[#This Row],[RatingChange]]</f>
        <v>1578.4490354494844</v>
      </c>
      <c r="AC336" s="2">
        <f>IF(Games[[#This Row],[Type]]="R",IF(Games[[#This Row],[Result]]&gt;0.5,1,0),0)</f>
        <v>1</v>
      </c>
      <c r="AD336" s="2">
        <f>IF(Games[[#This Row],[Type]]="R",IF(Games[[#This Row],[Result]]&lt;0.5,1,0),0)</f>
        <v>0</v>
      </c>
      <c r="AE336" s="2">
        <f>IF(AND(Games[[#This Row],[Type]]="P",Games[[#This Row],[Round]]=1),IF(Games[[#This Row],[Result]]&gt;0.5,1,0),0)</f>
        <v>0</v>
      </c>
      <c r="AF336" s="2">
        <f>IF(AND(Games[[#This Row],[Type]]="P",Games[[#This Row],[Round]]=1),IF(Games[[#This Row],[Result]]&lt;0.5,1,0),0)</f>
        <v>0</v>
      </c>
      <c r="AG336" s="2">
        <f>IF(AND(Games[[#This Row],[Type]]="P",Games[[#This Row],[Round]]=2),IF(Games[[#This Row],[Result]]&gt;0.5,1,0),0)</f>
        <v>0</v>
      </c>
      <c r="AH336" s="2">
        <f>IF(AND(Games[[#This Row],[Type]]="P",Games[[#This Row],[Round]]=2),IF(Games[[#This Row],[Result]]&lt;0.5,1,0),0)</f>
        <v>0</v>
      </c>
      <c r="AI336" s="2">
        <f>IF(AND(Games[[#This Row],[Type]]="P",Games[[#This Row],[Round]]=3),IF(Games[[#This Row],[Result]]&gt;0.5,1,0),0)</f>
        <v>0</v>
      </c>
      <c r="AJ336" s="2">
        <f>IF(AND(Games[[#This Row],[Type]]="P",Games[[#This Row],[Round]]=3),IF(Games[[#This Row],[Result]]&lt;0.5,1,0),0)</f>
        <v>0</v>
      </c>
      <c r="AK336" s="2">
        <f>IF(AND(Games[[#This Row],[Type]]="P",Games[[#This Row],[Round]]=4),IF(Games[[#This Row],[Result]]&gt;0.5,1,0),0)</f>
        <v>0</v>
      </c>
      <c r="AL336" s="2">
        <f>IF(AND(Games[[#This Row],[Type]]="P",Games[[#This Row],[Round]]=4),IF(Games[[#This Row],[Result]]&lt;0.5,1,0),0)</f>
        <v>0</v>
      </c>
    </row>
    <row r="337" spans="1:38" x14ac:dyDescent="0.35">
      <c r="A337" s="10">
        <v>40398</v>
      </c>
      <c r="B337" s="2">
        <v>2010</v>
      </c>
      <c r="C337" s="2">
        <f>COUNTIFS(Games[Team],Games[[#This Row],[Team]],Games[Season],Games[[#This Row],[Season]],Games[Date],"&lt;=" &amp; Games[[#This Row],[Date]])</f>
        <v>27</v>
      </c>
      <c r="D337" s="2" t="s">
        <v>23</v>
      </c>
      <c r="E337" s="2" t="s">
        <v>29</v>
      </c>
      <c r="F337" s="1" t="s">
        <v>71</v>
      </c>
      <c r="G337" s="1" t="s">
        <v>64</v>
      </c>
      <c r="H337" s="1" t="s">
        <v>15</v>
      </c>
      <c r="I337" s="2" cm="1">
        <f t="array" ref="I337">IFERROR(
    Games[[#This Row],[Date]]
    - LOOKUP(
        2,
        1/((Games[Team]=Games[[#This Row],[Team]]) * (Games[Date] &lt; Games[[#This Row],[Date]])),
        Games[Date]
    )
    - 1,
Games[[#This Row],[Date]]-$A$2)</f>
        <v>0</v>
      </c>
      <c r="J337" s="2" cm="1">
        <f t="array" ref="J33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7" s="2">
        <f>Games[[#This Row],[DaysOff]]-Games[[#This Row],[OppDaysOff]]</f>
        <v>-1</v>
      </c>
      <c r="L337" s="2">
        <f>Games[[#This Row],[OppDaysOff]]-Games[[#This Row],[DaysOff]]</f>
        <v>1</v>
      </c>
      <c r="M337" s="1">
        <f>MAX(-16, MIN(16, Games[[#This Row],[RestDiff]]*8))</f>
        <v>-8</v>
      </c>
      <c r="N337" s="1">
        <f>MAX(-16, MIN(16, Games[[#This Row],[OppRestDiff]]*8))</f>
        <v>8</v>
      </c>
      <c r="O337" s="4" cm="1">
        <f t="array" ref="O3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1421.3159178911014</v>
      </c>
      <c r="P337" s="4" cm="1">
        <f t="array" ref="P3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1571.8989243107351</v>
      </c>
      <c r="Q337" s="4">
        <f>1/(1+10^(((Games[[#This Row],[OppPreGmRate]]+IF(Games[[#This Row],[HomeAway]]="A",HCA,0)+Games[[#This Row],[OppRestAdj]])-(Games[[#This Row],[PreGmRate]]+IF(Games[[#This Row],[HomeAway]]="H",HCA,0)+Games[[#This Row],[RestAdj]]))/400))</f>
        <v>0.3833422447428636</v>
      </c>
      <c r="R337" s="1">
        <v>72</v>
      </c>
      <c r="S337" s="1">
        <v>74</v>
      </c>
      <c r="T337" s="1">
        <v>0</v>
      </c>
      <c r="U337" s="1">
        <f>Games[[#This Row],[PointsFor]]-Games[[#This Row],[PointsAgainst]]</f>
        <v>-2</v>
      </c>
      <c r="V337" s="1">
        <f>IF(Games[[#This Row],[MOV]]&gt;0,1,IF(Games[[#This Row],[MOV]]=0,0.5,0))</f>
        <v>0</v>
      </c>
      <c r="W337" s="4">
        <f>((ABS(Games[[#This Row],[MOV]])+5)^0.6)/(12+0.01*(ABS(Games[[#This Row],[PreGmRate]]-Games[[#This Row],[OppPreGmRate]])))*IF(Games[[#This Row],[OT]]=1,0.9,1)</f>
        <v>0.23797840150799299</v>
      </c>
      <c r="X337" s="7" cm="1">
        <f t="array" ref="X3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7" s="9">
        <f>MAX(kmin, kmax - 0.15 * MIN(Games[[#This Row],[GamesPlayed]], 82))</f>
        <v>71.95</v>
      </c>
      <c r="Z337" s="4">
        <f>Games[[#This Row],[K]]*Games[[#This Row],[POMult]]</f>
        <v>71.95</v>
      </c>
      <c r="AA337" s="4">
        <f>(Games[[#This Row],[Keff]]*Games[[#This Row],[MOVMult]])*(Games[[#This Row],[Result]]-Games[[#This Row],[ExpectedWin%]])</f>
        <v>-6.5637952149445411</v>
      </c>
      <c r="AB337" s="4">
        <f>Games[[#This Row],[PreGmRate]]+Games[[#This Row],[RatingChange]]</f>
        <v>1414.7521226761569</v>
      </c>
      <c r="AC337" s="2">
        <f>IF(Games[[#This Row],[Type]]="R",IF(Games[[#This Row],[Result]]&gt;0.5,1,0),0)</f>
        <v>0</v>
      </c>
      <c r="AD337" s="2">
        <f>IF(Games[[#This Row],[Type]]="R",IF(Games[[#This Row],[Result]]&lt;0.5,1,0),0)</f>
        <v>1</v>
      </c>
      <c r="AE337" s="2">
        <f>IF(AND(Games[[#This Row],[Type]]="P",Games[[#This Row],[Round]]=1),IF(Games[[#This Row],[Result]]&gt;0.5,1,0),0)</f>
        <v>0</v>
      </c>
      <c r="AF337" s="2">
        <f>IF(AND(Games[[#This Row],[Type]]="P",Games[[#This Row],[Round]]=1),IF(Games[[#This Row],[Result]]&lt;0.5,1,0),0)</f>
        <v>0</v>
      </c>
      <c r="AG337" s="2">
        <f>IF(AND(Games[[#This Row],[Type]]="P",Games[[#This Row],[Round]]=2),IF(Games[[#This Row],[Result]]&gt;0.5,1,0),0)</f>
        <v>0</v>
      </c>
      <c r="AH337" s="2">
        <f>IF(AND(Games[[#This Row],[Type]]="P",Games[[#This Row],[Round]]=2),IF(Games[[#This Row],[Result]]&lt;0.5,1,0),0)</f>
        <v>0</v>
      </c>
      <c r="AI337" s="2">
        <f>IF(AND(Games[[#This Row],[Type]]="P",Games[[#This Row],[Round]]=3),IF(Games[[#This Row],[Result]]&gt;0.5,1,0),0)</f>
        <v>0</v>
      </c>
      <c r="AJ337" s="2">
        <f>IF(AND(Games[[#This Row],[Type]]="P",Games[[#This Row],[Round]]=3),IF(Games[[#This Row],[Result]]&lt;0.5,1,0),0)</f>
        <v>0</v>
      </c>
      <c r="AK337" s="2">
        <f>IF(AND(Games[[#This Row],[Type]]="P",Games[[#This Row],[Round]]=4),IF(Games[[#This Row],[Result]]&gt;0.5,1,0),0)</f>
        <v>0</v>
      </c>
      <c r="AL337" s="2">
        <f>IF(AND(Games[[#This Row],[Type]]="P",Games[[#This Row],[Round]]=4),IF(Games[[#This Row],[Result]]&lt;0.5,1,0),0)</f>
        <v>0</v>
      </c>
    </row>
    <row r="338" spans="1:38" x14ac:dyDescent="0.35">
      <c r="A338" s="10">
        <v>40398</v>
      </c>
      <c r="B338" s="2">
        <v>2010</v>
      </c>
      <c r="C338" s="2">
        <f>COUNTIFS(Games[Team],Games[[#This Row],[Team]],Games[Season],Games[[#This Row],[Season]],Games[Date],"&lt;=" &amp; Games[[#This Row],[Date]])</f>
        <v>28</v>
      </c>
      <c r="D338" s="2" t="s">
        <v>23</v>
      </c>
      <c r="E338" s="2" t="s">
        <v>29</v>
      </c>
      <c r="F338" s="1" t="s">
        <v>73</v>
      </c>
      <c r="G338" s="1" t="s">
        <v>44</v>
      </c>
      <c r="H338" s="1" t="s">
        <v>16</v>
      </c>
      <c r="I338" s="2" cm="1">
        <f t="array" ref="I33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8" s="2" cm="1">
        <f t="array" ref="J33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8" s="2">
        <f>Games[[#This Row],[DaysOff]]-Games[[#This Row],[OppDaysOff]]</f>
        <v>0</v>
      </c>
      <c r="L338" s="2">
        <f>Games[[#This Row],[OppDaysOff]]-Games[[#This Row],[DaysOff]]</f>
        <v>0</v>
      </c>
      <c r="M338" s="1">
        <f>MAX(-16, MIN(16, Games[[#This Row],[RestDiff]]*8))</f>
        <v>0</v>
      </c>
      <c r="N338" s="1">
        <f>MAX(-16, MIN(16, Games[[#This Row],[OppRestDiff]]*8))</f>
        <v>0</v>
      </c>
      <c r="O338" s="4" cm="1">
        <f t="array" ref="O3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1577.6341950443025</v>
      </c>
      <c r="P338" s="4" cm="1">
        <f t="array" ref="P3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1569.5004976927648</v>
      </c>
      <c r="Q338" s="4">
        <f>1/(1+10^(((Games[[#This Row],[OppPreGmRate]]+IF(Games[[#This Row],[HomeAway]]="A",HCA,0)+Games[[#This Row],[OppRestAdj]])-(Games[[#This Row],[PreGmRate]]+IF(Games[[#This Row],[HomeAway]]="H",HCA,0)+Games[[#This Row],[RestAdj]]))/400))</f>
        <v>0.3925224363877004</v>
      </c>
      <c r="R338" s="1">
        <v>104</v>
      </c>
      <c r="S338" s="1">
        <v>82</v>
      </c>
      <c r="T338" s="1">
        <v>0</v>
      </c>
      <c r="U338" s="1">
        <f>Games[[#This Row],[PointsFor]]-Games[[#This Row],[PointsAgainst]]</f>
        <v>22</v>
      </c>
      <c r="V338" s="1">
        <f>IF(Games[[#This Row],[MOV]]&gt;0,1,IF(Games[[#This Row],[MOV]]=0,0.5,0))</f>
        <v>1</v>
      </c>
      <c r="W338" s="4">
        <f>((ABS(Games[[#This Row],[MOV]])+5)^0.6)/(12+0.01*(ABS(Games[[#This Row],[PreGmRate]]-Games[[#This Row],[OppPreGmRate]])))*IF(Games[[#This Row],[OT]]=1,0.9,1)</f>
        <v>0.59800285942524045</v>
      </c>
      <c r="X338" s="7" cm="1">
        <f t="array" ref="X3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8" s="9">
        <f>MAX(kmin, kmax - 0.15 * MIN(Games[[#This Row],[GamesPlayed]], 82))</f>
        <v>71.8</v>
      </c>
      <c r="Z338" s="4">
        <f>Games[[#This Row],[K]]*Games[[#This Row],[POMult]]</f>
        <v>71.8</v>
      </c>
      <c r="AA338" s="4">
        <f>(Games[[#This Row],[Keff]]*Games[[#This Row],[MOVMult]])*(Games[[#This Row],[Result]]-Games[[#This Row],[ExpectedWin%]])</f>
        <v>26.083024381516644</v>
      </c>
      <c r="AB338" s="4">
        <f>Games[[#This Row],[PreGmRate]]+Games[[#This Row],[RatingChange]]</f>
        <v>1603.7172194258192</v>
      </c>
      <c r="AC338" s="2">
        <f>IF(Games[[#This Row],[Type]]="R",IF(Games[[#This Row],[Result]]&gt;0.5,1,0),0)</f>
        <v>1</v>
      </c>
      <c r="AD338" s="2">
        <f>IF(Games[[#This Row],[Type]]="R",IF(Games[[#This Row],[Result]]&lt;0.5,1,0),0)</f>
        <v>0</v>
      </c>
      <c r="AE338" s="2">
        <f>IF(AND(Games[[#This Row],[Type]]="P",Games[[#This Row],[Round]]=1),IF(Games[[#This Row],[Result]]&gt;0.5,1,0),0)</f>
        <v>0</v>
      </c>
      <c r="AF338" s="2">
        <f>IF(AND(Games[[#This Row],[Type]]="P",Games[[#This Row],[Round]]=1),IF(Games[[#This Row],[Result]]&lt;0.5,1,0),0)</f>
        <v>0</v>
      </c>
      <c r="AG338" s="2">
        <f>IF(AND(Games[[#This Row],[Type]]="P",Games[[#This Row],[Round]]=2),IF(Games[[#This Row],[Result]]&gt;0.5,1,0),0)</f>
        <v>0</v>
      </c>
      <c r="AH338" s="2">
        <f>IF(AND(Games[[#This Row],[Type]]="P",Games[[#This Row],[Round]]=2),IF(Games[[#This Row],[Result]]&lt;0.5,1,0),0)</f>
        <v>0</v>
      </c>
      <c r="AI338" s="2">
        <f>IF(AND(Games[[#This Row],[Type]]="P",Games[[#This Row],[Round]]=3),IF(Games[[#This Row],[Result]]&gt;0.5,1,0),0)</f>
        <v>0</v>
      </c>
      <c r="AJ338" s="2">
        <f>IF(AND(Games[[#This Row],[Type]]="P",Games[[#This Row],[Round]]=3),IF(Games[[#This Row],[Result]]&lt;0.5,1,0),0)</f>
        <v>0</v>
      </c>
      <c r="AK338" s="2">
        <f>IF(AND(Games[[#This Row],[Type]]="P",Games[[#This Row],[Round]]=4),IF(Games[[#This Row],[Result]]&gt;0.5,1,0),0)</f>
        <v>0</v>
      </c>
      <c r="AL338" s="2">
        <f>IF(AND(Games[[#This Row],[Type]]="P",Games[[#This Row],[Round]]=4),IF(Games[[#This Row],[Result]]&lt;0.5,1,0),0)</f>
        <v>0</v>
      </c>
    </row>
    <row r="339" spans="1:38" x14ac:dyDescent="0.35">
      <c r="A339" s="10">
        <v>40398</v>
      </c>
      <c r="B339" s="2">
        <v>2010</v>
      </c>
      <c r="C339" s="2">
        <f>COUNTIFS(Games[Team],Games[[#This Row],[Team]],Games[Season],Games[[#This Row],[Season]],Games[Date],"&lt;=" &amp; Games[[#This Row],[Date]])</f>
        <v>28</v>
      </c>
      <c r="D339" s="2" t="s">
        <v>23</v>
      </c>
      <c r="E339" s="2" t="s">
        <v>29</v>
      </c>
      <c r="F339" s="1" t="s">
        <v>44</v>
      </c>
      <c r="G339" s="1" t="s">
        <v>73</v>
      </c>
      <c r="H339" s="1" t="s">
        <v>15</v>
      </c>
      <c r="I339" s="2" cm="1">
        <f t="array" ref="I33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9" s="2" cm="1">
        <f t="array" ref="J33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9" s="2">
        <f>Games[[#This Row],[DaysOff]]-Games[[#This Row],[OppDaysOff]]</f>
        <v>0</v>
      </c>
      <c r="L339" s="2">
        <f>Games[[#This Row],[OppDaysOff]]-Games[[#This Row],[DaysOff]]</f>
        <v>0</v>
      </c>
      <c r="M339" s="1">
        <f>MAX(-16, MIN(16, Games[[#This Row],[RestDiff]]*8))</f>
        <v>0</v>
      </c>
      <c r="N339" s="1">
        <f>MAX(-16, MIN(16, Games[[#This Row],[OppRestDiff]]*8))</f>
        <v>0</v>
      </c>
      <c r="O339" s="4" cm="1">
        <f t="array" ref="O3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1569.5004976927648</v>
      </c>
      <c r="P339" s="4" cm="1">
        <f t="array" ref="P3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1577.6341950443025</v>
      </c>
      <c r="Q339" s="4">
        <f>1/(1+10^(((Games[[#This Row],[OppPreGmRate]]+IF(Games[[#This Row],[HomeAway]]="A",HCA,0)+Games[[#This Row],[OppRestAdj]])-(Games[[#This Row],[PreGmRate]]+IF(Games[[#This Row],[HomeAway]]="H",HCA,0)+Games[[#This Row],[RestAdj]]))/400))</f>
        <v>0.60747756361229965</v>
      </c>
      <c r="R339" s="1">
        <v>82</v>
      </c>
      <c r="S339" s="1">
        <v>104</v>
      </c>
      <c r="T339" s="1">
        <v>0</v>
      </c>
      <c r="U339" s="1">
        <f>Games[[#This Row],[PointsFor]]-Games[[#This Row],[PointsAgainst]]</f>
        <v>-22</v>
      </c>
      <c r="V339" s="1">
        <f>IF(Games[[#This Row],[MOV]]&gt;0,1,IF(Games[[#This Row],[MOV]]=0,0.5,0))</f>
        <v>0</v>
      </c>
      <c r="W339" s="4">
        <f>((ABS(Games[[#This Row],[MOV]])+5)^0.6)/(12+0.01*(ABS(Games[[#This Row],[PreGmRate]]-Games[[#This Row],[OppPreGmRate]])))*IF(Games[[#This Row],[OT]]=1,0.9,1)</f>
        <v>0.59800285942524045</v>
      </c>
      <c r="X339" s="7" cm="1">
        <f t="array" ref="X3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9" s="9">
        <f>MAX(kmin, kmax - 0.15 * MIN(Games[[#This Row],[GamesPlayed]], 82))</f>
        <v>71.8</v>
      </c>
      <c r="Z339" s="4">
        <f>Games[[#This Row],[K]]*Games[[#This Row],[POMult]]</f>
        <v>71.8</v>
      </c>
      <c r="AA339" s="4">
        <f>(Games[[#This Row],[Keff]]*Games[[#This Row],[MOVMult]])*(Games[[#This Row],[Result]]-Games[[#This Row],[ExpectedWin%]])</f>
        <v>-26.083024381516651</v>
      </c>
      <c r="AB339" s="4">
        <f>Games[[#This Row],[PreGmRate]]+Games[[#This Row],[RatingChange]]</f>
        <v>1543.4174733112482</v>
      </c>
      <c r="AC339" s="2">
        <f>IF(Games[[#This Row],[Type]]="R",IF(Games[[#This Row],[Result]]&gt;0.5,1,0),0)</f>
        <v>0</v>
      </c>
      <c r="AD339" s="2">
        <f>IF(Games[[#This Row],[Type]]="R",IF(Games[[#This Row],[Result]]&lt;0.5,1,0),0)</f>
        <v>1</v>
      </c>
      <c r="AE339" s="2">
        <f>IF(AND(Games[[#This Row],[Type]]="P",Games[[#This Row],[Round]]=1),IF(Games[[#This Row],[Result]]&gt;0.5,1,0),0)</f>
        <v>0</v>
      </c>
      <c r="AF339" s="2">
        <f>IF(AND(Games[[#This Row],[Type]]="P",Games[[#This Row],[Round]]=1),IF(Games[[#This Row],[Result]]&lt;0.5,1,0),0)</f>
        <v>0</v>
      </c>
      <c r="AG339" s="2">
        <f>IF(AND(Games[[#This Row],[Type]]="P",Games[[#This Row],[Round]]=2),IF(Games[[#This Row],[Result]]&gt;0.5,1,0),0)</f>
        <v>0</v>
      </c>
      <c r="AH339" s="2">
        <f>IF(AND(Games[[#This Row],[Type]]="P",Games[[#This Row],[Round]]=2),IF(Games[[#This Row],[Result]]&lt;0.5,1,0),0)</f>
        <v>0</v>
      </c>
      <c r="AI339" s="2">
        <f>IF(AND(Games[[#This Row],[Type]]="P",Games[[#This Row],[Round]]=3),IF(Games[[#This Row],[Result]]&gt;0.5,1,0),0)</f>
        <v>0</v>
      </c>
      <c r="AJ339" s="2">
        <f>IF(AND(Games[[#This Row],[Type]]="P",Games[[#This Row],[Round]]=3),IF(Games[[#This Row],[Result]]&lt;0.5,1,0),0)</f>
        <v>0</v>
      </c>
      <c r="AK339" s="2">
        <f>IF(AND(Games[[#This Row],[Type]]="P",Games[[#This Row],[Round]]=4),IF(Games[[#This Row],[Result]]&gt;0.5,1,0),0)</f>
        <v>0</v>
      </c>
      <c r="AL339" s="2">
        <f>IF(AND(Games[[#This Row],[Type]]="P",Games[[#This Row],[Round]]=4),IF(Games[[#This Row],[Result]]&lt;0.5,1,0),0)</f>
        <v>0</v>
      </c>
    </row>
    <row r="340" spans="1:38" x14ac:dyDescent="0.35">
      <c r="A340" s="10">
        <v>40400</v>
      </c>
      <c r="B340" s="2">
        <v>2010</v>
      </c>
      <c r="C340" s="2">
        <f>COUNTIFS(Games[Team],Games[[#This Row],[Team]],Games[Season],Games[[#This Row],[Season]],Games[Date],"&lt;=" &amp; Games[[#This Row],[Date]])</f>
        <v>29</v>
      </c>
      <c r="D340" s="2" t="s">
        <v>23</v>
      </c>
      <c r="E340" s="2" t="s">
        <v>29</v>
      </c>
      <c r="F340" s="1" t="s">
        <v>75</v>
      </c>
      <c r="G340" s="1" t="s">
        <v>83</v>
      </c>
      <c r="H340" s="1" t="s">
        <v>16</v>
      </c>
      <c r="I340" s="2" cm="1">
        <f t="array" ref="I340">IFERROR(
    Games[[#This Row],[Date]]
    - LOOKUP(
        2,
        1/((Games[Team]=Games[[#This Row],[Team]]) * (Games[Date] &lt; Games[[#This Row],[Date]])),
        Games[Date]
    )
    - 1,
Games[[#This Row],[Date]]-$A$2)</f>
        <v>2</v>
      </c>
      <c r="J340" s="2" cm="1">
        <f t="array" ref="J34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40" s="2">
        <f>Games[[#This Row],[DaysOff]]-Games[[#This Row],[OppDaysOff]]</f>
        <v>-1</v>
      </c>
      <c r="L340" s="2">
        <f>Games[[#This Row],[OppDaysOff]]-Games[[#This Row],[DaysOff]]</f>
        <v>1</v>
      </c>
      <c r="M340" s="1">
        <f>MAX(-16, MIN(16, Games[[#This Row],[RestDiff]]*8))</f>
        <v>-8</v>
      </c>
      <c r="N340" s="1">
        <f>MAX(-16, MIN(16, Games[[#This Row],[OppRestDiff]]*8))</f>
        <v>8</v>
      </c>
      <c r="O340" s="4" cm="1">
        <f t="array" ref="O3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1669.5699978543926</v>
      </c>
      <c r="P340" s="4" cm="1">
        <f t="array" ref="P3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1559.9359763705988</v>
      </c>
      <c r="Q340" s="4">
        <f>1/(1+10^(((Games[[#This Row],[OppPreGmRate]]+IF(Games[[#This Row],[HomeAway]]="A",HCA,0)+Games[[#This Row],[OppRestAdj]])-(Games[[#This Row],[PreGmRate]]+IF(Games[[#This Row],[HomeAway]]="H",HCA,0)+Games[[#This Row],[RestAdj]]))/400))</f>
        <v>0.513860919063862</v>
      </c>
      <c r="R340" s="1">
        <v>80</v>
      </c>
      <c r="S340" s="1">
        <v>70</v>
      </c>
      <c r="T340" s="1">
        <v>0</v>
      </c>
      <c r="U340" s="1">
        <f>Games[[#This Row],[PointsFor]]-Games[[#This Row],[PointsAgainst]]</f>
        <v>10</v>
      </c>
      <c r="V340" s="1">
        <f>IF(Games[[#This Row],[MOV]]&gt;0,1,IF(Games[[#This Row],[MOV]]=0,0.5,0))</f>
        <v>1</v>
      </c>
      <c r="W340" s="4">
        <f>((ABS(Games[[#This Row],[MOV]])+5)^0.6)/(12+0.01*(ABS(Games[[#This Row],[PreGmRate]]-Games[[#This Row],[OppPreGmRate]])))*IF(Games[[#This Row],[OT]]=1,0.9,1)</f>
        <v>0.38770803970368911</v>
      </c>
      <c r="X340" s="7" cm="1">
        <f t="array" ref="X3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0" s="9">
        <f>MAX(kmin, kmax - 0.15 * MIN(Games[[#This Row],[GamesPlayed]], 82))</f>
        <v>71.650000000000006</v>
      </c>
      <c r="Z340" s="4">
        <f>Games[[#This Row],[K]]*Games[[#This Row],[POMult]]</f>
        <v>71.650000000000006</v>
      </c>
      <c r="AA340" s="4">
        <f>(Games[[#This Row],[Keff]]*Games[[#This Row],[MOVMult]])*(Games[[#This Row],[Result]]-Games[[#This Row],[ExpectedWin%]])</f>
        <v>13.504594156170841</v>
      </c>
      <c r="AB340" s="4">
        <f>Games[[#This Row],[PreGmRate]]+Games[[#This Row],[RatingChange]]</f>
        <v>1683.0745920105635</v>
      </c>
      <c r="AC340" s="2">
        <f>IF(Games[[#This Row],[Type]]="R",IF(Games[[#This Row],[Result]]&gt;0.5,1,0),0)</f>
        <v>1</v>
      </c>
      <c r="AD340" s="2">
        <f>IF(Games[[#This Row],[Type]]="R",IF(Games[[#This Row],[Result]]&lt;0.5,1,0),0)</f>
        <v>0</v>
      </c>
      <c r="AE340" s="2">
        <f>IF(AND(Games[[#This Row],[Type]]="P",Games[[#This Row],[Round]]=1),IF(Games[[#This Row],[Result]]&gt;0.5,1,0),0)</f>
        <v>0</v>
      </c>
      <c r="AF340" s="2">
        <f>IF(AND(Games[[#This Row],[Type]]="P",Games[[#This Row],[Round]]=1),IF(Games[[#This Row],[Result]]&lt;0.5,1,0),0)</f>
        <v>0</v>
      </c>
      <c r="AG340" s="2">
        <f>IF(AND(Games[[#This Row],[Type]]="P",Games[[#This Row],[Round]]=2),IF(Games[[#This Row],[Result]]&gt;0.5,1,0),0)</f>
        <v>0</v>
      </c>
      <c r="AH340" s="2">
        <f>IF(AND(Games[[#This Row],[Type]]="P",Games[[#This Row],[Round]]=2),IF(Games[[#This Row],[Result]]&lt;0.5,1,0),0)</f>
        <v>0</v>
      </c>
      <c r="AI340" s="2">
        <f>IF(AND(Games[[#This Row],[Type]]="P",Games[[#This Row],[Round]]=3),IF(Games[[#This Row],[Result]]&gt;0.5,1,0),0)</f>
        <v>0</v>
      </c>
      <c r="AJ340" s="2">
        <f>IF(AND(Games[[#This Row],[Type]]="P",Games[[#This Row],[Round]]=3),IF(Games[[#This Row],[Result]]&lt;0.5,1,0),0)</f>
        <v>0</v>
      </c>
      <c r="AK340" s="2">
        <f>IF(AND(Games[[#This Row],[Type]]="P",Games[[#This Row],[Round]]=4),IF(Games[[#This Row],[Result]]&gt;0.5,1,0),0)</f>
        <v>0</v>
      </c>
      <c r="AL340" s="2">
        <f>IF(AND(Games[[#This Row],[Type]]="P",Games[[#This Row],[Round]]=4),IF(Games[[#This Row],[Result]]&lt;0.5,1,0),0)</f>
        <v>0</v>
      </c>
    </row>
    <row r="341" spans="1:38" x14ac:dyDescent="0.35">
      <c r="A341" s="10">
        <v>40400</v>
      </c>
      <c r="B341" s="2">
        <v>2010</v>
      </c>
      <c r="C341" s="2">
        <f>COUNTIFS(Games[Team],Games[[#This Row],[Team]],Games[Season],Games[[#This Row],[Season]],Games[Date],"&lt;=" &amp; Games[[#This Row],[Date]])</f>
        <v>30</v>
      </c>
      <c r="D341" s="2" t="s">
        <v>23</v>
      </c>
      <c r="E341" s="2" t="s">
        <v>29</v>
      </c>
      <c r="F341" s="1" t="s">
        <v>83</v>
      </c>
      <c r="G341" s="1" t="s">
        <v>75</v>
      </c>
      <c r="H341" s="1" t="s">
        <v>15</v>
      </c>
      <c r="I341" s="2" cm="1">
        <f t="array" ref="I341">IFERROR(
    Games[[#This Row],[Date]]
    - LOOKUP(
        2,
        1/((Games[Team]=Games[[#This Row],[Team]]) * (Games[Date] &lt; Games[[#This Row],[Date]])),
        Games[Date]
    )
    - 1,
Games[[#This Row],[Date]]-$A$2)</f>
        <v>3</v>
      </c>
      <c r="J341" s="2" cm="1">
        <f t="array" ref="J34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41" s="2">
        <f>Games[[#This Row],[DaysOff]]-Games[[#This Row],[OppDaysOff]]</f>
        <v>1</v>
      </c>
      <c r="L341" s="2">
        <f>Games[[#This Row],[OppDaysOff]]-Games[[#This Row],[DaysOff]]</f>
        <v>-1</v>
      </c>
      <c r="M341" s="1">
        <f>MAX(-16, MIN(16, Games[[#This Row],[RestDiff]]*8))</f>
        <v>8</v>
      </c>
      <c r="N341" s="1">
        <f>MAX(-16, MIN(16, Games[[#This Row],[OppRestDiff]]*8))</f>
        <v>-8</v>
      </c>
      <c r="O341" s="4" cm="1">
        <f t="array" ref="O3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1559.9359763705988</v>
      </c>
      <c r="P341" s="4" cm="1">
        <f t="array" ref="P3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1669.5699978543926</v>
      </c>
      <c r="Q341" s="4">
        <f>1/(1+10^(((Games[[#This Row],[OppPreGmRate]]+IF(Games[[#This Row],[HomeAway]]="A",HCA,0)+Games[[#This Row],[OppRestAdj]])-(Games[[#This Row],[PreGmRate]]+IF(Games[[#This Row],[HomeAway]]="H",HCA,0)+Games[[#This Row],[RestAdj]]))/400))</f>
        <v>0.486139080936138</v>
      </c>
      <c r="R341" s="1">
        <v>70</v>
      </c>
      <c r="S341" s="1">
        <v>80</v>
      </c>
      <c r="T341" s="1">
        <v>0</v>
      </c>
      <c r="U341" s="1">
        <f>Games[[#This Row],[PointsFor]]-Games[[#This Row],[PointsAgainst]]</f>
        <v>-10</v>
      </c>
      <c r="V341" s="1">
        <f>IF(Games[[#This Row],[MOV]]&gt;0,1,IF(Games[[#This Row],[MOV]]=0,0.5,0))</f>
        <v>0</v>
      </c>
      <c r="W341" s="4">
        <f>((ABS(Games[[#This Row],[MOV]])+5)^0.6)/(12+0.01*(ABS(Games[[#This Row],[PreGmRate]]-Games[[#This Row],[OppPreGmRate]])))*IF(Games[[#This Row],[OT]]=1,0.9,1)</f>
        <v>0.38770803970368911</v>
      </c>
      <c r="X341" s="7" cm="1">
        <f t="array" ref="X3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1" s="9">
        <f>MAX(kmin, kmax - 0.15 * MIN(Games[[#This Row],[GamesPlayed]], 82))</f>
        <v>71.5</v>
      </c>
      <c r="Z341" s="4">
        <f>Games[[#This Row],[K]]*Games[[#This Row],[POMult]]</f>
        <v>71.5</v>
      </c>
      <c r="AA341" s="4">
        <f>(Games[[#This Row],[Keff]]*Games[[#This Row],[MOVMult]])*(Games[[#This Row],[Result]]-Games[[#This Row],[ExpectedWin%]])</f>
        <v>-13.476322151656873</v>
      </c>
      <c r="AB341" s="4">
        <f>Games[[#This Row],[PreGmRate]]+Games[[#This Row],[RatingChange]]</f>
        <v>1546.459654218942</v>
      </c>
      <c r="AC341" s="2">
        <f>IF(Games[[#This Row],[Type]]="R",IF(Games[[#This Row],[Result]]&gt;0.5,1,0),0)</f>
        <v>0</v>
      </c>
      <c r="AD341" s="2">
        <f>IF(Games[[#This Row],[Type]]="R",IF(Games[[#This Row],[Result]]&lt;0.5,1,0),0)</f>
        <v>1</v>
      </c>
      <c r="AE341" s="2">
        <f>IF(AND(Games[[#This Row],[Type]]="P",Games[[#This Row],[Round]]=1),IF(Games[[#This Row],[Result]]&gt;0.5,1,0),0)</f>
        <v>0</v>
      </c>
      <c r="AF341" s="2">
        <f>IF(AND(Games[[#This Row],[Type]]="P",Games[[#This Row],[Round]]=1),IF(Games[[#This Row],[Result]]&lt;0.5,1,0),0)</f>
        <v>0</v>
      </c>
      <c r="AG341" s="2">
        <f>IF(AND(Games[[#This Row],[Type]]="P",Games[[#This Row],[Round]]=2),IF(Games[[#This Row],[Result]]&gt;0.5,1,0),0)</f>
        <v>0</v>
      </c>
      <c r="AH341" s="2">
        <f>IF(AND(Games[[#This Row],[Type]]="P",Games[[#This Row],[Round]]=2),IF(Games[[#This Row],[Result]]&lt;0.5,1,0),0)</f>
        <v>0</v>
      </c>
      <c r="AI341" s="2">
        <f>IF(AND(Games[[#This Row],[Type]]="P",Games[[#This Row],[Round]]=3),IF(Games[[#This Row],[Result]]&gt;0.5,1,0),0)</f>
        <v>0</v>
      </c>
      <c r="AJ341" s="2">
        <f>IF(AND(Games[[#This Row],[Type]]="P",Games[[#This Row],[Round]]=3),IF(Games[[#This Row],[Result]]&lt;0.5,1,0),0)</f>
        <v>0</v>
      </c>
      <c r="AK341" s="2">
        <f>IF(AND(Games[[#This Row],[Type]]="P",Games[[#This Row],[Round]]=4),IF(Games[[#This Row],[Result]]&gt;0.5,1,0),0)</f>
        <v>0</v>
      </c>
      <c r="AL341" s="2">
        <f>IF(AND(Games[[#This Row],[Type]]="P",Games[[#This Row],[Round]]=4),IF(Games[[#This Row],[Result]]&lt;0.5,1,0),0)</f>
        <v>0</v>
      </c>
    </row>
    <row r="342" spans="1:38" x14ac:dyDescent="0.35">
      <c r="A342" s="10">
        <v>40400</v>
      </c>
      <c r="B342" s="2">
        <v>2010</v>
      </c>
      <c r="C342" s="2">
        <f>COUNTIFS(Games[Team],Games[[#This Row],[Team]],Games[Season],Games[[#This Row],[Season]],Games[Date],"&lt;=" &amp; Games[[#This Row],[Date]])</f>
        <v>29</v>
      </c>
      <c r="D342" s="2" t="s">
        <v>23</v>
      </c>
      <c r="E342" s="2" t="s">
        <v>29</v>
      </c>
      <c r="F342" s="1" t="s">
        <v>44</v>
      </c>
      <c r="G342" s="1" t="s">
        <v>81</v>
      </c>
      <c r="H342" s="1" t="s">
        <v>16</v>
      </c>
      <c r="I342" s="2" cm="1">
        <f t="array" ref="I34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2" s="2" cm="1">
        <f t="array" ref="J34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42" s="2">
        <f>Games[[#This Row],[DaysOff]]-Games[[#This Row],[OppDaysOff]]</f>
        <v>-1</v>
      </c>
      <c r="L342" s="2">
        <f>Games[[#This Row],[OppDaysOff]]-Games[[#This Row],[DaysOff]]</f>
        <v>1</v>
      </c>
      <c r="M342" s="1">
        <f>MAX(-16, MIN(16, Games[[#This Row],[RestDiff]]*8))</f>
        <v>-8</v>
      </c>
      <c r="N342" s="1">
        <f>MAX(-16, MIN(16, Games[[#This Row],[OppRestDiff]]*8))</f>
        <v>8</v>
      </c>
      <c r="O342" s="4" cm="1">
        <f t="array" ref="O3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1543.4174733112482</v>
      </c>
      <c r="P342" s="4" cm="1">
        <f t="array" ref="P3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1468.7246410690043</v>
      </c>
      <c r="Q342" s="4">
        <f>1/(1+10^(((Games[[#This Row],[OppPreGmRate]]+IF(Games[[#This Row],[HomeAway]]="A",HCA,0)+Games[[#This Row],[OppRestAdj]])-(Games[[#This Row],[PreGmRate]]+IF(Games[[#This Row],[HomeAway]]="H",HCA,0)+Games[[#This Row],[RestAdj]]))/400))</f>
        <v>0.46364433205436156</v>
      </c>
      <c r="R342" s="1">
        <v>82</v>
      </c>
      <c r="S342" s="1">
        <v>91</v>
      </c>
      <c r="T342" s="1">
        <v>0</v>
      </c>
      <c r="U342" s="1">
        <f>Games[[#This Row],[PointsFor]]-Games[[#This Row],[PointsAgainst]]</f>
        <v>-9</v>
      </c>
      <c r="V342" s="1">
        <f>IF(Games[[#This Row],[MOV]]&gt;0,1,IF(Games[[#This Row],[MOV]]=0,0.5,0))</f>
        <v>0</v>
      </c>
      <c r="W342" s="4">
        <f>((ABS(Games[[#This Row],[MOV]])+5)^0.6)/(12+0.01*(ABS(Games[[#This Row],[PreGmRate]]-Games[[#This Row],[OppPreGmRate]])))*IF(Games[[#This Row],[OT]]=1,0.9,1)</f>
        <v>0.382182923018202</v>
      </c>
      <c r="X342" s="7" cm="1">
        <f t="array" ref="X3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2" s="9">
        <f>MAX(kmin, kmax - 0.15 * MIN(Games[[#This Row],[GamesPlayed]], 82))</f>
        <v>71.650000000000006</v>
      </c>
      <c r="Z342" s="4">
        <f>Games[[#This Row],[K]]*Games[[#This Row],[POMult]]</f>
        <v>71.650000000000006</v>
      </c>
      <c r="AA342" s="4">
        <f>(Games[[#This Row],[Keff]]*Games[[#This Row],[MOVMult]])*(Games[[#This Row],[Result]]-Games[[#This Row],[ExpectedWin%]])</f>
        <v>-12.696161185582884</v>
      </c>
      <c r="AB342" s="4">
        <f>Games[[#This Row],[PreGmRate]]+Games[[#This Row],[RatingChange]]</f>
        <v>1530.7213121256652</v>
      </c>
      <c r="AC342" s="2">
        <f>IF(Games[[#This Row],[Type]]="R",IF(Games[[#This Row],[Result]]&gt;0.5,1,0),0)</f>
        <v>0</v>
      </c>
      <c r="AD342" s="2">
        <f>IF(Games[[#This Row],[Type]]="R",IF(Games[[#This Row],[Result]]&lt;0.5,1,0),0)</f>
        <v>1</v>
      </c>
      <c r="AE342" s="2">
        <f>IF(AND(Games[[#This Row],[Type]]="P",Games[[#This Row],[Round]]=1),IF(Games[[#This Row],[Result]]&gt;0.5,1,0),0)</f>
        <v>0</v>
      </c>
      <c r="AF342" s="2">
        <f>IF(AND(Games[[#This Row],[Type]]="P",Games[[#This Row],[Round]]=1),IF(Games[[#This Row],[Result]]&lt;0.5,1,0),0)</f>
        <v>0</v>
      </c>
      <c r="AG342" s="2">
        <f>IF(AND(Games[[#This Row],[Type]]="P",Games[[#This Row],[Round]]=2),IF(Games[[#This Row],[Result]]&gt;0.5,1,0),0)</f>
        <v>0</v>
      </c>
      <c r="AH342" s="2">
        <f>IF(AND(Games[[#This Row],[Type]]="P",Games[[#This Row],[Round]]=2),IF(Games[[#This Row],[Result]]&lt;0.5,1,0),0)</f>
        <v>0</v>
      </c>
      <c r="AI342" s="2">
        <f>IF(AND(Games[[#This Row],[Type]]="P",Games[[#This Row],[Round]]=3),IF(Games[[#This Row],[Result]]&gt;0.5,1,0),0)</f>
        <v>0</v>
      </c>
      <c r="AJ342" s="2">
        <f>IF(AND(Games[[#This Row],[Type]]="P",Games[[#This Row],[Round]]=3),IF(Games[[#This Row],[Result]]&lt;0.5,1,0),0)</f>
        <v>0</v>
      </c>
      <c r="AK342" s="2">
        <f>IF(AND(Games[[#This Row],[Type]]="P",Games[[#This Row],[Round]]=4),IF(Games[[#This Row],[Result]]&gt;0.5,1,0),0)</f>
        <v>0</v>
      </c>
      <c r="AL342" s="2">
        <f>IF(AND(Games[[#This Row],[Type]]="P",Games[[#This Row],[Round]]=4),IF(Games[[#This Row],[Result]]&lt;0.5,1,0),0)</f>
        <v>0</v>
      </c>
    </row>
    <row r="343" spans="1:38" x14ac:dyDescent="0.35">
      <c r="A343" s="10">
        <v>40400</v>
      </c>
      <c r="B343" s="2">
        <v>2010</v>
      </c>
      <c r="C343" s="2">
        <f>COUNTIFS(Games[Team],Games[[#This Row],[Team]],Games[Season],Games[[#This Row],[Season]],Games[Date],"&lt;=" &amp; Games[[#This Row],[Date]])</f>
        <v>30</v>
      </c>
      <c r="D343" s="2" t="s">
        <v>23</v>
      </c>
      <c r="E343" s="2" t="s">
        <v>29</v>
      </c>
      <c r="F343" s="1" t="s">
        <v>81</v>
      </c>
      <c r="G343" s="1" t="s">
        <v>44</v>
      </c>
      <c r="H343" s="1" t="s">
        <v>15</v>
      </c>
      <c r="I343" s="2" cm="1">
        <f t="array" ref="I343">IFERROR(
    Games[[#This Row],[Date]]
    - LOOKUP(
        2,
        1/((Games[Team]=Games[[#This Row],[Team]]) * (Games[Date] &lt; Games[[#This Row],[Date]])),
        Games[Date]
    )
    - 1,
Games[[#This Row],[Date]]-$A$2)</f>
        <v>2</v>
      </c>
      <c r="J343" s="2" cm="1">
        <f t="array" ref="J34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3" s="2">
        <f>Games[[#This Row],[DaysOff]]-Games[[#This Row],[OppDaysOff]]</f>
        <v>1</v>
      </c>
      <c r="L343" s="2">
        <f>Games[[#This Row],[OppDaysOff]]-Games[[#This Row],[DaysOff]]</f>
        <v>-1</v>
      </c>
      <c r="M343" s="1">
        <f>MAX(-16, MIN(16, Games[[#This Row],[RestDiff]]*8))</f>
        <v>8</v>
      </c>
      <c r="N343" s="1">
        <f>MAX(-16, MIN(16, Games[[#This Row],[OppRestDiff]]*8))</f>
        <v>-8</v>
      </c>
      <c r="O343" s="4" cm="1">
        <f t="array" ref="O3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1468.7246410690043</v>
      </c>
      <c r="P343" s="4" cm="1">
        <f t="array" ref="P3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1543.4174733112482</v>
      </c>
      <c r="Q343" s="4">
        <f>1/(1+10^(((Games[[#This Row],[OppPreGmRate]]+IF(Games[[#This Row],[HomeAway]]="A",HCA,0)+Games[[#This Row],[OppRestAdj]])-(Games[[#This Row],[PreGmRate]]+IF(Games[[#This Row],[HomeAway]]="H",HCA,0)+Games[[#This Row],[RestAdj]]))/400))</f>
        <v>0.53635566794563838</v>
      </c>
      <c r="R343" s="1">
        <v>91</v>
      </c>
      <c r="S343" s="1">
        <v>82</v>
      </c>
      <c r="T343" s="1">
        <v>0</v>
      </c>
      <c r="U343" s="1">
        <f>Games[[#This Row],[PointsFor]]-Games[[#This Row],[PointsAgainst]]</f>
        <v>9</v>
      </c>
      <c r="V343" s="1">
        <f>IF(Games[[#This Row],[MOV]]&gt;0,1,IF(Games[[#This Row],[MOV]]=0,0.5,0))</f>
        <v>1</v>
      </c>
      <c r="W343" s="4">
        <f>((ABS(Games[[#This Row],[MOV]])+5)^0.6)/(12+0.01*(ABS(Games[[#This Row],[PreGmRate]]-Games[[#This Row],[OppPreGmRate]])))*IF(Games[[#This Row],[OT]]=1,0.9,1)</f>
        <v>0.382182923018202</v>
      </c>
      <c r="X343" s="7" cm="1">
        <f t="array" ref="X3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3" s="9">
        <f>MAX(kmin, kmax - 0.15 * MIN(Games[[#This Row],[GamesPlayed]], 82))</f>
        <v>71.5</v>
      </c>
      <c r="Z343" s="4">
        <f>Games[[#This Row],[K]]*Games[[#This Row],[POMult]]</f>
        <v>71.5</v>
      </c>
      <c r="AA343" s="4">
        <f>(Games[[#This Row],[Keff]]*Games[[#This Row],[MOVMult]])*(Games[[#This Row],[Result]]-Games[[#This Row],[ExpectedWin%]])</f>
        <v>12.66958164367308</v>
      </c>
      <c r="AB343" s="4">
        <f>Games[[#This Row],[PreGmRate]]+Games[[#This Row],[RatingChange]]</f>
        <v>1481.3942227126774</v>
      </c>
      <c r="AC343" s="2">
        <f>IF(Games[[#This Row],[Type]]="R",IF(Games[[#This Row],[Result]]&gt;0.5,1,0),0)</f>
        <v>1</v>
      </c>
      <c r="AD343" s="2">
        <f>IF(Games[[#This Row],[Type]]="R",IF(Games[[#This Row],[Result]]&lt;0.5,1,0),0)</f>
        <v>0</v>
      </c>
      <c r="AE343" s="2">
        <f>IF(AND(Games[[#This Row],[Type]]="P",Games[[#This Row],[Round]]=1),IF(Games[[#This Row],[Result]]&gt;0.5,1,0),0)</f>
        <v>0</v>
      </c>
      <c r="AF343" s="2">
        <f>IF(AND(Games[[#This Row],[Type]]="P",Games[[#This Row],[Round]]=1),IF(Games[[#This Row],[Result]]&lt;0.5,1,0),0)</f>
        <v>0</v>
      </c>
      <c r="AG343" s="2">
        <f>IF(AND(Games[[#This Row],[Type]]="P",Games[[#This Row],[Round]]=2),IF(Games[[#This Row],[Result]]&gt;0.5,1,0),0)</f>
        <v>0</v>
      </c>
      <c r="AH343" s="2">
        <f>IF(AND(Games[[#This Row],[Type]]="P",Games[[#This Row],[Round]]=2),IF(Games[[#This Row],[Result]]&lt;0.5,1,0),0)</f>
        <v>0</v>
      </c>
      <c r="AI343" s="2">
        <f>IF(AND(Games[[#This Row],[Type]]="P",Games[[#This Row],[Round]]=3),IF(Games[[#This Row],[Result]]&gt;0.5,1,0),0)</f>
        <v>0</v>
      </c>
      <c r="AJ343" s="2">
        <f>IF(AND(Games[[#This Row],[Type]]="P",Games[[#This Row],[Round]]=3),IF(Games[[#This Row],[Result]]&lt;0.5,1,0),0)</f>
        <v>0</v>
      </c>
      <c r="AK343" s="2">
        <f>IF(AND(Games[[#This Row],[Type]]="P",Games[[#This Row],[Round]]=4),IF(Games[[#This Row],[Result]]&gt;0.5,1,0),0)</f>
        <v>0</v>
      </c>
      <c r="AL343" s="2">
        <f>IF(AND(Games[[#This Row],[Type]]="P",Games[[#This Row],[Round]]=4),IF(Games[[#This Row],[Result]]&lt;0.5,1,0),0)</f>
        <v>0</v>
      </c>
    </row>
    <row r="344" spans="1:38" x14ac:dyDescent="0.35">
      <c r="A344" s="10">
        <v>40400</v>
      </c>
      <c r="B344" s="2">
        <v>2010</v>
      </c>
      <c r="C344" s="2">
        <f>COUNTIFS(Games[Team],Games[[#This Row],[Team]],Games[Season],Games[[#This Row],[Season]],Games[Date],"&lt;=" &amp; Games[[#This Row],[Date]])</f>
        <v>29</v>
      </c>
      <c r="D344" s="2" t="s">
        <v>23</v>
      </c>
      <c r="E344" s="2" t="s">
        <v>29</v>
      </c>
      <c r="F344" s="1" t="s">
        <v>73</v>
      </c>
      <c r="G344" s="1" t="s">
        <v>67</v>
      </c>
      <c r="H344" s="1" t="s">
        <v>16</v>
      </c>
      <c r="I344" s="2" cm="1">
        <f t="array" ref="I34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4" s="2" cm="1">
        <f t="array" ref="J34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4" s="2">
        <f>Games[[#This Row],[DaysOff]]-Games[[#This Row],[OppDaysOff]]</f>
        <v>0</v>
      </c>
      <c r="L344" s="2">
        <f>Games[[#This Row],[OppDaysOff]]-Games[[#This Row],[DaysOff]]</f>
        <v>0</v>
      </c>
      <c r="M344" s="1">
        <f>MAX(-16, MIN(16, Games[[#This Row],[RestDiff]]*8))</f>
        <v>0</v>
      </c>
      <c r="N344" s="1">
        <f>MAX(-16, MIN(16, Games[[#This Row],[OppRestDiff]]*8))</f>
        <v>0</v>
      </c>
      <c r="O344" s="4" cm="1">
        <f t="array" ref="O3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1603.7172194258192</v>
      </c>
      <c r="P344" s="4" cm="1">
        <f t="array" ref="P3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1444.2695078279446</v>
      </c>
      <c r="Q344" s="4">
        <f>1/(1+10^(((Games[[#This Row],[OppPreGmRate]]+IF(Games[[#This Row],[HomeAway]]="A",HCA,0)+Games[[#This Row],[OppRestAdj]])-(Games[[#This Row],[PreGmRate]]+IF(Games[[#This Row],[HomeAway]]="H",HCA,0)+Games[[#This Row],[RestAdj]]))/400))</f>
        <v>0.60690284846730913</v>
      </c>
      <c r="R344" s="1">
        <v>82</v>
      </c>
      <c r="S344" s="1">
        <v>76</v>
      </c>
      <c r="T344" s="1">
        <v>0</v>
      </c>
      <c r="U344" s="1">
        <f>Games[[#This Row],[PointsFor]]-Games[[#This Row],[PointsAgainst]]</f>
        <v>6</v>
      </c>
      <c r="V344" s="1">
        <f>IF(Games[[#This Row],[MOV]]&gt;0,1,IF(Games[[#This Row],[MOV]]=0,0.5,0))</f>
        <v>1</v>
      </c>
      <c r="W344" s="4">
        <f>((ABS(Games[[#This Row],[MOV]])+5)^0.6)/(12+0.01*(ABS(Games[[#This Row],[PreGmRate]]-Games[[#This Row],[OppPreGmRate]])))*IF(Games[[#This Row],[OT]]=1,0.9,1)</f>
        <v>0.31007953429390955</v>
      </c>
      <c r="X344" s="7" cm="1">
        <f t="array" ref="X3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4" s="9">
        <f>MAX(kmin, kmax - 0.15 * MIN(Games[[#This Row],[GamesPlayed]], 82))</f>
        <v>71.650000000000006</v>
      </c>
      <c r="Z344" s="4">
        <f>Games[[#This Row],[K]]*Games[[#This Row],[POMult]]</f>
        <v>71.650000000000006</v>
      </c>
      <c r="AA344" s="4">
        <f>(Games[[#This Row],[Keff]]*Games[[#This Row],[MOVMult]])*(Games[[#This Row],[Result]]-Games[[#This Row],[ExpectedWin%]])</f>
        <v>8.7335174973375498</v>
      </c>
      <c r="AB344" s="4">
        <f>Games[[#This Row],[PreGmRate]]+Games[[#This Row],[RatingChange]]</f>
        <v>1612.4507369231567</v>
      </c>
      <c r="AC344" s="2">
        <f>IF(Games[[#This Row],[Type]]="R",IF(Games[[#This Row],[Result]]&gt;0.5,1,0),0)</f>
        <v>1</v>
      </c>
      <c r="AD344" s="2">
        <f>IF(Games[[#This Row],[Type]]="R",IF(Games[[#This Row],[Result]]&lt;0.5,1,0),0)</f>
        <v>0</v>
      </c>
      <c r="AE344" s="2">
        <f>IF(AND(Games[[#This Row],[Type]]="P",Games[[#This Row],[Round]]=1),IF(Games[[#This Row],[Result]]&gt;0.5,1,0),0)</f>
        <v>0</v>
      </c>
      <c r="AF344" s="2">
        <f>IF(AND(Games[[#This Row],[Type]]="P",Games[[#This Row],[Round]]=1),IF(Games[[#This Row],[Result]]&lt;0.5,1,0),0)</f>
        <v>0</v>
      </c>
      <c r="AG344" s="2">
        <f>IF(AND(Games[[#This Row],[Type]]="P",Games[[#This Row],[Round]]=2),IF(Games[[#This Row],[Result]]&gt;0.5,1,0),0)</f>
        <v>0</v>
      </c>
      <c r="AH344" s="2">
        <f>IF(AND(Games[[#This Row],[Type]]="P",Games[[#This Row],[Round]]=2),IF(Games[[#This Row],[Result]]&lt;0.5,1,0),0)</f>
        <v>0</v>
      </c>
      <c r="AI344" s="2">
        <f>IF(AND(Games[[#This Row],[Type]]="P",Games[[#This Row],[Round]]=3),IF(Games[[#This Row],[Result]]&gt;0.5,1,0),0)</f>
        <v>0</v>
      </c>
      <c r="AJ344" s="2">
        <f>IF(AND(Games[[#This Row],[Type]]="P",Games[[#This Row],[Round]]=3),IF(Games[[#This Row],[Result]]&lt;0.5,1,0),0)</f>
        <v>0</v>
      </c>
      <c r="AK344" s="2">
        <f>IF(AND(Games[[#This Row],[Type]]="P",Games[[#This Row],[Round]]=4),IF(Games[[#This Row],[Result]]&gt;0.5,1,0),0)</f>
        <v>0</v>
      </c>
      <c r="AL344" s="2">
        <f>IF(AND(Games[[#This Row],[Type]]="P",Games[[#This Row],[Round]]=4),IF(Games[[#This Row],[Result]]&lt;0.5,1,0),0)</f>
        <v>0</v>
      </c>
    </row>
    <row r="345" spans="1:38" x14ac:dyDescent="0.35">
      <c r="A345" s="10">
        <v>40400</v>
      </c>
      <c r="B345" s="2">
        <v>2010</v>
      </c>
      <c r="C345" s="2">
        <f>COUNTIFS(Games[Team],Games[[#This Row],[Team]],Games[Season],Games[[#This Row],[Season]],Games[Date],"&lt;=" &amp; Games[[#This Row],[Date]])</f>
        <v>29</v>
      </c>
      <c r="D345" s="2" t="s">
        <v>23</v>
      </c>
      <c r="E345" s="2" t="s">
        <v>29</v>
      </c>
      <c r="F345" s="1" t="s">
        <v>67</v>
      </c>
      <c r="G345" s="1" t="s">
        <v>73</v>
      </c>
      <c r="H345" s="1" t="s">
        <v>15</v>
      </c>
      <c r="I345" s="2" cm="1">
        <f t="array" ref="I34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5" s="2" cm="1">
        <f t="array" ref="J34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5" s="2">
        <f>Games[[#This Row],[DaysOff]]-Games[[#This Row],[OppDaysOff]]</f>
        <v>0</v>
      </c>
      <c r="L345" s="2">
        <f>Games[[#This Row],[OppDaysOff]]-Games[[#This Row],[DaysOff]]</f>
        <v>0</v>
      </c>
      <c r="M345" s="1">
        <f>MAX(-16, MIN(16, Games[[#This Row],[RestDiff]]*8))</f>
        <v>0</v>
      </c>
      <c r="N345" s="1">
        <f>MAX(-16, MIN(16, Games[[#This Row],[OppRestDiff]]*8))</f>
        <v>0</v>
      </c>
      <c r="O345" s="4" cm="1">
        <f t="array" ref="O3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1444.2695078279446</v>
      </c>
      <c r="P345" s="4" cm="1">
        <f t="array" ref="P3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1603.7172194258192</v>
      </c>
      <c r="Q345" s="4">
        <f>1/(1+10^(((Games[[#This Row],[OppPreGmRate]]+IF(Games[[#This Row],[HomeAway]]="A",HCA,0)+Games[[#This Row],[OppRestAdj]])-(Games[[#This Row],[PreGmRate]]+IF(Games[[#This Row],[HomeAway]]="H",HCA,0)+Games[[#This Row],[RestAdj]]))/400))</f>
        <v>0.39309715153269081</v>
      </c>
      <c r="R345" s="1">
        <v>76</v>
      </c>
      <c r="S345" s="1">
        <v>82</v>
      </c>
      <c r="T345" s="1">
        <v>0</v>
      </c>
      <c r="U345" s="1">
        <f>Games[[#This Row],[PointsFor]]-Games[[#This Row],[PointsAgainst]]</f>
        <v>-6</v>
      </c>
      <c r="V345" s="1">
        <f>IF(Games[[#This Row],[MOV]]&gt;0,1,IF(Games[[#This Row],[MOV]]=0,0.5,0))</f>
        <v>0</v>
      </c>
      <c r="W345" s="4">
        <f>((ABS(Games[[#This Row],[MOV]])+5)^0.6)/(12+0.01*(ABS(Games[[#This Row],[PreGmRate]]-Games[[#This Row],[OppPreGmRate]])))*IF(Games[[#This Row],[OT]]=1,0.9,1)</f>
        <v>0.31007953429390955</v>
      </c>
      <c r="X345" s="7" cm="1">
        <f t="array" ref="X3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5" s="9">
        <f>MAX(kmin, kmax - 0.15 * MIN(Games[[#This Row],[GamesPlayed]], 82))</f>
        <v>71.650000000000006</v>
      </c>
      <c r="Z345" s="4">
        <f>Games[[#This Row],[K]]*Games[[#This Row],[POMult]]</f>
        <v>71.650000000000006</v>
      </c>
      <c r="AA345" s="4">
        <f>(Games[[#This Row],[Keff]]*Games[[#This Row],[MOVMult]])*(Games[[#This Row],[Result]]-Games[[#This Row],[ExpectedWin%]])</f>
        <v>-8.733517497337548</v>
      </c>
      <c r="AB345" s="4">
        <f>Games[[#This Row],[PreGmRate]]+Games[[#This Row],[RatingChange]]</f>
        <v>1435.5359903306071</v>
      </c>
      <c r="AC345" s="2">
        <f>IF(Games[[#This Row],[Type]]="R",IF(Games[[#This Row],[Result]]&gt;0.5,1,0),0)</f>
        <v>0</v>
      </c>
      <c r="AD345" s="2">
        <f>IF(Games[[#This Row],[Type]]="R",IF(Games[[#This Row],[Result]]&lt;0.5,1,0),0)</f>
        <v>1</v>
      </c>
      <c r="AE345" s="2">
        <f>IF(AND(Games[[#This Row],[Type]]="P",Games[[#This Row],[Round]]=1),IF(Games[[#This Row],[Result]]&gt;0.5,1,0),0)</f>
        <v>0</v>
      </c>
      <c r="AF345" s="2">
        <f>IF(AND(Games[[#This Row],[Type]]="P",Games[[#This Row],[Round]]=1),IF(Games[[#This Row],[Result]]&lt;0.5,1,0),0)</f>
        <v>0</v>
      </c>
      <c r="AG345" s="2">
        <f>IF(AND(Games[[#This Row],[Type]]="P",Games[[#This Row],[Round]]=2),IF(Games[[#This Row],[Result]]&gt;0.5,1,0),0)</f>
        <v>0</v>
      </c>
      <c r="AH345" s="2">
        <f>IF(AND(Games[[#This Row],[Type]]="P",Games[[#This Row],[Round]]=2),IF(Games[[#This Row],[Result]]&lt;0.5,1,0),0)</f>
        <v>0</v>
      </c>
      <c r="AI345" s="2">
        <f>IF(AND(Games[[#This Row],[Type]]="P",Games[[#This Row],[Round]]=3),IF(Games[[#This Row],[Result]]&gt;0.5,1,0),0)</f>
        <v>0</v>
      </c>
      <c r="AJ345" s="2">
        <f>IF(AND(Games[[#This Row],[Type]]="P",Games[[#This Row],[Round]]=3),IF(Games[[#This Row],[Result]]&lt;0.5,1,0),0)</f>
        <v>0</v>
      </c>
      <c r="AK345" s="2">
        <f>IF(AND(Games[[#This Row],[Type]]="P",Games[[#This Row],[Round]]=4),IF(Games[[#This Row],[Result]]&gt;0.5,1,0),0)</f>
        <v>0</v>
      </c>
      <c r="AL345" s="2">
        <f>IF(AND(Games[[#This Row],[Type]]="P",Games[[#This Row],[Round]]=4),IF(Games[[#This Row],[Result]]&lt;0.5,1,0),0)</f>
        <v>0</v>
      </c>
    </row>
    <row r="346" spans="1:38" x14ac:dyDescent="0.35">
      <c r="A346" s="10">
        <v>40400</v>
      </c>
      <c r="B346" s="2">
        <v>2010</v>
      </c>
      <c r="C346" s="2">
        <f>COUNTIFS(Games[Team],Games[[#This Row],[Team]],Games[Season],Games[[#This Row],[Season]],Games[Date],"&lt;=" &amp; Games[[#This Row],[Date]])</f>
        <v>28</v>
      </c>
      <c r="D346" s="2" t="s">
        <v>23</v>
      </c>
      <c r="E346" s="2" t="s">
        <v>29</v>
      </c>
      <c r="F346" s="1" t="s">
        <v>71</v>
      </c>
      <c r="G346" s="1" t="s">
        <v>78</v>
      </c>
      <c r="H346" s="1" t="s">
        <v>16</v>
      </c>
      <c r="I346" s="2" cm="1">
        <f t="array" ref="I34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6" s="2" cm="1">
        <f t="array" ref="J34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6" s="2">
        <f>Games[[#This Row],[DaysOff]]-Games[[#This Row],[OppDaysOff]]</f>
        <v>0</v>
      </c>
      <c r="L346" s="2">
        <f>Games[[#This Row],[OppDaysOff]]-Games[[#This Row],[DaysOff]]</f>
        <v>0</v>
      </c>
      <c r="M346" s="1">
        <f>MAX(-16, MIN(16, Games[[#This Row],[RestDiff]]*8))</f>
        <v>0</v>
      </c>
      <c r="N346" s="1">
        <f>MAX(-16, MIN(16, Games[[#This Row],[OppRestDiff]]*8))</f>
        <v>0</v>
      </c>
      <c r="O346" s="4" cm="1">
        <f t="array" ref="O3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1414.7521226761569</v>
      </c>
      <c r="P346" s="4" cm="1">
        <f t="array" ref="P3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1443.7348366056842</v>
      </c>
      <c r="Q346" s="4">
        <f>1/(1+10^(((Games[[#This Row],[OppPreGmRate]]+IF(Games[[#This Row],[HomeAway]]="A",HCA,0)+Games[[#This Row],[OppRestAdj]])-(Games[[#This Row],[PreGmRate]]+IF(Games[[#This Row],[HomeAway]]="H",HCA,0)+Games[[#This Row],[RestAdj]]))/400))</f>
        <v>0.34290373407009223</v>
      </c>
      <c r="R346" s="1">
        <v>73</v>
      </c>
      <c r="S346" s="1">
        <v>66</v>
      </c>
      <c r="T346" s="1">
        <v>0</v>
      </c>
      <c r="U346" s="1">
        <f>Games[[#This Row],[PointsFor]]-Games[[#This Row],[PointsAgainst]]</f>
        <v>7</v>
      </c>
      <c r="V346" s="1">
        <f>IF(Games[[#This Row],[MOV]]&gt;0,1,IF(Games[[#This Row],[MOV]]=0,0.5,0))</f>
        <v>1</v>
      </c>
      <c r="W346" s="4">
        <f>((ABS(Games[[#This Row],[MOV]])+5)^0.6)/(12+0.01*(ABS(Games[[#This Row],[PreGmRate]]-Games[[#This Row],[OppPreGmRate]])))*IF(Games[[#This Row],[OT]]=1,0.9,1)</f>
        <v>0.36137905110523089</v>
      </c>
      <c r="X346" s="7" cm="1">
        <f t="array" ref="X3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6" s="9">
        <f>MAX(kmin, kmax - 0.15 * MIN(Games[[#This Row],[GamesPlayed]], 82))</f>
        <v>71.8</v>
      </c>
      <c r="Z346" s="4">
        <f>Games[[#This Row],[K]]*Games[[#This Row],[POMult]]</f>
        <v>71.8</v>
      </c>
      <c r="AA346" s="4">
        <f>(Games[[#This Row],[Keff]]*Games[[#This Row],[MOVMult]])*(Games[[#This Row],[Result]]-Games[[#This Row],[ExpectedWin%]])</f>
        <v>17.049687239777612</v>
      </c>
      <c r="AB346" s="4">
        <f>Games[[#This Row],[PreGmRate]]+Games[[#This Row],[RatingChange]]</f>
        <v>1431.8018099159344</v>
      </c>
      <c r="AC346" s="2">
        <f>IF(Games[[#This Row],[Type]]="R",IF(Games[[#This Row],[Result]]&gt;0.5,1,0),0)</f>
        <v>1</v>
      </c>
      <c r="AD346" s="2">
        <f>IF(Games[[#This Row],[Type]]="R",IF(Games[[#This Row],[Result]]&lt;0.5,1,0),0)</f>
        <v>0</v>
      </c>
      <c r="AE346" s="2">
        <f>IF(AND(Games[[#This Row],[Type]]="P",Games[[#This Row],[Round]]=1),IF(Games[[#This Row],[Result]]&gt;0.5,1,0),0)</f>
        <v>0</v>
      </c>
      <c r="AF346" s="2">
        <f>IF(AND(Games[[#This Row],[Type]]="P",Games[[#This Row],[Round]]=1),IF(Games[[#This Row],[Result]]&lt;0.5,1,0),0)</f>
        <v>0</v>
      </c>
      <c r="AG346" s="2">
        <f>IF(AND(Games[[#This Row],[Type]]="P",Games[[#This Row],[Round]]=2),IF(Games[[#This Row],[Result]]&gt;0.5,1,0),0)</f>
        <v>0</v>
      </c>
      <c r="AH346" s="2">
        <f>IF(AND(Games[[#This Row],[Type]]="P",Games[[#This Row],[Round]]=2),IF(Games[[#This Row],[Result]]&lt;0.5,1,0),0)</f>
        <v>0</v>
      </c>
      <c r="AI346" s="2">
        <f>IF(AND(Games[[#This Row],[Type]]="P",Games[[#This Row],[Round]]=3),IF(Games[[#This Row],[Result]]&gt;0.5,1,0),0)</f>
        <v>0</v>
      </c>
      <c r="AJ346" s="2">
        <f>IF(AND(Games[[#This Row],[Type]]="P",Games[[#This Row],[Round]]=3),IF(Games[[#This Row],[Result]]&lt;0.5,1,0),0)</f>
        <v>0</v>
      </c>
      <c r="AK346" s="2">
        <f>IF(AND(Games[[#This Row],[Type]]="P",Games[[#This Row],[Round]]=4),IF(Games[[#This Row],[Result]]&gt;0.5,1,0),0)</f>
        <v>0</v>
      </c>
      <c r="AL346" s="2">
        <f>IF(AND(Games[[#This Row],[Type]]="P",Games[[#This Row],[Round]]=4),IF(Games[[#This Row],[Result]]&lt;0.5,1,0),0)</f>
        <v>0</v>
      </c>
    </row>
    <row r="347" spans="1:38" x14ac:dyDescent="0.35">
      <c r="A347" s="10">
        <v>40400</v>
      </c>
      <c r="B347" s="2">
        <v>2010</v>
      </c>
      <c r="C347" s="2">
        <f>COUNTIFS(Games[Team],Games[[#This Row],[Team]],Games[Season],Games[[#This Row],[Season]],Games[Date],"&lt;=" &amp; Games[[#This Row],[Date]])</f>
        <v>29</v>
      </c>
      <c r="D347" s="2" t="s">
        <v>23</v>
      </c>
      <c r="E347" s="2" t="s">
        <v>29</v>
      </c>
      <c r="F347" s="1" t="s">
        <v>78</v>
      </c>
      <c r="G347" s="1" t="s">
        <v>71</v>
      </c>
      <c r="H347" s="1" t="s">
        <v>15</v>
      </c>
      <c r="I347" s="2" cm="1">
        <f t="array" ref="I34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7" s="2" cm="1">
        <f t="array" ref="J34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7" s="2">
        <f>Games[[#This Row],[DaysOff]]-Games[[#This Row],[OppDaysOff]]</f>
        <v>0</v>
      </c>
      <c r="L347" s="2">
        <f>Games[[#This Row],[OppDaysOff]]-Games[[#This Row],[DaysOff]]</f>
        <v>0</v>
      </c>
      <c r="M347" s="1">
        <f>MAX(-16, MIN(16, Games[[#This Row],[RestDiff]]*8))</f>
        <v>0</v>
      </c>
      <c r="N347" s="1">
        <f>MAX(-16, MIN(16, Games[[#This Row],[OppRestDiff]]*8))</f>
        <v>0</v>
      </c>
      <c r="O347" s="4" cm="1">
        <f t="array" ref="O3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1443.7348366056842</v>
      </c>
      <c r="P347" s="4" cm="1">
        <f t="array" ref="P3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1414.7521226761569</v>
      </c>
      <c r="Q347" s="4">
        <f>1/(1+10^(((Games[[#This Row],[OppPreGmRate]]+IF(Games[[#This Row],[HomeAway]]="A",HCA,0)+Games[[#This Row],[OppRestAdj]])-(Games[[#This Row],[PreGmRate]]+IF(Games[[#This Row],[HomeAway]]="H",HCA,0)+Games[[#This Row],[RestAdj]]))/400))</f>
        <v>0.65709626592990766</v>
      </c>
      <c r="R347" s="1">
        <v>66</v>
      </c>
      <c r="S347" s="1">
        <v>73</v>
      </c>
      <c r="T347" s="1">
        <v>0</v>
      </c>
      <c r="U347" s="1">
        <f>Games[[#This Row],[PointsFor]]-Games[[#This Row],[PointsAgainst]]</f>
        <v>-7</v>
      </c>
      <c r="V347" s="1">
        <f>IF(Games[[#This Row],[MOV]]&gt;0,1,IF(Games[[#This Row],[MOV]]=0,0.5,0))</f>
        <v>0</v>
      </c>
      <c r="W347" s="4">
        <f>((ABS(Games[[#This Row],[MOV]])+5)^0.6)/(12+0.01*(ABS(Games[[#This Row],[PreGmRate]]-Games[[#This Row],[OppPreGmRate]])))*IF(Games[[#This Row],[OT]]=1,0.9,1)</f>
        <v>0.36137905110523089</v>
      </c>
      <c r="X347" s="7" cm="1">
        <f t="array" ref="X3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7" s="9">
        <f>MAX(kmin, kmax - 0.15 * MIN(Games[[#This Row],[GamesPlayed]], 82))</f>
        <v>71.650000000000006</v>
      </c>
      <c r="Z347" s="4">
        <f>Games[[#This Row],[K]]*Games[[#This Row],[POMult]]</f>
        <v>71.650000000000006</v>
      </c>
      <c r="AA347" s="4">
        <f>(Games[[#This Row],[Keff]]*Games[[#This Row],[MOVMult]])*(Games[[#This Row],[Result]]-Games[[#This Row],[ExpectedWin%]])</f>
        <v>-17.014068116017629</v>
      </c>
      <c r="AB347" s="4">
        <f>Games[[#This Row],[PreGmRate]]+Games[[#This Row],[RatingChange]]</f>
        <v>1426.7207684896666</v>
      </c>
      <c r="AC347" s="2">
        <f>IF(Games[[#This Row],[Type]]="R",IF(Games[[#This Row],[Result]]&gt;0.5,1,0),0)</f>
        <v>0</v>
      </c>
      <c r="AD347" s="2">
        <f>IF(Games[[#This Row],[Type]]="R",IF(Games[[#This Row],[Result]]&lt;0.5,1,0),0)</f>
        <v>1</v>
      </c>
      <c r="AE347" s="2">
        <f>IF(AND(Games[[#This Row],[Type]]="P",Games[[#This Row],[Round]]=1),IF(Games[[#This Row],[Result]]&gt;0.5,1,0),0)</f>
        <v>0</v>
      </c>
      <c r="AF347" s="2">
        <f>IF(AND(Games[[#This Row],[Type]]="P",Games[[#This Row],[Round]]=1),IF(Games[[#This Row],[Result]]&lt;0.5,1,0),0)</f>
        <v>0</v>
      </c>
      <c r="AG347" s="2">
        <f>IF(AND(Games[[#This Row],[Type]]="P",Games[[#This Row],[Round]]=2),IF(Games[[#This Row],[Result]]&gt;0.5,1,0),0)</f>
        <v>0</v>
      </c>
      <c r="AH347" s="2">
        <f>IF(AND(Games[[#This Row],[Type]]="P",Games[[#This Row],[Round]]=2),IF(Games[[#This Row],[Result]]&lt;0.5,1,0),0)</f>
        <v>0</v>
      </c>
      <c r="AI347" s="2">
        <f>IF(AND(Games[[#This Row],[Type]]="P",Games[[#This Row],[Round]]=3),IF(Games[[#This Row],[Result]]&gt;0.5,1,0),0)</f>
        <v>0</v>
      </c>
      <c r="AJ347" s="2">
        <f>IF(AND(Games[[#This Row],[Type]]="P",Games[[#This Row],[Round]]=3),IF(Games[[#This Row],[Result]]&lt;0.5,1,0),0)</f>
        <v>0</v>
      </c>
      <c r="AK347" s="2">
        <f>IF(AND(Games[[#This Row],[Type]]="P",Games[[#This Row],[Round]]=4),IF(Games[[#This Row],[Result]]&gt;0.5,1,0),0)</f>
        <v>0</v>
      </c>
      <c r="AL347" s="2">
        <f>IF(AND(Games[[#This Row],[Type]]="P",Games[[#This Row],[Round]]=4),IF(Games[[#This Row],[Result]]&lt;0.5,1,0),0)</f>
        <v>0</v>
      </c>
    </row>
    <row r="348" spans="1:38" x14ac:dyDescent="0.35">
      <c r="A348" s="10">
        <v>40400</v>
      </c>
      <c r="B348" s="2">
        <v>2010</v>
      </c>
      <c r="C348" s="2">
        <f>COUNTIFS(Games[Team],Games[[#This Row],[Team]],Games[Season],Games[[#This Row],[Season]],Games[Date],"&lt;=" &amp; Games[[#This Row],[Date]])</f>
        <v>29</v>
      </c>
      <c r="D348" s="2" t="s">
        <v>23</v>
      </c>
      <c r="E348" s="2" t="s">
        <v>29</v>
      </c>
      <c r="F348" s="1" t="s">
        <v>80</v>
      </c>
      <c r="G348" s="1" t="s">
        <v>69</v>
      </c>
      <c r="H348" s="1" t="s">
        <v>16</v>
      </c>
      <c r="I348" s="2" cm="1">
        <f t="array" ref="I34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8" s="2" cm="1">
        <f t="array" ref="J34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8" s="2">
        <f>Games[[#This Row],[DaysOff]]-Games[[#This Row],[OppDaysOff]]</f>
        <v>0</v>
      </c>
      <c r="L348" s="2">
        <f>Games[[#This Row],[OppDaysOff]]-Games[[#This Row],[DaysOff]]</f>
        <v>0</v>
      </c>
      <c r="M348" s="1">
        <f>MAX(-16, MIN(16, Games[[#This Row],[RestDiff]]*8))</f>
        <v>0</v>
      </c>
      <c r="N348" s="1">
        <f>MAX(-16, MIN(16, Games[[#This Row],[OppRestDiff]]*8))</f>
        <v>0</v>
      </c>
      <c r="O348" s="4" cm="1">
        <f t="array" ref="O3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1474.847793029583</v>
      </c>
      <c r="P348" s="4" cm="1">
        <f t="array" ref="P3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1528.3342951176644</v>
      </c>
      <c r="Q348" s="4">
        <f>1/(1+10^(((Games[[#This Row],[OppPreGmRate]]+IF(Games[[#This Row],[HomeAway]]="A",HCA,0)+Games[[#This Row],[OppRestAdj]])-(Games[[#This Row],[PreGmRate]]+IF(Games[[#This Row],[HomeAway]]="H",HCA,0)+Games[[#This Row],[RestAdj]]))/400))</f>
        <v>0.31186043155846088</v>
      </c>
      <c r="R348" s="1">
        <v>74</v>
      </c>
      <c r="S348" s="1">
        <v>84</v>
      </c>
      <c r="T348" s="1">
        <v>0</v>
      </c>
      <c r="U348" s="1">
        <f>Games[[#This Row],[PointsFor]]-Games[[#This Row],[PointsAgainst]]</f>
        <v>-10</v>
      </c>
      <c r="V348" s="1">
        <f>IF(Games[[#This Row],[MOV]]&gt;0,1,IF(Games[[#This Row],[MOV]]=0,0.5,0))</f>
        <v>0</v>
      </c>
      <c r="W348" s="4">
        <f>((ABS(Games[[#This Row],[MOV]])+5)^0.6)/(12+0.01*(ABS(Games[[#This Row],[PreGmRate]]-Games[[#This Row],[OppPreGmRate]])))*IF(Games[[#This Row],[OT]]=1,0.9,1)</f>
        <v>0.40507467639492878</v>
      </c>
      <c r="X348" s="7" cm="1">
        <f t="array" ref="X3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8" s="9">
        <f>MAX(kmin, kmax - 0.15 * MIN(Games[[#This Row],[GamesPlayed]], 82))</f>
        <v>71.650000000000006</v>
      </c>
      <c r="Z348" s="4">
        <f>Games[[#This Row],[K]]*Games[[#This Row],[POMult]]</f>
        <v>71.650000000000006</v>
      </c>
      <c r="AA348" s="4">
        <f>(Games[[#This Row],[Keff]]*Games[[#This Row],[MOVMult]])*(Games[[#This Row],[Result]]-Games[[#This Row],[ExpectedWin%]])</f>
        <v>-9.0513125971748263</v>
      </c>
      <c r="AB348" s="4">
        <f>Games[[#This Row],[PreGmRate]]+Games[[#This Row],[RatingChange]]</f>
        <v>1465.7964804324083</v>
      </c>
      <c r="AC348" s="2">
        <f>IF(Games[[#This Row],[Type]]="R",IF(Games[[#This Row],[Result]]&gt;0.5,1,0),0)</f>
        <v>0</v>
      </c>
      <c r="AD348" s="2">
        <f>IF(Games[[#This Row],[Type]]="R",IF(Games[[#This Row],[Result]]&lt;0.5,1,0),0)</f>
        <v>1</v>
      </c>
      <c r="AE348" s="2">
        <f>IF(AND(Games[[#This Row],[Type]]="P",Games[[#This Row],[Round]]=1),IF(Games[[#This Row],[Result]]&gt;0.5,1,0),0)</f>
        <v>0</v>
      </c>
      <c r="AF348" s="2">
        <f>IF(AND(Games[[#This Row],[Type]]="P",Games[[#This Row],[Round]]=1),IF(Games[[#This Row],[Result]]&lt;0.5,1,0),0)</f>
        <v>0</v>
      </c>
      <c r="AG348" s="2">
        <f>IF(AND(Games[[#This Row],[Type]]="P",Games[[#This Row],[Round]]=2),IF(Games[[#This Row],[Result]]&gt;0.5,1,0),0)</f>
        <v>0</v>
      </c>
      <c r="AH348" s="2">
        <f>IF(AND(Games[[#This Row],[Type]]="P",Games[[#This Row],[Round]]=2),IF(Games[[#This Row],[Result]]&lt;0.5,1,0),0)</f>
        <v>0</v>
      </c>
      <c r="AI348" s="2">
        <f>IF(AND(Games[[#This Row],[Type]]="P",Games[[#This Row],[Round]]=3),IF(Games[[#This Row],[Result]]&gt;0.5,1,0),0)</f>
        <v>0</v>
      </c>
      <c r="AJ348" s="2">
        <f>IF(AND(Games[[#This Row],[Type]]="P",Games[[#This Row],[Round]]=3),IF(Games[[#This Row],[Result]]&lt;0.5,1,0),0)</f>
        <v>0</v>
      </c>
      <c r="AK348" s="2">
        <f>IF(AND(Games[[#This Row],[Type]]="P",Games[[#This Row],[Round]]=4),IF(Games[[#This Row],[Result]]&gt;0.5,1,0),0)</f>
        <v>0</v>
      </c>
      <c r="AL348" s="2">
        <f>IF(AND(Games[[#This Row],[Type]]="P",Games[[#This Row],[Round]]=4),IF(Games[[#This Row],[Result]]&lt;0.5,1,0),0)</f>
        <v>0</v>
      </c>
    </row>
    <row r="349" spans="1:38" x14ac:dyDescent="0.35">
      <c r="A349" s="10">
        <v>40400</v>
      </c>
      <c r="B349" s="2">
        <v>2010</v>
      </c>
      <c r="C349" s="2">
        <f>COUNTIFS(Games[Team],Games[[#This Row],[Team]],Games[Season],Games[[#This Row],[Season]],Games[Date],"&lt;=" &amp; Games[[#This Row],[Date]])</f>
        <v>29</v>
      </c>
      <c r="D349" s="2" t="s">
        <v>23</v>
      </c>
      <c r="E349" s="2" t="s">
        <v>29</v>
      </c>
      <c r="F349" s="1" t="s">
        <v>69</v>
      </c>
      <c r="G349" s="1" t="s">
        <v>80</v>
      </c>
      <c r="H349" s="1" t="s">
        <v>15</v>
      </c>
      <c r="I349" s="2" cm="1">
        <f t="array" ref="I34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9" s="2" cm="1">
        <f t="array" ref="J34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9" s="2">
        <f>Games[[#This Row],[DaysOff]]-Games[[#This Row],[OppDaysOff]]</f>
        <v>0</v>
      </c>
      <c r="L349" s="2">
        <f>Games[[#This Row],[OppDaysOff]]-Games[[#This Row],[DaysOff]]</f>
        <v>0</v>
      </c>
      <c r="M349" s="1">
        <f>MAX(-16, MIN(16, Games[[#This Row],[RestDiff]]*8))</f>
        <v>0</v>
      </c>
      <c r="N349" s="1">
        <f>MAX(-16, MIN(16, Games[[#This Row],[OppRestDiff]]*8))</f>
        <v>0</v>
      </c>
      <c r="O349" s="4" cm="1">
        <f t="array" ref="O3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1528.3342951176644</v>
      </c>
      <c r="P349" s="4" cm="1">
        <f t="array" ref="P3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1474.847793029583</v>
      </c>
      <c r="Q349" s="4">
        <f>1/(1+10^(((Games[[#This Row],[OppPreGmRate]]+IF(Games[[#This Row],[HomeAway]]="A",HCA,0)+Games[[#This Row],[OppRestAdj]])-(Games[[#This Row],[PreGmRate]]+IF(Games[[#This Row],[HomeAway]]="H",HCA,0)+Games[[#This Row],[RestAdj]]))/400))</f>
        <v>0.68813956844153912</v>
      </c>
      <c r="R349" s="1">
        <v>84</v>
      </c>
      <c r="S349" s="1">
        <v>74</v>
      </c>
      <c r="T349" s="1">
        <v>0</v>
      </c>
      <c r="U349" s="1">
        <f>Games[[#This Row],[PointsFor]]-Games[[#This Row],[PointsAgainst]]</f>
        <v>10</v>
      </c>
      <c r="V349" s="1">
        <f>IF(Games[[#This Row],[MOV]]&gt;0,1,IF(Games[[#This Row],[MOV]]=0,0.5,0))</f>
        <v>1</v>
      </c>
      <c r="W349" s="4">
        <f>((ABS(Games[[#This Row],[MOV]])+5)^0.6)/(12+0.01*(ABS(Games[[#This Row],[PreGmRate]]-Games[[#This Row],[OppPreGmRate]])))*IF(Games[[#This Row],[OT]]=1,0.9,1)</f>
        <v>0.40507467639492878</v>
      </c>
      <c r="X349" s="7" cm="1">
        <f t="array" ref="X3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9" s="9">
        <f>MAX(kmin, kmax - 0.15 * MIN(Games[[#This Row],[GamesPlayed]], 82))</f>
        <v>71.650000000000006</v>
      </c>
      <c r="Z349" s="4">
        <f>Games[[#This Row],[K]]*Games[[#This Row],[POMult]]</f>
        <v>71.650000000000006</v>
      </c>
      <c r="AA349" s="4">
        <f>(Games[[#This Row],[Keff]]*Games[[#This Row],[MOVMult]])*(Games[[#This Row],[Result]]-Games[[#This Row],[ExpectedWin%]])</f>
        <v>9.0513125971748263</v>
      </c>
      <c r="AB349" s="4">
        <f>Games[[#This Row],[PreGmRate]]+Games[[#This Row],[RatingChange]]</f>
        <v>1537.3856077148391</v>
      </c>
      <c r="AC349" s="2">
        <f>IF(Games[[#This Row],[Type]]="R",IF(Games[[#This Row],[Result]]&gt;0.5,1,0),0)</f>
        <v>1</v>
      </c>
      <c r="AD349" s="2">
        <f>IF(Games[[#This Row],[Type]]="R",IF(Games[[#This Row],[Result]]&lt;0.5,1,0),0)</f>
        <v>0</v>
      </c>
      <c r="AE349" s="2">
        <f>IF(AND(Games[[#This Row],[Type]]="P",Games[[#This Row],[Round]]=1),IF(Games[[#This Row],[Result]]&gt;0.5,1,0),0)</f>
        <v>0</v>
      </c>
      <c r="AF349" s="2">
        <f>IF(AND(Games[[#This Row],[Type]]="P",Games[[#This Row],[Round]]=1),IF(Games[[#This Row],[Result]]&lt;0.5,1,0),0)</f>
        <v>0</v>
      </c>
      <c r="AG349" s="2">
        <f>IF(AND(Games[[#This Row],[Type]]="P",Games[[#This Row],[Round]]=2),IF(Games[[#This Row],[Result]]&gt;0.5,1,0),0)</f>
        <v>0</v>
      </c>
      <c r="AH349" s="2">
        <f>IF(AND(Games[[#This Row],[Type]]="P",Games[[#This Row],[Round]]=2),IF(Games[[#This Row],[Result]]&lt;0.5,1,0),0)</f>
        <v>0</v>
      </c>
      <c r="AI349" s="2">
        <f>IF(AND(Games[[#This Row],[Type]]="P",Games[[#This Row],[Round]]=3),IF(Games[[#This Row],[Result]]&gt;0.5,1,0),0)</f>
        <v>0</v>
      </c>
      <c r="AJ349" s="2">
        <f>IF(AND(Games[[#This Row],[Type]]="P",Games[[#This Row],[Round]]=3),IF(Games[[#This Row],[Result]]&lt;0.5,1,0),0)</f>
        <v>0</v>
      </c>
      <c r="AK349" s="2">
        <f>IF(AND(Games[[#This Row],[Type]]="P",Games[[#This Row],[Round]]=4),IF(Games[[#This Row],[Result]]&gt;0.5,1,0),0)</f>
        <v>0</v>
      </c>
      <c r="AL349" s="2">
        <f>IF(AND(Games[[#This Row],[Type]]="P",Games[[#This Row],[Round]]=4),IF(Games[[#This Row],[Result]]&lt;0.5,1,0),0)</f>
        <v>0</v>
      </c>
    </row>
    <row r="350" spans="1:38" x14ac:dyDescent="0.35">
      <c r="A350" s="10">
        <v>40402</v>
      </c>
      <c r="B350" s="2">
        <v>2010</v>
      </c>
      <c r="C350" s="2">
        <f>COUNTIFS(Games[Team],Games[[#This Row],[Team]],Games[Season],Games[[#This Row],[Season]],Games[Date],"&lt;=" &amp; Games[[#This Row],[Date]])</f>
        <v>30</v>
      </c>
      <c r="D350" s="2" t="s">
        <v>23</v>
      </c>
      <c r="E350" s="2" t="s">
        <v>29</v>
      </c>
      <c r="F350" s="1" t="s">
        <v>67</v>
      </c>
      <c r="G350" s="1" t="s">
        <v>71</v>
      </c>
      <c r="H350" s="1" t="s">
        <v>16</v>
      </c>
      <c r="I350" s="2" cm="1">
        <f t="array" ref="I35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0" s="2" cm="1">
        <f t="array" ref="J35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0" s="2">
        <f>Games[[#This Row],[DaysOff]]-Games[[#This Row],[OppDaysOff]]</f>
        <v>0</v>
      </c>
      <c r="L350" s="2">
        <f>Games[[#This Row],[OppDaysOff]]-Games[[#This Row],[DaysOff]]</f>
        <v>0</v>
      </c>
      <c r="M350" s="1">
        <f>MAX(-16, MIN(16, Games[[#This Row],[RestDiff]]*8))</f>
        <v>0</v>
      </c>
      <c r="N350" s="1">
        <f>MAX(-16, MIN(16, Games[[#This Row],[OppRestDiff]]*8))</f>
        <v>0</v>
      </c>
      <c r="O350" s="4" cm="1">
        <f t="array" ref="O3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1435.5359903306071</v>
      </c>
      <c r="P350" s="4" cm="1">
        <f t="array" ref="P3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1431.8018099159344</v>
      </c>
      <c r="Q350" s="4">
        <f>1/(1+10^(((Games[[#This Row],[OppPreGmRate]]+IF(Games[[#This Row],[HomeAway]]="A",HCA,0)+Games[[#This Row],[OppRestAdj]])-(Games[[#This Row],[PreGmRate]]+IF(Games[[#This Row],[HomeAway]]="H",HCA,0)+Games[[#This Row],[RestAdj]]))/400))</f>
        <v>0.38650028382718227</v>
      </c>
      <c r="R350" s="1">
        <v>78</v>
      </c>
      <c r="S350" s="1">
        <v>77</v>
      </c>
      <c r="T350" s="1">
        <v>0</v>
      </c>
      <c r="U350" s="1">
        <f>Games[[#This Row],[PointsFor]]-Games[[#This Row],[PointsAgainst]]</f>
        <v>1</v>
      </c>
      <c r="V350" s="1">
        <f>IF(Games[[#This Row],[MOV]]&gt;0,1,IF(Games[[#This Row],[MOV]]=0,0.5,0))</f>
        <v>1</v>
      </c>
      <c r="W350" s="4">
        <f>((ABS(Games[[#This Row],[MOV]])+5)^0.6)/(12+0.01*(ABS(Games[[#This Row],[PreGmRate]]-Games[[#This Row],[OppPreGmRate]])))*IF(Games[[#This Row],[OT]]=1,0.9,1)</f>
        <v>0.243422185666782</v>
      </c>
      <c r="X350" s="7" cm="1">
        <f t="array" ref="X3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0" s="9">
        <f>MAX(kmin, kmax - 0.15 * MIN(Games[[#This Row],[GamesPlayed]], 82))</f>
        <v>71.5</v>
      </c>
      <c r="Z350" s="4">
        <f>Games[[#This Row],[K]]*Games[[#This Row],[POMult]]</f>
        <v>71.5</v>
      </c>
      <c r="AA350" s="4">
        <f>(Games[[#This Row],[Keff]]*Games[[#This Row],[MOVMult]])*(Games[[#This Row],[Result]]-Games[[#This Row],[ExpectedWin%]])</f>
        <v>10.677770089896747</v>
      </c>
      <c r="AB350" s="4">
        <f>Games[[#This Row],[PreGmRate]]+Games[[#This Row],[RatingChange]]</f>
        <v>1446.2137604205038</v>
      </c>
      <c r="AC350" s="2">
        <f>IF(Games[[#This Row],[Type]]="R",IF(Games[[#This Row],[Result]]&gt;0.5,1,0),0)</f>
        <v>1</v>
      </c>
      <c r="AD350" s="2">
        <f>IF(Games[[#This Row],[Type]]="R",IF(Games[[#This Row],[Result]]&lt;0.5,1,0),0)</f>
        <v>0</v>
      </c>
      <c r="AE350" s="2">
        <f>IF(AND(Games[[#This Row],[Type]]="P",Games[[#This Row],[Round]]=1),IF(Games[[#This Row],[Result]]&gt;0.5,1,0),0)</f>
        <v>0</v>
      </c>
      <c r="AF350" s="2">
        <f>IF(AND(Games[[#This Row],[Type]]="P",Games[[#This Row],[Round]]=1),IF(Games[[#This Row],[Result]]&lt;0.5,1,0),0)</f>
        <v>0</v>
      </c>
      <c r="AG350" s="2">
        <f>IF(AND(Games[[#This Row],[Type]]="P",Games[[#This Row],[Round]]=2),IF(Games[[#This Row],[Result]]&gt;0.5,1,0),0)</f>
        <v>0</v>
      </c>
      <c r="AH350" s="2">
        <f>IF(AND(Games[[#This Row],[Type]]="P",Games[[#This Row],[Round]]=2),IF(Games[[#This Row],[Result]]&lt;0.5,1,0),0)</f>
        <v>0</v>
      </c>
      <c r="AI350" s="2">
        <f>IF(AND(Games[[#This Row],[Type]]="P",Games[[#This Row],[Round]]=3),IF(Games[[#This Row],[Result]]&gt;0.5,1,0),0)</f>
        <v>0</v>
      </c>
      <c r="AJ350" s="2">
        <f>IF(AND(Games[[#This Row],[Type]]="P",Games[[#This Row],[Round]]=3),IF(Games[[#This Row],[Result]]&lt;0.5,1,0),0)</f>
        <v>0</v>
      </c>
      <c r="AK350" s="2">
        <f>IF(AND(Games[[#This Row],[Type]]="P",Games[[#This Row],[Round]]=4),IF(Games[[#This Row],[Result]]&gt;0.5,1,0),0)</f>
        <v>0</v>
      </c>
      <c r="AL350" s="2">
        <f>IF(AND(Games[[#This Row],[Type]]="P",Games[[#This Row],[Round]]=4),IF(Games[[#This Row],[Result]]&lt;0.5,1,0),0)</f>
        <v>0</v>
      </c>
    </row>
    <row r="351" spans="1:38" x14ac:dyDescent="0.35">
      <c r="A351" s="10">
        <v>40402</v>
      </c>
      <c r="B351" s="2">
        <v>2010</v>
      </c>
      <c r="C351" s="2">
        <f>COUNTIFS(Games[Team],Games[[#This Row],[Team]],Games[Season],Games[[#This Row],[Season]],Games[Date],"&lt;=" &amp; Games[[#This Row],[Date]])</f>
        <v>29</v>
      </c>
      <c r="D351" s="2" t="s">
        <v>23</v>
      </c>
      <c r="E351" s="2" t="s">
        <v>29</v>
      </c>
      <c r="F351" s="1" t="s">
        <v>71</v>
      </c>
      <c r="G351" s="1" t="s">
        <v>67</v>
      </c>
      <c r="H351" s="1" t="s">
        <v>15</v>
      </c>
      <c r="I351" s="2" cm="1">
        <f t="array" ref="I35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1" s="2" cm="1">
        <f t="array" ref="J35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1" s="2">
        <f>Games[[#This Row],[DaysOff]]-Games[[#This Row],[OppDaysOff]]</f>
        <v>0</v>
      </c>
      <c r="L351" s="2">
        <f>Games[[#This Row],[OppDaysOff]]-Games[[#This Row],[DaysOff]]</f>
        <v>0</v>
      </c>
      <c r="M351" s="1">
        <f>MAX(-16, MIN(16, Games[[#This Row],[RestDiff]]*8))</f>
        <v>0</v>
      </c>
      <c r="N351" s="1">
        <f>MAX(-16, MIN(16, Games[[#This Row],[OppRestDiff]]*8))</f>
        <v>0</v>
      </c>
      <c r="O351" s="4" cm="1">
        <f t="array" ref="O3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1431.8018099159344</v>
      </c>
      <c r="P351" s="4" cm="1">
        <f t="array" ref="P3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1435.5359903306071</v>
      </c>
      <c r="Q351" s="4">
        <f>1/(1+10^(((Games[[#This Row],[OppPreGmRate]]+IF(Games[[#This Row],[HomeAway]]="A",HCA,0)+Games[[#This Row],[OppRestAdj]])-(Games[[#This Row],[PreGmRate]]+IF(Games[[#This Row],[HomeAway]]="H",HCA,0)+Games[[#This Row],[RestAdj]]))/400))</f>
        <v>0.61349971617281762</v>
      </c>
      <c r="R351" s="1">
        <v>77</v>
      </c>
      <c r="S351" s="1">
        <v>78</v>
      </c>
      <c r="T351" s="1">
        <v>0</v>
      </c>
      <c r="U351" s="1">
        <f>Games[[#This Row],[PointsFor]]-Games[[#This Row],[PointsAgainst]]</f>
        <v>-1</v>
      </c>
      <c r="V351" s="1">
        <f>IF(Games[[#This Row],[MOV]]&gt;0,1,IF(Games[[#This Row],[MOV]]=0,0.5,0))</f>
        <v>0</v>
      </c>
      <c r="W351" s="4">
        <f>((ABS(Games[[#This Row],[MOV]])+5)^0.6)/(12+0.01*(ABS(Games[[#This Row],[PreGmRate]]-Games[[#This Row],[OppPreGmRate]])))*IF(Games[[#This Row],[OT]]=1,0.9,1)</f>
        <v>0.243422185666782</v>
      </c>
      <c r="X351" s="7" cm="1">
        <f t="array" ref="X3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1" s="9">
        <f>MAX(kmin, kmax - 0.15 * MIN(Games[[#This Row],[GamesPlayed]], 82))</f>
        <v>71.650000000000006</v>
      </c>
      <c r="Z351" s="4">
        <f>Games[[#This Row],[K]]*Games[[#This Row],[POMult]]</f>
        <v>71.650000000000006</v>
      </c>
      <c r="AA351" s="4">
        <f>(Games[[#This Row],[Keff]]*Games[[#This Row],[MOVMult]])*(Games[[#This Row],[Result]]-Games[[#This Row],[ExpectedWin%]])</f>
        <v>-10.700171006169255</v>
      </c>
      <c r="AB351" s="4">
        <f>Games[[#This Row],[PreGmRate]]+Games[[#This Row],[RatingChange]]</f>
        <v>1421.1016389097651</v>
      </c>
      <c r="AC351" s="2">
        <f>IF(Games[[#This Row],[Type]]="R",IF(Games[[#This Row],[Result]]&gt;0.5,1,0),0)</f>
        <v>0</v>
      </c>
      <c r="AD351" s="2">
        <f>IF(Games[[#This Row],[Type]]="R",IF(Games[[#This Row],[Result]]&lt;0.5,1,0),0)</f>
        <v>1</v>
      </c>
      <c r="AE351" s="2">
        <f>IF(AND(Games[[#This Row],[Type]]="P",Games[[#This Row],[Round]]=1),IF(Games[[#This Row],[Result]]&gt;0.5,1,0),0)</f>
        <v>0</v>
      </c>
      <c r="AF351" s="2">
        <f>IF(AND(Games[[#This Row],[Type]]="P",Games[[#This Row],[Round]]=1),IF(Games[[#This Row],[Result]]&lt;0.5,1,0),0)</f>
        <v>0</v>
      </c>
      <c r="AG351" s="2">
        <f>IF(AND(Games[[#This Row],[Type]]="P",Games[[#This Row],[Round]]=2),IF(Games[[#This Row],[Result]]&gt;0.5,1,0),0)</f>
        <v>0</v>
      </c>
      <c r="AH351" s="2">
        <f>IF(AND(Games[[#This Row],[Type]]="P",Games[[#This Row],[Round]]=2),IF(Games[[#This Row],[Result]]&lt;0.5,1,0),0)</f>
        <v>0</v>
      </c>
      <c r="AI351" s="2">
        <f>IF(AND(Games[[#This Row],[Type]]="P",Games[[#This Row],[Round]]=3),IF(Games[[#This Row],[Result]]&gt;0.5,1,0),0)</f>
        <v>0</v>
      </c>
      <c r="AJ351" s="2">
        <f>IF(AND(Games[[#This Row],[Type]]="P",Games[[#This Row],[Round]]=3),IF(Games[[#This Row],[Result]]&lt;0.5,1,0),0)</f>
        <v>0</v>
      </c>
      <c r="AK351" s="2">
        <f>IF(AND(Games[[#This Row],[Type]]="P",Games[[#This Row],[Round]]=4),IF(Games[[#This Row],[Result]]&gt;0.5,1,0),0)</f>
        <v>0</v>
      </c>
      <c r="AL351" s="2">
        <f>IF(AND(Games[[#This Row],[Type]]="P",Games[[#This Row],[Round]]=4),IF(Games[[#This Row],[Result]]&lt;0.5,1,0),0)</f>
        <v>0</v>
      </c>
    </row>
    <row r="352" spans="1:38" x14ac:dyDescent="0.35">
      <c r="A352" s="10">
        <v>40403</v>
      </c>
      <c r="B352" s="2">
        <v>2010</v>
      </c>
      <c r="C352" s="2">
        <f>COUNTIFS(Games[Team],Games[[#This Row],[Team]],Games[Season],Games[[#This Row],[Season]],Games[Date],"&lt;=" &amp; Games[[#This Row],[Date]])</f>
        <v>29</v>
      </c>
      <c r="D352" s="2" t="s">
        <v>23</v>
      </c>
      <c r="E352" s="2" t="s">
        <v>29</v>
      </c>
      <c r="F352" s="1" t="s">
        <v>64</v>
      </c>
      <c r="G352" s="1" t="s">
        <v>83</v>
      </c>
      <c r="H352" s="1" t="s">
        <v>16</v>
      </c>
      <c r="I352" s="2" cm="1">
        <f t="array" ref="I352">IFERROR(
    Games[[#This Row],[Date]]
    - LOOKUP(
        2,
        1/((Games[Team]=Games[[#This Row],[Team]]) * (Games[Date] &lt; Games[[#This Row],[Date]])),
        Games[Date]
    )
    - 1,
Games[[#This Row],[Date]]-$A$2)</f>
        <v>4</v>
      </c>
      <c r="J352" s="2" cm="1">
        <f t="array" ref="J35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52" s="2">
        <f>Games[[#This Row],[DaysOff]]-Games[[#This Row],[OppDaysOff]]</f>
        <v>2</v>
      </c>
      <c r="L352" s="2">
        <f>Games[[#This Row],[OppDaysOff]]-Games[[#This Row],[DaysOff]]</f>
        <v>-2</v>
      </c>
      <c r="M352" s="1">
        <f>MAX(-16, MIN(16, Games[[#This Row],[RestDiff]]*8))</f>
        <v>16</v>
      </c>
      <c r="N352" s="1">
        <f>MAX(-16, MIN(16, Games[[#This Row],[OppRestDiff]]*8))</f>
        <v>-16</v>
      </c>
      <c r="O352" s="4" cm="1">
        <f t="array" ref="O3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1578.4490354494844</v>
      </c>
      <c r="P352" s="4" cm="1">
        <f t="array" ref="P3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1546.459654218942</v>
      </c>
      <c r="Q352" s="4">
        <f>1/(1+10^(((Games[[#This Row],[OppPreGmRate]]+IF(Games[[#This Row],[HomeAway]]="A",HCA,0)+Games[[#This Row],[OppRestAdj]])-(Games[[#This Row],[PreGmRate]]+IF(Games[[#This Row],[HomeAway]]="H",HCA,0)+Games[[#This Row],[RestAdj]]))/400))</f>
        <v>0.47123420502373831</v>
      </c>
      <c r="R352" s="1">
        <v>90</v>
      </c>
      <c r="S352" s="1">
        <v>83</v>
      </c>
      <c r="T352" s="1">
        <v>0</v>
      </c>
      <c r="U352" s="1">
        <f>Games[[#This Row],[PointsFor]]-Games[[#This Row],[PointsAgainst]]</f>
        <v>7</v>
      </c>
      <c r="V352" s="1">
        <f>IF(Games[[#This Row],[MOV]]&gt;0,1,IF(Games[[#This Row],[MOV]]=0,0.5,0))</f>
        <v>1</v>
      </c>
      <c r="W352" s="4">
        <f>((ABS(Games[[#This Row],[MOV]])+5)^0.6)/(12+0.01*(ABS(Games[[#This Row],[PreGmRate]]-Games[[#This Row],[OppPreGmRate]])))*IF(Games[[#This Row],[OT]]=1,0.9,1)</f>
        <v>0.36049710634760262</v>
      </c>
      <c r="X352" s="7" cm="1">
        <f t="array" ref="X35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2" s="9">
        <f>MAX(kmin, kmax - 0.15 * MIN(Games[[#This Row],[GamesPlayed]], 82))</f>
        <v>71.650000000000006</v>
      </c>
      <c r="Z352" s="4">
        <f>Games[[#This Row],[K]]*Games[[#This Row],[POMult]]</f>
        <v>71.650000000000006</v>
      </c>
      <c r="AA352" s="4">
        <f>(Games[[#This Row],[Keff]]*Games[[#This Row],[MOVMult]])*(Games[[#This Row],[Result]]-Games[[#This Row],[ExpectedWin%]])</f>
        <v>13.657818321107722</v>
      </c>
      <c r="AB352" s="4">
        <f>Games[[#This Row],[PreGmRate]]+Games[[#This Row],[RatingChange]]</f>
        <v>1592.1068537705921</v>
      </c>
      <c r="AC352" s="2">
        <f>IF(Games[[#This Row],[Type]]="R",IF(Games[[#This Row],[Result]]&gt;0.5,1,0),0)</f>
        <v>1</v>
      </c>
      <c r="AD352" s="2">
        <f>IF(Games[[#This Row],[Type]]="R",IF(Games[[#This Row],[Result]]&lt;0.5,1,0),0)</f>
        <v>0</v>
      </c>
      <c r="AE352" s="2">
        <f>IF(AND(Games[[#This Row],[Type]]="P",Games[[#This Row],[Round]]=1),IF(Games[[#This Row],[Result]]&gt;0.5,1,0),0)</f>
        <v>0</v>
      </c>
      <c r="AF352" s="2">
        <f>IF(AND(Games[[#This Row],[Type]]="P",Games[[#This Row],[Round]]=1),IF(Games[[#This Row],[Result]]&lt;0.5,1,0),0)</f>
        <v>0</v>
      </c>
      <c r="AG352" s="2">
        <f>IF(AND(Games[[#This Row],[Type]]="P",Games[[#This Row],[Round]]=2),IF(Games[[#This Row],[Result]]&gt;0.5,1,0),0)</f>
        <v>0</v>
      </c>
      <c r="AH352" s="2">
        <f>IF(AND(Games[[#This Row],[Type]]="P",Games[[#This Row],[Round]]=2),IF(Games[[#This Row],[Result]]&lt;0.5,1,0),0)</f>
        <v>0</v>
      </c>
      <c r="AI352" s="2">
        <f>IF(AND(Games[[#This Row],[Type]]="P",Games[[#This Row],[Round]]=3),IF(Games[[#This Row],[Result]]&gt;0.5,1,0),0)</f>
        <v>0</v>
      </c>
      <c r="AJ352" s="2">
        <f>IF(AND(Games[[#This Row],[Type]]="P",Games[[#This Row],[Round]]=3),IF(Games[[#This Row],[Result]]&lt;0.5,1,0),0)</f>
        <v>0</v>
      </c>
      <c r="AK352" s="2">
        <f>IF(AND(Games[[#This Row],[Type]]="P",Games[[#This Row],[Round]]=4),IF(Games[[#This Row],[Result]]&gt;0.5,1,0),0)</f>
        <v>0</v>
      </c>
      <c r="AL352" s="2">
        <f>IF(AND(Games[[#This Row],[Type]]="P",Games[[#This Row],[Round]]=4),IF(Games[[#This Row],[Result]]&lt;0.5,1,0),0)</f>
        <v>0</v>
      </c>
    </row>
    <row r="353" spans="1:38" x14ac:dyDescent="0.35">
      <c r="A353" s="10">
        <v>40403</v>
      </c>
      <c r="B353" s="2">
        <v>2010</v>
      </c>
      <c r="C353" s="2">
        <f>COUNTIFS(Games[Team],Games[[#This Row],[Team]],Games[Season],Games[[#This Row],[Season]],Games[Date],"&lt;=" &amp; Games[[#This Row],[Date]])</f>
        <v>31</v>
      </c>
      <c r="D353" s="2" t="s">
        <v>23</v>
      </c>
      <c r="E353" s="2" t="s">
        <v>29</v>
      </c>
      <c r="F353" s="1" t="s">
        <v>83</v>
      </c>
      <c r="G353" s="1" t="s">
        <v>64</v>
      </c>
      <c r="H353" s="1" t="s">
        <v>15</v>
      </c>
      <c r="I353" s="2" cm="1">
        <f t="array" ref="I353">IFERROR(
    Games[[#This Row],[Date]]
    - LOOKUP(
        2,
        1/((Games[Team]=Games[[#This Row],[Team]]) * (Games[Date] &lt; Games[[#This Row],[Date]])),
        Games[Date]
    )
    - 1,
Games[[#This Row],[Date]]-$A$2)</f>
        <v>2</v>
      </c>
      <c r="J353" s="2" cm="1">
        <f t="array" ref="J353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53" s="2">
        <f>Games[[#This Row],[DaysOff]]-Games[[#This Row],[OppDaysOff]]</f>
        <v>-2</v>
      </c>
      <c r="L353" s="2">
        <f>Games[[#This Row],[OppDaysOff]]-Games[[#This Row],[DaysOff]]</f>
        <v>2</v>
      </c>
      <c r="M353" s="1">
        <f>MAX(-16, MIN(16, Games[[#This Row],[RestDiff]]*8))</f>
        <v>-16</v>
      </c>
      <c r="N353" s="1">
        <f>MAX(-16, MIN(16, Games[[#This Row],[OppRestDiff]]*8))</f>
        <v>16</v>
      </c>
      <c r="O353" s="4" cm="1">
        <f t="array" ref="O3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1546.459654218942</v>
      </c>
      <c r="P353" s="4" cm="1">
        <f t="array" ref="P3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1578.4490354494844</v>
      </c>
      <c r="Q353" s="4">
        <f>1/(1+10^(((Games[[#This Row],[OppPreGmRate]]+IF(Games[[#This Row],[HomeAway]]="A",HCA,0)+Games[[#This Row],[OppRestAdj]])-(Games[[#This Row],[PreGmRate]]+IF(Games[[#This Row],[HomeAway]]="H",HCA,0)+Games[[#This Row],[RestAdj]]))/400))</f>
        <v>0.52876579497626175</v>
      </c>
      <c r="R353" s="1">
        <v>83</v>
      </c>
      <c r="S353" s="1">
        <v>90</v>
      </c>
      <c r="T353" s="1">
        <v>0</v>
      </c>
      <c r="U353" s="1">
        <f>Games[[#This Row],[PointsFor]]-Games[[#This Row],[PointsAgainst]]</f>
        <v>-7</v>
      </c>
      <c r="V353" s="1">
        <f>IF(Games[[#This Row],[MOV]]&gt;0,1,IF(Games[[#This Row],[MOV]]=0,0.5,0))</f>
        <v>0</v>
      </c>
      <c r="W353" s="4">
        <f>((ABS(Games[[#This Row],[MOV]])+5)^0.6)/(12+0.01*(ABS(Games[[#This Row],[PreGmRate]]-Games[[#This Row],[OppPreGmRate]])))*IF(Games[[#This Row],[OT]]=1,0.9,1)</f>
        <v>0.36049710634760262</v>
      </c>
      <c r="X353" s="7" cm="1">
        <f t="array" ref="X35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3" s="9">
        <f>MAX(kmin, kmax - 0.15 * MIN(Games[[#This Row],[GamesPlayed]], 82))</f>
        <v>71.349999999999994</v>
      </c>
      <c r="Z353" s="4">
        <f>Games[[#This Row],[K]]*Games[[#This Row],[POMult]]</f>
        <v>71.349999999999994</v>
      </c>
      <c r="AA353" s="4">
        <f>(Games[[#This Row],[Keff]]*Games[[#This Row],[MOVMult]])*(Games[[#This Row],[Result]]-Games[[#This Row],[ExpectedWin%]])</f>
        <v>-13.600632759400362</v>
      </c>
      <c r="AB353" s="4">
        <f>Games[[#This Row],[PreGmRate]]+Games[[#This Row],[RatingChange]]</f>
        <v>1532.8590214595415</v>
      </c>
      <c r="AC353" s="2">
        <f>IF(Games[[#This Row],[Type]]="R",IF(Games[[#This Row],[Result]]&gt;0.5,1,0),0)</f>
        <v>0</v>
      </c>
      <c r="AD353" s="2">
        <f>IF(Games[[#This Row],[Type]]="R",IF(Games[[#This Row],[Result]]&lt;0.5,1,0),0)</f>
        <v>1</v>
      </c>
      <c r="AE353" s="2">
        <f>IF(AND(Games[[#This Row],[Type]]="P",Games[[#This Row],[Round]]=1),IF(Games[[#This Row],[Result]]&gt;0.5,1,0),0)</f>
        <v>0</v>
      </c>
      <c r="AF353" s="2">
        <f>IF(AND(Games[[#This Row],[Type]]="P",Games[[#This Row],[Round]]=1),IF(Games[[#This Row],[Result]]&lt;0.5,1,0),0)</f>
        <v>0</v>
      </c>
      <c r="AG353" s="2">
        <f>IF(AND(Games[[#This Row],[Type]]="P",Games[[#This Row],[Round]]=2),IF(Games[[#This Row],[Result]]&gt;0.5,1,0),0)</f>
        <v>0</v>
      </c>
      <c r="AH353" s="2">
        <f>IF(AND(Games[[#This Row],[Type]]="P",Games[[#This Row],[Round]]=2),IF(Games[[#This Row],[Result]]&lt;0.5,1,0),0)</f>
        <v>0</v>
      </c>
      <c r="AI353" s="2">
        <f>IF(AND(Games[[#This Row],[Type]]="P",Games[[#This Row],[Round]]=3),IF(Games[[#This Row],[Result]]&gt;0.5,1,0),0)</f>
        <v>0</v>
      </c>
      <c r="AJ353" s="2">
        <f>IF(AND(Games[[#This Row],[Type]]="P",Games[[#This Row],[Round]]=3),IF(Games[[#This Row],[Result]]&lt;0.5,1,0),0)</f>
        <v>0</v>
      </c>
      <c r="AK353" s="2">
        <f>IF(AND(Games[[#This Row],[Type]]="P",Games[[#This Row],[Round]]=4),IF(Games[[#This Row],[Result]]&gt;0.5,1,0),0)</f>
        <v>0</v>
      </c>
      <c r="AL353" s="2">
        <f>IF(AND(Games[[#This Row],[Type]]="P",Games[[#This Row],[Round]]=4),IF(Games[[#This Row],[Result]]&lt;0.5,1,0),0)</f>
        <v>0</v>
      </c>
    </row>
    <row r="354" spans="1:38" x14ac:dyDescent="0.35">
      <c r="A354" s="10">
        <v>40403</v>
      </c>
      <c r="B354" s="2">
        <v>2010</v>
      </c>
      <c r="C354" s="2">
        <f>COUNTIFS(Games[Team],Games[[#This Row],[Team]],Games[Season],Games[[#This Row],[Season]],Games[Date],"&lt;=" &amp; Games[[#This Row],[Date]])</f>
        <v>30</v>
      </c>
      <c r="D354" s="2" t="s">
        <v>23</v>
      </c>
      <c r="E354" s="2" t="s">
        <v>29</v>
      </c>
      <c r="F354" s="1" t="s">
        <v>75</v>
      </c>
      <c r="G354" s="1" t="s">
        <v>80</v>
      </c>
      <c r="H354" s="1" t="s">
        <v>16</v>
      </c>
      <c r="I354" s="2" cm="1">
        <f t="array" ref="I354">IFERROR(
    Games[[#This Row],[Date]]
    - LOOKUP(
        2,
        1/((Games[Team]=Games[[#This Row],[Team]]) * (Games[Date] &lt; Games[[#This Row],[Date]])),
        Games[Date]
    )
    - 1,
Games[[#This Row],[Date]]-$A$2)</f>
        <v>2</v>
      </c>
      <c r="J354" s="2" cm="1">
        <f t="array" ref="J35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54" s="2">
        <f>Games[[#This Row],[DaysOff]]-Games[[#This Row],[OppDaysOff]]</f>
        <v>0</v>
      </c>
      <c r="L354" s="2">
        <f>Games[[#This Row],[OppDaysOff]]-Games[[#This Row],[DaysOff]]</f>
        <v>0</v>
      </c>
      <c r="M354" s="1">
        <f>MAX(-16, MIN(16, Games[[#This Row],[RestDiff]]*8))</f>
        <v>0</v>
      </c>
      <c r="N354" s="1">
        <f>MAX(-16, MIN(16, Games[[#This Row],[OppRestDiff]]*8))</f>
        <v>0</v>
      </c>
      <c r="O354" s="4" cm="1">
        <f t="array" ref="O3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1683.0745920105635</v>
      </c>
      <c r="P354" s="4" cm="1">
        <f t="array" ref="P3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1465.7964804324083</v>
      </c>
      <c r="Q354" s="4">
        <f>1/(1+10^(((Games[[#This Row],[OppPreGmRate]]+IF(Games[[#This Row],[HomeAway]]="A",HCA,0)+Games[[#This Row],[OppRestAdj]])-(Games[[#This Row],[PreGmRate]]+IF(Games[[#This Row],[HomeAway]]="H",HCA,0)+Games[[#This Row],[RestAdj]]))/400))</f>
        <v>0.68291715636931216</v>
      </c>
      <c r="R354" s="1">
        <v>68</v>
      </c>
      <c r="S354" s="1">
        <v>88</v>
      </c>
      <c r="T354" s="1">
        <v>0</v>
      </c>
      <c r="U354" s="1">
        <f>Games[[#This Row],[PointsFor]]-Games[[#This Row],[PointsAgainst]]</f>
        <v>-20</v>
      </c>
      <c r="V354" s="1">
        <f>IF(Games[[#This Row],[MOV]]&gt;0,1,IF(Games[[#This Row],[MOV]]=0,0.5,0))</f>
        <v>0</v>
      </c>
      <c r="W354" s="4">
        <f>((ABS(Games[[#This Row],[MOV]])+5)^0.6)/(12+0.01*(ABS(Games[[#This Row],[PreGmRate]]-Games[[#This Row],[OppPreGmRate]])))*IF(Games[[#This Row],[OT]]=1,0.9,1)</f>
        <v>0.48675332321504278</v>
      </c>
      <c r="X354" s="7" cm="1">
        <f t="array" ref="X35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4" s="9">
        <f>MAX(kmin, kmax - 0.15 * MIN(Games[[#This Row],[GamesPlayed]], 82))</f>
        <v>71.5</v>
      </c>
      <c r="Z354" s="4">
        <f>Games[[#This Row],[K]]*Games[[#This Row],[POMult]]</f>
        <v>71.5</v>
      </c>
      <c r="AA354" s="4">
        <f>(Games[[#This Row],[Keff]]*Games[[#This Row],[MOVMult]])*(Games[[#This Row],[Result]]-Games[[#This Row],[ExpectedWin%]])</f>
        <v>-23.767471967048078</v>
      </c>
      <c r="AB354" s="4">
        <f>Games[[#This Row],[PreGmRate]]+Games[[#This Row],[RatingChange]]</f>
        <v>1659.3071200435154</v>
      </c>
      <c r="AC354" s="2">
        <f>IF(Games[[#This Row],[Type]]="R",IF(Games[[#This Row],[Result]]&gt;0.5,1,0),0)</f>
        <v>0</v>
      </c>
      <c r="AD354" s="2">
        <f>IF(Games[[#This Row],[Type]]="R",IF(Games[[#This Row],[Result]]&lt;0.5,1,0),0)</f>
        <v>1</v>
      </c>
      <c r="AE354" s="2">
        <f>IF(AND(Games[[#This Row],[Type]]="P",Games[[#This Row],[Round]]=1),IF(Games[[#This Row],[Result]]&gt;0.5,1,0),0)</f>
        <v>0</v>
      </c>
      <c r="AF354" s="2">
        <f>IF(AND(Games[[#This Row],[Type]]="P",Games[[#This Row],[Round]]=1),IF(Games[[#This Row],[Result]]&lt;0.5,1,0),0)</f>
        <v>0</v>
      </c>
      <c r="AG354" s="2">
        <f>IF(AND(Games[[#This Row],[Type]]="P",Games[[#This Row],[Round]]=2),IF(Games[[#This Row],[Result]]&gt;0.5,1,0),0)</f>
        <v>0</v>
      </c>
      <c r="AH354" s="2">
        <f>IF(AND(Games[[#This Row],[Type]]="P",Games[[#This Row],[Round]]=2),IF(Games[[#This Row],[Result]]&lt;0.5,1,0),0)</f>
        <v>0</v>
      </c>
      <c r="AI354" s="2">
        <f>IF(AND(Games[[#This Row],[Type]]="P",Games[[#This Row],[Round]]=3),IF(Games[[#This Row],[Result]]&gt;0.5,1,0),0)</f>
        <v>0</v>
      </c>
      <c r="AJ354" s="2">
        <f>IF(AND(Games[[#This Row],[Type]]="P",Games[[#This Row],[Round]]=3),IF(Games[[#This Row],[Result]]&lt;0.5,1,0),0)</f>
        <v>0</v>
      </c>
      <c r="AK354" s="2">
        <f>IF(AND(Games[[#This Row],[Type]]="P",Games[[#This Row],[Round]]=4),IF(Games[[#This Row],[Result]]&gt;0.5,1,0),0)</f>
        <v>0</v>
      </c>
      <c r="AL354" s="2">
        <f>IF(AND(Games[[#This Row],[Type]]="P",Games[[#This Row],[Round]]=4),IF(Games[[#This Row],[Result]]&lt;0.5,1,0),0)</f>
        <v>0</v>
      </c>
    </row>
    <row r="355" spans="1:38" x14ac:dyDescent="0.35">
      <c r="A355" s="10">
        <v>40403</v>
      </c>
      <c r="B355" s="2">
        <v>2010</v>
      </c>
      <c r="C355" s="2">
        <f>COUNTIFS(Games[Team],Games[[#This Row],[Team]],Games[Season],Games[[#This Row],[Season]],Games[Date],"&lt;=" &amp; Games[[#This Row],[Date]])</f>
        <v>30</v>
      </c>
      <c r="D355" s="2" t="s">
        <v>23</v>
      </c>
      <c r="E355" s="2" t="s">
        <v>29</v>
      </c>
      <c r="F355" s="1" t="s">
        <v>80</v>
      </c>
      <c r="G355" s="1" t="s">
        <v>75</v>
      </c>
      <c r="H355" s="1" t="s">
        <v>15</v>
      </c>
      <c r="I355" s="2" cm="1">
        <f t="array" ref="I355">IFERROR(
    Games[[#This Row],[Date]]
    - LOOKUP(
        2,
        1/((Games[Team]=Games[[#This Row],[Team]]) * (Games[Date] &lt; Games[[#This Row],[Date]])),
        Games[Date]
    )
    - 1,
Games[[#This Row],[Date]]-$A$2)</f>
        <v>2</v>
      </c>
      <c r="J355" s="2" cm="1">
        <f t="array" ref="J35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55" s="2">
        <f>Games[[#This Row],[DaysOff]]-Games[[#This Row],[OppDaysOff]]</f>
        <v>0</v>
      </c>
      <c r="L355" s="2">
        <f>Games[[#This Row],[OppDaysOff]]-Games[[#This Row],[DaysOff]]</f>
        <v>0</v>
      </c>
      <c r="M355" s="1">
        <f>MAX(-16, MIN(16, Games[[#This Row],[RestDiff]]*8))</f>
        <v>0</v>
      </c>
      <c r="N355" s="1">
        <f>MAX(-16, MIN(16, Games[[#This Row],[OppRestDiff]]*8))</f>
        <v>0</v>
      </c>
      <c r="O355" s="4" cm="1">
        <f t="array" ref="O3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1465.7964804324083</v>
      </c>
      <c r="P355" s="4" cm="1">
        <f t="array" ref="P3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1683.0745920105635</v>
      </c>
      <c r="Q355" s="4">
        <f>1/(1+10^(((Games[[#This Row],[OppPreGmRate]]+IF(Games[[#This Row],[HomeAway]]="A",HCA,0)+Games[[#This Row],[OppRestAdj]])-(Games[[#This Row],[PreGmRate]]+IF(Games[[#This Row],[HomeAway]]="H",HCA,0)+Games[[#This Row],[RestAdj]]))/400))</f>
        <v>0.31708284363068789</v>
      </c>
      <c r="R355" s="1">
        <v>88</v>
      </c>
      <c r="S355" s="1">
        <v>68</v>
      </c>
      <c r="T355" s="1">
        <v>0</v>
      </c>
      <c r="U355" s="1">
        <f>Games[[#This Row],[PointsFor]]-Games[[#This Row],[PointsAgainst]]</f>
        <v>20</v>
      </c>
      <c r="V355" s="1">
        <f>IF(Games[[#This Row],[MOV]]&gt;0,1,IF(Games[[#This Row],[MOV]]=0,0.5,0))</f>
        <v>1</v>
      </c>
      <c r="W355" s="4">
        <f>((ABS(Games[[#This Row],[MOV]])+5)^0.6)/(12+0.01*(ABS(Games[[#This Row],[PreGmRate]]-Games[[#This Row],[OppPreGmRate]])))*IF(Games[[#This Row],[OT]]=1,0.9,1)</f>
        <v>0.48675332321504278</v>
      </c>
      <c r="X355" s="7" cm="1">
        <f t="array" ref="X35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5" s="9">
        <f>MAX(kmin, kmax - 0.15 * MIN(Games[[#This Row],[GamesPlayed]], 82))</f>
        <v>71.5</v>
      </c>
      <c r="Z355" s="4">
        <f>Games[[#This Row],[K]]*Games[[#This Row],[POMult]]</f>
        <v>71.5</v>
      </c>
      <c r="AA355" s="4">
        <f>(Games[[#This Row],[Keff]]*Games[[#This Row],[MOVMult]])*(Games[[#This Row],[Result]]-Games[[#This Row],[ExpectedWin%]])</f>
        <v>23.767471967048078</v>
      </c>
      <c r="AB355" s="4">
        <f>Games[[#This Row],[PreGmRate]]+Games[[#This Row],[RatingChange]]</f>
        <v>1489.5639523994564</v>
      </c>
      <c r="AC355" s="2">
        <f>IF(Games[[#This Row],[Type]]="R",IF(Games[[#This Row],[Result]]&gt;0.5,1,0),0)</f>
        <v>1</v>
      </c>
      <c r="AD355" s="2">
        <f>IF(Games[[#This Row],[Type]]="R",IF(Games[[#This Row],[Result]]&lt;0.5,1,0),0)</f>
        <v>0</v>
      </c>
      <c r="AE355" s="2">
        <f>IF(AND(Games[[#This Row],[Type]]="P",Games[[#This Row],[Round]]=1),IF(Games[[#This Row],[Result]]&gt;0.5,1,0),0)</f>
        <v>0</v>
      </c>
      <c r="AF355" s="2">
        <f>IF(AND(Games[[#This Row],[Type]]="P",Games[[#This Row],[Round]]=1),IF(Games[[#This Row],[Result]]&lt;0.5,1,0),0)</f>
        <v>0</v>
      </c>
      <c r="AG355" s="2">
        <f>IF(AND(Games[[#This Row],[Type]]="P",Games[[#This Row],[Round]]=2),IF(Games[[#This Row],[Result]]&gt;0.5,1,0),0)</f>
        <v>0</v>
      </c>
      <c r="AH355" s="2">
        <f>IF(AND(Games[[#This Row],[Type]]="P",Games[[#This Row],[Round]]=2),IF(Games[[#This Row],[Result]]&lt;0.5,1,0),0)</f>
        <v>0</v>
      </c>
      <c r="AI355" s="2">
        <f>IF(AND(Games[[#This Row],[Type]]="P",Games[[#This Row],[Round]]=3),IF(Games[[#This Row],[Result]]&gt;0.5,1,0),0)</f>
        <v>0</v>
      </c>
      <c r="AJ355" s="2">
        <f>IF(AND(Games[[#This Row],[Type]]="P",Games[[#This Row],[Round]]=3),IF(Games[[#This Row],[Result]]&lt;0.5,1,0),0)</f>
        <v>0</v>
      </c>
      <c r="AK355" s="2">
        <f>IF(AND(Games[[#This Row],[Type]]="P",Games[[#This Row],[Round]]=4),IF(Games[[#This Row],[Result]]&gt;0.5,1,0),0)</f>
        <v>0</v>
      </c>
      <c r="AL355" s="2">
        <f>IF(AND(Games[[#This Row],[Type]]="P",Games[[#This Row],[Round]]=4),IF(Games[[#This Row],[Result]]&lt;0.5,1,0),0)</f>
        <v>0</v>
      </c>
    </row>
    <row r="356" spans="1:38" x14ac:dyDescent="0.35">
      <c r="A356" s="10">
        <v>40403</v>
      </c>
      <c r="B356" s="2">
        <v>2010</v>
      </c>
      <c r="C356" s="2">
        <f>COUNTIFS(Games[Team],Games[[#This Row],[Team]],Games[Season],Games[[#This Row],[Season]],Games[Date],"&lt;=" &amp; Games[[#This Row],[Date]])</f>
        <v>30</v>
      </c>
      <c r="D356" s="2" t="s">
        <v>23</v>
      </c>
      <c r="E356" s="2" t="s">
        <v>29</v>
      </c>
      <c r="F356" s="1" t="s">
        <v>44</v>
      </c>
      <c r="G356" s="1" t="s">
        <v>73</v>
      </c>
      <c r="H356" s="1" t="s">
        <v>16</v>
      </c>
      <c r="I356" s="2" cm="1">
        <f t="array" ref="I356">IFERROR(
    Games[[#This Row],[Date]]
    - LOOKUP(
        2,
        1/((Games[Team]=Games[[#This Row],[Team]]) * (Games[Date] &lt; Games[[#This Row],[Date]])),
        Games[Date]
    )
    - 1,
Games[[#This Row],[Date]]-$A$2)</f>
        <v>2</v>
      </c>
      <c r="J356" s="2" cm="1">
        <f t="array" ref="J35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56" s="2">
        <f>Games[[#This Row],[DaysOff]]-Games[[#This Row],[OppDaysOff]]</f>
        <v>0</v>
      </c>
      <c r="L356" s="2">
        <f>Games[[#This Row],[OppDaysOff]]-Games[[#This Row],[DaysOff]]</f>
        <v>0</v>
      </c>
      <c r="M356" s="1">
        <f>MAX(-16, MIN(16, Games[[#This Row],[RestDiff]]*8))</f>
        <v>0</v>
      </c>
      <c r="N356" s="1">
        <f>MAX(-16, MIN(16, Games[[#This Row],[OppRestDiff]]*8))</f>
        <v>0</v>
      </c>
      <c r="O356" s="4" cm="1">
        <f t="array" ref="O3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1530.7213121256652</v>
      </c>
      <c r="P356" s="4" cm="1">
        <f t="array" ref="P3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1612.4507369231567</v>
      </c>
      <c r="Q356" s="4">
        <f>1/(1+10^(((Games[[#This Row],[OppPreGmRate]]+IF(Games[[#This Row],[HomeAway]]="A",HCA,0)+Games[[#This Row],[OppRestAdj]])-(Games[[#This Row],[PreGmRate]]+IF(Games[[#This Row],[HomeAway]]="H",HCA,0)+Games[[#This Row],[RestAdj]]))/400))</f>
        <v>0.27807803862775748</v>
      </c>
      <c r="R356" s="1">
        <v>90</v>
      </c>
      <c r="S356" s="1">
        <v>110</v>
      </c>
      <c r="T356" s="1">
        <v>0</v>
      </c>
      <c r="U356" s="1">
        <f>Games[[#This Row],[PointsFor]]-Games[[#This Row],[PointsAgainst]]</f>
        <v>-20</v>
      </c>
      <c r="V356" s="1">
        <f>IF(Games[[#This Row],[MOV]]&gt;0,1,IF(Games[[#This Row],[MOV]]=0,0.5,0))</f>
        <v>0</v>
      </c>
      <c r="W356" s="4">
        <f>((ABS(Games[[#This Row],[MOV]])+5)^0.6)/(12+0.01*(ABS(Games[[#This Row],[PreGmRate]]-Games[[#This Row],[OppPreGmRate]])))*IF(Games[[#This Row],[OT]]=1,0.9,1)</f>
        <v>0.53822968981117325</v>
      </c>
      <c r="X356" s="7" cm="1">
        <f t="array" ref="X35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6" s="9">
        <f>MAX(kmin, kmax - 0.15 * MIN(Games[[#This Row],[GamesPlayed]], 82))</f>
        <v>71.5</v>
      </c>
      <c r="Z356" s="4">
        <f>Games[[#This Row],[K]]*Games[[#This Row],[POMult]]</f>
        <v>71.5</v>
      </c>
      <c r="AA356" s="4">
        <f>(Games[[#This Row],[Keff]]*Games[[#This Row],[MOVMult]])*(Games[[#This Row],[Result]]-Games[[#This Row],[ExpectedWin%]])</f>
        <v>-10.70139473788509</v>
      </c>
      <c r="AB356" s="4">
        <f>Games[[#This Row],[PreGmRate]]+Games[[#This Row],[RatingChange]]</f>
        <v>1520.0199173877802</v>
      </c>
      <c r="AC356" s="2">
        <f>IF(Games[[#This Row],[Type]]="R",IF(Games[[#This Row],[Result]]&gt;0.5,1,0),0)</f>
        <v>0</v>
      </c>
      <c r="AD356" s="2">
        <f>IF(Games[[#This Row],[Type]]="R",IF(Games[[#This Row],[Result]]&lt;0.5,1,0),0)</f>
        <v>1</v>
      </c>
      <c r="AE356" s="2">
        <f>IF(AND(Games[[#This Row],[Type]]="P",Games[[#This Row],[Round]]=1),IF(Games[[#This Row],[Result]]&gt;0.5,1,0),0)</f>
        <v>0</v>
      </c>
      <c r="AF356" s="2">
        <f>IF(AND(Games[[#This Row],[Type]]="P",Games[[#This Row],[Round]]=1),IF(Games[[#This Row],[Result]]&lt;0.5,1,0),0)</f>
        <v>0</v>
      </c>
      <c r="AG356" s="2">
        <f>IF(AND(Games[[#This Row],[Type]]="P",Games[[#This Row],[Round]]=2),IF(Games[[#This Row],[Result]]&gt;0.5,1,0),0)</f>
        <v>0</v>
      </c>
      <c r="AH356" s="2">
        <f>IF(AND(Games[[#This Row],[Type]]="P",Games[[#This Row],[Round]]=2),IF(Games[[#This Row],[Result]]&lt;0.5,1,0),0)</f>
        <v>0</v>
      </c>
      <c r="AI356" s="2">
        <f>IF(AND(Games[[#This Row],[Type]]="P",Games[[#This Row],[Round]]=3),IF(Games[[#This Row],[Result]]&gt;0.5,1,0),0)</f>
        <v>0</v>
      </c>
      <c r="AJ356" s="2">
        <f>IF(AND(Games[[#This Row],[Type]]="P",Games[[#This Row],[Round]]=3),IF(Games[[#This Row],[Result]]&lt;0.5,1,0),0)</f>
        <v>0</v>
      </c>
      <c r="AK356" s="2">
        <f>IF(AND(Games[[#This Row],[Type]]="P",Games[[#This Row],[Round]]=4),IF(Games[[#This Row],[Result]]&gt;0.5,1,0),0)</f>
        <v>0</v>
      </c>
      <c r="AL356" s="2">
        <f>IF(AND(Games[[#This Row],[Type]]="P",Games[[#This Row],[Round]]=4),IF(Games[[#This Row],[Result]]&lt;0.5,1,0),0)</f>
        <v>0</v>
      </c>
    </row>
    <row r="357" spans="1:38" x14ac:dyDescent="0.35">
      <c r="A357" s="10">
        <v>40403</v>
      </c>
      <c r="B357" s="2">
        <v>2010</v>
      </c>
      <c r="C357" s="2">
        <f>COUNTIFS(Games[Team],Games[[#This Row],[Team]],Games[Season],Games[[#This Row],[Season]],Games[Date],"&lt;=" &amp; Games[[#This Row],[Date]])</f>
        <v>30</v>
      </c>
      <c r="D357" s="2" t="s">
        <v>23</v>
      </c>
      <c r="E357" s="2" t="s">
        <v>29</v>
      </c>
      <c r="F357" s="1" t="s">
        <v>73</v>
      </c>
      <c r="G357" s="1" t="s">
        <v>44</v>
      </c>
      <c r="H357" s="1" t="s">
        <v>15</v>
      </c>
      <c r="I357" s="2" cm="1">
        <f t="array" ref="I357">IFERROR(
    Games[[#This Row],[Date]]
    - LOOKUP(
        2,
        1/((Games[Team]=Games[[#This Row],[Team]]) * (Games[Date] &lt; Games[[#This Row],[Date]])),
        Games[Date]
    )
    - 1,
Games[[#This Row],[Date]]-$A$2)</f>
        <v>2</v>
      </c>
      <c r="J357" s="2" cm="1">
        <f t="array" ref="J35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57" s="2">
        <f>Games[[#This Row],[DaysOff]]-Games[[#This Row],[OppDaysOff]]</f>
        <v>0</v>
      </c>
      <c r="L357" s="2">
        <f>Games[[#This Row],[OppDaysOff]]-Games[[#This Row],[DaysOff]]</f>
        <v>0</v>
      </c>
      <c r="M357" s="1">
        <f>MAX(-16, MIN(16, Games[[#This Row],[RestDiff]]*8))</f>
        <v>0</v>
      </c>
      <c r="N357" s="1">
        <f>MAX(-16, MIN(16, Games[[#This Row],[OppRestDiff]]*8))</f>
        <v>0</v>
      </c>
      <c r="O357" s="4" cm="1">
        <f t="array" ref="O3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1612.4507369231567</v>
      </c>
      <c r="P357" s="4" cm="1">
        <f t="array" ref="P3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1530.7213121256652</v>
      </c>
      <c r="Q357" s="4">
        <f>1/(1+10^(((Games[[#This Row],[OppPreGmRate]]+IF(Games[[#This Row],[HomeAway]]="A",HCA,0)+Games[[#This Row],[OppRestAdj]])-(Games[[#This Row],[PreGmRate]]+IF(Games[[#This Row],[HomeAway]]="H",HCA,0)+Games[[#This Row],[RestAdj]]))/400))</f>
        <v>0.72192196137224263</v>
      </c>
      <c r="R357" s="1">
        <v>110</v>
      </c>
      <c r="S357" s="1">
        <v>90</v>
      </c>
      <c r="T357" s="1">
        <v>0</v>
      </c>
      <c r="U357" s="1">
        <f>Games[[#This Row],[PointsFor]]-Games[[#This Row],[PointsAgainst]]</f>
        <v>20</v>
      </c>
      <c r="V357" s="1">
        <f>IF(Games[[#This Row],[MOV]]&gt;0,1,IF(Games[[#This Row],[MOV]]=0,0.5,0))</f>
        <v>1</v>
      </c>
      <c r="W357" s="4">
        <f>((ABS(Games[[#This Row],[MOV]])+5)^0.6)/(12+0.01*(ABS(Games[[#This Row],[PreGmRate]]-Games[[#This Row],[OppPreGmRate]])))*IF(Games[[#This Row],[OT]]=1,0.9,1)</f>
        <v>0.53822968981117325</v>
      </c>
      <c r="X357" s="7" cm="1">
        <f t="array" ref="X35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7" s="9">
        <f>MAX(kmin, kmax - 0.15 * MIN(Games[[#This Row],[GamesPlayed]], 82))</f>
        <v>71.5</v>
      </c>
      <c r="Z357" s="4">
        <f>Games[[#This Row],[K]]*Games[[#This Row],[POMult]]</f>
        <v>71.5</v>
      </c>
      <c r="AA357" s="4">
        <f>(Games[[#This Row],[Keff]]*Games[[#This Row],[MOVMult]])*(Games[[#This Row],[Result]]-Games[[#This Row],[ExpectedWin%]])</f>
        <v>10.701394737885087</v>
      </c>
      <c r="AB357" s="4">
        <f>Games[[#This Row],[PreGmRate]]+Games[[#This Row],[RatingChange]]</f>
        <v>1623.1521316610417</v>
      </c>
      <c r="AC357" s="2">
        <f>IF(Games[[#This Row],[Type]]="R",IF(Games[[#This Row],[Result]]&gt;0.5,1,0),0)</f>
        <v>1</v>
      </c>
      <c r="AD357" s="2">
        <f>IF(Games[[#This Row],[Type]]="R",IF(Games[[#This Row],[Result]]&lt;0.5,1,0),0)</f>
        <v>0</v>
      </c>
      <c r="AE357" s="2">
        <f>IF(AND(Games[[#This Row],[Type]]="P",Games[[#This Row],[Round]]=1),IF(Games[[#This Row],[Result]]&gt;0.5,1,0),0)</f>
        <v>0</v>
      </c>
      <c r="AF357" s="2">
        <f>IF(AND(Games[[#This Row],[Type]]="P",Games[[#This Row],[Round]]=1),IF(Games[[#This Row],[Result]]&lt;0.5,1,0),0)</f>
        <v>0</v>
      </c>
      <c r="AG357" s="2">
        <f>IF(AND(Games[[#This Row],[Type]]="P",Games[[#This Row],[Round]]=2),IF(Games[[#This Row],[Result]]&gt;0.5,1,0),0)</f>
        <v>0</v>
      </c>
      <c r="AH357" s="2">
        <f>IF(AND(Games[[#This Row],[Type]]="P",Games[[#This Row],[Round]]=2),IF(Games[[#This Row],[Result]]&lt;0.5,1,0),0)</f>
        <v>0</v>
      </c>
      <c r="AI357" s="2">
        <f>IF(AND(Games[[#This Row],[Type]]="P",Games[[#This Row],[Round]]=3),IF(Games[[#This Row],[Result]]&gt;0.5,1,0),0)</f>
        <v>0</v>
      </c>
      <c r="AJ357" s="2">
        <f>IF(AND(Games[[#This Row],[Type]]="P",Games[[#This Row],[Round]]=3),IF(Games[[#This Row],[Result]]&lt;0.5,1,0),0)</f>
        <v>0</v>
      </c>
      <c r="AK357" s="2">
        <f>IF(AND(Games[[#This Row],[Type]]="P",Games[[#This Row],[Round]]=4),IF(Games[[#This Row],[Result]]&gt;0.5,1,0),0)</f>
        <v>0</v>
      </c>
      <c r="AL357" s="2">
        <f>IF(AND(Games[[#This Row],[Type]]="P",Games[[#This Row],[Round]]=4),IF(Games[[#This Row],[Result]]&lt;0.5,1,0),0)</f>
        <v>0</v>
      </c>
    </row>
    <row r="358" spans="1:38" x14ac:dyDescent="0.35">
      <c r="A358" s="10">
        <v>40403</v>
      </c>
      <c r="B358" s="2">
        <v>2010</v>
      </c>
      <c r="C358" s="2">
        <f>COUNTIFS(Games[Team],Games[[#This Row],[Team]],Games[Season],Games[[#This Row],[Season]],Games[Date],"&lt;=" &amp; Games[[#This Row],[Date]])</f>
        <v>30</v>
      </c>
      <c r="D358" s="2" t="s">
        <v>23</v>
      </c>
      <c r="E358" s="2" t="s">
        <v>29</v>
      </c>
      <c r="F358" s="1" t="s">
        <v>85</v>
      </c>
      <c r="G358" s="1" t="s">
        <v>78</v>
      </c>
      <c r="H358" s="1" t="s">
        <v>16</v>
      </c>
      <c r="I358" s="2" cm="1">
        <f t="array" ref="I358">IFERROR(
    Games[[#This Row],[Date]]
    - LOOKUP(
        2,
        1/((Games[Team]=Games[[#This Row],[Team]]) * (Games[Date] &lt; Games[[#This Row],[Date]])),
        Games[Date]
    )
    - 1,
Games[[#This Row],[Date]]-$A$2)</f>
        <v>5</v>
      </c>
      <c r="J358" s="2" cm="1">
        <f t="array" ref="J35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58" s="2">
        <f>Games[[#This Row],[DaysOff]]-Games[[#This Row],[OppDaysOff]]</f>
        <v>3</v>
      </c>
      <c r="L358" s="2">
        <f>Games[[#This Row],[OppDaysOff]]-Games[[#This Row],[DaysOff]]</f>
        <v>-3</v>
      </c>
      <c r="M358" s="1">
        <f>MAX(-16, MIN(16, Games[[#This Row],[RestDiff]]*8))</f>
        <v>16</v>
      </c>
      <c r="N358" s="1">
        <f>MAX(-16, MIN(16, Games[[#This Row],[OppRestDiff]]*8))</f>
        <v>-16</v>
      </c>
      <c r="O358" s="4" cm="1">
        <f t="array" ref="O3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1308.1756191823922</v>
      </c>
      <c r="P358" s="4" cm="1">
        <f t="array" ref="P3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1426.7207684896666</v>
      </c>
      <c r="Q358" s="4">
        <f>1/(1+10^(((Games[[#This Row],[OppPreGmRate]]+IF(Games[[#This Row],[HomeAway]]="A",HCA,0)+Games[[#This Row],[OppRestAdj]])-(Games[[#This Row],[PreGmRate]]+IF(Games[[#This Row],[HomeAway]]="H",HCA,0)+Games[[#This Row],[RestAdj]]))/400))</f>
        <v>0.27254730129553234</v>
      </c>
      <c r="R358" s="1">
        <v>74</v>
      </c>
      <c r="S358" s="1">
        <v>94</v>
      </c>
      <c r="T358" s="1">
        <v>0</v>
      </c>
      <c r="U358" s="1">
        <f>Games[[#This Row],[PointsFor]]-Games[[#This Row],[PointsAgainst]]</f>
        <v>-20</v>
      </c>
      <c r="V358" s="1">
        <f>IF(Games[[#This Row],[MOV]]&gt;0,1,IF(Games[[#This Row],[MOV]]=0,0.5,0))</f>
        <v>0</v>
      </c>
      <c r="W358" s="4">
        <f>((ABS(Games[[#This Row],[MOV]])+5)^0.6)/(12+0.01*(ABS(Games[[#This Row],[PreGmRate]]-Games[[#This Row],[OppPreGmRate]])))*IF(Games[[#This Row],[OT]]=1,0.9,1)</f>
        <v>0.52320152335552739</v>
      </c>
      <c r="X358" s="7" cm="1">
        <f t="array" ref="X35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8" s="9">
        <f>MAX(kmin, kmax - 0.15 * MIN(Games[[#This Row],[GamesPlayed]], 82))</f>
        <v>71.5</v>
      </c>
      <c r="Z358" s="4">
        <f>Games[[#This Row],[K]]*Games[[#This Row],[POMult]]</f>
        <v>71.5</v>
      </c>
      <c r="AA358" s="4">
        <f>(Games[[#This Row],[Keff]]*Games[[#This Row],[MOVMult]])*(Games[[#This Row],[Result]]-Games[[#This Row],[ExpectedWin%]])</f>
        <v>-10.19569717053462</v>
      </c>
      <c r="AB358" s="4">
        <f>Games[[#This Row],[PreGmRate]]+Games[[#This Row],[RatingChange]]</f>
        <v>1297.9799220118575</v>
      </c>
      <c r="AC358" s="2">
        <f>IF(Games[[#This Row],[Type]]="R",IF(Games[[#This Row],[Result]]&gt;0.5,1,0),0)</f>
        <v>0</v>
      </c>
      <c r="AD358" s="2">
        <f>IF(Games[[#This Row],[Type]]="R",IF(Games[[#This Row],[Result]]&lt;0.5,1,0),0)</f>
        <v>1</v>
      </c>
      <c r="AE358" s="2">
        <f>IF(AND(Games[[#This Row],[Type]]="P",Games[[#This Row],[Round]]=1),IF(Games[[#This Row],[Result]]&gt;0.5,1,0),0)</f>
        <v>0</v>
      </c>
      <c r="AF358" s="2">
        <f>IF(AND(Games[[#This Row],[Type]]="P",Games[[#This Row],[Round]]=1),IF(Games[[#This Row],[Result]]&lt;0.5,1,0),0)</f>
        <v>0</v>
      </c>
      <c r="AG358" s="2">
        <f>IF(AND(Games[[#This Row],[Type]]="P",Games[[#This Row],[Round]]=2),IF(Games[[#This Row],[Result]]&gt;0.5,1,0),0)</f>
        <v>0</v>
      </c>
      <c r="AH358" s="2">
        <f>IF(AND(Games[[#This Row],[Type]]="P",Games[[#This Row],[Round]]=2),IF(Games[[#This Row],[Result]]&lt;0.5,1,0),0)</f>
        <v>0</v>
      </c>
      <c r="AI358" s="2">
        <f>IF(AND(Games[[#This Row],[Type]]="P",Games[[#This Row],[Round]]=3),IF(Games[[#This Row],[Result]]&gt;0.5,1,0),0)</f>
        <v>0</v>
      </c>
      <c r="AJ358" s="2">
        <f>IF(AND(Games[[#This Row],[Type]]="P",Games[[#This Row],[Round]]=3),IF(Games[[#This Row],[Result]]&lt;0.5,1,0),0)</f>
        <v>0</v>
      </c>
      <c r="AK358" s="2">
        <f>IF(AND(Games[[#This Row],[Type]]="P",Games[[#This Row],[Round]]=4),IF(Games[[#This Row],[Result]]&gt;0.5,1,0),0)</f>
        <v>0</v>
      </c>
      <c r="AL358" s="2">
        <f>IF(AND(Games[[#This Row],[Type]]="P",Games[[#This Row],[Round]]=4),IF(Games[[#This Row],[Result]]&lt;0.5,1,0),0)</f>
        <v>0</v>
      </c>
    </row>
    <row r="359" spans="1:38" x14ac:dyDescent="0.35">
      <c r="A359" s="10">
        <v>40403</v>
      </c>
      <c r="B359" s="2">
        <v>2010</v>
      </c>
      <c r="C359" s="2">
        <f>COUNTIFS(Games[Team],Games[[#This Row],[Team]],Games[Season],Games[[#This Row],[Season]],Games[Date],"&lt;=" &amp; Games[[#This Row],[Date]])</f>
        <v>30</v>
      </c>
      <c r="D359" s="2" t="s">
        <v>23</v>
      </c>
      <c r="E359" s="2" t="s">
        <v>29</v>
      </c>
      <c r="F359" s="1" t="s">
        <v>78</v>
      </c>
      <c r="G359" s="1" t="s">
        <v>85</v>
      </c>
      <c r="H359" s="1" t="s">
        <v>15</v>
      </c>
      <c r="I359" s="2" cm="1">
        <f t="array" ref="I359">IFERROR(
    Games[[#This Row],[Date]]
    - LOOKUP(
        2,
        1/((Games[Team]=Games[[#This Row],[Team]]) * (Games[Date] &lt; Games[[#This Row],[Date]])),
        Games[Date]
    )
    - 1,
Games[[#This Row],[Date]]-$A$2)</f>
        <v>2</v>
      </c>
      <c r="J359" s="2" cm="1">
        <f t="array" ref="J359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359" s="2">
        <f>Games[[#This Row],[DaysOff]]-Games[[#This Row],[OppDaysOff]]</f>
        <v>-3</v>
      </c>
      <c r="L359" s="2">
        <f>Games[[#This Row],[OppDaysOff]]-Games[[#This Row],[DaysOff]]</f>
        <v>3</v>
      </c>
      <c r="M359" s="1">
        <f>MAX(-16, MIN(16, Games[[#This Row],[RestDiff]]*8))</f>
        <v>-16</v>
      </c>
      <c r="N359" s="1">
        <f>MAX(-16, MIN(16, Games[[#This Row],[OppRestDiff]]*8))</f>
        <v>16</v>
      </c>
      <c r="O359" s="4" cm="1">
        <f t="array" ref="O3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1426.7207684896666</v>
      </c>
      <c r="P359" s="4" cm="1">
        <f t="array" ref="P3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1308.1756191823922</v>
      </c>
      <c r="Q359" s="4">
        <f>1/(1+10^(((Games[[#This Row],[OppPreGmRate]]+IF(Games[[#This Row],[HomeAway]]="A",HCA,0)+Games[[#This Row],[OppRestAdj]])-(Games[[#This Row],[PreGmRate]]+IF(Games[[#This Row],[HomeAway]]="H",HCA,0)+Games[[#This Row],[RestAdj]]))/400))</f>
        <v>0.7274526987044676</v>
      </c>
      <c r="R359" s="1">
        <v>94</v>
      </c>
      <c r="S359" s="1">
        <v>74</v>
      </c>
      <c r="T359" s="1">
        <v>0</v>
      </c>
      <c r="U359" s="1">
        <f>Games[[#This Row],[PointsFor]]-Games[[#This Row],[PointsAgainst]]</f>
        <v>20</v>
      </c>
      <c r="V359" s="1">
        <f>IF(Games[[#This Row],[MOV]]&gt;0,1,IF(Games[[#This Row],[MOV]]=0,0.5,0))</f>
        <v>1</v>
      </c>
      <c r="W359" s="4">
        <f>((ABS(Games[[#This Row],[MOV]])+5)^0.6)/(12+0.01*(ABS(Games[[#This Row],[PreGmRate]]-Games[[#This Row],[OppPreGmRate]])))*IF(Games[[#This Row],[OT]]=1,0.9,1)</f>
        <v>0.52320152335552739</v>
      </c>
      <c r="X359" s="7" cm="1">
        <f t="array" ref="X35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9" s="9">
        <f>MAX(kmin, kmax - 0.15 * MIN(Games[[#This Row],[GamesPlayed]], 82))</f>
        <v>71.5</v>
      </c>
      <c r="Z359" s="4">
        <f>Games[[#This Row],[K]]*Games[[#This Row],[POMult]]</f>
        <v>71.5</v>
      </c>
      <c r="AA359" s="4">
        <f>(Games[[#This Row],[Keff]]*Games[[#This Row],[MOVMult]])*(Games[[#This Row],[Result]]-Games[[#This Row],[ExpectedWin%]])</f>
        <v>10.195697170534622</v>
      </c>
      <c r="AB359" s="4">
        <f>Games[[#This Row],[PreGmRate]]+Games[[#This Row],[RatingChange]]</f>
        <v>1436.9164656602013</v>
      </c>
      <c r="AC359" s="2">
        <f>IF(Games[[#This Row],[Type]]="R",IF(Games[[#This Row],[Result]]&gt;0.5,1,0),0)</f>
        <v>1</v>
      </c>
      <c r="AD359" s="2">
        <f>IF(Games[[#This Row],[Type]]="R",IF(Games[[#This Row],[Result]]&lt;0.5,1,0),0)</f>
        <v>0</v>
      </c>
      <c r="AE359" s="2">
        <f>IF(AND(Games[[#This Row],[Type]]="P",Games[[#This Row],[Round]]=1),IF(Games[[#This Row],[Result]]&gt;0.5,1,0),0)</f>
        <v>0</v>
      </c>
      <c r="AF359" s="2">
        <f>IF(AND(Games[[#This Row],[Type]]="P",Games[[#This Row],[Round]]=1),IF(Games[[#This Row],[Result]]&lt;0.5,1,0),0)</f>
        <v>0</v>
      </c>
      <c r="AG359" s="2">
        <f>IF(AND(Games[[#This Row],[Type]]="P",Games[[#This Row],[Round]]=2),IF(Games[[#This Row],[Result]]&gt;0.5,1,0),0)</f>
        <v>0</v>
      </c>
      <c r="AH359" s="2">
        <f>IF(AND(Games[[#This Row],[Type]]="P",Games[[#This Row],[Round]]=2),IF(Games[[#This Row],[Result]]&lt;0.5,1,0),0)</f>
        <v>0</v>
      </c>
      <c r="AI359" s="2">
        <f>IF(AND(Games[[#This Row],[Type]]="P",Games[[#This Row],[Round]]=3),IF(Games[[#This Row],[Result]]&gt;0.5,1,0),0)</f>
        <v>0</v>
      </c>
      <c r="AJ359" s="2">
        <f>IF(AND(Games[[#This Row],[Type]]="P",Games[[#This Row],[Round]]=3),IF(Games[[#This Row],[Result]]&lt;0.5,1,0),0)</f>
        <v>0</v>
      </c>
      <c r="AK359" s="2">
        <f>IF(AND(Games[[#This Row],[Type]]="P",Games[[#This Row],[Round]]=4),IF(Games[[#This Row],[Result]]&gt;0.5,1,0),0)</f>
        <v>0</v>
      </c>
      <c r="AL359" s="2">
        <f>IF(AND(Games[[#This Row],[Type]]="P",Games[[#This Row],[Round]]=4),IF(Games[[#This Row],[Result]]&lt;0.5,1,0),0)</f>
        <v>0</v>
      </c>
    </row>
    <row r="360" spans="1:38" x14ac:dyDescent="0.35">
      <c r="A360" s="10">
        <v>40403</v>
      </c>
      <c r="B360" s="2">
        <v>2010</v>
      </c>
      <c r="C360" s="2">
        <f>COUNTIFS(Games[Team],Games[[#This Row],[Team]],Games[Season],Games[[#This Row],[Season]],Games[Date],"&lt;=" &amp; Games[[#This Row],[Date]])</f>
        <v>30</v>
      </c>
      <c r="D360" s="2" t="s">
        <v>23</v>
      </c>
      <c r="E360" s="2" t="s">
        <v>29</v>
      </c>
      <c r="F360" s="1" t="s">
        <v>71</v>
      </c>
      <c r="G360" s="1" t="s">
        <v>69</v>
      </c>
      <c r="H360" s="1" t="s">
        <v>16</v>
      </c>
      <c r="I360" s="2" cm="1">
        <f t="array" ref="I360">IFERROR(
    Games[[#This Row],[Date]]
    - LOOKUP(
        2,
        1/((Games[Team]=Games[[#This Row],[Team]]) * (Games[Date] &lt; Games[[#This Row],[Date]])),
        Games[Date]
    )
    - 1,
Games[[#This Row],[Date]]-$A$2)</f>
        <v>0</v>
      </c>
      <c r="J360" s="2" cm="1">
        <f t="array" ref="J36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60" s="2">
        <f>Games[[#This Row],[DaysOff]]-Games[[#This Row],[OppDaysOff]]</f>
        <v>-2</v>
      </c>
      <c r="L360" s="2">
        <f>Games[[#This Row],[OppDaysOff]]-Games[[#This Row],[DaysOff]]</f>
        <v>2</v>
      </c>
      <c r="M360" s="1">
        <f>MAX(-16, MIN(16, Games[[#This Row],[RestDiff]]*8))</f>
        <v>-16</v>
      </c>
      <c r="N360" s="1">
        <f>MAX(-16, MIN(16, Games[[#This Row],[OppRestDiff]]*8))</f>
        <v>16</v>
      </c>
      <c r="O360" s="4" cm="1">
        <f t="array" ref="O3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1421.1016389097651</v>
      </c>
      <c r="P360" s="4" cm="1">
        <f t="array" ref="P3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1537.3856077148391</v>
      </c>
      <c r="Q360" s="4">
        <f>1/(1+10^(((Games[[#This Row],[OppPreGmRate]]+IF(Games[[#This Row],[HomeAway]]="A",HCA,0)+Games[[#This Row],[OppRestAdj]])-(Games[[#This Row],[PreGmRate]]+IF(Games[[#This Row],[HomeAway]]="H",HCA,0)+Games[[#This Row],[RestAdj]]))/400))</f>
        <v>0.2079817646985746</v>
      </c>
      <c r="R360" s="1">
        <v>58</v>
      </c>
      <c r="S360" s="1">
        <v>61</v>
      </c>
      <c r="T360" s="1">
        <v>0</v>
      </c>
      <c r="U360" s="1">
        <f>Games[[#This Row],[PointsFor]]-Games[[#This Row],[PointsAgainst]]</f>
        <v>-3</v>
      </c>
      <c r="V360" s="1">
        <f>IF(Games[[#This Row],[MOV]]&gt;0,1,IF(Games[[#This Row],[MOV]]=0,0.5,0))</f>
        <v>0</v>
      </c>
      <c r="W360" s="4">
        <f>((ABS(Games[[#This Row],[MOV]])+5)^0.6)/(12+0.01*(ABS(Games[[#This Row],[PreGmRate]]-Games[[#This Row],[OppPreGmRate]])))*IF(Games[[#This Row],[OT]]=1,0.9,1)</f>
        <v>0.26454794981250501</v>
      </c>
      <c r="X360" s="7" cm="1">
        <f t="array" ref="X36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0" s="9">
        <f>MAX(kmin, kmax - 0.15 * MIN(Games[[#This Row],[GamesPlayed]], 82))</f>
        <v>71.5</v>
      </c>
      <c r="Z360" s="4">
        <f>Games[[#This Row],[K]]*Games[[#This Row],[POMult]]</f>
        <v>71.5</v>
      </c>
      <c r="AA360" s="4">
        <f>(Games[[#This Row],[Keff]]*Games[[#This Row],[MOVMult]])*(Games[[#This Row],[Result]]-Games[[#This Row],[ExpectedWin%]])</f>
        <v>-3.9340121856317243</v>
      </c>
      <c r="AB360" s="4">
        <f>Games[[#This Row],[PreGmRate]]+Games[[#This Row],[RatingChange]]</f>
        <v>1417.1676267241335</v>
      </c>
      <c r="AC360" s="2">
        <f>IF(Games[[#This Row],[Type]]="R",IF(Games[[#This Row],[Result]]&gt;0.5,1,0),0)</f>
        <v>0</v>
      </c>
      <c r="AD360" s="2">
        <f>IF(Games[[#This Row],[Type]]="R",IF(Games[[#This Row],[Result]]&lt;0.5,1,0),0)</f>
        <v>1</v>
      </c>
      <c r="AE360" s="2">
        <f>IF(AND(Games[[#This Row],[Type]]="P",Games[[#This Row],[Round]]=1),IF(Games[[#This Row],[Result]]&gt;0.5,1,0),0)</f>
        <v>0</v>
      </c>
      <c r="AF360" s="2">
        <f>IF(AND(Games[[#This Row],[Type]]="P",Games[[#This Row],[Round]]=1),IF(Games[[#This Row],[Result]]&lt;0.5,1,0),0)</f>
        <v>0</v>
      </c>
      <c r="AG360" s="2">
        <f>IF(AND(Games[[#This Row],[Type]]="P",Games[[#This Row],[Round]]=2),IF(Games[[#This Row],[Result]]&gt;0.5,1,0),0)</f>
        <v>0</v>
      </c>
      <c r="AH360" s="2">
        <f>IF(AND(Games[[#This Row],[Type]]="P",Games[[#This Row],[Round]]=2),IF(Games[[#This Row],[Result]]&lt;0.5,1,0),0)</f>
        <v>0</v>
      </c>
      <c r="AI360" s="2">
        <f>IF(AND(Games[[#This Row],[Type]]="P",Games[[#This Row],[Round]]=3),IF(Games[[#This Row],[Result]]&gt;0.5,1,0),0)</f>
        <v>0</v>
      </c>
      <c r="AJ360" s="2">
        <f>IF(AND(Games[[#This Row],[Type]]="P",Games[[#This Row],[Round]]=3),IF(Games[[#This Row],[Result]]&lt;0.5,1,0),0)</f>
        <v>0</v>
      </c>
      <c r="AK360" s="2">
        <f>IF(AND(Games[[#This Row],[Type]]="P",Games[[#This Row],[Round]]=4),IF(Games[[#This Row],[Result]]&gt;0.5,1,0),0)</f>
        <v>0</v>
      </c>
      <c r="AL360" s="2">
        <f>IF(AND(Games[[#This Row],[Type]]="P",Games[[#This Row],[Round]]=4),IF(Games[[#This Row],[Result]]&lt;0.5,1,0),0)</f>
        <v>0</v>
      </c>
    </row>
    <row r="361" spans="1:38" x14ac:dyDescent="0.35">
      <c r="A361" s="10">
        <v>40403</v>
      </c>
      <c r="B361" s="2">
        <v>2010</v>
      </c>
      <c r="C361" s="2">
        <f>COUNTIFS(Games[Team],Games[[#This Row],[Team]],Games[Season],Games[[#This Row],[Season]],Games[Date],"&lt;=" &amp; Games[[#This Row],[Date]])</f>
        <v>30</v>
      </c>
      <c r="D361" s="2" t="s">
        <v>23</v>
      </c>
      <c r="E361" s="2" t="s">
        <v>29</v>
      </c>
      <c r="F361" s="1" t="s">
        <v>69</v>
      </c>
      <c r="G361" s="1" t="s">
        <v>71</v>
      </c>
      <c r="H361" s="1" t="s">
        <v>15</v>
      </c>
      <c r="I361" s="2" cm="1">
        <f t="array" ref="I361">IFERROR(
    Games[[#This Row],[Date]]
    - LOOKUP(
        2,
        1/((Games[Team]=Games[[#This Row],[Team]]) * (Games[Date] &lt; Games[[#This Row],[Date]])),
        Games[Date]
    )
    - 1,
Games[[#This Row],[Date]]-$A$2)</f>
        <v>2</v>
      </c>
      <c r="J361" s="2" cm="1">
        <f t="array" ref="J36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61" s="2">
        <f>Games[[#This Row],[DaysOff]]-Games[[#This Row],[OppDaysOff]]</f>
        <v>2</v>
      </c>
      <c r="L361" s="2">
        <f>Games[[#This Row],[OppDaysOff]]-Games[[#This Row],[DaysOff]]</f>
        <v>-2</v>
      </c>
      <c r="M361" s="1">
        <f>MAX(-16, MIN(16, Games[[#This Row],[RestDiff]]*8))</f>
        <v>16</v>
      </c>
      <c r="N361" s="1">
        <f>MAX(-16, MIN(16, Games[[#This Row],[OppRestDiff]]*8))</f>
        <v>-16</v>
      </c>
      <c r="O361" s="4" cm="1">
        <f t="array" ref="O3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1537.3856077148391</v>
      </c>
      <c r="P361" s="4" cm="1">
        <f t="array" ref="P3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1421.1016389097651</v>
      </c>
      <c r="Q361" s="4">
        <f>1/(1+10^(((Games[[#This Row],[OppPreGmRate]]+IF(Games[[#This Row],[HomeAway]]="A",HCA,0)+Games[[#This Row],[OppRestAdj]])-(Games[[#This Row],[PreGmRate]]+IF(Games[[#This Row],[HomeAway]]="H",HCA,0)+Games[[#This Row],[RestAdj]]))/400))</f>
        <v>0.79201823530142534</v>
      </c>
      <c r="R361" s="1">
        <v>61</v>
      </c>
      <c r="S361" s="1">
        <v>58</v>
      </c>
      <c r="T361" s="1">
        <v>0</v>
      </c>
      <c r="U361" s="1">
        <f>Games[[#This Row],[PointsFor]]-Games[[#This Row],[PointsAgainst]]</f>
        <v>3</v>
      </c>
      <c r="V361" s="1">
        <f>IF(Games[[#This Row],[MOV]]&gt;0,1,IF(Games[[#This Row],[MOV]]=0,0.5,0))</f>
        <v>1</v>
      </c>
      <c r="W361" s="4">
        <f>((ABS(Games[[#This Row],[MOV]])+5)^0.6)/(12+0.01*(ABS(Games[[#This Row],[PreGmRate]]-Games[[#This Row],[OppPreGmRate]])))*IF(Games[[#This Row],[OT]]=1,0.9,1)</f>
        <v>0.26454794981250501</v>
      </c>
      <c r="X361" s="7" cm="1">
        <f t="array" ref="X36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1" s="9">
        <f>MAX(kmin, kmax - 0.15 * MIN(Games[[#This Row],[GamesPlayed]], 82))</f>
        <v>71.5</v>
      </c>
      <c r="Z361" s="4">
        <f>Games[[#This Row],[K]]*Games[[#This Row],[POMult]]</f>
        <v>71.5</v>
      </c>
      <c r="AA361" s="4">
        <f>(Games[[#This Row],[Keff]]*Games[[#This Row],[MOVMult]])*(Games[[#This Row],[Result]]-Games[[#This Row],[ExpectedWin%]])</f>
        <v>3.9340121856317252</v>
      </c>
      <c r="AB361" s="4">
        <f>Games[[#This Row],[PreGmRate]]+Games[[#This Row],[RatingChange]]</f>
        <v>1541.3196199004708</v>
      </c>
      <c r="AC361" s="2">
        <f>IF(Games[[#This Row],[Type]]="R",IF(Games[[#This Row],[Result]]&gt;0.5,1,0),0)</f>
        <v>1</v>
      </c>
      <c r="AD361" s="2">
        <f>IF(Games[[#This Row],[Type]]="R",IF(Games[[#This Row],[Result]]&lt;0.5,1,0),0)</f>
        <v>0</v>
      </c>
      <c r="AE361" s="2">
        <f>IF(AND(Games[[#This Row],[Type]]="P",Games[[#This Row],[Round]]=1),IF(Games[[#This Row],[Result]]&gt;0.5,1,0),0)</f>
        <v>0</v>
      </c>
      <c r="AF361" s="2">
        <f>IF(AND(Games[[#This Row],[Type]]="P",Games[[#This Row],[Round]]=1),IF(Games[[#This Row],[Result]]&lt;0.5,1,0),0)</f>
        <v>0</v>
      </c>
      <c r="AG361" s="2">
        <f>IF(AND(Games[[#This Row],[Type]]="P",Games[[#This Row],[Round]]=2),IF(Games[[#This Row],[Result]]&gt;0.5,1,0),0)</f>
        <v>0</v>
      </c>
      <c r="AH361" s="2">
        <f>IF(AND(Games[[#This Row],[Type]]="P",Games[[#This Row],[Round]]=2),IF(Games[[#This Row],[Result]]&lt;0.5,1,0),0)</f>
        <v>0</v>
      </c>
      <c r="AI361" s="2">
        <f>IF(AND(Games[[#This Row],[Type]]="P",Games[[#This Row],[Round]]=3),IF(Games[[#This Row],[Result]]&gt;0.5,1,0),0)</f>
        <v>0</v>
      </c>
      <c r="AJ361" s="2">
        <f>IF(AND(Games[[#This Row],[Type]]="P",Games[[#This Row],[Round]]=3),IF(Games[[#This Row],[Result]]&lt;0.5,1,0),0)</f>
        <v>0</v>
      </c>
      <c r="AK361" s="2">
        <f>IF(AND(Games[[#This Row],[Type]]="P",Games[[#This Row],[Round]]=4),IF(Games[[#This Row],[Result]]&gt;0.5,1,0),0)</f>
        <v>0</v>
      </c>
      <c r="AL361" s="2">
        <f>IF(AND(Games[[#This Row],[Type]]="P",Games[[#This Row],[Round]]=4),IF(Games[[#This Row],[Result]]&lt;0.5,1,0),0)</f>
        <v>0</v>
      </c>
    </row>
    <row r="362" spans="1:38" x14ac:dyDescent="0.35">
      <c r="A362" s="10">
        <v>40404</v>
      </c>
      <c r="B362" s="2">
        <v>2010</v>
      </c>
      <c r="C362" s="2">
        <f>COUNTIFS(Games[Team],Games[[#This Row],[Team]],Games[Season],Games[[#This Row],[Season]],Games[Date],"&lt;=" &amp; Games[[#This Row],[Date]])</f>
        <v>32</v>
      </c>
      <c r="D362" s="2" t="s">
        <v>23</v>
      </c>
      <c r="E362" s="2" t="s">
        <v>29</v>
      </c>
      <c r="F362" s="1" t="s">
        <v>83</v>
      </c>
      <c r="G362" s="1" t="s">
        <v>81</v>
      </c>
      <c r="H362" s="1" t="s">
        <v>16</v>
      </c>
      <c r="I362" s="2" cm="1">
        <f t="array" ref="I362">IFERROR(
    Games[[#This Row],[Date]]
    - LOOKUP(
        2,
        1/((Games[Team]=Games[[#This Row],[Team]]) * (Games[Date] &lt; Games[[#This Row],[Date]])),
        Games[Date]
    )
    - 1,
Games[[#This Row],[Date]]-$A$2)</f>
        <v>0</v>
      </c>
      <c r="J362" s="2" cm="1">
        <f t="array" ref="J36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62" s="2">
        <f>Games[[#This Row],[DaysOff]]-Games[[#This Row],[OppDaysOff]]</f>
        <v>-3</v>
      </c>
      <c r="L362" s="2">
        <f>Games[[#This Row],[OppDaysOff]]-Games[[#This Row],[DaysOff]]</f>
        <v>3</v>
      </c>
      <c r="M362" s="1">
        <f>MAX(-16, MIN(16, Games[[#This Row],[RestDiff]]*8))</f>
        <v>-16</v>
      </c>
      <c r="N362" s="1">
        <f>MAX(-16, MIN(16, Games[[#This Row],[OppRestDiff]]*8))</f>
        <v>16</v>
      </c>
      <c r="O362" s="4" cm="1">
        <f t="array" ref="O3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1532.8590214595415</v>
      </c>
      <c r="P362" s="4" cm="1">
        <f t="array" ref="P3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1481.3942227126774</v>
      </c>
      <c r="Q362" s="4">
        <f>1/(1+10^(((Games[[#This Row],[OppPreGmRate]]+IF(Games[[#This Row],[HomeAway]]="A",HCA,0)+Games[[#This Row],[OppRestAdj]])-(Games[[#This Row],[PreGmRate]]+IF(Games[[#This Row],[HomeAway]]="H",HCA,0)+Games[[#This Row],[RestAdj]]))/400))</f>
        <v>0.40817995170164806</v>
      </c>
      <c r="R362" s="1">
        <v>98</v>
      </c>
      <c r="S362" s="1">
        <v>74</v>
      </c>
      <c r="T362" s="1">
        <v>0</v>
      </c>
      <c r="U362" s="1">
        <f>Games[[#This Row],[PointsFor]]-Games[[#This Row],[PointsAgainst]]</f>
        <v>24</v>
      </c>
      <c r="V362" s="1">
        <f>IF(Games[[#This Row],[MOV]]&gt;0,1,IF(Games[[#This Row],[MOV]]=0,0.5,0))</f>
        <v>1</v>
      </c>
      <c r="W362" s="4">
        <f>((ABS(Games[[#This Row],[MOV]])+5)^0.6)/(12+0.01*(ABS(Games[[#This Row],[PreGmRate]]-Games[[#This Row],[OppPreGmRate]])))*IF(Games[[#This Row],[OT]]=1,0.9,1)</f>
        <v>0.60258755827002741</v>
      </c>
      <c r="X362" s="7" cm="1">
        <f t="array" ref="X36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2" s="9">
        <f>MAX(kmin, kmax - 0.15 * MIN(Games[[#This Row],[GamesPlayed]], 82))</f>
        <v>71.2</v>
      </c>
      <c r="Z362" s="4">
        <f>Games[[#This Row],[K]]*Games[[#This Row],[POMult]]</f>
        <v>71.2</v>
      </c>
      <c r="AA362" s="4">
        <f>(Games[[#This Row],[Keff]]*Games[[#This Row],[MOVMult]])*(Games[[#This Row],[Result]]-Games[[#This Row],[ExpectedWin%]])</f>
        <v>25.39158592616198</v>
      </c>
      <c r="AB362" s="4">
        <f>Games[[#This Row],[PreGmRate]]+Games[[#This Row],[RatingChange]]</f>
        <v>1558.2506073857035</v>
      </c>
      <c r="AC362" s="2">
        <f>IF(Games[[#This Row],[Type]]="R",IF(Games[[#This Row],[Result]]&gt;0.5,1,0),0)</f>
        <v>1</v>
      </c>
      <c r="AD362" s="2">
        <f>IF(Games[[#This Row],[Type]]="R",IF(Games[[#This Row],[Result]]&lt;0.5,1,0),0)</f>
        <v>0</v>
      </c>
      <c r="AE362" s="2">
        <f>IF(AND(Games[[#This Row],[Type]]="P",Games[[#This Row],[Round]]=1),IF(Games[[#This Row],[Result]]&gt;0.5,1,0),0)</f>
        <v>0</v>
      </c>
      <c r="AF362" s="2">
        <f>IF(AND(Games[[#This Row],[Type]]="P",Games[[#This Row],[Round]]=1),IF(Games[[#This Row],[Result]]&lt;0.5,1,0),0)</f>
        <v>0</v>
      </c>
      <c r="AG362" s="2">
        <f>IF(AND(Games[[#This Row],[Type]]="P",Games[[#This Row],[Round]]=2),IF(Games[[#This Row],[Result]]&gt;0.5,1,0),0)</f>
        <v>0</v>
      </c>
      <c r="AH362" s="2">
        <f>IF(AND(Games[[#This Row],[Type]]="P",Games[[#This Row],[Round]]=2),IF(Games[[#This Row],[Result]]&lt;0.5,1,0),0)</f>
        <v>0</v>
      </c>
      <c r="AI362" s="2">
        <f>IF(AND(Games[[#This Row],[Type]]="P",Games[[#This Row],[Round]]=3),IF(Games[[#This Row],[Result]]&gt;0.5,1,0),0)</f>
        <v>0</v>
      </c>
      <c r="AJ362" s="2">
        <f>IF(AND(Games[[#This Row],[Type]]="P",Games[[#This Row],[Round]]=3),IF(Games[[#This Row],[Result]]&lt;0.5,1,0),0)</f>
        <v>0</v>
      </c>
      <c r="AK362" s="2">
        <f>IF(AND(Games[[#This Row],[Type]]="P",Games[[#This Row],[Round]]=4),IF(Games[[#This Row],[Result]]&gt;0.5,1,0),0)</f>
        <v>0</v>
      </c>
      <c r="AL362" s="2">
        <f>IF(AND(Games[[#This Row],[Type]]="P",Games[[#This Row],[Round]]=4),IF(Games[[#This Row],[Result]]&lt;0.5,1,0),0)</f>
        <v>0</v>
      </c>
    </row>
    <row r="363" spans="1:38" x14ac:dyDescent="0.35">
      <c r="A363" s="10">
        <v>40404</v>
      </c>
      <c r="B363" s="2">
        <v>2010</v>
      </c>
      <c r="C363" s="2">
        <f>COUNTIFS(Games[Team],Games[[#This Row],[Team]],Games[Season],Games[[#This Row],[Season]],Games[Date],"&lt;=" &amp; Games[[#This Row],[Date]])</f>
        <v>31</v>
      </c>
      <c r="D363" s="2" t="s">
        <v>23</v>
      </c>
      <c r="E363" s="2" t="s">
        <v>29</v>
      </c>
      <c r="F363" s="1" t="s">
        <v>81</v>
      </c>
      <c r="G363" s="1" t="s">
        <v>83</v>
      </c>
      <c r="H363" s="1" t="s">
        <v>15</v>
      </c>
      <c r="I363" s="2" cm="1">
        <f t="array" ref="I363">IFERROR(
    Games[[#This Row],[Date]]
    - LOOKUP(
        2,
        1/((Games[Team]=Games[[#This Row],[Team]]) * (Games[Date] &lt; Games[[#This Row],[Date]])),
        Games[Date]
    )
    - 1,
Games[[#This Row],[Date]]-$A$2)</f>
        <v>3</v>
      </c>
      <c r="J363" s="2" cm="1">
        <f t="array" ref="J36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63" s="2">
        <f>Games[[#This Row],[DaysOff]]-Games[[#This Row],[OppDaysOff]]</f>
        <v>3</v>
      </c>
      <c r="L363" s="2">
        <f>Games[[#This Row],[OppDaysOff]]-Games[[#This Row],[DaysOff]]</f>
        <v>-3</v>
      </c>
      <c r="M363" s="1">
        <f>MAX(-16, MIN(16, Games[[#This Row],[RestDiff]]*8))</f>
        <v>16</v>
      </c>
      <c r="N363" s="1">
        <f>MAX(-16, MIN(16, Games[[#This Row],[OppRestDiff]]*8))</f>
        <v>-16</v>
      </c>
      <c r="O363" s="4" cm="1">
        <f t="array" ref="O3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1481.3942227126774</v>
      </c>
      <c r="P363" s="4" cm="1">
        <f t="array" ref="P3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1532.8590214595415</v>
      </c>
      <c r="Q363" s="4">
        <f>1/(1+10^(((Games[[#This Row],[OppPreGmRate]]+IF(Games[[#This Row],[HomeAway]]="A",HCA,0)+Games[[#This Row],[OppRestAdj]])-(Games[[#This Row],[PreGmRate]]+IF(Games[[#This Row],[HomeAway]]="H",HCA,0)+Games[[#This Row],[RestAdj]]))/400))</f>
        <v>0.591820048298352</v>
      </c>
      <c r="R363" s="1">
        <v>74</v>
      </c>
      <c r="S363" s="1">
        <v>98</v>
      </c>
      <c r="T363" s="1">
        <v>0</v>
      </c>
      <c r="U363" s="1">
        <f>Games[[#This Row],[PointsFor]]-Games[[#This Row],[PointsAgainst]]</f>
        <v>-24</v>
      </c>
      <c r="V363" s="1">
        <f>IF(Games[[#This Row],[MOV]]&gt;0,1,IF(Games[[#This Row],[MOV]]=0,0.5,0))</f>
        <v>0</v>
      </c>
      <c r="W363" s="4">
        <f>((ABS(Games[[#This Row],[MOV]])+5)^0.6)/(12+0.01*(ABS(Games[[#This Row],[PreGmRate]]-Games[[#This Row],[OppPreGmRate]])))*IF(Games[[#This Row],[OT]]=1,0.9,1)</f>
        <v>0.60258755827002741</v>
      </c>
      <c r="X363" s="7" cm="1">
        <f t="array" ref="X36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3" s="9">
        <f>MAX(kmin, kmax - 0.15 * MIN(Games[[#This Row],[GamesPlayed]], 82))</f>
        <v>71.349999999999994</v>
      </c>
      <c r="Z363" s="4">
        <f>Games[[#This Row],[K]]*Games[[#This Row],[POMult]]</f>
        <v>71.349999999999994</v>
      </c>
      <c r="AA363" s="4">
        <f>(Games[[#This Row],[Keff]]*Games[[#This Row],[MOVMult]])*(Games[[#This Row],[Result]]-Games[[#This Row],[ExpectedWin%]])</f>
        <v>-25.445079435837879</v>
      </c>
      <c r="AB363" s="4">
        <f>Games[[#This Row],[PreGmRate]]+Games[[#This Row],[RatingChange]]</f>
        <v>1455.9491432768395</v>
      </c>
      <c r="AC363" s="2">
        <f>IF(Games[[#This Row],[Type]]="R",IF(Games[[#This Row],[Result]]&gt;0.5,1,0),0)</f>
        <v>0</v>
      </c>
      <c r="AD363" s="2">
        <f>IF(Games[[#This Row],[Type]]="R",IF(Games[[#This Row],[Result]]&lt;0.5,1,0),0)</f>
        <v>1</v>
      </c>
      <c r="AE363" s="2">
        <f>IF(AND(Games[[#This Row],[Type]]="P",Games[[#This Row],[Round]]=1),IF(Games[[#This Row],[Result]]&gt;0.5,1,0),0)</f>
        <v>0</v>
      </c>
      <c r="AF363" s="2">
        <f>IF(AND(Games[[#This Row],[Type]]="P",Games[[#This Row],[Round]]=1),IF(Games[[#This Row],[Result]]&lt;0.5,1,0),0)</f>
        <v>0</v>
      </c>
      <c r="AG363" s="2">
        <f>IF(AND(Games[[#This Row],[Type]]="P",Games[[#This Row],[Round]]=2),IF(Games[[#This Row],[Result]]&gt;0.5,1,0),0)</f>
        <v>0</v>
      </c>
      <c r="AH363" s="2">
        <f>IF(AND(Games[[#This Row],[Type]]="P",Games[[#This Row],[Round]]=2),IF(Games[[#This Row],[Result]]&lt;0.5,1,0),0)</f>
        <v>0</v>
      </c>
      <c r="AI363" s="2">
        <f>IF(AND(Games[[#This Row],[Type]]="P",Games[[#This Row],[Round]]=3),IF(Games[[#This Row],[Result]]&gt;0.5,1,0),0)</f>
        <v>0</v>
      </c>
      <c r="AJ363" s="2">
        <f>IF(AND(Games[[#This Row],[Type]]="P",Games[[#This Row],[Round]]=3),IF(Games[[#This Row],[Result]]&lt;0.5,1,0),0)</f>
        <v>0</v>
      </c>
      <c r="AK363" s="2">
        <f>IF(AND(Games[[#This Row],[Type]]="P",Games[[#This Row],[Round]]=4),IF(Games[[#This Row],[Result]]&gt;0.5,1,0),0)</f>
        <v>0</v>
      </c>
      <c r="AL363" s="2">
        <f>IF(AND(Games[[#This Row],[Type]]="P",Games[[#This Row],[Round]]=4),IF(Games[[#This Row],[Result]]&lt;0.5,1,0),0)</f>
        <v>0</v>
      </c>
    </row>
    <row r="364" spans="1:38" x14ac:dyDescent="0.35">
      <c r="A364" s="10">
        <v>40404</v>
      </c>
      <c r="B364" s="2">
        <v>2010</v>
      </c>
      <c r="C364" s="2">
        <f>COUNTIFS(Games[Team],Games[[#This Row],[Team]],Games[Season],Games[[#This Row],[Season]],Games[Date],"&lt;=" &amp; Games[[#This Row],[Date]])</f>
        <v>31</v>
      </c>
      <c r="D364" s="2" t="s">
        <v>23</v>
      </c>
      <c r="E364" s="2" t="s">
        <v>29</v>
      </c>
      <c r="F364" s="1" t="s">
        <v>44</v>
      </c>
      <c r="G364" s="1" t="s">
        <v>64</v>
      </c>
      <c r="H364" s="1" t="s">
        <v>16</v>
      </c>
      <c r="I364" s="2" cm="1">
        <f t="array" ref="I364">IFERROR(
    Games[[#This Row],[Date]]
    - LOOKUP(
        2,
        1/((Games[Team]=Games[[#This Row],[Team]]) * (Games[Date] &lt; Games[[#This Row],[Date]])),
        Games[Date]
    )
    - 1,
Games[[#This Row],[Date]]-$A$2)</f>
        <v>0</v>
      </c>
      <c r="J364" s="2" cm="1">
        <f t="array" ref="J364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64" s="2">
        <f>Games[[#This Row],[DaysOff]]-Games[[#This Row],[OppDaysOff]]</f>
        <v>0</v>
      </c>
      <c r="L364" s="2">
        <f>Games[[#This Row],[OppDaysOff]]-Games[[#This Row],[DaysOff]]</f>
        <v>0</v>
      </c>
      <c r="M364" s="1">
        <f>MAX(-16, MIN(16, Games[[#This Row],[RestDiff]]*8))</f>
        <v>0</v>
      </c>
      <c r="N364" s="1">
        <f>MAX(-16, MIN(16, Games[[#This Row],[OppRestDiff]]*8))</f>
        <v>0</v>
      </c>
      <c r="O364" s="4" cm="1">
        <f t="array" ref="O3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1520.0199173877802</v>
      </c>
      <c r="P364" s="4" cm="1">
        <f t="array" ref="P3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1592.1068537705921</v>
      </c>
      <c r="Q364" s="4">
        <f>1/(1+10^(((Games[[#This Row],[OppPreGmRate]]+IF(Games[[#This Row],[HomeAway]]="A",HCA,0)+Games[[#This Row],[OppRestAdj]])-(Games[[#This Row],[PreGmRate]]+IF(Games[[#This Row],[HomeAway]]="H",HCA,0)+Games[[#This Row],[RestAdj]]))/400))</f>
        <v>0.28935707028455265</v>
      </c>
      <c r="R364" s="1">
        <v>69</v>
      </c>
      <c r="S364" s="1">
        <v>107</v>
      </c>
      <c r="T364" s="1">
        <v>0</v>
      </c>
      <c r="U364" s="1">
        <f>Games[[#This Row],[PointsFor]]-Games[[#This Row],[PointsAgainst]]</f>
        <v>-38</v>
      </c>
      <c r="V364" s="1">
        <f>IF(Games[[#This Row],[MOV]]&gt;0,1,IF(Games[[#This Row],[MOV]]=0,0.5,0))</f>
        <v>0</v>
      </c>
      <c r="W364" s="4">
        <f>((ABS(Games[[#This Row],[MOV]])+5)^0.6)/(12+0.01*(ABS(Games[[#This Row],[PreGmRate]]-Games[[#This Row],[OppPreGmRate]])))*IF(Games[[#This Row],[OT]]=1,0.9,1)</f>
        <v>0.75086918332321306</v>
      </c>
      <c r="X364" s="7" cm="1">
        <f t="array" ref="X36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4" s="9">
        <f>MAX(kmin, kmax - 0.15 * MIN(Games[[#This Row],[GamesPlayed]], 82))</f>
        <v>71.349999999999994</v>
      </c>
      <c r="Z364" s="4">
        <f>Games[[#This Row],[K]]*Games[[#This Row],[POMult]]</f>
        <v>71.349999999999994</v>
      </c>
      <c r="AA364" s="4">
        <f>(Games[[#This Row],[Keff]]*Games[[#This Row],[MOVMult]])*(Games[[#This Row],[Result]]-Games[[#This Row],[ExpectedWin%]])</f>
        <v>-15.502165058257209</v>
      </c>
      <c r="AB364" s="4">
        <f>Games[[#This Row],[PreGmRate]]+Games[[#This Row],[RatingChange]]</f>
        <v>1504.5177523295231</v>
      </c>
      <c r="AC364" s="2">
        <f>IF(Games[[#This Row],[Type]]="R",IF(Games[[#This Row],[Result]]&gt;0.5,1,0),0)</f>
        <v>0</v>
      </c>
      <c r="AD364" s="2">
        <f>IF(Games[[#This Row],[Type]]="R",IF(Games[[#This Row],[Result]]&lt;0.5,1,0),0)</f>
        <v>1</v>
      </c>
      <c r="AE364" s="2">
        <f>IF(AND(Games[[#This Row],[Type]]="P",Games[[#This Row],[Round]]=1),IF(Games[[#This Row],[Result]]&gt;0.5,1,0),0)</f>
        <v>0</v>
      </c>
      <c r="AF364" s="2">
        <f>IF(AND(Games[[#This Row],[Type]]="P",Games[[#This Row],[Round]]=1),IF(Games[[#This Row],[Result]]&lt;0.5,1,0),0)</f>
        <v>0</v>
      </c>
      <c r="AG364" s="2">
        <f>IF(AND(Games[[#This Row],[Type]]="P",Games[[#This Row],[Round]]=2),IF(Games[[#This Row],[Result]]&gt;0.5,1,0),0)</f>
        <v>0</v>
      </c>
      <c r="AH364" s="2">
        <f>IF(AND(Games[[#This Row],[Type]]="P",Games[[#This Row],[Round]]=2),IF(Games[[#This Row],[Result]]&lt;0.5,1,0),0)</f>
        <v>0</v>
      </c>
      <c r="AI364" s="2">
        <f>IF(AND(Games[[#This Row],[Type]]="P",Games[[#This Row],[Round]]=3),IF(Games[[#This Row],[Result]]&gt;0.5,1,0),0)</f>
        <v>0</v>
      </c>
      <c r="AJ364" s="2">
        <f>IF(AND(Games[[#This Row],[Type]]="P",Games[[#This Row],[Round]]=3),IF(Games[[#This Row],[Result]]&lt;0.5,1,0),0)</f>
        <v>0</v>
      </c>
      <c r="AK364" s="2">
        <f>IF(AND(Games[[#This Row],[Type]]="P",Games[[#This Row],[Round]]=4),IF(Games[[#This Row],[Result]]&gt;0.5,1,0),0)</f>
        <v>0</v>
      </c>
      <c r="AL364" s="2">
        <f>IF(AND(Games[[#This Row],[Type]]="P",Games[[#This Row],[Round]]=4),IF(Games[[#This Row],[Result]]&lt;0.5,1,0),0)</f>
        <v>0</v>
      </c>
    </row>
    <row r="365" spans="1:38" x14ac:dyDescent="0.35">
      <c r="A365" s="10">
        <v>40404</v>
      </c>
      <c r="B365" s="2">
        <v>2010</v>
      </c>
      <c r="C365" s="2">
        <f>COUNTIFS(Games[Team],Games[[#This Row],[Team]],Games[Season],Games[[#This Row],[Season]],Games[Date],"&lt;=" &amp; Games[[#This Row],[Date]])</f>
        <v>30</v>
      </c>
      <c r="D365" s="2" t="s">
        <v>23</v>
      </c>
      <c r="E365" s="2" t="s">
        <v>29</v>
      </c>
      <c r="F365" s="1" t="s">
        <v>64</v>
      </c>
      <c r="G365" s="1" t="s">
        <v>44</v>
      </c>
      <c r="H365" s="1" t="s">
        <v>15</v>
      </c>
      <c r="I365" s="2" cm="1">
        <f t="array" ref="I365">IFERROR(
    Games[[#This Row],[Date]]
    - LOOKUP(
        2,
        1/((Games[Team]=Games[[#This Row],[Team]]) * (Games[Date] &lt; Games[[#This Row],[Date]])),
        Games[Date]
    )
    - 1,
Games[[#This Row],[Date]]-$A$2)</f>
        <v>0</v>
      </c>
      <c r="J365" s="2" cm="1">
        <f t="array" ref="J36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65" s="2">
        <f>Games[[#This Row],[DaysOff]]-Games[[#This Row],[OppDaysOff]]</f>
        <v>0</v>
      </c>
      <c r="L365" s="2">
        <f>Games[[#This Row],[OppDaysOff]]-Games[[#This Row],[DaysOff]]</f>
        <v>0</v>
      </c>
      <c r="M365" s="1">
        <f>MAX(-16, MIN(16, Games[[#This Row],[RestDiff]]*8))</f>
        <v>0</v>
      </c>
      <c r="N365" s="1">
        <f>MAX(-16, MIN(16, Games[[#This Row],[OppRestDiff]]*8))</f>
        <v>0</v>
      </c>
      <c r="O365" s="4" cm="1">
        <f t="array" ref="O3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1592.1068537705921</v>
      </c>
      <c r="P365" s="4" cm="1">
        <f t="array" ref="P3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1520.0199173877802</v>
      </c>
      <c r="Q365" s="4">
        <f>1/(1+10^(((Games[[#This Row],[OppPreGmRate]]+IF(Games[[#This Row],[HomeAway]]="A",HCA,0)+Games[[#This Row],[OppRestAdj]])-(Games[[#This Row],[PreGmRate]]+IF(Games[[#This Row],[HomeAway]]="H",HCA,0)+Games[[#This Row],[RestAdj]]))/400))</f>
        <v>0.71064292971544729</v>
      </c>
      <c r="R365" s="1">
        <v>107</v>
      </c>
      <c r="S365" s="1">
        <v>69</v>
      </c>
      <c r="T365" s="1">
        <v>0</v>
      </c>
      <c r="U365" s="1">
        <f>Games[[#This Row],[PointsFor]]-Games[[#This Row],[PointsAgainst]]</f>
        <v>38</v>
      </c>
      <c r="V365" s="1">
        <f>IF(Games[[#This Row],[MOV]]&gt;0,1,IF(Games[[#This Row],[MOV]]=0,0.5,0))</f>
        <v>1</v>
      </c>
      <c r="W365" s="4">
        <f>((ABS(Games[[#This Row],[MOV]])+5)^0.6)/(12+0.01*(ABS(Games[[#This Row],[PreGmRate]]-Games[[#This Row],[OppPreGmRate]])))*IF(Games[[#This Row],[OT]]=1,0.9,1)</f>
        <v>0.75086918332321306</v>
      </c>
      <c r="X365" s="7" cm="1">
        <f t="array" ref="X36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5" s="9">
        <f>MAX(kmin, kmax - 0.15 * MIN(Games[[#This Row],[GamesPlayed]], 82))</f>
        <v>71.5</v>
      </c>
      <c r="Z365" s="4">
        <f>Games[[#This Row],[K]]*Games[[#This Row],[POMult]]</f>
        <v>71.5</v>
      </c>
      <c r="AA365" s="4">
        <f>(Games[[#This Row],[Keff]]*Games[[#This Row],[MOVMult]])*(Games[[#This Row],[Result]]-Games[[#This Row],[ExpectedWin%]])</f>
        <v>15.534755454315215</v>
      </c>
      <c r="AB365" s="4">
        <f>Games[[#This Row],[PreGmRate]]+Games[[#This Row],[RatingChange]]</f>
        <v>1607.6416092249074</v>
      </c>
      <c r="AC365" s="2">
        <f>IF(Games[[#This Row],[Type]]="R",IF(Games[[#This Row],[Result]]&gt;0.5,1,0),0)</f>
        <v>1</v>
      </c>
      <c r="AD365" s="2">
        <f>IF(Games[[#This Row],[Type]]="R",IF(Games[[#This Row],[Result]]&lt;0.5,1,0),0)</f>
        <v>0</v>
      </c>
      <c r="AE365" s="2">
        <f>IF(AND(Games[[#This Row],[Type]]="P",Games[[#This Row],[Round]]=1),IF(Games[[#This Row],[Result]]&gt;0.5,1,0),0)</f>
        <v>0</v>
      </c>
      <c r="AF365" s="2">
        <f>IF(AND(Games[[#This Row],[Type]]="P",Games[[#This Row],[Round]]=1),IF(Games[[#This Row],[Result]]&lt;0.5,1,0),0)</f>
        <v>0</v>
      </c>
      <c r="AG365" s="2">
        <f>IF(AND(Games[[#This Row],[Type]]="P",Games[[#This Row],[Round]]=2),IF(Games[[#This Row],[Result]]&gt;0.5,1,0),0)</f>
        <v>0</v>
      </c>
      <c r="AH365" s="2">
        <f>IF(AND(Games[[#This Row],[Type]]="P",Games[[#This Row],[Round]]=2),IF(Games[[#This Row],[Result]]&lt;0.5,1,0),0)</f>
        <v>0</v>
      </c>
      <c r="AI365" s="2">
        <f>IF(AND(Games[[#This Row],[Type]]="P",Games[[#This Row],[Round]]=3),IF(Games[[#This Row],[Result]]&gt;0.5,1,0),0)</f>
        <v>0</v>
      </c>
      <c r="AJ365" s="2">
        <f>IF(AND(Games[[#This Row],[Type]]="P",Games[[#This Row],[Round]]=3),IF(Games[[#This Row],[Result]]&lt;0.5,1,0),0)</f>
        <v>0</v>
      </c>
      <c r="AK365" s="2">
        <f>IF(AND(Games[[#This Row],[Type]]="P",Games[[#This Row],[Round]]=4),IF(Games[[#This Row],[Result]]&gt;0.5,1,0),0)</f>
        <v>0</v>
      </c>
      <c r="AL365" s="2">
        <f>IF(AND(Games[[#This Row],[Type]]="P",Games[[#This Row],[Round]]=4),IF(Games[[#This Row],[Result]]&lt;0.5,1,0),0)</f>
        <v>0</v>
      </c>
    </row>
    <row r="366" spans="1:38" x14ac:dyDescent="0.35">
      <c r="A366" s="10">
        <v>40404</v>
      </c>
      <c r="B366" s="2">
        <v>2010</v>
      </c>
      <c r="C366" s="2">
        <f>COUNTIFS(Games[Team],Games[[#This Row],[Team]],Games[Season],Games[[#This Row],[Season]],Games[Date],"&lt;=" &amp; Games[[#This Row],[Date]])</f>
        <v>31</v>
      </c>
      <c r="D366" s="2" t="s">
        <v>23</v>
      </c>
      <c r="E366" s="2" t="s">
        <v>29</v>
      </c>
      <c r="F366" s="1" t="s">
        <v>67</v>
      </c>
      <c r="G366" s="1" t="s">
        <v>85</v>
      </c>
      <c r="H366" s="1" t="s">
        <v>16</v>
      </c>
      <c r="I366" s="2" cm="1">
        <f t="array" ref="I36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6" s="2" cm="1">
        <f t="array" ref="J366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66" s="2">
        <f>Games[[#This Row],[DaysOff]]-Games[[#This Row],[OppDaysOff]]</f>
        <v>1</v>
      </c>
      <c r="L366" s="2">
        <f>Games[[#This Row],[OppDaysOff]]-Games[[#This Row],[DaysOff]]</f>
        <v>-1</v>
      </c>
      <c r="M366" s="1">
        <f>MAX(-16, MIN(16, Games[[#This Row],[RestDiff]]*8))</f>
        <v>8</v>
      </c>
      <c r="N366" s="1">
        <f>MAX(-16, MIN(16, Games[[#This Row],[OppRestDiff]]*8))</f>
        <v>-8</v>
      </c>
      <c r="O366" s="4" cm="1">
        <f t="array" ref="O3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1446.2137604205038</v>
      </c>
      <c r="P366" s="4" cm="1">
        <f t="array" ref="P3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1297.9799220118575</v>
      </c>
      <c r="Q366" s="4">
        <f>1/(1+10^(((Games[[#This Row],[OppPreGmRate]]+IF(Games[[#This Row],[HomeAway]]="A",HCA,0)+Games[[#This Row],[OppRestAdj]])-(Games[[#This Row],[PreGmRate]]+IF(Games[[#This Row],[HomeAway]]="H",HCA,0)+Games[[#This Row],[RestAdj]]))/400))</f>
        <v>0.61345606223827864</v>
      </c>
      <c r="R366" s="1">
        <v>92</v>
      </c>
      <c r="S366" s="1">
        <v>87</v>
      </c>
      <c r="T366" s="1">
        <v>0</v>
      </c>
      <c r="U366" s="1">
        <f>Games[[#This Row],[PointsFor]]-Games[[#This Row],[PointsAgainst]]</f>
        <v>5</v>
      </c>
      <c r="V366" s="1">
        <f>IF(Games[[#This Row],[MOV]]&gt;0,1,IF(Games[[#This Row],[MOV]]=0,0.5,0))</f>
        <v>1</v>
      </c>
      <c r="W366" s="4">
        <f>((ABS(Games[[#This Row],[MOV]])+5)^0.6)/(12+0.01*(ABS(Games[[#This Row],[PreGmRate]]-Games[[#This Row],[OppPreGmRate]])))*IF(Games[[#This Row],[OT]]=1,0.9,1)</f>
        <v>0.29528050640191095</v>
      </c>
      <c r="X366" s="7" cm="1">
        <f t="array" ref="X36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6" s="9">
        <f>MAX(kmin, kmax - 0.15 * MIN(Games[[#This Row],[GamesPlayed]], 82))</f>
        <v>71.349999999999994</v>
      </c>
      <c r="Z366" s="4">
        <f>Games[[#This Row],[K]]*Games[[#This Row],[POMult]]</f>
        <v>71.349999999999994</v>
      </c>
      <c r="AA366" s="4">
        <f>(Games[[#This Row],[Keff]]*Games[[#This Row],[MOVMult]])*(Games[[#This Row],[Result]]-Games[[#This Row],[ExpectedWin%]])</f>
        <v>8.1438097793008613</v>
      </c>
      <c r="AB366" s="4">
        <f>Games[[#This Row],[PreGmRate]]+Games[[#This Row],[RatingChange]]</f>
        <v>1454.3575701998047</v>
      </c>
      <c r="AC366" s="2">
        <f>IF(Games[[#This Row],[Type]]="R",IF(Games[[#This Row],[Result]]&gt;0.5,1,0),0)</f>
        <v>1</v>
      </c>
      <c r="AD366" s="2">
        <f>IF(Games[[#This Row],[Type]]="R",IF(Games[[#This Row],[Result]]&lt;0.5,1,0),0)</f>
        <v>0</v>
      </c>
      <c r="AE366" s="2">
        <f>IF(AND(Games[[#This Row],[Type]]="P",Games[[#This Row],[Round]]=1),IF(Games[[#This Row],[Result]]&gt;0.5,1,0),0)</f>
        <v>0</v>
      </c>
      <c r="AF366" s="2">
        <f>IF(AND(Games[[#This Row],[Type]]="P",Games[[#This Row],[Round]]=1),IF(Games[[#This Row],[Result]]&lt;0.5,1,0),0)</f>
        <v>0</v>
      </c>
      <c r="AG366" s="2">
        <f>IF(AND(Games[[#This Row],[Type]]="P",Games[[#This Row],[Round]]=2),IF(Games[[#This Row],[Result]]&gt;0.5,1,0),0)</f>
        <v>0</v>
      </c>
      <c r="AH366" s="2">
        <f>IF(AND(Games[[#This Row],[Type]]="P",Games[[#This Row],[Round]]=2),IF(Games[[#This Row],[Result]]&lt;0.5,1,0),0)</f>
        <v>0</v>
      </c>
      <c r="AI366" s="2">
        <f>IF(AND(Games[[#This Row],[Type]]="P",Games[[#This Row],[Round]]=3),IF(Games[[#This Row],[Result]]&gt;0.5,1,0),0)</f>
        <v>0</v>
      </c>
      <c r="AJ366" s="2">
        <f>IF(AND(Games[[#This Row],[Type]]="P",Games[[#This Row],[Round]]=3),IF(Games[[#This Row],[Result]]&lt;0.5,1,0),0)</f>
        <v>0</v>
      </c>
      <c r="AK366" s="2">
        <f>IF(AND(Games[[#This Row],[Type]]="P",Games[[#This Row],[Round]]=4),IF(Games[[#This Row],[Result]]&gt;0.5,1,0),0)</f>
        <v>0</v>
      </c>
      <c r="AL366" s="2">
        <f>IF(AND(Games[[#This Row],[Type]]="P",Games[[#This Row],[Round]]=4),IF(Games[[#This Row],[Result]]&lt;0.5,1,0),0)</f>
        <v>0</v>
      </c>
    </row>
    <row r="367" spans="1:38" x14ac:dyDescent="0.35">
      <c r="A367" s="10">
        <v>40404</v>
      </c>
      <c r="B367" s="2">
        <v>2010</v>
      </c>
      <c r="C367" s="2">
        <f>COUNTIFS(Games[Team],Games[[#This Row],[Team]],Games[Season],Games[[#This Row],[Season]],Games[Date],"&lt;=" &amp; Games[[#This Row],[Date]])</f>
        <v>31</v>
      </c>
      <c r="D367" s="2" t="s">
        <v>23</v>
      </c>
      <c r="E367" s="2" t="s">
        <v>29</v>
      </c>
      <c r="F367" s="1" t="s">
        <v>85</v>
      </c>
      <c r="G367" s="1" t="s">
        <v>67</v>
      </c>
      <c r="H367" s="1" t="s">
        <v>15</v>
      </c>
      <c r="I367" s="2" cm="1">
        <f t="array" ref="I367">IFERROR(
    Games[[#This Row],[Date]]
    - LOOKUP(
        2,
        1/((Games[Team]=Games[[#This Row],[Team]]) * (Games[Date] &lt; Games[[#This Row],[Date]])),
        Games[Date]
    )
    - 1,
Games[[#This Row],[Date]]-$A$2)</f>
        <v>0</v>
      </c>
      <c r="J367" s="2" cm="1">
        <f t="array" ref="J36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7" s="2">
        <f>Games[[#This Row],[DaysOff]]-Games[[#This Row],[OppDaysOff]]</f>
        <v>-1</v>
      </c>
      <c r="L367" s="2">
        <f>Games[[#This Row],[OppDaysOff]]-Games[[#This Row],[DaysOff]]</f>
        <v>1</v>
      </c>
      <c r="M367" s="1">
        <f>MAX(-16, MIN(16, Games[[#This Row],[RestDiff]]*8))</f>
        <v>-8</v>
      </c>
      <c r="N367" s="1">
        <f>MAX(-16, MIN(16, Games[[#This Row],[OppRestDiff]]*8))</f>
        <v>8</v>
      </c>
      <c r="O367" s="4" cm="1">
        <f t="array" ref="O3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1297.9799220118575</v>
      </c>
      <c r="P367" s="4" cm="1">
        <f t="array" ref="P3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1446.2137604205038</v>
      </c>
      <c r="Q367" s="4">
        <f>1/(1+10^(((Games[[#This Row],[OppPreGmRate]]+IF(Games[[#This Row],[HomeAway]]="A",HCA,0)+Games[[#This Row],[OppRestAdj]])-(Games[[#This Row],[PreGmRate]]+IF(Games[[#This Row],[HomeAway]]="H",HCA,0)+Games[[#This Row],[RestAdj]]))/400))</f>
        <v>0.38654393776172136</v>
      </c>
      <c r="R367" s="1">
        <v>87</v>
      </c>
      <c r="S367" s="1">
        <v>92</v>
      </c>
      <c r="T367" s="1">
        <v>0</v>
      </c>
      <c r="U367" s="1">
        <f>Games[[#This Row],[PointsFor]]-Games[[#This Row],[PointsAgainst]]</f>
        <v>-5</v>
      </c>
      <c r="V367" s="1">
        <f>IF(Games[[#This Row],[MOV]]&gt;0,1,IF(Games[[#This Row],[MOV]]=0,0.5,0))</f>
        <v>0</v>
      </c>
      <c r="W367" s="4">
        <f>((ABS(Games[[#This Row],[MOV]])+5)^0.6)/(12+0.01*(ABS(Games[[#This Row],[PreGmRate]]-Games[[#This Row],[OppPreGmRate]])))*IF(Games[[#This Row],[OT]]=1,0.9,1)</f>
        <v>0.29528050640191095</v>
      </c>
      <c r="X367" s="7" cm="1">
        <f t="array" ref="X36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7" s="9">
        <f>MAX(kmin, kmax - 0.15 * MIN(Games[[#This Row],[GamesPlayed]], 82))</f>
        <v>71.349999999999994</v>
      </c>
      <c r="Z367" s="4">
        <f>Games[[#This Row],[K]]*Games[[#This Row],[POMult]]</f>
        <v>71.349999999999994</v>
      </c>
      <c r="AA367" s="4">
        <f>(Games[[#This Row],[Keff]]*Games[[#This Row],[MOVMult]])*(Games[[#This Row],[Result]]-Games[[#This Row],[ExpectedWin%]])</f>
        <v>-8.1438097793008613</v>
      </c>
      <c r="AB367" s="4">
        <f>Games[[#This Row],[PreGmRate]]+Games[[#This Row],[RatingChange]]</f>
        <v>1289.8361122325566</v>
      </c>
      <c r="AC367" s="2">
        <f>IF(Games[[#This Row],[Type]]="R",IF(Games[[#This Row],[Result]]&gt;0.5,1,0),0)</f>
        <v>0</v>
      </c>
      <c r="AD367" s="2">
        <f>IF(Games[[#This Row],[Type]]="R",IF(Games[[#This Row],[Result]]&lt;0.5,1,0),0)</f>
        <v>1</v>
      </c>
      <c r="AE367" s="2">
        <f>IF(AND(Games[[#This Row],[Type]]="P",Games[[#This Row],[Round]]=1),IF(Games[[#This Row],[Result]]&gt;0.5,1,0),0)</f>
        <v>0</v>
      </c>
      <c r="AF367" s="2">
        <f>IF(AND(Games[[#This Row],[Type]]="P",Games[[#This Row],[Round]]=1),IF(Games[[#This Row],[Result]]&lt;0.5,1,0),0)</f>
        <v>0</v>
      </c>
      <c r="AG367" s="2">
        <f>IF(AND(Games[[#This Row],[Type]]="P",Games[[#This Row],[Round]]=2),IF(Games[[#This Row],[Result]]&gt;0.5,1,0),0)</f>
        <v>0</v>
      </c>
      <c r="AH367" s="2">
        <f>IF(AND(Games[[#This Row],[Type]]="P",Games[[#This Row],[Round]]=2),IF(Games[[#This Row],[Result]]&lt;0.5,1,0),0)</f>
        <v>0</v>
      </c>
      <c r="AI367" s="2">
        <f>IF(AND(Games[[#This Row],[Type]]="P",Games[[#This Row],[Round]]=3),IF(Games[[#This Row],[Result]]&gt;0.5,1,0),0)</f>
        <v>0</v>
      </c>
      <c r="AJ367" s="2">
        <f>IF(AND(Games[[#This Row],[Type]]="P",Games[[#This Row],[Round]]=3),IF(Games[[#This Row],[Result]]&lt;0.5,1,0),0)</f>
        <v>0</v>
      </c>
      <c r="AK367" s="2">
        <f>IF(AND(Games[[#This Row],[Type]]="P",Games[[#This Row],[Round]]=4),IF(Games[[#This Row],[Result]]&gt;0.5,1,0),0)</f>
        <v>0</v>
      </c>
      <c r="AL367" s="2">
        <f>IF(AND(Games[[#This Row],[Type]]="P",Games[[#This Row],[Round]]=4),IF(Games[[#This Row],[Result]]&lt;0.5,1,0),0)</f>
        <v>0</v>
      </c>
    </row>
    <row r="368" spans="1:38" x14ac:dyDescent="0.35">
      <c r="A368" s="10">
        <v>40405</v>
      </c>
      <c r="B368" s="2">
        <v>2010</v>
      </c>
      <c r="C368" s="2">
        <f>COUNTIFS(Games[Team],Games[[#This Row],[Team]],Games[Season],Games[[#This Row],[Season]],Games[Date],"&lt;=" &amp; Games[[#This Row],[Date]])</f>
        <v>31</v>
      </c>
      <c r="D368" s="2" t="s">
        <v>23</v>
      </c>
      <c r="E368" s="2" t="s">
        <v>29</v>
      </c>
      <c r="F368" s="1" t="s">
        <v>73</v>
      </c>
      <c r="G368" s="1" t="s">
        <v>80</v>
      </c>
      <c r="H368" s="1" t="s">
        <v>16</v>
      </c>
      <c r="I368" s="2" cm="1">
        <f t="array" ref="I36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8" s="2" cm="1">
        <f t="array" ref="J36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8" s="2">
        <f>Games[[#This Row],[DaysOff]]-Games[[#This Row],[OppDaysOff]]</f>
        <v>0</v>
      </c>
      <c r="L368" s="2">
        <f>Games[[#This Row],[OppDaysOff]]-Games[[#This Row],[DaysOff]]</f>
        <v>0</v>
      </c>
      <c r="M368" s="1">
        <f>MAX(-16, MIN(16, Games[[#This Row],[RestDiff]]*8))</f>
        <v>0</v>
      </c>
      <c r="N368" s="1">
        <f>MAX(-16, MIN(16, Games[[#This Row],[OppRestDiff]]*8))</f>
        <v>0</v>
      </c>
      <c r="O368" s="4" cm="1">
        <f t="array" ref="O3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1623.1521316610417</v>
      </c>
      <c r="P368" s="4" cm="1">
        <f t="array" ref="P3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1489.5639523994564</v>
      </c>
      <c r="Q368" s="4">
        <f>1/(1+10^(((Games[[#This Row],[OppPreGmRate]]+IF(Games[[#This Row],[HomeAway]]="A",HCA,0)+Games[[#This Row],[OppRestAdj]])-(Games[[#This Row],[PreGmRate]]+IF(Games[[#This Row],[HomeAway]]="H",HCA,0)+Games[[#This Row],[RestAdj]]))/400))</f>
        <v>0.5708824683847139</v>
      </c>
      <c r="R368" s="1">
        <v>79</v>
      </c>
      <c r="S368" s="1">
        <v>66</v>
      </c>
      <c r="T368" s="1">
        <v>0</v>
      </c>
      <c r="U368" s="1">
        <f>Games[[#This Row],[PointsFor]]-Games[[#This Row],[PointsAgainst]]</f>
        <v>13</v>
      </c>
      <c r="V368" s="1">
        <f>IF(Games[[#This Row],[MOV]]&gt;0,1,IF(Games[[#This Row],[MOV]]=0,0.5,0))</f>
        <v>1</v>
      </c>
      <c r="W368" s="4">
        <f>((ABS(Games[[#This Row],[MOV]])+5)^0.6)/(12+0.01*(ABS(Games[[#This Row],[PreGmRate]]-Games[[#This Row],[OppPreGmRate]])))*IF(Games[[#This Row],[OT]]=1,0.9,1)</f>
        <v>0.4247581941605007</v>
      </c>
      <c r="X368" s="7" cm="1">
        <f t="array" ref="X36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8" s="9">
        <f>MAX(kmin, kmax - 0.15 * MIN(Games[[#This Row],[GamesPlayed]], 82))</f>
        <v>71.349999999999994</v>
      </c>
      <c r="Z368" s="4">
        <f>Games[[#This Row],[K]]*Games[[#This Row],[POMult]]</f>
        <v>71.349999999999994</v>
      </c>
      <c r="AA368" s="4">
        <f>(Games[[#This Row],[Keff]]*Games[[#This Row],[MOVMult]])*(Games[[#This Row],[Result]]-Games[[#This Row],[ExpectedWin%]])</f>
        <v>13.005049250351986</v>
      </c>
      <c r="AB368" s="4">
        <f>Games[[#This Row],[PreGmRate]]+Games[[#This Row],[RatingChange]]</f>
        <v>1636.1571809113937</v>
      </c>
      <c r="AC368" s="2">
        <f>IF(Games[[#This Row],[Type]]="R",IF(Games[[#This Row],[Result]]&gt;0.5,1,0),0)</f>
        <v>1</v>
      </c>
      <c r="AD368" s="2">
        <f>IF(Games[[#This Row],[Type]]="R",IF(Games[[#This Row],[Result]]&lt;0.5,1,0),0)</f>
        <v>0</v>
      </c>
      <c r="AE368" s="2">
        <f>IF(AND(Games[[#This Row],[Type]]="P",Games[[#This Row],[Round]]=1),IF(Games[[#This Row],[Result]]&gt;0.5,1,0),0)</f>
        <v>0</v>
      </c>
      <c r="AF368" s="2">
        <f>IF(AND(Games[[#This Row],[Type]]="P",Games[[#This Row],[Round]]=1),IF(Games[[#This Row],[Result]]&lt;0.5,1,0),0)</f>
        <v>0</v>
      </c>
      <c r="AG368" s="2">
        <f>IF(AND(Games[[#This Row],[Type]]="P",Games[[#This Row],[Round]]=2),IF(Games[[#This Row],[Result]]&gt;0.5,1,0),0)</f>
        <v>0</v>
      </c>
      <c r="AH368" s="2">
        <f>IF(AND(Games[[#This Row],[Type]]="P",Games[[#This Row],[Round]]=2),IF(Games[[#This Row],[Result]]&lt;0.5,1,0),0)</f>
        <v>0</v>
      </c>
      <c r="AI368" s="2">
        <f>IF(AND(Games[[#This Row],[Type]]="P",Games[[#This Row],[Round]]=3),IF(Games[[#This Row],[Result]]&gt;0.5,1,0),0)</f>
        <v>0</v>
      </c>
      <c r="AJ368" s="2">
        <f>IF(AND(Games[[#This Row],[Type]]="P",Games[[#This Row],[Round]]=3),IF(Games[[#This Row],[Result]]&lt;0.5,1,0),0)</f>
        <v>0</v>
      </c>
      <c r="AK368" s="2">
        <f>IF(AND(Games[[#This Row],[Type]]="P",Games[[#This Row],[Round]]=4),IF(Games[[#This Row],[Result]]&gt;0.5,1,0),0)</f>
        <v>0</v>
      </c>
      <c r="AL368" s="2">
        <f>IF(AND(Games[[#This Row],[Type]]="P",Games[[#This Row],[Round]]=4),IF(Games[[#This Row],[Result]]&lt;0.5,1,0),0)</f>
        <v>0</v>
      </c>
    </row>
    <row r="369" spans="1:38" x14ac:dyDescent="0.35">
      <c r="A369" s="10">
        <v>40405</v>
      </c>
      <c r="B369" s="2">
        <v>2010</v>
      </c>
      <c r="C369" s="2">
        <f>COUNTIFS(Games[Team],Games[[#This Row],[Team]],Games[Season],Games[[#This Row],[Season]],Games[Date],"&lt;=" &amp; Games[[#This Row],[Date]])</f>
        <v>31</v>
      </c>
      <c r="D369" s="2" t="s">
        <v>23</v>
      </c>
      <c r="E369" s="2" t="s">
        <v>29</v>
      </c>
      <c r="F369" s="1" t="s">
        <v>80</v>
      </c>
      <c r="G369" s="1" t="s">
        <v>73</v>
      </c>
      <c r="H369" s="1" t="s">
        <v>15</v>
      </c>
      <c r="I369" s="2" cm="1">
        <f t="array" ref="I36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9" s="2" cm="1">
        <f t="array" ref="J36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9" s="2">
        <f>Games[[#This Row],[DaysOff]]-Games[[#This Row],[OppDaysOff]]</f>
        <v>0</v>
      </c>
      <c r="L369" s="2">
        <f>Games[[#This Row],[OppDaysOff]]-Games[[#This Row],[DaysOff]]</f>
        <v>0</v>
      </c>
      <c r="M369" s="1">
        <f>MAX(-16, MIN(16, Games[[#This Row],[RestDiff]]*8))</f>
        <v>0</v>
      </c>
      <c r="N369" s="1">
        <f>MAX(-16, MIN(16, Games[[#This Row],[OppRestDiff]]*8))</f>
        <v>0</v>
      </c>
      <c r="O369" s="4" cm="1">
        <f t="array" ref="O3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1489.5639523994564</v>
      </c>
      <c r="P369" s="4" cm="1">
        <f t="array" ref="P3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1623.1521316610417</v>
      </c>
      <c r="Q369" s="4">
        <f>1/(1+10^(((Games[[#This Row],[OppPreGmRate]]+IF(Games[[#This Row],[HomeAway]]="A",HCA,0)+Games[[#This Row],[OppRestAdj]])-(Games[[#This Row],[PreGmRate]]+IF(Games[[#This Row],[HomeAway]]="H",HCA,0)+Games[[#This Row],[RestAdj]]))/400))</f>
        <v>0.42911753161528615</v>
      </c>
      <c r="R369" s="1">
        <v>66</v>
      </c>
      <c r="S369" s="1">
        <v>79</v>
      </c>
      <c r="T369" s="1">
        <v>0</v>
      </c>
      <c r="U369" s="1">
        <f>Games[[#This Row],[PointsFor]]-Games[[#This Row],[PointsAgainst]]</f>
        <v>-13</v>
      </c>
      <c r="V369" s="1">
        <f>IF(Games[[#This Row],[MOV]]&gt;0,1,IF(Games[[#This Row],[MOV]]=0,0.5,0))</f>
        <v>0</v>
      </c>
      <c r="W369" s="4">
        <f>((ABS(Games[[#This Row],[MOV]])+5)^0.6)/(12+0.01*(ABS(Games[[#This Row],[PreGmRate]]-Games[[#This Row],[OppPreGmRate]])))*IF(Games[[#This Row],[OT]]=1,0.9,1)</f>
        <v>0.4247581941605007</v>
      </c>
      <c r="X369" s="7" cm="1">
        <f t="array" ref="X36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9" s="9">
        <f>MAX(kmin, kmax - 0.15 * MIN(Games[[#This Row],[GamesPlayed]], 82))</f>
        <v>71.349999999999994</v>
      </c>
      <c r="Z369" s="4">
        <f>Games[[#This Row],[K]]*Games[[#This Row],[POMult]]</f>
        <v>71.349999999999994</v>
      </c>
      <c r="AA369" s="4">
        <f>(Games[[#This Row],[Keff]]*Games[[#This Row],[MOVMult]])*(Games[[#This Row],[Result]]-Games[[#This Row],[ExpectedWin%]])</f>
        <v>-13.005049250351988</v>
      </c>
      <c r="AB369" s="4">
        <f>Games[[#This Row],[PreGmRate]]+Games[[#This Row],[RatingChange]]</f>
        <v>1476.5589031491045</v>
      </c>
      <c r="AC369" s="2">
        <f>IF(Games[[#This Row],[Type]]="R",IF(Games[[#This Row],[Result]]&gt;0.5,1,0),0)</f>
        <v>0</v>
      </c>
      <c r="AD369" s="2">
        <f>IF(Games[[#This Row],[Type]]="R",IF(Games[[#This Row],[Result]]&lt;0.5,1,0),0)</f>
        <v>1</v>
      </c>
      <c r="AE369" s="2">
        <f>IF(AND(Games[[#This Row],[Type]]="P",Games[[#This Row],[Round]]=1),IF(Games[[#This Row],[Result]]&gt;0.5,1,0),0)</f>
        <v>0</v>
      </c>
      <c r="AF369" s="2">
        <f>IF(AND(Games[[#This Row],[Type]]="P",Games[[#This Row],[Round]]=1),IF(Games[[#This Row],[Result]]&lt;0.5,1,0),0)</f>
        <v>0</v>
      </c>
      <c r="AG369" s="2">
        <f>IF(AND(Games[[#This Row],[Type]]="P",Games[[#This Row],[Round]]=2),IF(Games[[#This Row],[Result]]&gt;0.5,1,0),0)</f>
        <v>0</v>
      </c>
      <c r="AH369" s="2">
        <f>IF(AND(Games[[#This Row],[Type]]="P",Games[[#This Row],[Round]]=2),IF(Games[[#This Row],[Result]]&lt;0.5,1,0),0)</f>
        <v>0</v>
      </c>
      <c r="AI369" s="2">
        <f>IF(AND(Games[[#This Row],[Type]]="P",Games[[#This Row],[Round]]=3),IF(Games[[#This Row],[Result]]&gt;0.5,1,0),0)</f>
        <v>0</v>
      </c>
      <c r="AJ369" s="2">
        <f>IF(AND(Games[[#This Row],[Type]]="P",Games[[#This Row],[Round]]=3),IF(Games[[#This Row],[Result]]&lt;0.5,1,0),0)</f>
        <v>0</v>
      </c>
      <c r="AK369" s="2">
        <f>IF(AND(Games[[#This Row],[Type]]="P",Games[[#This Row],[Round]]=4),IF(Games[[#This Row],[Result]]&gt;0.5,1,0),0)</f>
        <v>0</v>
      </c>
      <c r="AL369" s="2">
        <f>IF(AND(Games[[#This Row],[Type]]="P",Games[[#This Row],[Round]]=4),IF(Games[[#This Row],[Result]]&lt;0.5,1,0),0)</f>
        <v>0</v>
      </c>
    </row>
    <row r="370" spans="1:38" x14ac:dyDescent="0.35">
      <c r="A370" s="10">
        <v>40405</v>
      </c>
      <c r="B370" s="2">
        <v>2010</v>
      </c>
      <c r="C370" s="2">
        <f>COUNTIFS(Games[Team],Games[[#This Row],[Team]],Games[Season],Games[[#This Row],[Season]],Games[Date],"&lt;=" &amp; Games[[#This Row],[Date]])</f>
        <v>31</v>
      </c>
      <c r="D370" s="2" t="s">
        <v>23</v>
      </c>
      <c r="E370" s="2" t="s">
        <v>29</v>
      </c>
      <c r="F370" s="1" t="s">
        <v>78</v>
      </c>
      <c r="G370" s="1" t="s">
        <v>71</v>
      </c>
      <c r="H370" s="1" t="s">
        <v>16</v>
      </c>
      <c r="I370" s="2" cm="1">
        <f t="array" ref="I37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0" s="2" cm="1">
        <f t="array" ref="J37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0" s="2">
        <f>Games[[#This Row],[DaysOff]]-Games[[#This Row],[OppDaysOff]]</f>
        <v>0</v>
      </c>
      <c r="L370" s="2">
        <f>Games[[#This Row],[OppDaysOff]]-Games[[#This Row],[DaysOff]]</f>
        <v>0</v>
      </c>
      <c r="M370" s="1">
        <f>MAX(-16, MIN(16, Games[[#This Row],[RestDiff]]*8))</f>
        <v>0</v>
      </c>
      <c r="N370" s="1">
        <f>MAX(-16, MIN(16, Games[[#This Row],[OppRestDiff]]*8))</f>
        <v>0</v>
      </c>
      <c r="O370" s="4" cm="1">
        <f t="array" ref="O3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1436.9164656602013</v>
      </c>
      <c r="P370" s="4" cm="1">
        <f t="array" ref="P3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1417.1676267241335</v>
      </c>
      <c r="Q370" s="4">
        <f>1/(1+10^(((Games[[#This Row],[OppPreGmRate]]+IF(Games[[#This Row],[HomeAway]]="A",HCA,0)+Games[[#This Row],[OppRestAdj]])-(Games[[#This Row],[PreGmRate]]+IF(Games[[#This Row],[HomeAway]]="H",HCA,0)+Games[[#This Row],[RestAdj]]))/400))</f>
        <v>0.40857499249363138</v>
      </c>
      <c r="R370" s="1">
        <v>78</v>
      </c>
      <c r="S370" s="1">
        <v>84</v>
      </c>
      <c r="T370" s="1">
        <v>0</v>
      </c>
      <c r="U370" s="1">
        <f>Games[[#This Row],[PointsFor]]-Games[[#This Row],[PointsAgainst]]</f>
        <v>-6</v>
      </c>
      <c r="V370" s="1">
        <f>IF(Games[[#This Row],[MOV]]&gt;0,1,IF(Games[[#This Row],[MOV]]=0,0.5,0))</f>
        <v>0</v>
      </c>
      <c r="W370" s="4">
        <f>((ABS(Games[[#This Row],[MOV]])+5)^0.6)/(12+0.01*(ABS(Games[[#This Row],[PreGmRate]]-Games[[#This Row],[OppPreGmRate]])))*IF(Games[[#This Row],[OT]]=1,0.9,1)</f>
        <v>0.34559320726788123</v>
      </c>
      <c r="X370" s="7" cm="1">
        <f t="array" ref="X37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0" s="9">
        <f>MAX(kmin, kmax - 0.15 * MIN(Games[[#This Row],[GamesPlayed]], 82))</f>
        <v>71.349999999999994</v>
      </c>
      <c r="Z370" s="4">
        <f>Games[[#This Row],[K]]*Games[[#This Row],[POMult]]</f>
        <v>71.349999999999994</v>
      </c>
      <c r="AA370" s="4">
        <f>(Games[[#This Row],[Keff]]*Games[[#This Row],[MOVMult]])*(Games[[#This Row],[Result]]-Games[[#This Row],[ExpectedWin%]])</f>
        <v>-10.074672946360907</v>
      </c>
      <c r="AB370" s="4">
        <f>Games[[#This Row],[PreGmRate]]+Games[[#This Row],[RatingChange]]</f>
        <v>1426.8417927138405</v>
      </c>
      <c r="AC370" s="2">
        <f>IF(Games[[#This Row],[Type]]="R",IF(Games[[#This Row],[Result]]&gt;0.5,1,0),0)</f>
        <v>0</v>
      </c>
      <c r="AD370" s="2">
        <f>IF(Games[[#This Row],[Type]]="R",IF(Games[[#This Row],[Result]]&lt;0.5,1,0),0)</f>
        <v>1</v>
      </c>
      <c r="AE370" s="2">
        <f>IF(AND(Games[[#This Row],[Type]]="P",Games[[#This Row],[Round]]=1),IF(Games[[#This Row],[Result]]&gt;0.5,1,0),0)</f>
        <v>0</v>
      </c>
      <c r="AF370" s="2">
        <f>IF(AND(Games[[#This Row],[Type]]="P",Games[[#This Row],[Round]]=1),IF(Games[[#This Row],[Result]]&lt;0.5,1,0),0)</f>
        <v>0</v>
      </c>
      <c r="AG370" s="2">
        <f>IF(AND(Games[[#This Row],[Type]]="P",Games[[#This Row],[Round]]=2),IF(Games[[#This Row],[Result]]&gt;0.5,1,0),0)</f>
        <v>0</v>
      </c>
      <c r="AH370" s="2">
        <f>IF(AND(Games[[#This Row],[Type]]="P",Games[[#This Row],[Round]]=2),IF(Games[[#This Row],[Result]]&lt;0.5,1,0),0)</f>
        <v>0</v>
      </c>
      <c r="AI370" s="2">
        <f>IF(AND(Games[[#This Row],[Type]]="P",Games[[#This Row],[Round]]=3),IF(Games[[#This Row],[Result]]&gt;0.5,1,0),0)</f>
        <v>0</v>
      </c>
      <c r="AJ370" s="2">
        <f>IF(AND(Games[[#This Row],[Type]]="P",Games[[#This Row],[Round]]=3),IF(Games[[#This Row],[Result]]&lt;0.5,1,0),0)</f>
        <v>0</v>
      </c>
      <c r="AK370" s="2">
        <f>IF(AND(Games[[#This Row],[Type]]="P",Games[[#This Row],[Round]]=4),IF(Games[[#This Row],[Result]]&gt;0.5,1,0),0)</f>
        <v>0</v>
      </c>
      <c r="AL370" s="2">
        <f>IF(AND(Games[[#This Row],[Type]]="P",Games[[#This Row],[Round]]=4),IF(Games[[#This Row],[Result]]&lt;0.5,1,0),0)</f>
        <v>0</v>
      </c>
    </row>
    <row r="371" spans="1:38" x14ac:dyDescent="0.35">
      <c r="A371" s="10">
        <v>40405</v>
      </c>
      <c r="B371" s="2">
        <v>2010</v>
      </c>
      <c r="C371" s="2">
        <f>COUNTIFS(Games[Team],Games[[#This Row],[Team]],Games[Season],Games[[#This Row],[Season]],Games[Date],"&lt;=" &amp; Games[[#This Row],[Date]])</f>
        <v>31</v>
      </c>
      <c r="D371" s="2" t="s">
        <v>23</v>
      </c>
      <c r="E371" s="2" t="s">
        <v>29</v>
      </c>
      <c r="F371" s="1" t="s">
        <v>71</v>
      </c>
      <c r="G371" s="1" t="s">
        <v>78</v>
      </c>
      <c r="H371" s="1" t="s">
        <v>15</v>
      </c>
      <c r="I371" s="2" cm="1">
        <f t="array" ref="I37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1" s="2" cm="1">
        <f t="array" ref="J37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1" s="2">
        <f>Games[[#This Row],[DaysOff]]-Games[[#This Row],[OppDaysOff]]</f>
        <v>0</v>
      </c>
      <c r="L371" s="2">
        <f>Games[[#This Row],[OppDaysOff]]-Games[[#This Row],[DaysOff]]</f>
        <v>0</v>
      </c>
      <c r="M371" s="1">
        <f>MAX(-16, MIN(16, Games[[#This Row],[RestDiff]]*8))</f>
        <v>0</v>
      </c>
      <c r="N371" s="1">
        <f>MAX(-16, MIN(16, Games[[#This Row],[OppRestDiff]]*8))</f>
        <v>0</v>
      </c>
      <c r="O371" s="4" cm="1">
        <f t="array" ref="O3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1417.1676267241335</v>
      </c>
      <c r="P371" s="4" cm="1">
        <f t="array" ref="P3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1436.9164656602013</v>
      </c>
      <c r="Q371" s="4">
        <f>1/(1+10^(((Games[[#This Row],[OppPreGmRate]]+IF(Games[[#This Row],[HomeAway]]="A",HCA,0)+Games[[#This Row],[OppRestAdj]])-(Games[[#This Row],[PreGmRate]]+IF(Games[[#This Row],[HomeAway]]="H",HCA,0)+Games[[#This Row],[RestAdj]]))/400))</f>
        <v>0.59142500750636862</v>
      </c>
      <c r="R371" s="1">
        <v>84</v>
      </c>
      <c r="S371" s="1">
        <v>78</v>
      </c>
      <c r="T371" s="1">
        <v>0</v>
      </c>
      <c r="U371" s="1">
        <f>Games[[#This Row],[PointsFor]]-Games[[#This Row],[PointsAgainst]]</f>
        <v>6</v>
      </c>
      <c r="V371" s="1">
        <f>IF(Games[[#This Row],[MOV]]&gt;0,1,IF(Games[[#This Row],[MOV]]=0,0.5,0))</f>
        <v>1</v>
      </c>
      <c r="W371" s="4">
        <f>((ABS(Games[[#This Row],[MOV]])+5)^0.6)/(12+0.01*(ABS(Games[[#This Row],[PreGmRate]]-Games[[#This Row],[OppPreGmRate]])))*IF(Games[[#This Row],[OT]]=1,0.9,1)</f>
        <v>0.34559320726788123</v>
      </c>
      <c r="X371" s="7" cm="1">
        <f t="array" ref="X37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1" s="9">
        <f>MAX(kmin, kmax - 0.15 * MIN(Games[[#This Row],[GamesPlayed]], 82))</f>
        <v>71.349999999999994</v>
      </c>
      <c r="Z371" s="4">
        <f>Games[[#This Row],[K]]*Games[[#This Row],[POMult]]</f>
        <v>71.349999999999994</v>
      </c>
      <c r="AA371" s="4">
        <f>(Games[[#This Row],[Keff]]*Games[[#This Row],[MOVMult]])*(Games[[#This Row],[Result]]-Games[[#This Row],[ExpectedWin%]])</f>
        <v>10.074672946360907</v>
      </c>
      <c r="AB371" s="4">
        <f>Games[[#This Row],[PreGmRate]]+Games[[#This Row],[RatingChange]]</f>
        <v>1427.2422996704943</v>
      </c>
      <c r="AC371" s="2">
        <f>IF(Games[[#This Row],[Type]]="R",IF(Games[[#This Row],[Result]]&gt;0.5,1,0),0)</f>
        <v>1</v>
      </c>
      <c r="AD371" s="2">
        <f>IF(Games[[#This Row],[Type]]="R",IF(Games[[#This Row],[Result]]&lt;0.5,1,0),0)</f>
        <v>0</v>
      </c>
      <c r="AE371" s="2">
        <f>IF(AND(Games[[#This Row],[Type]]="P",Games[[#This Row],[Round]]=1),IF(Games[[#This Row],[Result]]&gt;0.5,1,0),0)</f>
        <v>0</v>
      </c>
      <c r="AF371" s="2">
        <f>IF(AND(Games[[#This Row],[Type]]="P",Games[[#This Row],[Round]]=1),IF(Games[[#This Row],[Result]]&lt;0.5,1,0),0)</f>
        <v>0</v>
      </c>
      <c r="AG371" s="2">
        <f>IF(AND(Games[[#This Row],[Type]]="P",Games[[#This Row],[Round]]=2),IF(Games[[#This Row],[Result]]&gt;0.5,1,0),0)</f>
        <v>0</v>
      </c>
      <c r="AH371" s="2">
        <f>IF(AND(Games[[#This Row],[Type]]="P",Games[[#This Row],[Round]]=2),IF(Games[[#This Row],[Result]]&lt;0.5,1,0),0)</f>
        <v>0</v>
      </c>
      <c r="AI371" s="2">
        <f>IF(AND(Games[[#This Row],[Type]]="P",Games[[#This Row],[Round]]=3),IF(Games[[#This Row],[Result]]&gt;0.5,1,0),0)</f>
        <v>0</v>
      </c>
      <c r="AJ371" s="2">
        <f>IF(AND(Games[[#This Row],[Type]]="P",Games[[#This Row],[Round]]=3),IF(Games[[#This Row],[Result]]&lt;0.5,1,0),0)</f>
        <v>0</v>
      </c>
      <c r="AK371" s="2">
        <f>IF(AND(Games[[#This Row],[Type]]="P",Games[[#This Row],[Round]]=4),IF(Games[[#This Row],[Result]]&gt;0.5,1,0),0)</f>
        <v>0</v>
      </c>
      <c r="AL371" s="2">
        <f>IF(AND(Games[[#This Row],[Type]]="P",Games[[#This Row],[Round]]=4),IF(Games[[#This Row],[Result]]&lt;0.5,1,0),0)</f>
        <v>0</v>
      </c>
    </row>
    <row r="372" spans="1:38" x14ac:dyDescent="0.35">
      <c r="A372" s="10">
        <v>40405</v>
      </c>
      <c r="B372" s="2">
        <v>2010</v>
      </c>
      <c r="C372" s="2">
        <f>COUNTIFS(Games[Team],Games[[#This Row],[Team]],Games[Season],Games[[#This Row],[Season]],Games[Date],"&lt;=" &amp; Games[[#This Row],[Date]])</f>
        <v>31</v>
      </c>
      <c r="D372" s="2" t="s">
        <v>23</v>
      </c>
      <c r="E372" s="2" t="s">
        <v>29</v>
      </c>
      <c r="F372" s="1" t="s">
        <v>75</v>
      </c>
      <c r="G372" s="1" t="s">
        <v>69</v>
      </c>
      <c r="H372" s="1" t="s">
        <v>16</v>
      </c>
      <c r="I372" s="2" cm="1">
        <f t="array" ref="I37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2" s="2" cm="1">
        <f t="array" ref="J37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2" s="2">
        <f>Games[[#This Row],[DaysOff]]-Games[[#This Row],[OppDaysOff]]</f>
        <v>0</v>
      </c>
      <c r="L372" s="2">
        <f>Games[[#This Row],[OppDaysOff]]-Games[[#This Row],[DaysOff]]</f>
        <v>0</v>
      </c>
      <c r="M372" s="1">
        <f>MAX(-16, MIN(16, Games[[#This Row],[RestDiff]]*8))</f>
        <v>0</v>
      </c>
      <c r="N372" s="1">
        <f>MAX(-16, MIN(16, Games[[#This Row],[OppRestDiff]]*8))</f>
        <v>0</v>
      </c>
      <c r="O372" s="4" cm="1">
        <f t="array" ref="O3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1659.3071200435154</v>
      </c>
      <c r="P372" s="4" cm="1">
        <f t="array" ref="P3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1541.3196199004708</v>
      </c>
      <c r="Q372" s="4">
        <f>1/(1+10^(((Games[[#This Row],[OppPreGmRate]]+IF(Games[[#This Row],[HomeAway]]="A",HCA,0)+Games[[#This Row],[OppRestAdj]])-(Games[[#This Row],[PreGmRate]]+IF(Games[[#This Row],[HomeAway]]="H",HCA,0)+Games[[#This Row],[RestAdj]]))/400))</f>
        <v>0.54875651823327121</v>
      </c>
      <c r="R372" s="1">
        <v>71</v>
      </c>
      <c r="S372" s="1">
        <v>80</v>
      </c>
      <c r="T372" s="1">
        <v>0</v>
      </c>
      <c r="U372" s="1">
        <f>Games[[#This Row],[PointsFor]]-Games[[#This Row],[PointsAgainst]]</f>
        <v>-9</v>
      </c>
      <c r="V372" s="1">
        <f>IF(Games[[#This Row],[MOV]]&gt;0,1,IF(Games[[#This Row],[MOV]]=0,0.5,0))</f>
        <v>0</v>
      </c>
      <c r="W372" s="4">
        <f>((ABS(Games[[#This Row],[MOV]])+5)^0.6)/(12+0.01*(ABS(Games[[#This Row],[PreGmRate]]-Games[[#This Row],[OppPreGmRate]])))*IF(Games[[#This Row],[OT]]=1,0.9,1)</f>
        <v>0.36962856819493206</v>
      </c>
      <c r="X372" s="7" cm="1">
        <f t="array" ref="X37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2" s="9">
        <f>MAX(kmin, kmax - 0.15 * MIN(Games[[#This Row],[GamesPlayed]], 82))</f>
        <v>71.349999999999994</v>
      </c>
      <c r="Z372" s="4">
        <f>Games[[#This Row],[K]]*Games[[#This Row],[POMult]]</f>
        <v>71.349999999999994</v>
      </c>
      <c r="AA372" s="4">
        <f>(Games[[#This Row],[Keff]]*Games[[#This Row],[MOVMult]])*(Games[[#This Row],[Result]]-Games[[#This Row],[ExpectedWin%]])</f>
        <v>-14.472354744818979</v>
      </c>
      <c r="AB372" s="4">
        <f>Games[[#This Row],[PreGmRate]]+Games[[#This Row],[RatingChange]]</f>
        <v>1644.8347652986963</v>
      </c>
      <c r="AC372" s="2">
        <f>IF(Games[[#This Row],[Type]]="R",IF(Games[[#This Row],[Result]]&gt;0.5,1,0),0)</f>
        <v>0</v>
      </c>
      <c r="AD372" s="2">
        <f>IF(Games[[#This Row],[Type]]="R",IF(Games[[#This Row],[Result]]&lt;0.5,1,0),0)</f>
        <v>1</v>
      </c>
      <c r="AE372" s="2">
        <f>IF(AND(Games[[#This Row],[Type]]="P",Games[[#This Row],[Round]]=1),IF(Games[[#This Row],[Result]]&gt;0.5,1,0),0)</f>
        <v>0</v>
      </c>
      <c r="AF372" s="2">
        <f>IF(AND(Games[[#This Row],[Type]]="P",Games[[#This Row],[Round]]=1),IF(Games[[#This Row],[Result]]&lt;0.5,1,0),0)</f>
        <v>0</v>
      </c>
      <c r="AG372" s="2">
        <f>IF(AND(Games[[#This Row],[Type]]="P",Games[[#This Row],[Round]]=2),IF(Games[[#This Row],[Result]]&gt;0.5,1,0),0)</f>
        <v>0</v>
      </c>
      <c r="AH372" s="2">
        <f>IF(AND(Games[[#This Row],[Type]]="P",Games[[#This Row],[Round]]=2),IF(Games[[#This Row],[Result]]&lt;0.5,1,0),0)</f>
        <v>0</v>
      </c>
      <c r="AI372" s="2">
        <f>IF(AND(Games[[#This Row],[Type]]="P",Games[[#This Row],[Round]]=3),IF(Games[[#This Row],[Result]]&gt;0.5,1,0),0)</f>
        <v>0</v>
      </c>
      <c r="AJ372" s="2">
        <f>IF(AND(Games[[#This Row],[Type]]="P",Games[[#This Row],[Round]]=3),IF(Games[[#This Row],[Result]]&lt;0.5,1,0),0)</f>
        <v>0</v>
      </c>
      <c r="AK372" s="2">
        <f>IF(AND(Games[[#This Row],[Type]]="P",Games[[#This Row],[Round]]=4),IF(Games[[#This Row],[Result]]&gt;0.5,1,0),0)</f>
        <v>0</v>
      </c>
      <c r="AL372" s="2">
        <f>IF(AND(Games[[#This Row],[Type]]="P",Games[[#This Row],[Round]]=4),IF(Games[[#This Row],[Result]]&lt;0.5,1,0),0)</f>
        <v>0</v>
      </c>
    </row>
    <row r="373" spans="1:38" x14ac:dyDescent="0.35">
      <c r="A373" s="10">
        <v>40405</v>
      </c>
      <c r="B373" s="2">
        <v>2010</v>
      </c>
      <c r="C373" s="2">
        <f>COUNTIFS(Games[Team],Games[[#This Row],[Team]],Games[Season],Games[[#This Row],[Season]],Games[Date],"&lt;=" &amp; Games[[#This Row],[Date]])</f>
        <v>31</v>
      </c>
      <c r="D373" s="2" t="s">
        <v>23</v>
      </c>
      <c r="E373" s="2" t="s">
        <v>29</v>
      </c>
      <c r="F373" s="1" t="s">
        <v>69</v>
      </c>
      <c r="G373" s="1" t="s">
        <v>75</v>
      </c>
      <c r="H373" s="1" t="s">
        <v>15</v>
      </c>
      <c r="I373" s="2" cm="1">
        <f t="array" ref="I37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3" s="2" cm="1">
        <f t="array" ref="J37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3" s="2">
        <f>Games[[#This Row],[DaysOff]]-Games[[#This Row],[OppDaysOff]]</f>
        <v>0</v>
      </c>
      <c r="L373" s="2">
        <f>Games[[#This Row],[OppDaysOff]]-Games[[#This Row],[DaysOff]]</f>
        <v>0</v>
      </c>
      <c r="M373" s="1">
        <f>MAX(-16, MIN(16, Games[[#This Row],[RestDiff]]*8))</f>
        <v>0</v>
      </c>
      <c r="N373" s="1">
        <f>MAX(-16, MIN(16, Games[[#This Row],[OppRestDiff]]*8))</f>
        <v>0</v>
      </c>
      <c r="O373" s="4" cm="1">
        <f t="array" ref="O3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1541.3196199004708</v>
      </c>
      <c r="P373" s="4" cm="1">
        <f t="array" ref="P3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1659.3071200435154</v>
      </c>
      <c r="Q373" s="4">
        <f>1/(1+10^(((Games[[#This Row],[OppPreGmRate]]+IF(Games[[#This Row],[HomeAway]]="A",HCA,0)+Games[[#This Row],[OppRestAdj]])-(Games[[#This Row],[PreGmRate]]+IF(Games[[#This Row],[HomeAway]]="H",HCA,0)+Games[[#This Row],[RestAdj]]))/400))</f>
        <v>0.45124348176672885</v>
      </c>
      <c r="R373" s="1">
        <v>80</v>
      </c>
      <c r="S373" s="1">
        <v>71</v>
      </c>
      <c r="T373" s="1">
        <v>0</v>
      </c>
      <c r="U373" s="1">
        <f>Games[[#This Row],[PointsFor]]-Games[[#This Row],[PointsAgainst]]</f>
        <v>9</v>
      </c>
      <c r="V373" s="1">
        <f>IF(Games[[#This Row],[MOV]]&gt;0,1,IF(Games[[#This Row],[MOV]]=0,0.5,0))</f>
        <v>1</v>
      </c>
      <c r="W373" s="4">
        <f>((ABS(Games[[#This Row],[MOV]])+5)^0.6)/(12+0.01*(ABS(Games[[#This Row],[PreGmRate]]-Games[[#This Row],[OppPreGmRate]])))*IF(Games[[#This Row],[OT]]=1,0.9,1)</f>
        <v>0.36962856819493206</v>
      </c>
      <c r="X373" s="7" cm="1">
        <f t="array" ref="X37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3" s="9">
        <f>MAX(kmin, kmax - 0.15 * MIN(Games[[#This Row],[GamesPlayed]], 82))</f>
        <v>71.349999999999994</v>
      </c>
      <c r="Z373" s="4">
        <f>Games[[#This Row],[K]]*Games[[#This Row],[POMult]]</f>
        <v>71.349999999999994</v>
      </c>
      <c r="AA373" s="4">
        <f>(Games[[#This Row],[Keff]]*Games[[#This Row],[MOVMult]])*(Games[[#This Row],[Result]]-Games[[#This Row],[ExpectedWin%]])</f>
        <v>14.472354744818979</v>
      </c>
      <c r="AB373" s="4">
        <f>Games[[#This Row],[PreGmRate]]+Games[[#This Row],[RatingChange]]</f>
        <v>1555.7919746452899</v>
      </c>
      <c r="AC373" s="2">
        <f>IF(Games[[#This Row],[Type]]="R",IF(Games[[#This Row],[Result]]&gt;0.5,1,0),0)</f>
        <v>1</v>
      </c>
      <c r="AD373" s="2">
        <f>IF(Games[[#This Row],[Type]]="R",IF(Games[[#This Row],[Result]]&lt;0.5,1,0),0)</f>
        <v>0</v>
      </c>
      <c r="AE373" s="2">
        <f>IF(AND(Games[[#This Row],[Type]]="P",Games[[#This Row],[Round]]=1),IF(Games[[#This Row],[Result]]&gt;0.5,1,0),0)</f>
        <v>0</v>
      </c>
      <c r="AF373" s="2">
        <f>IF(AND(Games[[#This Row],[Type]]="P",Games[[#This Row],[Round]]=1),IF(Games[[#This Row],[Result]]&lt;0.5,1,0),0)</f>
        <v>0</v>
      </c>
      <c r="AG373" s="2">
        <f>IF(AND(Games[[#This Row],[Type]]="P",Games[[#This Row],[Round]]=2),IF(Games[[#This Row],[Result]]&gt;0.5,1,0),0)</f>
        <v>0</v>
      </c>
      <c r="AH373" s="2">
        <f>IF(AND(Games[[#This Row],[Type]]="P",Games[[#This Row],[Round]]=2),IF(Games[[#This Row],[Result]]&lt;0.5,1,0),0)</f>
        <v>0</v>
      </c>
      <c r="AI373" s="2">
        <f>IF(AND(Games[[#This Row],[Type]]="P",Games[[#This Row],[Round]]=3),IF(Games[[#This Row],[Result]]&gt;0.5,1,0),0)</f>
        <v>0</v>
      </c>
      <c r="AJ373" s="2">
        <f>IF(AND(Games[[#This Row],[Type]]="P",Games[[#This Row],[Round]]=3),IF(Games[[#This Row],[Result]]&lt;0.5,1,0),0)</f>
        <v>0</v>
      </c>
      <c r="AK373" s="2">
        <f>IF(AND(Games[[#This Row],[Type]]="P",Games[[#This Row],[Round]]=4),IF(Games[[#This Row],[Result]]&gt;0.5,1,0),0)</f>
        <v>0</v>
      </c>
      <c r="AL373" s="2">
        <f>IF(AND(Games[[#This Row],[Type]]="P",Games[[#This Row],[Round]]=4),IF(Games[[#This Row],[Result]]&lt;0.5,1,0),0)</f>
        <v>0</v>
      </c>
    </row>
    <row r="374" spans="1:38" x14ac:dyDescent="0.35">
      <c r="A374" s="10">
        <v>40407</v>
      </c>
      <c r="B374" s="2">
        <v>2010</v>
      </c>
      <c r="C374" s="2">
        <f>COUNTIFS(Games[Team],Games[[#This Row],[Team]],Games[Season],Games[[#This Row],[Season]],Games[Date],"&lt;=" &amp; Games[[#This Row],[Date]])</f>
        <v>32</v>
      </c>
      <c r="D374" s="2" t="s">
        <v>23</v>
      </c>
      <c r="E374" s="2" t="s">
        <v>29</v>
      </c>
      <c r="F374" s="1" t="s">
        <v>81</v>
      </c>
      <c r="G374" s="1" t="s">
        <v>83</v>
      </c>
      <c r="H374" s="1" t="s">
        <v>16</v>
      </c>
      <c r="I374" s="2" cm="1">
        <f t="array" ref="I374">IFERROR(
    Games[[#This Row],[Date]]
    - LOOKUP(
        2,
        1/((Games[Team]=Games[[#This Row],[Team]]) * (Games[Date] &lt; Games[[#This Row],[Date]])),
        Games[Date]
    )
    - 1,
Games[[#This Row],[Date]]-$A$2)</f>
        <v>2</v>
      </c>
      <c r="J374" s="2" cm="1">
        <f t="array" ref="J37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74" s="2">
        <f>Games[[#This Row],[DaysOff]]-Games[[#This Row],[OppDaysOff]]</f>
        <v>0</v>
      </c>
      <c r="L374" s="2">
        <f>Games[[#This Row],[OppDaysOff]]-Games[[#This Row],[DaysOff]]</f>
        <v>0</v>
      </c>
      <c r="M374" s="1">
        <f>MAX(-16, MIN(16, Games[[#This Row],[RestDiff]]*8))</f>
        <v>0</v>
      </c>
      <c r="N374" s="1">
        <f>MAX(-16, MIN(16, Games[[#This Row],[OppRestDiff]]*8))</f>
        <v>0</v>
      </c>
      <c r="O374" s="4" cm="1">
        <f t="array" ref="O3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1455.9491432768395</v>
      </c>
      <c r="P374" s="4" cm="1">
        <f t="array" ref="P3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1558.2506073857035</v>
      </c>
      <c r="Q374" s="4">
        <f>1/(1+10^(((Games[[#This Row],[OppPreGmRate]]+IF(Games[[#This Row],[HomeAway]]="A",HCA,0)+Games[[#This Row],[OppRestAdj]])-(Games[[#This Row],[PreGmRate]]+IF(Games[[#This Row],[HomeAway]]="H",HCA,0)+Games[[#This Row],[RestAdj]]))/400))</f>
        <v>0.25493982782281238</v>
      </c>
      <c r="R374" s="1">
        <v>84</v>
      </c>
      <c r="S374" s="1">
        <v>79</v>
      </c>
      <c r="T374" s="1">
        <v>0</v>
      </c>
      <c r="U374" s="1">
        <f>Games[[#This Row],[PointsFor]]-Games[[#This Row],[PointsAgainst]]</f>
        <v>5</v>
      </c>
      <c r="V374" s="1">
        <f>IF(Games[[#This Row],[MOV]]&gt;0,1,IF(Games[[#This Row],[MOV]]=0,0.5,0))</f>
        <v>1</v>
      </c>
      <c r="W374" s="4">
        <f>((ABS(Games[[#This Row],[MOV]])+5)^0.6)/(12+0.01*(ABS(Games[[#This Row],[PreGmRate]]-Games[[#This Row],[OppPreGmRate]])))*IF(Games[[#This Row],[OT]]=1,0.9,1)</f>
        <v>0.30569509558672975</v>
      </c>
      <c r="X374" s="7" cm="1">
        <f t="array" ref="X37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4" s="9">
        <f>MAX(kmin, kmax - 0.15 * MIN(Games[[#This Row],[GamesPlayed]], 82))</f>
        <v>71.2</v>
      </c>
      <c r="Z374" s="4">
        <f>Games[[#This Row],[K]]*Games[[#This Row],[POMult]]</f>
        <v>71.2</v>
      </c>
      <c r="AA374" s="4">
        <f>(Games[[#This Row],[Keff]]*Games[[#This Row],[MOVMult]])*(Games[[#This Row],[Result]]-Games[[#This Row],[ExpectedWin%]])</f>
        <v>16.216600327271834</v>
      </c>
      <c r="AB374" s="4">
        <f>Games[[#This Row],[PreGmRate]]+Games[[#This Row],[RatingChange]]</f>
        <v>1472.1657436041114</v>
      </c>
      <c r="AC374" s="2">
        <f>IF(Games[[#This Row],[Type]]="R",IF(Games[[#This Row],[Result]]&gt;0.5,1,0),0)</f>
        <v>1</v>
      </c>
      <c r="AD374" s="2">
        <f>IF(Games[[#This Row],[Type]]="R",IF(Games[[#This Row],[Result]]&lt;0.5,1,0),0)</f>
        <v>0</v>
      </c>
      <c r="AE374" s="2">
        <f>IF(AND(Games[[#This Row],[Type]]="P",Games[[#This Row],[Round]]=1),IF(Games[[#This Row],[Result]]&gt;0.5,1,0),0)</f>
        <v>0</v>
      </c>
      <c r="AF374" s="2">
        <f>IF(AND(Games[[#This Row],[Type]]="P",Games[[#This Row],[Round]]=1),IF(Games[[#This Row],[Result]]&lt;0.5,1,0),0)</f>
        <v>0</v>
      </c>
      <c r="AG374" s="2">
        <f>IF(AND(Games[[#This Row],[Type]]="P",Games[[#This Row],[Round]]=2),IF(Games[[#This Row],[Result]]&gt;0.5,1,0),0)</f>
        <v>0</v>
      </c>
      <c r="AH374" s="2">
        <f>IF(AND(Games[[#This Row],[Type]]="P",Games[[#This Row],[Round]]=2),IF(Games[[#This Row],[Result]]&lt;0.5,1,0),0)</f>
        <v>0</v>
      </c>
      <c r="AI374" s="2">
        <f>IF(AND(Games[[#This Row],[Type]]="P",Games[[#This Row],[Round]]=3),IF(Games[[#This Row],[Result]]&gt;0.5,1,0),0)</f>
        <v>0</v>
      </c>
      <c r="AJ374" s="2">
        <f>IF(AND(Games[[#This Row],[Type]]="P",Games[[#This Row],[Round]]=3),IF(Games[[#This Row],[Result]]&lt;0.5,1,0),0)</f>
        <v>0</v>
      </c>
      <c r="AK374" s="2">
        <f>IF(AND(Games[[#This Row],[Type]]="P",Games[[#This Row],[Round]]=4),IF(Games[[#This Row],[Result]]&gt;0.5,1,0),0)</f>
        <v>0</v>
      </c>
      <c r="AL374" s="2">
        <f>IF(AND(Games[[#This Row],[Type]]="P",Games[[#This Row],[Round]]=4),IF(Games[[#This Row],[Result]]&lt;0.5,1,0),0)</f>
        <v>0</v>
      </c>
    </row>
    <row r="375" spans="1:38" x14ac:dyDescent="0.35">
      <c r="A375" s="10">
        <v>40407</v>
      </c>
      <c r="B375" s="2">
        <v>2010</v>
      </c>
      <c r="C375" s="2">
        <f>COUNTIFS(Games[Team],Games[[#This Row],[Team]],Games[Season],Games[[#This Row],[Season]],Games[Date],"&lt;=" &amp; Games[[#This Row],[Date]])</f>
        <v>33</v>
      </c>
      <c r="D375" s="2" t="s">
        <v>23</v>
      </c>
      <c r="E375" s="2" t="s">
        <v>29</v>
      </c>
      <c r="F375" s="1" t="s">
        <v>83</v>
      </c>
      <c r="G375" s="1" t="s">
        <v>81</v>
      </c>
      <c r="H375" s="1" t="s">
        <v>15</v>
      </c>
      <c r="I375" s="2" cm="1">
        <f t="array" ref="I375">IFERROR(
    Games[[#This Row],[Date]]
    - LOOKUP(
        2,
        1/((Games[Team]=Games[[#This Row],[Team]]) * (Games[Date] &lt; Games[[#This Row],[Date]])),
        Games[Date]
    )
    - 1,
Games[[#This Row],[Date]]-$A$2)</f>
        <v>2</v>
      </c>
      <c r="J375" s="2" cm="1">
        <f t="array" ref="J37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75" s="2">
        <f>Games[[#This Row],[DaysOff]]-Games[[#This Row],[OppDaysOff]]</f>
        <v>0</v>
      </c>
      <c r="L375" s="2">
        <f>Games[[#This Row],[OppDaysOff]]-Games[[#This Row],[DaysOff]]</f>
        <v>0</v>
      </c>
      <c r="M375" s="1">
        <f>MAX(-16, MIN(16, Games[[#This Row],[RestDiff]]*8))</f>
        <v>0</v>
      </c>
      <c r="N375" s="1">
        <f>MAX(-16, MIN(16, Games[[#This Row],[OppRestDiff]]*8))</f>
        <v>0</v>
      </c>
      <c r="O375" s="4" cm="1">
        <f t="array" ref="O3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1558.2506073857035</v>
      </c>
      <c r="P375" s="4" cm="1">
        <f t="array" ref="P3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1455.9491432768395</v>
      </c>
      <c r="Q375" s="4">
        <f>1/(1+10^(((Games[[#This Row],[OppPreGmRate]]+IF(Games[[#This Row],[HomeAway]]="A",HCA,0)+Games[[#This Row],[OppRestAdj]])-(Games[[#This Row],[PreGmRate]]+IF(Games[[#This Row],[HomeAway]]="H",HCA,0)+Games[[#This Row],[RestAdj]]))/400))</f>
        <v>0.74506017217718767</v>
      </c>
      <c r="R375" s="1">
        <v>79</v>
      </c>
      <c r="S375" s="1">
        <v>84</v>
      </c>
      <c r="T375" s="1">
        <v>0</v>
      </c>
      <c r="U375" s="1">
        <f>Games[[#This Row],[PointsFor]]-Games[[#This Row],[PointsAgainst]]</f>
        <v>-5</v>
      </c>
      <c r="V375" s="1">
        <f>IF(Games[[#This Row],[MOV]]&gt;0,1,IF(Games[[#This Row],[MOV]]=0,0.5,0))</f>
        <v>0</v>
      </c>
      <c r="W375" s="4">
        <f>((ABS(Games[[#This Row],[MOV]])+5)^0.6)/(12+0.01*(ABS(Games[[#This Row],[PreGmRate]]-Games[[#This Row],[OppPreGmRate]])))*IF(Games[[#This Row],[OT]]=1,0.9,1)</f>
        <v>0.30569509558672975</v>
      </c>
      <c r="X375" s="7" cm="1">
        <f t="array" ref="X37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5" s="9">
        <f>MAX(kmin, kmax - 0.15 * MIN(Games[[#This Row],[GamesPlayed]], 82))</f>
        <v>71.05</v>
      </c>
      <c r="Z375" s="4">
        <f>Games[[#This Row],[K]]*Games[[#This Row],[POMult]]</f>
        <v>71.05</v>
      </c>
      <c r="AA375" s="4">
        <f>(Games[[#This Row],[Keff]]*Games[[#This Row],[MOVMult]])*(Games[[#This Row],[Result]]-Games[[#This Row],[ExpectedWin%]])</f>
        <v>-16.182436141189097</v>
      </c>
      <c r="AB375" s="4">
        <f>Games[[#This Row],[PreGmRate]]+Games[[#This Row],[RatingChange]]</f>
        <v>1542.0681712445144</v>
      </c>
      <c r="AC375" s="2">
        <f>IF(Games[[#This Row],[Type]]="R",IF(Games[[#This Row],[Result]]&gt;0.5,1,0),0)</f>
        <v>0</v>
      </c>
      <c r="AD375" s="2">
        <f>IF(Games[[#This Row],[Type]]="R",IF(Games[[#This Row],[Result]]&lt;0.5,1,0),0)</f>
        <v>1</v>
      </c>
      <c r="AE375" s="2">
        <f>IF(AND(Games[[#This Row],[Type]]="P",Games[[#This Row],[Round]]=1),IF(Games[[#This Row],[Result]]&gt;0.5,1,0),0)</f>
        <v>0</v>
      </c>
      <c r="AF375" s="2">
        <f>IF(AND(Games[[#This Row],[Type]]="P",Games[[#This Row],[Round]]=1),IF(Games[[#This Row],[Result]]&lt;0.5,1,0),0)</f>
        <v>0</v>
      </c>
      <c r="AG375" s="2">
        <f>IF(AND(Games[[#This Row],[Type]]="P",Games[[#This Row],[Round]]=2),IF(Games[[#This Row],[Result]]&gt;0.5,1,0),0)</f>
        <v>0</v>
      </c>
      <c r="AH375" s="2">
        <f>IF(AND(Games[[#This Row],[Type]]="P",Games[[#This Row],[Round]]=2),IF(Games[[#This Row],[Result]]&lt;0.5,1,0),0)</f>
        <v>0</v>
      </c>
      <c r="AI375" s="2">
        <f>IF(AND(Games[[#This Row],[Type]]="P",Games[[#This Row],[Round]]=3),IF(Games[[#This Row],[Result]]&gt;0.5,1,0),0)</f>
        <v>0</v>
      </c>
      <c r="AJ375" s="2">
        <f>IF(AND(Games[[#This Row],[Type]]="P",Games[[#This Row],[Round]]=3),IF(Games[[#This Row],[Result]]&lt;0.5,1,0),0)</f>
        <v>0</v>
      </c>
      <c r="AK375" s="2">
        <f>IF(AND(Games[[#This Row],[Type]]="P",Games[[#This Row],[Round]]=4),IF(Games[[#This Row],[Result]]&gt;0.5,1,0),0)</f>
        <v>0</v>
      </c>
      <c r="AL375" s="2">
        <f>IF(AND(Games[[#This Row],[Type]]="P",Games[[#This Row],[Round]]=4),IF(Games[[#This Row],[Result]]&lt;0.5,1,0),0)</f>
        <v>0</v>
      </c>
    </row>
    <row r="376" spans="1:38" x14ac:dyDescent="0.35">
      <c r="A376" s="10">
        <v>40407</v>
      </c>
      <c r="B376" s="2">
        <v>2010</v>
      </c>
      <c r="C376" s="2">
        <f>COUNTIFS(Games[Team],Games[[#This Row],[Team]],Games[Season],Games[[#This Row],[Season]],Games[Date],"&lt;=" &amp; Games[[#This Row],[Date]])</f>
        <v>32</v>
      </c>
      <c r="D376" s="2" t="s">
        <v>23</v>
      </c>
      <c r="E376" s="2" t="s">
        <v>29</v>
      </c>
      <c r="F376" s="1" t="s">
        <v>85</v>
      </c>
      <c r="G376" s="1" t="s">
        <v>80</v>
      </c>
      <c r="H376" s="1" t="s">
        <v>16</v>
      </c>
      <c r="I376" s="2" cm="1">
        <f t="array" ref="I376">IFERROR(
    Games[[#This Row],[Date]]
    - LOOKUP(
        2,
        1/((Games[Team]=Games[[#This Row],[Team]]) * (Games[Date] &lt; Games[[#This Row],[Date]])),
        Games[Date]
    )
    - 1,
Games[[#This Row],[Date]]-$A$2)</f>
        <v>2</v>
      </c>
      <c r="J376" s="2" cm="1">
        <f t="array" ref="J37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6" s="2">
        <f>Games[[#This Row],[DaysOff]]-Games[[#This Row],[OppDaysOff]]</f>
        <v>1</v>
      </c>
      <c r="L376" s="2">
        <f>Games[[#This Row],[OppDaysOff]]-Games[[#This Row],[DaysOff]]</f>
        <v>-1</v>
      </c>
      <c r="M376" s="1">
        <f>MAX(-16, MIN(16, Games[[#This Row],[RestDiff]]*8))</f>
        <v>8</v>
      </c>
      <c r="N376" s="1">
        <f>MAX(-16, MIN(16, Games[[#This Row],[OppRestDiff]]*8))</f>
        <v>-8</v>
      </c>
      <c r="O376" s="4" cm="1">
        <f t="array" ref="O3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1289.8361122325566</v>
      </c>
      <c r="P376" s="4" cm="1">
        <f t="array" ref="P3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1476.5589031491045</v>
      </c>
      <c r="Q376" s="4">
        <f>1/(1+10^(((Games[[#This Row],[OppPreGmRate]]+IF(Games[[#This Row],[HomeAway]]="A",HCA,0)+Games[[#This Row],[OppRestAdj]])-(Games[[#This Row],[PreGmRate]]+IF(Games[[#This Row],[HomeAway]]="H",HCA,0)+Games[[#This Row],[RestAdj]]))/400))</f>
        <v>0.18750530402232063</v>
      </c>
      <c r="R376" s="1">
        <v>62</v>
      </c>
      <c r="S376" s="1">
        <v>90</v>
      </c>
      <c r="T376" s="1">
        <v>0</v>
      </c>
      <c r="U376" s="1">
        <f>Games[[#This Row],[PointsFor]]-Games[[#This Row],[PointsAgainst]]</f>
        <v>-28</v>
      </c>
      <c r="V376" s="1">
        <f>IF(Games[[#This Row],[MOV]]&gt;0,1,IF(Games[[#This Row],[MOV]]=0,0.5,0))</f>
        <v>0</v>
      </c>
      <c r="W376" s="4">
        <f>((ABS(Games[[#This Row],[MOV]])+5)^0.6)/(12+0.01*(ABS(Games[[#This Row],[PreGmRate]]-Games[[#This Row],[OppPreGmRate]])))*IF(Games[[#This Row],[OT]]=1,0.9,1)</f>
        <v>0.58764995961930755</v>
      </c>
      <c r="X376" s="7" cm="1">
        <f t="array" ref="X37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6" s="9">
        <f>MAX(kmin, kmax - 0.15 * MIN(Games[[#This Row],[GamesPlayed]], 82))</f>
        <v>71.2</v>
      </c>
      <c r="Z376" s="4">
        <f>Games[[#This Row],[K]]*Games[[#This Row],[POMult]]</f>
        <v>71.2</v>
      </c>
      <c r="AA376" s="4">
        <f>(Games[[#This Row],[Keff]]*Games[[#This Row],[MOVMult]])*(Games[[#This Row],[Result]]-Games[[#This Row],[ExpectedWin%]])</f>
        <v>-7.8453488848031361</v>
      </c>
      <c r="AB376" s="4">
        <f>Games[[#This Row],[PreGmRate]]+Games[[#This Row],[RatingChange]]</f>
        <v>1281.9907633477535</v>
      </c>
      <c r="AC376" s="2">
        <f>IF(Games[[#This Row],[Type]]="R",IF(Games[[#This Row],[Result]]&gt;0.5,1,0),0)</f>
        <v>0</v>
      </c>
      <c r="AD376" s="2">
        <f>IF(Games[[#This Row],[Type]]="R",IF(Games[[#This Row],[Result]]&lt;0.5,1,0),0)</f>
        <v>1</v>
      </c>
      <c r="AE376" s="2">
        <f>IF(AND(Games[[#This Row],[Type]]="P",Games[[#This Row],[Round]]=1),IF(Games[[#This Row],[Result]]&gt;0.5,1,0),0)</f>
        <v>0</v>
      </c>
      <c r="AF376" s="2">
        <f>IF(AND(Games[[#This Row],[Type]]="P",Games[[#This Row],[Round]]=1),IF(Games[[#This Row],[Result]]&lt;0.5,1,0),0)</f>
        <v>0</v>
      </c>
      <c r="AG376" s="2">
        <f>IF(AND(Games[[#This Row],[Type]]="P",Games[[#This Row],[Round]]=2),IF(Games[[#This Row],[Result]]&gt;0.5,1,0),0)</f>
        <v>0</v>
      </c>
      <c r="AH376" s="2">
        <f>IF(AND(Games[[#This Row],[Type]]="P",Games[[#This Row],[Round]]=2),IF(Games[[#This Row],[Result]]&lt;0.5,1,0),0)</f>
        <v>0</v>
      </c>
      <c r="AI376" s="2">
        <f>IF(AND(Games[[#This Row],[Type]]="P",Games[[#This Row],[Round]]=3),IF(Games[[#This Row],[Result]]&gt;0.5,1,0),0)</f>
        <v>0</v>
      </c>
      <c r="AJ376" s="2">
        <f>IF(AND(Games[[#This Row],[Type]]="P",Games[[#This Row],[Round]]=3),IF(Games[[#This Row],[Result]]&lt;0.5,1,0),0)</f>
        <v>0</v>
      </c>
      <c r="AK376" s="2">
        <f>IF(AND(Games[[#This Row],[Type]]="P",Games[[#This Row],[Round]]=4),IF(Games[[#This Row],[Result]]&gt;0.5,1,0),0)</f>
        <v>0</v>
      </c>
      <c r="AL376" s="2">
        <f>IF(AND(Games[[#This Row],[Type]]="P",Games[[#This Row],[Round]]=4),IF(Games[[#This Row],[Result]]&lt;0.5,1,0),0)</f>
        <v>0</v>
      </c>
    </row>
    <row r="377" spans="1:38" x14ac:dyDescent="0.35">
      <c r="A377" s="10">
        <v>40407</v>
      </c>
      <c r="B377" s="2">
        <v>2010</v>
      </c>
      <c r="C377" s="2">
        <f>COUNTIFS(Games[Team],Games[[#This Row],[Team]],Games[Season],Games[[#This Row],[Season]],Games[Date],"&lt;=" &amp; Games[[#This Row],[Date]])</f>
        <v>32</v>
      </c>
      <c r="D377" s="2" t="s">
        <v>23</v>
      </c>
      <c r="E377" s="2" t="s">
        <v>29</v>
      </c>
      <c r="F377" s="1" t="s">
        <v>80</v>
      </c>
      <c r="G377" s="1" t="s">
        <v>85</v>
      </c>
      <c r="H377" s="1" t="s">
        <v>15</v>
      </c>
      <c r="I377" s="2" cm="1">
        <f t="array" ref="I37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7" s="2" cm="1">
        <f t="array" ref="J37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77" s="2">
        <f>Games[[#This Row],[DaysOff]]-Games[[#This Row],[OppDaysOff]]</f>
        <v>-1</v>
      </c>
      <c r="L377" s="2">
        <f>Games[[#This Row],[OppDaysOff]]-Games[[#This Row],[DaysOff]]</f>
        <v>1</v>
      </c>
      <c r="M377" s="1">
        <f>MAX(-16, MIN(16, Games[[#This Row],[RestDiff]]*8))</f>
        <v>-8</v>
      </c>
      <c r="N377" s="1">
        <f>MAX(-16, MIN(16, Games[[#This Row],[OppRestDiff]]*8))</f>
        <v>8</v>
      </c>
      <c r="O377" s="4" cm="1">
        <f t="array" ref="O3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1476.5589031491045</v>
      </c>
      <c r="P377" s="4" cm="1">
        <f t="array" ref="P3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1289.8361122325566</v>
      </c>
      <c r="Q377" s="4">
        <f>1/(1+10^(((Games[[#This Row],[OppPreGmRate]]+IF(Games[[#This Row],[HomeAway]]="A",HCA,0)+Games[[#This Row],[OppRestAdj]])-(Games[[#This Row],[PreGmRate]]+IF(Games[[#This Row],[HomeAway]]="H",HCA,0)+Games[[#This Row],[RestAdj]]))/400))</f>
        <v>0.81249469597767932</v>
      </c>
      <c r="R377" s="1">
        <v>90</v>
      </c>
      <c r="S377" s="1">
        <v>62</v>
      </c>
      <c r="T377" s="1">
        <v>0</v>
      </c>
      <c r="U377" s="1">
        <f>Games[[#This Row],[PointsFor]]-Games[[#This Row],[PointsAgainst]]</f>
        <v>28</v>
      </c>
      <c r="V377" s="1">
        <f>IF(Games[[#This Row],[MOV]]&gt;0,1,IF(Games[[#This Row],[MOV]]=0,0.5,0))</f>
        <v>1</v>
      </c>
      <c r="W377" s="4">
        <f>((ABS(Games[[#This Row],[MOV]])+5)^0.6)/(12+0.01*(ABS(Games[[#This Row],[PreGmRate]]-Games[[#This Row],[OppPreGmRate]])))*IF(Games[[#This Row],[OT]]=1,0.9,1)</f>
        <v>0.58764995961930755</v>
      </c>
      <c r="X377" s="7" cm="1">
        <f t="array" ref="X37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7" s="9">
        <f>MAX(kmin, kmax - 0.15 * MIN(Games[[#This Row],[GamesPlayed]], 82))</f>
        <v>71.2</v>
      </c>
      <c r="Z377" s="4">
        <f>Games[[#This Row],[K]]*Games[[#This Row],[POMult]]</f>
        <v>71.2</v>
      </c>
      <c r="AA377" s="4">
        <f>(Games[[#This Row],[Keff]]*Games[[#This Row],[MOVMult]])*(Games[[#This Row],[Result]]-Games[[#This Row],[ExpectedWin%]])</f>
        <v>7.8453488848031387</v>
      </c>
      <c r="AB377" s="4">
        <f>Games[[#This Row],[PreGmRate]]+Games[[#This Row],[RatingChange]]</f>
        <v>1484.4042520339076</v>
      </c>
      <c r="AC377" s="2">
        <f>IF(Games[[#This Row],[Type]]="R",IF(Games[[#This Row],[Result]]&gt;0.5,1,0),0)</f>
        <v>1</v>
      </c>
      <c r="AD377" s="2">
        <f>IF(Games[[#This Row],[Type]]="R",IF(Games[[#This Row],[Result]]&lt;0.5,1,0),0)</f>
        <v>0</v>
      </c>
      <c r="AE377" s="2">
        <f>IF(AND(Games[[#This Row],[Type]]="P",Games[[#This Row],[Round]]=1),IF(Games[[#This Row],[Result]]&gt;0.5,1,0),0)</f>
        <v>0</v>
      </c>
      <c r="AF377" s="2">
        <f>IF(AND(Games[[#This Row],[Type]]="P",Games[[#This Row],[Round]]=1),IF(Games[[#This Row],[Result]]&lt;0.5,1,0),0)</f>
        <v>0</v>
      </c>
      <c r="AG377" s="2">
        <f>IF(AND(Games[[#This Row],[Type]]="P",Games[[#This Row],[Round]]=2),IF(Games[[#This Row],[Result]]&gt;0.5,1,0),0)</f>
        <v>0</v>
      </c>
      <c r="AH377" s="2">
        <f>IF(AND(Games[[#This Row],[Type]]="P",Games[[#This Row],[Round]]=2),IF(Games[[#This Row],[Result]]&lt;0.5,1,0),0)</f>
        <v>0</v>
      </c>
      <c r="AI377" s="2">
        <f>IF(AND(Games[[#This Row],[Type]]="P",Games[[#This Row],[Round]]=3),IF(Games[[#This Row],[Result]]&gt;0.5,1,0),0)</f>
        <v>0</v>
      </c>
      <c r="AJ377" s="2">
        <f>IF(AND(Games[[#This Row],[Type]]="P",Games[[#This Row],[Round]]=3),IF(Games[[#This Row],[Result]]&lt;0.5,1,0),0)</f>
        <v>0</v>
      </c>
      <c r="AK377" s="2">
        <f>IF(AND(Games[[#This Row],[Type]]="P",Games[[#This Row],[Round]]=4),IF(Games[[#This Row],[Result]]&gt;0.5,1,0),0)</f>
        <v>0</v>
      </c>
      <c r="AL377" s="2">
        <f>IF(AND(Games[[#This Row],[Type]]="P",Games[[#This Row],[Round]]=4),IF(Games[[#This Row],[Result]]&lt;0.5,1,0),0)</f>
        <v>0</v>
      </c>
    </row>
    <row r="378" spans="1:38" x14ac:dyDescent="0.35">
      <c r="A378" s="10">
        <v>40407</v>
      </c>
      <c r="B378" s="2">
        <v>2010</v>
      </c>
      <c r="C378" s="2">
        <f>COUNTIFS(Games[Team],Games[[#This Row],[Team]],Games[Season],Games[[#This Row],[Season]],Games[Date],"&lt;=" &amp; Games[[#This Row],[Date]])</f>
        <v>32</v>
      </c>
      <c r="D378" s="2" t="s">
        <v>23</v>
      </c>
      <c r="E378" s="2" t="s">
        <v>29</v>
      </c>
      <c r="F378" s="1" t="s">
        <v>44</v>
      </c>
      <c r="G378" s="1" t="s">
        <v>67</v>
      </c>
      <c r="H378" s="1" t="s">
        <v>16</v>
      </c>
      <c r="I378" s="2" cm="1">
        <f t="array" ref="I378">IFERROR(
    Games[[#This Row],[Date]]
    - LOOKUP(
        2,
        1/((Games[Team]=Games[[#This Row],[Team]]) * (Games[Date] &lt; Games[[#This Row],[Date]])),
        Games[Date]
    )
    - 1,
Games[[#This Row],[Date]]-$A$2)</f>
        <v>2</v>
      </c>
      <c r="J378" s="2" cm="1">
        <f t="array" ref="J37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78" s="2">
        <f>Games[[#This Row],[DaysOff]]-Games[[#This Row],[OppDaysOff]]</f>
        <v>0</v>
      </c>
      <c r="L378" s="2">
        <f>Games[[#This Row],[OppDaysOff]]-Games[[#This Row],[DaysOff]]</f>
        <v>0</v>
      </c>
      <c r="M378" s="1">
        <f>MAX(-16, MIN(16, Games[[#This Row],[RestDiff]]*8))</f>
        <v>0</v>
      </c>
      <c r="N378" s="1">
        <f>MAX(-16, MIN(16, Games[[#This Row],[OppRestDiff]]*8))</f>
        <v>0</v>
      </c>
      <c r="O378" s="4" cm="1">
        <f t="array" ref="O3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1504.5177523295231</v>
      </c>
      <c r="P378" s="4" cm="1">
        <f t="array" ref="P3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1454.3575701998047</v>
      </c>
      <c r="Q378" s="4">
        <f>1/(1+10^(((Games[[#This Row],[OppPreGmRate]]+IF(Games[[#This Row],[HomeAway]]="A",HCA,0)+Games[[#This Row],[OppRestAdj]])-(Games[[#This Row],[PreGmRate]]+IF(Games[[#This Row],[HomeAway]]="H",HCA,0)+Games[[#This Row],[RestAdj]]))/400))</f>
        <v>0.45145400143333486</v>
      </c>
      <c r="R378" s="1">
        <v>90</v>
      </c>
      <c r="S378" s="1">
        <v>84</v>
      </c>
      <c r="T378" s="1">
        <v>0</v>
      </c>
      <c r="U378" s="1">
        <f>Games[[#This Row],[PointsFor]]-Games[[#This Row],[PointsAgainst]]</f>
        <v>6</v>
      </c>
      <c r="V378" s="1">
        <f>IF(Games[[#This Row],[MOV]]&gt;0,1,IF(Games[[#This Row],[MOV]]=0,0.5,0))</f>
        <v>1</v>
      </c>
      <c r="W378" s="4">
        <f>((ABS(Games[[#This Row],[MOV]])+5)^0.6)/(12+0.01*(ABS(Games[[#This Row],[PreGmRate]]-Games[[#This Row],[OppPreGmRate]])))*IF(Games[[#This Row],[OT]]=1,0.9,1)</f>
        <v>0.33718632166885854</v>
      </c>
      <c r="X378" s="7" cm="1">
        <f t="array" ref="X37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8" s="9">
        <f>MAX(kmin, kmax - 0.15 * MIN(Games[[#This Row],[GamesPlayed]], 82))</f>
        <v>71.2</v>
      </c>
      <c r="Z378" s="4">
        <f>Games[[#This Row],[K]]*Games[[#This Row],[POMult]]</f>
        <v>71.2</v>
      </c>
      <c r="AA378" s="4">
        <f>(Games[[#This Row],[Keff]]*Games[[#This Row],[MOVMult]])*(Games[[#This Row],[Result]]-Games[[#This Row],[ExpectedWin%]])</f>
        <v>13.169309175627973</v>
      </c>
      <c r="AB378" s="4">
        <f>Games[[#This Row],[PreGmRate]]+Games[[#This Row],[RatingChange]]</f>
        <v>1517.6870615051512</v>
      </c>
      <c r="AC378" s="2">
        <f>IF(Games[[#This Row],[Type]]="R",IF(Games[[#This Row],[Result]]&gt;0.5,1,0),0)</f>
        <v>1</v>
      </c>
      <c r="AD378" s="2">
        <f>IF(Games[[#This Row],[Type]]="R",IF(Games[[#This Row],[Result]]&lt;0.5,1,0),0)</f>
        <v>0</v>
      </c>
      <c r="AE378" s="2">
        <f>IF(AND(Games[[#This Row],[Type]]="P",Games[[#This Row],[Round]]=1),IF(Games[[#This Row],[Result]]&gt;0.5,1,0),0)</f>
        <v>0</v>
      </c>
      <c r="AF378" s="2">
        <f>IF(AND(Games[[#This Row],[Type]]="P",Games[[#This Row],[Round]]=1),IF(Games[[#This Row],[Result]]&lt;0.5,1,0),0)</f>
        <v>0</v>
      </c>
      <c r="AG378" s="2">
        <f>IF(AND(Games[[#This Row],[Type]]="P",Games[[#This Row],[Round]]=2),IF(Games[[#This Row],[Result]]&gt;0.5,1,0),0)</f>
        <v>0</v>
      </c>
      <c r="AH378" s="2">
        <f>IF(AND(Games[[#This Row],[Type]]="P",Games[[#This Row],[Round]]=2),IF(Games[[#This Row],[Result]]&lt;0.5,1,0),0)</f>
        <v>0</v>
      </c>
      <c r="AI378" s="2">
        <f>IF(AND(Games[[#This Row],[Type]]="P",Games[[#This Row],[Round]]=3),IF(Games[[#This Row],[Result]]&gt;0.5,1,0),0)</f>
        <v>0</v>
      </c>
      <c r="AJ378" s="2">
        <f>IF(AND(Games[[#This Row],[Type]]="P",Games[[#This Row],[Round]]=3),IF(Games[[#This Row],[Result]]&lt;0.5,1,0),0)</f>
        <v>0</v>
      </c>
      <c r="AK378" s="2">
        <f>IF(AND(Games[[#This Row],[Type]]="P",Games[[#This Row],[Round]]=4),IF(Games[[#This Row],[Result]]&gt;0.5,1,0),0)</f>
        <v>0</v>
      </c>
      <c r="AL378" s="2">
        <f>IF(AND(Games[[#This Row],[Type]]="P",Games[[#This Row],[Round]]=4),IF(Games[[#This Row],[Result]]&lt;0.5,1,0),0)</f>
        <v>0</v>
      </c>
    </row>
    <row r="379" spans="1:38" x14ac:dyDescent="0.35">
      <c r="A379" s="10">
        <v>40407</v>
      </c>
      <c r="B379" s="2">
        <v>2010</v>
      </c>
      <c r="C379" s="2">
        <f>COUNTIFS(Games[Team],Games[[#This Row],[Team]],Games[Season],Games[[#This Row],[Season]],Games[Date],"&lt;=" &amp; Games[[#This Row],[Date]])</f>
        <v>32</v>
      </c>
      <c r="D379" s="2" t="s">
        <v>23</v>
      </c>
      <c r="E379" s="2" t="s">
        <v>29</v>
      </c>
      <c r="F379" s="1" t="s">
        <v>67</v>
      </c>
      <c r="G379" s="1" t="s">
        <v>44</v>
      </c>
      <c r="H379" s="1" t="s">
        <v>15</v>
      </c>
      <c r="I379" s="2" cm="1">
        <f t="array" ref="I379">IFERROR(
    Games[[#This Row],[Date]]
    - LOOKUP(
        2,
        1/((Games[Team]=Games[[#This Row],[Team]]) * (Games[Date] &lt; Games[[#This Row],[Date]])),
        Games[Date]
    )
    - 1,
Games[[#This Row],[Date]]-$A$2)</f>
        <v>2</v>
      </c>
      <c r="J379" s="2" cm="1">
        <f t="array" ref="J37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79" s="2">
        <f>Games[[#This Row],[DaysOff]]-Games[[#This Row],[OppDaysOff]]</f>
        <v>0</v>
      </c>
      <c r="L379" s="2">
        <f>Games[[#This Row],[OppDaysOff]]-Games[[#This Row],[DaysOff]]</f>
        <v>0</v>
      </c>
      <c r="M379" s="1">
        <f>MAX(-16, MIN(16, Games[[#This Row],[RestDiff]]*8))</f>
        <v>0</v>
      </c>
      <c r="N379" s="1">
        <f>MAX(-16, MIN(16, Games[[#This Row],[OppRestDiff]]*8))</f>
        <v>0</v>
      </c>
      <c r="O379" s="4" cm="1">
        <f t="array" ref="O3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1454.3575701998047</v>
      </c>
      <c r="P379" s="4" cm="1">
        <f t="array" ref="P3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1504.5177523295231</v>
      </c>
      <c r="Q379" s="4">
        <f>1/(1+10^(((Games[[#This Row],[OppPreGmRate]]+IF(Games[[#This Row],[HomeAway]]="A",HCA,0)+Games[[#This Row],[OppRestAdj]])-(Games[[#This Row],[PreGmRate]]+IF(Games[[#This Row],[HomeAway]]="H",HCA,0)+Games[[#This Row],[RestAdj]]))/400))</f>
        <v>0.54854599856666508</v>
      </c>
      <c r="R379" s="1">
        <v>84</v>
      </c>
      <c r="S379" s="1">
        <v>90</v>
      </c>
      <c r="T379" s="1">
        <v>0</v>
      </c>
      <c r="U379" s="1">
        <f>Games[[#This Row],[PointsFor]]-Games[[#This Row],[PointsAgainst]]</f>
        <v>-6</v>
      </c>
      <c r="V379" s="1">
        <f>IF(Games[[#This Row],[MOV]]&gt;0,1,IF(Games[[#This Row],[MOV]]=0,0.5,0))</f>
        <v>0</v>
      </c>
      <c r="W379" s="4">
        <f>((ABS(Games[[#This Row],[MOV]])+5)^0.6)/(12+0.01*(ABS(Games[[#This Row],[PreGmRate]]-Games[[#This Row],[OppPreGmRate]])))*IF(Games[[#This Row],[OT]]=1,0.9,1)</f>
        <v>0.33718632166885854</v>
      </c>
      <c r="X379" s="7" cm="1">
        <f t="array" ref="X37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9" s="9">
        <f>MAX(kmin, kmax - 0.15 * MIN(Games[[#This Row],[GamesPlayed]], 82))</f>
        <v>71.2</v>
      </c>
      <c r="Z379" s="4">
        <f>Games[[#This Row],[K]]*Games[[#This Row],[POMult]]</f>
        <v>71.2</v>
      </c>
      <c r="AA379" s="4">
        <f>(Games[[#This Row],[Keff]]*Games[[#This Row],[MOVMult]])*(Games[[#This Row],[Result]]-Games[[#This Row],[ExpectedWin%]])</f>
        <v>-13.169309175627971</v>
      </c>
      <c r="AB379" s="4">
        <f>Games[[#This Row],[PreGmRate]]+Games[[#This Row],[RatingChange]]</f>
        <v>1441.1882610241769</v>
      </c>
      <c r="AC379" s="2">
        <f>IF(Games[[#This Row],[Type]]="R",IF(Games[[#This Row],[Result]]&gt;0.5,1,0),0)</f>
        <v>0</v>
      </c>
      <c r="AD379" s="2">
        <f>IF(Games[[#This Row],[Type]]="R",IF(Games[[#This Row],[Result]]&lt;0.5,1,0),0)</f>
        <v>1</v>
      </c>
      <c r="AE379" s="2">
        <f>IF(AND(Games[[#This Row],[Type]]="P",Games[[#This Row],[Round]]=1),IF(Games[[#This Row],[Result]]&gt;0.5,1,0),0)</f>
        <v>0</v>
      </c>
      <c r="AF379" s="2">
        <f>IF(AND(Games[[#This Row],[Type]]="P",Games[[#This Row],[Round]]=1),IF(Games[[#This Row],[Result]]&lt;0.5,1,0),0)</f>
        <v>0</v>
      </c>
      <c r="AG379" s="2">
        <f>IF(AND(Games[[#This Row],[Type]]="P",Games[[#This Row],[Round]]=2),IF(Games[[#This Row],[Result]]&gt;0.5,1,0),0)</f>
        <v>0</v>
      </c>
      <c r="AH379" s="2">
        <f>IF(AND(Games[[#This Row],[Type]]="P",Games[[#This Row],[Round]]=2),IF(Games[[#This Row],[Result]]&lt;0.5,1,0),0)</f>
        <v>0</v>
      </c>
      <c r="AI379" s="2">
        <f>IF(AND(Games[[#This Row],[Type]]="P",Games[[#This Row],[Round]]=3),IF(Games[[#This Row],[Result]]&gt;0.5,1,0),0)</f>
        <v>0</v>
      </c>
      <c r="AJ379" s="2">
        <f>IF(AND(Games[[#This Row],[Type]]="P",Games[[#This Row],[Round]]=3),IF(Games[[#This Row],[Result]]&lt;0.5,1,0),0)</f>
        <v>0</v>
      </c>
      <c r="AK379" s="2">
        <f>IF(AND(Games[[#This Row],[Type]]="P",Games[[#This Row],[Round]]=4),IF(Games[[#This Row],[Result]]&gt;0.5,1,0),0)</f>
        <v>0</v>
      </c>
      <c r="AL379" s="2">
        <f>IF(AND(Games[[#This Row],[Type]]="P",Games[[#This Row],[Round]]=4),IF(Games[[#This Row],[Result]]&lt;0.5,1,0),0)</f>
        <v>0</v>
      </c>
    </row>
    <row r="380" spans="1:38" x14ac:dyDescent="0.35">
      <c r="A380" s="10">
        <v>40407</v>
      </c>
      <c r="B380" s="2">
        <v>2010</v>
      </c>
      <c r="C380" s="2">
        <f>COUNTIFS(Games[Team],Games[[#This Row],[Team]],Games[Season],Games[[#This Row],[Season]],Games[Date],"&lt;=" &amp; Games[[#This Row],[Date]])</f>
        <v>32</v>
      </c>
      <c r="D380" s="2" t="s">
        <v>23</v>
      </c>
      <c r="E380" s="2" t="s">
        <v>29</v>
      </c>
      <c r="F380" s="1" t="s">
        <v>73</v>
      </c>
      <c r="G380" s="1" t="s">
        <v>64</v>
      </c>
      <c r="H380" s="1" t="s">
        <v>16</v>
      </c>
      <c r="I380" s="2" cm="1">
        <f t="array" ref="I38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0" s="2" cm="1">
        <f t="array" ref="J38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80" s="2">
        <f>Games[[#This Row],[DaysOff]]-Games[[#This Row],[OppDaysOff]]</f>
        <v>-1</v>
      </c>
      <c r="L380" s="2">
        <f>Games[[#This Row],[OppDaysOff]]-Games[[#This Row],[DaysOff]]</f>
        <v>1</v>
      </c>
      <c r="M380" s="1">
        <f>MAX(-16, MIN(16, Games[[#This Row],[RestDiff]]*8))</f>
        <v>-8</v>
      </c>
      <c r="N380" s="1">
        <f>MAX(-16, MIN(16, Games[[#This Row],[OppRestDiff]]*8))</f>
        <v>8</v>
      </c>
      <c r="O380" s="4" cm="1">
        <f t="array" ref="O3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1636.1571809113937</v>
      </c>
      <c r="P380" s="4" cm="1">
        <f t="array" ref="P3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1607.6416092249074</v>
      </c>
      <c r="Q380" s="4">
        <f>1/(1+10^(((Games[[#This Row],[OppPreGmRate]]+IF(Games[[#This Row],[HomeAway]]="A",HCA,0)+Games[[#This Row],[OppRestAdj]])-(Games[[#This Row],[PreGmRate]]+IF(Games[[#This Row],[HomeAway]]="H",HCA,0)+Games[[#This Row],[RestAdj]]))/400))</f>
        <v>0.39855311573368946</v>
      </c>
      <c r="R380" s="1">
        <v>57</v>
      </c>
      <c r="S380" s="1">
        <v>78</v>
      </c>
      <c r="T380" s="1">
        <v>0</v>
      </c>
      <c r="U380" s="1">
        <f>Games[[#This Row],[PointsFor]]-Games[[#This Row],[PointsAgainst]]</f>
        <v>-21</v>
      </c>
      <c r="V380" s="1">
        <f>IF(Games[[#This Row],[MOV]]&gt;0,1,IF(Games[[#This Row],[MOV]]=0,0.5,0))</f>
        <v>0</v>
      </c>
      <c r="W380" s="4">
        <f>((ABS(Games[[#This Row],[MOV]])+5)^0.6)/(12+0.01*(ABS(Games[[#This Row],[PreGmRate]]-Games[[#This Row],[OppPreGmRate]])))*IF(Games[[#This Row],[OT]]=1,0.9,1)</f>
        <v>0.57491460719158738</v>
      </c>
      <c r="X380" s="7" cm="1">
        <f t="array" ref="X38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0" s="9">
        <f>MAX(kmin, kmax - 0.15 * MIN(Games[[#This Row],[GamesPlayed]], 82))</f>
        <v>71.2</v>
      </c>
      <c r="Z380" s="4">
        <f>Games[[#This Row],[K]]*Games[[#This Row],[POMult]]</f>
        <v>71.2</v>
      </c>
      <c r="AA380" s="4">
        <f>(Games[[#This Row],[Keff]]*Games[[#This Row],[MOVMult]])*(Games[[#This Row],[Result]]-Games[[#This Row],[ExpectedWin%]])</f>
        <v>-16.314341367963635</v>
      </c>
      <c r="AB380" s="4">
        <f>Games[[#This Row],[PreGmRate]]+Games[[#This Row],[RatingChange]]</f>
        <v>1619.84283954343</v>
      </c>
      <c r="AC380" s="2">
        <f>IF(Games[[#This Row],[Type]]="R",IF(Games[[#This Row],[Result]]&gt;0.5,1,0),0)</f>
        <v>0</v>
      </c>
      <c r="AD380" s="2">
        <f>IF(Games[[#This Row],[Type]]="R",IF(Games[[#This Row],[Result]]&lt;0.5,1,0),0)</f>
        <v>1</v>
      </c>
      <c r="AE380" s="2">
        <f>IF(AND(Games[[#This Row],[Type]]="P",Games[[#This Row],[Round]]=1),IF(Games[[#This Row],[Result]]&gt;0.5,1,0),0)</f>
        <v>0</v>
      </c>
      <c r="AF380" s="2">
        <f>IF(AND(Games[[#This Row],[Type]]="P",Games[[#This Row],[Round]]=1),IF(Games[[#This Row],[Result]]&lt;0.5,1,0),0)</f>
        <v>0</v>
      </c>
      <c r="AG380" s="2">
        <f>IF(AND(Games[[#This Row],[Type]]="P",Games[[#This Row],[Round]]=2),IF(Games[[#This Row],[Result]]&gt;0.5,1,0),0)</f>
        <v>0</v>
      </c>
      <c r="AH380" s="2">
        <f>IF(AND(Games[[#This Row],[Type]]="P",Games[[#This Row],[Round]]=2),IF(Games[[#This Row],[Result]]&lt;0.5,1,0),0)</f>
        <v>0</v>
      </c>
      <c r="AI380" s="2">
        <f>IF(AND(Games[[#This Row],[Type]]="P",Games[[#This Row],[Round]]=3),IF(Games[[#This Row],[Result]]&gt;0.5,1,0),0)</f>
        <v>0</v>
      </c>
      <c r="AJ380" s="2">
        <f>IF(AND(Games[[#This Row],[Type]]="P",Games[[#This Row],[Round]]=3),IF(Games[[#This Row],[Result]]&lt;0.5,1,0),0)</f>
        <v>0</v>
      </c>
      <c r="AK380" s="2">
        <f>IF(AND(Games[[#This Row],[Type]]="P",Games[[#This Row],[Round]]=4),IF(Games[[#This Row],[Result]]&gt;0.5,1,0),0)</f>
        <v>0</v>
      </c>
      <c r="AL380" s="2">
        <f>IF(AND(Games[[#This Row],[Type]]="P",Games[[#This Row],[Round]]=4),IF(Games[[#This Row],[Result]]&lt;0.5,1,0),0)</f>
        <v>0</v>
      </c>
    </row>
    <row r="381" spans="1:38" x14ac:dyDescent="0.35">
      <c r="A381" s="10">
        <v>40407</v>
      </c>
      <c r="B381" s="2">
        <v>2010</v>
      </c>
      <c r="C381" s="2">
        <f>COUNTIFS(Games[Team],Games[[#This Row],[Team]],Games[Season],Games[[#This Row],[Season]],Games[Date],"&lt;=" &amp; Games[[#This Row],[Date]])</f>
        <v>31</v>
      </c>
      <c r="D381" s="2" t="s">
        <v>23</v>
      </c>
      <c r="E381" s="2" t="s">
        <v>29</v>
      </c>
      <c r="F381" s="1" t="s">
        <v>64</v>
      </c>
      <c r="G381" s="1" t="s">
        <v>73</v>
      </c>
      <c r="H381" s="1" t="s">
        <v>15</v>
      </c>
      <c r="I381" s="2" cm="1">
        <f t="array" ref="I381">IFERROR(
    Games[[#This Row],[Date]]
    - LOOKUP(
        2,
        1/((Games[Team]=Games[[#This Row],[Team]]) * (Games[Date] &lt; Games[[#This Row],[Date]])),
        Games[Date]
    )
    - 1,
Games[[#This Row],[Date]]-$A$2)</f>
        <v>2</v>
      </c>
      <c r="J381" s="2" cm="1">
        <f t="array" ref="J38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1" s="2">
        <f>Games[[#This Row],[DaysOff]]-Games[[#This Row],[OppDaysOff]]</f>
        <v>1</v>
      </c>
      <c r="L381" s="2">
        <f>Games[[#This Row],[OppDaysOff]]-Games[[#This Row],[DaysOff]]</f>
        <v>-1</v>
      </c>
      <c r="M381" s="1">
        <f>MAX(-16, MIN(16, Games[[#This Row],[RestDiff]]*8))</f>
        <v>8</v>
      </c>
      <c r="N381" s="1">
        <f>MAX(-16, MIN(16, Games[[#This Row],[OppRestDiff]]*8))</f>
        <v>-8</v>
      </c>
      <c r="O381" s="4" cm="1">
        <f t="array" ref="O3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1607.6416092249074</v>
      </c>
      <c r="P381" s="4" cm="1">
        <f t="array" ref="P3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1636.1571809113937</v>
      </c>
      <c r="Q381" s="4">
        <f>1/(1+10^(((Games[[#This Row],[OppPreGmRate]]+IF(Games[[#This Row],[HomeAway]]="A",HCA,0)+Games[[#This Row],[OppRestAdj]])-(Games[[#This Row],[PreGmRate]]+IF(Games[[#This Row],[HomeAway]]="H",HCA,0)+Games[[#This Row],[RestAdj]]))/400))</f>
        <v>0.60144688426631054</v>
      </c>
      <c r="R381" s="1">
        <v>78</v>
      </c>
      <c r="S381" s="1">
        <v>57</v>
      </c>
      <c r="T381" s="1">
        <v>0</v>
      </c>
      <c r="U381" s="1">
        <f>Games[[#This Row],[PointsFor]]-Games[[#This Row],[PointsAgainst]]</f>
        <v>21</v>
      </c>
      <c r="V381" s="1">
        <f>IF(Games[[#This Row],[MOV]]&gt;0,1,IF(Games[[#This Row],[MOV]]=0,0.5,0))</f>
        <v>1</v>
      </c>
      <c r="W381" s="4">
        <f>((ABS(Games[[#This Row],[MOV]])+5)^0.6)/(12+0.01*(ABS(Games[[#This Row],[PreGmRate]]-Games[[#This Row],[OppPreGmRate]])))*IF(Games[[#This Row],[OT]]=1,0.9,1)</f>
        <v>0.57491460719158738</v>
      </c>
      <c r="X381" s="7" cm="1">
        <f t="array" ref="X38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1" s="9">
        <f>MAX(kmin, kmax - 0.15 * MIN(Games[[#This Row],[GamesPlayed]], 82))</f>
        <v>71.349999999999994</v>
      </c>
      <c r="Z381" s="4">
        <f>Games[[#This Row],[K]]*Games[[#This Row],[POMult]]</f>
        <v>71.349999999999994</v>
      </c>
      <c r="AA381" s="4">
        <f>(Games[[#This Row],[Keff]]*Games[[#This Row],[MOVMult]])*(Games[[#This Row],[Result]]-Games[[#This Row],[ExpectedWin%]])</f>
        <v>16.348711469160186</v>
      </c>
      <c r="AB381" s="4">
        <f>Games[[#This Row],[PreGmRate]]+Games[[#This Row],[RatingChange]]</f>
        <v>1623.9903206940676</v>
      </c>
      <c r="AC381" s="2">
        <f>IF(Games[[#This Row],[Type]]="R",IF(Games[[#This Row],[Result]]&gt;0.5,1,0),0)</f>
        <v>1</v>
      </c>
      <c r="AD381" s="2">
        <f>IF(Games[[#This Row],[Type]]="R",IF(Games[[#This Row],[Result]]&lt;0.5,1,0),0)</f>
        <v>0</v>
      </c>
      <c r="AE381" s="2">
        <f>IF(AND(Games[[#This Row],[Type]]="P",Games[[#This Row],[Round]]=1),IF(Games[[#This Row],[Result]]&gt;0.5,1,0),0)</f>
        <v>0</v>
      </c>
      <c r="AF381" s="2">
        <f>IF(AND(Games[[#This Row],[Type]]="P",Games[[#This Row],[Round]]=1),IF(Games[[#This Row],[Result]]&lt;0.5,1,0),0)</f>
        <v>0</v>
      </c>
      <c r="AG381" s="2">
        <f>IF(AND(Games[[#This Row],[Type]]="P",Games[[#This Row],[Round]]=2),IF(Games[[#This Row],[Result]]&gt;0.5,1,0),0)</f>
        <v>0</v>
      </c>
      <c r="AH381" s="2">
        <f>IF(AND(Games[[#This Row],[Type]]="P",Games[[#This Row],[Round]]=2),IF(Games[[#This Row],[Result]]&lt;0.5,1,0),0)</f>
        <v>0</v>
      </c>
      <c r="AI381" s="2">
        <f>IF(AND(Games[[#This Row],[Type]]="P",Games[[#This Row],[Round]]=3),IF(Games[[#This Row],[Result]]&gt;0.5,1,0),0)</f>
        <v>0</v>
      </c>
      <c r="AJ381" s="2">
        <f>IF(AND(Games[[#This Row],[Type]]="P",Games[[#This Row],[Round]]=3),IF(Games[[#This Row],[Result]]&lt;0.5,1,0),0)</f>
        <v>0</v>
      </c>
      <c r="AK381" s="2">
        <f>IF(AND(Games[[#This Row],[Type]]="P",Games[[#This Row],[Round]]=4),IF(Games[[#This Row],[Result]]&gt;0.5,1,0),0)</f>
        <v>0</v>
      </c>
      <c r="AL381" s="2">
        <f>IF(AND(Games[[#This Row],[Type]]="P",Games[[#This Row],[Round]]=4),IF(Games[[#This Row],[Result]]&lt;0.5,1,0),0)</f>
        <v>0</v>
      </c>
    </row>
    <row r="382" spans="1:38" x14ac:dyDescent="0.35">
      <c r="A382" s="10">
        <v>40407</v>
      </c>
      <c r="B382" s="2">
        <v>2010</v>
      </c>
      <c r="C382" s="2">
        <f>COUNTIFS(Games[Team],Games[[#This Row],[Team]],Games[Season],Games[[#This Row],[Season]],Games[Date],"&lt;=" &amp; Games[[#This Row],[Date]])</f>
        <v>32</v>
      </c>
      <c r="D382" s="2" t="s">
        <v>23</v>
      </c>
      <c r="E382" s="2" t="s">
        <v>29</v>
      </c>
      <c r="F382" s="1" t="s">
        <v>69</v>
      </c>
      <c r="G382" s="1" t="s">
        <v>78</v>
      </c>
      <c r="H382" s="1" t="s">
        <v>16</v>
      </c>
      <c r="I382" s="2" cm="1">
        <f t="array" ref="I38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2" s="2" cm="1">
        <f t="array" ref="J38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2" s="2">
        <f>Games[[#This Row],[DaysOff]]-Games[[#This Row],[OppDaysOff]]</f>
        <v>0</v>
      </c>
      <c r="L382" s="2">
        <f>Games[[#This Row],[OppDaysOff]]-Games[[#This Row],[DaysOff]]</f>
        <v>0</v>
      </c>
      <c r="M382" s="1">
        <f>MAX(-16, MIN(16, Games[[#This Row],[RestDiff]]*8))</f>
        <v>0</v>
      </c>
      <c r="N382" s="1">
        <f>MAX(-16, MIN(16, Games[[#This Row],[OppRestDiff]]*8))</f>
        <v>0</v>
      </c>
      <c r="O382" s="4" cm="1">
        <f t="array" ref="O3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1555.7919746452899</v>
      </c>
      <c r="P382" s="4" cm="1">
        <f t="array" ref="P3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1426.8417927138405</v>
      </c>
      <c r="Q382" s="4">
        <f>1/(1+10^(((Games[[#This Row],[OppPreGmRate]]+IF(Games[[#This Row],[HomeAway]]="A",HCA,0)+Games[[#This Row],[OppRestAdj]])-(Games[[#This Row],[PreGmRate]]+IF(Games[[#This Row],[HomeAway]]="H",HCA,0)+Games[[#This Row],[RestAdj]]))/400))</f>
        <v>0.56432998435583015</v>
      </c>
      <c r="R382" s="1">
        <v>76</v>
      </c>
      <c r="S382" s="1">
        <v>66</v>
      </c>
      <c r="T382" s="1">
        <v>0</v>
      </c>
      <c r="U382" s="1">
        <f>Games[[#This Row],[PointsFor]]-Games[[#This Row],[PointsAgainst]]</f>
        <v>10</v>
      </c>
      <c r="V382" s="1">
        <f>IF(Games[[#This Row],[MOV]]&gt;0,1,IF(Games[[#This Row],[MOV]]=0,0.5,0))</f>
        <v>1</v>
      </c>
      <c r="W382" s="4">
        <f>((ABS(Games[[#This Row],[MOV]])+5)^0.6)/(12+0.01*(ABS(Games[[#This Row],[PreGmRate]]-Games[[#This Row],[OppPreGmRate]])))*IF(Games[[#This Row],[OT]]=1,0.9,1)</f>
        <v>0.38207274140313269</v>
      </c>
      <c r="X382" s="7" cm="1">
        <f t="array" ref="X38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2" s="9">
        <f>MAX(kmin, kmax - 0.15 * MIN(Games[[#This Row],[GamesPlayed]], 82))</f>
        <v>71.2</v>
      </c>
      <c r="Z382" s="4">
        <f>Games[[#This Row],[K]]*Games[[#This Row],[POMult]]</f>
        <v>71.2</v>
      </c>
      <c r="AA382" s="4">
        <f>(Games[[#This Row],[Keff]]*Games[[#This Row],[MOVMult]])*(Games[[#This Row],[Result]]-Games[[#This Row],[ExpectedWin%]])</f>
        <v>11.851783770371135</v>
      </c>
      <c r="AB382" s="4">
        <f>Games[[#This Row],[PreGmRate]]+Games[[#This Row],[RatingChange]]</f>
        <v>1567.6437584156611</v>
      </c>
      <c r="AC382" s="2">
        <f>IF(Games[[#This Row],[Type]]="R",IF(Games[[#This Row],[Result]]&gt;0.5,1,0),0)</f>
        <v>1</v>
      </c>
      <c r="AD382" s="2">
        <f>IF(Games[[#This Row],[Type]]="R",IF(Games[[#This Row],[Result]]&lt;0.5,1,0),0)</f>
        <v>0</v>
      </c>
      <c r="AE382" s="2">
        <f>IF(AND(Games[[#This Row],[Type]]="P",Games[[#This Row],[Round]]=1),IF(Games[[#This Row],[Result]]&gt;0.5,1,0),0)</f>
        <v>0</v>
      </c>
      <c r="AF382" s="2">
        <f>IF(AND(Games[[#This Row],[Type]]="P",Games[[#This Row],[Round]]=1),IF(Games[[#This Row],[Result]]&lt;0.5,1,0),0)</f>
        <v>0</v>
      </c>
      <c r="AG382" s="2">
        <f>IF(AND(Games[[#This Row],[Type]]="P",Games[[#This Row],[Round]]=2),IF(Games[[#This Row],[Result]]&gt;0.5,1,0),0)</f>
        <v>0</v>
      </c>
      <c r="AH382" s="2">
        <f>IF(AND(Games[[#This Row],[Type]]="P",Games[[#This Row],[Round]]=2),IF(Games[[#This Row],[Result]]&lt;0.5,1,0),0)</f>
        <v>0</v>
      </c>
      <c r="AI382" s="2">
        <f>IF(AND(Games[[#This Row],[Type]]="P",Games[[#This Row],[Round]]=3),IF(Games[[#This Row],[Result]]&gt;0.5,1,0),0)</f>
        <v>0</v>
      </c>
      <c r="AJ382" s="2">
        <f>IF(AND(Games[[#This Row],[Type]]="P",Games[[#This Row],[Round]]=3),IF(Games[[#This Row],[Result]]&lt;0.5,1,0),0)</f>
        <v>0</v>
      </c>
      <c r="AK382" s="2">
        <f>IF(AND(Games[[#This Row],[Type]]="P",Games[[#This Row],[Round]]=4),IF(Games[[#This Row],[Result]]&gt;0.5,1,0),0)</f>
        <v>0</v>
      </c>
      <c r="AL382" s="2">
        <f>IF(AND(Games[[#This Row],[Type]]="P",Games[[#This Row],[Round]]=4),IF(Games[[#This Row],[Result]]&lt;0.5,1,0),0)</f>
        <v>0</v>
      </c>
    </row>
    <row r="383" spans="1:38" x14ac:dyDescent="0.35">
      <c r="A383" s="10">
        <v>40407</v>
      </c>
      <c r="B383" s="2">
        <v>2010</v>
      </c>
      <c r="C383" s="2">
        <f>COUNTIFS(Games[Team],Games[[#This Row],[Team]],Games[Season],Games[[#This Row],[Season]],Games[Date],"&lt;=" &amp; Games[[#This Row],[Date]])</f>
        <v>32</v>
      </c>
      <c r="D383" s="2" t="s">
        <v>23</v>
      </c>
      <c r="E383" s="2" t="s">
        <v>29</v>
      </c>
      <c r="F383" s="1" t="s">
        <v>78</v>
      </c>
      <c r="G383" s="1" t="s">
        <v>69</v>
      </c>
      <c r="H383" s="1" t="s">
        <v>15</v>
      </c>
      <c r="I383" s="2" cm="1">
        <f t="array" ref="I38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3" s="2" cm="1">
        <f t="array" ref="J38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3" s="2">
        <f>Games[[#This Row],[DaysOff]]-Games[[#This Row],[OppDaysOff]]</f>
        <v>0</v>
      </c>
      <c r="L383" s="2">
        <f>Games[[#This Row],[OppDaysOff]]-Games[[#This Row],[DaysOff]]</f>
        <v>0</v>
      </c>
      <c r="M383" s="1">
        <f>MAX(-16, MIN(16, Games[[#This Row],[RestDiff]]*8))</f>
        <v>0</v>
      </c>
      <c r="N383" s="1">
        <f>MAX(-16, MIN(16, Games[[#This Row],[OppRestDiff]]*8))</f>
        <v>0</v>
      </c>
      <c r="O383" s="4" cm="1">
        <f t="array" ref="O3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1426.8417927138405</v>
      </c>
      <c r="P383" s="4" cm="1">
        <f t="array" ref="P3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1555.7919746452899</v>
      </c>
      <c r="Q383" s="4">
        <f>1/(1+10^(((Games[[#This Row],[OppPreGmRate]]+IF(Games[[#This Row],[HomeAway]]="A",HCA,0)+Games[[#This Row],[OppRestAdj]])-(Games[[#This Row],[PreGmRate]]+IF(Games[[#This Row],[HomeAway]]="H",HCA,0)+Games[[#This Row],[RestAdj]]))/400))</f>
        <v>0.43567001564416985</v>
      </c>
      <c r="R383" s="1">
        <v>66</v>
      </c>
      <c r="S383" s="1">
        <v>76</v>
      </c>
      <c r="T383" s="1">
        <v>0</v>
      </c>
      <c r="U383" s="1">
        <f>Games[[#This Row],[PointsFor]]-Games[[#This Row],[PointsAgainst]]</f>
        <v>-10</v>
      </c>
      <c r="V383" s="1">
        <f>IF(Games[[#This Row],[MOV]]&gt;0,1,IF(Games[[#This Row],[MOV]]=0,0.5,0))</f>
        <v>0</v>
      </c>
      <c r="W383" s="4">
        <f>((ABS(Games[[#This Row],[MOV]])+5)^0.6)/(12+0.01*(ABS(Games[[#This Row],[PreGmRate]]-Games[[#This Row],[OppPreGmRate]])))*IF(Games[[#This Row],[OT]]=1,0.9,1)</f>
        <v>0.38207274140313269</v>
      </c>
      <c r="X383" s="7" cm="1">
        <f t="array" ref="X38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3" s="9">
        <f>MAX(kmin, kmax - 0.15 * MIN(Games[[#This Row],[GamesPlayed]], 82))</f>
        <v>71.2</v>
      </c>
      <c r="Z383" s="4">
        <f>Games[[#This Row],[K]]*Games[[#This Row],[POMult]]</f>
        <v>71.2</v>
      </c>
      <c r="AA383" s="4">
        <f>(Games[[#This Row],[Keff]]*Games[[#This Row],[MOVMult]])*(Games[[#This Row],[Result]]-Games[[#This Row],[ExpectedWin%]])</f>
        <v>-11.851783770371135</v>
      </c>
      <c r="AB383" s="4">
        <f>Games[[#This Row],[PreGmRate]]+Games[[#This Row],[RatingChange]]</f>
        <v>1414.9900089434693</v>
      </c>
      <c r="AC383" s="2">
        <f>IF(Games[[#This Row],[Type]]="R",IF(Games[[#This Row],[Result]]&gt;0.5,1,0),0)</f>
        <v>0</v>
      </c>
      <c r="AD383" s="2">
        <f>IF(Games[[#This Row],[Type]]="R",IF(Games[[#This Row],[Result]]&lt;0.5,1,0),0)</f>
        <v>1</v>
      </c>
      <c r="AE383" s="2">
        <f>IF(AND(Games[[#This Row],[Type]]="P",Games[[#This Row],[Round]]=1),IF(Games[[#This Row],[Result]]&gt;0.5,1,0),0)</f>
        <v>0</v>
      </c>
      <c r="AF383" s="2">
        <f>IF(AND(Games[[#This Row],[Type]]="P",Games[[#This Row],[Round]]=1),IF(Games[[#This Row],[Result]]&lt;0.5,1,0),0)</f>
        <v>0</v>
      </c>
      <c r="AG383" s="2">
        <f>IF(AND(Games[[#This Row],[Type]]="P",Games[[#This Row],[Round]]=2),IF(Games[[#This Row],[Result]]&gt;0.5,1,0),0)</f>
        <v>0</v>
      </c>
      <c r="AH383" s="2">
        <f>IF(AND(Games[[#This Row],[Type]]="P",Games[[#This Row],[Round]]=2),IF(Games[[#This Row],[Result]]&lt;0.5,1,0),0)</f>
        <v>0</v>
      </c>
      <c r="AI383" s="2">
        <f>IF(AND(Games[[#This Row],[Type]]="P",Games[[#This Row],[Round]]=3),IF(Games[[#This Row],[Result]]&gt;0.5,1,0),0)</f>
        <v>0</v>
      </c>
      <c r="AJ383" s="2">
        <f>IF(AND(Games[[#This Row],[Type]]="P",Games[[#This Row],[Round]]=3),IF(Games[[#This Row],[Result]]&lt;0.5,1,0),0)</f>
        <v>0</v>
      </c>
      <c r="AK383" s="2">
        <f>IF(AND(Games[[#This Row],[Type]]="P",Games[[#This Row],[Round]]=4),IF(Games[[#This Row],[Result]]&gt;0.5,1,0),0)</f>
        <v>0</v>
      </c>
      <c r="AL383" s="2">
        <f>IF(AND(Games[[#This Row],[Type]]="P",Games[[#This Row],[Round]]=4),IF(Games[[#This Row],[Result]]&lt;0.5,1,0),0)</f>
        <v>0</v>
      </c>
    </row>
    <row r="384" spans="1:38" x14ac:dyDescent="0.35">
      <c r="A384" s="10">
        <v>40407</v>
      </c>
      <c r="B384" s="2">
        <v>2010</v>
      </c>
      <c r="C384" s="2">
        <f>COUNTIFS(Games[Team],Games[[#This Row],[Team]],Games[Season],Games[[#This Row],[Season]],Games[Date],"&lt;=" &amp; Games[[#This Row],[Date]])</f>
        <v>32</v>
      </c>
      <c r="D384" s="2" t="s">
        <v>23</v>
      </c>
      <c r="E384" s="2" t="s">
        <v>29</v>
      </c>
      <c r="F384" s="1" t="s">
        <v>71</v>
      </c>
      <c r="G384" s="1" t="s">
        <v>75</v>
      </c>
      <c r="H384" s="1" t="s">
        <v>16</v>
      </c>
      <c r="I384" s="2" cm="1">
        <f t="array" ref="I38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4" s="2" cm="1">
        <f t="array" ref="J38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4" s="2">
        <f>Games[[#This Row],[DaysOff]]-Games[[#This Row],[OppDaysOff]]</f>
        <v>0</v>
      </c>
      <c r="L384" s="2">
        <f>Games[[#This Row],[OppDaysOff]]-Games[[#This Row],[DaysOff]]</f>
        <v>0</v>
      </c>
      <c r="M384" s="1">
        <f>MAX(-16, MIN(16, Games[[#This Row],[RestDiff]]*8))</f>
        <v>0</v>
      </c>
      <c r="N384" s="1">
        <f>MAX(-16, MIN(16, Games[[#This Row],[OppRestDiff]]*8))</f>
        <v>0</v>
      </c>
      <c r="O384" s="4" cm="1">
        <f t="array" ref="O3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1427.2422996704943</v>
      </c>
      <c r="P384" s="4" cm="1">
        <f t="array" ref="P3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1644.8347652986963</v>
      </c>
      <c r="Q384" s="4">
        <f>1/(1+10^(((Games[[#This Row],[OppPreGmRate]]+IF(Games[[#This Row],[HomeAway]]="A",HCA,0)+Games[[#This Row],[OppRestAdj]])-(Games[[#This Row],[PreGmRate]]+IF(Games[[#This Row],[HomeAway]]="H",HCA,0)+Games[[#This Row],[RestAdj]]))/400))</f>
        <v>0.14980824751554514</v>
      </c>
      <c r="R384" s="1">
        <v>64</v>
      </c>
      <c r="S384" s="1">
        <v>68</v>
      </c>
      <c r="T384" s="1">
        <v>0</v>
      </c>
      <c r="U384" s="1">
        <f>Games[[#This Row],[PointsFor]]-Games[[#This Row],[PointsAgainst]]</f>
        <v>-4</v>
      </c>
      <c r="V384" s="1">
        <f>IF(Games[[#This Row],[MOV]]&gt;0,1,IF(Games[[#This Row],[MOV]]=0,0.5,0))</f>
        <v>0</v>
      </c>
      <c r="W384" s="4">
        <f>((ABS(Games[[#This Row],[MOV]])+5)^0.6)/(12+0.01*(ABS(Games[[#This Row],[PreGmRate]]-Games[[#This Row],[OppPreGmRate]])))*IF(Games[[#This Row],[OT]]=1,0.9,1)</f>
        <v>0.26362956275945115</v>
      </c>
      <c r="X384" s="7" cm="1">
        <f t="array" ref="X38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4" s="9">
        <f>MAX(kmin, kmax - 0.15 * MIN(Games[[#This Row],[GamesPlayed]], 82))</f>
        <v>71.2</v>
      </c>
      <c r="Z384" s="4">
        <f>Games[[#This Row],[K]]*Games[[#This Row],[POMult]]</f>
        <v>71.2</v>
      </c>
      <c r="AA384" s="4">
        <f>(Games[[#This Row],[Keff]]*Games[[#This Row],[MOVMult]])*(Games[[#This Row],[Result]]-Games[[#This Row],[ExpectedWin%]])</f>
        <v>-2.8119644546681353</v>
      </c>
      <c r="AB384" s="4">
        <f>Games[[#This Row],[PreGmRate]]+Games[[#This Row],[RatingChange]]</f>
        <v>1424.4303352158261</v>
      </c>
      <c r="AC384" s="2">
        <f>IF(Games[[#This Row],[Type]]="R",IF(Games[[#This Row],[Result]]&gt;0.5,1,0),0)</f>
        <v>0</v>
      </c>
      <c r="AD384" s="2">
        <f>IF(Games[[#This Row],[Type]]="R",IF(Games[[#This Row],[Result]]&lt;0.5,1,0),0)</f>
        <v>1</v>
      </c>
      <c r="AE384" s="2">
        <f>IF(AND(Games[[#This Row],[Type]]="P",Games[[#This Row],[Round]]=1),IF(Games[[#This Row],[Result]]&gt;0.5,1,0),0)</f>
        <v>0</v>
      </c>
      <c r="AF384" s="2">
        <f>IF(AND(Games[[#This Row],[Type]]="P",Games[[#This Row],[Round]]=1),IF(Games[[#This Row],[Result]]&lt;0.5,1,0),0)</f>
        <v>0</v>
      </c>
      <c r="AG384" s="2">
        <f>IF(AND(Games[[#This Row],[Type]]="P",Games[[#This Row],[Round]]=2),IF(Games[[#This Row],[Result]]&gt;0.5,1,0),0)</f>
        <v>0</v>
      </c>
      <c r="AH384" s="2">
        <f>IF(AND(Games[[#This Row],[Type]]="P",Games[[#This Row],[Round]]=2),IF(Games[[#This Row],[Result]]&lt;0.5,1,0),0)</f>
        <v>0</v>
      </c>
      <c r="AI384" s="2">
        <f>IF(AND(Games[[#This Row],[Type]]="P",Games[[#This Row],[Round]]=3),IF(Games[[#This Row],[Result]]&gt;0.5,1,0),0)</f>
        <v>0</v>
      </c>
      <c r="AJ384" s="2">
        <f>IF(AND(Games[[#This Row],[Type]]="P",Games[[#This Row],[Round]]=3),IF(Games[[#This Row],[Result]]&lt;0.5,1,0),0)</f>
        <v>0</v>
      </c>
      <c r="AK384" s="2">
        <f>IF(AND(Games[[#This Row],[Type]]="P",Games[[#This Row],[Round]]=4),IF(Games[[#This Row],[Result]]&gt;0.5,1,0),0)</f>
        <v>0</v>
      </c>
      <c r="AL384" s="2">
        <f>IF(AND(Games[[#This Row],[Type]]="P",Games[[#This Row],[Round]]=4),IF(Games[[#This Row],[Result]]&lt;0.5,1,0),0)</f>
        <v>0</v>
      </c>
    </row>
    <row r="385" spans="1:38" x14ac:dyDescent="0.35">
      <c r="A385" s="10">
        <v>40407</v>
      </c>
      <c r="B385" s="2">
        <v>2010</v>
      </c>
      <c r="C385" s="2">
        <f>COUNTIFS(Games[Team],Games[[#This Row],[Team]],Games[Season],Games[[#This Row],[Season]],Games[Date],"&lt;=" &amp; Games[[#This Row],[Date]])</f>
        <v>32</v>
      </c>
      <c r="D385" s="2" t="s">
        <v>23</v>
      </c>
      <c r="E385" s="2" t="s">
        <v>29</v>
      </c>
      <c r="F385" s="1" t="s">
        <v>75</v>
      </c>
      <c r="G385" s="1" t="s">
        <v>71</v>
      </c>
      <c r="H385" s="1" t="s">
        <v>15</v>
      </c>
      <c r="I385" s="2" cm="1">
        <f t="array" ref="I38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5" s="2" cm="1">
        <f t="array" ref="J38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5" s="2">
        <f>Games[[#This Row],[DaysOff]]-Games[[#This Row],[OppDaysOff]]</f>
        <v>0</v>
      </c>
      <c r="L385" s="2">
        <f>Games[[#This Row],[OppDaysOff]]-Games[[#This Row],[DaysOff]]</f>
        <v>0</v>
      </c>
      <c r="M385" s="1">
        <f>MAX(-16, MIN(16, Games[[#This Row],[RestDiff]]*8))</f>
        <v>0</v>
      </c>
      <c r="N385" s="1">
        <f>MAX(-16, MIN(16, Games[[#This Row],[OppRestDiff]]*8))</f>
        <v>0</v>
      </c>
      <c r="O385" s="4" cm="1">
        <f t="array" ref="O3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1644.8347652986963</v>
      </c>
      <c r="P385" s="4" cm="1">
        <f t="array" ref="P3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1427.2422996704943</v>
      </c>
      <c r="Q385" s="4">
        <f>1/(1+10^(((Games[[#This Row],[OppPreGmRate]]+IF(Games[[#This Row],[HomeAway]]="A",HCA,0)+Games[[#This Row],[OppRestAdj]])-(Games[[#This Row],[PreGmRate]]+IF(Games[[#This Row],[HomeAway]]="H",HCA,0)+Games[[#This Row],[RestAdj]]))/400))</f>
        <v>0.85019175248445478</v>
      </c>
      <c r="R385" s="1">
        <v>68</v>
      </c>
      <c r="S385" s="1">
        <v>64</v>
      </c>
      <c r="T385" s="1">
        <v>0</v>
      </c>
      <c r="U385" s="1">
        <f>Games[[#This Row],[PointsFor]]-Games[[#This Row],[PointsAgainst]]</f>
        <v>4</v>
      </c>
      <c r="V385" s="1">
        <f>IF(Games[[#This Row],[MOV]]&gt;0,1,IF(Games[[#This Row],[MOV]]=0,0.5,0))</f>
        <v>1</v>
      </c>
      <c r="W385" s="4">
        <f>((ABS(Games[[#This Row],[MOV]])+5)^0.6)/(12+0.01*(ABS(Games[[#This Row],[PreGmRate]]-Games[[#This Row],[OppPreGmRate]])))*IF(Games[[#This Row],[OT]]=1,0.9,1)</f>
        <v>0.26362956275945115</v>
      </c>
      <c r="X385" s="7" cm="1">
        <f t="array" ref="X38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5" s="9">
        <f>MAX(kmin, kmax - 0.15 * MIN(Games[[#This Row],[GamesPlayed]], 82))</f>
        <v>71.2</v>
      </c>
      <c r="Z385" s="4">
        <f>Games[[#This Row],[K]]*Games[[#This Row],[POMult]]</f>
        <v>71.2</v>
      </c>
      <c r="AA385" s="4">
        <f>(Games[[#This Row],[Keff]]*Games[[#This Row],[MOVMult]])*(Games[[#This Row],[Result]]-Games[[#This Row],[ExpectedWin%]])</f>
        <v>2.811964454668137</v>
      </c>
      <c r="AB385" s="4">
        <f>Games[[#This Row],[PreGmRate]]+Games[[#This Row],[RatingChange]]</f>
        <v>1647.6467297533645</v>
      </c>
      <c r="AC385" s="2">
        <f>IF(Games[[#This Row],[Type]]="R",IF(Games[[#This Row],[Result]]&gt;0.5,1,0),0)</f>
        <v>1</v>
      </c>
      <c r="AD385" s="2">
        <f>IF(Games[[#This Row],[Type]]="R",IF(Games[[#This Row],[Result]]&lt;0.5,1,0),0)</f>
        <v>0</v>
      </c>
      <c r="AE385" s="2">
        <f>IF(AND(Games[[#This Row],[Type]]="P",Games[[#This Row],[Round]]=1),IF(Games[[#This Row],[Result]]&gt;0.5,1,0),0)</f>
        <v>0</v>
      </c>
      <c r="AF385" s="2">
        <f>IF(AND(Games[[#This Row],[Type]]="P",Games[[#This Row],[Round]]=1),IF(Games[[#This Row],[Result]]&lt;0.5,1,0),0)</f>
        <v>0</v>
      </c>
      <c r="AG385" s="2">
        <f>IF(AND(Games[[#This Row],[Type]]="P",Games[[#This Row],[Round]]=2),IF(Games[[#This Row],[Result]]&gt;0.5,1,0),0)</f>
        <v>0</v>
      </c>
      <c r="AH385" s="2">
        <f>IF(AND(Games[[#This Row],[Type]]="P",Games[[#This Row],[Round]]=2),IF(Games[[#This Row],[Result]]&lt;0.5,1,0),0)</f>
        <v>0</v>
      </c>
      <c r="AI385" s="2">
        <f>IF(AND(Games[[#This Row],[Type]]="P",Games[[#This Row],[Round]]=3),IF(Games[[#This Row],[Result]]&gt;0.5,1,0),0)</f>
        <v>0</v>
      </c>
      <c r="AJ385" s="2">
        <f>IF(AND(Games[[#This Row],[Type]]="P",Games[[#This Row],[Round]]=3),IF(Games[[#This Row],[Result]]&lt;0.5,1,0),0)</f>
        <v>0</v>
      </c>
      <c r="AK385" s="2">
        <f>IF(AND(Games[[#This Row],[Type]]="P",Games[[#This Row],[Round]]=4),IF(Games[[#This Row],[Result]]&gt;0.5,1,0),0)</f>
        <v>0</v>
      </c>
      <c r="AL385" s="2">
        <f>IF(AND(Games[[#This Row],[Type]]="P",Games[[#This Row],[Round]]=4),IF(Games[[#This Row],[Result]]&lt;0.5,1,0),0)</f>
        <v>0</v>
      </c>
    </row>
    <row r="386" spans="1:38" x14ac:dyDescent="0.35">
      <c r="A386" s="10">
        <v>40409</v>
      </c>
      <c r="B386" s="2">
        <v>2010</v>
      </c>
      <c r="C386" s="2">
        <f>COUNTIFS(Games[Team],Games[[#This Row],[Team]],Games[Season],Games[[#This Row],[Season]],Games[Date],"&lt;=" &amp; Games[[#This Row],[Date]])</f>
        <v>33</v>
      </c>
      <c r="D386" s="2" t="s">
        <v>23</v>
      </c>
      <c r="E386" s="2" t="s">
        <v>29</v>
      </c>
      <c r="F386" s="1" t="s">
        <v>85</v>
      </c>
      <c r="G386" s="1" t="s">
        <v>64</v>
      </c>
      <c r="H386" s="1" t="s">
        <v>16</v>
      </c>
      <c r="I386" s="2" cm="1">
        <f t="array" ref="I38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6" s="2" cm="1">
        <f t="array" ref="J38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6" s="2">
        <f>Games[[#This Row],[DaysOff]]-Games[[#This Row],[OppDaysOff]]</f>
        <v>0</v>
      </c>
      <c r="L386" s="2">
        <f>Games[[#This Row],[OppDaysOff]]-Games[[#This Row],[DaysOff]]</f>
        <v>0</v>
      </c>
      <c r="M386" s="1">
        <f>MAX(-16, MIN(16, Games[[#This Row],[RestDiff]]*8))</f>
        <v>0</v>
      </c>
      <c r="N386" s="1">
        <f>MAX(-16, MIN(16, Games[[#This Row],[OppRestDiff]]*8))</f>
        <v>0</v>
      </c>
      <c r="O386" s="4" cm="1">
        <f t="array" ref="O3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1281.9907633477535</v>
      </c>
      <c r="P386" s="4" cm="1">
        <f t="array" ref="P3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1623.9903206940676</v>
      </c>
      <c r="Q386" s="4">
        <f>1/(1+10^(((Games[[#This Row],[OppPreGmRate]]+IF(Games[[#This Row],[HomeAway]]="A",HCA,0)+Games[[#This Row],[OppRestAdj]])-(Games[[#This Row],[PreGmRate]]+IF(Games[[#This Row],[HomeAway]]="H",HCA,0)+Games[[#This Row],[RestAdj]]))/400))</f>
        <v>7.9274124617577449E-2</v>
      </c>
      <c r="R386" s="1">
        <v>85</v>
      </c>
      <c r="S386" s="1">
        <v>95</v>
      </c>
      <c r="T386" s="1">
        <v>0</v>
      </c>
      <c r="U386" s="1">
        <f>Games[[#This Row],[PointsFor]]-Games[[#This Row],[PointsAgainst]]</f>
        <v>-10</v>
      </c>
      <c r="V386" s="1">
        <f>IF(Games[[#This Row],[MOV]]&gt;0,1,IF(Games[[#This Row],[MOV]]=0,0.5,0))</f>
        <v>0</v>
      </c>
      <c r="W386" s="4">
        <f>((ABS(Games[[#This Row],[MOV]])+5)^0.6)/(12+0.01*(ABS(Games[[#This Row],[PreGmRate]]-Games[[#This Row],[OppPreGmRate]])))*IF(Games[[#This Row],[OT]]=1,0.9,1)</f>
        <v>0.32928390723571727</v>
      </c>
      <c r="X386" s="7" cm="1">
        <f t="array" ref="X38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6" s="9">
        <f>MAX(kmin, kmax - 0.15 * MIN(Games[[#This Row],[GamesPlayed]], 82))</f>
        <v>71.05</v>
      </c>
      <c r="Z386" s="4">
        <f>Games[[#This Row],[K]]*Games[[#This Row],[POMult]]</f>
        <v>71.05</v>
      </c>
      <c r="AA386" s="4">
        <f>(Games[[#This Row],[Keff]]*Games[[#This Row],[MOVMult]])*(Games[[#This Row],[Result]]-Games[[#This Row],[ExpectedWin%]])</f>
        <v>-1.8546674229452997</v>
      </c>
      <c r="AB386" s="4">
        <f>Games[[#This Row],[PreGmRate]]+Games[[#This Row],[RatingChange]]</f>
        <v>1280.1360959248082</v>
      </c>
      <c r="AC386" s="2">
        <f>IF(Games[[#This Row],[Type]]="R",IF(Games[[#This Row],[Result]]&gt;0.5,1,0),0)</f>
        <v>0</v>
      </c>
      <c r="AD386" s="2">
        <f>IF(Games[[#This Row],[Type]]="R",IF(Games[[#This Row],[Result]]&lt;0.5,1,0),0)</f>
        <v>1</v>
      </c>
      <c r="AE386" s="2">
        <f>IF(AND(Games[[#This Row],[Type]]="P",Games[[#This Row],[Round]]=1),IF(Games[[#This Row],[Result]]&gt;0.5,1,0),0)</f>
        <v>0</v>
      </c>
      <c r="AF386" s="2">
        <f>IF(AND(Games[[#This Row],[Type]]="P",Games[[#This Row],[Round]]=1),IF(Games[[#This Row],[Result]]&lt;0.5,1,0),0)</f>
        <v>0</v>
      </c>
      <c r="AG386" s="2">
        <f>IF(AND(Games[[#This Row],[Type]]="P",Games[[#This Row],[Round]]=2),IF(Games[[#This Row],[Result]]&gt;0.5,1,0),0)</f>
        <v>0</v>
      </c>
      <c r="AH386" s="2">
        <f>IF(AND(Games[[#This Row],[Type]]="P",Games[[#This Row],[Round]]=2),IF(Games[[#This Row],[Result]]&lt;0.5,1,0),0)</f>
        <v>0</v>
      </c>
      <c r="AI386" s="2">
        <f>IF(AND(Games[[#This Row],[Type]]="P",Games[[#This Row],[Round]]=3),IF(Games[[#This Row],[Result]]&gt;0.5,1,0),0)</f>
        <v>0</v>
      </c>
      <c r="AJ386" s="2">
        <f>IF(AND(Games[[#This Row],[Type]]="P",Games[[#This Row],[Round]]=3),IF(Games[[#This Row],[Result]]&lt;0.5,1,0),0)</f>
        <v>0</v>
      </c>
      <c r="AK386" s="2">
        <f>IF(AND(Games[[#This Row],[Type]]="P",Games[[#This Row],[Round]]=4),IF(Games[[#This Row],[Result]]&gt;0.5,1,0),0)</f>
        <v>0</v>
      </c>
      <c r="AL386" s="2">
        <f>IF(AND(Games[[#This Row],[Type]]="P",Games[[#This Row],[Round]]=4),IF(Games[[#This Row],[Result]]&lt;0.5,1,0),0)</f>
        <v>0</v>
      </c>
    </row>
    <row r="387" spans="1:38" x14ac:dyDescent="0.35">
      <c r="A387" s="10">
        <v>40409</v>
      </c>
      <c r="B387" s="2">
        <v>2010</v>
      </c>
      <c r="C387" s="2">
        <f>COUNTIFS(Games[Team],Games[[#This Row],[Team]],Games[Season],Games[[#This Row],[Season]],Games[Date],"&lt;=" &amp; Games[[#This Row],[Date]])</f>
        <v>32</v>
      </c>
      <c r="D387" s="2" t="s">
        <v>23</v>
      </c>
      <c r="E387" s="2" t="s">
        <v>29</v>
      </c>
      <c r="F387" s="1" t="s">
        <v>64</v>
      </c>
      <c r="G387" s="1" t="s">
        <v>85</v>
      </c>
      <c r="H387" s="1" t="s">
        <v>15</v>
      </c>
      <c r="I387" s="2" cm="1">
        <f t="array" ref="I38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7" s="2" cm="1">
        <f t="array" ref="J38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7" s="2">
        <f>Games[[#This Row],[DaysOff]]-Games[[#This Row],[OppDaysOff]]</f>
        <v>0</v>
      </c>
      <c r="L387" s="2">
        <f>Games[[#This Row],[OppDaysOff]]-Games[[#This Row],[DaysOff]]</f>
        <v>0</v>
      </c>
      <c r="M387" s="1">
        <f>MAX(-16, MIN(16, Games[[#This Row],[RestDiff]]*8))</f>
        <v>0</v>
      </c>
      <c r="N387" s="1">
        <f>MAX(-16, MIN(16, Games[[#This Row],[OppRestDiff]]*8))</f>
        <v>0</v>
      </c>
      <c r="O387" s="4" cm="1">
        <f t="array" ref="O3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1623.9903206940676</v>
      </c>
      <c r="P387" s="4" cm="1">
        <f t="array" ref="P3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1281.9907633477535</v>
      </c>
      <c r="Q387" s="4">
        <f>1/(1+10^(((Games[[#This Row],[OppPreGmRate]]+IF(Games[[#This Row],[HomeAway]]="A",HCA,0)+Games[[#This Row],[OppRestAdj]])-(Games[[#This Row],[PreGmRate]]+IF(Games[[#This Row],[HomeAway]]="H",HCA,0)+Games[[#This Row],[RestAdj]]))/400))</f>
        <v>0.92072587538242256</v>
      </c>
      <c r="R387" s="1">
        <v>95</v>
      </c>
      <c r="S387" s="1">
        <v>85</v>
      </c>
      <c r="T387" s="1">
        <v>0</v>
      </c>
      <c r="U387" s="1">
        <f>Games[[#This Row],[PointsFor]]-Games[[#This Row],[PointsAgainst]]</f>
        <v>10</v>
      </c>
      <c r="V387" s="1">
        <f>IF(Games[[#This Row],[MOV]]&gt;0,1,IF(Games[[#This Row],[MOV]]=0,0.5,0))</f>
        <v>1</v>
      </c>
      <c r="W387" s="4">
        <f>((ABS(Games[[#This Row],[MOV]])+5)^0.6)/(12+0.01*(ABS(Games[[#This Row],[PreGmRate]]-Games[[#This Row],[OppPreGmRate]])))*IF(Games[[#This Row],[OT]]=1,0.9,1)</f>
        <v>0.32928390723571727</v>
      </c>
      <c r="X387" s="7" cm="1">
        <f t="array" ref="X38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7" s="9">
        <f>MAX(kmin, kmax - 0.15 * MIN(Games[[#This Row],[GamesPlayed]], 82))</f>
        <v>71.2</v>
      </c>
      <c r="Z387" s="4">
        <f>Games[[#This Row],[K]]*Games[[#This Row],[POMult]]</f>
        <v>71.2</v>
      </c>
      <c r="AA387" s="4">
        <f>(Games[[#This Row],[Keff]]*Games[[#This Row],[MOVMult]])*(Games[[#This Row],[Result]]-Games[[#This Row],[ExpectedWin%]])</f>
        <v>1.8585829769698146</v>
      </c>
      <c r="AB387" s="4">
        <f>Games[[#This Row],[PreGmRate]]+Games[[#This Row],[RatingChange]]</f>
        <v>1625.8489036710373</v>
      </c>
      <c r="AC387" s="2">
        <f>IF(Games[[#This Row],[Type]]="R",IF(Games[[#This Row],[Result]]&gt;0.5,1,0),0)</f>
        <v>1</v>
      </c>
      <c r="AD387" s="2">
        <f>IF(Games[[#This Row],[Type]]="R",IF(Games[[#This Row],[Result]]&lt;0.5,1,0),0)</f>
        <v>0</v>
      </c>
      <c r="AE387" s="2">
        <f>IF(AND(Games[[#This Row],[Type]]="P",Games[[#This Row],[Round]]=1),IF(Games[[#This Row],[Result]]&gt;0.5,1,0),0)</f>
        <v>0</v>
      </c>
      <c r="AF387" s="2">
        <f>IF(AND(Games[[#This Row],[Type]]="P",Games[[#This Row],[Round]]=1),IF(Games[[#This Row],[Result]]&lt;0.5,1,0),0)</f>
        <v>0</v>
      </c>
      <c r="AG387" s="2">
        <f>IF(AND(Games[[#This Row],[Type]]="P",Games[[#This Row],[Round]]=2),IF(Games[[#This Row],[Result]]&gt;0.5,1,0),0)</f>
        <v>0</v>
      </c>
      <c r="AH387" s="2">
        <f>IF(AND(Games[[#This Row],[Type]]="P",Games[[#This Row],[Round]]=2),IF(Games[[#This Row],[Result]]&lt;0.5,1,0),0)</f>
        <v>0</v>
      </c>
      <c r="AI387" s="2">
        <f>IF(AND(Games[[#This Row],[Type]]="P",Games[[#This Row],[Round]]=3),IF(Games[[#This Row],[Result]]&gt;0.5,1,0),0)</f>
        <v>0</v>
      </c>
      <c r="AJ387" s="2">
        <f>IF(AND(Games[[#This Row],[Type]]="P",Games[[#This Row],[Round]]=3),IF(Games[[#This Row],[Result]]&lt;0.5,1,0),0)</f>
        <v>0</v>
      </c>
      <c r="AK387" s="2">
        <f>IF(AND(Games[[#This Row],[Type]]="P",Games[[#This Row],[Round]]=4),IF(Games[[#This Row],[Result]]&gt;0.5,1,0),0)</f>
        <v>0</v>
      </c>
      <c r="AL387" s="2">
        <f>IF(AND(Games[[#This Row],[Type]]="P",Games[[#This Row],[Round]]=4),IF(Games[[#This Row],[Result]]&lt;0.5,1,0),0)</f>
        <v>0</v>
      </c>
    </row>
    <row r="388" spans="1:38" x14ac:dyDescent="0.35">
      <c r="A388" s="10">
        <v>40410</v>
      </c>
      <c r="B388" s="2">
        <v>2010</v>
      </c>
      <c r="C388" s="2">
        <f>COUNTIFS(Games[Team],Games[[#This Row],[Team]],Games[Season],Games[[#This Row],[Season]],Games[Date],"&lt;=" &amp; Games[[#This Row],[Date]])</f>
        <v>33</v>
      </c>
      <c r="D388" s="2" t="s">
        <v>23</v>
      </c>
      <c r="E388" s="2" t="s">
        <v>29</v>
      </c>
      <c r="F388" s="1" t="s">
        <v>80</v>
      </c>
      <c r="G388" s="1" t="s">
        <v>81</v>
      </c>
      <c r="H388" s="1" t="s">
        <v>16</v>
      </c>
      <c r="I388" s="2" cm="1">
        <f t="array" ref="I388">IFERROR(
    Games[[#This Row],[Date]]
    - LOOKUP(
        2,
        1/((Games[Team]=Games[[#This Row],[Team]]) * (Games[Date] &lt; Games[[#This Row],[Date]])),
        Games[Date]
    )
    - 1,
Games[[#This Row],[Date]]-$A$2)</f>
        <v>2</v>
      </c>
      <c r="J388" s="2" cm="1">
        <f t="array" ref="J38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88" s="2">
        <f>Games[[#This Row],[DaysOff]]-Games[[#This Row],[OppDaysOff]]</f>
        <v>0</v>
      </c>
      <c r="L388" s="2">
        <f>Games[[#This Row],[OppDaysOff]]-Games[[#This Row],[DaysOff]]</f>
        <v>0</v>
      </c>
      <c r="M388" s="1">
        <f>MAX(-16, MIN(16, Games[[#This Row],[RestDiff]]*8))</f>
        <v>0</v>
      </c>
      <c r="N388" s="1">
        <f>MAX(-16, MIN(16, Games[[#This Row],[OppRestDiff]]*8))</f>
        <v>0</v>
      </c>
      <c r="O388" s="4" cm="1">
        <f t="array" ref="O3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1484.4042520339076</v>
      </c>
      <c r="P388" s="4" cm="1">
        <f t="array" ref="P3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1472.1657436041114</v>
      </c>
      <c r="Q388" s="4">
        <f>1/(1+10^(((Games[[#This Row],[OppPreGmRate]]+IF(Games[[#This Row],[HomeAway]]="A",HCA,0)+Games[[#This Row],[OppRestAdj]])-(Games[[#This Row],[PreGmRate]]+IF(Games[[#This Row],[HomeAway]]="H",HCA,0)+Games[[#This Row],[RestAdj]]))/400))</f>
        <v>0.39817086549454894</v>
      </c>
      <c r="R388" s="1">
        <v>78</v>
      </c>
      <c r="S388" s="1">
        <v>71</v>
      </c>
      <c r="T388" s="1">
        <v>0</v>
      </c>
      <c r="U388" s="1">
        <f>Games[[#This Row],[PointsFor]]-Games[[#This Row],[PointsAgainst]]</f>
        <v>7</v>
      </c>
      <c r="V388" s="1">
        <f>IF(Games[[#This Row],[MOV]]&gt;0,1,IF(Games[[#This Row],[MOV]]=0,0.5,0))</f>
        <v>1</v>
      </c>
      <c r="W388" s="4">
        <f>((ABS(Games[[#This Row],[MOV]])+5)^0.6)/(12+0.01*(ABS(Games[[#This Row],[PreGmRate]]-Games[[#This Row],[OppPreGmRate]])))*IF(Games[[#This Row],[OT]]=1,0.9,1)</f>
        <v>0.36637064727457025</v>
      </c>
      <c r="X388" s="7" cm="1">
        <f t="array" ref="X38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8" s="9">
        <f>MAX(kmin, kmax - 0.15 * MIN(Games[[#This Row],[GamesPlayed]], 82))</f>
        <v>71.05</v>
      </c>
      <c r="Z388" s="4">
        <f>Games[[#This Row],[K]]*Games[[#This Row],[POMult]]</f>
        <v>71.05</v>
      </c>
      <c r="AA388" s="4">
        <f>(Games[[#This Row],[Keff]]*Games[[#This Row],[MOVMult]])*(Games[[#This Row],[Result]]-Games[[#This Row],[ExpectedWin%]])</f>
        <v>15.665994225057284</v>
      </c>
      <c r="AB388" s="4">
        <f>Games[[#This Row],[PreGmRate]]+Games[[#This Row],[RatingChange]]</f>
        <v>1500.070246258965</v>
      </c>
      <c r="AC388" s="2">
        <f>IF(Games[[#This Row],[Type]]="R",IF(Games[[#This Row],[Result]]&gt;0.5,1,0),0)</f>
        <v>1</v>
      </c>
      <c r="AD388" s="2">
        <f>IF(Games[[#This Row],[Type]]="R",IF(Games[[#This Row],[Result]]&lt;0.5,1,0),0)</f>
        <v>0</v>
      </c>
      <c r="AE388" s="2">
        <f>IF(AND(Games[[#This Row],[Type]]="P",Games[[#This Row],[Round]]=1),IF(Games[[#This Row],[Result]]&gt;0.5,1,0),0)</f>
        <v>0</v>
      </c>
      <c r="AF388" s="2">
        <f>IF(AND(Games[[#This Row],[Type]]="P",Games[[#This Row],[Round]]=1),IF(Games[[#This Row],[Result]]&lt;0.5,1,0),0)</f>
        <v>0</v>
      </c>
      <c r="AG388" s="2">
        <f>IF(AND(Games[[#This Row],[Type]]="P",Games[[#This Row],[Round]]=2),IF(Games[[#This Row],[Result]]&gt;0.5,1,0),0)</f>
        <v>0</v>
      </c>
      <c r="AH388" s="2">
        <f>IF(AND(Games[[#This Row],[Type]]="P",Games[[#This Row],[Round]]=2),IF(Games[[#This Row],[Result]]&lt;0.5,1,0),0)</f>
        <v>0</v>
      </c>
      <c r="AI388" s="2">
        <f>IF(AND(Games[[#This Row],[Type]]="P",Games[[#This Row],[Round]]=3),IF(Games[[#This Row],[Result]]&gt;0.5,1,0),0)</f>
        <v>0</v>
      </c>
      <c r="AJ388" s="2">
        <f>IF(AND(Games[[#This Row],[Type]]="P",Games[[#This Row],[Round]]=3),IF(Games[[#This Row],[Result]]&lt;0.5,1,0),0)</f>
        <v>0</v>
      </c>
      <c r="AK388" s="2">
        <f>IF(AND(Games[[#This Row],[Type]]="P",Games[[#This Row],[Round]]=4),IF(Games[[#This Row],[Result]]&gt;0.5,1,0),0)</f>
        <v>0</v>
      </c>
      <c r="AL388" s="2">
        <f>IF(AND(Games[[#This Row],[Type]]="P",Games[[#This Row],[Round]]=4),IF(Games[[#This Row],[Result]]&lt;0.5,1,0),0)</f>
        <v>0</v>
      </c>
    </row>
    <row r="389" spans="1:38" x14ac:dyDescent="0.35">
      <c r="A389" s="10">
        <v>40410</v>
      </c>
      <c r="B389" s="2">
        <v>2010</v>
      </c>
      <c r="C389" s="2">
        <f>COUNTIFS(Games[Team],Games[[#This Row],[Team]],Games[Season],Games[[#This Row],[Season]],Games[Date],"&lt;=" &amp; Games[[#This Row],[Date]])</f>
        <v>33</v>
      </c>
      <c r="D389" s="2" t="s">
        <v>23</v>
      </c>
      <c r="E389" s="2" t="s">
        <v>29</v>
      </c>
      <c r="F389" s="1" t="s">
        <v>81</v>
      </c>
      <c r="G389" s="1" t="s">
        <v>80</v>
      </c>
      <c r="H389" s="1" t="s">
        <v>15</v>
      </c>
      <c r="I389" s="2" cm="1">
        <f t="array" ref="I389">IFERROR(
    Games[[#This Row],[Date]]
    - LOOKUP(
        2,
        1/((Games[Team]=Games[[#This Row],[Team]]) * (Games[Date] &lt; Games[[#This Row],[Date]])),
        Games[Date]
    )
    - 1,
Games[[#This Row],[Date]]-$A$2)</f>
        <v>2</v>
      </c>
      <c r="J389" s="2" cm="1">
        <f t="array" ref="J38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89" s="2">
        <f>Games[[#This Row],[DaysOff]]-Games[[#This Row],[OppDaysOff]]</f>
        <v>0</v>
      </c>
      <c r="L389" s="2">
        <f>Games[[#This Row],[OppDaysOff]]-Games[[#This Row],[DaysOff]]</f>
        <v>0</v>
      </c>
      <c r="M389" s="1">
        <f>MAX(-16, MIN(16, Games[[#This Row],[RestDiff]]*8))</f>
        <v>0</v>
      </c>
      <c r="N389" s="1">
        <f>MAX(-16, MIN(16, Games[[#This Row],[OppRestDiff]]*8))</f>
        <v>0</v>
      </c>
      <c r="O389" s="4" cm="1">
        <f t="array" ref="O3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1472.1657436041114</v>
      </c>
      <c r="P389" s="4" cm="1">
        <f t="array" ref="P3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1484.4042520339076</v>
      </c>
      <c r="Q389" s="4">
        <f>1/(1+10^(((Games[[#This Row],[OppPreGmRate]]+IF(Games[[#This Row],[HomeAway]]="A",HCA,0)+Games[[#This Row],[OppRestAdj]])-(Games[[#This Row],[PreGmRate]]+IF(Games[[#This Row],[HomeAway]]="H",HCA,0)+Games[[#This Row],[RestAdj]]))/400))</f>
        <v>0.60182913450545106</v>
      </c>
      <c r="R389" s="1">
        <v>71</v>
      </c>
      <c r="S389" s="1">
        <v>78</v>
      </c>
      <c r="T389" s="1">
        <v>0</v>
      </c>
      <c r="U389" s="1">
        <f>Games[[#This Row],[PointsFor]]-Games[[#This Row],[PointsAgainst]]</f>
        <v>-7</v>
      </c>
      <c r="V389" s="1">
        <f>IF(Games[[#This Row],[MOV]]&gt;0,1,IF(Games[[#This Row],[MOV]]=0,0.5,0))</f>
        <v>0</v>
      </c>
      <c r="W389" s="4">
        <f>((ABS(Games[[#This Row],[MOV]])+5)^0.6)/(12+0.01*(ABS(Games[[#This Row],[PreGmRate]]-Games[[#This Row],[OppPreGmRate]])))*IF(Games[[#This Row],[OT]]=1,0.9,1)</f>
        <v>0.36637064727457025</v>
      </c>
      <c r="X389" s="7" cm="1">
        <f t="array" ref="X38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9" s="9">
        <f>MAX(kmin, kmax - 0.15 * MIN(Games[[#This Row],[GamesPlayed]], 82))</f>
        <v>71.05</v>
      </c>
      <c r="Z389" s="4">
        <f>Games[[#This Row],[K]]*Games[[#This Row],[POMult]]</f>
        <v>71.05</v>
      </c>
      <c r="AA389" s="4">
        <f>(Games[[#This Row],[Keff]]*Games[[#This Row],[MOVMult]])*(Games[[#This Row],[Result]]-Games[[#This Row],[ExpectedWin%]])</f>
        <v>-15.665994225057284</v>
      </c>
      <c r="AB389" s="4">
        <f>Games[[#This Row],[PreGmRate]]+Games[[#This Row],[RatingChange]]</f>
        <v>1456.499749379054</v>
      </c>
      <c r="AC389" s="2">
        <f>IF(Games[[#This Row],[Type]]="R",IF(Games[[#This Row],[Result]]&gt;0.5,1,0),0)</f>
        <v>0</v>
      </c>
      <c r="AD389" s="2">
        <f>IF(Games[[#This Row],[Type]]="R",IF(Games[[#This Row],[Result]]&lt;0.5,1,0),0)</f>
        <v>1</v>
      </c>
      <c r="AE389" s="2">
        <f>IF(AND(Games[[#This Row],[Type]]="P",Games[[#This Row],[Round]]=1),IF(Games[[#This Row],[Result]]&gt;0.5,1,0),0)</f>
        <v>0</v>
      </c>
      <c r="AF389" s="2">
        <f>IF(AND(Games[[#This Row],[Type]]="P",Games[[#This Row],[Round]]=1),IF(Games[[#This Row],[Result]]&lt;0.5,1,0),0)</f>
        <v>0</v>
      </c>
      <c r="AG389" s="2">
        <f>IF(AND(Games[[#This Row],[Type]]="P",Games[[#This Row],[Round]]=2),IF(Games[[#This Row],[Result]]&gt;0.5,1,0),0)</f>
        <v>0</v>
      </c>
      <c r="AH389" s="2">
        <f>IF(AND(Games[[#This Row],[Type]]="P",Games[[#This Row],[Round]]=2),IF(Games[[#This Row],[Result]]&lt;0.5,1,0),0)</f>
        <v>0</v>
      </c>
      <c r="AI389" s="2">
        <f>IF(AND(Games[[#This Row],[Type]]="P",Games[[#This Row],[Round]]=3),IF(Games[[#This Row],[Result]]&gt;0.5,1,0),0)</f>
        <v>0</v>
      </c>
      <c r="AJ389" s="2">
        <f>IF(AND(Games[[#This Row],[Type]]="P",Games[[#This Row],[Round]]=3),IF(Games[[#This Row],[Result]]&lt;0.5,1,0),0)</f>
        <v>0</v>
      </c>
      <c r="AK389" s="2">
        <f>IF(AND(Games[[#This Row],[Type]]="P",Games[[#This Row],[Round]]=4),IF(Games[[#This Row],[Result]]&gt;0.5,1,0),0)</f>
        <v>0</v>
      </c>
      <c r="AL389" s="2">
        <f>IF(AND(Games[[#This Row],[Type]]="P",Games[[#This Row],[Round]]=4),IF(Games[[#This Row],[Result]]&lt;0.5,1,0),0)</f>
        <v>0</v>
      </c>
    </row>
    <row r="390" spans="1:38" x14ac:dyDescent="0.35">
      <c r="A390" s="10">
        <v>40410</v>
      </c>
      <c r="B390" s="2">
        <v>2010</v>
      </c>
      <c r="C390" s="2">
        <f>COUNTIFS(Games[Team],Games[[#This Row],[Team]],Games[Season],Games[[#This Row],[Season]],Games[Date],"&lt;=" &amp; Games[[#This Row],[Date]])</f>
        <v>33</v>
      </c>
      <c r="D390" s="2" t="s">
        <v>23</v>
      </c>
      <c r="E390" s="2" t="s">
        <v>29</v>
      </c>
      <c r="F390" s="1" t="s">
        <v>71</v>
      </c>
      <c r="G390" s="1" t="s">
        <v>67</v>
      </c>
      <c r="H390" s="1" t="s">
        <v>16</v>
      </c>
      <c r="I390" s="2" cm="1">
        <f t="array" ref="I390">IFERROR(
    Games[[#This Row],[Date]]
    - LOOKUP(
        2,
        1/((Games[Team]=Games[[#This Row],[Team]]) * (Games[Date] &lt; Games[[#This Row],[Date]])),
        Games[Date]
    )
    - 1,
Games[[#This Row],[Date]]-$A$2)</f>
        <v>2</v>
      </c>
      <c r="J390" s="2" cm="1">
        <f t="array" ref="J39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90" s="2">
        <f>Games[[#This Row],[DaysOff]]-Games[[#This Row],[OppDaysOff]]</f>
        <v>0</v>
      </c>
      <c r="L390" s="2">
        <f>Games[[#This Row],[OppDaysOff]]-Games[[#This Row],[DaysOff]]</f>
        <v>0</v>
      </c>
      <c r="M390" s="1">
        <f>MAX(-16, MIN(16, Games[[#This Row],[RestDiff]]*8))</f>
        <v>0</v>
      </c>
      <c r="N390" s="1">
        <f>MAX(-16, MIN(16, Games[[#This Row],[OppRestDiff]]*8))</f>
        <v>0</v>
      </c>
      <c r="O390" s="4" cm="1">
        <f t="array" ref="O3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1424.4303352158261</v>
      </c>
      <c r="P390" s="4" cm="1">
        <f t="array" ref="P3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1441.1882610241769</v>
      </c>
      <c r="Q390" s="4">
        <f>1/(1+10^(((Games[[#This Row],[OppPreGmRate]]+IF(Games[[#This Row],[HomeAway]]="A",HCA,0)+Games[[#This Row],[OppRestAdj]])-(Games[[#This Row],[PreGmRate]]+IF(Games[[#This Row],[HomeAway]]="H",HCA,0)+Games[[#This Row],[RestAdj]]))/400))</f>
        <v>0.35893046641238435</v>
      </c>
      <c r="R390" s="1">
        <v>91</v>
      </c>
      <c r="S390" s="1">
        <v>98</v>
      </c>
      <c r="T390" s="1">
        <v>0</v>
      </c>
      <c r="U390" s="1">
        <f>Games[[#This Row],[PointsFor]]-Games[[#This Row],[PointsAgainst]]</f>
        <v>-7</v>
      </c>
      <c r="V390" s="1">
        <f>IF(Games[[#This Row],[MOV]]&gt;0,1,IF(Games[[#This Row],[MOV]]=0,0.5,0))</f>
        <v>0</v>
      </c>
      <c r="W390" s="4">
        <f>((ABS(Games[[#This Row],[MOV]])+5)^0.6)/(12+0.01*(ABS(Games[[#This Row],[PreGmRate]]-Games[[#This Row],[OppPreGmRate]])))*IF(Games[[#This Row],[OT]]=1,0.9,1)</f>
        <v>0.3650098327401714</v>
      </c>
      <c r="X390" s="7" cm="1">
        <f t="array" ref="X39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0" s="9">
        <f>MAX(kmin, kmax - 0.15 * MIN(Games[[#This Row],[GamesPlayed]], 82))</f>
        <v>71.05</v>
      </c>
      <c r="Z390" s="4">
        <f>Games[[#This Row],[K]]*Games[[#This Row],[POMult]]</f>
        <v>71.05</v>
      </c>
      <c r="AA390" s="4">
        <f>(Games[[#This Row],[Keff]]*Games[[#This Row],[MOVMult]])*(Games[[#This Row],[Result]]-Games[[#This Row],[ExpectedWin%]])</f>
        <v>-9.3084842727235912</v>
      </c>
      <c r="AB390" s="4">
        <f>Games[[#This Row],[PreGmRate]]+Games[[#This Row],[RatingChange]]</f>
        <v>1415.1218509431026</v>
      </c>
      <c r="AC390" s="2">
        <f>IF(Games[[#This Row],[Type]]="R",IF(Games[[#This Row],[Result]]&gt;0.5,1,0),0)</f>
        <v>0</v>
      </c>
      <c r="AD390" s="2">
        <f>IF(Games[[#This Row],[Type]]="R",IF(Games[[#This Row],[Result]]&lt;0.5,1,0),0)</f>
        <v>1</v>
      </c>
      <c r="AE390" s="2">
        <f>IF(AND(Games[[#This Row],[Type]]="P",Games[[#This Row],[Round]]=1),IF(Games[[#This Row],[Result]]&gt;0.5,1,0),0)</f>
        <v>0</v>
      </c>
      <c r="AF390" s="2">
        <f>IF(AND(Games[[#This Row],[Type]]="P",Games[[#This Row],[Round]]=1),IF(Games[[#This Row],[Result]]&lt;0.5,1,0),0)</f>
        <v>0</v>
      </c>
      <c r="AG390" s="2">
        <f>IF(AND(Games[[#This Row],[Type]]="P",Games[[#This Row],[Round]]=2),IF(Games[[#This Row],[Result]]&gt;0.5,1,0),0)</f>
        <v>0</v>
      </c>
      <c r="AH390" s="2">
        <f>IF(AND(Games[[#This Row],[Type]]="P",Games[[#This Row],[Round]]=2),IF(Games[[#This Row],[Result]]&lt;0.5,1,0),0)</f>
        <v>0</v>
      </c>
      <c r="AI390" s="2">
        <f>IF(AND(Games[[#This Row],[Type]]="P",Games[[#This Row],[Round]]=3),IF(Games[[#This Row],[Result]]&gt;0.5,1,0),0)</f>
        <v>0</v>
      </c>
      <c r="AJ390" s="2">
        <f>IF(AND(Games[[#This Row],[Type]]="P",Games[[#This Row],[Round]]=3),IF(Games[[#This Row],[Result]]&lt;0.5,1,0),0)</f>
        <v>0</v>
      </c>
      <c r="AK390" s="2">
        <f>IF(AND(Games[[#This Row],[Type]]="P",Games[[#This Row],[Round]]=4),IF(Games[[#This Row],[Result]]&gt;0.5,1,0),0)</f>
        <v>0</v>
      </c>
      <c r="AL390" s="2">
        <f>IF(AND(Games[[#This Row],[Type]]="P",Games[[#This Row],[Round]]=4),IF(Games[[#This Row],[Result]]&lt;0.5,1,0),0)</f>
        <v>0</v>
      </c>
    </row>
    <row r="391" spans="1:38" x14ac:dyDescent="0.35">
      <c r="A391" s="10">
        <v>40410</v>
      </c>
      <c r="B391" s="2">
        <v>2010</v>
      </c>
      <c r="C391" s="2">
        <f>COUNTIFS(Games[Team],Games[[#This Row],[Team]],Games[Season],Games[[#This Row],[Season]],Games[Date],"&lt;=" &amp; Games[[#This Row],[Date]])</f>
        <v>33</v>
      </c>
      <c r="D391" s="2" t="s">
        <v>23</v>
      </c>
      <c r="E391" s="2" t="s">
        <v>29</v>
      </c>
      <c r="F391" s="1" t="s">
        <v>67</v>
      </c>
      <c r="G391" s="1" t="s">
        <v>71</v>
      </c>
      <c r="H391" s="1" t="s">
        <v>15</v>
      </c>
      <c r="I391" s="2" cm="1">
        <f t="array" ref="I391">IFERROR(
    Games[[#This Row],[Date]]
    - LOOKUP(
        2,
        1/((Games[Team]=Games[[#This Row],[Team]]) * (Games[Date] &lt; Games[[#This Row],[Date]])),
        Games[Date]
    )
    - 1,
Games[[#This Row],[Date]]-$A$2)</f>
        <v>2</v>
      </c>
      <c r="J391" s="2" cm="1">
        <f t="array" ref="J39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91" s="2">
        <f>Games[[#This Row],[DaysOff]]-Games[[#This Row],[OppDaysOff]]</f>
        <v>0</v>
      </c>
      <c r="L391" s="2">
        <f>Games[[#This Row],[OppDaysOff]]-Games[[#This Row],[DaysOff]]</f>
        <v>0</v>
      </c>
      <c r="M391" s="1">
        <f>MAX(-16, MIN(16, Games[[#This Row],[RestDiff]]*8))</f>
        <v>0</v>
      </c>
      <c r="N391" s="1">
        <f>MAX(-16, MIN(16, Games[[#This Row],[OppRestDiff]]*8))</f>
        <v>0</v>
      </c>
      <c r="O391" s="4" cm="1">
        <f t="array" ref="O3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1441.1882610241769</v>
      </c>
      <c r="P391" s="4" cm="1">
        <f t="array" ref="P3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1424.4303352158261</v>
      </c>
      <c r="Q391" s="4">
        <f>1/(1+10^(((Games[[#This Row],[OppPreGmRate]]+IF(Games[[#This Row],[HomeAway]]="A",HCA,0)+Games[[#This Row],[OppRestAdj]])-(Games[[#This Row],[PreGmRate]]+IF(Games[[#This Row],[HomeAway]]="H",HCA,0)+Games[[#This Row],[RestAdj]]))/400))</f>
        <v>0.64106953358761565</v>
      </c>
      <c r="R391" s="1">
        <v>98</v>
      </c>
      <c r="S391" s="1">
        <v>91</v>
      </c>
      <c r="T391" s="1">
        <v>0</v>
      </c>
      <c r="U391" s="1">
        <f>Games[[#This Row],[PointsFor]]-Games[[#This Row],[PointsAgainst]]</f>
        <v>7</v>
      </c>
      <c r="V391" s="1">
        <f>IF(Games[[#This Row],[MOV]]&gt;0,1,IF(Games[[#This Row],[MOV]]=0,0.5,0))</f>
        <v>1</v>
      </c>
      <c r="W391" s="4">
        <f>((ABS(Games[[#This Row],[MOV]])+5)^0.6)/(12+0.01*(ABS(Games[[#This Row],[PreGmRate]]-Games[[#This Row],[OppPreGmRate]])))*IF(Games[[#This Row],[OT]]=1,0.9,1)</f>
        <v>0.3650098327401714</v>
      </c>
      <c r="X391" s="7" cm="1">
        <f t="array" ref="X39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1" s="9">
        <f>MAX(kmin, kmax - 0.15 * MIN(Games[[#This Row],[GamesPlayed]], 82))</f>
        <v>71.05</v>
      </c>
      <c r="Z391" s="4">
        <f>Games[[#This Row],[K]]*Games[[#This Row],[POMult]]</f>
        <v>71.05</v>
      </c>
      <c r="AA391" s="4">
        <f>(Games[[#This Row],[Keff]]*Games[[#This Row],[MOVMult]])*(Games[[#This Row],[Result]]-Games[[#This Row],[ExpectedWin%]])</f>
        <v>9.3084842727235912</v>
      </c>
      <c r="AB391" s="4">
        <f>Games[[#This Row],[PreGmRate]]+Games[[#This Row],[RatingChange]]</f>
        <v>1450.4967452969004</v>
      </c>
      <c r="AC391" s="2">
        <f>IF(Games[[#This Row],[Type]]="R",IF(Games[[#This Row],[Result]]&gt;0.5,1,0),0)</f>
        <v>1</v>
      </c>
      <c r="AD391" s="2">
        <f>IF(Games[[#This Row],[Type]]="R",IF(Games[[#This Row],[Result]]&lt;0.5,1,0),0)</f>
        <v>0</v>
      </c>
      <c r="AE391" s="2">
        <f>IF(AND(Games[[#This Row],[Type]]="P",Games[[#This Row],[Round]]=1),IF(Games[[#This Row],[Result]]&gt;0.5,1,0),0)</f>
        <v>0</v>
      </c>
      <c r="AF391" s="2">
        <f>IF(AND(Games[[#This Row],[Type]]="P",Games[[#This Row],[Round]]=1),IF(Games[[#This Row],[Result]]&lt;0.5,1,0),0)</f>
        <v>0</v>
      </c>
      <c r="AG391" s="2">
        <f>IF(AND(Games[[#This Row],[Type]]="P",Games[[#This Row],[Round]]=2),IF(Games[[#This Row],[Result]]&gt;0.5,1,0),0)</f>
        <v>0</v>
      </c>
      <c r="AH391" s="2">
        <f>IF(AND(Games[[#This Row],[Type]]="P",Games[[#This Row],[Round]]=2),IF(Games[[#This Row],[Result]]&lt;0.5,1,0),0)</f>
        <v>0</v>
      </c>
      <c r="AI391" s="2">
        <f>IF(AND(Games[[#This Row],[Type]]="P",Games[[#This Row],[Round]]=3),IF(Games[[#This Row],[Result]]&gt;0.5,1,0),0)</f>
        <v>0</v>
      </c>
      <c r="AJ391" s="2">
        <f>IF(AND(Games[[#This Row],[Type]]="P",Games[[#This Row],[Round]]=3),IF(Games[[#This Row],[Result]]&lt;0.5,1,0),0)</f>
        <v>0</v>
      </c>
      <c r="AK391" s="2">
        <f>IF(AND(Games[[#This Row],[Type]]="P",Games[[#This Row],[Round]]=4),IF(Games[[#This Row],[Result]]&gt;0.5,1,0),0)</f>
        <v>0</v>
      </c>
      <c r="AL391" s="2">
        <f>IF(AND(Games[[#This Row],[Type]]="P",Games[[#This Row],[Round]]=4),IF(Games[[#This Row],[Result]]&lt;0.5,1,0),0)</f>
        <v>0</v>
      </c>
    </row>
    <row r="392" spans="1:38" x14ac:dyDescent="0.35">
      <c r="A392" s="10">
        <v>40410</v>
      </c>
      <c r="B392" s="2">
        <v>2010</v>
      </c>
      <c r="C392" s="2">
        <f>COUNTIFS(Games[Team],Games[[#This Row],[Team]],Games[Season],Games[[#This Row],[Season]],Games[Date],"&lt;=" &amp; Games[[#This Row],[Date]])</f>
        <v>33</v>
      </c>
      <c r="D392" s="2" t="s">
        <v>23</v>
      </c>
      <c r="E392" s="2" t="s">
        <v>29</v>
      </c>
      <c r="F392" s="1" t="s">
        <v>75</v>
      </c>
      <c r="G392" s="1" t="s">
        <v>44</v>
      </c>
      <c r="H392" s="1" t="s">
        <v>16</v>
      </c>
      <c r="I392" s="2" cm="1">
        <f t="array" ref="I392">IFERROR(
    Games[[#This Row],[Date]]
    - LOOKUP(
        2,
        1/((Games[Team]=Games[[#This Row],[Team]]) * (Games[Date] &lt; Games[[#This Row],[Date]])),
        Games[Date]
    )
    - 1,
Games[[#This Row],[Date]]-$A$2)</f>
        <v>2</v>
      </c>
      <c r="J392" s="2" cm="1">
        <f t="array" ref="J39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92" s="2">
        <f>Games[[#This Row],[DaysOff]]-Games[[#This Row],[OppDaysOff]]</f>
        <v>0</v>
      </c>
      <c r="L392" s="2">
        <f>Games[[#This Row],[OppDaysOff]]-Games[[#This Row],[DaysOff]]</f>
        <v>0</v>
      </c>
      <c r="M392" s="1">
        <f>MAX(-16, MIN(16, Games[[#This Row],[RestDiff]]*8))</f>
        <v>0</v>
      </c>
      <c r="N392" s="1">
        <f>MAX(-16, MIN(16, Games[[#This Row],[OppRestDiff]]*8))</f>
        <v>0</v>
      </c>
      <c r="O392" s="4" cm="1">
        <f t="array" ref="O3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1647.6467297533645</v>
      </c>
      <c r="P392" s="4" cm="1">
        <f t="array" ref="P3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1517.6870615051512</v>
      </c>
      <c r="Q392" s="4">
        <f>1/(1+10^(((Games[[#This Row],[OppPreGmRate]]+IF(Games[[#This Row],[HomeAway]]="A",HCA,0)+Games[[#This Row],[OppRestAdj]])-(Games[[#This Row],[PreGmRate]]+IF(Games[[#This Row],[HomeAway]]="H",HCA,0)+Games[[#This Row],[RestAdj]]))/400))</f>
        <v>0.56575816581082139</v>
      </c>
      <c r="R392" s="1">
        <v>78</v>
      </c>
      <c r="S392" s="1">
        <v>73</v>
      </c>
      <c r="T392" s="1">
        <v>0</v>
      </c>
      <c r="U392" s="1">
        <f>Games[[#This Row],[PointsFor]]-Games[[#This Row],[PointsAgainst]]</f>
        <v>5</v>
      </c>
      <c r="V392" s="1">
        <f>IF(Games[[#This Row],[MOV]]&gt;0,1,IF(Games[[#This Row],[MOV]]=0,0.5,0))</f>
        <v>1</v>
      </c>
      <c r="W392" s="4">
        <f>((ABS(Games[[#This Row],[MOV]])+5)^0.6)/(12+0.01*(ABS(Games[[#This Row],[PreGmRate]]-Games[[#This Row],[OppPreGmRate]])))*IF(Games[[#This Row],[OT]]=1,0.9,1)</f>
        <v>0.29933777697023939</v>
      </c>
      <c r="X392" s="7" cm="1">
        <f t="array" ref="X39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2" s="9">
        <f>MAX(kmin, kmax - 0.15 * MIN(Games[[#This Row],[GamesPlayed]], 82))</f>
        <v>71.05</v>
      </c>
      <c r="Z392" s="4">
        <f>Games[[#This Row],[K]]*Games[[#This Row],[POMult]]</f>
        <v>71.05</v>
      </c>
      <c r="AA392" s="4">
        <f>(Games[[#This Row],[Keff]]*Games[[#This Row],[MOVMult]])*(Games[[#This Row],[Result]]-Games[[#This Row],[ExpectedWin%]])</f>
        <v>9.2354332065361113</v>
      </c>
      <c r="AB392" s="4">
        <f>Games[[#This Row],[PreGmRate]]+Games[[#This Row],[RatingChange]]</f>
        <v>1656.8821629599006</v>
      </c>
      <c r="AC392" s="2">
        <f>IF(Games[[#This Row],[Type]]="R",IF(Games[[#This Row],[Result]]&gt;0.5,1,0),0)</f>
        <v>1</v>
      </c>
      <c r="AD392" s="2">
        <f>IF(Games[[#This Row],[Type]]="R",IF(Games[[#This Row],[Result]]&lt;0.5,1,0),0)</f>
        <v>0</v>
      </c>
      <c r="AE392" s="2">
        <f>IF(AND(Games[[#This Row],[Type]]="P",Games[[#This Row],[Round]]=1),IF(Games[[#This Row],[Result]]&gt;0.5,1,0),0)</f>
        <v>0</v>
      </c>
      <c r="AF392" s="2">
        <f>IF(AND(Games[[#This Row],[Type]]="P",Games[[#This Row],[Round]]=1),IF(Games[[#This Row],[Result]]&lt;0.5,1,0),0)</f>
        <v>0</v>
      </c>
      <c r="AG392" s="2">
        <f>IF(AND(Games[[#This Row],[Type]]="P",Games[[#This Row],[Round]]=2),IF(Games[[#This Row],[Result]]&gt;0.5,1,0),0)</f>
        <v>0</v>
      </c>
      <c r="AH392" s="2">
        <f>IF(AND(Games[[#This Row],[Type]]="P",Games[[#This Row],[Round]]=2),IF(Games[[#This Row],[Result]]&lt;0.5,1,0),0)</f>
        <v>0</v>
      </c>
      <c r="AI392" s="2">
        <f>IF(AND(Games[[#This Row],[Type]]="P",Games[[#This Row],[Round]]=3),IF(Games[[#This Row],[Result]]&gt;0.5,1,0),0)</f>
        <v>0</v>
      </c>
      <c r="AJ392" s="2">
        <f>IF(AND(Games[[#This Row],[Type]]="P",Games[[#This Row],[Round]]=3),IF(Games[[#This Row],[Result]]&lt;0.5,1,0),0)</f>
        <v>0</v>
      </c>
      <c r="AK392" s="2">
        <f>IF(AND(Games[[#This Row],[Type]]="P",Games[[#This Row],[Round]]=4),IF(Games[[#This Row],[Result]]&gt;0.5,1,0),0)</f>
        <v>0</v>
      </c>
      <c r="AL392" s="2">
        <f>IF(AND(Games[[#This Row],[Type]]="P",Games[[#This Row],[Round]]=4),IF(Games[[#This Row],[Result]]&lt;0.5,1,0),0)</f>
        <v>0</v>
      </c>
    </row>
    <row r="393" spans="1:38" x14ac:dyDescent="0.35">
      <c r="A393" s="10">
        <v>40410</v>
      </c>
      <c r="B393" s="2">
        <v>2010</v>
      </c>
      <c r="C393" s="2">
        <f>COUNTIFS(Games[Team],Games[[#This Row],[Team]],Games[Season],Games[[#This Row],[Season]],Games[Date],"&lt;=" &amp; Games[[#This Row],[Date]])</f>
        <v>33</v>
      </c>
      <c r="D393" s="2" t="s">
        <v>23</v>
      </c>
      <c r="E393" s="2" t="s">
        <v>29</v>
      </c>
      <c r="F393" s="1" t="s">
        <v>44</v>
      </c>
      <c r="G393" s="1" t="s">
        <v>75</v>
      </c>
      <c r="H393" s="1" t="s">
        <v>15</v>
      </c>
      <c r="I393" s="2" cm="1">
        <f t="array" ref="I393">IFERROR(
    Games[[#This Row],[Date]]
    - LOOKUP(
        2,
        1/((Games[Team]=Games[[#This Row],[Team]]) * (Games[Date] &lt; Games[[#This Row],[Date]])),
        Games[Date]
    )
    - 1,
Games[[#This Row],[Date]]-$A$2)</f>
        <v>2</v>
      </c>
      <c r="J393" s="2" cm="1">
        <f t="array" ref="J39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93" s="2">
        <f>Games[[#This Row],[DaysOff]]-Games[[#This Row],[OppDaysOff]]</f>
        <v>0</v>
      </c>
      <c r="L393" s="2">
        <f>Games[[#This Row],[OppDaysOff]]-Games[[#This Row],[DaysOff]]</f>
        <v>0</v>
      </c>
      <c r="M393" s="1">
        <f>MAX(-16, MIN(16, Games[[#This Row],[RestDiff]]*8))</f>
        <v>0</v>
      </c>
      <c r="N393" s="1">
        <f>MAX(-16, MIN(16, Games[[#This Row],[OppRestDiff]]*8))</f>
        <v>0</v>
      </c>
      <c r="O393" s="4" cm="1">
        <f t="array" ref="O3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1517.6870615051512</v>
      </c>
      <c r="P393" s="4" cm="1">
        <f t="array" ref="P3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1647.6467297533645</v>
      </c>
      <c r="Q393" s="4">
        <f>1/(1+10^(((Games[[#This Row],[OppPreGmRate]]+IF(Games[[#This Row],[HomeAway]]="A",HCA,0)+Games[[#This Row],[OppRestAdj]])-(Games[[#This Row],[PreGmRate]]+IF(Games[[#This Row],[HomeAway]]="H",HCA,0)+Games[[#This Row],[RestAdj]]))/400))</f>
        <v>0.43424183418917855</v>
      </c>
      <c r="R393" s="1">
        <v>73</v>
      </c>
      <c r="S393" s="1">
        <v>78</v>
      </c>
      <c r="T393" s="1">
        <v>0</v>
      </c>
      <c r="U393" s="1">
        <f>Games[[#This Row],[PointsFor]]-Games[[#This Row],[PointsAgainst]]</f>
        <v>-5</v>
      </c>
      <c r="V393" s="1">
        <f>IF(Games[[#This Row],[MOV]]&gt;0,1,IF(Games[[#This Row],[MOV]]=0,0.5,0))</f>
        <v>0</v>
      </c>
      <c r="W393" s="4">
        <f>((ABS(Games[[#This Row],[MOV]])+5)^0.6)/(12+0.01*(ABS(Games[[#This Row],[PreGmRate]]-Games[[#This Row],[OppPreGmRate]])))*IF(Games[[#This Row],[OT]]=1,0.9,1)</f>
        <v>0.29933777697023939</v>
      </c>
      <c r="X393" s="7" cm="1">
        <f t="array" ref="X39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3" s="9">
        <f>MAX(kmin, kmax - 0.15 * MIN(Games[[#This Row],[GamesPlayed]], 82))</f>
        <v>71.05</v>
      </c>
      <c r="Z393" s="4">
        <f>Games[[#This Row],[K]]*Games[[#This Row],[POMult]]</f>
        <v>71.05</v>
      </c>
      <c r="AA393" s="4">
        <f>(Games[[#This Row],[Keff]]*Games[[#This Row],[MOVMult]])*(Games[[#This Row],[Result]]-Games[[#This Row],[ExpectedWin%]])</f>
        <v>-9.2354332065361113</v>
      </c>
      <c r="AB393" s="4">
        <f>Games[[#This Row],[PreGmRate]]+Games[[#This Row],[RatingChange]]</f>
        <v>1508.4516282986151</v>
      </c>
      <c r="AC393" s="2">
        <f>IF(Games[[#This Row],[Type]]="R",IF(Games[[#This Row],[Result]]&gt;0.5,1,0),0)</f>
        <v>0</v>
      </c>
      <c r="AD393" s="2">
        <f>IF(Games[[#This Row],[Type]]="R",IF(Games[[#This Row],[Result]]&lt;0.5,1,0),0)</f>
        <v>1</v>
      </c>
      <c r="AE393" s="2">
        <f>IF(AND(Games[[#This Row],[Type]]="P",Games[[#This Row],[Round]]=1),IF(Games[[#This Row],[Result]]&gt;0.5,1,0),0)</f>
        <v>0</v>
      </c>
      <c r="AF393" s="2">
        <f>IF(AND(Games[[#This Row],[Type]]="P",Games[[#This Row],[Round]]=1),IF(Games[[#This Row],[Result]]&lt;0.5,1,0),0)</f>
        <v>0</v>
      </c>
      <c r="AG393" s="2">
        <f>IF(AND(Games[[#This Row],[Type]]="P",Games[[#This Row],[Round]]=2),IF(Games[[#This Row],[Result]]&gt;0.5,1,0),0)</f>
        <v>0</v>
      </c>
      <c r="AH393" s="2">
        <f>IF(AND(Games[[#This Row],[Type]]="P",Games[[#This Row],[Round]]=2),IF(Games[[#This Row],[Result]]&lt;0.5,1,0),0)</f>
        <v>0</v>
      </c>
      <c r="AI393" s="2">
        <f>IF(AND(Games[[#This Row],[Type]]="P",Games[[#This Row],[Round]]=3),IF(Games[[#This Row],[Result]]&gt;0.5,1,0),0)</f>
        <v>0</v>
      </c>
      <c r="AJ393" s="2">
        <f>IF(AND(Games[[#This Row],[Type]]="P",Games[[#This Row],[Round]]=3),IF(Games[[#This Row],[Result]]&lt;0.5,1,0),0)</f>
        <v>0</v>
      </c>
      <c r="AK393" s="2">
        <f>IF(AND(Games[[#This Row],[Type]]="P",Games[[#This Row],[Round]]=4),IF(Games[[#This Row],[Result]]&gt;0.5,1,0),0)</f>
        <v>0</v>
      </c>
      <c r="AL393" s="2">
        <f>IF(AND(Games[[#This Row],[Type]]="P",Games[[#This Row],[Round]]=4),IF(Games[[#This Row],[Result]]&lt;0.5,1,0),0)</f>
        <v>0</v>
      </c>
    </row>
    <row r="394" spans="1:38" x14ac:dyDescent="0.35">
      <c r="A394" s="10">
        <v>40410</v>
      </c>
      <c r="B394" s="2">
        <v>2010</v>
      </c>
      <c r="C394" s="2">
        <f>COUNTIFS(Games[Team],Games[[#This Row],[Team]],Games[Season],Games[[#This Row],[Season]],Games[Date],"&lt;=" &amp; Games[[#This Row],[Date]])</f>
        <v>33</v>
      </c>
      <c r="D394" s="2" t="s">
        <v>23</v>
      </c>
      <c r="E394" s="2" t="s">
        <v>29</v>
      </c>
      <c r="F394" s="1" t="s">
        <v>73</v>
      </c>
      <c r="G394" s="1" t="s">
        <v>78</v>
      </c>
      <c r="H394" s="1" t="s">
        <v>16</v>
      </c>
      <c r="I394" s="2" cm="1">
        <f t="array" ref="I394">IFERROR(
    Games[[#This Row],[Date]]
    - LOOKUP(
        2,
        1/((Games[Team]=Games[[#This Row],[Team]]) * (Games[Date] &lt; Games[[#This Row],[Date]])),
        Games[Date]
    )
    - 1,
Games[[#This Row],[Date]]-$A$2)</f>
        <v>2</v>
      </c>
      <c r="J394" s="2" cm="1">
        <f t="array" ref="J39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94" s="2">
        <f>Games[[#This Row],[DaysOff]]-Games[[#This Row],[OppDaysOff]]</f>
        <v>0</v>
      </c>
      <c r="L394" s="2">
        <f>Games[[#This Row],[OppDaysOff]]-Games[[#This Row],[DaysOff]]</f>
        <v>0</v>
      </c>
      <c r="M394" s="1">
        <f>MAX(-16, MIN(16, Games[[#This Row],[RestDiff]]*8))</f>
        <v>0</v>
      </c>
      <c r="N394" s="1">
        <f>MAX(-16, MIN(16, Games[[#This Row],[OppRestDiff]]*8))</f>
        <v>0</v>
      </c>
      <c r="O394" s="4" cm="1">
        <f t="array" ref="O3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1619.84283954343</v>
      </c>
      <c r="P394" s="4" cm="1">
        <f t="array" ref="P3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1414.9900089434693</v>
      </c>
      <c r="Q394" s="4">
        <f>1/(1+10^(((Games[[#This Row],[OppPreGmRate]]+IF(Games[[#This Row],[HomeAway]]="A",HCA,0)+Games[[#This Row],[OppRestAdj]])-(Games[[#This Row],[PreGmRate]]+IF(Games[[#This Row],[HomeAway]]="H",HCA,0)+Games[[#This Row],[RestAdj]]))/400))</f>
        <v>0.66723034682933835</v>
      </c>
      <c r="R394" s="1">
        <v>61</v>
      </c>
      <c r="S394" s="1">
        <v>75</v>
      </c>
      <c r="T394" s="1">
        <v>0</v>
      </c>
      <c r="U394" s="1">
        <f>Games[[#This Row],[PointsFor]]-Games[[#This Row],[PointsAgainst]]</f>
        <v>-14</v>
      </c>
      <c r="V394" s="1">
        <f>IF(Games[[#This Row],[MOV]]&gt;0,1,IF(Games[[#This Row],[MOV]]=0,0.5,0))</f>
        <v>0</v>
      </c>
      <c r="W394" s="4">
        <f>((ABS(Games[[#This Row],[MOV]])+5)^0.6)/(12+0.01*(ABS(Games[[#This Row],[PreGmRate]]-Games[[#This Row],[OppPreGmRate]])))*IF(Games[[#This Row],[OT]]=1,0.9,1)</f>
        <v>0.41650606490292241</v>
      </c>
      <c r="X394" s="7" cm="1">
        <f t="array" ref="X39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4" s="9">
        <f>MAX(kmin, kmax - 0.15 * MIN(Games[[#This Row],[GamesPlayed]], 82))</f>
        <v>71.05</v>
      </c>
      <c r="Z394" s="4">
        <f>Games[[#This Row],[K]]*Games[[#This Row],[POMult]]</f>
        <v>71.05</v>
      </c>
      <c r="AA394" s="4">
        <f>(Games[[#This Row],[Keff]]*Games[[#This Row],[MOVMult]])*(Games[[#This Row],[Result]]-Games[[#This Row],[ExpectedWin%]])</f>
        <v>-19.745184790367773</v>
      </c>
      <c r="AB394" s="4">
        <f>Games[[#This Row],[PreGmRate]]+Games[[#This Row],[RatingChange]]</f>
        <v>1600.0976547530622</v>
      </c>
      <c r="AC394" s="2">
        <f>IF(Games[[#This Row],[Type]]="R",IF(Games[[#This Row],[Result]]&gt;0.5,1,0),0)</f>
        <v>0</v>
      </c>
      <c r="AD394" s="2">
        <f>IF(Games[[#This Row],[Type]]="R",IF(Games[[#This Row],[Result]]&lt;0.5,1,0),0)</f>
        <v>1</v>
      </c>
      <c r="AE394" s="2">
        <f>IF(AND(Games[[#This Row],[Type]]="P",Games[[#This Row],[Round]]=1),IF(Games[[#This Row],[Result]]&gt;0.5,1,0),0)</f>
        <v>0</v>
      </c>
      <c r="AF394" s="2">
        <f>IF(AND(Games[[#This Row],[Type]]="P",Games[[#This Row],[Round]]=1),IF(Games[[#This Row],[Result]]&lt;0.5,1,0),0)</f>
        <v>0</v>
      </c>
      <c r="AG394" s="2">
        <f>IF(AND(Games[[#This Row],[Type]]="P",Games[[#This Row],[Round]]=2),IF(Games[[#This Row],[Result]]&gt;0.5,1,0),0)</f>
        <v>0</v>
      </c>
      <c r="AH394" s="2">
        <f>IF(AND(Games[[#This Row],[Type]]="P",Games[[#This Row],[Round]]=2),IF(Games[[#This Row],[Result]]&lt;0.5,1,0),0)</f>
        <v>0</v>
      </c>
      <c r="AI394" s="2">
        <f>IF(AND(Games[[#This Row],[Type]]="P",Games[[#This Row],[Round]]=3),IF(Games[[#This Row],[Result]]&gt;0.5,1,0),0)</f>
        <v>0</v>
      </c>
      <c r="AJ394" s="2">
        <f>IF(AND(Games[[#This Row],[Type]]="P",Games[[#This Row],[Round]]=3),IF(Games[[#This Row],[Result]]&lt;0.5,1,0),0)</f>
        <v>0</v>
      </c>
      <c r="AK394" s="2">
        <f>IF(AND(Games[[#This Row],[Type]]="P",Games[[#This Row],[Round]]=4),IF(Games[[#This Row],[Result]]&gt;0.5,1,0),0)</f>
        <v>0</v>
      </c>
      <c r="AL394" s="2">
        <f>IF(AND(Games[[#This Row],[Type]]="P",Games[[#This Row],[Round]]=4),IF(Games[[#This Row],[Result]]&lt;0.5,1,0),0)</f>
        <v>0</v>
      </c>
    </row>
    <row r="395" spans="1:38" x14ac:dyDescent="0.35">
      <c r="A395" s="10">
        <v>40410</v>
      </c>
      <c r="B395" s="2">
        <v>2010</v>
      </c>
      <c r="C395" s="2">
        <f>COUNTIFS(Games[Team],Games[[#This Row],[Team]],Games[Season],Games[[#This Row],[Season]],Games[Date],"&lt;=" &amp; Games[[#This Row],[Date]])</f>
        <v>33</v>
      </c>
      <c r="D395" s="2" t="s">
        <v>23</v>
      </c>
      <c r="E395" s="2" t="s">
        <v>29</v>
      </c>
      <c r="F395" s="1" t="s">
        <v>78</v>
      </c>
      <c r="G395" s="1" t="s">
        <v>73</v>
      </c>
      <c r="H395" s="1" t="s">
        <v>15</v>
      </c>
      <c r="I395" s="2" cm="1">
        <f t="array" ref="I395">IFERROR(
    Games[[#This Row],[Date]]
    - LOOKUP(
        2,
        1/((Games[Team]=Games[[#This Row],[Team]]) * (Games[Date] &lt; Games[[#This Row],[Date]])),
        Games[Date]
    )
    - 1,
Games[[#This Row],[Date]]-$A$2)</f>
        <v>2</v>
      </c>
      <c r="J395" s="2" cm="1">
        <f t="array" ref="J39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95" s="2">
        <f>Games[[#This Row],[DaysOff]]-Games[[#This Row],[OppDaysOff]]</f>
        <v>0</v>
      </c>
      <c r="L395" s="2">
        <f>Games[[#This Row],[OppDaysOff]]-Games[[#This Row],[DaysOff]]</f>
        <v>0</v>
      </c>
      <c r="M395" s="1">
        <f>MAX(-16, MIN(16, Games[[#This Row],[RestDiff]]*8))</f>
        <v>0</v>
      </c>
      <c r="N395" s="1">
        <f>MAX(-16, MIN(16, Games[[#This Row],[OppRestDiff]]*8))</f>
        <v>0</v>
      </c>
      <c r="O395" s="4" cm="1">
        <f t="array" ref="O3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1414.9900089434693</v>
      </c>
      <c r="P395" s="4" cm="1">
        <f t="array" ref="P3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1619.84283954343</v>
      </c>
      <c r="Q395" s="4">
        <f>1/(1+10^(((Games[[#This Row],[OppPreGmRate]]+IF(Games[[#This Row],[HomeAway]]="A",HCA,0)+Games[[#This Row],[OppRestAdj]])-(Games[[#This Row],[PreGmRate]]+IF(Games[[#This Row],[HomeAway]]="H",HCA,0)+Games[[#This Row],[RestAdj]]))/400))</f>
        <v>0.33276965317066165</v>
      </c>
      <c r="R395" s="1">
        <v>75</v>
      </c>
      <c r="S395" s="1">
        <v>61</v>
      </c>
      <c r="T395" s="1">
        <v>0</v>
      </c>
      <c r="U395" s="1">
        <f>Games[[#This Row],[PointsFor]]-Games[[#This Row],[PointsAgainst]]</f>
        <v>14</v>
      </c>
      <c r="V395" s="1">
        <f>IF(Games[[#This Row],[MOV]]&gt;0,1,IF(Games[[#This Row],[MOV]]=0,0.5,0))</f>
        <v>1</v>
      </c>
      <c r="W395" s="4">
        <f>((ABS(Games[[#This Row],[MOV]])+5)^0.6)/(12+0.01*(ABS(Games[[#This Row],[PreGmRate]]-Games[[#This Row],[OppPreGmRate]])))*IF(Games[[#This Row],[OT]]=1,0.9,1)</f>
        <v>0.41650606490292241</v>
      </c>
      <c r="X395" s="7" cm="1">
        <f t="array" ref="X39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5" s="9">
        <f>MAX(kmin, kmax - 0.15 * MIN(Games[[#This Row],[GamesPlayed]], 82))</f>
        <v>71.05</v>
      </c>
      <c r="Z395" s="4">
        <f>Games[[#This Row],[K]]*Games[[#This Row],[POMult]]</f>
        <v>71.05</v>
      </c>
      <c r="AA395" s="4">
        <f>(Games[[#This Row],[Keff]]*Games[[#This Row],[MOVMult]])*(Games[[#This Row],[Result]]-Games[[#This Row],[ExpectedWin%]])</f>
        <v>19.745184790367773</v>
      </c>
      <c r="AB395" s="4">
        <f>Games[[#This Row],[PreGmRate]]+Games[[#This Row],[RatingChange]]</f>
        <v>1434.7351937338371</v>
      </c>
      <c r="AC395" s="2">
        <f>IF(Games[[#This Row],[Type]]="R",IF(Games[[#This Row],[Result]]&gt;0.5,1,0),0)</f>
        <v>1</v>
      </c>
      <c r="AD395" s="2">
        <f>IF(Games[[#This Row],[Type]]="R",IF(Games[[#This Row],[Result]]&lt;0.5,1,0),0)</f>
        <v>0</v>
      </c>
      <c r="AE395" s="2">
        <f>IF(AND(Games[[#This Row],[Type]]="P",Games[[#This Row],[Round]]=1),IF(Games[[#This Row],[Result]]&gt;0.5,1,0),0)</f>
        <v>0</v>
      </c>
      <c r="AF395" s="2">
        <f>IF(AND(Games[[#This Row],[Type]]="P",Games[[#This Row],[Round]]=1),IF(Games[[#This Row],[Result]]&lt;0.5,1,0),0)</f>
        <v>0</v>
      </c>
      <c r="AG395" s="2">
        <f>IF(AND(Games[[#This Row],[Type]]="P",Games[[#This Row],[Round]]=2),IF(Games[[#This Row],[Result]]&gt;0.5,1,0),0)</f>
        <v>0</v>
      </c>
      <c r="AH395" s="2">
        <f>IF(AND(Games[[#This Row],[Type]]="P",Games[[#This Row],[Round]]=2),IF(Games[[#This Row],[Result]]&lt;0.5,1,0),0)</f>
        <v>0</v>
      </c>
      <c r="AI395" s="2">
        <f>IF(AND(Games[[#This Row],[Type]]="P",Games[[#This Row],[Round]]=3),IF(Games[[#This Row],[Result]]&gt;0.5,1,0),0)</f>
        <v>0</v>
      </c>
      <c r="AJ395" s="2">
        <f>IF(AND(Games[[#This Row],[Type]]="P",Games[[#This Row],[Round]]=3),IF(Games[[#This Row],[Result]]&lt;0.5,1,0),0)</f>
        <v>0</v>
      </c>
      <c r="AK395" s="2">
        <f>IF(AND(Games[[#This Row],[Type]]="P",Games[[#This Row],[Round]]=4),IF(Games[[#This Row],[Result]]&gt;0.5,1,0),0)</f>
        <v>0</v>
      </c>
      <c r="AL395" s="2">
        <f>IF(AND(Games[[#This Row],[Type]]="P",Games[[#This Row],[Round]]=4),IF(Games[[#This Row],[Result]]&lt;0.5,1,0),0)</f>
        <v>0</v>
      </c>
    </row>
    <row r="396" spans="1:38" x14ac:dyDescent="0.35">
      <c r="A396" s="10">
        <v>40410</v>
      </c>
      <c r="B396" s="2">
        <v>2010</v>
      </c>
      <c r="C396" s="2">
        <f>COUNTIFS(Games[Team],Games[[#This Row],[Team]],Games[Season],Games[[#This Row],[Season]],Games[Date],"&lt;=" &amp; Games[[#This Row],[Date]])</f>
        <v>33</v>
      </c>
      <c r="D396" s="2" t="s">
        <v>23</v>
      </c>
      <c r="E396" s="2" t="s">
        <v>29</v>
      </c>
      <c r="F396" s="1" t="s">
        <v>64</v>
      </c>
      <c r="G396" s="1" t="s">
        <v>69</v>
      </c>
      <c r="H396" s="1" t="s">
        <v>16</v>
      </c>
      <c r="I396" s="2" cm="1">
        <f t="array" ref="I396">IFERROR(
    Games[[#This Row],[Date]]
    - LOOKUP(
        2,
        1/((Games[Team]=Games[[#This Row],[Team]]) * (Games[Date] &lt; Games[[#This Row],[Date]])),
        Games[Date]
    )
    - 1,
Games[[#This Row],[Date]]-$A$2)</f>
        <v>0</v>
      </c>
      <c r="J396" s="2" cm="1">
        <f t="array" ref="J39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96" s="2">
        <f>Games[[#This Row],[DaysOff]]-Games[[#This Row],[OppDaysOff]]</f>
        <v>-2</v>
      </c>
      <c r="L396" s="2">
        <f>Games[[#This Row],[OppDaysOff]]-Games[[#This Row],[DaysOff]]</f>
        <v>2</v>
      </c>
      <c r="M396" s="1">
        <f>MAX(-16, MIN(16, Games[[#This Row],[RestDiff]]*8))</f>
        <v>-16</v>
      </c>
      <c r="N396" s="1">
        <f>MAX(-16, MIN(16, Games[[#This Row],[OppRestDiff]]*8))</f>
        <v>16</v>
      </c>
      <c r="O396" s="4" cm="1">
        <f t="array" ref="O3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1625.8489036710373</v>
      </c>
      <c r="P396" s="4" cm="1">
        <f t="array" ref="P3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1567.6437584156611</v>
      </c>
      <c r="Q396" s="4">
        <f>1/(1+10^(((Games[[#This Row],[OppPreGmRate]]+IF(Games[[#This Row],[HomeAway]]="A",HCA,0)+Games[[#This Row],[OppRestAdj]])-(Games[[#This Row],[PreGmRate]]+IF(Games[[#This Row],[HomeAway]]="H",HCA,0)+Games[[#This Row],[RestAdj]]))/400))</f>
        <v>0.41758529384254051</v>
      </c>
      <c r="R396" s="1">
        <v>74</v>
      </c>
      <c r="S396" s="1">
        <v>75</v>
      </c>
      <c r="T396" s="1">
        <v>0</v>
      </c>
      <c r="U396" s="1">
        <f>Games[[#This Row],[PointsFor]]-Games[[#This Row],[PointsAgainst]]</f>
        <v>-1</v>
      </c>
      <c r="V396" s="1">
        <f>IF(Games[[#This Row],[MOV]]&gt;0,1,IF(Games[[#This Row],[MOV]]=0,0.5,0))</f>
        <v>0</v>
      </c>
      <c r="W396" s="4">
        <f>((ABS(Games[[#This Row],[MOV]])+5)^0.6)/(12+0.01*(ABS(Games[[#This Row],[PreGmRate]]-Games[[#This Row],[OppPreGmRate]])))*IF(Games[[#This Row],[OT]]=1,0.9,1)</f>
        <v>0.23288380775050727</v>
      </c>
      <c r="X396" s="7" cm="1">
        <f t="array" ref="X39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6" s="9">
        <f>MAX(kmin, kmax - 0.15 * MIN(Games[[#This Row],[GamesPlayed]], 82))</f>
        <v>71.05</v>
      </c>
      <c r="Z396" s="4">
        <f>Games[[#This Row],[K]]*Games[[#This Row],[POMult]]</f>
        <v>71.05</v>
      </c>
      <c r="AA396" s="4">
        <f>(Games[[#This Row],[Keff]]*Games[[#This Row],[MOVMult]])*(Games[[#This Row],[Result]]-Games[[#This Row],[ExpectedWin%]])</f>
        <v>-6.9095310263017682</v>
      </c>
      <c r="AB396" s="4">
        <f>Games[[#This Row],[PreGmRate]]+Games[[#This Row],[RatingChange]]</f>
        <v>1618.9393726447356</v>
      </c>
      <c r="AC396" s="2">
        <f>IF(Games[[#This Row],[Type]]="R",IF(Games[[#This Row],[Result]]&gt;0.5,1,0),0)</f>
        <v>0</v>
      </c>
      <c r="AD396" s="2">
        <f>IF(Games[[#This Row],[Type]]="R",IF(Games[[#This Row],[Result]]&lt;0.5,1,0),0)</f>
        <v>1</v>
      </c>
      <c r="AE396" s="2">
        <f>IF(AND(Games[[#This Row],[Type]]="P",Games[[#This Row],[Round]]=1),IF(Games[[#This Row],[Result]]&gt;0.5,1,0),0)</f>
        <v>0</v>
      </c>
      <c r="AF396" s="2">
        <f>IF(AND(Games[[#This Row],[Type]]="P",Games[[#This Row],[Round]]=1),IF(Games[[#This Row],[Result]]&lt;0.5,1,0),0)</f>
        <v>0</v>
      </c>
      <c r="AG396" s="2">
        <f>IF(AND(Games[[#This Row],[Type]]="P",Games[[#This Row],[Round]]=2),IF(Games[[#This Row],[Result]]&gt;0.5,1,0),0)</f>
        <v>0</v>
      </c>
      <c r="AH396" s="2">
        <f>IF(AND(Games[[#This Row],[Type]]="P",Games[[#This Row],[Round]]=2),IF(Games[[#This Row],[Result]]&lt;0.5,1,0),0)</f>
        <v>0</v>
      </c>
      <c r="AI396" s="2">
        <f>IF(AND(Games[[#This Row],[Type]]="P",Games[[#This Row],[Round]]=3),IF(Games[[#This Row],[Result]]&gt;0.5,1,0),0)</f>
        <v>0</v>
      </c>
      <c r="AJ396" s="2">
        <f>IF(AND(Games[[#This Row],[Type]]="P",Games[[#This Row],[Round]]=3),IF(Games[[#This Row],[Result]]&lt;0.5,1,0),0)</f>
        <v>0</v>
      </c>
      <c r="AK396" s="2">
        <f>IF(AND(Games[[#This Row],[Type]]="P",Games[[#This Row],[Round]]=4),IF(Games[[#This Row],[Result]]&gt;0.5,1,0),0)</f>
        <v>0</v>
      </c>
      <c r="AL396" s="2">
        <f>IF(AND(Games[[#This Row],[Type]]="P",Games[[#This Row],[Round]]=4),IF(Games[[#This Row],[Result]]&lt;0.5,1,0),0)</f>
        <v>0</v>
      </c>
    </row>
    <row r="397" spans="1:38" x14ac:dyDescent="0.35">
      <c r="A397" s="10">
        <v>40410</v>
      </c>
      <c r="B397" s="2">
        <v>2010</v>
      </c>
      <c r="C397" s="2">
        <f>COUNTIFS(Games[Team],Games[[#This Row],[Team]],Games[Season],Games[[#This Row],[Season]],Games[Date],"&lt;=" &amp; Games[[#This Row],[Date]])</f>
        <v>33</v>
      </c>
      <c r="D397" s="2" t="s">
        <v>23</v>
      </c>
      <c r="E397" s="2" t="s">
        <v>29</v>
      </c>
      <c r="F397" s="1" t="s">
        <v>69</v>
      </c>
      <c r="G397" s="1" t="s">
        <v>64</v>
      </c>
      <c r="H397" s="1" t="s">
        <v>15</v>
      </c>
      <c r="I397" s="2" cm="1">
        <f t="array" ref="I397">IFERROR(
    Games[[#This Row],[Date]]
    - LOOKUP(
        2,
        1/((Games[Team]=Games[[#This Row],[Team]]) * (Games[Date] &lt; Games[[#This Row],[Date]])),
        Games[Date]
    )
    - 1,
Games[[#This Row],[Date]]-$A$2)</f>
        <v>2</v>
      </c>
      <c r="J397" s="2" cm="1">
        <f t="array" ref="J39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97" s="2">
        <f>Games[[#This Row],[DaysOff]]-Games[[#This Row],[OppDaysOff]]</f>
        <v>2</v>
      </c>
      <c r="L397" s="2">
        <f>Games[[#This Row],[OppDaysOff]]-Games[[#This Row],[DaysOff]]</f>
        <v>-2</v>
      </c>
      <c r="M397" s="1">
        <f>MAX(-16, MIN(16, Games[[#This Row],[RestDiff]]*8))</f>
        <v>16</v>
      </c>
      <c r="N397" s="1">
        <f>MAX(-16, MIN(16, Games[[#This Row],[OppRestDiff]]*8))</f>
        <v>-16</v>
      </c>
      <c r="O397" s="4" cm="1">
        <f t="array" ref="O3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1567.6437584156611</v>
      </c>
      <c r="P397" s="4" cm="1">
        <f t="array" ref="P3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1625.8489036710373</v>
      </c>
      <c r="Q397" s="4">
        <f>1/(1+10^(((Games[[#This Row],[OppPreGmRate]]+IF(Games[[#This Row],[HomeAway]]="A",HCA,0)+Games[[#This Row],[OppRestAdj]])-(Games[[#This Row],[PreGmRate]]+IF(Games[[#This Row],[HomeAway]]="H",HCA,0)+Games[[#This Row],[RestAdj]]))/400))</f>
        <v>0.58241470615745949</v>
      </c>
      <c r="R397" s="1">
        <v>75</v>
      </c>
      <c r="S397" s="1">
        <v>74</v>
      </c>
      <c r="T397" s="1">
        <v>0</v>
      </c>
      <c r="U397" s="1">
        <f>Games[[#This Row],[PointsFor]]-Games[[#This Row],[PointsAgainst]]</f>
        <v>1</v>
      </c>
      <c r="V397" s="1">
        <f>IF(Games[[#This Row],[MOV]]&gt;0,1,IF(Games[[#This Row],[MOV]]=0,0.5,0))</f>
        <v>1</v>
      </c>
      <c r="W397" s="4">
        <f>((ABS(Games[[#This Row],[MOV]])+5)^0.6)/(12+0.01*(ABS(Games[[#This Row],[PreGmRate]]-Games[[#This Row],[OppPreGmRate]])))*IF(Games[[#This Row],[OT]]=1,0.9,1)</f>
        <v>0.23288380775050727</v>
      </c>
      <c r="X397" s="7" cm="1">
        <f t="array" ref="X39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7" s="9">
        <f>MAX(kmin, kmax - 0.15 * MIN(Games[[#This Row],[GamesPlayed]], 82))</f>
        <v>71.05</v>
      </c>
      <c r="Z397" s="4">
        <f>Games[[#This Row],[K]]*Games[[#This Row],[POMult]]</f>
        <v>71.05</v>
      </c>
      <c r="AA397" s="4">
        <f>(Games[[#This Row],[Keff]]*Games[[#This Row],[MOVMult]])*(Games[[#This Row],[Result]]-Games[[#This Row],[ExpectedWin%]])</f>
        <v>6.9095310263017682</v>
      </c>
      <c r="AB397" s="4">
        <f>Games[[#This Row],[PreGmRate]]+Games[[#This Row],[RatingChange]]</f>
        <v>1574.5532894419628</v>
      </c>
      <c r="AC397" s="2">
        <f>IF(Games[[#This Row],[Type]]="R",IF(Games[[#This Row],[Result]]&gt;0.5,1,0),0)</f>
        <v>1</v>
      </c>
      <c r="AD397" s="2">
        <f>IF(Games[[#This Row],[Type]]="R",IF(Games[[#This Row],[Result]]&lt;0.5,1,0),0)</f>
        <v>0</v>
      </c>
      <c r="AE397" s="2">
        <f>IF(AND(Games[[#This Row],[Type]]="P",Games[[#This Row],[Round]]=1),IF(Games[[#This Row],[Result]]&gt;0.5,1,0),0)</f>
        <v>0</v>
      </c>
      <c r="AF397" s="2">
        <f>IF(AND(Games[[#This Row],[Type]]="P",Games[[#This Row],[Round]]=1),IF(Games[[#This Row],[Result]]&lt;0.5,1,0),0)</f>
        <v>0</v>
      </c>
      <c r="AG397" s="2">
        <f>IF(AND(Games[[#This Row],[Type]]="P",Games[[#This Row],[Round]]=2),IF(Games[[#This Row],[Result]]&gt;0.5,1,0),0)</f>
        <v>0</v>
      </c>
      <c r="AH397" s="2">
        <f>IF(AND(Games[[#This Row],[Type]]="P",Games[[#This Row],[Round]]=2),IF(Games[[#This Row],[Result]]&lt;0.5,1,0),0)</f>
        <v>0</v>
      </c>
      <c r="AI397" s="2">
        <f>IF(AND(Games[[#This Row],[Type]]="P",Games[[#This Row],[Round]]=3),IF(Games[[#This Row],[Result]]&gt;0.5,1,0),0)</f>
        <v>0</v>
      </c>
      <c r="AJ397" s="2">
        <f>IF(AND(Games[[#This Row],[Type]]="P",Games[[#This Row],[Round]]=3),IF(Games[[#This Row],[Result]]&lt;0.5,1,0),0)</f>
        <v>0</v>
      </c>
      <c r="AK397" s="2">
        <f>IF(AND(Games[[#This Row],[Type]]="P",Games[[#This Row],[Round]]=4),IF(Games[[#This Row],[Result]]&gt;0.5,1,0),0)</f>
        <v>0</v>
      </c>
      <c r="AL397" s="2">
        <f>IF(AND(Games[[#This Row],[Type]]="P",Games[[#This Row],[Round]]=4),IF(Games[[#This Row],[Result]]&lt;0.5,1,0),0)</f>
        <v>0</v>
      </c>
    </row>
    <row r="398" spans="1:38" x14ac:dyDescent="0.35">
      <c r="A398" s="10">
        <v>40411</v>
      </c>
      <c r="B398" s="2">
        <v>2010</v>
      </c>
      <c r="C398" s="2">
        <f>COUNTIFS(Games[Team],Games[[#This Row],[Team]],Games[Season],Games[[#This Row],[Season]],Games[Date],"&lt;=" &amp; Games[[#This Row],[Date]])</f>
        <v>34</v>
      </c>
      <c r="D398" s="2" t="s">
        <v>23</v>
      </c>
      <c r="E398" s="2" t="s">
        <v>29</v>
      </c>
      <c r="F398" s="1" t="s">
        <v>67</v>
      </c>
      <c r="G398" s="1" t="s">
        <v>75</v>
      </c>
      <c r="H398" s="1" t="s">
        <v>16</v>
      </c>
      <c r="I398" s="2" cm="1">
        <f t="array" ref="I398">IFERROR(
    Games[[#This Row],[Date]]
    - LOOKUP(
        2,
        1/((Games[Team]=Games[[#This Row],[Team]]) * (Games[Date] &lt; Games[[#This Row],[Date]])),
        Games[Date]
    )
    - 1,
Games[[#This Row],[Date]]-$A$2)</f>
        <v>0</v>
      </c>
      <c r="J398" s="2" cm="1">
        <f t="array" ref="J398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98" s="2">
        <f>Games[[#This Row],[DaysOff]]-Games[[#This Row],[OppDaysOff]]</f>
        <v>0</v>
      </c>
      <c r="L398" s="2">
        <f>Games[[#This Row],[OppDaysOff]]-Games[[#This Row],[DaysOff]]</f>
        <v>0</v>
      </c>
      <c r="M398" s="1">
        <f>MAX(-16, MIN(16, Games[[#This Row],[RestDiff]]*8))</f>
        <v>0</v>
      </c>
      <c r="N398" s="1">
        <f>MAX(-16, MIN(16, Games[[#This Row],[OppRestDiff]]*8))</f>
        <v>0</v>
      </c>
      <c r="O398" s="4" cm="1">
        <f t="array" ref="O3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1450.4967452969004</v>
      </c>
      <c r="P398" s="4" cm="1">
        <f t="array" ref="P3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1656.8821629599006</v>
      </c>
      <c r="Q398" s="4">
        <f>1/(1+10^(((Games[[#This Row],[OppPreGmRate]]+IF(Games[[#This Row],[HomeAway]]="A",HCA,0)+Games[[#This Row],[OppRestAdj]])-(Games[[#This Row],[PreGmRate]]+IF(Games[[#This Row],[HomeAway]]="H",HCA,0)+Games[[#This Row],[RestAdj]]))/400))</f>
        <v>0.15821192813904925</v>
      </c>
      <c r="R398" s="1">
        <v>75</v>
      </c>
      <c r="S398" s="1">
        <v>76</v>
      </c>
      <c r="T398" s="1">
        <v>0</v>
      </c>
      <c r="U398" s="1">
        <f>Games[[#This Row],[PointsFor]]-Games[[#This Row],[PointsAgainst]]</f>
        <v>-1</v>
      </c>
      <c r="V398" s="1">
        <f>IF(Games[[#This Row],[MOV]]&gt;0,1,IF(Games[[#This Row],[MOV]]=0,0.5,0))</f>
        <v>0</v>
      </c>
      <c r="W398" s="4">
        <f>((ABS(Games[[#This Row],[MOV]])+5)^0.6)/(12+0.01*(ABS(Games[[#This Row],[PreGmRate]]-Games[[#This Row],[OppPreGmRate]])))*IF(Games[[#This Row],[OT]]=1,0.9,1)</f>
        <v>0.20834658940453041</v>
      </c>
      <c r="X398" s="7" cm="1">
        <f t="array" ref="X39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8" s="9">
        <f>MAX(kmin, kmax - 0.15 * MIN(Games[[#This Row],[GamesPlayed]], 82))</f>
        <v>70.900000000000006</v>
      </c>
      <c r="Z398" s="4">
        <f>Games[[#This Row],[K]]*Games[[#This Row],[POMult]]</f>
        <v>70.900000000000006</v>
      </c>
      <c r="AA398" s="4">
        <f>(Games[[#This Row],[Keff]]*Games[[#This Row],[MOVMult]])*(Games[[#This Row],[Result]]-Games[[#This Row],[ExpectedWin%]])</f>
        <v>-2.3370707182297865</v>
      </c>
      <c r="AB398" s="4">
        <f>Games[[#This Row],[PreGmRate]]+Games[[#This Row],[RatingChange]]</f>
        <v>1448.1596745786705</v>
      </c>
      <c r="AC398" s="2">
        <f>IF(Games[[#This Row],[Type]]="R",IF(Games[[#This Row],[Result]]&gt;0.5,1,0),0)</f>
        <v>0</v>
      </c>
      <c r="AD398" s="2">
        <f>IF(Games[[#This Row],[Type]]="R",IF(Games[[#This Row],[Result]]&lt;0.5,1,0),0)</f>
        <v>1</v>
      </c>
      <c r="AE398" s="2">
        <f>IF(AND(Games[[#This Row],[Type]]="P",Games[[#This Row],[Round]]=1),IF(Games[[#This Row],[Result]]&gt;0.5,1,0),0)</f>
        <v>0</v>
      </c>
      <c r="AF398" s="2">
        <f>IF(AND(Games[[#This Row],[Type]]="P",Games[[#This Row],[Round]]=1),IF(Games[[#This Row],[Result]]&lt;0.5,1,0),0)</f>
        <v>0</v>
      </c>
      <c r="AG398" s="2">
        <f>IF(AND(Games[[#This Row],[Type]]="P",Games[[#This Row],[Round]]=2),IF(Games[[#This Row],[Result]]&gt;0.5,1,0),0)</f>
        <v>0</v>
      </c>
      <c r="AH398" s="2">
        <f>IF(AND(Games[[#This Row],[Type]]="P",Games[[#This Row],[Round]]=2),IF(Games[[#This Row],[Result]]&lt;0.5,1,0),0)</f>
        <v>0</v>
      </c>
      <c r="AI398" s="2">
        <f>IF(AND(Games[[#This Row],[Type]]="P",Games[[#This Row],[Round]]=3),IF(Games[[#This Row],[Result]]&gt;0.5,1,0),0)</f>
        <v>0</v>
      </c>
      <c r="AJ398" s="2">
        <f>IF(AND(Games[[#This Row],[Type]]="P",Games[[#This Row],[Round]]=3),IF(Games[[#This Row],[Result]]&lt;0.5,1,0),0)</f>
        <v>0</v>
      </c>
      <c r="AK398" s="2">
        <f>IF(AND(Games[[#This Row],[Type]]="P",Games[[#This Row],[Round]]=4),IF(Games[[#This Row],[Result]]&gt;0.5,1,0),0)</f>
        <v>0</v>
      </c>
      <c r="AL398" s="2">
        <f>IF(AND(Games[[#This Row],[Type]]="P",Games[[#This Row],[Round]]=4),IF(Games[[#This Row],[Result]]&lt;0.5,1,0),0)</f>
        <v>0</v>
      </c>
    </row>
    <row r="399" spans="1:38" x14ac:dyDescent="0.35">
      <c r="A399" s="10">
        <v>40411</v>
      </c>
      <c r="B399" s="2">
        <v>2010</v>
      </c>
      <c r="C399" s="2">
        <f>COUNTIFS(Games[Team],Games[[#This Row],[Team]],Games[Season],Games[[#This Row],[Season]],Games[Date],"&lt;=" &amp; Games[[#This Row],[Date]])</f>
        <v>34</v>
      </c>
      <c r="D399" s="2" t="s">
        <v>23</v>
      </c>
      <c r="E399" s="2" t="s">
        <v>29</v>
      </c>
      <c r="F399" s="1" t="s">
        <v>75</v>
      </c>
      <c r="G399" s="1" t="s">
        <v>67</v>
      </c>
      <c r="H399" s="1" t="s">
        <v>15</v>
      </c>
      <c r="I399" s="2" cm="1">
        <f t="array" ref="I399">IFERROR(
    Games[[#This Row],[Date]]
    - LOOKUP(
        2,
        1/((Games[Team]=Games[[#This Row],[Team]]) * (Games[Date] &lt; Games[[#This Row],[Date]])),
        Games[Date]
    )
    - 1,
Games[[#This Row],[Date]]-$A$2)</f>
        <v>0</v>
      </c>
      <c r="J399" s="2" cm="1">
        <f t="array" ref="J39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99" s="2">
        <f>Games[[#This Row],[DaysOff]]-Games[[#This Row],[OppDaysOff]]</f>
        <v>0</v>
      </c>
      <c r="L399" s="2">
        <f>Games[[#This Row],[OppDaysOff]]-Games[[#This Row],[DaysOff]]</f>
        <v>0</v>
      </c>
      <c r="M399" s="1">
        <f>MAX(-16, MIN(16, Games[[#This Row],[RestDiff]]*8))</f>
        <v>0</v>
      </c>
      <c r="N399" s="1">
        <f>MAX(-16, MIN(16, Games[[#This Row],[OppRestDiff]]*8))</f>
        <v>0</v>
      </c>
      <c r="O399" s="4" cm="1">
        <f t="array" ref="O3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1656.8821629599006</v>
      </c>
      <c r="P399" s="4" cm="1">
        <f t="array" ref="P3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1450.4967452969004</v>
      </c>
      <c r="Q399" s="4">
        <f>1/(1+10^(((Games[[#This Row],[OppPreGmRate]]+IF(Games[[#This Row],[HomeAway]]="A",HCA,0)+Games[[#This Row],[OppRestAdj]])-(Games[[#This Row],[PreGmRate]]+IF(Games[[#This Row],[HomeAway]]="H",HCA,0)+Games[[#This Row],[RestAdj]]))/400))</f>
        <v>0.84178807186095084</v>
      </c>
      <c r="R399" s="1">
        <v>76</v>
      </c>
      <c r="S399" s="1">
        <v>75</v>
      </c>
      <c r="T399" s="1">
        <v>0</v>
      </c>
      <c r="U399" s="1">
        <f>Games[[#This Row],[PointsFor]]-Games[[#This Row],[PointsAgainst]]</f>
        <v>1</v>
      </c>
      <c r="V399" s="1">
        <f>IF(Games[[#This Row],[MOV]]&gt;0,1,IF(Games[[#This Row],[MOV]]=0,0.5,0))</f>
        <v>1</v>
      </c>
      <c r="W399" s="4">
        <f>((ABS(Games[[#This Row],[MOV]])+5)^0.6)/(12+0.01*(ABS(Games[[#This Row],[PreGmRate]]-Games[[#This Row],[OppPreGmRate]])))*IF(Games[[#This Row],[OT]]=1,0.9,1)</f>
        <v>0.20834658940453041</v>
      </c>
      <c r="X399" s="7" cm="1">
        <f t="array" ref="X39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9" s="9">
        <f>MAX(kmin, kmax - 0.15 * MIN(Games[[#This Row],[GamesPlayed]], 82))</f>
        <v>70.900000000000006</v>
      </c>
      <c r="Z399" s="4">
        <f>Games[[#This Row],[K]]*Games[[#This Row],[POMult]]</f>
        <v>70.900000000000006</v>
      </c>
      <c r="AA399" s="4">
        <f>(Games[[#This Row],[Keff]]*Games[[#This Row],[MOVMult]])*(Games[[#This Row],[Result]]-Games[[#This Row],[ExpectedWin%]])</f>
        <v>2.3370707182297856</v>
      </c>
      <c r="AB399" s="4">
        <f>Games[[#This Row],[PreGmRate]]+Games[[#This Row],[RatingChange]]</f>
        <v>1659.2192336781304</v>
      </c>
      <c r="AC399" s="2">
        <f>IF(Games[[#This Row],[Type]]="R",IF(Games[[#This Row],[Result]]&gt;0.5,1,0),0)</f>
        <v>1</v>
      </c>
      <c r="AD399" s="2">
        <f>IF(Games[[#This Row],[Type]]="R",IF(Games[[#This Row],[Result]]&lt;0.5,1,0),0)</f>
        <v>0</v>
      </c>
      <c r="AE399" s="2">
        <f>IF(AND(Games[[#This Row],[Type]]="P",Games[[#This Row],[Round]]=1),IF(Games[[#This Row],[Result]]&gt;0.5,1,0),0)</f>
        <v>0</v>
      </c>
      <c r="AF399" s="2">
        <f>IF(AND(Games[[#This Row],[Type]]="P",Games[[#This Row],[Round]]=1),IF(Games[[#This Row],[Result]]&lt;0.5,1,0),0)</f>
        <v>0</v>
      </c>
      <c r="AG399" s="2">
        <f>IF(AND(Games[[#This Row],[Type]]="P",Games[[#This Row],[Round]]=2),IF(Games[[#This Row],[Result]]&gt;0.5,1,0),0)</f>
        <v>0</v>
      </c>
      <c r="AH399" s="2">
        <f>IF(AND(Games[[#This Row],[Type]]="P",Games[[#This Row],[Round]]=2),IF(Games[[#This Row],[Result]]&lt;0.5,1,0),0)</f>
        <v>0</v>
      </c>
      <c r="AI399" s="2">
        <f>IF(AND(Games[[#This Row],[Type]]="P",Games[[#This Row],[Round]]=3),IF(Games[[#This Row],[Result]]&gt;0.5,1,0),0)</f>
        <v>0</v>
      </c>
      <c r="AJ399" s="2">
        <f>IF(AND(Games[[#This Row],[Type]]="P",Games[[#This Row],[Round]]=3),IF(Games[[#This Row],[Result]]&lt;0.5,1,0),0)</f>
        <v>0</v>
      </c>
      <c r="AK399" s="2">
        <f>IF(AND(Games[[#This Row],[Type]]="P",Games[[#This Row],[Round]]=4),IF(Games[[#This Row],[Result]]&gt;0.5,1,0),0)</f>
        <v>0</v>
      </c>
      <c r="AL399" s="2">
        <f>IF(AND(Games[[#This Row],[Type]]="P",Games[[#This Row],[Round]]=4),IF(Games[[#This Row],[Result]]&lt;0.5,1,0),0)</f>
        <v>0</v>
      </c>
    </row>
    <row r="400" spans="1:38" x14ac:dyDescent="0.35">
      <c r="A400" s="10">
        <v>40411</v>
      </c>
      <c r="B400" s="2">
        <v>2010</v>
      </c>
      <c r="C400" s="2">
        <f>COUNTIFS(Games[Team],Games[[#This Row],[Team]],Games[Season],Games[[#This Row],[Season]],Games[Date],"&lt;=" &amp; Games[[#This Row],[Date]])</f>
        <v>34</v>
      </c>
      <c r="D400" s="2" t="s">
        <v>23</v>
      </c>
      <c r="E400" s="2" t="s">
        <v>29</v>
      </c>
      <c r="F400" s="1" t="s">
        <v>81</v>
      </c>
      <c r="G400" s="1" t="s">
        <v>85</v>
      </c>
      <c r="H400" s="1" t="s">
        <v>16</v>
      </c>
      <c r="I400" s="2" cm="1">
        <f t="array" ref="I400">IFERROR(
    Games[[#This Row],[Date]]
    - LOOKUP(
        2,
        1/((Games[Team]=Games[[#This Row],[Team]]) * (Games[Date] &lt; Games[[#This Row],[Date]])),
        Games[Date]
    )
    - 1,
Games[[#This Row],[Date]]-$A$2)</f>
        <v>0</v>
      </c>
      <c r="J400" s="2" cm="1">
        <f t="array" ref="J40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0" s="2">
        <f>Games[[#This Row],[DaysOff]]-Games[[#This Row],[OppDaysOff]]</f>
        <v>-1</v>
      </c>
      <c r="L400" s="2">
        <f>Games[[#This Row],[OppDaysOff]]-Games[[#This Row],[DaysOff]]</f>
        <v>1</v>
      </c>
      <c r="M400" s="1">
        <f>MAX(-16, MIN(16, Games[[#This Row],[RestDiff]]*8))</f>
        <v>-8</v>
      </c>
      <c r="N400" s="1">
        <f>MAX(-16, MIN(16, Games[[#This Row],[OppRestDiff]]*8))</f>
        <v>8</v>
      </c>
      <c r="O400" s="4" cm="1">
        <f t="array" ref="O4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1456.499749379054</v>
      </c>
      <c r="P400" s="4" cm="1">
        <f t="array" ref="P4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1280.1360959248082</v>
      </c>
      <c r="Q400" s="4">
        <f>1/(1+10^(((Games[[#This Row],[OppPreGmRate]]+IF(Games[[#This Row],[HomeAway]]="A",HCA,0)+Games[[#This Row],[OppRestAdj]])-(Games[[#This Row],[PreGmRate]]+IF(Games[[#This Row],[HomeAway]]="H",HCA,0)+Games[[#This Row],[RestAdj]]))/400))</f>
        <v>0.60816002697302551</v>
      </c>
      <c r="R400" s="1">
        <v>71</v>
      </c>
      <c r="S400" s="1">
        <v>84</v>
      </c>
      <c r="T400" s="1">
        <v>0</v>
      </c>
      <c r="U400" s="1">
        <f>Games[[#This Row],[PointsFor]]-Games[[#This Row],[PointsAgainst]]</f>
        <v>-13</v>
      </c>
      <c r="V400" s="1">
        <f>IF(Games[[#This Row],[MOV]]&gt;0,1,IF(Games[[#This Row],[MOV]]=0,0.5,0))</f>
        <v>0</v>
      </c>
      <c r="W400" s="4">
        <f>((ABS(Games[[#This Row],[MOV]])+5)^0.6)/(12+0.01*(ABS(Games[[#This Row],[PreGmRate]]-Games[[#This Row],[OppPreGmRate]])))*IF(Games[[#This Row],[OT]]=1,0.9,1)</f>
        <v>0.41155729836029964</v>
      </c>
      <c r="X400" s="7" cm="1">
        <f t="array" ref="X40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0" s="9">
        <f>MAX(kmin, kmax - 0.15 * MIN(Games[[#This Row],[GamesPlayed]], 82))</f>
        <v>70.900000000000006</v>
      </c>
      <c r="Z400" s="4">
        <f>Games[[#This Row],[K]]*Games[[#This Row],[POMult]]</f>
        <v>70.900000000000006</v>
      </c>
      <c r="AA400" s="4">
        <f>(Games[[#This Row],[Keff]]*Games[[#This Row],[MOVMult]])*(Games[[#This Row],[Result]]-Games[[#This Row],[ExpectedWin%]])</f>
        <v>-17.745752264926747</v>
      </c>
      <c r="AB400" s="4">
        <f>Games[[#This Row],[PreGmRate]]+Games[[#This Row],[RatingChange]]</f>
        <v>1438.7539971141273</v>
      </c>
      <c r="AC400" s="2">
        <f>IF(Games[[#This Row],[Type]]="R",IF(Games[[#This Row],[Result]]&gt;0.5,1,0),0)</f>
        <v>0</v>
      </c>
      <c r="AD400" s="2">
        <f>IF(Games[[#This Row],[Type]]="R",IF(Games[[#This Row],[Result]]&lt;0.5,1,0),0)</f>
        <v>1</v>
      </c>
      <c r="AE400" s="2">
        <f>IF(AND(Games[[#This Row],[Type]]="P",Games[[#This Row],[Round]]=1),IF(Games[[#This Row],[Result]]&gt;0.5,1,0),0)</f>
        <v>0</v>
      </c>
      <c r="AF400" s="2">
        <f>IF(AND(Games[[#This Row],[Type]]="P",Games[[#This Row],[Round]]=1),IF(Games[[#This Row],[Result]]&lt;0.5,1,0),0)</f>
        <v>0</v>
      </c>
      <c r="AG400" s="2">
        <f>IF(AND(Games[[#This Row],[Type]]="P",Games[[#This Row],[Round]]=2),IF(Games[[#This Row],[Result]]&gt;0.5,1,0),0)</f>
        <v>0</v>
      </c>
      <c r="AH400" s="2">
        <f>IF(AND(Games[[#This Row],[Type]]="P",Games[[#This Row],[Round]]=2),IF(Games[[#This Row],[Result]]&lt;0.5,1,0),0)</f>
        <v>0</v>
      </c>
      <c r="AI400" s="2">
        <f>IF(AND(Games[[#This Row],[Type]]="P",Games[[#This Row],[Round]]=3),IF(Games[[#This Row],[Result]]&gt;0.5,1,0),0)</f>
        <v>0</v>
      </c>
      <c r="AJ400" s="2">
        <f>IF(AND(Games[[#This Row],[Type]]="P",Games[[#This Row],[Round]]=3),IF(Games[[#This Row],[Result]]&lt;0.5,1,0),0)</f>
        <v>0</v>
      </c>
      <c r="AK400" s="2">
        <f>IF(AND(Games[[#This Row],[Type]]="P",Games[[#This Row],[Round]]=4),IF(Games[[#This Row],[Result]]&gt;0.5,1,0),0)</f>
        <v>0</v>
      </c>
      <c r="AL400" s="2">
        <f>IF(AND(Games[[#This Row],[Type]]="P",Games[[#This Row],[Round]]=4),IF(Games[[#This Row],[Result]]&lt;0.5,1,0),0)</f>
        <v>0</v>
      </c>
    </row>
    <row r="401" spans="1:38" x14ac:dyDescent="0.35">
      <c r="A401" s="10">
        <v>40411</v>
      </c>
      <c r="B401" s="2">
        <v>2010</v>
      </c>
      <c r="C401" s="2">
        <f>COUNTIFS(Games[Team],Games[[#This Row],[Team]],Games[Season],Games[[#This Row],[Season]],Games[Date],"&lt;=" &amp; Games[[#This Row],[Date]])</f>
        <v>34</v>
      </c>
      <c r="D401" s="2" t="s">
        <v>23</v>
      </c>
      <c r="E401" s="2" t="s">
        <v>29</v>
      </c>
      <c r="F401" s="1" t="s">
        <v>85</v>
      </c>
      <c r="G401" s="1" t="s">
        <v>81</v>
      </c>
      <c r="H401" s="1" t="s">
        <v>15</v>
      </c>
      <c r="I401" s="2" cm="1">
        <f t="array" ref="I401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1" s="2" cm="1">
        <f t="array" ref="J40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01" s="2">
        <f>Games[[#This Row],[DaysOff]]-Games[[#This Row],[OppDaysOff]]</f>
        <v>1</v>
      </c>
      <c r="L401" s="2">
        <f>Games[[#This Row],[OppDaysOff]]-Games[[#This Row],[DaysOff]]</f>
        <v>-1</v>
      </c>
      <c r="M401" s="1">
        <f>MAX(-16, MIN(16, Games[[#This Row],[RestDiff]]*8))</f>
        <v>8</v>
      </c>
      <c r="N401" s="1">
        <f>MAX(-16, MIN(16, Games[[#This Row],[OppRestDiff]]*8))</f>
        <v>-8</v>
      </c>
      <c r="O401" s="4" cm="1">
        <f t="array" ref="O4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1280.1360959248082</v>
      </c>
      <c r="P401" s="4" cm="1">
        <f t="array" ref="P4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1456.499749379054</v>
      </c>
      <c r="Q401" s="4">
        <f>1/(1+10^(((Games[[#This Row],[OppPreGmRate]]+IF(Games[[#This Row],[HomeAway]]="A",HCA,0)+Games[[#This Row],[OppRestAdj]])-(Games[[#This Row],[PreGmRate]]+IF(Games[[#This Row],[HomeAway]]="H",HCA,0)+Games[[#This Row],[RestAdj]]))/400))</f>
        <v>0.3918399730269746</v>
      </c>
      <c r="R401" s="1">
        <v>84</v>
      </c>
      <c r="S401" s="1">
        <v>71</v>
      </c>
      <c r="T401" s="1">
        <v>0</v>
      </c>
      <c r="U401" s="1">
        <f>Games[[#This Row],[PointsFor]]-Games[[#This Row],[PointsAgainst]]</f>
        <v>13</v>
      </c>
      <c r="V401" s="1">
        <f>IF(Games[[#This Row],[MOV]]&gt;0,1,IF(Games[[#This Row],[MOV]]=0,0.5,0))</f>
        <v>1</v>
      </c>
      <c r="W401" s="4">
        <f>((ABS(Games[[#This Row],[MOV]])+5)^0.6)/(12+0.01*(ABS(Games[[#This Row],[PreGmRate]]-Games[[#This Row],[OppPreGmRate]])))*IF(Games[[#This Row],[OT]]=1,0.9,1)</f>
        <v>0.41155729836029964</v>
      </c>
      <c r="X401" s="7" cm="1">
        <f t="array" ref="X40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1" s="9">
        <f>MAX(kmin, kmax - 0.15 * MIN(Games[[#This Row],[GamesPlayed]], 82))</f>
        <v>70.900000000000006</v>
      </c>
      <c r="Z401" s="4">
        <f>Games[[#This Row],[K]]*Games[[#This Row],[POMult]]</f>
        <v>70.900000000000006</v>
      </c>
      <c r="AA401" s="4">
        <f>(Games[[#This Row],[Keff]]*Games[[#This Row],[MOVMult]])*(Games[[#This Row],[Result]]-Games[[#This Row],[ExpectedWin%]])</f>
        <v>17.745752264926743</v>
      </c>
      <c r="AB401" s="4">
        <f>Games[[#This Row],[PreGmRate]]+Games[[#This Row],[RatingChange]]</f>
        <v>1297.8818481897349</v>
      </c>
      <c r="AC401" s="2">
        <f>IF(Games[[#This Row],[Type]]="R",IF(Games[[#This Row],[Result]]&gt;0.5,1,0),0)</f>
        <v>1</v>
      </c>
      <c r="AD401" s="2">
        <f>IF(Games[[#This Row],[Type]]="R",IF(Games[[#This Row],[Result]]&lt;0.5,1,0),0)</f>
        <v>0</v>
      </c>
      <c r="AE401" s="2">
        <f>IF(AND(Games[[#This Row],[Type]]="P",Games[[#This Row],[Round]]=1),IF(Games[[#This Row],[Result]]&gt;0.5,1,0),0)</f>
        <v>0</v>
      </c>
      <c r="AF401" s="2">
        <f>IF(AND(Games[[#This Row],[Type]]="P",Games[[#This Row],[Round]]=1),IF(Games[[#This Row],[Result]]&lt;0.5,1,0),0)</f>
        <v>0</v>
      </c>
      <c r="AG401" s="2">
        <f>IF(AND(Games[[#This Row],[Type]]="P",Games[[#This Row],[Round]]=2),IF(Games[[#This Row],[Result]]&gt;0.5,1,0),0)</f>
        <v>0</v>
      </c>
      <c r="AH401" s="2">
        <f>IF(AND(Games[[#This Row],[Type]]="P",Games[[#This Row],[Round]]=2),IF(Games[[#This Row],[Result]]&lt;0.5,1,0),0)</f>
        <v>0</v>
      </c>
      <c r="AI401" s="2">
        <f>IF(AND(Games[[#This Row],[Type]]="P",Games[[#This Row],[Round]]=3),IF(Games[[#This Row],[Result]]&gt;0.5,1,0),0)</f>
        <v>0</v>
      </c>
      <c r="AJ401" s="2">
        <f>IF(AND(Games[[#This Row],[Type]]="P",Games[[#This Row],[Round]]=3),IF(Games[[#This Row],[Result]]&lt;0.5,1,0),0)</f>
        <v>0</v>
      </c>
      <c r="AK401" s="2">
        <f>IF(AND(Games[[#This Row],[Type]]="P",Games[[#This Row],[Round]]=4),IF(Games[[#This Row],[Result]]&gt;0.5,1,0),0)</f>
        <v>0</v>
      </c>
      <c r="AL401" s="2">
        <f>IF(AND(Games[[#This Row],[Type]]="P",Games[[#This Row],[Round]]=4),IF(Games[[#This Row],[Result]]&lt;0.5,1,0),0)</f>
        <v>0</v>
      </c>
    </row>
    <row r="402" spans="1:38" x14ac:dyDescent="0.35">
      <c r="A402" s="10">
        <v>40412</v>
      </c>
      <c r="B402" s="2">
        <v>2010</v>
      </c>
      <c r="C402" s="2">
        <f>COUNTIFS(Games[Team],Games[[#This Row],[Team]],Games[Season],Games[[#This Row],[Season]],Games[Date],"&lt;=" &amp; Games[[#This Row],[Date]])</f>
        <v>34</v>
      </c>
      <c r="D402" s="2" t="s">
        <v>23</v>
      </c>
      <c r="E402" s="2" t="s">
        <v>29</v>
      </c>
      <c r="F402" s="1" t="s">
        <v>69</v>
      </c>
      <c r="G402" s="1" t="s">
        <v>83</v>
      </c>
      <c r="H402" s="1" t="s">
        <v>16</v>
      </c>
      <c r="I402" s="2" cm="1">
        <f t="array" ref="I40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2" s="2" cm="1">
        <f t="array" ref="J402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02" s="2">
        <f>Games[[#This Row],[DaysOff]]-Games[[#This Row],[OppDaysOff]]</f>
        <v>-3</v>
      </c>
      <c r="L402" s="2">
        <f>Games[[#This Row],[OppDaysOff]]-Games[[#This Row],[DaysOff]]</f>
        <v>3</v>
      </c>
      <c r="M402" s="1">
        <f>MAX(-16, MIN(16, Games[[#This Row],[RestDiff]]*8))</f>
        <v>-16</v>
      </c>
      <c r="N402" s="1">
        <f>MAX(-16, MIN(16, Games[[#This Row],[OppRestDiff]]*8))</f>
        <v>16</v>
      </c>
      <c r="O402" s="4" cm="1">
        <f t="array" ref="O4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1574.5532894419628</v>
      </c>
      <c r="P402" s="4" cm="1">
        <f t="array" ref="P4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1542.0681712445144</v>
      </c>
      <c r="Q402" s="4">
        <f>1/(1+10^(((Games[[#This Row],[OppPreGmRate]]+IF(Games[[#This Row],[HomeAway]]="A",HCA,0)+Games[[#This Row],[OppRestAdj]])-(Games[[#This Row],[PreGmRate]]+IF(Games[[#This Row],[HomeAway]]="H",HCA,0)+Games[[#This Row],[RestAdj]]))/400))</f>
        <v>0.38207496736041929</v>
      </c>
      <c r="R402" s="1">
        <v>90</v>
      </c>
      <c r="S402" s="1">
        <v>81</v>
      </c>
      <c r="T402" s="1">
        <v>0</v>
      </c>
      <c r="U402" s="1">
        <f>Games[[#This Row],[PointsFor]]-Games[[#This Row],[PointsAgainst]]</f>
        <v>9</v>
      </c>
      <c r="V402" s="1">
        <f>IF(Games[[#This Row],[MOV]]&gt;0,1,IF(Games[[#This Row],[MOV]]=0,0.5,0))</f>
        <v>1</v>
      </c>
      <c r="W402" s="4">
        <f>((ABS(Games[[#This Row],[MOV]])+5)^0.6)/(12+0.01*(ABS(Games[[#This Row],[PreGmRate]]-Games[[#This Row],[OppPreGmRate]])))*IF(Games[[#This Row],[OT]]=1,0.9,1)</f>
        <v>0.39527116829547448</v>
      </c>
      <c r="X402" s="7" cm="1">
        <f t="array" ref="X40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2" s="9">
        <f>MAX(kmin, kmax - 0.15 * MIN(Games[[#This Row],[GamesPlayed]], 82))</f>
        <v>70.900000000000006</v>
      </c>
      <c r="Z402" s="4">
        <f>Games[[#This Row],[K]]*Games[[#This Row],[POMult]]</f>
        <v>70.900000000000006</v>
      </c>
      <c r="AA402" s="4">
        <f>(Games[[#This Row],[Keff]]*Games[[#This Row],[MOVMult]])*(Games[[#This Row],[Result]]-Games[[#This Row],[ExpectedWin%]])</f>
        <v>17.317179624546061</v>
      </c>
      <c r="AB402" s="4">
        <f>Games[[#This Row],[PreGmRate]]+Games[[#This Row],[RatingChange]]</f>
        <v>1591.8704690665088</v>
      </c>
      <c r="AC402" s="2">
        <f>IF(Games[[#This Row],[Type]]="R",IF(Games[[#This Row],[Result]]&gt;0.5,1,0),0)</f>
        <v>1</v>
      </c>
      <c r="AD402" s="2">
        <f>IF(Games[[#This Row],[Type]]="R",IF(Games[[#This Row],[Result]]&lt;0.5,1,0),0)</f>
        <v>0</v>
      </c>
      <c r="AE402" s="2">
        <f>IF(AND(Games[[#This Row],[Type]]="P",Games[[#This Row],[Round]]=1),IF(Games[[#This Row],[Result]]&gt;0.5,1,0),0)</f>
        <v>0</v>
      </c>
      <c r="AF402" s="2">
        <f>IF(AND(Games[[#This Row],[Type]]="P",Games[[#This Row],[Round]]=1),IF(Games[[#This Row],[Result]]&lt;0.5,1,0),0)</f>
        <v>0</v>
      </c>
      <c r="AG402" s="2">
        <f>IF(AND(Games[[#This Row],[Type]]="P",Games[[#This Row],[Round]]=2),IF(Games[[#This Row],[Result]]&gt;0.5,1,0),0)</f>
        <v>0</v>
      </c>
      <c r="AH402" s="2">
        <f>IF(AND(Games[[#This Row],[Type]]="P",Games[[#This Row],[Round]]=2),IF(Games[[#This Row],[Result]]&lt;0.5,1,0),0)</f>
        <v>0</v>
      </c>
      <c r="AI402" s="2">
        <f>IF(AND(Games[[#This Row],[Type]]="P",Games[[#This Row],[Round]]=3),IF(Games[[#This Row],[Result]]&gt;0.5,1,0),0)</f>
        <v>0</v>
      </c>
      <c r="AJ402" s="2">
        <f>IF(AND(Games[[#This Row],[Type]]="P",Games[[#This Row],[Round]]=3),IF(Games[[#This Row],[Result]]&lt;0.5,1,0),0)</f>
        <v>0</v>
      </c>
      <c r="AK402" s="2">
        <f>IF(AND(Games[[#This Row],[Type]]="P",Games[[#This Row],[Round]]=4),IF(Games[[#This Row],[Result]]&gt;0.5,1,0),0)</f>
        <v>0</v>
      </c>
      <c r="AL402" s="2">
        <f>IF(AND(Games[[#This Row],[Type]]="P",Games[[#This Row],[Round]]=4),IF(Games[[#This Row],[Result]]&lt;0.5,1,0),0)</f>
        <v>0</v>
      </c>
    </row>
    <row r="403" spans="1:38" x14ac:dyDescent="0.35">
      <c r="A403" s="10">
        <v>40412</v>
      </c>
      <c r="B403" s="2">
        <v>2010</v>
      </c>
      <c r="C403" s="2">
        <f>COUNTIFS(Games[Team],Games[[#This Row],[Team]],Games[Season],Games[[#This Row],[Season]],Games[Date],"&lt;=" &amp; Games[[#This Row],[Date]])</f>
        <v>34</v>
      </c>
      <c r="D403" s="2" t="s">
        <v>23</v>
      </c>
      <c r="E403" s="2" t="s">
        <v>29</v>
      </c>
      <c r="F403" s="1" t="s">
        <v>83</v>
      </c>
      <c r="G403" s="1" t="s">
        <v>69</v>
      </c>
      <c r="H403" s="1" t="s">
        <v>15</v>
      </c>
      <c r="I403" s="2" cm="1">
        <f t="array" ref="I403">IFERROR(
    Games[[#This Row],[Date]]
    - LOOKUP(
        2,
        1/((Games[Team]=Games[[#This Row],[Team]]) * (Games[Date] &lt; Games[[#This Row],[Date]])),
        Games[Date]
    )
    - 1,
Games[[#This Row],[Date]]-$A$2)</f>
        <v>4</v>
      </c>
      <c r="J403" s="2" cm="1">
        <f t="array" ref="J40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3" s="2">
        <f>Games[[#This Row],[DaysOff]]-Games[[#This Row],[OppDaysOff]]</f>
        <v>3</v>
      </c>
      <c r="L403" s="2">
        <f>Games[[#This Row],[OppDaysOff]]-Games[[#This Row],[DaysOff]]</f>
        <v>-3</v>
      </c>
      <c r="M403" s="1">
        <f>MAX(-16, MIN(16, Games[[#This Row],[RestDiff]]*8))</f>
        <v>16</v>
      </c>
      <c r="N403" s="1">
        <f>MAX(-16, MIN(16, Games[[#This Row],[OppRestDiff]]*8))</f>
        <v>-16</v>
      </c>
      <c r="O403" s="4" cm="1">
        <f t="array" ref="O4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1542.0681712445144</v>
      </c>
      <c r="P403" s="4" cm="1">
        <f t="array" ref="P4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1574.5532894419628</v>
      </c>
      <c r="Q403" s="4">
        <f>1/(1+10^(((Games[[#This Row],[OppPreGmRate]]+IF(Games[[#This Row],[HomeAway]]="A",HCA,0)+Games[[#This Row],[OppRestAdj]])-(Games[[#This Row],[PreGmRate]]+IF(Games[[#This Row],[HomeAway]]="H",HCA,0)+Games[[#This Row],[RestAdj]]))/400))</f>
        <v>0.61792503263958065</v>
      </c>
      <c r="R403" s="1">
        <v>81</v>
      </c>
      <c r="S403" s="1">
        <v>90</v>
      </c>
      <c r="T403" s="1">
        <v>0</v>
      </c>
      <c r="U403" s="1">
        <f>Games[[#This Row],[PointsFor]]-Games[[#This Row],[PointsAgainst]]</f>
        <v>-9</v>
      </c>
      <c r="V403" s="1">
        <f>IF(Games[[#This Row],[MOV]]&gt;0,1,IF(Games[[#This Row],[MOV]]=0,0.5,0))</f>
        <v>0</v>
      </c>
      <c r="W403" s="4">
        <f>((ABS(Games[[#This Row],[MOV]])+5)^0.6)/(12+0.01*(ABS(Games[[#This Row],[PreGmRate]]-Games[[#This Row],[OppPreGmRate]])))*IF(Games[[#This Row],[OT]]=1,0.9,1)</f>
        <v>0.39527116829547448</v>
      </c>
      <c r="X403" s="7" cm="1">
        <f t="array" ref="X40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3" s="9">
        <f>MAX(kmin, kmax - 0.15 * MIN(Games[[#This Row],[GamesPlayed]], 82))</f>
        <v>70.900000000000006</v>
      </c>
      <c r="Z403" s="4">
        <f>Games[[#This Row],[K]]*Games[[#This Row],[POMult]]</f>
        <v>70.900000000000006</v>
      </c>
      <c r="AA403" s="4">
        <f>(Games[[#This Row],[Keff]]*Games[[#This Row],[MOVMult]])*(Games[[#This Row],[Result]]-Games[[#This Row],[ExpectedWin%]])</f>
        <v>-17.317179624546061</v>
      </c>
      <c r="AB403" s="4">
        <f>Games[[#This Row],[PreGmRate]]+Games[[#This Row],[RatingChange]]</f>
        <v>1524.7509916199683</v>
      </c>
      <c r="AC403" s="2">
        <f>IF(Games[[#This Row],[Type]]="R",IF(Games[[#This Row],[Result]]&gt;0.5,1,0),0)</f>
        <v>0</v>
      </c>
      <c r="AD403" s="2">
        <f>IF(Games[[#This Row],[Type]]="R",IF(Games[[#This Row],[Result]]&lt;0.5,1,0),0)</f>
        <v>1</v>
      </c>
      <c r="AE403" s="2">
        <f>IF(AND(Games[[#This Row],[Type]]="P",Games[[#This Row],[Round]]=1),IF(Games[[#This Row],[Result]]&gt;0.5,1,0),0)</f>
        <v>0</v>
      </c>
      <c r="AF403" s="2">
        <f>IF(AND(Games[[#This Row],[Type]]="P",Games[[#This Row],[Round]]=1),IF(Games[[#This Row],[Result]]&lt;0.5,1,0),0)</f>
        <v>0</v>
      </c>
      <c r="AG403" s="2">
        <f>IF(AND(Games[[#This Row],[Type]]="P",Games[[#This Row],[Round]]=2),IF(Games[[#This Row],[Result]]&gt;0.5,1,0),0)</f>
        <v>0</v>
      </c>
      <c r="AH403" s="2">
        <f>IF(AND(Games[[#This Row],[Type]]="P",Games[[#This Row],[Round]]=2),IF(Games[[#This Row],[Result]]&lt;0.5,1,0),0)</f>
        <v>0</v>
      </c>
      <c r="AI403" s="2">
        <f>IF(AND(Games[[#This Row],[Type]]="P",Games[[#This Row],[Round]]=3),IF(Games[[#This Row],[Result]]&gt;0.5,1,0),0)</f>
        <v>0</v>
      </c>
      <c r="AJ403" s="2">
        <f>IF(AND(Games[[#This Row],[Type]]="P",Games[[#This Row],[Round]]=3),IF(Games[[#This Row],[Result]]&lt;0.5,1,0),0)</f>
        <v>0</v>
      </c>
      <c r="AK403" s="2">
        <f>IF(AND(Games[[#This Row],[Type]]="P",Games[[#This Row],[Round]]=4),IF(Games[[#This Row],[Result]]&gt;0.5,1,0),0)</f>
        <v>0</v>
      </c>
      <c r="AL403" s="2">
        <f>IF(AND(Games[[#This Row],[Type]]="P",Games[[#This Row],[Round]]=4),IF(Games[[#This Row],[Result]]&lt;0.5,1,0),0)</f>
        <v>0</v>
      </c>
    </row>
    <row r="404" spans="1:38" x14ac:dyDescent="0.35">
      <c r="A404" s="10">
        <v>40412</v>
      </c>
      <c r="B404" s="2">
        <v>2010</v>
      </c>
      <c r="C404" s="2">
        <f>COUNTIFS(Games[Team],Games[[#This Row],[Team]],Games[Season],Games[[#This Row],[Season]],Games[Date],"&lt;=" &amp; Games[[#This Row],[Date]])</f>
        <v>34</v>
      </c>
      <c r="D404" s="2" t="s">
        <v>23</v>
      </c>
      <c r="E404" s="2" t="s">
        <v>29</v>
      </c>
      <c r="F404" s="1" t="s">
        <v>71</v>
      </c>
      <c r="G404" s="1" t="s">
        <v>73</v>
      </c>
      <c r="H404" s="1" t="s">
        <v>16</v>
      </c>
      <c r="I404" s="2" cm="1">
        <f t="array" ref="I40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4" s="2" cm="1">
        <f t="array" ref="J40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4" s="2">
        <f>Games[[#This Row],[DaysOff]]-Games[[#This Row],[OppDaysOff]]</f>
        <v>0</v>
      </c>
      <c r="L404" s="2">
        <f>Games[[#This Row],[OppDaysOff]]-Games[[#This Row],[DaysOff]]</f>
        <v>0</v>
      </c>
      <c r="M404" s="1">
        <f>MAX(-16, MIN(16, Games[[#This Row],[RestDiff]]*8))</f>
        <v>0</v>
      </c>
      <c r="N404" s="1">
        <f>MAX(-16, MIN(16, Games[[#This Row],[OppRestDiff]]*8))</f>
        <v>0</v>
      </c>
      <c r="O404" s="4" cm="1">
        <f t="array" ref="O4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1415.1218509431026</v>
      </c>
      <c r="P404" s="4" cm="1">
        <f t="array" ref="P4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1600.0976547530622</v>
      </c>
      <c r="Q404" s="4">
        <f>1/(1+10^(((Games[[#This Row],[OppPreGmRate]]+IF(Games[[#This Row],[HomeAway]]="A",HCA,0)+Games[[#This Row],[OppRestAdj]])-(Games[[#This Row],[PreGmRate]]+IF(Games[[#This Row],[HomeAway]]="H",HCA,0)+Games[[#This Row],[RestAdj]]))/400))</f>
        <v>0.17532482423117579</v>
      </c>
      <c r="R404" s="1">
        <v>83</v>
      </c>
      <c r="S404" s="1">
        <v>79</v>
      </c>
      <c r="T404" s="1">
        <v>1</v>
      </c>
      <c r="U404" s="1">
        <f>Games[[#This Row],[PointsFor]]-Games[[#This Row],[PointsAgainst]]</f>
        <v>4</v>
      </c>
      <c r="V404" s="1">
        <f>IF(Games[[#This Row],[MOV]]&gt;0,1,IF(Games[[#This Row],[MOV]]=0,0.5,0))</f>
        <v>1</v>
      </c>
      <c r="W404" s="4">
        <f>((ABS(Games[[#This Row],[MOV]])+5)^0.6)/(12+0.01*(ABS(Games[[#This Row],[PreGmRate]]-Games[[#This Row],[OppPreGmRate]])))*IF(Games[[#This Row],[OT]]=1,0.9,1)</f>
        <v>0.24285431757791334</v>
      </c>
      <c r="X404" s="7" cm="1">
        <f t="array" ref="X40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4" s="9">
        <f>MAX(kmin, kmax - 0.15 * MIN(Games[[#This Row],[GamesPlayed]], 82))</f>
        <v>70.900000000000006</v>
      </c>
      <c r="Z404" s="4">
        <f>Games[[#This Row],[K]]*Games[[#This Row],[POMult]]</f>
        <v>70.900000000000006</v>
      </c>
      <c r="AA404" s="4">
        <f>(Games[[#This Row],[Keff]]*Games[[#This Row],[MOVMult]])*(Games[[#This Row],[Result]]-Games[[#This Row],[ExpectedWin%]])</f>
        <v>14.199563226766154</v>
      </c>
      <c r="AB404" s="4">
        <f>Games[[#This Row],[PreGmRate]]+Games[[#This Row],[RatingChange]]</f>
        <v>1429.3214141698688</v>
      </c>
      <c r="AC404" s="2">
        <f>IF(Games[[#This Row],[Type]]="R",IF(Games[[#This Row],[Result]]&gt;0.5,1,0),0)</f>
        <v>1</v>
      </c>
      <c r="AD404" s="2">
        <f>IF(Games[[#This Row],[Type]]="R",IF(Games[[#This Row],[Result]]&lt;0.5,1,0),0)</f>
        <v>0</v>
      </c>
      <c r="AE404" s="2">
        <f>IF(AND(Games[[#This Row],[Type]]="P",Games[[#This Row],[Round]]=1),IF(Games[[#This Row],[Result]]&gt;0.5,1,0),0)</f>
        <v>0</v>
      </c>
      <c r="AF404" s="2">
        <f>IF(AND(Games[[#This Row],[Type]]="P",Games[[#This Row],[Round]]=1),IF(Games[[#This Row],[Result]]&lt;0.5,1,0),0)</f>
        <v>0</v>
      </c>
      <c r="AG404" s="2">
        <f>IF(AND(Games[[#This Row],[Type]]="P",Games[[#This Row],[Round]]=2),IF(Games[[#This Row],[Result]]&gt;0.5,1,0),0)</f>
        <v>0</v>
      </c>
      <c r="AH404" s="2">
        <f>IF(AND(Games[[#This Row],[Type]]="P",Games[[#This Row],[Round]]=2),IF(Games[[#This Row],[Result]]&lt;0.5,1,0),0)</f>
        <v>0</v>
      </c>
      <c r="AI404" s="2">
        <f>IF(AND(Games[[#This Row],[Type]]="P",Games[[#This Row],[Round]]=3),IF(Games[[#This Row],[Result]]&gt;0.5,1,0),0)</f>
        <v>0</v>
      </c>
      <c r="AJ404" s="2">
        <f>IF(AND(Games[[#This Row],[Type]]="P",Games[[#This Row],[Round]]=3),IF(Games[[#This Row],[Result]]&lt;0.5,1,0),0)</f>
        <v>0</v>
      </c>
      <c r="AK404" s="2">
        <f>IF(AND(Games[[#This Row],[Type]]="P",Games[[#This Row],[Round]]=4),IF(Games[[#This Row],[Result]]&gt;0.5,1,0),0)</f>
        <v>0</v>
      </c>
      <c r="AL404" s="2">
        <f>IF(AND(Games[[#This Row],[Type]]="P",Games[[#This Row],[Round]]=4),IF(Games[[#This Row],[Result]]&lt;0.5,1,0),0)</f>
        <v>0</v>
      </c>
    </row>
    <row r="405" spans="1:38" x14ac:dyDescent="0.35">
      <c r="A405" s="10">
        <v>40412</v>
      </c>
      <c r="B405" s="2">
        <v>2010</v>
      </c>
      <c r="C405" s="2">
        <f>COUNTIFS(Games[Team],Games[[#This Row],[Team]],Games[Season],Games[[#This Row],[Season]],Games[Date],"&lt;=" &amp; Games[[#This Row],[Date]])</f>
        <v>34</v>
      </c>
      <c r="D405" s="2" t="s">
        <v>23</v>
      </c>
      <c r="E405" s="2" t="s">
        <v>29</v>
      </c>
      <c r="F405" s="1" t="s">
        <v>73</v>
      </c>
      <c r="G405" s="1" t="s">
        <v>71</v>
      </c>
      <c r="H405" s="1" t="s">
        <v>15</v>
      </c>
      <c r="I405" s="2" cm="1">
        <f t="array" ref="I405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5" s="2" cm="1">
        <f t="array" ref="J40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5" s="2">
        <f>Games[[#This Row],[DaysOff]]-Games[[#This Row],[OppDaysOff]]</f>
        <v>0</v>
      </c>
      <c r="L405" s="2">
        <f>Games[[#This Row],[OppDaysOff]]-Games[[#This Row],[DaysOff]]</f>
        <v>0</v>
      </c>
      <c r="M405" s="1">
        <f>MAX(-16, MIN(16, Games[[#This Row],[RestDiff]]*8))</f>
        <v>0</v>
      </c>
      <c r="N405" s="1">
        <f>MAX(-16, MIN(16, Games[[#This Row],[OppRestDiff]]*8))</f>
        <v>0</v>
      </c>
      <c r="O405" s="4" cm="1">
        <f t="array" ref="O4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1600.0976547530622</v>
      </c>
      <c r="P405" s="4" cm="1">
        <f t="array" ref="P4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1415.1218509431026</v>
      </c>
      <c r="Q405" s="4">
        <f>1/(1+10^(((Games[[#This Row],[OppPreGmRate]]+IF(Games[[#This Row],[HomeAway]]="A",HCA,0)+Games[[#This Row],[OppRestAdj]])-(Games[[#This Row],[PreGmRate]]+IF(Games[[#This Row],[HomeAway]]="H",HCA,0)+Games[[#This Row],[RestAdj]]))/400))</f>
        <v>0.82467517576882421</v>
      </c>
      <c r="R405" s="1">
        <v>79</v>
      </c>
      <c r="S405" s="1">
        <v>83</v>
      </c>
      <c r="T405" s="1">
        <v>1</v>
      </c>
      <c r="U405" s="1">
        <f>Games[[#This Row],[PointsFor]]-Games[[#This Row],[PointsAgainst]]</f>
        <v>-4</v>
      </c>
      <c r="V405" s="1">
        <f>IF(Games[[#This Row],[MOV]]&gt;0,1,IF(Games[[#This Row],[MOV]]=0,0.5,0))</f>
        <v>0</v>
      </c>
      <c r="W405" s="4">
        <f>((ABS(Games[[#This Row],[MOV]])+5)^0.6)/(12+0.01*(ABS(Games[[#This Row],[PreGmRate]]-Games[[#This Row],[OppPreGmRate]])))*IF(Games[[#This Row],[OT]]=1,0.9,1)</f>
        <v>0.24285431757791334</v>
      </c>
      <c r="X405" s="7" cm="1">
        <f t="array" ref="X40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5" s="9">
        <f>MAX(kmin, kmax - 0.15 * MIN(Games[[#This Row],[GamesPlayed]], 82))</f>
        <v>70.900000000000006</v>
      </c>
      <c r="Z405" s="4">
        <f>Games[[#This Row],[K]]*Games[[#This Row],[POMult]]</f>
        <v>70.900000000000006</v>
      </c>
      <c r="AA405" s="4">
        <f>(Games[[#This Row],[Keff]]*Games[[#This Row],[MOVMult]])*(Games[[#This Row],[Result]]-Games[[#This Row],[ExpectedWin%]])</f>
        <v>-14.199563226766154</v>
      </c>
      <c r="AB405" s="4">
        <f>Games[[#This Row],[PreGmRate]]+Games[[#This Row],[RatingChange]]</f>
        <v>1585.898091526296</v>
      </c>
      <c r="AC405" s="2">
        <f>IF(Games[[#This Row],[Type]]="R",IF(Games[[#This Row],[Result]]&gt;0.5,1,0),0)</f>
        <v>0</v>
      </c>
      <c r="AD405" s="2">
        <f>IF(Games[[#This Row],[Type]]="R",IF(Games[[#This Row],[Result]]&lt;0.5,1,0),0)</f>
        <v>1</v>
      </c>
      <c r="AE405" s="2">
        <f>IF(AND(Games[[#This Row],[Type]]="P",Games[[#This Row],[Round]]=1),IF(Games[[#This Row],[Result]]&gt;0.5,1,0),0)</f>
        <v>0</v>
      </c>
      <c r="AF405" s="2">
        <f>IF(AND(Games[[#This Row],[Type]]="P",Games[[#This Row],[Round]]=1),IF(Games[[#This Row],[Result]]&lt;0.5,1,0),0)</f>
        <v>0</v>
      </c>
      <c r="AG405" s="2">
        <f>IF(AND(Games[[#This Row],[Type]]="P",Games[[#This Row],[Round]]=2),IF(Games[[#This Row],[Result]]&gt;0.5,1,0),0)</f>
        <v>0</v>
      </c>
      <c r="AH405" s="2">
        <f>IF(AND(Games[[#This Row],[Type]]="P",Games[[#This Row],[Round]]=2),IF(Games[[#This Row],[Result]]&lt;0.5,1,0),0)</f>
        <v>0</v>
      </c>
      <c r="AI405" s="2">
        <f>IF(AND(Games[[#This Row],[Type]]="P",Games[[#This Row],[Round]]=3),IF(Games[[#This Row],[Result]]&gt;0.5,1,0),0)</f>
        <v>0</v>
      </c>
      <c r="AJ405" s="2">
        <f>IF(AND(Games[[#This Row],[Type]]="P",Games[[#This Row],[Round]]=3),IF(Games[[#This Row],[Result]]&lt;0.5,1,0),0)</f>
        <v>0</v>
      </c>
      <c r="AK405" s="2">
        <f>IF(AND(Games[[#This Row],[Type]]="P",Games[[#This Row],[Round]]=4),IF(Games[[#This Row],[Result]]&gt;0.5,1,0),0)</f>
        <v>0</v>
      </c>
      <c r="AL405" s="2">
        <f>IF(AND(Games[[#This Row],[Type]]="P",Games[[#This Row],[Round]]=4),IF(Games[[#This Row],[Result]]&lt;0.5,1,0),0)</f>
        <v>0</v>
      </c>
    </row>
    <row r="406" spans="1:38" x14ac:dyDescent="0.35">
      <c r="A406" s="10">
        <v>40412</v>
      </c>
      <c r="B406" s="2">
        <v>2010</v>
      </c>
      <c r="C406" s="2">
        <f>COUNTIFS(Games[Team],Games[[#This Row],[Team]],Games[Season],Games[[#This Row],[Season]],Games[Date],"&lt;=" &amp; Games[[#This Row],[Date]])</f>
        <v>34</v>
      </c>
      <c r="D406" s="2" t="s">
        <v>23</v>
      </c>
      <c r="E406" s="2" t="s">
        <v>29</v>
      </c>
      <c r="F406" s="1" t="s">
        <v>80</v>
      </c>
      <c r="G406" s="1" t="s">
        <v>64</v>
      </c>
      <c r="H406" s="1" t="s">
        <v>16</v>
      </c>
      <c r="I406" s="2" cm="1">
        <f t="array" ref="I406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6" s="2" cm="1">
        <f t="array" ref="J40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6" s="2">
        <f>Games[[#This Row],[DaysOff]]-Games[[#This Row],[OppDaysOff]]</f>
        <v>0</v>
      </c>
      <c r="L406" s="2">
        <f>Games[[#This Row],[OppDaysOff]]-Games[[#This Row],[DaysOff]]</f>
        <v>0</v>
      </c>
      <c r="M406" s="1">
        <f>MAX(-16, MIN(16, Games[[#This Row],[RestDiff]]*8))</f>
        <v>0</v>
      </c>
      <c r="N406" s="1">
        <f>MAX(-16, MIN(16, Games[[#This Row],[OppRestDiff]]*8))</f>
        <v>0</v>
      </c>
      <c r="O406" s="4" cm="1">
        <f t="array" ref="O4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1500.070246258965</v>
      </c>
      <c r="P406" s="4" cm="1">
        <f t="array" ref="P4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1618.9393726447356</v>
      </c>
      <c r="Q406" s="4">
        <f>1/(1+10^(((Games[[#This Row],[OppPreGmRate]]+IF(Games[[#This Row],[HomeAway]]="A",HCA,0)+Games[[#This Row],[OppRestAdj]])-(Games[[#This Row],[PreGmRate]]+IF(Games[[#This Row],[HomeAway]]="H",HCA,0)+Games[[#This Row],[RestAdj]]))/400))</f>
        <v>0.2372513247372105</v>
      </c>
      <c r="R406" s="1">
        <v>87</v>
      </c>
      <c r="S406" s="1">
        <v>88</v>
      </c>
      <c r="T406" s="1">
        <v>1</v>
      </c>
      <c r="U406" s="1">
        <f>Games[[#This Row],[PointsFor]]-Games[[#This Row],[PointsAgainst]]</f>
        <v>-1</v>
      </c>
      <c r="V406" s="1">
        <f>IF(Games[[#This Row],[MOV]]&gt;0,1,IF(Games[[#This Row],[MOV]]=0,0.5,0))</f>
        <v>0</v>
      </c>
      <c r="W406" s="4">
        <f>((ABS(Games[[#This Row],[MOV]])+5)^0.6)/(12+0.01*(ABS(Games[[#This Row],[PreGmRate]]-Games[[#This Row],[OppPreGmRate]])))*IF(Games[[#This Row],[OT]]=1,0.9,1)</f>
        <v>0.19995467280760373</v>
      </c>
      <c r="X406" s="7" cm="1">
        <f t="array" ref="X40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6" s="9">
        <f>MAX(kmin, kmax - 0.15 * MIN(Games[[#This Row],[GamesPlayed]], 82))</f>
        <v>70.900000000000006</v>
      </c>
      <c r="Z406" s="4">
        <f>Games[[#This Row],[K]]*Games[[#This Row],[POMult]]</f>
        <v>70.900000000000006</v>
      </c>
      <c r="AA406" s="4">
        <f>(Games[[#This Row],[Keff]]*Games[[#This Row],[MOVMult]])*(Games[[#This Row],[Result]]-Games[[#This Row],[ExpectedWin%]])</f>
        <v>-3.3634613306798626</v>
      </c>
      <c r="AB406" s="4">
        <f>Games[[#This Row],[PreGmRate]]+Games[[#This Row],[RatingChange]]</f>
        <v>1496.7067849282851</v>
      </c>
      <c r="AC406" s="2">
        <f>IF(Games[[#This Row],[Type]]="R",IF(Games[[#This Row],[Result]]&gt;0.5,1,0),0)</f>
        <v>0</v>
      </c>
      <c r="AD406" s="2">
        <f>IF(Games[[#This Row],[Type]]="R",IF(Games[[#This Row],[Result]]&lt;0.5,1,0),0)</f>
        <v>1</v>
      </c>
      <c r="AE406" s="2">
        <f>IF(AND(Games[[#This Row],[Type]]="P",Games[[#This Row],[Round]]=1),IF(Games[[#This Row],[Result]]&gt;0.5,1,0),0)</f>
        <v>0</v>
      </c>
      <c r="AF406" s="2">
        <f>IF(AND(Games[[#This Row],[Type]]="P",Games[[#This Row],[Round]]=1),IF(Games[[#This Row],[Result]]&lt;0.5,1,0),0)</f>
        <v>0</v>
      </c>
      <c r="AG406" s="2">
        <f>IF(AND(Games[[#This Row],[Type]]="P",Games[[#This Row],[Round]]=2),IF(Games[[#This Row],[Result]]&gt;0.5,1,0),0)</f>
        <v>0</v>
      </c>
      <c r="AH406" s="2">
        <f>IF(AND(Games[[#This Row],[Type]]="P",Games[[#This Row],[Round]]=2),IF(Games[[#This Row],[Result]]&lt;0.5,1,0),0)</f>
        <v>0</v>
      </c>
      <c r="AI406" s="2">
        <f>IF(AND(Games[[#This Row],[Type]]="P",Games[[#This Row],[Round]]=3),IF(Games[[#This Row],[Result]]&gt;0.5,1,0),0)</f>
        <v>0</v>
      </c>
      <c r="AJ406" s="2">
        <f>IF(AND(Games[[#This Row],[Type]]="P",Games[[#This Row],[Round]]=3),IF(Games[[#This Row],[Result]]&lt;0.5,1,0),0)</f>
        <v>0</v>
      </c>
      <c r="AK406" s="2">
        <f>IF(AND(Games[[#This Row],[Type]]="P",Games[[#This Row],[Round]]=4),IF(Games[[#This Row],[Result]]&gt;0.5,1,0),0)</f>
        <v>0</v>
      </c>
      <c r="AL406" s="2">
        <f>IF(AND(Games[[#This Row],[Type]]="P",Games[[#This Row],[Round]]=4),IF(Games[[#This Row],[Result]]&lt;0.5,1,0),0)</f>
        <v>0</v>
      </c>
    </row>
    <row r="407" spans="1:38" x14ac:dyDescent="0.35">
      <c r="A407" s="10">
        <v>40412</v>
      </c>
      <c r="B407" s="2">
        <v>2010</v>
      </c>
      <c r="C407" s="2">
        <f>COUNTIFS(Games[Team],Games[[#This Row],[Team]],Games[Season],Games[[#This Row],[Season]],Games[Date],"&lt;=" &amp; Games[[#This Row],[Date]])</f>
        <v>34</v>
      </c>
      <c r="D407" s="2" t="s">
        <v>23</v>
      </c>
      <c r="E407" s="2" t="s">
        <v>29</v>
      </c>
      <c r="F407" s="1" t="s">
        <v>64</v>
      </c>
      <c r="G407" s="1" t="s">
        <v>80</v>
      </c>
      <c r="H407" s="1" t="s">
        <v>15</v>
      </c>
      <c r="I407" s="2" cm="1">
        <f t="array" ref="I407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7" s="2" cm="1">
        <f t="array" ref="J40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7" s="2">
        <f>Games[[#This Row],[DaysOff]]-Games[[#This Row],[OppDaysOff]]</f>
        <v>0</v>
      </c>
      <c r="L407" s="2">
        <f>Games[[#This Row],[OppDaysOff]]-Games[[#This Row],[DaysOff]]</f>
        <v>0</v>
      </c>
      <c r="M407" s="1">
        <f>MAX(-16, MIN(16, Games[[#This Row],[RestDiff]]*8))</f>
        <v>0</v>
      </c>
      <c r="N407" s="1">
        <f>MAX(-16, MIN(16, Games[[#This Row],[OppRestDiff]]*8))</f>
        <v>0</v>
      </c>
      <c r="O407" s="4" cm="1">
        <f t="array" ref="O4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1618.9393726447356</v>
      </c>
      <c r="P407" s="4" cm="1">
        <f t="array" ref="P4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1500.070246258965</v>
      </c>
      <c r="Q407" s="4">
        <f>1/(1+10^(((Games[[#This Row],[OppPreGmRate]]+IF(Games[[#This Row],[HomeAway]]="A",HCA,0)+Games[[#This Row],[OppRestAdj]])-(Games[[#This Row],[PreGmRate]]+IF(Games[[#This Row],[HomeAway]]="H",HCA,0)+Games[[#This Row],[RestAdj]]))/400))</f>
        <v>0.76274867526278944</v>
      </c>
      <c r="R407" s="1">
        <v>88</v>
      </c>
      <c r="S407" s="1">
        <v>87</v>
      </c>
      <c r="T407" s="1">
        <v>1</v>
      </c>
      <c r="U407" s="1">
        <f>Games[[#This Row],[PointsFor]]-Games[[#This Row],[PointsAgainst]]</f>
        <v>1</v>
      </c>
      <c r="V407" s="1">
        <f>IF(Games[[#This Row],[MOV]]&gt;0,1,IF(Games[[#This Row],[MOV]]=0,0.5,0))</f>
        <v>1</v>
      </c>
      <c r="W407" s="4">
        <f>((ABS(Games[[#This Row],[MOV]])+5)^0.6)/(12+0.01*(ABS(Games[[#This Row],[PreGmRate]]-Games[[#This Row],[OppPreGmRate]])))*IF(Games[[#This Row],[OT]]=1,0.9,1)</f>
        <v>0.19995467280760373</v>
      </c>
      <c r="X407" s="7" cm="1">
        <f t="array" ref="X40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7" s="9">
        <f>MAX(kmin, kmax - 0.15 * MIN(Games[[#This Row],[GamesPlayed]], 82))</f>
        <v>70.900000000000006</v>
      </c>
      <c r="Z407" s="4">
        <f>Games[[#This Row],[K]]*Games[[#This Row],[POMult]]</f>
        <v>70.900000000000006</v>
      </c>
      <c r="AA407" s="4">
        <f>(Games[[#This Row],[Keff]]*Games[[#This Row],[MOVMult]])*(Games[[#This Row],[Result]]-Games[[#This Row],[ExpectedWin%]])</f>
        <v>3.3634613306798635</v>
      </c>
      <c r="AB407" s="4">
        <f>Games[[#This Row],[PreGmRate]]+Games[[#This Row],[RatingChange]]</f>
        <v>1622.3028339754155</v>
      </c>
      <c r="AC407" s="2">
        <f>IF(Games[[#This Row],[Type]]="R",IF(Games[[#This Row],[Result]]&gt;0.5,1,0),0)</f>
        <v>1</v>
      </c>
      <c r="AD407" s="2">
        <f>IF(Games[[#This Row],[Type]]="R",IF(Games[[#This Row],[Result]]&lt;0.5,1,0),0)</f>
        <v>0</v>
      </c>
      <c r="AE407" s="2">
        <f>IF(AND(Games[[#This Row],[Type]]="P",Games[[#This Row],[Round]]=1),IF(Games[[#This Row],[Result]]&gt;0.5,1,0),0)</f>
        <v>0</v>
      </c>
      <c r="AF407" s="2">
        <f>IF(AND(Games[[#This Row],[Type]]="P",Games[[#This Row],[Round]]=1),IF(Games[[#This Row],[Result]]&lt;0.5,1,0),0)</f>
        <v>0</v>
      </c>
      <c r="AG407" s="2">
        <f>IF(AND(Games[[#This Row],[Type]]="P",Games[[#This Row],[Round]]=2),IF(Games[[#This Row],[Result]]&gt;0.5,1,0),0)</f>
        <v>0</v>
      </c>
      <c r="AH407" s="2">
        <f>IF(AND(Games[[#This Row],[Type]]="P",Games[[#This Row],[Round]]=2),IF(Games[[#This Row],[Result]]&lt;0.5,1,0),0)</f>
        <v>0</v>
      </c>
      <c r="AI407" s="2">
        <f>IF(AND(Games[[#This Row],[Type]]="P",Games[[#This Row],[Round]]=3),IF(Games[[#This Row],[Result]]&gt;0.5,1,0),0)</f>
        <v>0</v>
      </c>
      <c r="AJ407" s="2">
        <f>IF(AND(Games[[#This Row],[Type]]="P",Games[[#This Row],[Round]]=3),IF(Games[[#This Row],[Result]]&lt;0.5,1,0),0)</f>
        <v>0</v>
      </c>
      <c r="AK407" s="2">
        <f>IF(AND(Games[[#This Row],[Type]]="P",Games[[#This Row],[Round]]=4),IF(Games[[#This Row],[Result]]&gt;0.5,1,0),0)</f>
        <v>0</v>
      </c>
      <c r="AL407" s="2">
        <f>IF(AND(Games[[#This Row],[Type]]="P",Games[[#This Row],[Round]]=4),IF(Games[[#This Row],[Result]]&lt;0.5,1,0),0)</f>
        <v>0</v>
      </c>
    </row>
    <row r="408" spans="1:38" x14ac:dyDescent="0.35">
      <c r="A408" s="10">
        <v>40412</v>
      </c>
      <c r="B408" s="2">
        <v>2010</v>
      </c>
      <c r="C408" s="2">
        <f>COUNTIFS(Games[Team],Games[[#This Row],[Team]],Games[Season],Games[[#This Row],[Season]],Games[Date],"&lt;=" &amp; Games[[#This Row],[Date]])</f>
        <v>34</v>
      </c>
      <c r="D408" s="2" t="s">
        <v>23</v>
      </c>
      <c r="E408" s="2" t="s">
        <v>29</v>
      </c>
      <c r="F408" s="1" t="s">
        <v>44</v>
      </c>
      <c r="G408" s="1" t="s">
        <v>78</v>
      </c>
      <c r="H408" s="1" t="s">
        <v>16</v>
      </c>
      <c r="I408" s="2" cm="1">
        <f t="array" ref="I408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8" s="2" cm="1">
        <f t="array" ref="J40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8" s="2">
        <f>Games[[#This Row],[DaysOff]]-Games[[#This Row],[OppDaysOff]]</f>
        <v>0</v>
      </c>
      <c r="L408" s="2">
        <f>Games[[#This Row],[OppDaysOff]]-Games[[#This Row],[DaysOff]]</f>
        <v>0</v>
      </c>
      <c r="M408" s="1">
        <f>MAX(-16, MIN(16, Games[[#This Row],[RestDiff]]*8))</f>
        <v>0</v>
      </c>
      <c r="N408" s="1">
        <f>MAX(-16, MIN(16, Games[[#This Row],[OppRestDiff]]*8))</f>
        <v>0</v>
      </c>
      <c r="O408" s="4" cm="1">
        <f t="array" ref="O4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1508.4516282986151</v>
      </c>
      <c r="P408" s="4" cm="1">
        <f t="array" ref="P4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1434.7351937338371</v>
      </c>
      <c r="Q408" s="4">
        <f>1/(1+10^(((Games[[#This Row],[OppPreGmRate]]+IF(Games[[#This Row],[HomeAway]]="A",HCA,0)+Games[[#This Row],[OppRestAdj]])-(Games[[#This Row],[PreGmRate]]+IF(Games[[#This Row],[HomeAway]]="H",HCA,0)+Games[[#This Row],[RestAdj]]))/400))</f>
        <v>0.48520507991359718</v>
      </c>
      <c r="R408" s="1">
        <v>82</v>
      </c>
      <c r="S408" s="1">
        <v>83</v>
      </c>
      <c r="T408" s="1">
        <v>0</v>
      </c>
      <c r="U408" s="1">
        <f>Games[[#This Row],[PointsFor]]-Games[[#This Row],[PointsAgainst]]</f>
        <v>-1</v>
      </c>
      <c r="V408" s="1">
        <f>IF(Games[[#This Row],[MOV]]&gt;0,1,IF(Games[[#This Row],[MOV]]=0,0.5,0))</f>
        <v>0</v>
      </c>
      <c r="W408" s="4">
        <f>((ABS(Games[[#This Row],[MOV]])+5)^0.6)/(12+0.01*(ABS(Games[[#This Row],[PreGmRate]]-Games[[#This Row],[OppPreGmRate]])))*IF(Games[[#This Row],[OT]]=1,0.9,1)</f>
        <v>0.23004775412077808</v>
      </c>
      <c r="X408" s="7" cm="1">
        <f t="array" ref="X40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8" s="9">
        <f>MAX(kmin, kmax - 0.15 * MIN(Games[[#This Row],[GamesPlayed]], 82))</f>
        <v>70.900000000000006</v>
      </c>
      <c r="Z408" s="4">
        <f>Games[[#This Row],[K]]*Games[[#This Row],[POMult]]</f>
        <v>70.900000000000006</v>
      </c>
      <c r="AA408" s="4">
        <f>(Games[[#This Row],[Keff]]*Games[[#This Row],[MOVMult]])*(Games[[#This Row],[Result]]-Games[[#This Row],[ExpectedWin%]])</f>
        <v>-7.9138820295780015</v>
      </c>
      <c r="AB408" s="4">
        <f>Games[[#This Row],[PreGmRate]]+Games[[#This Row],[RatingChange]]</f>
        <v>1500.5377462690371</v>
      </c>
      <c r="AC408" s="2">
        <f>IF(Games[[#This Row],[Type]]="R",IF(Games[[#This Row],[Result]]&gt;0.5,1,0),0)</f>
        <v>0</v>
      </c>
      <c r="AD408" s="2">
        <f>IF(Games[[#This Row],[Type]]="R",IF(Games[[#This Row],[Result]]&lt;0.5,1,0),0)</f>
        <v>1</v>
      </c>
      <c r="AE408" s="2">
        <f>IF(AND(Games[[#This Row],[Type]]="P",Games[[#This Row],[Round]]=1),IF(Games[[#This Row],[Result]]&gt;0.5,1,0),0)</f>
        <v>0</v>
      </c>
      <c r="AF408" s="2">
        <f>IF(AND(Games[[#This Row],[Type]]="P",Games[[#This Row],[Round]]=1),IF(Games[[#This Row],[Result]]&lt;0.5,1,0),0)</f>
        <v>0</v>
      </c>
      <c r="AG408" s="2">
        <f>IF(AND(Games[[#This Row],[Type]]="P",Games[[#This Row],[Round]]=2),IF(Games[[#This Row],[Result]]&gt;0.5,1,0),0)</f>
        <v>0</v>
      </c>
      <c r="AH408" s="2">
        <f>IF(AND(Games[[#This Row],[Type]]="P",Games[[#This Row],[Round]]=2),IF(Games[[#This Row],[Result]]&lt;0.5,1,0),0)</f>
        <v>0</v>
      </c>
      <c r="AI408" s="2">
        <f>IF(AND(Games[[#This Row],[Type]]="P",Games[[#This Row],[Round]]=3),IF(Games[[#This Row],[Result]]&gt;0.5,1,0),0)</f>
        <v>0</v>
      </c>
      <c r="AJ408" s="2">
        <f>IF(AND(Games[[#This Row],[Type]]="P",Games[[#This Row],[Round]]=3),IF(Games[[#This Row],[Result]]&lt;0.5,1,0),0)</f>
        <v>0</v>
      </c>
      <c r="AK408" s="2">
        <f>IF(AND(Games[[#This Row],[Type]]="P",Games[[#This Row],[Round]]=4),IF(Games[[#This Row],[Result]]&gt;0.5,1,0),0)</f>
        <v>0</v>
      </c>
      <c r="AL408" s="2">
        <f>IF(AND(Games[[#This Row],[Type]]="P",Games[[#This Row],[Round]]=4),IF(Games[[#This Row],[Result]]&lt;0.5,1,0),0)</f>
        <v>0</v>
      </c>
    </row>
    <row r="409" spans="1:38" x14ac:dyDescent="0.35">
      <c r="A409" s="10">
        <v>40412</v>
      </c>
      <c r="B409" s="2">
        <v>2010</v>
      </c>
      <c r="C409" s="2">
        <f>COUNTIFS(Games[Team],Games[[#This Row],[Team]],Games[Season],Games[[#This Row],[Season]],Games[Date],"&lt;=" &amp; Games[[#This Row],[Date]])</f>
        <v>34</v>
      </c>
      <c r="D409" s="2" t="s">
        <v>23</v>
      </c>
      <c r="E409" s="2" t="s">
        <v>29</v>
      </c>
      <c r="F409" s="1" t="s">
        <v>78</v>
      </c>
      <c r="G409" s="1" t="s">
        <v>44</v>
      </c>
      <c r="H409" s="1" t="s">
        <v>15</v>
      </c>
      <c r="I409" s="2" cm="1">
        <f t="array" ref="I409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9" s="2" cm="1">
        <f t="array" ref="J40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9" s="2">
        <f>Games[[#This Row],[DaysOff]]-Games[[#This Row],[OppDaysOff]]</f>
        <v>0</v>
      </c>
      <c r="L409" s="2">
        <f>Games[[#This Row],[OppDaysOff]]-Games[[#This Row],[DaysOff]]</f>
        <v>0</v>
      </c>
      <c r="M409" s="1">
        <f>MAX(-16, MIN(16, Games[[#This Row],[RestDiff]]*8))</f>
        <v>0</v>
      </c>
      <c r="N409" s="1">
        <f>MAX(-16, MIN(16, Games[[#This Row],[OppRestDiff]]*8))</f>
        <v>0</v>
      </c>
      <c r="O409" s="4" cm="1">
        <f t="array" ref="O4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1434.7351937338371</v>
      </c>
      <c r="P409" s="4" cm="1">
        <f t="array" ref="P4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1508.4516282986151</v>
      </c>
      <c r="Q409" s="4">
        <f>1/(1+10^(((Games[[#This Row],[OppPreGmRate]]+IF(Games[[#This Row],[HomeAway]]="A",HCA,0)+Games[[#This Row],[OppRestAdj]])-(Games[[#This Row],[PreGmRate]]+IF(Games[[#This Row],[HomeAway]]="H",HCA,0)+Games[[#This Row],[RestAdj]]))/400))</f>
        <v>0.51479492008640271</v>
      </c>
      <c r="R409" s="1">
        <v>83</v>
      </c>
      <c r="S409" s="1">
        <v>82</v>
      </c>
      <c r="T409" s="1">
        <v>0</v>
      </c>
      <c r="U409" s="1">
        <f>Games[[#This Row],[PointsFor]]-Games[[#This Row],[PointsAgainst]]</f>
        <v>1</v>
      </c>
      <c r="V409" s="1">
        <f>IF(Games[[#This Row],[MOV]]&gt;0,1,IF(Games[[#This Row],[MOV]]=0,0.5,0))</f>
        <v>1</v>
      </c>
      <c r="W409" s="4">
        <f>((ABS(Games[[#This Row],[MOV]])+5)^0.6)/(12+0.01*(ABS(Games[[#This Row],[PreGmRate]]-Games[[#This Row],[OppPreGmRate]])))*IF(Games[[#This Row],[OT]]=1,0.9,1)</f>
        <v>0.23004775412077808</v>
      </c>
      <c r="X409" s="7" cm="1">
        <f t="array" ref="X40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9" s="9">
        <f>MAX(kmin, kmax - 0.15 * MIN(Games[[#This Row],[GamesPlayed]], 82))</f>
        <v>70.900000000000006</v>
      </c>
      <c r="Z409" s="4">
        <f>Games[[#This Row],[K]]*Games[[#This Row],[POMult]]</f>
        <v>70.900000000000006</v>
      </c>
      <c r="AA409" s="4">
        <f>(Games[[#This Row],[Keff]]*Games[[#This Row],[MOVMult]])*(Games[[#This Row],[Result]]-Games[[#This Row],[ExpectedWin%]])</f>
        <v>7.9138820295780032</v>
      </c>
      <c r="AB409" s="4">
        <f>Games[[#This Row],[PreGmRate]]+Games[[#This Row],[RatingChange]]</f>
        <v>1442.6490757634151</v>
      </c>
      <c r="AC409" s="2">
        <f>IF(Games[[#This Row],[Type]]="R",IF(Games[[#This Row],[Result]]&gt;0.5,1,0),0)</f>
        <v>1</v>
      </c>
      <c r="AD409" s="2">
        <f>IF(Games[[#This Row],[Type]]="R",IF(Games[[#This Row],[Result]]&lt;0.5,1,0),0)</f>
        <v>0</v>
      </c>
      <c r="AE409" s="2">
        <f>IF(AND(Games[[#This Row],[Type]]="P",Games[[#This Row],[Round]]=1),IF(Games[[#This Row],[Result]]&gt;0.5,1,0),0)</f>
        <v>0</v>
      </c>
      <c r="AF409" s="2">
        <f>IF(AND(Games[[#This Row],[Type]]="P",Games[[#This Row],[Round]]=1),IF(Games[[#This Row],[Result]]&lt;0.5,1,0),0)</f>
        <v>0</v>
      </c>
      <c r="AG409" s="2">
        <f>IF(AND(Games[[#This Row],[Type]]="P",Games[[#This Row],[Round]]=2),IF(Games[[#This Row],[Result]]&gt;0.5,1,0),0)</f>
        <v>0</v>
      </c>
      <c r="AH409" s="2">
        <f>IF(AND(Games[[#This Row],[Type]]="P",Games[[#This Row],[Round]]=2),IF(Games[[#This Row],[Result]]&lt;0.5,1,0),0)</f>
        <v>0</v>
      </c>
      <c r="AI409" s="2">
        <f>IF(AND(Games[[#This Row],[Type]]="P",Games[[#This Row],[Round]]=3),IF(Games[[#This Row],[Result]]&gt;0.5,1,0),0)</f>
        <v>0</v>
      </c>
      <c r="AJ409" s="2">
        <f>IF(AND(Games[[#This Row],[Type]]="P",Games[[#This Row],[Round]]=3),IF(Games[[#This Row],[Result]]&lt;0.5,1,0),0)</f>
        <v>0</v>
      </c>
      <c r="AK409" s="2">
        <f>IF(AND(Games[[#This Row],[Type]]="P",Games[[#This Row],[Round]]=4),IF(Games[[#This Row],[Result]]&gt;0.5,1,0),0)</f>
        <v>0</v>
      </c>
      <c r="AL409" s="2">
        <f>IF(AND(Games[[#This Row],[Type]]="P",Games[[#This Row],[Round]]=4),IF(Games[[#This Row],[Result]]&lt;0.5,1,0),0)</f>
        <v>0</v>
      </c>
    </row>
    <row r="410" spans="1:38" x14ac:dyDescent="0.35">
      <c r="A410" s="10">
        <v>40415</v>
      </c>
      <c r="B410" s="2">
        <v>2010</v>
      </c>
      <c r="C410" s="2">
        <f>COUNTIFS(Games[Team],Games[[#This Row],[Team]],Games[Season],Games[[#This Row],[Season]],Games[Date],"&lt;=" &amp; Games[[#This Row],[Date]])</f>
        <v>35</v>
      </c>
      <c r="D410" s="2" t="s">
        <v>23</v>
      </c>
      <c r="E410" s="2" t="s">
        <v>29</v>
      </c>
      <c r="F410" s="1" t="s">
        <v>67</v>
      </c>
      <c r="G410" s="1" t="s">
        <v>75</v>
      </c>
      <c r="H410" s="1" t="s">
        <v>16</v>
      </c>
      <c r="I410" s="2" cm="1">
        <f t="array" ref="I410">IFERROR(
    Games[[#This Row],[Date]]
    - LOOKUP(
        2,
        1/((Games[Team]=Games[[#This Row],[Team]]) * (Games[Date] &lt; Games[[#This Row],[Date]])),
        Games[Date]
    )
    - 1,
Games[[#This Row],[Date]]-$A$2)</f>
        <v>3</v>
      </c>
      <c r="J410" s="2" cm="1">
        <f t="array" ref="J41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10" s="2">
        <f>Games[[#This Row],[DaysOff]]-Games[[#This Row],[OppDaysOff]]</f>
        <v>0</v>
      </c>
      <c r="L410" s="2">
        <f>Games[[#This Row],[OppDaysOff]]-Games[[#This Row],[DaysOff]]</f>
        <v>0</v>
      </c>
      <c r="M410" s="1">
        <f>MAX(-16, MIN(16, Games[[#This Row],[RestDiff]]*8))</f>
        <v>0</v>
      </c>
      <c r="N410" s="1">
        <f>MAX(-16, MIN(16, Games[[#This Row],[OppRestDiff]]*8))</f>
        <v>0</v>
      </c>
      <c r="O410" s="4" cm="1">
        <f t="array" ref="O4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1448.1596745786705</v>
      </c>
      <c r="P410" s="4" cm="1">
        <f t="array" ref="P4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1659.2192336781304</v>
      </c>
      <c r="Q410" s="4">
        <f>1/(1+10^(((Games[[#This Row],[OppPreGmRate]]+IF(Games[[#This Row],[HomeAway]]="A",HCA,0)+Games[[#This Row],[OppRestAdj]])-(Games[[#This Row],[PreGmRate]]+IF(Games[[#This Row],[HomeAway]]="H",HCA,0)+Games[[#This Row],[RestAdj]]))/400))</f>
        <v>0.1546613594806425</v>
      </c>
      <c r="R410" s="1">
        <v>66</v>
      </c>
      <c r="S410" s="1">
        <v>79</v>
      </c>
      <c r="T410" s="1">
        <v>0</v>
      </c>
      <c r="U410" s="1">
        <f>Games[[#This Row],[PointsFor]]-Games[[#This Row],[PointsAgainst]]</f>
        <v>-13</v>
      </c>
      <c r="V410" s="1">
        <f>IF(Games[[#This Row],[MOV]]&gt;0,1,IF(Games[[#This Row],[MOV]]=0,0.5,0))</f>
        <v>0</v>
      </c>
      <c r="W410" s="4">
        <f>((ABS(Games[[#This Row],[MOV]])+5)^0.6)/(12+0.01*(ABS(Games[[#This Row],[PreGmRate]]-Games[[#This Row],[OppPreGmRate]])))*IF(Games[[#This Row],[OT]]=1,0.9,1)</f>
        <v>0.40143770199073087</v>
      </c>
      <c r="X410" s="7" cm="1">
        <f t="array" ref="X4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0" s="9">
        <f>MAX(kmin, kmax - 0.15 * MIN(Games[[#This Row],[GamesPlayed]], 82))</f>
        <v>70.75</v>
      </c>
      <c r="Z410" s="4">
        <f>Games[[#This Row],[K]]*Games[[#This Row],[POMult]]</f>
        <v>70.75</v>
      </c>
      <c r="AA410" s="4">
        <f>(Games[[#This Row],[Keff]]*Games[[#This Row],[MOVMult]])*(Games[[#This Row],[Result]]-Games[[#This Row],[ExpectedWin%]])</f>
        <v>-4.3926482271195058</v>
      </c>
      <c r="AB410" s="4">
        <f>Games[[#This Row],[PreGmRate]]+Games[[#This Row],[RatingChange]]</f>
        <v>1443.7670263515511</v>
      </c>
      <c r="AC410" s="2">
        <f>IF(Games[[#This Row],[Type]]="R",IF(Games[[#This Row],[Result]]&gt;0.5,1,0),0)</f>
        <v>0</v>
      </c>
      <c r="AD410" s="2">
        <f>IF(Games[[#This Row],[Type]]="R",IF(Games[[#This Row],[Result]]&lt;0.5,1,0),0)</f>
        <v>1</v>
      </c>
      <c r="AE410" s="2">
        <f>IF(AND(Games[[#This Row],[Type]]="P",Games[[#This Row],[Round]]=1),IF(Games[[#This Row],[Result]]&gt;0.5,1,0),0)</f>
        <v>0</v>
      </c>
      <c r="AF410" s="2">
        <f>IF(AND(Games[[#This Row],[Type]]="P",Games[[#This Row],[Round]]=1),IF(Games[[#This Row],[Result]]&lt;0.5,1,0),0)</f>
        <v>0</v>
      </c>
      <c r="AG410" s="2">
        <f>IF(AND(Games[[#This Row],[Type]]="P",Games[[#This Row],[Round]]=2),IF(Games[[#This Row],[Result]]&gt;0.5,1,0),0)</f>
        <v>0</v>
      </c>
      <c r="AH410" s="2">
        <f>IF(AND(Games[[#This Row],[Type]]="P",Games[[#This Row],[Round]]=2),IF(Games[[#This Row],[Result]]&lt;0.5,1,0),0)</f>
        <v>0</v>
      </c>
      <c r="AI410" s="2">
        <f>IF(AND(Games[[#This Row],[Type]]="P",Games[[#This Row],[Round]]=3),IF(Games[[#This Row],[Result]]&gt;0.5,1,0),0)</f>
        <v>0</v>
      </c>
      <c r="AJ410" s="2">
        <f>IF(AND(Games[[#This Row],[Type]]="P",Games[[#This Row],[Round]]=3),IF(Games[[#This Row],[Result]]&lt;0.5,1,0),0)</f>
        <v>0</v>
      </c>
      <c r="AK410" s="2">
        <f>IF(AND(Games[[#This Row],[Type]]="P",Games[[#This Row],[Round]]=4),IF(Games[[#This Row],[Result]]&gt;0.5,1,0),0)</f>
        <v>0</v>
      </c>
      <c r="AL410" s="2">
        <f>IF(AND(Games[[#This Row],[Type]]="P",Games[[#This Row],[Round]]=4),IF(Games[[#This Row],[Result]]&lt;0.5,1,0),0)</f>
        <v>0</v>
      </c>
    </row>
    <row r="411" spans="1:38" x14ac:dyDescent="0.35">
      <c r="A411" s="10">
        <v>40415</v>
      </c>
      <c r="B411" s="2">
        <v>2010</v>
      </c>
      <c r="C411" s="2">
        <f>COUNTIFS(Games[Team],Games[[#This Row],[Team]],Games[Season],Games[[#This Row],[Season]],Games[Date],"&lt;=" &amp; Games[[#This Row],[Date]])</f>
        <v>35</v>
      </c>
      <c r="D411" s="2" t="s">
        <v>23</v>
      </c>
      <c r="E411" s="2" t="s">
        <v>29</v>
      </c>
      <c r="F411" s="1" t="s">
        <v>75</v>
      </c>
      <c r="G411" s="1" t="s">
        <v>67</v>
      </c>
      <c r="H411" s="1" t="s">
        <v>15</v>
      </c>
      <c r="I411" s="2" cm="1">
        <f t="array" ref="I411">IFERROR(
    Games[[#This Row],[Date]]
    - LOOKUP(
        2,
        1/((Games[Team]=Games[[#This Row],[Team]]) * (Games[Date] &lt; Games[[#This Row],[Date]])),
        Games[Date]
    )
    - 1,
Games[[#This Row],[Date]]-$A$2)</f>
        <v>3</v>
      </c>
      <c r="J411" s="2" cm="1">
        <f t="array" ref="J41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11" s="2">
        <f>Games[[#This Row],[DaysOff]]-Games[[#This Row],[OppDaysOff]]</f>
        <v>0</v>
      </c>
      <c r="L411" s="2">
        <f>Games[[#This Row],[OppDaysOff]]-Games[[#This Row],[DaysOff]]</f>
        <v>0</v>
      </c>
      <c r="M411" s="1">
        <f>MAX(-16, MIN(16, Games[[#This Row],[RestDiff]]*8))</f>
        <v>0</v>
      </c>
      <c r="N411" s="1">
        <f>MAX(-16, MIN(16, Games[[#This Row],[OppRestDiff]]*8))</f>
        <v>0</v>
      </c>
      <c r="O411" s="4" cm="1">
        <f t="array" ref="O4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1659.2192336781304</v>
      </c>
      <c r="P411" s="4" cm="1">
        <f t="array" ref="P4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1448.1596745786705</v>
      </c>
      <c r="Q411" s="4">
        <f>1/(1+10^(((Games[[#This Row],[OppPreGmRate]]+IF(Games[[#This Row],[HomeAway]]="A",HCA,0)+Games[[#This Row],[OppRestAdj]])-(Games[[#This Row],[PreGmRate]]+IF(Games[[#This Row],[HomeAway]]="H",HCA,0)+Games[[#This Row],[RestAdj]]))/400))</f>
        <v>0.84533864051935748</v>
      </c>
      <c r="R411" s="1">
        <v>79</v>
      </c>
      <c r="S411" s="1">
        <v>66</v>
      </c>
      <c r="T411" s="1">
        <v>0</v>
      </c>
      <c r="U411" s="1">
        <f>Games[[#This Row],[PointsFor]]-Games[[#This Row],[PointsAgainst]]</f>
        <v>13</v>
      </c>
      <c r="V411" s="1">
        <f>IF(Games[[#This Row],[MOV]]&gt;0,1,IF(Games[[#This Row],[MOV]]=0,0.5,0))</f>
        <v>1</v>
      </c>
      <c r="W411" s="4">
        <f>((ABS(Games[[#This Row],[MOV]])+5)^0.6)/(12+0.01*(ABS(Games[[#This Row],[PreGmRate]]-Games[[#This Row],[OppPreGmRate]])))*IF(Games[[#This Row],[OT]]=1,0.9,1)</f>
        <v>0.40143770199073087</v>
      </c>
      <c r="X411" s="7" cm="1">
        <f t="array" ref="X4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1" s="9">
        <f>MAX(kmin, kmax - 0.15 * MIN(Games[[#This Row],[GamesPlayed]], 82))</f>
        <v>70.75</v>
      </c>
      <c r="Z411" s="4">
        <f>Games[[#This Row],[K]]*Games[[#This Row],[POMult]]</f>
        <v>70.75</v>
      </c>
      <c r="AA411" s="4">
        <f>(Games[[#This Row],[Keff]]*Games[[#This Row],[MOVMult]])*(Games[[#This Row],[Result]]-Games[[#This Row],[ExpectedWin%]])</f>
        <v>4.3926482271195066</v>
      </c>
      <c r="AB411" s="4">
        <f>Games[[#This Row],[PreGmRate]]+Games[[#This Row],[RatingChange]]</f>
        <v>1663.6118819052499</v>
      </c>
      <c r="AC411" s="2">
        <f>IF(Games[[#This Row],[Type]]="R",IF(Games[[#This Row],[Result]]&gt;0.5,1,0),0)</f>
        <v>1</v>
      </c>
      <c r="AD411" s="2">
        <f>IF(Games[[#This Row],[Type]]="R",IF(Games[[#This Row],[Result]]&lt;0.5,1,0),0)</f>
        <v>0</v>
      </c>
      <c r="AE411" s="2">
        <f>IF(AND(Games[[#This Row],[Type]]="P",Games[[#This Row],[Round]]=1),IF(Games[[#This Row],[Result]]&gt;0.5,1,0),0)</f>
        <v>0</v>
      </c>
      <c r="AF411" s="2">
        <f>IF(AND(Games[[#This Row],[Type]]="P",Games[[#This Row],[Round]]=1),IF(Games[[#This Row],[Result]]&lt;0.5,1,0),0)</f>
        <v>0</v>
      </c>
      <c r="AG411" s="2">
        <f>IF(AND(Games[[#This Row],[Type]]="P",Games[[#This Row],[Round]]=2),IF(Games[[#This Row],[Result]]&gt;0.5,1,0),0)</f>
        <v>0</v>
      </c>
      <c r="AH411" s="2">
        <f>IF(AND(Games[[#This Row],[Type]]="P",Games[[#This Row],[Round]]=2),IF(Games[[#This Row],[Result]]&lt;0.5,1,0),0)</f>
        <v>0</v>
      </c>
      <c r="AI411" s="2">
        <f>IF(AND(Games[[#This Row],[Type]]="P",Games[[#This Row],[Round]]=3),IF(Games[[#This Row],[Result]]&gt;0.5,1,0),0)</f>
        <v>0</v>
      </c>
      <c r="AJ411" s="2">
        <f>IF(AND(Games[[#This Row],[Type]]="P",Games[[#This Row],[Round]]=3),IF(Games[[#This Row],[Result]]&lt;0.5,1,0),0)</f>
        <v>0</v>
      </c>
      <c r="AK411" s="2">
        <f>IF(AND(Games[[#This Row],[Type]]="P",Games[[#This Row],[Round]]=4),IF(Games[[#This Row],[Result]]&gt;0.5,1,0),0)</f>
        <v>0</v>
      </c>
      <c r="AL411" s="2">
        <f>IF(AND(Games[[#This Row],[Type]]="P",Games[[#This Row],[Round]]=4),IF(Games[[#This Row],[Result]]&lt;0.5,1,0),0)</f>
        <v>0</v>
      </c>
    </row>
    <row r="412" spans="1:38" x14ac:dyDescent="0.35">
      <c r="A412" s="10">
        <v>40415</v>
      </c>
      <c r="B412" s="2">
        <v>2010</v>
      </c>
      <c r="C412" s="2">
        <f>COUNTIFS(Games[Team],Games[[#This Row],[Team]],Games[Season],Games[[#This Row],[Season]],Games[Date],"&lt;=" &amp; Games[[#This Row],[Date]])</f>
        <v>35</v>
      </c>
      <c r="D412" s="2" t="s">
        <v>23</v>
      </c>
      <c r="E412" s="2" t="s">
        <v>29</v>
      </c>
      <c r="F412" s="1" t="s">
        <v>83</v>
      </c>
      <c r="G412" s="1" t="s">
        <v>69</v>
      </c>
      <c r="H412" s="1" t="s">
        <v>16</v>
      </c>
      <c r="I412" s="2" cm="1">
        <f t="array" ref="I412">IFERROR(
    Games[[#This Row],[Date]]
    - LOOKUP(
        2,
        1/((Games[Team]=Games[[#This Row],[Team]]) * (Games[Date] &lt; Games[[#This Row],[Date]])),
        Games[Date]
    )
    - 1,
Games[[#This Row],[Date]]-$A$2)</f>
        <v>2</v>
      </c>
      <c r="J412" s="2" cm="1">
        <f t="array" ref="J41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12" s="2">
        <f>Games[[#This Row],[DaysOff]]-Games[[#This Row],[OppDaysOff]]</f>
        <v>0</v>
      </c>
      <c r="L412" s="2">
        <f>Games[[#This Row],[OppDaysOff]]-Games[[#This Row],[DaysOff]]</f>
        <v>0</v>
      </c>
      <c r="M412" s="1">
        <f>MAX(-16, MIN(16, Games[[#This Row],[RestDiff]]*8))</f>
        <v>0</v>
      </c>
      <c r="N412" s="1">
        <f>MAX(-16, MIN(16, Games[[#This Row],[OppRestDiff]]*8))</f>
        <v>0</v>
      </c>
      <c r="O412" s="4" cm="1">
        <f t="array" ref="O4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1524.7509916199683</v>
      </c>
      <c r="P412" s="4" cm="1">
        <f t="array" ref="P4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1591.8704690665088</v>
      </c>
      <c r="Q412" s="4">
        <f>1/(1+10^(((Games[[#This Row],[OppPreGmRate]]+IF(Games[[#This Row],[HomeAway]]="A",HCA,0)+Games[[#This Row],[OppRestAdj]])-(Games[[#This Row],[PreGmRate]]+IF(Games[[#This Row],[HomeAway]]="H",HCA,0)+Games[[#This Row],[RestAdj]]))/400))</f>
        <v>0.29527227202395728</v>
      </c>
      <c r="R412" s="1">
        <v>95</v>
      </c>
      <c r="S412" s="1">
        <v>90</v>
      </c>
      <c r="T412" s="1">
        <v>0</v>
      </c>
      <c r="U412" s="1">
        <f>Games[[#This Row],[PointsFor]]-Games[[#This Row],[PointsAgainst]]</f>
        <v>5</v>
      </c>
      <c r="V412" s="1">
        <f>IF(Games[[#This Row],[MOV]]&gt;0,1,IF(Games[[#This Row],[MOV]]=0,0.5,0))</f>
        <v>1</v>
      </c>
      <c r="W412" s="4">
        <f>((ABS(Games[[#This Row],[MOV]])+5)^0.6)/(12+0.01*(ABS(Games[[#This Row],[PreGmRate]]-Games[[#This Row],[OppPreGmRate]])))*IF(Games[[#This Row],[OT]]=1,0.9,1)</f>
        <v>0.31418281988352853</v>
      </c>
      <c r="X412" s="7" cm="1">
        <f t="array" ref="X4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2" s="9">
        <f>MAX(kmin, kmax - 0.15 * MIN(Games[[#This Row],[GamesPlayed]], 82))</f>
        <v>70.75</v>
      </c>
      <c r="Z412" s="4">
        <f>Games[[#This Row],[K]]*Games[[#This Row],[POMult]]</f>
        <v>70.75</v>
      </c>
      <c r="AA412" s="4">
        <f>(Games[[#This Row],[Keff]]*Games[[#This Row],[MOVMult]])*(Games[[#This Row],[Result]]-Games[[#This Row],[ExpectedWin%]])</f>
        <v>15.66499414641299</v>
      </c>
      <c r="AB412" s="4">
        <f>Games[[#This Row],[PreGmRate]]+Games[[#This Row],[RatingChange]]</f>
        <v>1540.4159857663813</v>
      </c>
      <c r="AC412" s="2">
        <f>IF(Games[[#This Row],[Type]]="R",IF(Games[[#This Row],[Result]]&gt;0.5,1,0),0)</f>
        <v>1</v>
      </c>
      <c r="AD412" s="2">
        <f>IF(Games[[#This Row],[Type]]="R",IF(Games[[#This Row],[Result]]&lt;0.5,1,0),0)</f>
        <v>0</v>
      </c>
      <c r="AE412" s="2">
        <f>IF(AND(Games[[#This Row],[Type]]="P",Games[[#This Row],[Round]]=1),IF(Games[[#This Row],[Result]]&gt;0.5,1,0),0)</f>
        <v>0</v>
      </c>
      <c r="AF412" s="2">
        <f>IF(AND(Games[[#This Row],[Type]]="P",Games[[#This Row],[Round]]=1),IF(Games[[#This Row],[Result]]&lt;0.5,1,0),0)</f>
        <v>0</v>
      </c>
      <c r="AG412" s="2">
        <f>IF(AND(Games[[#This Row],[Type]]="P",Games[[#This Row],[Round]]=2),IF(Games[[#This Row],[Result]]&gt;0.5,1,0),0)</f>
        <v>0</v>
      </c>
      <c r="AH412" s="2">
        <f>IF(AND(Games[[#This Row],[Type]]="P",Games[[#This Row],[Round]]=2),IF(Games[[#This Row],[Result]]&lt;0.5,1,0),0)</f>
        <v>0</v>
      </c>
      <c r="AI412" s="2">
        <f>IF(AND(Games[[#This Row],[Type]]="P",Games[[#This Row],[Round]]=3),IF(Games[[#This Row],[Result]]&gt;0.5,1,0),0)</f>
        <v>0</v>
      </c>
      <c r="AJ412" s="2">
        <f>IF(AND(Games[[#This Row],[Type]]="P",Games[[#This Row],[Round]]=3),IF(Games[[#This Row],[Result]]&lt;0.5,1,0),0)</f>
        <v>0</v>
      </c>
      <c r="AK412" s="2">
        <f>IF(AND(Games[[#This Row],[Type]]="P",Games[[#This Row],[Round]]=4),IF(Games[[#This Row],[Result]]&gt;0.5,1,0),0)</f>
        <v>0</v>
      </c>
      <c r="AL412" s="2">
        <f>IF(AND(Games[[#This Row],[Type]]="P",Games[[#This Row],[Round]]=4),IF(Games[[#This Row],[Result]]&lt;0.5,1,0),0)</f>
        <v>0</v>
      </c>
    </row>
    <row r="413" spans="1:38" x14ac:dyDescent="0.35">
      <c r="A413" s="10">
        <v>40415</v>
      </c>
      <c r="B413" s="2">
        <v>2010</v>
      </c>
      <c r="C413" s="2">
        <f>COUNTIFS(Games[Team],Games[[#This Row],[Team]],Games[Season],Games[[#This Row],[Season]],Games[Date],"&lt;=" &amp; Games[[#This Row],[Date]])</f>
        <v>35</v>
      </c>
      <c r="D413" s="2" t="s">
        <v>23</v>
      </c>
      <c r="E413" s="2" t="s">
        <v>29</v>
      </c>
      <c r="F413" s="1" t="s">
        <v>69</v>
      </c>
      <c r="G413" s="1" t="s">
        <v>83</v>
      </c>
      <c r="H413" s="1" t="s">
        <v>15</v>
      </c>
      <c r="I413" s="2" cm="1">
        <f t="array" ref="I413">IFERROR(
    Games[[#This Row],[Date]]
    - LOOKUP(
        2,
        1/((Games[Team]=Games[[#This Row],[Team]]) * (Games[Date] &lt; Games[[#This Row],[Date]])),
        Games[Date]
    )
    - 1,
Games[[#This Row],[Date]]-$A$2)</f>
        <v>2</v>
      </c>
      <c r="J413" s="2" cm="1">
        <f t="array" ref="J41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13" s="2">
        <f>Games[[#This Row],[DaysOff]]-Games[[#This Row],[OppDaysOff]]</f>
        <v>0</v>
      </c>
      <c r="L413" s="2">
        <f>Games[[#This Row],[OppDaysOff]]-Games[[#This Row],[DaysOff]]</f>
        <v>0</v>
      </c>
      <c r="M413" s="1">
        <f>MAX(-16, MIN(16, Games[[#This Row],[RestDiff]]*8))</f>
        <v>0</v>
      </c>
      <c r="N413" s="1">
        <f>MAX(-16, MIN(16, Games[[#This Row],[OppRestDiff]]*8))</f>
        <v>0</v>
      </c>
      <c r="O413" s="4" cm="1">
        <f t="array" ref="O4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1591.8704690665088</v>
      </c>
      <c r="P413" s="4" cm="1">
        <f t="array" ref="P4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1524.7509916199683</v>
      </c>
      <c r="Q413" s="4">
        <f>1/(1+10^(((Games[[#This Row],[OppPreGmRate]]+IF(Games[[#This Row],[HomeAway]]="A",HCA,0)+Games[[#This Row],[OppRestAdj]])-(Games[[#This Row],[PreGmRate]]+IF(Games[[#This Row],[HomeAway]]="H",HCA,0)+Games[[#This Row],[RestAdj]]))/400))</f>
        <v>0.70472772797604266</v>
      </c>
      <c r="R413" s="1">
        <v>90</v>
      </c>
      <c r="S413" s="1">
        <v>95</v>
      </c>
      <c r="T413" s="1">
        <v>0</v>
      </c>
      <c r="U413" s="1">
        <f>Games[[#This Row],[PointsFor]]-Games[[#This Row],[PointsAgainst]]</f>
        <v>-5</v>
      </c>
      <c r="V413" s="1">
        <f>IF(Games[[#This Row],[MOV]]&gt;0,1,IF(Games[[#This Row],[MOV]]=0,0.5,0))</f>
        <v>0</v>
      </c>
      <c r="W413" s="4">
        <f>((ABS(Games[[#This Row],[MOV]])+5)^0.6)/(12+0.01*(ABS(Games[[#This Row],[PreGmRate]]-Games[[#This Row],[OppPreGmRate]])))*IF(Games[[#This Row],[OT]]=1,0.9,1)</f>
        <v>0.31418281988352853</v>
      </c>
      <c r="X413" s="7" cm="1">
        <f t="array" ref="X4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3" s="9">
        <f>MAX(kmin, kmax - 0.15 * MIN(Games[[#This Row],[GamesPlayed]], 82))</f>
        <v>70.75</v>
      </c>
      <c r="Z413" s="4">
        <f>Games[[#This Row],[K]]*Games[[#This Row],[POMult]]</f>
        <v>70.75</v>
      </c>
      <c r="AA413" s="4">
        <f>(Games[[#This Row],[Keff]]*Games[[#This Row],[MOVMult]])*(Games[[#This Row],[Result]]-Games[[#This Row],[ExpectedWin%]])</f>
        <v>-15.66499414641299</v>
      </c>
      <c r="AB413" s="4">
        <f>Games[[#This Row],[PreGmRate]]+Games[[#This Row],[RatingChange]]</f>
        <v>1576.2054749200959</v>
      </c>
      <c r="AC413" s="2">
        <f>IF(Games[[#This Row],[Type]]="R",IF(Games[[#This Row],[Result]]&gt;0.5,1,0),0)</f>
        <v>0</v>
      </c>
      <c r="AD413" s="2">
        <f>IF(Games[[#This Row],[Type]]="R",IF(Games[[#This Row],[Result]]&lt;0.5,1,0),0)</f>
        <v>1</v>
      </c>
      <c r="AE413" s="2">
        <f>IF(AND(Games[[#This Row],[Type]]="P",Games[[#This Row],[Round]]=1),IF(Games[[#This Row],[Result]]&gt;0.5,1,0),0)</f>
        <v>0</v>
      </c>
      <c r="AF413" s="2">
        <f>IF(AND(Games[[#This Row],[Type]]="P",Games[[#This Row],[Round]]=1),IF(Games[[#This Row],[Result]]&lt;0.5,1,0),0)</f>
        <v>0</v>
      </c>
      <c r="AG413" s="2">
        <f>IF(AND(Games[[#This Row],[Type]]="P",Games[[#This Row],[Round]]=2),IF(Games[[#This Row],[Result]]&gt;0.5,1,0),0)</f>
        <v>0</v>
      </c>
      <c r="AH413" s="2">
        <f>IF(AND(Games[[#This Row],[Type]]="P",Games[[#This Row],[Round]]=2),IF(Games[[#This Row],[Result]]&lt;0.5,1,0),0)</f>
        <v>0</v>
      </c>
      <c r="AI413" s="2">
        <f>IF(AND(Games[[#This Row],[Type]]="P",Games[[#This Row],[Round]]=3),IF(Games[[#This Row],[Result]]&gt;0.5,1,0),0)</f>
        <v>0</v>
      </c>
      <c r="AJ413" s="2">
        <f>IF(AND(Games[[#This Row],[Type]]="P",Games[[#This Row],[Round]]=3),IF(Games[[#This Row],[Result]]&lt;0.5,1,0),0)</f>
        <v>0</v>
      </c>
      <c r="AK413" s="2">
        <f>IF(AND(Games[[#This Row],[Type]]="P",Games[[#This Row],[Round]]=4),IF(Games[[#This Row],[Result]]&gt;0.5,1,0),0)</f>
        <v>0</v>
      </c>
      <c r="AL413" s="2">
        <f>IF(AND(Games[[#This Row],[Type]]="P",Games[[#This Row],[Round]]=4),IF(Games[[#This Row],[Result]]&lt;0.5,1,0),0)</f>
        <v>0</v>
      </c>
    </row>
    <row r="414" spans="1:38" x14ac:dyDescent="0.35">
      <c r="A414" s="10">
        <v>40416</v>
      </c>
      <c r="B414" s="2">
        <v>2010</v>
      </c>
      <c r="C414" s="2">
        <f>COUNTIFS(Games[Team],Games[[#This Row],[Team]],Games[Season],Games[[#This Row],[Season]],Games[Date],"&lt;=" &amp; Games[[#This Row],[Date]])</f>
        <v>35</v>
      </c>
      <c r="D414" s="2" t="s">
        <v>23</v>
      </c>
      <c r="E414" s="2" t="s">
        <v>29</v>
      </c>
      <c r="F414" s="1" t="s">
        <v>73</v>
      </c>
      <c r="G414" s="1" t="s">
        <v>64</v>
      </c>
      <c r="H414" s="1" t="s">
        <v>16</v>
      </c>
      <c r="I414" s="2" cm="1">
        <f t="array" ref="I414">IFERROR(
    Games[[#This Row],[Date]]
    - LOOKUP(
        2,
        1/((Games[Team]=Games[[#This Row],[Team]]) * (Games[Date] &lt; Games[[#This Row],[Date]])),
        Games[Date]
    )
    - 1,
Games[[#This Row],[Date]]-$A$2)</f>
        <v>3</v>
      </c>
      <c r="J414" s="2" cm="1">
        <f t="array" ref="J41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14" s="2">
        <f>Games[[#This Row],[DaysOff]]-Games[[#This Row],[OppDaysOff]]</f>
        <v>0</v>
      </c>
      <c r="L414" s="2">
        <f>Games[[#This Row],[OppDaysOff]]-Games[[#This Row],[DaysOff]]</f>
        <v>0</v>
      </c>
      <c r="M414" s="1">
        <f>MAX(-16, MIN(16, Games[[#This Row],[RestDiff]]*8))</f>
        <v>0</v>
      </c>
      <c r="N414" s="1">
        <f>MAX(-16, MIN(16, Games[[#This Row],[OppRestDiff]]*8))</f>
        <v>0</v>
      </c>
      <c r="O414" s="4" cm="1">
        <f t="array" ref="O4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1585.898091526296</v>
      </c>
      <c r="P414" s="4" cm="1">
        <f t="array" ref="P4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1622.3028339754155</v>
      </c>
      <c r="Q414" s="4">
        <f>1/(1+10^(((Games[[#This Row],[OppPreGmRate]]+IF(Games[[#This Row],[HomeAway]]="A",HCA,0)+Games[[#This Row],[OppRestAdj]])-(Games[[#This Row],[PreGmRate]]+IF(Games[[#This Row],[HomeAway]]="H",HCA,0)+Games[[#This Row],[RestAdj]]))/400))</f>
        <v>0.33334261513952768</v>
      </c>
      <c r="R414" s="1">
        <v>73</v>
      </c>
      <c r="S414" s="1">
        <v>85</v>
      </c>
      <c r="T414" s="1">
        <v>0</v>
      </c>
      <c r="U414" s="1">
        <f>Games[[#This Row],[PointsFor]]-Games[[#This Row],[PointsAgainst]]</f>
        <v>-12</v>
      </c>
      <c r="V414" s="1">
        <f>IF(Games[[#This Row],[MOV]]&gt;0,1,IF(Games[[#This Row],[MOV]]=0,0.5,0))</f>
        <v>0</v>
      </c>
      <c r="W414" s="4">
        <f>((ABS(Games[[#This Row],[MOV]])+5)^0.6)/(12+0.01*(ABS(Games[[#This Row],[PreGmRate]]-Games[[#This Row],[OppPreGmRate]])))*IF(Games[[#This Row],[OT]]=1,0.9,1)</f>
        <v>0.44269915255066533</v>
      </c>
      <c r="X414" s="7" cm="1">
        <f t="array" ref="X4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4" s="9">
        <f>MAX(kmin, kmax - 0.15 * MIN(Games[[#This Row],[GamesPlayed]], 82))</f>
        <v>70.75</v>
      </c>
      <c r="Z414" s="4">
        <f>Games[[#This Row],[K]]*Games[[#This Row],[POMult]]</f>
        <v>70.75</v>
      </c>
      <c r="AA414" s="4">
        <f>(Games[[#This Row],[Keff]]*Games[[#This Row],[MOVMult]])*(Games[[#This Row],[Result]]-Games[[#This Row],[ExpectedWin%]])</f>
        <v>-10.440612396113872</v>
      </c>
      <c r="AB414" s="4">
        <f>Games[[#This Row],[PreGmRate]]+Games[[#This Row],[RatingChange]]</f>
        <v>1575.457479130182</v>
      </c>
      <c r="AC414" s="2">
        <f>IF(Games[[#This Row],[Type]]="R",IF(Games[[#This Row],[Result]]&gt;0.5,1,0),0)</f>
        <v>0</v>
      </c>
      <c r="AD414" s="2">
        <f>IF(Games[[#This Row],[Type]]="R",IF(Games[[#This Row],[Result]]&lt;0.5,1,0),0)</f>
        <v>1</v>
      </c>
      <c r="AE414" s="2">
        <f>IF(AND(Games[[#This Row],[Type]]="P",Games[[#This Row],[Round]]=1),IF(Games[[#This Row],[Result]]&gt;0.5,1,0),0)</f>
        <v>0</v>
      </c>
      <c r="AF414" s="2">
        <f>IF(AND(Games[[#This Row],[Type]]="P",Games[[#This Row],[Round]]=1),IF(Games[[#This Row],[Result]]&lt;0.5,1,0),0)</f>
        <v>0</v>
      </c>
      <c r="AG414" s="2">
        <f>IF(AND(Games[[#This Row],[Type]]="P",Games[[#This Row],[Round]]=2),IF(Games[[#This Row],[Result]]&gt;0.5,1,0),0)</f>
        <v>0</v>
      </c>
      <c r="AH414" s="2">
        <f>IF(AND(Games[[#This Row],[Type]]="P",Games[[#This Row],[Round]]=2),IF(Games[[#This Row],[Result]]&lt;0.5,1,0),0)</f>
        <v>0</v>
      </c>
      <c r="AI414" s="2">
        <f>IF(AND(Games[[#This Row],[Type]]="P",Games[[#This Row],[Round]]=3),IF(Games[[#This Row],[Result]]&gt;0.5,1,0),0)</f>
        <v>0</v>
      </c>
      <c r="AJ414" s="2">
        <f>IF(AND(Games[[#This Row],[Type]]="P",Games[[#This Row],[Round]]=3),IF(Games[[#This Row],[Result]]&lt;0.5,1,0),0)</f>
        <v>0</v>
      </c>
      <c r="AK414" s="2">
        <f>IF(AND(Games[[#This Row],[Type]]="P",Games[[#This Row],[Round]]=4),IF(Games[[#This Row],[Result]]&gt;0.5,1,0),0)</f>
        <v>0</v>
      </c>
      <c r="AL414" s="2">
        <f>IF(AND(Games[[#This Row],[Type]]="P",Games[[#This Row],[Round]]=4),IF(Games[[#This Row],[Result]]&lt;0.5,1,0),0)</f>
        <v>0</v>
      </c>
    </row>
    <row r="415" spans="1:38" x14ac:dyDescent="0.35">
      <c r="A415" s="10">
        <v>40416</v>
      </c>
      <c r="B415" s="2">
        <v>2010</v>
      </c>
      <c r="C415" s="2">
        <f>COUNTIFS(Games[Team],Games[[#This Row],[Team]],Games[Season],Games[[#This Row],[Season]],Games[Date],"&lt;=" &amp; Games[[#This Row],[Date]])</f>
        <v>35</v>
      </c>
      <c r="D415" s="2" t="s">
        <v>23</v>
      </c>
      <c r="E415" s="2" t="s">
        <v>29</v>
      </c>
      <c r="F415" s="1" t="s">
        <v>64</v>
      </c>
      <c r="G415" s="1" t="s">
        <v>73</v>
      </c>
      <c r="H415" s="1" t="s">
        <v>15</v>
      </c>
      <c r="I415" s="2" cm="1">
        <f t="array" ref="I415">IFERROR(
    Games[[#This Row],[Date]]
    - LOOKUP(
        2,
        1/((Games[Team]=Games[[#This Row],[Team]]) * (Games[Date] &lt; Games[[#This Row],[Date]])),
        Games[Date]
    )
    - 1,
Games[[#This Row],[Date]]-$A$2)</f>
        <v>3</v>
      </c>
      <c r="J415" s="2" cm="1">
        <f t="array" ref="J41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15" s="2">
        <f>Games[[#This Row],[DaysOff]]-Games[[#This Row],[OppDaysOff]]</f>
        <v>0</v>
      </c>
      <c r="L415" s="2">
        <f>Games[[#This Row],[OppDaysOff]]-Games[[#This Row],[DaysOff]]</f>
        <v>0</v>
      </c>
      <c r="M415" s="1">
        <f>MAX(-16, MIN(16, Games[[#This Row],[RestDiff]]*8))</f>
        <v>0</v>
      </c>
      <c r="N415" s="1">
        <f>MAX(-16, MIN(16, Games[[#This Row],[OppRestDiff]]*8))</f>
        <v>0</v>
      </c>
      <c r="O415" s="4" cm="1">
        <f t="array" ref="O4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1622.3028339754155</v>
      </c>
      <c r="P415" s="4" cm="1">
        <f t="array" ref="P4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1585.898091526296</v>
      </c>
      <c r="Q415" s="4">
        <f>1/(1+10^(((Games[[#This Row],[OppPreGmRate]]+IF(Games[[#This Row],[HomeAway]]="A",HCA,0)+Games[[#This Row],[OppRestAdj]])-(Games[[#This Row],[PreGmRate]]+IF(Games[[#This Row],[HomeAway]]="H",HCA,0)+Games[[#This Row],[RestAdj]]))/400))</f>
        <v>0.66665738486047221</v>
      </c>
      <c r="R415" s="1">
        <v>85</v>
      </c>
      <c r="S415" s="1">
        <v>73</v>
      </c>
      <c r="T415" s="1">
        <v>0</v>
      </c>
      <c r="U415" s="1">
        <f>Games[[#This Row],[PointsFor]]-Games[[#This Row],[PointsAgainst]]</f>
        <v>12</v>
      </c>
      <c r="V415" s="1">
        <f>IF(Games[[#This Row],[MOV]]&gt;0,1,IF(Games[[#This Row],[MOV]]=0,0.5,0))</f>
        <v>1</v>
      </c>
      <c r="W415" s="4">
        <f>((ABS(Games[[#This Row],[MOV]])+5)^0.6)/(12+0.01*(ABS(Games[[#This Row],[PreGmRate]]-Games[[#This Row],[OppPreGmRate]])))*IF(Games[[#This Row],[OT]]=1,0.9,1)</f>
        <v>0.44269915255066533</v>
      </c>
      <c r="X415" s="7" cm="1">
        <f t="array" ref="X4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5" s="9">
        <f>MAX(kmin, kmax - 0.15 * MIN(Games[[#This Row],[GamesPlayed]], 82))</f>
        <v>70.75</v>
      </c>
      <c r="Z415" s="4">
        <f>Games[[#This Row],[K]]*Games[[#This Row],[POMult]]</f>
        <v>70.75</v>
      </c>
      <c r="AA415" s="4">
        <f>(Games[[#This Row],[Keff]]*Games[[#This Row],[MOVMult]])*(Games[[#This Row],[Result]]-Games[[#This Row],[ExpectedWin%]])</f>
        <v>10.440612396113876</v>
      </c>
      <c r="AB415" s="4">
        <f>Games[[#This Row],[PreGmRate]]+Games[[#This Row],[RatingChange]]</f>
        <v>1632.7434463715294</v>
      </c>
      <c r="AC415" s="2">
        <f>IF(Games[[#This Row],[Type]]="R",IF(Games[[#This Row],[Result]]&gt;0.5,1,0),0)</f>
        <v>1</v>
      </c>
      <c r="AD415" s="2">
        <f>IF(Games[[#This Row],[Type]]="R",IF(Games[[#This Row],[Result]]&lt;0.5,1,0),0)</f>
        <v>0</v>
      </c>
      <c r="AE415" s="2">
        <f>IF(AND(Games[[#This Row],[Type]]="P",Games[[#This Row],[Round]]=1),IF(Games[[#This Row],[Result]]&gt;0.5,1,0),0)</f>
        <v>0</v>
      </c>
      <c r="AF415" s="2">
        <f>IF(AND(Games[[#This Row],[Type]]="P",Games[[#This Row],[Round]]=1),IF(Games[[#This Row],[Result]]&lt;0.5,1,0),0)</f>
        <v>0</v>
      </c>
      <c r="AG415" s="2">
        <f>IF(AND(Games[[#This Row],[Type]]="P",Games[[#This Row],[Round]]=2),IF(Games[[#This Row],[Result]]&gt;0.5,1,0),0)</f>
        <v>0</v>
      </c>
      <c r="AH415" s="2">
        <f>IF(AND(Games[[#This Row],[Type]]="P",Games[[#This Row],[Round]]=2),IF(Games[[#This Row],[Result]]&lt;0.5,1,0),0)</f>
        <v>0</v>
      </c>
      <c r="AI415" s="2">
        <f>IF(AND(Games[[#This Row],[Type]]="P",Games[[#This Row],[Round]]=3),IF(Games[[#This Row],[Result]]&gt;0.5,1,0),0)</f>
        <v>0</v>
      </c>
      <c r="AJ415" s="2">
        <f>IF(AND(Games[[#This Row],[Type]]="P",Games[[#This Row],[Round]]=3),IF(Games[[#This Row],[Result]]&lt;0.5,1,0),0)</f>
        <v>0</v>
      </c>
      <c r="AK415" s="2">
        <f>IF(AND(Games[[#This Row],[Type]]="P",Games[[#This Row],[Round]]=4),IF(Games[[#This Row],[Result]]&gt;0.5,1,0),0)</f>
        <v>0</v>
      </c>
      <c r="AL415" s="2">
        <f>IF(AND(Games[[#This Row],[Type]]="P",Games[[#This Row],[Round]]=4),IF(Games[[#This Row],[Result]]&lt;0.5,1,0),0)</f>
        <v>0</v>
      </c>
    </row>
    <row r="416" spans="1:38" x14ac:dyDescent="0.35">
      <c r="A416" s="10">
        <v>40416</v>
      </c>
      <c r="B416" s="2">
        <v>2010</v>
      </c>
      <c r="C416" s="2">
        <f>COUNTIFS(Games[Team],Games[[#This Row],[Team]],Games[Season],Games[[#This Row],[Season]],Games[Date],"&lt;=" &amp; Games[[#This Row],[Date]])</f>
        <v>35</v>
      </c>
      <c r="D416" s="2" t="s">
        <v>23</v>
      </c>
      <c r="E416" s="2" t="s">
        <v>29</v>
      </c>
      <c r="F416" s="1" t="s">
        <v>78</v>
      </c>
      <c r="G416" s="1" t="s">
        <v>44</v>
      </c>
      <c r="H416" s="1" t="s">
        <v>16</v>
      </c>
      <c r="I416" s="2" cm="1">
        <f t="array" ref="I416">IFERROR(
    Games[[#This Row],[Date]]
    - LOOKUP(
        2,
        1/((Games[Team]=Games[[#This Row],[Team]]) * (Games[Date] &lt; Games[[#This Row],[Date]])),
        Games[Date]
    )
    - 1,
Games[[#This Row],[Date]]-$A$2)</f>
        <v>3</v>
      </c>
      <c r="J416" s="2" cm="1">
        <f t="array" ref="J41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16" s="2">
        <f>Games[[#This Row],[DaysOff]]-Games[[#This Row],[OppDaysOff]]</f>
        <v>0</v>
      </c>
      <c r="L416" s="2">
        <f>Games[[#This Row],[OppDaysOff]]-Games[[#This Row],[DaysOff]]</f>
        <v>0</v>
      </c>
      <c r="M416" s="1">
        <f>MAX(-16, MIN(16, Games[[#This Row],[RestDiff]]*8))</f>
        <v>0</v>
      </c>
      <c r="N416" s="1">
        <f>MAX(-16, MIN(16, Games[[#This Row],[OppRestDiff]]*8))</f>
        <v>0</v>
      </c>
      <c r="O416" s="4" cm="1">
        <f t="array" ref="O4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1442.6490757634151</v>
      </c>
      <c r="P416" s="4" cm="1">
        <f t="array" ref="P4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1500.5377462690371</v>
      </c>
      <c r="Q416" s="4">
        <f>1/(1+10^(((Games[[#This Row],[OppPreGmRate]]+IF(Games[[#This Row],[HomeAway]]="A",HCA,0)+Games[[#This Row],[OppRestAdj]])-(Games[[#This Row],[PreGmRate]]+IF(Games[[#This Row],[HomeAway]]="H",HCA,0)+Games[[#This Row],[RestAdj]]))/400))</f>
        <v>0.30644827447786865</v>
      </c>
      <c r="R416" s="1">
        <v>93</v>
      </c>
      <c r="S416" s="1">
        <v>106</v>
      </c>
      <c r="T416" s="1">
        <v>0</v>
      </c>
      <c r="U416" s="1">
        <f>Games[[#This Row],[PointsFor]]-Games[[#This Row],[PointsAgainst]]</f>
        <v>-13</v>
      </c>
      <c r="V416" s="1">
        <f>IF(Games[[#This Row],[MOV]]&gt;0,1,IF(Games[[#This Row],[MOV]]=0,0.5,0))</f>
        <v>0</v>
      </c>
      <c r="W416" s="4">
        <f>((ABS(Games[[#This Row],[MOV]])+5)^0.6)/(12+0.01*(ABS(Games[[#This Row],[PreGmRate]]-Games[[#This Row],[OppPreGmRate]])))*IF(Games[[#This Row],[OT]]=1,0.9,1)</f>
        <v>0.45032006413512676</v>
      </c>
      <c r="X416" s="7" cm="1">
        <f t="array" ref="X4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6" s="9">
        <f>MAX(kmin, kmax - 0.15 * MIN(Games[[#This Row],[GamesPlayed]], 82))</f>
        <v>70.75</v>
      </c>
      <c r="Z416" s="4">
        <f>Games[[#This Row],[K]]*Games[[#This Row],[POMult]]</f>
        <v>70.75</v>
      </c>
      <c r="AA416" s="4">
        <f>(Games[[#This Row],[Keff]]*Games[[#This Row],[MOVMult]])*(Games[[#This Row],[Result]]-Games[[#This Row],[ExpectedWin%]])</f>
        <v>-9.7634863181508216</v>
      </c>
      <c r="AB416" s="4">
        <f>Games[[#This Row],[PreGmRate]]+Games[[#This Row],[RatingChange]]</f>
        <v>1432.8855894452643</v>
      </c>
      <c r="AC416" s="2">
        <f>IF(Games[[#This Row],[Type]]="R",IF(Games[[#This Row],[Result]]&gt;0.5,1,0),0)</f>
        <v>0</v>
      </c>
      <c r="AD416" s="2">
        <f>IF(Games[[#This Row],[Type]]="R",IF(Games[[#This Row],[Result]]&lt;0.5,1,0),0)</f>
        <v>1</v>
      </c>
      <c r="AE416" s="2">
        <f>IF(AND(Games[[#This Row],[Type]]="P",Games[[#This Row],[Round]]=1),IF(Games[[#This Row],[Result]]&gt;0.5,1,0),0)</f>
        <v>0</v>
      </c>
      <c r="AF416" s="2">
        <f>IF(AND(Games[[#This Row],[Type]]="P",Games[[#This Row],[Round]]=1),IF(Games[[#This Row],[Result]]&lt;0.5,1,0),0)</f>
        <v>0</v>
      </c>
      <c r="AG416" s="2">
        <f>IF(AND(Games[[#This Row],[Type]]="P",Games[[#This Row],[Round]]=2),IF(Games[[#This Row],[Result]]&gt;0.5,1,0),0)</f>
        <v>0</v>
      </c>
      <c r="AH416" s="2">
        <f>IF(AND(Games[[#This Row],[Type]]="P",Games[[#This Row],[Round]]=2),IF(Games[[#This Row],[Result]]&lt;0.5,1,0),0)</f>
        <v>0</v>
      </c>
      <c r="AI416" s="2">
        <f>IF(AND(Games[[#This Row],[Type]]="P",Games[[#This Row],[Round]]=3),IF(Games[[#This Row],[Result]]&gt;0.5,1,0),0)</f>
        <v>0</v>
      </c>
      <c r="AJ416" s="2">
        <f>IF(AND(Games[[#This Row],[Type]]="P",Games[[#This Row],[Round]]=3),IF(Games[[#This Row],[Result]]&lt;0.5,1,0),0)</f>
        <v>0</v>
      </c>
      <c r="AK416" s="2">
        <f>IF(AND(Games[[#This Row],[Type]]="P",Games[[#This Row],[Round]]=4),IF(Games[[#This Row],[Result]]&gt;0.5,1,0),0)</f>
        <v>0</v>
      </c>
      <c r="AL416" s="2">
        <f>IF(AND(Games[[#This Row],[Type]]="P",Games[[#This Row],[Round]]=4),IF(Games[[#This Row],[Result]]&lt;0.5,1,0),0)</f>
        <v>0</v>
      </c>
    </row>
    <row r="417" spans="1:38" x14ac:dyDescent="0.35">
      <c r="A417" s="10">
        <v>40416</v>
      </c>
      <c r="B417" s="2">
        <v>2010</v>
      </c>
      <c r="C417" s="2">
        <f>COUNTIFS(Games[Team],Games[[#This Row],[Team]],Games[Season],Games[[#This Row],[Season]],Games[Date],"&lt;=" &amp; Games[[#This Row],[Date]])</f>
        <v>35</v>
      </c>
      <c r="D417" s="2" t="s">
        <v>23</v>
      </c>
      <c r="E417" s="2" t="s">
        <v>29</v>
      </c>
      <c r="F417" s="1" t="s">
        <v>44</v>
      </c>
      <c r="G417" s="1" t="s">
        <v>78</v>
      </c>
      <c r="H417" s="1" t="s">
        <v>15</v>
      </c>
      <c r="I417" s="2" cm="1">
        <f t="array" ref="I417">IFERROR(
    Games[[#This Row],[Date]]
    - LOOKUP(
        2,
        1/((Games[Team]=Games[[#This Row],[Team]]) * (Games[Date] &lt; Games[[#This Row],[Date]])),
        Games[Date]
    )
    - 1,
Games[[#This Row],[Date]]-$A$2)</f>
        <v>3</v>
      </c>
      <c r="J417" s="2" cm="1">
        <f t="array" ref="J41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17" s="2">
        <f>Games[[#This Row],[DaysOff]]-Games[[#This Row],[OppDaysOff]]</f>
        <v>0</v>
      </c>
      <c r="L417" s="2">
        <f>Games[[#This Row],[OppDaysOff]]-Games[[#This Row],[DaysOff]]</f>
        <v>0</v>
      </c>
      <c r="M417" s="1">
        <f>MAX(-16, MIN(16, Games[[#This Row],[RestDiff]]*8))</f>
        <v>0</v>
      </c>
      <c r="N417" s="1">
        <f>MAX(-16, MIN(16, Games[[#This Row],[OppRestDiff]]*8))</f>
        <v>0</v>
      </c>
      <c r="O417" s="4" cm="1">
        <f t="array" ref="O4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1500.5377462690371</v>
      </c>
      <c r="P417" s="4" cm="1">
        <f t="array" ref="P4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1442.6490757634151</v>
      </c>
      <c r="Q417" s="4">
        <f>1/(1+10^(((Games[[#This Row],[OppPreGmRate]]+IF(Games[[#This Row],[HomeAway]]="A",HCA,0)+Games[[#This Row],[OppRestAdj]])-(Games[[#This Row],[PreGmRate]]+IF(Games[[#This Row],[HomeAway]]="H",HCA,0)+Games[[#This Row],[RestAdj]]))/400))</f>
        <v>0.69355172552213129</v>
      </c>
      <c r="R417" s="1">
        <v>106</v>
      </c>
      <c r="S417" s="1">
        <v>93</v>
      </c>
      <c r="T417" s="1">
        <v>0</v>
      </c>
      <c r="U417" s="1">
        <f>Games[[#This Row],[PointsFor]]-Games[[#This Row],[PointsAgainst]]</f>
        <v>13</v>
      </c>
      <c r="V417" s="1">
        <f>IF(Games[[#This Row],[MOV]]&gt;0,1,IF(Games[[#This Row],[MOV]]=0,0.5,0))</f>
        <v>1</v>
      </c>
      <c r="W417" s="4">
        <f>((ABS(Games[[#This Row],[MOV]])+5)^0.6)/(12+0.01*(ABS(Games[[#This Row],[PreGmRate]]-Games[[#This Row],[OppPreGmRate]])))*IF(Games[[#This Row],[OT]]=1,0.9,1)</f>
        <v>0.45032006413512676</v>
      </c>
      <c r="X417" s="7" cm="1">
        <f t="array" ref="X4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7" s="9">
        <f>MAX(kmin, kmax - 0.15 * MIN(Games[[#This Row],[GamesPlayed]], 82))</f>
        <v>70.75</v>
      </c>
      <c r="Z417" s="4">
        <f>Games[[#This Row],[K]]*Games[[#This Row],[POMult]]</f>
        <v>70.75</v>
      </c>
      <c r="AA417" s="4">
        <f>(Games[[#This Row],[Keff]]*Games[[#This Row],[MOVMult]])*(Games[[#This Row],[Result]]-Games[[#This Row],[ExpectedWin%]])</f>
        <v>9.7634863181508234</v>
      </c>
      <c r="AB417" s="4">
        <f>Games[[#This Row],[PreGmRate]]+Games[[#This Row],[RatingChange]]</f>
        <v>1510.301232587188</v>
      </c>
      <c r="AC417" s="2">
        <f>IF(Games[[#This Row],[Type]]="R",IF(Games[[#This Row],[Result]]&gt;0.5,1,0),0)</f>
        <v>1</v>
      </c>
      <c r="AD417" s="2">
        <f>IF(Games[[#This Row],[Type]]="R",IF(Games[[#This Row],[Result]]&lt;0.5,1,0),0)</f>
        <v>0</v>
      </c>
      <c r="AE417" s="2">
        <f>IF(AND(Games[[#This Row],[Type]]="P",Games[[#This Row],[Round]]=1),IF(Games[[#This Row],[Result]]&gt;0.5,1,0),0)</f>
        <v>0</v>
      </c>
      <c r="AF417" s="2">
        <f>IF(AND(Games[[#This Row],[Type]]="P",Games[[#This Row],[Round]]=1),IF(Games[[#This Row],[Result]]&lt;0.5,1,0),0)</f>
        <v>0</v>
      </c>
      <c r="AG417" s="2">
        <f>IF(AND(Games[[#This Row],[Type]]="P",Games[[#This Row],[Round]]=2),IF(Games[[#This Row],[Result]]&gt;0.5,1,0),0)</f>
        <v>0</v>
      </c>
      <c r="AH417" s="2">
        <f>IF(AND(Games[[#This Row],[Type]]="P",Games[[#This Row],[Round]]=2),IF(Games[[#This Row],[Result]]&lt;0.5,1,0),0)</f>
        <v>0</v>
      </c>
      <c r="AI417" s="2">
        <f>IF(AND(Games[[#This Row],[Type]]="P",Games[[#This Row],[Round]]=3),IF(Games[[#This Row],[Result]]&gt;0.5,1,0),0)</f>
        <v>0</v>
      </c>
      <c r="AJ417" s="2">
        <f>IF(AND(Games[[#This Row],[Type]]="P",Games[[#This Row],[Round]]=3),IF(Games[[#This Row],[Result]]&lt;0.5,1,0),0)</f>
        <v>0</v>
      </c>
      <c r="AK417" s="2">
        <f>IF(AND(Games[[#This Row],[Type]]="P",Games[[#This Row],[Round]]=4),IF(Games[[#This Row],[Result]]&gt;0.5,1,0),0)</f>
        <v>0</v>
      </c>
      <c r="AL417" s="2">
        <f>IF(AND(Games[[#This Row],[Type]]="P",Games[[#This Row],[Round]]=4),IF(Games[[#This Row],[Result]]&lt;0.5,1,0),0)</f>
        <v>0</v>
      </c>
    </row>
    <row r="418" spans="1:38" x14ac:dyDescent="0.35">
      <c r="A418" s="10">
        <v>40417</v>
      </c>
      <c r="B418" s="2">
        <v>2010</v>
      </c>
      <c r="C418" s="2">
        <f>COUNTIFS(Games[Team],Games[[#This Row],[Team]],Games[Season],Games[[#This Row],[Season]],Games[Date],"&lt;=" &amp; Games[[#This Row],[Date]])</f>
        <v>36</v>
      </c>
      <c r="D418" s="2" t="s">
        <v>23</v>
      </c>
      <c r="E418" s="2" t="s">
        <v>29</v>
      </c>
      <c r="F418" s="1" t="s">
        <v>69</v>
      </c>
      <c r="G418" s="1" t="s">
        <v>83</v>
      </c>
      <c r="H418" s="1" t="s">
        <v>16</v>
      </c>
      <c r="I418" s="2" cm="1">
        <f t="array" ref="I418">IFERROR(
    Games[[#This Row],[Date]]
    - LOOKUP(
        2,
        1/((Games[Team]=Games[[#This Row],[Team]]) * (Games[Date] &lt; Games[[#This Row],[Date]])),
        Games[Date]
    )
    - 1,
Games[[#This Row],[Date]]-$A$2)</f>
        <v>1</v>
      </c>
      <c r="J418" s="2" cm="1">
        <f t="array" ref="J41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18" s="2">
        <f>Games[[#This Row],[DaysOff]]-Games[[#This Row],[OppDaysOff]]</f>
        <v>0</v>
      </c>
      <c r="L418" s="2">
        <f>Games[[#This Row],[OppDaysOff]]-Games[[#This Row],[DaysOff]]</f>
        <v>0</v>
      </c>
      <c r="M418" s="1">
        <f>MAX(-16, MIN(16, Games[[#This Row],[RestDiff]]*8))</f>
        <v>0</v>
      </c>
      <c r="N418" s="1">
        <f>MAX(-16, MIN(16, Games[[#This Row],[OppRestDiff]]*8))</f>
        <v>0</v>
      </c>
      <c r="O418" s="4" cm="1">
        <f t="array" ref="O4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1576.2054749200959</v>
      </c>
      <c r="P418" s="4" cm="1">
        <f t="array" ref="P4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1540.4159857663813</v>
      </c>
      <c r="Q418" s="4">
        <f>1/(1+10^(((Games[[#This Row],[OppPreGmRate]]+IF(Games[[#This Row],[HomeAway]]="A",HCA,0)+Games[[#This Row],[OppRestAdj]])-(Games[[#This Row],[PreGmRate]]+IF(Games[[#This Row],[HomeAway]]="H",HCA,0)+Games[[#This Row],[RestAdj]]))/400))</f>
        <v>0.43106139297055612</v>
      </c>
      <c r="R418" s="1">
        <v>77</v>
      </c>
      <c r="S418" s="1">
        <v>101</v>
      </c>
      <c r="T418" s="1">
        <v>0</v>
      </c>
      <c r="U418" s="1">
        <f>Games[[#This Row],[PointsFor]]-Games[[#This Row],[PointsAgainst]]</f>
        <v>-24</v>
      </c>
      <c r="V418" s="1">
        <f>IF(Games[[#This Row],[MOV]]&gt;0,1,IF(Games[[#This Row],[MOV]]=0,0.5,0))</f>
        <v>0</v>
      </c>
      <c r="W418" s="4">
        <f>((ABS(Games[[#This Row],[MOV]])+5)^0.6)/(12+0.01*(ABS(Games[[#This Row],[PreGmRate]]-Games[[#This Row],[OppPreGmRate]])))*IF(Games[[#This Row],[OT]]=1,0.9,1)</f>
        <v>0.61023104983211474</v>
      </c>
      <c r="X418" s="7" cm="1">
        <f t="array" ref="X4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8" s="9">
        <f>MAX(kmin, kmax - 0.15 * MIN(Games[[#This Row],[GamesPlayed]], 82))</f>
        <v>70.599999999999994</v>
      </c>
      <c r="Z418" s="4">
        <f>Games[[#This Row],[K]]*Games[[#This Row],[POMult]]</f>
        <v>70.599999999999994</v>
      </c>
      <c r="AA418" s="4">
        <f>(Games[[#This Row],[Keff]]*Games[[#This Row],[MOVMult]])*(Games[[#This Row],[Result]]-Games[[#This Row],[ExpectedWin%]])</f>
        <v>-18.571121474040844</v>
      </c>
      <c r="AB418" s="4">
        <f>Games[[#This Row],[PreGmRate]]+Games[[#This Row],[RatingChange]]</f>
        <v>1557.634353446055</v>
      </c>
      <c r="AC418" s="2">
        <f>IF(Games[[#This Row],[Type]]="R",IF(Games[[#This Row],[Result]]&gt;0.5,1,0),0)</f>
        <v>0</v>
      </c>
      <c r="AD418" s="2">
        <f>IF(Games[[#This Row],[Type]]="R",IF(Games[[#This Row],[Result]]&lt;0.5,1,0),0)</f>
        <v>1</v>
      </c>
      <c r="AE418" s="2">
        <f>IF(AND(Games[[#This Row],[Type]]="P",Games[[#This Row],[Round]]=1),IF(Games[[#This Row],[Result]]&gt;0.5,1,0),0)</f>
        <v>0</v>
      </c>
      <c r="AF418" s="2">
        <f>IF(AND(Games[[#This Row],[Type]]="P",Games[[#This Row],[Round]]=1),IF(Games[[#This Row],[Result]]&lt;0.5,1,0),0)</f>
        <v>0</v>
      </c>
      <c r="AG418" s="2">
        <f>IF(AND(Games[[#This Row],[Type]]="P",Games[[#This Row],[Round]]=2),IF(Games[[#This Row],[Result]]&gt;0.5,1,0),0)</f>
        <v>0</v>
      </c>
      <c r="AH418" s="2">
        <f>IF(AND(Games[[#This Row],[Type]]="P",Games[[#This Row],[Round]]=2),IF(Games[[#This Row],[Result]]&lt;0.5,1,0),0)</f>
        <v>0</v>
      </c>
      <c r="AI418" s="2">
        <f>IF(AND(Games[[#This Row],[Type]]="P",Games[[#This Row],[Round]]=3),IF(Games[[#This Row],[Result]]&gt;0.5,1,0),0)</f>
        <v>0</v>
      </c>
      <c r="AJ418" s="2">
        <f>IF(AND(Games[[#This Row],[Type]]="P",Games[[#This Row],[Round]]=3),IF(Games[[#This Row],[Result]]&lt;0.5,1,0),0)</f>
        <v>0</v>
      </c>
      <c r="AK418" s="2">
        <f>IF(AND(Games[[#This Row],[Type]]="P",Games[[#This Row],[Round]]=4),IF(Games[[#This Row],[Result]]&gt;0.5,1,0),0)</f>
        <v>0</v>
      </c>
      <c r="AL418" s="2">
        <f>IF(AND(Games[[#This Row],[Type]]="P",Games[[#This Row],[Round]]=4),IF(Games[[#This Row],[Result]]&lt;0.5,1,0),0)</f>
        <v>0</v>
      </c>
    </row>
    <row r="419" spans="1:38" x14ac:dyDescent="0.35">
      <c r="A419" s="10">
        <v>40417</v>
      </c>
      <c r="B419" s="2">
        <v>2010</v>
      </c>
      <c r="C419" s="2">
        <f>COUNTIFS(Games[Team],Games[[#This Row],[Team]],Games[Season],Games[[#This Row],[Season]],Games[Date],"&lt;=" &amp; Games[[#This Row],[Date]])</f>
        <v>36</v>
      </c>
      <c r="D419" s="2" t="s">
        <v>23</v>
      </c>
      <c r="E419" s="2" t="s">
        <v>29</v>
      </c>
      <c r="F419" s="1" t="s">
        <v>83</v>
      </c>
      <c r="G419" s="1" t="s">
        <v>69</v>
      </c>
      <c r="H419" s="1" t="s">
        <v>15</v>
      </c>
      <c r="I419" s="2" cm="1">
        <f t="array" ref="I419">IFERROR(
    Games[[#This Row],[Date]]
    - LOOKUP(
        2,
        1/((Games[Team]=Games[[#This Row],[Team]]) * (Games[Date] &lt; Games[[#This Row],[Date]])),
        Games[Date]
    )
    - 1,
Games[[#This Row],[Date]]-$A$2)</f>
        <v>1</v>
      </c>
      <c r="J419" s="2" cm="1">
        <f t="array" ref="J41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19" s="2">
        <f>Games[[#This Row],[DaysOff]]-Games[[#This Row],[OppDaysOff]]</f>
        <v>0</v>
      </c>
      <c r="L419" s="2">
        <f>Games[[#This Row],[OppDaysOff]]-Games[[#This Row],[DaysOff]]</f>
        <v>0</v>
      </c>
      <c r="M419" s="1">
        <f>MAX(-16, MIN(16, Games[[#This Row],[RestDiff]]*8))</f>
        <v>0</v>
      </c>
      <c r="N419" s="1">
        <f>MAX(-16, MIN(16, Games[[#This Row],[OppRestDiff]]*8))</f>
        <v>0</v>
      </c>
      <c r="O419" s="4" cm="1">
        <f t="array" ref="O4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1540.4159857663813</v>
      </c>
      <c r="P419" s="4" cm="1">
        <f t="array" ref="P4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1576.2054749200959</v>
      </c>
      <c r="Q419" s="4">
        <f>1/(1+10^(((Games[[#This Row],[OppPreGmRate]]+IF(Games[[#This Row],[HomeAway]]="A",HCA,0)+Games[[#This Row],[OppRestAdj]])-(Games[[#This Row],[PreGmRate]]+IF(Games[[#This Row],[HomeAway]]="H",HCA,0)+Games[[#This Row],[RestAdj]]))/400))</f>
        <v>0.56893860702944377</v>
      </c>
      <c r="R419" s="1">
        <v>101</v>
      </c>
      <c r="S419" s="1">
        <v>77</v>
      </c>
      <c r="T419" s="1">
        <v>0</v>
      </c>
      <c r="U419" s="1">
        <f>Games[[#This Row],[PointsFor]]-Games[[#This Row],[PointsAgainst]]</f>
        <v>24</v>
      </c>
      <c r="V419" s="1">
        <f>IF(Games[[#This Row],[MOV]]&gt;0,1,IF(Games[[#This Row],[MOV]]=0,0.5,0))</f>
        <v>1</v>
      </c>
      <c r="W419" s="4">
        <f>((ABS(Games[[#This Row],[MOV]])+5)^0.6)/(12+0.01*(ABS(Games[[#This Row],[PreGmRate]]-Games[[#This Row],[OppPreGmRate]])))*IF(Games[[#This Row],[OT]]=1,0.9,1)</f>
        <v>0.61023104983211474</v>
      </c>
      <c r="X419" s="7" cm="1">
        <f t="array" ref="X4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9" s="9">
        <f>MAX(kmin, kmax - 0.15 * MIN(Games[[#This Row],[GamesPlayed]], 82))</f>
        <v>70.599999999999994</v>
      </c>
      <c r="Z419" s="4">
        <f>Games[[#This Row],[K]]*Games[[#This Row],[POMult]]</f>
        <v>70.599999999999994</v>
      </c>
      <c r="AA419" s="4">
        <f>(Games[[#This Row],[Keff]]*Games[[#This Row],[MOVMult]])*(Games[[#This Row],[Result]]-Games[[#This Row],[ExpectedWin%]])</f>
        <v>18.571121474040851</v>
      </c>
      <c r="AB419" s="4">
        <f>Games[[#This Row],[PreGmRate]]+Games[[#This Row],[RatingChange]]</f>
        <v>1558.9871072404221</v>
      </c>
      <c r="AC419" s="2">
        <f>IF(Games[[#This Row],[Type]]="R",IF(Games[[#This Row],[Result]]&gt;0.5,1,0),0)</f>
        <v>1</v>
      </c>
      <c r="AD419" s="2">
        <f>IF(Games[[#This Row],[Type]]="R",IF(Games[[#This Row],[Result]]&lt;0.5,1,0),0)</f>
        <v>0</v>
      </c>
      <c r="AE419" s="2">
        <f>IF(AND(Games[[#This Row],[Type]]="P",Games[[#This Row],[Round]]=1),IF(Games[[#This Row],[Result]]&gt;0.5,1,0),0)</f>
        <v>0</v>
      </c>
      <c r="AF419" s="2">
        <f>IF(AND(Games[[#This Row],[Type]]="P",Games[[#This Row],[Round]]=1),IF(Games[[#This Row],[Result]]&lt;0.5,1,0),0)</f>
        <v>0</v>
      </c>
      <c r="AG419" s="2">
        <f>IF(AND(Games[[#This Row],[Type]]="P",Games[[#This Row],[Round]]=2),IF(Games[[#This Row],[Result]]&gt;0.5,1,0),0)</f>
        <v>0</v>
      </c>
      <c r="AH419" s="2">
        <f>IF(AND(Games[[#This Row],[Type]]="P",Games[[#This Row],[Round]]=2),IF(Games[[#This Row],[Result]]&lt;0.5,1,0),0)</f>
        <v>0</v>
      </c>
      <c r="AI419" s="2">
        <f>IF(AND(Games[[#This Row],[Type]]="P",Games[[#This Row],[Round]]=3),IF(Games[[#This Row],[Result]]&gt;0.5,1,0),0)</f>
        <v>0</v>
      </c>
      <c r="AJ419" s="2">
        <f>IF(AND(Games[[#This Row],[Type]]="P",Games[[#This Row],[Round]]=3),IF(Games[[#This Row],[Result]]&lt;0.5,1,0),0)</f>
        <v>0</v>
      </c>
      <c r="AK419" s="2">
        <f>IF(AND(Games[[#This Row],[Type]]="P",Games[[#This Row],[Round]]=4),IF(Games[[#This Row],[Result]]&gt;0.5,1,0),0)</f>
        <v>0</v>
      </c>
      <c r="AL419" s="2">
        <f>IF(AND(Games[[#This Row],[Type]]="P",Games[[#This Row],[Round]]=4),IF(Games[[#This Row],[Result]]&lt;0.5,1,0),0)</f>
        <v>0</v>
      </c>
    </row>
    <row r="420" spans="1:38" x14ac:dyDescent="0.35">
      <c r="A420" s="10">
        <v>40418</v>
      </c>
      <c r="B420" s="2">
        <v>2010</v>
      </c>
      <c r="C420" s="2">
        <f>COUNTIFS(Games[Team],Games[[#This Row],[Team]],Games[Season],Games[[#This Row],[Season]],Games[Date],"&lt;=" &amp; Games[[#This Row],[Date]])</f>
        <v>36</v>
      </c>
      <c r="D420" s="2" t="s">
        <v>23</v>
      </c>
      <c r="E420" s="2" t="s">
        <v>29</v>
      </c>
      <c r="F420" s="1" t="s">
        <v>75</v>
      </c>
      <c r="G420" s="1" t="s">
        <v>67</v>
      </c>
      <c r="H420" s="1" t="s">
        <v>16</v>
      </c>
      <c r="I420" s="2" cm="1">
        <f t="array" ref="I420">IFERROR(
    Games[[#This Row],[Date]]
    - LOOKUP(
        2,
        1/((Games[Team]=Games[[#This Row],[Team]]) * (Games[Date] &lt; Games[[#This Row],[Date]])),
        Games[Date]
    )
    - 1,
Games[[#This Row],[Date]]-$A$2)</f>
        <v>2</v>
      </c>
      <c r="J420" s="2" cm="1">
        <f t="array" ref="J42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20" s="2">
        <f>Games[[#This Row],[DaysOff]]-Games[[#This Row],[OppDaysOff]]</f>
        <v>0</v>
      </c>
      <c r="L420" s="2">
        <f>Games[[#This Row],[OppDaysOff]]-Games[[#This Row],[DaysOff]]</f>
        <v>0</v>
      </c>
      <c r="M420" s="1">
        <f>MAX(-16, MIN(16, Games[[#This Row],[RestDiff]]*8))</f>
        <v>0</v>
      </c>
      <c r="N420" s="1">
        <f>MAX(-16, MIN(16, Games[[#This Row],[OppRestDiff]]*8))</f>
        <v>0</v>
      </c>
      <c r="O420" s="4" cm="1">
        <f t="array" ref="O4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1663.6118819052499</v>
      </c>
      <c r="P420" s="4" cm="1">
        <f t="array" ref="P4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1443.7670263515511</v>
      </c>
      <c r="Q420" s="4">
        <f>1/(1+10^(((Games[[#This Row],[OppPreGmRate]]+IF(Games[[#This Row],[HomeAway]]="A",HCA,0)+Games[[#This Row],[OppRestAdj]])-(Games[[#This Row],[PreGmRate]]+IF(Games[[#This Row],[HomeAway]]="H",HCA,0)+Games[[#This Row],[RestAdj]]))/400))</f>
        <v>0.68610795183551732</v>
      </c>
      <c r="R420" s="1">
        <v>81</v>
      </c>
      <c r="S420" s="1">
        <v>66</v>
      </c>
      <c r="T420" s="1">
        <v>0</v>
      </c>
      <c r="U420" s="1">
        <f>Games[[#This Row],[PointsFor]]-Games[[#This Row],[PointsAgainst]]</f>
        <v>15</v>
      </c>
      <c r="V420" s="1">
        <f>IF(Games[[#This Row],[MOV]]&gt;0,1,IF(Games[[#This Row],[MOV]]=0,0.5,0))</f>
        <v>1</v>
      </c>
      <c r="W420" s="4">
        <f>((ABS(Games[[#This Row],[MOV]])+5)^0.6)/(12+0.01*(ABS(Games[[#This Row],[PreGmRate]]-Games[[#This Row],[OppPreGmRate]])))*IF(Games[[#This Row],[OT]]=1,0.9,1)</f>
        <v>0.42498842834430711</v>
      </c>
      <c r="X420" s="7" cm="1">
        <f t="array" ref="X4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0" s="9">
        <f>MAX(kmin, kmax - 0.15 * MIN(Games[[#This Row],[GamesPlayed]], 82))</f>
        <v>70.599999999999994</v>
      </c>
      <c r="Z420" s="4">
        <f>Games[[#This Row],[K]]*Games[[#This Row],[POMult]]</f>
        <v>70.599999999999994</v>
      </c>
      <c r="AA420" s="4">
        <f>(Games[[#This Row],[Keff]]*Games[[#This Row],[MOVMult]])*(Games[[#This Row],[Result]]-Games[[#This Row],[ExpectedWin%]])</f>
        <v>9.4180744682754511</v>
      </c>
      <c r="AB420" s="4">
        <f>Games[[#This Row],[PreGmRate]]+Games[[#This Row],[RatingChange]]</f>
        <v>1673.0299563735255</v>
      </c>
      <c r="AC420" s="2">
        <f>IF(Games[[#This Row],[Type]]="R",IF(Games[[#This Row],[Result]]&gt;0.5,1,0),0)</f>
        <v>1</v>
      </c>
      <c r="AD420" s="2">
        <f>IF(Games[[#This Row],[Type]]="R",IF(Games[[#This Row],[Result]]&lt;0.5,1,0),0)</f>
        <v>0</v>
      </c>
      <c r="AE420" s="2">
        <f>IF(AND(Games[[#This Row],[Type]]="P",Games[[#This Row],[Round]]=1),IF(Games[[#This Row],[Result]]&gt;0.5,1,0),0)</f>
        <v>0</v>
      </c>
      <c r="AF420" s="2">
        <f>IF(AND(Games[[#This Row],[Type]]="P",Games[[#This Row],[Round]]=1),IF(Games[[#This Row],[Result]]&lt;0.5,1,0),0)</f>
        <v>0</v>
      </c>
      <c r="AG420" s="2">
        <f>IF(AND(Games[[#This Row],[Type]]="P",Games[[#This Row],[Round]]=2),IF(Games[[#This Row],[Result]]&gt;0.5,1,0),0)</f>
        <v>0</v>
      </c>
      <c r="AH420" s="2">
        <f>IF(AND(Games[[#This Row],[Type]]="P",Games[[#This Row],[Round]]=2),IF(Games[[#This Row],[Result]]&lt;0.5,1,0),0)</f>
        <v>0</v>
      </c>
      <c r="AI420" s="2">
        <f>IF(AND(Games[[#This Row],[Type]]="P",Games[[#This Row],[Round]]=3),IF(Games[[#This Row],[Result]]&gt;0.5,1,0),0)</f>
        <v>0</v>
      </c>
      <c r="AJ420" s="2">
        <f>IF(AND(Games[[#This Row],[Type]]="P",Games[[#This Row],[Round]]=3),IF(Games[[#This Row],[Result]]&lt;0.5,1,0),0)</f>
        <v>0</v>
      </c>
      <c r="AK420" s="2">
        <f>IF(AND(Games[[#This Row],[Type]]="P",Games[[#This Row],[Round]]=4),IF(Games[[#This Row],[Result]]&gt;0.5,1,0),0)</f>
        <v>0</v>
      </c>
      <c r="AL420" s="2">
        <f>IF(AND(Games[[#This Row],[Type]]="P",Games[[#This Row],[Round]]=4),IF(Games[[#This Row],[Result]]&lt;0.5,1,0),0)</f>
        <v>0</v>
      </c>
    </row>
    <row r="421" spans="1:38" x14ac:dyDescent="0.35">
      <c r="A421" s="10">
        <v>40418</v>
      </c>
      <c r="B421" s="2">
        <v>2010</v>
      </c>
      <c r="C421" s="2">
        <f>COUNTIFS(Games[Team],Games[[#This Row],[Team]],Games[Season],Games[[#This Row],[Season]],Games[Date],"&lt;=" &amp; Games[[#This Row],[Date]])</f>
        <v>36</v>
      </c>
      <c r="D421" s="2" t="s">
        <v>23</v>
      </c>
      <c r="E421" s="2" t="s">
        <v>29</v>
      </c>
      <c r="F421" s="1" t="s">
        <v>67</v>
      </c>
      <c r="G421" s="1" t="s">
        <v>75</v>
      </c>
      <c r="H421" s="1" t="s">
        <v>15</v>
      </c>
      <c r="I421" s="2" cm="1">
        <f t="array" ref="I421">IFERROR(
    Games[[#This Row],[Date]]
    - LOOKUP(
        2,
        1/((Games[Team]=Games[[#This Row],[Team]]) * (Games[Date] &lt; Games[[#This Row],[Date]])),
        Games[Date]
    )
    - 1,
Games[[#This Row],[Date]]-$A$2)</f>
        <v>2</v>
      </c>
      <c r="J421" s="2" cm="1">
        <f t="array" ref="J42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21" s="2">
        <f>Games[[#This Row],[DaysOff]]-Games[[#This Row],[OppDaysOff]]</f>
        <v>0</v>
      </c>
      <c r="L421" s="2">
        <f>Games[[#This Row],[OppDaysOff]]-Games[[#This Row],[DaysOff]]</f>
        <v>0</v>
      </c>
      <c r="M421" s="1">
        <f>MAX(-16, MIN(16, Games[[#This Row],[RestDiff]]*8))</f>
        <v>0</v>
      </c>
      <c r="N421" s="1">
        <f>MAX(-16, MIN(16, Games[[#This Row],[OppRestDiff]]*8))</f>
        <v>0</v>
      </c>
      <c r="O421" s="4" cm="1">
        <f t="array" ref="O4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1443.7670263515511</v>
      </c>
      <c r="P421" s="4" cm="1">
        <f t="array" ref="P4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1663.6118819052499</v>
      </c>
      <c r="Q421" s="4">
        <f>1/(1+10^(((Games[[#This Row],[OppPreGmRate]]+IF(Games[[#This Row],[HomeAway]]="A",HCA,0)+Games[[#This Row],[OppRestAdj]])-(Games[[#This Row],[PreGmRate]]+IF(Games[[#This Row],[HomeAway]]="H",HCA,0)+Games[[#This Row],[RestAdj]]))/400))</f>
        <v>0.31389204816448263</v>
      </c>
      <c r="R421" s="1">
        <v>66</v>
      </c>
      <c r="S421" s="1">
        <v>81</v>
      </c>
      <c r="T421" s="1">
        <v>0</v>
      </c>
      <c r="U421" s="1">
        <f>Games[[#This Row],[PointsFor]]-Games[[#This Row],[PointsAgainst]]</f>
        <v>-15</v>
      </c>
      <c r="V421" s="1">
        <f>IF(Games[[#This Row],[MOV]]&gt;0,1,IF(Games[[#This Row],[MOV]]=0,0.5,0))</f>
        <v>0</v>
      </c>
      <c r="W421" s="4">
        <f>((ABS(Games[[#This Row],[MOV]])+5)^0.6)/(12+0.01*(ABS(Games[[#This Row],[PreGmRate]]-Games[[#This Row],[OppPreGmRate]])))*IF(Games[[#This Row],[OT]]=1,0.9,1)</f>
        <v>0.42498842834430711</v>
      </c>
      <c r="X421" s="7" cm="1">
        <f t="array" ref="X4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1" s="9">
        <f>MAX(kmin, kmax - 0.15 * MIN(Games[[#This Row],[GamesPlayed]], 82))</f>
        <v>70.599999999999994</v>
      </c>
      <c r="Z421" s="4">
        <f>Games[[#This Row],[K]]*Games[[#This Row],[POMult]]</f>
        <v>70.599999999999994</v>
      </c>
      <c r="AA421" s="4">
        <f>(Games[[#This Row],[Keff]]*Games[[#This Row],[MOVMult]])*(Games[[#This Row],[Result]]-Games[[#This Row],[ExpectedWin%]])</f>
        <v>-9.4180744682754494</v>
      </c>
      <c r="AB421" s="4">
        <f>Games[[#This Row],[PreGmRate]]+Games[[#This Row],[RatingChange]]</f>
        <v>1434.3489518832757</v>
      </c>
      <c r="AC421" s="2">
        <f>IF(Games[[#This Row],[Type]]="R",IF(Games[[#This Row],[Result]]&gt;0.5,1,0),0)</f>
        <v>0</v>
      </c>
      <c r="AD421" s="2">
        <f>IF(Games[[#This Row],[Type]]="R",IF(Games[[#This Row],[Result]]&lt;0.5,1,0),0)</f>
        <v>1</v>
      </c>
      <c r="AE421" s="2">
        <f>IF(AND(Games[[#This Row],[Type]]="P",Games[[#This Row],[Round]]=1),IF(Games[[#This Row],[Result]]&gt;0.5,1,0),0)</f>
        <v>0</v>
      </c>
      <c r="AF421" s="2">
        <f>IF(AND(Games[[#This Row],[Type]]="P",Games[[#This Row],[Round]]=1),IF(Games[[#This Row],[Result]]&lt;0.5,1,0),0)</f>
        <v>0</v>
      </c>
      <c r="AG421" s="2">
        <f>IF(AND(Games[[#This Row],[Type]]="P",Games[[#This Row],[Round]]=2),IF(Games[[#This Row],[Result]]&gt;0.5,1,0),0)</f>
        <v>0</v>
      </c>
      <c r="AH421" s="2">
        <f>IF(AND(Games[[#This Row],[Type]]="P",Games[[#This Row],[Round]]=2),IF(Games[[#This Row],[Result]]&lt;0.5,1,0),0)</f>
        <v>0</v>
      </c>
      <c r="AI421" s="2">
        <f>IF(AND(Games[[#This Row],[Type]]="P",Games[[#This Row],[Round]]=3),IF(Games[[#This Row],[Result]]&gt;0.5,1,0),0)</f>
        <v>0</v>
      </c>
      <c r="AJ421" s="2">
        <f>IF(AND(Games[[#This Row],[Type]]="P",Games[[#This Row],[Round]]=3),IF(Games[[#This Row],[Result]]&lt;0.5,1,0),0)</f>
        <v>0</v>
      </c>
      <c r="AK421" s="2">
        <f>IF(AND(Games[[#This Row],[Type]]="P",Games[[#This Row],[Round]]=4),IF(Games[[#This Row],[Result]]&gt;0.5,1,0),0)</f>
        <v>0</v>
      </c>
      <c r="AL421" s="2">
        <f>IF(AND(Games[[#This Row],[Type]]="P",Games[[#This Row],[Round]]=4),IF(Games[[#This Row],[Result]]&lt;0.5,1,0),0)</f>
        <v>0</v>
      </c>
    </row>
    <row r="422" spans="1:38" x14ac:dyDescent="0.35">
      <c r="A422" s="10">
        <v>40418</v>
      </c>
      <c r="B422" s="2">
        <v>2010</v>
      </c>
      <c r="C422" s="2">
        <f>COUNTIFS(Games[Team],Games[[#This Row],[Team]],Games[Season],Games[[#This Row],[Season]],Games[Date],"&lt;=" &amp; Games[[#This Row],[Date]])</f>
        <v>36</v>
      </c>
      <c r="D422" s="2" t="s">
        <v>23</v>
      </c>
      <c r="E422" s="2" t="s">
        <v>29</v>
      </c>
      <c r="F422" s="1" t="s">
        <v>44</v>
      </c>
      <c r="G422" s="1" t="s">
        <v>78</v>
      </c>
      <c r="H422" s="1" t="s">
        <v>16</v>
      </c>
      <c r="I422" s="2" cm="1">
        <f t="array" ref="I42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2" s="2" cm="1">
        <f t="array" ref="J42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2" s="2">
        <f>Games[[#This Row],[DaysOff]]-Games[[#This Row],[OppDaysOff]]</f>
        <v>0</v>
      </c>
      <c r="L422" s="2">
        <f>Games[[#This Row],[OppDaysOff]]-Games[[#This Row],[DaysOff]]</f>
        <v>0</v>
      </c>
      <c r="M422" s="1">
        <f>MAX(-16, MIN(16, Games[[#This Row],[RestDiff]]*8))</f>
        <v>0</v>
      </c>
      <c r="N422" s="1">
        <f>MAX(-16, MIN(16, Games[[#This Row],[OppRestDiff]]*8))</f>
        <v>0</v>
      </c>
      <c r="O422" s="4" cm="1">
        <f t="array" ref="O4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1510.301232587188</v>
      </c>
      <c r="P422" s="4" cm="1">
        <f t="array" ref="P4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1432.8855894452643</v>
      </c>
      <c r="Q422" s="4">
        <f>1/(1+10^(((Games[[#This Row],[OppPreGmRate]]+IF(Games[[#This Row],[HomeAway]]="A",HCA,0)+Games[[#This Row],[OppRestAdj]])-(Games[[#This Row],[PreGmRate]]+IF(Games[[#This Row],[HomeAway]]="H",HCA,0)+Games[[#This Row],[RestAdj]]))/400))</f>
        <v>0.49052548301859622</v>
      </c>
      <c r="R422" s="1">
        <v>92</v>
      </c>
      <c r="S422" s="1">
        <v>73</v>
      </c>
      <c r="T422" s="1">
        <v>0</v>
      </c>
      <c r="U422" s="1">
        <f>Games[[#This Row],[PointsFor]]-Games[[#This Row],[PointsAgainst]]</f>
        <v>19</v>
      </c>
      <c r="V422" s="1">
        <f>IF(Games[[#This Row],[MOV]]&gt;0,1,IF(Games[[#This Row],[MOV]]=0,0.5,0))</f>
        <v>1</v>
      </c>
      <c r="W422" s="4">
        <f>((ABS(Games[[#This Row],[MOV]])+5)^0.6)/(12+0.01*(ABS(Games[[#This Row],[PreGmRate]]-Games[[#This Row],[OppPreGmRate]])))*IF(Games[[#This Row],[OT]]=1,0.9,1)</f>
        <v>0.52698046315761971</v>
      </c>
      <c r="X422" s="7" cm="1">
        <f t="array" ref="X4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2" s="9">
        <f>MAX(kmin, kmax - 0.15 * MIN(Games[[#This Row],[GamesPlayed]], 82))</f>
        <v>70.599999999999994</v>
      </c>
      <c r="Z422" s="4">
        <f>Games[[#This Row],[K]]*Games[[#This Row],[POMult]]</f>
        <v>70.599999999999994</v>
      </c>
      <c r="AA422" s="4">
        <f>(Games[[#This Row],[Keff]]*Games[[#This Row],[MOVMult]])*(Games[[#This Row],[Result]]-Games[[#This Row],[ExpectedWin%]])</f>
        <v>18.954908054966047</v>
      </c>
      <c r="AB422" s="4">
        <f>Games[[#This Row],[PreGmRate]]+Games[[#This Row],[RatingChange]]</f>
        <v>1529.2561406421542</v>
      </c>
      <c r="AC422" s="2">
        <f>IF(Games[[#This Row],[Type]]="R",IF(Games[[#This Row],[Result]]&gt;0.5,1,0),0)</f>
        <v>1</v>
      </c>
      <c r="AD422" s="2">
        <f>IF(Games[[#This Row],[Type]]="R",IF(Games[[#This Row],[Result]]&lt;0.5,1,0),0)</f>
        <v>0</v>
      </c>
      <c r="AE422" s="2">
        <f>IF(AND(Games[[#This Row],[Type]]="P",Games[[#This Row],[Round]]=1),IF(Games[[#This Row],[Result]]&gt;0.5,1,0),0)</f>
        <v>0</v>
      </c>
      <c r="AF422" s="2">
        <f>IF(AND(Games[[#This Row],[Type]]="P",Games[[#This Row],[Round]]=1),IF(Games[[#This Row],[Result]]&lt;0.5,1,0),0)</f>
        <v>0</v>
      </c>
      <c r="AG422" s="2">
        <f>IF(AND(Games[[#This Row],[Type]]="P",Games[[#This Row],[Round]]=2),IF(Games[[#This Row],[Result]]&gt;0.5,1,0),0)</f>
        <v>0</v>
      </c>
      <c r="AH422" s="2">
        <f>IF(AND(Games[[#This Row],[Type]]="P",Games[[#This Row],[Round]]=2),IF(Games[[#This Row],[Result]]&lt;0.5,1,0),0)</f>
        <v>0</v>
      </c>
      <c r="AI422" s="2">
        <f>IF(AND(Games[[#This Row],[Type]]="P",Games[[#This Row],[Round]]=3),IF(Games[[#This Row],[Result]]&gt;0.5,1,0),0)</f>
        <v>0</v>
      </c>
      <c r="AJ422" s="2">
        <f>IF(AND(Games[[#This Row],[Type]]="P",Games[[#This Row],[Round]]=3),IF(Games[[#This Row],[Result]]&lt;0.5,1,0),0)</f>
        <v>0</v>
      </c>
      <c r="AK422" s="2">
        <f>IF(AND(Games[[#This Row],[Type]]="P",Games[[#This Row],[Round]]=4),IF(Games[[#This Row],[Result]]&gt;0.5,1,0),0)</f>
        <v>0</v>
      </c>
      <c r="AL422" s="2">
        <f>IF(AND(Games[[#This Row],[Type]]="P",Games[[#This Row],[Round]]=4),IF(Games[[#This Row],[Result]]&lt;0.5,1,0),0)</f>
        <v>0</v>
      </c>
    </row>
    <row r="423" spans="1:38" x14ac:dyDescent="0.35">
      <c r="A423" s="10">
        <v>40418</v>
      </c>
      <c r="B423" s="2">
        <v>2010</v>
      </c>
      <c r="C423" s="2">
        <f>COUNTIFS(Games[Team],Games[[#This Row],[Team]],Games[Season],Games[[#This Row],[Season]],Games[Date],"&lt;=" &amp; Games[[#This Row],[Date]])</f>
        <v>36</v>
      </c>
      <c r="D423" s="2" t="s">
        <v>23</v>
      </c>
      <c r="E423" s="2" t="s">
        <v>29</v>
      </c>
      <c r="F423" s="1" t="s">
        <v>78</v>
      </c>
      <c r="G423" s="1" t="s">
        <v>44</v>
      </c>
      <c r="H423" s="1" t="s">
        <v>15</v>
      </c>
      <c r="I423" s="2" cm="1">
        <f t="array" ref="I423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3" s="2" cm="1">
        <f t="array" ref="J42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3" s="2">
        <f>Games[[#This Row],[DaysOff]]-Games[[#This Row],[OppDaysOff]]</f>
        <v>0</v>
      </c>
      <c r="L423" s="2">
        <f>Games[[#This Row],[OppDaysOff]]-Games[[#This Row],[DaysOff]]</f>
        <v>0</v>
      </c>
      <c r="M423" s="1">
        <f>MAX(-16, MIN(16, Games[[#This Row],[RestDiff]]*8))</f>
        <v>0</v>
      </c>
      <c r="N423" s="1">
        <f>MAX(-16, MIN(16, Games[[#This Row],[OppRestDiff]]*8))</f>
        <v>0</v>
      </c>
      <c r="O423" s="4" cm="1">
        <f t="array" ref="O4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1432.8855894452643</v>
      </c>
      <c r="P423" s="4" cm="1">
        <f t="array" ref="P4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1510.301232587188</v>
      </c>
      <c r="Q423" s="4">
        <f>1/(1+10^(((Games[[#This Row],[OppPreGmRate]]+IF(Games[[#This Row],[HomeAway]]="A",HCA,0)+Games[[#This Row],[OppRestAdj]])-(Games[[#This Row],[PreGmRate]]+IF(Games[[#This Row],[HomeAway]]="H",HCA,0)+Games[[#This Row],[RestAdj]]))/400))</f>
        <v>0.50947451698140378</v>
      </c>
      <c r="R423" s="1">
        <v>73</v>
      </c>
      <c r="S423" s="1">
        <v>92</v>
      </c>
      <c r="T423" s="1">
        <v>0</v>
      </c>
      <c r="U423" s="1">
        <f>Games[[#This Row],[PointsFor]]-Games[[#This Row],[PointsAgainst]]</f>
        <v>-19</v>
      </c>
      <c r="V423" s="1">
        <f>IF(Games[[#This Row],[MOV]]&gt;0,1,IF(Games[[#This Row],[MOV]]=0,0.5,0))</f>
        <v>0</v>
      </c>
      <c r="W423" s="4">
        <f>((ABS(Games[[#This Row],[MOV]])+5)^0.6)/(12+0.01*(ABS(Games[[#This Row],[PreGmRate]]-Games[[#This Row],[OppPreGmRate]])))*IF(Games[[#This Row],[OT]]=1,0.9,1)</f>
        <v>0.52698046315761971</v>
      </c>
      <c r="X423" s="7" cm="1">
        <f t="array" ref="X4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3" s="9">
        <f>MAX(kmin, kmax - 0.15 * MIN(Games[[#This Row],[GamesPlayed]], 82))</f>
        <v>70.599999999999994</v>
      </c>
      <c r="Z423" s="4">
        <f>Games[[#This Row],[K]]*Games[[#This Row],[POMult]]</f>
        <v>70.599999999999994</v>
      </c>
      <c r="AA423" s="4">
        <f>(Games[[#This Row],[Keff]]*Games[[#This Row],[MOVMult]])*(Games[[#This Row],[Result]]-Games[[#This Row],[ExpectedWin%]])</f>
        <v>-18.954908054966047</v>
      </c>
      <c r="AB423" s="4">
        <f>Games[[#This Row],[PreGmRate]]+Games[[#This Row],[RatingChange]]</f>
        <v>1413.9306813902981</v>
      </c>
      <c r="AC423" s="2">
        <f>IF(Games[[#This Row],[Type]]="R",IF(Games[[#This Row],[Result]]&gt;0.5,1,0),0)</f>
        <v>0</v>
      </c>
      <c r="AD423" s="2">
        <f>IF(Games[[#This Row],[Type]]="R",IF(Games[[#This Row],[Result]]&lt;0.5,1,0),0)</f>
        <v>1</v>
      </c>
      <c r="AE423" s="2">
        <f>IF(AND(Games[[#This Row],[Type]]="P",Games[[#This Row],[Round]]=1),IF(Games[[#This Row],[Result]]&gt;0.5,1,0),0)</f>
        <v>0</v>
      </c>
      <c r="AF423" s="2">
        <f>IF(AND(Games[[#This Row],[Type]]="P",Games[[#This Row],[Round]]=1),IF(Games[[#This Row],[Result]]&lt;0.5,1,0),0)</f>
        <v>0</v>
      </c>
      <c r="AG423" s="2">
        <f>IF(AND(Games[[#This Row],[Type]]="P",Games[[#This Row],[Round]]=2),IF(Games[[#This Row],[Result]]&gt;0.5,1,0),0)</f>
        <v>0</v>
      </c>
      <c r="AH423" s="2">
        <f>IF(AND(Games[[#This Row],[Type]]="P",Games[[#This Row],[Round]]=2),IF(Games[[#This Row],[Result]]&lt;0.5,1,0),0)</f>
        <v>0</v>
      </c>
      <c r="AI423" s="2">
        <f>IF(AND(Games[[#This Row],[Type]]="P",Games[[#This Row],[Round]]=3),IF(Games[[#This Row],[Result]]&gt;0.5,1,0),0)</f>
        <v>0</v>
      </c>
      <c r="AJ423" s="2">
        <f>IF(AND(Games[[#This Row],[Type]]="P",Games[[#This Row],[Round]]=3),IF(Games[[#This Row],[Result]]&lt;0.5,1,0),0)</f>
        <v>0</v>
      </c>
      <c r="AK423" s="2">
        <f>IF(AND(Games[[#This Row],[Type]]="P",Games[[#This Row],[Round]]=4),IF(Games[[#This Row],[Result]]&gt;0.5,1,0),0)</f>
        <v>0</v>
      </c>
      <c r="AL423" s="2">
        <f>IF(AND(Games[[#This Row],[Type]]="P",Games[[#This Row],[Round]]=4),IF(Games[[#This Row],[Result]]&lt;0.5,1,0),0)</f>
        <v>0</v>
      </c>
    </row>
    <row r="424" spans="1:38" x14ac:dyDescent="0.35">
      <c r="A424" s="10">
        <v>40419</v>
      </c>
      <c r="B424" s="2">
        <v>2010</v>
      </c>
      <c r="C424" s="2">
        <f>COUNTIFS(Games[Team],Games[[#This Row],[Team]],Games[Season],Games[[#This Row],[Season]],Games[Date],"&lt;=" &amp; Games[[#This Row],[Date]])</f>
        <v>36</v>
      </c>
      <c r="D424" s="2" t="s">
        <v>23</v>
      </c>
      <c r="E424" s="2" t="s">
        <v>29</v>
      </c>
      <c r="F424" s="1" t="s">
        <v>64</v>
      </c>
      <c r="G424" s="1" t="s">
        <v>73</v>
      </c>
      <c r="H424" s="1" t="s">
        <v>16</v>
      </c>
      <c r="I424" s="2" cm="1">
        <f t="array" ref="I424">IFERROR(
    Games[[#This Row],[Date]]
    - LOOKUP(
        2,
        1/((Games[Team]=Games[[#This Row],[Team]]) * (Games[Date] &lt; Games[[#This Row],[Date]])),
        Games[Date]
    )
    - 1,
Games[[#This Row],[Date]]-$A$2)</f>
        <v>2</v>
      </c>
      <c r="J424" s="2" cm="1">
        <f t="array" ref="J42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24" s="2">
        <f>Games[[#This Row],[DaysOff]]-Games[[#This Row],[OppDaysOff]]</f>
        <v>0</v>
      </c>
      <c r="L424" s="2">
        <f>Games[[#This Row],[OppDaysOff]]-Games[[#This Row],[DaysOff]]</f>
        <v>0</v>
      </c>
      <c r="M424" s="1">
        <f>MAX(-16, MIN(16, Games[[#This Row],[RestDiff]]*8))</f>
        <v>0</v>
      </c>
      <c r="N424" s="1">
        <f>MAX(-16, MIN(16, Games[[#This Row],[OppRestDiff]]*8))</f>
        <v>0</v>
      </c>
      <c r="O424" s="4" cm="1">
        <f t="array" ref="O4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1632.7434463715294</v>
      </c>
      <c r="P424" s="4" cm="1">
        <f t="array" ref="P4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1575.457479130182</v>
      </c>
      <c r="Q424" s="4">
        <f>1/(1+10^(((Games[[#This Row],[OppPreGmRate]]+IF(Games[[#This Row],[HomeAway]]="A",HCA,0)+Games[[#This Row],[OppRestAdj]])-(Games[[#This Row],[PreGmRate]]+IF(Games[[#This Row],[HomeAway]]="H",HCA,0)+Games[[#This Row],[RestAdj]]))/400))</f>
        <v>0.46163099850961314</v>
      </c>
      <c r="R424" s="1">
        <v>67</v>
      </c>
      <c r="S424" s="1">
        <v>75</v>
      </c>
      <c r="T424" s="1">
        <v>0</v>
      </c>
      <c r="U424" s="1">
        <f>Games[[#This Row],[PointsFor]]-Games[[#This Row],[PointsAgainst]]</f>
        <v>-8</v>
      </c>
      <c r="V424" s="1">
        <f>IF(Games[[#This Row],[MOV]]&gt;0,1,IF(Games[[#This Row],[MOV]]=0,0.5,0))</f>
        <v>0</v>
      </c>
      <c r="W424" s="4">
        <f>((ABS(Games[[#This Row],[MOV]])+5)^0.6)/(12+0.01*(ABS(Games[[#This Row],[PreGmRate]]-Games[[#This Row],[OppPreGmRate]])))*IF(Games[[#This Row],[OT]]=1,0.9,1)</f>
        <v>0.37062263808290624</v>
      </c>
      <c r="X424" s="7" cm="1">
        <f t="array" ref="X4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4" s="9">
        <f>MAX(kmin, kmax - 0.15 * MIN(Games[[#This Row],[GamesPlayed]], 82))</f>
        <v>70.599999999999994</v>
      </c>
      <c r="Z424" s="4">
        <f>Games[[#This Row],[K]]*Games[[#This Row],[POMult]]</f>
        <v>70.599999999999994</v>
      </c>
      <c r="AA424" s="4">
        <f>(Games[[#This Row],[Keff]]*Games[[#This Row],[MOVMult]])*(Games[[#This Row],[Result]]-Games[[#This Row],[ExpectedWin%]])</f>
        <v>-12.079017433286616</v>
      </c>
      <c r="AB424" s="4">
        <f>Games[[#This Row],[PreGmRate]]+Games[[#This Row],[RatingChange]]</f>
        <v>1620.6644289382427</v>
      </c>
      <c r="AC424" s="2">
        <f>IF(Games[[#This Row],[Type]]="R",IF(Games[[#This Row],[Result]]&gt;0.5,1,0),0)</f>
        <v>0</v>
      </c>
      <c r="AD424" s="2">
        <f>IF(Games[[#This Row],[Type]]="R",IF(Games[[#This Row],[Result]]&lt;0.5,1,0),0)</f>
        <v>1</v>
      </c>
      <c r="AE424" s="2">
        <f>IF(AND(Games[[#This Row],[Type]]="P",Games[[#This Row],[Round]]=1),IF(Games[[#This Row],[Result]]&gt;0.5,1,0),0)</f>
        <v>0</v>
      </c>
      <c r="AF424" s="2">
        <f>IF(AND(Games[[#This Row],[Type]]="P",Games[[#This Row],[Round]]=1),IF(Games[[#This Row],[Result]]&lt;0.5,1,0),0)</f>
        <v>0</v>
      </c>
      <c r="AG424" s="2">
        <f>IF(AND(Games[[#This Row],[Type]]="P",Games[[#This Row],[Round]]=2),IF(Games[[#This Row],[Result]]&gt;0.5,1,0),0)</f>
        <v>0</v>
      </c>
      <c r="AH424" s="2">
        <f>IF(AND(Games[[#This Row],[Type]]="P",Games[[#This Row],[Round]]=2),IF(Games[[#This Row],[Result]]&lt;0.5,1,0),0)</f>
        <v>0</v>
      </c>
      <c r="AI424" s="2">
        <f>IF(AND(Games[[#This Row],[Type]]="P",Games[[#This Row],[Round]]=3),IF(Games[[#This Row],[Result]]&gt;0.5,1,0),0)</f>
        <v>0</v>
      </c>
      <c r="AJ424" s="2">
        <f>IF(AND(Games[[#This Row],[Type]]="P",Games[[#This Row],[Round]]=3),IF(Games[[#This Row],[Result]]&lt;0.5,1,0),0)</f>
        <v>0</v>
      </c>
      <c r="AK424" s="2">
        <f>IF(AND(Games[[#This Row],[Type]]="P",Games[[#This Row],[Round]]=4),IF(Games[[#This Row],[Result]]&gt;0.5,1,0),0)</f>
        <v>0</v>
      </c>
      <c r="AL424" s="2">
        <f>IF(AND(Games[[#This Row],[Type]]="P",Games[[#This Row],[Round]]=4),IF(Games[[#This Row],[Result]]&lt;0.5,1,0),0)</f>
        <v>0</v>
      </c>
    </row>
    <row r="425" spans="1:38" x14ac:dyDescent="0.35">
      <c r="A425" s="10">
        <v>40419</v>
      </c>
      <c r="B425" s="2">
        <v>2010</v>
      </c>
      <c r="C425" s="2">
        <f>COUNTIFS(Games[Team],Games[[#This Row],[Team]],Games[Season],Games[[#This Row],[Season]],Games[Date],"&lt;=" &amp; Games[[#This Row],[Date]])</f>
        <v>36</v>
      </c>
      <c r="D425" s="2" t="s">
        <v>23</v>
      </c>
      <c r="E425" s="2" t="s">
        <v>29</v>
      </c>
      <c r="F425" s="1" t="s">
        <v>73</v>
      </c>
      <c r="G425" s="1" t="s">
        <v>64</v>
      </c>
      <c r="H425" s="1" t="s">
        <v>15</v>
      </c>
      <c r="I425" s="2" cm="1">
        <f t="array" ref="I425">IFERROR(
    Games[[#This Row],[Date]]
    - LOOKUP(
        2,
        1/((Games[Team]=Games[[#This Row],[Team]]) * (Games[Date] &lt; Games[[#This Row],[Date]])),
        Games[Date]
    )
    - 1,
Games[[#This Row],[Date]]-$A$2)</f>
        <v>2</v>
      </c>
      <c r="J425" s="2" cm="1">
        <f t="array" ref="J42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25" s="2">
        <f>Games[[#This Row],[DaysOff]]-Games[[#This Row],[OppDaysOff]]</f>
        <v>0</v>
      </c>
      <c r="L425" s="2">
        <f>Games[[#This Row],[OppDaysOff]]-Games[[#This Row],[DaysOff]]</f>
        <v>0</v>
      </c>
      <c r="M425" s="1">
        <f>MAX(-16, MIN(16, Games[[#This Row],[RestDiff]]*8))</f>
        <v>0</v>
      </c>
      <c r="N425" s="1">
        <f>MAX(-16, MIN(16, Games[[#This Row],[OppRestDiff]]*8))</f>
        <v>0</v>
      </c>
      <c r="O425" s="4" cm="1">
        <f t="array" ref="O4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1575.457479130182</v>
      </c>
      <c r="P425" s="4" cm="1">
        <f t="array" ref="P4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1632.7434463715294</v>
      </c>
      <c r="Q425" s="4">
        <f>1/(1+10^(((Games[[#This Row],[OppPreGmRate]]+IF(Games[[#This Row],[HomeAway]]="A",HCA,0)+Games[[#This Row],[OppRestAdj]])-(Games[[#This Row],[PreGmRate]]+IF(Games[[#This Row],[HomeAway]]="H",HCA,0)+Games[[#This Row],[RestAdj]]))/400))</f>
        <v>0.5383690014903868</v>
      </c>
      <c r="R425" s="1">
        <v>75</v>
      </c>
      <c r="S425" s="1">
        <v>67</v>
      </c>
      <c r="T425" s="1">
        <v>0</v>
      </c>
      <c r="U425" s="1">
        <f>Games[[#This Row],[PointsFor]]-Games[[#This Row],[PointsAgainst]]</f>
        <v>8</v>
      </c>
      <c r="V425" s="1">
        <f>IF(Games[[#This Row],[MOV]]&gt;0,1,IF(Games[[#This Row],[MOV]]=0,0.5,0))</f>
        <v>1</v>
      </c>
      <c r="W425" s="4">
        <f>((ABS(Games[[#This Row],[MOV]])+5)^0.6)/(12+0.01*(ABS(Games[[#This Row],[PreGmRate]]-Games[[#This Row],[OppPreGmRate]])))*IF(Games[[#This Row],[OT]]=1,0.9,1)</f>
        <v>0.37062263808290624</v>
      </c>
      <c r="X425" s="7" cm="1">
        <f t="array" ref="X4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5" s="9">
        <f>MAX(kmin, kmax - 0.15 * MIN(Games[[#This Row],[GamesPlayed]], 82))</f>
        <v>70.599999999999994</v>
      </c>
      <c r="Z425" s="4">
        <f>Games[[#This Row],[K]]*Games[[#This Row],[POMult]]</f>
        <v>70.599999999999994</v>
      </c>
      <c r="AA425" s="4">
        <f>(Games[[#This Row],[Keff]]*Games[[#This Row],[MOVMult]])*(Games[[#This Row],[Result]]-Games[[#This Row],[ExpectedWin%]])</f>
        <v>12.079017433286618</v>
      </c>
      <c r="AB425" s="4">
        <f>Games[[#This Row],[PreGmRate]]+Games[[#This Row],[RatingChange]]</f>
        <v>1587.5364965634687</v>
      </c>
      <c r="AC425" s="2">
        <f>IF(Games[[#This Row],[Type]]="R",IF(Games[[#This Row],[Result]]&gt;0.5,1,0),0)</f>
        <v>1</v>
      </c>
      <c r="AD425" s="2">
        <f>IF(Games[[#This Row],[Type]]="R",IF(Games[[#This Row],[Result]]&lt;0.5,1,0),0)</f>
        <v>0</v>
      </c>
      <c r="AE425" s="2">
        <f>IF(AND(Games[[#This Row],[Type]]="P",Games[[#This Row],[Round]]=1),IF(Games[[#This Row],[Result]]&gt;0.5,1,0),0)</f>
        <v>0</v>
      </c>
      <c r="AF425" s="2">
        <f>IF(AND(Games[[#This Row],[Type]]="P",Games[[#This Row],[Round]]=1),IF(Games[[#This Row],[Result]]&lt;0.5,1,0),0)</f>
        <v>0</v>
      </c>
      <c r="AG425" s="2">
        <f>IF(AND(Games[[#This Row],[Type]]="P",Games[[#This Row],[Round]]=2),IF(Games[[#This Row],[Result]]&gt;0.5,1,0),0)</f>
        <v>0</v>
      </c>
      <c r="AH425" s="2">
        <f>IF(AND(Games[[#This Row],[Type]]="P",Games[[#This Row],[Round]]=2),IF(Games[[#This Row],[Result]]&lt;0.5,1,0),0)</f>
        <v>0</v>
      </c>
      <c r="AI425" s="2">
        <f>IF(AND(Games[[#This Row],[Type]]="P",Games[[#This Row],[Round]]=3),IF(Games[[#This Row],[Result]]&gt;0.5,1,0),0)</f>
        <v>0</v>
      </c>
      <c r="AJ425" s="2">
        <f>IF(AND(Games[[#This Row],[Type]]="P",Games[[#This Row],[Round]]=3),IF(Games[[#This Row],[Result]]&lt;0.5,1,0),0)</f>
        <v>0</v>
      </c>
      <c r="AK425" s="2">
        <f>IF(AND(Games[[#This Row],[Type]]="P",Games[[#This Row],[Round]]=4),IF(Games[[#This Row],[Result]]&gt;0.5,1,0),0)</f>
        <v>0</v>
      </c>
      <c r="AL425" s="2">
        <f>IF(AND(Games[[#This Row],[Type]]="P",Games[[#This Row],[Round]]=4),IF(Games[[#This Row],[Result]]&lt;0.5,1,0),0)</f>
        <v>0</v>
      </c>
    </row>
    <row r="426" spans="1:38" x14ac:dyDescent="0.35">
      <c r="A426" s="10">
        <v>40422</v>
      </c>
      <c r="B426" s="2">
        <v>2010</v>
      </c>
      <c r="C426" s="2">
        <f>COUNTIFS(Games[Team],Games[[#This Row],[Team]],Games[Season],Games[[#This Row],[Season]],Games[Date],"&lt;=" &amp; Games[[#This Row],[Date]])</f>
        <v>37</v>
      </c>
      <c r="D426" s="2" t="s">
        <v>23</v>
      </c>
      <c r="E426" s="2" t="s">
        <v>29</v>
      </c>
      <c r="F426" s="1" t="s">
        <v>73</v>
      </c>
      <c r="G426" s="1" t="s">
        <v>64</v>
      </c>
      <c r="H426" s="1" t="s">
        <v>16</v>
      </c>
      <c r="I426" s="2" cm="1">
        <f t="array" ref="I426">IFERROR(
    Games[[#This Row],[Date]]
    - LOOKUP(
        2,
        1/((Games[Team]=Games[[#This Row],[Team]]) * (Games[Date] &lt; Games[[#This Row],[Date]])),
        Games[Date]
    )
    - 1,
Games[[#This Row],[Date]]-$A$2)</f>
        <v>2</v>
      </c>
      <c r="J426" s="2" cm="1">
        <f t="array" ref="J42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26" s="2">
        <f>Games[[#This Row],[DaysOff]]-Games[[#This Row],[OppDaysOff]]</f>
        <v>0</v>
      </c>
      <c r="L426" s="2">
        <f>Games[[#This Row],[OppDaysOff]]-Games[[#This Row],[DaysOff]]</f>
        <v>0</v>
      </c>
      <c r="M426" s="1">
        <f>MAX(-16, MIN(16, Games[[#This Row],[RestDiff]]*8))</f>
        <v>0</v>
      </c>
      <c r="N426" s="1">
        <f>MAX(-16, MIN(16, Games[[#This Row],[OppRestDiff]]*8))</f>
        <v>0</v>
      </c>
      <c r="O426" s="4" cm="1">
        <f t="array" ref="O4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1587.5364965634687</v>
      </c>
      <c r="P426" s="4" cm="1">
        <f t="array" ref="P4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1620.6644289382427</v>
      </c>
      <c r="Q426" s="4">
        <f>1/(1+10^(((Games[[#This Row],[OppPreGmRate]]+IF(Games[[#This Row],[HomeAway]]="A",HCA,0)+Games[[#This Row],[OppRestAdj]])-(Games[[#This Row],[PreGmRate]]+IF(Games[[#This Row],[HomeAway]]="H",HCA,0)+Games[[#This Row],[RestAdj]]))/400))</f>
        <v>0.33754750858168175</v>
      </c>
      <c r="R426" s="1">
        <v>74</v>
      </c>
      <c r="S426" s="1">
        <v>77</v>
      </c>
      <c r="T426" s="1">
        <v>0</v>
      </c>
      <c r="U426" s="1">
        <f>Games[[#This Row],[PointsFor]]-Games[[#This Row],[PointsAgainst]]</f>
        <v>-3</v>
      </c>
      <c r="V426" s="1">
        <f>IF(Games[[#This Row],[MOV]]&gt;0,1,IF(Games[[#This Row],[MOV]]=0,0.5,0))</f>
        <v>0</v>
      </c>
      <c r="W426" s="4">
        <f>((ABS(Games[[#This Row],[MOV]])+5)^0.6)/(12+0.01*(ABS(Games[[#This Row],[PreGmRate]]-Games[[#This Row],[OppPreGmRate]])))*IF(Games[[#This Row],[OT]]=1,0.9,1)</f>
        <v>0.28238775245958669</v>
      </c>
      <c r="X426" s="7" cm="1">
        <f t="array" ref="X4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6" s="9">
        <f>MAX(kmin, kmax - 0.15 * MIN(Games[[#This Row],[GamesPlayed]], 82))</f>
        <v>70.45</v>
      </c>
      <c r="Z426" s="4">
        <f>Games[[#This Row],[K]]*Games[[#This Row],[POMult]]</f>
        <v>70.45</v>
      </c>
      <c r="AA426" s="4">
        <f>(Games[[#This Row],[Keff]]*Games[[#This Row],[MOVMult]])*(Games[[#This Row],[Result]]-Games[[#This Row],[ExpectedWin%]])</f>
        <v>-6.7152434378035135</v>
      </c>
      <c r="AB426" s="4">
        <f>Games[[#This Row],[PreGmRate]]+Games[[#This Row],[RatingChange]]</f>
        <v>1580.8212531256652</v>
      </c>
      <c r="AC426" s="2">
        <f>IF(Games[[#This Row],[Type]]="R",IF(Games[[#This Row],[Result]]&gt;0.5,1,0),0)</f>
        <v>0</v>
      </c>
      <c r="AD426" s="2">
        <f>IF(Games[[#This Row],[Type]]="R",IF(Games[[#This Row],[Result]]&lt;0.5,1,0),0)</f>
        <v>1</v>
      </c>
      <c r="AE426" s="2">
        <f>IF(AND(Games[[#This Row],[Type]]="P",Games[[#This Row],[Round]]=1),IF(Games[[#This Row],[Result]]&gt;0.5,1,0),0)</f>
        <v>0</v>
      </c>
      <c r="AF426" s="2">
        <f>IF(AND(Games[[#This Row],[Type]]="P",Games[[#This Row],[Round]]=1),IF(Games[[#This Row],[Result]]&lt;0.5,1,0),0)</f>
        <v>0</v>
      </c>
      <c r="AG426" s="2">
        <f>IF(AND(Games[[#This Row],[Type]]="P",Games[[#This Row],[Round]]=2),IF(Games[[#This Row],[Result]]&gt;0.5,1,0),0)</f>
        <v>0</v>
      </c>
      <c r="AH426" s="2">
        <f>IF(AND(Games[[#This Row],[Type]]="P",Games[[#This Row],[Round]]=2),IF(Games[[#This Row],[Result]]&lt;0.5,1,0),0)</f>
        <v>0</v>
      </c>
      <c r="AI426" s="2">
        <f>IF(AND(Games[[#This Row],[Type]]="P",Games[[#This Row],[Round]]=3),IF(Games[[#This Row],[Result]]&gt;0.5,1,0),0)</f>
        <v>0</v>
      </c>
      <c r="AJ426" s="2">
        <f>IF(AND(Games[[#This Row],[Type]]="P",Games[[#This Row],[Round]]=3),IF(Games[[#This Row],[Result]]&lt;0.5,1,0),0)</f>
        <v>0</v>
      </c>
      <c r="AK426" s="2">
        <f>IF(AND(Games[[#This Row],[Type]]="P",Games[[#This Row],[Round]]=4),IF(Games[[#This Row],[Result]]&gt;0.5,1,0),0)</f>
        <v>0</v>
      </c>
      <c r="AL426" s="2">
        <f>IF(AND(Games[[#This Row],[Type]]="P",Games[[#This Row],[Round]]=4),IF(Games[[#This Row],[Result]]&lt;0.5,1,0),0)</f>
        <v>0</v>
      </c>
    </row>
    <row r="427" spans="1:38" x14ac:dyDescent="0.35">
      <c r="A427" s="10">
        <v>40422</v>
      </c>
      <c r="B427" s="2">
        <v>2010</v>
      </c>
      <c r="C427" s="2">
        <f>COUNTIFS(Games[Team],Games[[#This Row],[Team]],Games[Season],Games[[#This Row],[Season]],Games[Date],"&lt;=" &amp; Games[[#This Row],[Date]])</f>
        <v>37</v>
      </c>
      <c r="D427" s="2" t="s">
        <v>23</v>
      </c>
      <c r="E427" s="2" t="s">
        <v>29</v>
      </c>
      <c r="F427" s="1" t="s">
        <v>64</v>
      </c>
      <c r="G427" s="1" t="s">
        <v>73</v>
      </c>
      <c r="H427" s="1" t="s">
        <v>15</v>
      </c>
      <c r="I427" s="2" cm="1">
        <f t="array" ref="I427">IFERROR(
    Games[[#This Row],[Date]]
    - LOOKUP(
        2,
        1/((Games[Team]=Games[[#This Row],[Team]]) * (Games[Date] &lt; Games[[#This Row],[Date]])),
        Games[Date]
    )
    - 1,
Games[[#This Row],[Date]]-$A$2)</f>
        <v>2</v>
      </c>
      <c r="J427" s="2" cm="1">
        <f t="array" ref="J42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27" s="2">
        <f>Games[[#This Row],[DaysOff]]-Games[[#This Row],[OppDaysOff]]</f>
        <v>0</v>
      </c>
      <c r="L427" s="2">
        <f>Games[[#This Row],[OppDaysOff]]-Games[[#This Row],[DaysOff]]</f>
        <v>0</v>
      </c>
      <c r="M427" s="1">
        <f>MAX(-16, MIN(16, Games[[#This Row],[RestDiff]]*8))</f>
        <v>0</v>
      </c>
      <c r="N427" s="1">
        <f>MAX(-16, MIN(16, Games[[#This Row],[OppRestDiff]]*8))</f>
        <v>0</v>
      </c>
      <c r="O427" s="4" cm="1">
        <f t="array" ref="O4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1620.6644289382427</v>
      </c>
      <c r="P427" s="4" cm="1">
        <f t="array" ref="P4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1587.5364965634687</v>
      </c>
      <c r="Q427" s="4">
        <f>1/(1+10^(((Games[[#This Row],[OppPreGmRate]]+IF(Games[[#This Row],[HomeAway]]="A",HCA,0)+Games[[#This Row],[OppRestAdj]])-(Games[[#This Row],[PreGmRate]]+IF(Games[[#This Row],[HomeAway]]="H",HCA,0)+Games[[#This Row],[RestAdj]]))/400))</f>
        <v>0.6624524914183183</v>
      </c>
      <c r="R427" s="1">
        <v>77</v>
      </c>
      <c r="S427" s="1">
        <v>74</v>
      </c>
      <c r="T427" s="1">
        <v>0</v>
      </c>
      <c r="U427" s="1">
        <f>Games[[#This Row],[PointsFor]]-Games[[#This Row],[PointsAgainst]]</f>
        <v>3</v>
      </c>
      <c r="V427" s="1">
        <f>IF(Games[[#This Row],[MOV]]&gt;0,1,IF(Games[[#This Row],[MOV]]=0,0.5,0))</f>
        <v>1</v>
      </c>
      <c r="W427" s="4">
        <f>((ABS(Games[[#This Row],[MOV]])+5)^0.6)/(12+0.01*(ABS(Games[[#This Row],[PreGmRate]]-Games[[#This Row],[OppPreGmRate]])))*IF(Games[[#This Row],[OT]]=1,0.9,1)</f>
        <v>0.28238775245958669</v>
      </c>
      <c r="X427" s="7" cm="1">
        <f t="array" ref="X4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7" s="9">
        <f>MAX(kmin, kmax - 0.15 * MIN(Games[[#This Row],[GamesPlayed]], 82))</f>
        <v>70.45</v>
      </c>
      <c r="Z427" s="4">
        <f>Games[[#This Row],[K]]*Games[[#This Row],[POMult]]</f>
        <v>70.45</v>
      </c>
      <c r="AA427" s="4">
        <f>(Games[[#This Row],[Keff]]*Games[[#This Row],[MOVMult]])*(Games[[#This Row],[Result]]-Games[[#This Row],[ExpectedWin%]])</f>
        <v>6.7152434378035126</v>
      </c>
      <c r="AB427" s="4">
        <f>Games[[#This Row],[PreGmRate]]+Games[[#This Row],[RatingChange]]</f>
        <v>1627.3796723760463</v>
      </c>
      <c r="AC427" s="2">
        <f>IF(Games[[#This Row],[Type]]="R",IF(Games[[#This Row],[Result]]&gt;0.5,1,0),0)</f>
        <v>1</v>
      </c>
      <c r="AD427" s="2">
        <f>IF(Games[[#This Row],[Type]]="R",IF(Games[[#This Row],[Result]]&lt;0.5,1,0),0)</f>
        <v>0</v>
      </c>
      <c r="AE427" s="2">
        <f>IF(AND(Games[[#This Row],[Type]]="P",Games[[#This Row],[Round]]=1),IF(Games[[#This Row],[Result]]&gt;0.5,1,0),0)</f>
        <v>0</v>
      </c>
      <c r="AF427" s="2">
        <f>IF(AND(Games[[#This Row],[Type]]="P",Games[[#This Row],[Round]]=1),IF(Games[[#This Row],[Result]]&lt;0.5,1,0),0)</f>
        <v>0</v>
      </c>
      <c r="AG427" s="2">
        <f>IF(AND(Games[[#This Row],[Type]]="P",Games[[#This Row],[Round]]=2),IF(Games[[#This Row],[Result]]&gt;0.5,1,0),0)</f>
        <v>0</v>
      </c>
      <c r="AH427" s="2">
        <f>IF(AND(Games[[#This Row],[Type]]="P",Games[[#This Row],[Round]]=2),IF(Games[[#This Row],[Result]]&lt;0.5,1,0),0)</f>
        <v>0</v>
      </c>
      <c r="AI427" s="2">
        <f>IF(AND(Games[[#This Row],[Type]]="P",Games[[#This Row],[Round]]=3),IF(Games[[#This Row],[Result]]&gt;0.5,1,0),0)</f>
        <v>0</v>
      </c>
      <c r="AJ427" s="2">
        <f>IF(AND(Games[[#This Row],[Type]]="P",Games[[#This Row],[Round]]=3),IF(Games[[#This Row],[Result]]&lt;0.5,1,0),0)</f>
        <v>0</v>
      </c>
      <c r="AK427" s="2">
        <f>IF(AND(Games[[#This Row],[Type]]="P",Games[[#This Row],[Round]]=4),IF(Games[[#This Row],[Result]]&gt;0.5,1,0),0)</f>
        <v>0</v>
      </c>
      <c r="AL427" s="2">
        <f>IF(AND(Games[[#This Row],[Type]]="P",Games[[#This Row],[Round]]=4),IF(Games[[#This Row],[Result]]&lt;0.5,1,0),0)</f>
        <v>0</v>
      </c>
    </row>
    <row r="428" spans="1:38" x14ac:dyDescent="0.35">
      <c r="A428" s="10">
        <v>40423</v>
      </c>
      <c r="B428" s="2">
        <v>2010</v>
      </c>
      <c r="C428" s="2">
        <f>COUNTIFS(Games[Team],Games[[#This Row],[Team]],Games[Season],Games[[#This Row],[Season]],Games[Date],"&lt;=" &amp; Games[[#This Row],[Date]])</f>
        <v>37</v>
      </c>
      <c r="D428" s="2" t="s">
        <v>23</v>
      </c>
      <c r="E428" s="2" t="s">
        <v>29</v>
      </c>
      <c r="F428" s="1" t="s">
        <v>44</v>
      </c>
      <c r="G428" s="1" t="s">
        <v>75</v>
      </c>
      <c r="H428" s="1" t="s">
        <v>16</v>
      </c>
      <c r="I428" s="2" cm="1">
        <f t="array" ref="I428">IFERROR(
    Games[[#This Row],[Date]]
    - LOOKUP(
        2,
        1/((Games[Team]=Games[[#This Row],[Team]]) * (Games[Date] &lt; Games[[#This Row],[Date]])),
        Games[Date]
    )
    - 1,
Games[[#This Row],[Date]]-$A$2)</f>
        <v>4</v>
      </c>
      <c r="J428" s="2" cm="1">
        <f t="array" ref="J428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28" s="2">
        <f>Games[[#This Row],[DaysOff]]-Games[[#This Row],[OppDaysOff]]</f>
        <v>0</v>
      </c>
      <c r="L428" s="2">
        <f>Games[[#This Row],[OppDaysOff]]-Games[[#This Row],[DaysOff]]</f>
        <v>0</v>
      </c>
      <c r="M428" s="1">
        <f>MAX(-16, MIN(16, Games[[#This Row],[RestDiff]]*8))</f>
        <v>0</v>
      </c>
      <c r="N428" s="1">
        <f>MAX(-16, MIN(16, Games[[#This Row],[OppRestDiff]]*8))</f>
        <v>0</v>
      </c>
      <c r="O428" s="4" cm="1">
        <f t="array" ref="O4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1529.2561406421542</v>
      </c>
      <c r="P428" s="4" cm="1">
        <f t="array" ref="P4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1673.0299563735255</v>
      </c>
      <c r="Q428" s="4">
        <f>1/(1+10^(((Games[[#This Row],[OppPreGmRate]]+IF(Games[[#This Row],[HomeAway]]="A",HCA,0)+Games[[#This Row],[OppRestAdj]])-(Games[[#This Row],[PreGmRate]]+IF(Games[[#This Row],[HomeAway]]="H",HCA,0)+Games[[#This Row],[RestAdj]]))/400))</f>
        <v>0.21229087887162998</v>
      </c>
      <c r="R428" s="1">
        <v>74</v>
      </c>
      <c r="S428" s="1">
        <v>82</v>
      </c>
      <c r="T428" s="1">
        <v>0</v>
      </c>
      <c r="U428" s="1">
        <f>Games[[#This Row],[PointsFor]]-Games[[#This Row],[PointsAgainst]]</f>
        <v>-8</v>
      </c>
      <c r="V428" s="1">
        <f>IF(Games[[#This Row],[MOV]]&gt;0,1,IF(Games[[#This Row],[MOV]]=0,0.5,0))</f>
        <v>0</v>
      </c>
      <c r="W428" s="4">
        <f>((ABS(Games[[#This Row],[MOV]])+5)^0.6)/(12+0.01*(ABS(Games[[#This Row],[PreGmRate]]-Games[[#This Row],[OppPreGmRate]])))*IF(Games[[#This Row],[OT]]=1,0.9,1)</f>
        <v>0.34676865745444663</v>
      </c>
      <c r="X428" s="7" cm="1">
        <f t="array" ref="X4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8" s="9">
        <f>MAX(kmin, kmax - 0.15 * MIN(Games[[#This Row],[GamesPlayed]], 82))</f>
        <v>70.45</v>
      </c>
      <c r="Z428" s="4">
        <f>Games[[#This Row],[K]]*Games[[#This Row],[POMult]]</f>
        <v>70.45</v>
      </c>
      <c r="AA428" s="4">
        <f>(Games[[#This Row],[Keff]]*Games[[#This Row],[MOVMult]])*(Games[[#This Row],[Result]]-Games[[#This Row],[ExpectedWin%]])</f>
        <v>-5.1862347343050406</v>
      </c>
      <c r="AB428" s="4">
        <f>Games[[#This Row],[PreGmRate]]+Games[[#This Row],[RatingChange]]</f>
        <v>1524.069905907849</v>
      </c>
      <c r="AC428" s="2">
        <f>IF(Games[[#This Row],[Type]]="R",IF(Games[[#This Row],[Result]]&gt;0.5,1,0),0)</f>
        <v>0</v>
      </c>
      <c r="AD428" s="2">
        <f>IF(Games[[#This Row],[Type]]="R",IF(Games[[#This Row],[Result]]&lt;0.5,1,0),0)</f>
        <v>1</v>
      </c>
      <c r="AE428" s="2">
        <f>IF(AND(Games[[#This Row],[Type]]="P",Games[[#This Row],[Round]]=1),IF(Games[[#This Row],[Result]]&gt;0.5,1,0),0)</f>
        <v>0</v>
      </c>
      <c r="AF428" s="2">
        <f>IF(AND(Games[[#This Row],[Type]]="P",Games[[#This Row],[Round]]=1),IF(Games[[#This Row],[Result]]&lt;0.5,1,0),0)</f>
        <v>0</v>
      </c>
      <c r="AG428" s="2">
        <f>IF(AND(Games[[#This Row],[Type]]="P",Games[[#This Row],[Round]]=2),IF(Games[[#This Row],[Result]]&gt;0.5,1,0),0)</f>
        <v>0</v>
      </c>
      <c r="AH428" s="2">
        <f>IF(AND(Games[[#This Row],[Type]]="P",Games[[#This Row],[Round]]=2),IF(Games[[#This Row],[Result]]&lt;0.5,1,0),0)</f>
        <v>0</v>
      </c>
      <c r="AI428" s="2">
        <f>IF(AND(Games[[#This Row],[Type]]="P",Games[[#This Row],[Round]]=3),IF(Games[[#This Row],[Result]]&gt;0.5,1,0),0)</f>
        <v>0</v>
      </c>
      <c r="AJ428" s="2">
        <f>IF(AND(Games[[#This Row],[Type]]="P",Games[[#This Row],[Round]]=3),IF(Games[[#This Row],[Result]]&lt;0.5,1,0),0)</f>
        <v>0</v>
      </c>
      <c r="AK428" s="2">
        <f>IF(AND(Games[[#This Row],[Type]]="P",Games[[#This Row],[Round]]=4),IF(Games[[#This Row],[Result]]&gt;0.5,1,0),0)</f>
        <v>0</v>
      </c>
      <c r="AL428" s="2">
        <f>IF(AND(Games[[#This Row],[Type]]="P",Games[[#This Row],[Round]]=4),IF(Games[[#This Row],[Result]]&lt;0.5,1,0),0)</f>
        <v>0</v>
      </c>
    </row>
    <row r="429" spans="1:38" x14ac:dyDescent="0.35">
      <c r="A429" s="10">
        <v>40423</v>
      </c>
      <c r="B429" s="2">
        <v>2010</v>
      </c>
      <c r="C429" s="2">
        <f>COUNTIFS(Games[Team],Games[[#This Row],[Team]],Games[Season],Games[[#This Row],[Season]],Games[Date],"&lt;=" &amp; Games[[#This Row],[Date]])</f>
        <v>37</v>
      </c>
      <c r="D429" s="2" t="s">
        <v>23</v>
      </c>
      <c r="E429" s="2" t="s">
        <v>29</v>
      </c>
      <c r="F429" s="1" t="s">
        <v>75</v>
      </c>
      <c r="G429" s="1" t="s">
        <v>44</v>
      </c>
      <c r="H429" s="1" t="s">
        <v>15</v>
      </c>
      <c r="I429" s="2" cm="1">
        <f t="array" ref="I429">IFERROR(
    Games[[#This Row],[Date]]
    - LOOKUP(
        2,
        1/((Games[Team]=Games[[#This Row],[Team]]) * (Games[Date] &lt; Games[[#This Row],[Date]])),
        Games[Date]
    )
    - 1,
Games[[#This Row],[Date]]-$A$2)</f>
        <v>4</v>
      </c>
      <c r="J429" s="2" cm="1">
        <f t="array" ref="J429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29" s="2">
        <f>Games[[#This Row],[DaysOff]]-Games[[#This Row],[OppDaysOff]]</f>
        <v>0</v>
      </c>
      <c r="L429" s="2">
        <f>Games[[#This Row],[OppDaysOff]]-Games[[#This Row],[DaysOff]]</f>
        <v>0</v>
      </c>
      <c r="M429" s="1">
        <f>MAX(-16, MIN(16, Games[[#This Row],[RestDiff]]*8))</f>
        <v>0</v>
      </c>
      <c r="N429" s="1">
        <f>MAX(-16, MIN(16, Games[[#This Row],[OppRestDiff]]*8))</f>
        <v>0</v>
      </c>
      <c r="O429" s="4" cm="1">
        <f t="array" ref="O4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1673.0299563735255</v>
      </c>
      <c r="P429" s="4" cm="1">
        <f t="array" ref="P4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1529.2561406421542</v>
      </c>
      <c r="Q429" s="4">
        <f>1/(1+10^(((Games[[#This Row],[OppPreGmRate]]+IF(Games[[#This Row],[HomeAway]]="A",HCA,0)+Games[[#This Row],[OppRestAdj]])-(Games[[#This Row],[PreGmRate]]+IF(Games[[#This Row],[HomeAway]]="H",HCA,0)+Games[[#This Row],[RestAdj]]))/400))</f>
        <v>0.78770912112836999</v>
      </c>
      <c r="R429" s="1">
        <v>82</v>
      </c>
      <c r="S429" s="1">
        <v>74</v>
      </c>
      <c r="T429" s="1">
        <v>0</v>
      </c>
      <c r="U429" s="1">
        <f>Games[[#This Row],[PointsFor]]-Games[[#This Row],[PointsAgainst]]</f>
        <v>8</v>
      </c>
      <c r="V429" s="1">
        <f>IF(Games[[#This Row],[MOV]]&gt;0,1,IF(Games[[#This Row],[MOV]]=0,0.5,0))</f>
        <v>1</v>
      </c>
      <c r="W429" s="4">
        <f>((ABS(Games[[#This Row],[MOV]])+5)^0.6)/(12+0.01*(ABS(Games[[#This Row],[PreGmRate]]-Games[[#This Row],[OppPreGmRate]])))*IF(Games[[#This Row],[OT]]=1,0.9,1)</f>
        <v>0.34676865745444663</v>
      </c>
      <c r="X429" s="7" cm="1">
        <f t="array" ref="X4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9" s="9">
        <f>MAX(kmin, kmax - 0.15 * MIN(Games[[#This Row],[GamesPlayed]], 82))</f>
        <v>70.45</v>
      </c>
      <c r="Z429" s="4">
        <f>Games[[#This Row],[K]]*Games[[#This Row],[POMult]]</f>
        <v>70.45</v>
      </c>
      <c r="AA429" s="4">
        <f>(Games[[#This Row],[Keff]]*Games[[#This Row],[MOVMult]])*(Games[[#This Row],[Result]]-Games[[#This Row],[ExpectedWin%]])</f>
        <v>5.1862347343050406</v>
      </c>
      <c r="AB429" s="4">
        <f>Games[[#This Row],[PreGmRate]]+Games[[#This Row],[RatingChange]]</f>
        <v>1678.2161911078306</v>
      </c>
      <c r="AC429" s="2">
        <f>IF(Games[[#This Row],[Type]]="R",IF(Games[[#This Row],[Result]]&gt;0.5,1,0),0)</f>
        <v>1</v>
      </c>
      <c r="AD429" s="2">
        <f>IF(Games[[#This Row],[Type]]="R",IF(Games[[#This Row],[Result]]&lt;0.5,1,0),0)</f>
        <v>0</v>
      </c>
      <c r="AE429" s="2">
        <f>IF(AND(Games[[#This Row],[Type]]="P",Games[[#This Row],[Round]]=1),IF(Games[[#This Row],[Result]]&gt;0.5,1,0),0)</f>
        <v>0</v>
      </c>
      <c r="AF429" s="2">
        <f>IF(AND(Games[[#This Row],[Type]]="P",Games[[#This Row],[Round]]=1),IF(Games[[#This Row],[Result]]&lt;0.5,1,0),0)</f>
        <v>0</v>
      </c>
      <c r="AG429" s="2">
        <f>IF(AND(Games[[#This Row],[Type]]="P",Games[[#This Row],[Round]]=2),IF(Games[[#This Row],[Result]]&gt;0.5,1,0),0)</f>
        <v>0</v>
      </c>
      <c r="AH429" s="2">
        <f>IF(AND(Games[[#This Row],[Type]]="P",Games[[#This Row],[Round]]=2),IF(Games[[#This Row],[Result]]&lt;0.5,1,0),0)</f>
        <v>0</v>
      </c>
      <c r="AI429" s="2">
        <f>IF(AND(Games[[#This Row],[Type]]="P",Games[[#This Row],[Round]]=3),IF(Games[[#This Row],[Result]]&gt;0.5,1,0),0)</f>
        <v>0</v>
      </c>
      <c r="AJ429" s="2">
        <f>IF(AND(Games[[#This Row],[Type]]="P",Games[[#This Row],[Round]]=3),IF(Games[[#This Row],[Result]]&lt;0.5,1,0),0)</f>
        <v>0</v>
      </c>
      <c r="AK429" s="2">
        <f>IF(AND(Games[[#This Row],[Type]]="P",Games[[#This Row],[Round]]=4),IF(Games[[#This Row],[Result]]&gt;0.5,1,0),0)</f>
        <v>0</v>
      </c>
      <c r="AL429" s="2">
        <f>IF(AND(Games[[#This Row],[Type]]="P",Games[[#This Row],[Round]]=4),IF(Games[[#This Row],[Result]]&lt;0.5,1,0),0)</f>
        <v>0</v>
      </c>
    </row>
    <row r="430" spans="1:38" x14ac:dyDescent="0.35">
      <c r="A430" s="10">
        <v>40426</v>
      </c>
      <c r="B430" s="2">
        <v>2010</v>
      </c>
      <c r="C430" s="2">
        <f>COUNTIFS(Games[Team],Games[[#This Row],[Team]],Games[Season],Games[[#This Row],[Season]],Games[Date],"&lt;=" &amp; Games[[#This Row],[Date]])</f>
        <v>37</v>
      </c>
      <c r="D430" s="2" t="s">
        <v>23</v>
      </c>
      <c r="E430" s="2" t="s">
        <v>29</v>
      </c>
      <c r="F430" s="1" t="s">
        <v>83</v>
      </c>
      <c r="G430" s="1" t="s">
        <v>64</v>
      </c>
      <c r="H430" s="1" t="s">
        <v>16</v>
      </c>
      <c r="I430" s="2" cm="1">
        <f t="array" ref="I430">IFERROR(
    Games[[#This Row],[Date]]
    - LOOKUP(
        2,
        1/((Games[Team]=Games[[#This Row],[Team]]) * (Games[Date] &lt; Games[[#This Row],[Date]])),
        Games[Date]
    )
    - 1,
Games[[#This Row],[Date]]-$A$2)</f>
        <v>8</v>
      </c>
      <c r="J430" s="2" cm="1">
        <f t="array" ref="J43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30" s="2">
        <f>Games[[#This Row],[DaysOff]]-Games[[#This Row],[OppDaysOff]]</f>
        <v>5</v>
      </c>
      <c r="L430" s="2">
        <f>Games[[#This Row],[OppDaysOff]]-Games[[#This Row],[DaysOff]]</f>
        <v>-5</v>
      </c>
      <c r="M430" s="1">
        <f>MAX(-16, MIN(16, Games[[#This Row],[RestDiff]]*8))</f>
        <v>16</v>
      </c>
      <c r="N430" s="1">
        <f>MAX(-16, MIN(16, Games[[#This Row],[OppRestDiff]]*8))</f>
        <v>-16</v>
      </c>
      <c r="O430" s="4" cm="1">
        <f t="array" ref="O4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1558.9871072404221</v>
      </c>
      <c r="P430" s="4" cm="1">
        <f t="array" ref="P4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1627.3796723760463</v>
      </c>
      <c r="Q430" s="4">
        <f>1/(1+10^(((Games[[#This Row],[OppPreGmRate]]+IF(Games[[#This Row],[HomeAway]]="A",HCA,0)+Games[[#This Row],[OppRestAdj]])-(Games[[#This Row],[PreGmRate]]+IF(Games[[#This Row],[HomeAway]]="H",HCA,0)+Games[[#This Row],[RestAdj]]))/400))</f>
        <v>0.33335819292756236</v>
      </c>
      <c r="R430" s="1">
        <v>81</v>
      </c>
      <c r="S430" s="1">
        <v>75</v>
      </c>
      <c r="T430" s="1">
        <v>0</v>
      </c>
      <c r="U430" s="1">
        <f>Games[[#This Row],[PointsFor]]-Games[[#This Row],[PointsAgainst]]</f>
        <v>6</v>
      </c>
      <c r="V430" s="1">
        <f>IF(Games[[#This Row],[MOV]]&gt;0,1,IF(Games[[#This Row],[MOV]]=0,0.5,0))</f>
        <v>1</v>
      </c>
      <c r="W430" s="4">
        <f>((ABS(Games[[#This Row],[MOV]])+5)^0.6)/(12+0.01*(ABS(Games[[#This Row],[PreGmRate]]-Games[[#This Row],[OppPreGmRate]])))*IF(Games[[#This Row],[OT]]=1,0.9,1)</f>
        <v>0.33233947036272382</v>
      </c>
      <c r="X430" s="7" cm="1">
        <f t="array" ref="X4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0" s="9">
        <f>MAX(kmin, kmax - 0.15 * MIN(Games[[#This Row],[GamesPlayed]], 82))</f>
        <v>70.45</v>
      </c>
      <c r="Z430" s="4">
        <f>Games[[#This Row],[K]]*Games[[#This Row],[POMult]]</f>
        <v>70.45</v>
      </c>
      <c r="AA430" s="4">
        <f>(Games[[#This Row],[Keff]]*Games[[#This Row],[MOVMult]])*(Games[[#This Row],[Result]]-Games[[#This Row],[ExpectedWin%]])</f>
        <v>15.608295079175059</v>
      </c>
      <c r="AB430" s="4">
        <f>Games[[#This Row],[PreGmRate]]+Games[[#This Row],[RatingChange]]</f>
        <v>1574.5954023195973</v>
      </c>
      <c r="AC430" s="2">
        <f>IF(Games[[#This Row],[Type]]="R",IF(Games[[#This Row],[Result]]&gt;0.5,1,0),0)</f>
        <v>1</v>
      </c>
      <c r="AD430" s="2">
        <f>IF(Games[[#This Row],[Type]]="R",IF(Games[[#This Row],[Result]]&lt;0.5,1,0),0)</f>
        <v>0</v>
      </c>
      <c r="AE430" s="2">
        <f>IF(AND(Games[[#This Row],[Type]]="P",Games[[#This Row],[Round]]=1),IF(Games[[#This Row],[Result]]&gt;0.5,1,0),0)</f>
        <v>0</v>
      </c>
      <c r="AF430" s="2">
        <f>IF(AND(Games[[#This Row],[Type]]="P",Games[[#This Row],[Round]]=1),IF(Games[[#This Row],[Result]]&lt;0.5,1,0),0)</f>
        <v>0</v>
      </c>
      <c r="AG430" s="2">
        <f>IF(AND(Games[[#This Row],[Type]]="P",Games[[#This Row],[Round]]=2),IF(Games[[#This Row],[Result]]&gt;0.5,1,0),0)</f>
        <v>0</v>
      </c>
      <c r="AH430" s="2">
        <f>IF(AND(Games[[#This Row],[Type]]="P",Games[[#This Row],[Round]]=2),IF(Games[[#This Row],[Result]]&lt;0.5,1,0),0)</f>
        <v>0</v>
      </c>
      <c r="AI430" s="2">
        <f>IF(AND(Games[[#This Row],[Type]]="P",Games[[#This Row],[Round]]=3),IF(Games[[#This Row],[Result]]&gt;0.5,1,0),0)</f>
        <v>0</v>
      </c>
      <c r="AJ430" s="2">
        <f>IF(AND(Games[[#This Row],[Type]]="P",Games[[#This Row],[Round]]=3),IF(Games[[#This Row],[Result]]&lt;0.5,1,0),0)</f>
        <v>0</v>
      </c>
      <c r="AK430" s="2">
        <f>IF(AND(Games[[#This Row],[Type]]="P",Games[[#This Row],[Round]]=4),IF(Games[[#This Row],[Result]]&gt;0.5,1,0),0)</f>
        <v>0</v>
      </c>
      <c r="AL430" s="2">
        <f>IF(AND(Games[[#This Row],[Type]]="P",Games[[#This Row],[Round]]=4),IF(Games[[#This Row],[Result]]&lt;0.5,1,0),0)</f>
        <v>0</v>
      </c>
    </row>
    <row r="431" spans="1:38" x14ac:dyDescent="0.35">
      <c r="A431" s="10">
        <v>40426</v>
      </c>
      <c r="B431" s="2">
        <v>2010</v>
      </c>
      <c r="C431" s="2">
        <f>COUNTIFS(Games[Team],Games[[#This Row],[Team]],Games[Season],Games[[#This Row],[Season]],Games[Date],"&lt;=" &amp; Games[[#This Row],[Date]])</f>
        <v>38</v>
      </c>
      <c r="D431" s="2" t="s">
        <v>23</v>
      </c>
      <c r="E431" s="2" t="s">
        <v>29</v>
      </c>
      <c r="F431" s="1" t="s">
        <v>64</v>
      </c>
      <c r="G431" s="1" t="s">
        <v>83</v>
      </c>
      <c r="H431" s="1" t="s">
        <v>15</v>
      </c>
      <c r="I431" s="2" cm="1">
        <f t="array" ref="I431">IFERROR(
    Games[[#This Row],[Date]]
    - LOOKUP(
        2,
        1/((Games[Team]=Games[[#This Row],[Team]]) * (Games[Date] &lt; Games[[#This Row],[Date]])),
        Games[Date]
    )
    - 1,
Games[[#This Row],[Date]]-$A$2)</f>
        <v>3</v>
      </c>
      <c r="J431" s="2" cm="1">
        <f t="array" ref="J431">IFERROR(
    Games[[#This Row],[Date]]
    - LOOKUP(
        2,
        1/((Games[Opponent]=Games[[#This Row],[Opponent]]) * (Games[Date] &lt; Games[[#This Row],[Date]])),
        Games[Date]
    )
    - 1,
Games[[#This Row],[Date]]-$A$2)</f>
        <v>8</v>
      </c>
      <c r="K431" s="2">
        <f>Games[[#This Row],[DaysOff]]-Games[[#This Row],[OppDaysOff]]</f>
        <v>-5</v>
      </c>
      <c r="L431" s="2">
        <f>Games[[#This Row],[OppDaysOff]]-Games[[#This Row],[DaysOff]]</f>
        <v>5</v>
      </c>
      <c r="M431" s="1">
        <f>MAX(-16, MIN(16, Games[[#This Row],[RestDiff]]*8))</f>
        <v>-16</v>
      </c>
      <c r="N431" s="1">
        <f>MAX(-16, MIN(16, Games[[#This Row],[OppRestDiff]]*8))</f>
        <v>16</v>
      </c>
      <c r="O431" s="4" cm="1">
        <f t="array" ref="O4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1627.3796723760463</v>
      </c>
      <c r="P431" s="4" cm="1">
        <f t="array" ref="P4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1558.9871072404221</v>
      </c>
      <c r="Q431" s="4">
        <f>1/(1+10^(((Games[[#This Row],[OppPreGmRate]]+IF(Games[[#This Row],[HomeAway]]="A",HCA,0)+Games[[#This Row],[OppRestAdj]])-(Games[[#This Row],[PreGmRate]]+IF(Games[[#This Row],[HomeAway]]="H",HCA,0)+Games[[#This Row],[RestAdj]]))/400))</f>
        <v>0.66664180707243759</v>
      </c>
      <c r="R431" s="1">
        <v>75</v>
      </c>
      <c r="S431" s="1">
        <v>81</v>
      </c>
      <c r="T431" s="1">
        <v>0</v>
      </c>
      <c r="U431" s="1">
        <f>Games[[#This Row],[PointsFor]]-Games[[#This Row],[PointsAgainst]]</f>
        <v>-6</v>
      </c>
      <c r="V431" s="1">
        <f>IF(Games[[#This Row],[MOV]]&gt;0,1,IF(Games[[#This Row],[MOV]]=0,0.5,0))</f>
        <v>0</v>
      </c>
      <c r="W431" s="4">
        <f>((ABS(Games[[#This Row],[MOV]])+5)^0.6)/(12+0.01*(ABS(Games[[#This Row],[PreGmRate]]-Games[[#This Row],[OppPreGmRate]])))*IF(Games[[#This Row],[OT]]=1,0.9,1)</f>
        <v>0.33233947036272382</v>
      </c>
      <c r="X431" s="7" cm="1">
        <f t="array" ref="X4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1" s="9">
        <f>MAX(kmin, kmax - 0.15 * MIN(Games[[#This Row],[GamesPlayed]], 82))</f>
        <v>70.3</v>
      </c>
      <c r="Z431" s="4">
        <f>Games[[#This Row],[K]]*Games[[#This Row],[POMult]]</f>
        <v>70.3</v>
      </c>
      <c r="AA431" s="4">
        <f>(Games[[#This Row],[Keff]]*Games[[#This Row],[MOVMult]])*(Games[[#This Row],[Result]]-Games[[#This Row],[ExpectedWin%]])</f>
        <v>-15.575062371412441</v>
      </c>
      <c r="AB431" s="4">
        <f>Games[[#This Row],[PreGmRate]]+Games[[#This Row],[RatingChange]]</f>
        <v>1611.8046100046338</v>
      </c>
      <c r="AC431" s="2">
        <f>IF(Games[[#This Row],[Type]]="R",IF(Games[[#This Row],[Result]]&gt;0.5,1,0),0)</f>
        <v>0</v>
      </c>
      <c r="AD431" s="2">
        <f>IF(Games[[#This Row],[Type]]="R",IF(Games[[#This Row],[Result]]&lt;0.5,1,0),0)</f>
        <v>1</v>
      </c>
      <c r="AE431" s="2">
        <f>IF(AND(Games[[#This Row],[Type]]="P",Games[[#This Row],[Round]]=1),IF(Games[[#This Row],[Result]]&gt;0.5,1,0),0)</f>
        <v>0</v>
      </c>
      <c r="AF431" s="2">
        <f>IF(AND(Games[[#This Row],[Type]]="P",Games[[#This Row],[Round]]=1),IF(Games[[#This Row],[Result]]&lt;0.5,1,0),0)</f>
        <v>0</v>
      </c>
      <c r="AG431" s="2">
        <f>IF(AND(Games[[#This Row],[Type]]="P",Games[[#This Row],[Round]]=2),IF(Games[[#This Row],[Result]]&gt;0.5,1,0),0)</f>
        <v>0</v>
      </c>
      <c r="AH431" s="2">
        <f>IF(AND(Games[[#This Row],[Type]]="P",Games[[#This Row],[Round]]=2),IF(Games[[#This Row],[Result]]&lt;0.5,1,0),0)</f>
        <v>0</v>
      </c>
      <c r="AI431" s="2">
        <f>IF(AND(Games[[#This Row],[Type]]="P",Games[[#This Row],[Round]]=3),IF(Games[[#This Row],[Result]]&gt;0.5,1,0),0)</f>
        <v>0</v>
      </c>
      <c r="AJ431" s="2">
        <f>IF(AND(Games[[#This Row],[Type]]="P",Games[[#This Row],[Round]]=3),IF(Games[[#This Row],[Result]]&lt;0.5,1,0),0)</f>
        <v>0</v>
      </c>
      <c r="AK431" s="2">
        <f>IF(AND(Games[[#This Row],[Type]]="P",Games[[#This Row],[Round]]=4),IF(Games[[#This Row],[Result]]&gt;0.5,1,0),0)</f>
        <v>0</v>
      </c>
      <c r="AL431" s="2">
        <f>IF(AND(Games[[#This Row],[Type]]="P",Games[[#This Row],[Round]]=4),IF(Games[[#This Row],[Result]]&lt;0.5,1,0),0)</f>
        <v>0</v>
      </c>
    </row>
    <row r="432" spans="1:38" x14ac:dyDescent="0.35">
      <c r="A432" s="10">
        <v>40426</v>
      </c>
      <c r="B432" s="2">
        <v>2010</v>
      </c>
      <c r="C432" s="2">
        <f>COUNTIFS(Games[Team],Games[[#This Row],[Team]],Games[Season],Games[[#This Row],[Season]],Games[Date],"&lt;=" &amp; Games[[#This Row],[Date]])</f>
        <v>38</v>
      </c>
      <c r="D432" s="2" t="s">
        <v>23</v>
      </c>
      <c r="E432" s="2" t="s">
        <v>29</v>
      </c>
      <c r="F432" s="1" t="s">
        <v>75</v>
      </c>
      <c r="G432" s="1" t="s">
        <v>44</v>
      </c>
      <c r="H432" s="1" t="s">
        <v>16</v>
      </c>
      <c r="I432" s="2" cm="1">
        <f t="array" ref="I432">IFERROR(
    Games[[#This Row],[Date]]
    - LOOKUP(
        2,
        1/((Games[Team]=Games[[#This Row],[Team]]) * (Games[Date] &lt; Games[[#This Row],[Date]])),
        Games[Date]
    )
    - 1,
Games[[#This Row],[Date]]-$A$2)</f>
        <v>2</v>
      </c>
      <c r="J432" s="2" cm="1">
        <f t="array" ref="J43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32" s="2">
        <f>Games[[#This Row],[DaysOff]]-Games[[#This Row],[OppDaysOff]]</f>
        <v>0</v>
      </c>
      <c r="L432" s="2">
        <f>Games[[#This Row],[OppDaysOff]]-Games[[#This Row],[DaysOff]]</f>
        <v>0</v>
      </c>
      <c r="M432" s="1">
        <f>MAX(-16, MIN(16, Games[[#This Row],[RestDiff]]*8))</f>
        <v>0</v>
      </c>
      <c r="N432" s="1">
        <f>MAX(-16, MIN(16, Games[[#This Row],[OppRestDiff]]*8))</f>
        <v>0</v>
      </c>
      <c r="O432" s="4" cm="1">
        <f t="array" ref="O4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1678.2161911078306</v>
      </c>
      <c r="P432" s="4" cm="1">
        <f t="array" ref="P4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1524.069905907849</v>
      </c>
      <c r="Q432" s="4">
        <f>1/(1+10^(((Games[[#This Row],[OppPreGmRate]]+IF(Games[[#This Row],[HomeAway]]="A",HCA,0)+Games[[#This Row],[OppRestAdj]])-(Games[[#This Row],[PreGmRate]]+IF(Games[[#This Row],[HomeAway]]="H",HCA,0)+Games[[#This Row],[RestAdj]]))/400))</f>
        <v>0.5995989815301328</v>
      </c>
      <c r="R432" s="1">
        <v>91</v>
      </c>
      <c r="S432" s="1">
        <v>88</v>
      </c>
      <c r="T432" s="1">
        <v>0</v>
      </c>
      <c r="U432" s="1">
        <f>Games[[#This Row],[PointsFor]]-Games[[#This Row],[PointsAgainst]]</f>
        <v>3</v>
      </c>
      <c r="V432" s="1">
        <f>IF(Games[[#This Row],[MOV]]&gt;0,1,IF(Games[[#This Row],[MOV]]=0,0.5,0))</f>
        <v>1</v>
      </c>
      <c r="W432" s="4">
        <f>((ABS(Games[[#This Row],[MOV]])+5)^0.6)/(12+0.01*(ABS(Games[[#This Row],[PreGmRate]]-Games[[#This Row],[OppPreGmRate]])))*IF(Games[[#This Row],[OT]]=1,0.9,1)</f>
        <v>0.25715111367530291</v>
      </c>
      <c r="X432" s="7" cm="1">
        <f t="array" ref="X4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2" s="9">
        <f>MAX(kmin, kmax - 0.15 * MIN(Games[[#This Row],[GamesPlayed]], 82))</f>
        <v>70.3</v>
      </c>
      <c r="Z432" s="4">
        <f>Games[[#This Row],[K]]*Games[[#This Row],[POMult]]</f>
        <v>70.3</v>
      </c>
      <c r="AA432" s="4">
        <f>(Games[[#This Row],[Keff]]*Games[[#This Row],[MOVMult]])*(Games[[#This Row],[Result]]-Games[[#This Row],[ExpectedWin%]])</f>
        <v>7.2383388174825063</v>
      </c>
      <c r="AB432" s="4">
        <f>Games[[#This Row],[PreGmRate]]+Games[[#This Row],[RatingChange]]</f>
        <v>1685.4545299253132</v>
      </c>
      <c r="AC432" s="2">
        <f>IF(Games[[#This Row],[Type]]="R",IF(Games[[#This Row],[Result]]&gt;0.5,1,0),0)</f>
        <v>1</v>
      </c>
      <c r="AD432" s="2">
        <f>IF(Games[[#This Row],[Type]]="R",IF(Games[[#This Row],[Result]]&lt;0.5,1,0),0)</f>
        <v>0</v>
      </c>
      <c r="AE432" s="2">
        <f>IF(AND(Games[[#This Row],[Type]]="P",Games[[#This Row],[Round]]=1),IF(Games[[#This Row],[Result]]&gt;0.5,1,0),0)</f>
        <v>0</v>
      </c>
      <c r="AF432" s="2">
        <f>IF(AND(Games[[#This Row],[Type]]="P",Games[[#This Row],[Round]]=1),IF(Games[[#This Row],[Result]]&lt;0.5,1,0),0)</f>
        <v>0</v>
      </c>
      <c r="AG432" s="2">
        <f>IF(AND(Games[[#This Row],[Type]]="P",Games[[#This Row],[Round]]=2),IF(Games[[#This Row],[Result]]&gt;0.5,1,0),0)</f>
        <v>0</v>
      </c>
      <c r="AH432" s="2">
        <f>IF(AND(Games[[#This Row],[Type]]="P",Games[[#This Row],[Round]]=2),IF(Games[[#This Row],[Result]]&lt;0.5,1,0),0)</f>
        <v>0</v>
      </c>
      <c r="AI432" s="2">
        <f>IF(AND(Games[[#This Row],[Type]]="P",Games[[#This Row],[Round]]=3),IF(Games[[#This Row],[Result]]&gt;0.5,1,0),0)</f>
        <v>0</v>
      </c>
      <c r="AJ432" s="2">
        <f>IF(AND(Games[[#This Row],[Type]]="P",Games[[#This Row],[Round]]=3),IF(Games[[#This Row],[Result]]&lt;0.5,1,0),0)</f>
        <v>0</v>
      </c>
      <c r="AK432" s="2">
        <f>IF(AND(Games[[#This Row],[Type]]="P",Games[[#This Row],[Round]]=4),IF(Games[[#This Row],[Result]]&gt;0.5,1,0),0)</f>
        <v>0</v>
      </c>
      <c r="AL432" s="2">
        <f>IF(AND(Games[[#This Row],[Type]]="P",Games[[#This Row],[Round]]=4),IF(Games[[#This Row],[Result]]&lt;0.5,1,0),0)</f>
        <v>0</v>
      </c>
    </row>
    <row r="433" spans="1:38" x14ac:dyDescent="0.35">
      <c r="A433" s="10">
        <v>40426</v>
      </c>
      <c r="B433" s="2">
        <v>2010</v>
      </c>
      <c r="C433" s="2">
        <f>COUNTIFS(Games[Team],Games[[#This Row],[Team]],Games[Season],Games[[#This Row],[Season]],Games[Date],"&lt;=" &amp; Games[[#This Row],[Date]])</f>
        <v>38</v>
      </c>
      <c r="D433" s="2" t="s">
        <v>23</v>
      </c>
      <c r="E433" s="2" t="s">
        <v>29</v>
      </c>
      <c r="F433" s="1" t="s">
        <v>44</v>
      </c>
      <c r="G433" s="1" t="s">
        <v>75</v>
      </c>
      <c r="H433" s="1" t="s">
        <v>15</v>
      </c>
      <c r="I433" s="2" cm="1">
        <f t="array" ref="I433">IFERROR(
    Games[[#This Row],[Date]]
    - LOOKUP(
        2,
        1/((Games[Team]=Games[[#This Row],[Team]]) * (Games[Date] &lt; Games[[#This Row],[Date]])),
        Games[Date]
    )
    - 1,
Games[[#This Row],[Date]]-$A$2)</f>
        <v>2</v>
      </c>
      <c r="J433" s="2" cm="1">
        <f t="array" ref="J43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33" s="2">
        <f>Games[[#This Row],[DaysOff]]-Games[[#This Row],[OppDaysOff]]</f>
        <v>0</v>
      </c>
      <c r="L433" s="2">
        <f>Games[[#This Row],[OppDaysOff]]-Games[[#This Row],[DaysOff]]</f>
        <v>0</v>
      </c>
      <c r="M433" s="1">
        <f>MAX(-16, MIN(16, Games[[#This Row],[RestDiff]]*8))</f>
        <v>0</v>
      </c>
      <c r="N433" s="1">
        <f>MAX(-16, MIN(16, Games[[#This Row],[OppRestDiff]]*8))</f>
        <v>0</v>
      </c>
      <c r="O433" s="4" cm="1">
        <f t="array" ref="O4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1524.069905907849</v>
      </c>
      <c r="P433" s="4" cm="1">
        <f t="array" ref="P4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1678.2161911078306</v>
      </c>
      <c r="Q433" s="4">
        <f>1/(1+10^(((Games[[#This Row],[OppPreGmRate]]+IF(Games[[#This Row],[HomeAway]]="A",HCA,0)+Games[[#This Row],[OppRestAdj]])-(Games[[#This Row],[PreGmRate]]+IF(Games[[#This Row],[HomeAway]]="H",HCA,0)+Games[[#This Row],[RestAdj]]))/400))</f>
        <v>0.40040101846986714</v>
      </c>
      <c r="R433" s="1">
        <v>88</v>
      </c>
      <c r="S433" s="1">
        <v>91</v>
      </c>
      <c r="T433" s="1">
        <v>0</v>
      </c>
      <c r="U433" s="1">
        <f>Games[[#This Row],[PointsFor]]-Games[[#This Row],[PointsAgainst]]</f>
        <v>-3</v>
      </c>
      <c r="V433" s="1">
        <f>IF(Games[[#This Row],[MOV]]&gt;0,1,IF(Games[[#This Row],[MOV]]=0,0.5,0))</f>
        <v>0</v>
      </c>
      <c r="W433" s="4">
        <f>((ABS(Games[[#This Row],[MOV]])+5)^0.6)/(12+0.01*(ABS(Games[[#This Row],[PreGmRate]]-Games[[#This Row],[OppPreGmRate]])))*IF(Games[[#This Row],[OT]]=1,0.9,1)</f>
        <v>0.25715111367530291</v>
      </c>
      <c r="X433" s="7" cm="1">
        <f t="array" ref="X4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3" s="9">
        <f>MAX(kmin, kmax - 0.15 * MIN(Games[[#This Row],[GamesPlayed]], 82))</f>
        <v>70.3</v>
      </c>
      <c r="Z433" s="4">
        <f>Games[[#This Row],[K]]*Games[[#This Row],[POMult]]</f>
        <v>70.3</v>
      </c>
      <c r="AA433" s="4">
        <f>(Games[[#This Row],[Keff]]*Games[[#This Row],[MOVMult]])*(Games[[#This Row],[Result]]-Games[[#This Row],[ExpectedWin%]])</f>
        <v>-7.2383388174825054</v>
      </c>
      <c r="AB433" s="4">
        <f>Games[[#This Row],[PreGmRate]]+Games[[#This Row],[RatingChange]]</f>
        <v>1516.8315670903664</v>
      </c>
      <c r="AC433" s="2">
        <f>IF(Games[[#This Row],[Type]]="R",IF(Games[[#This Row],[Result]]&gt;0.5,1,0),0)</f>
        <v>0</v>
      </c>
      <c r="AD433" s="2">
        <f>IF(Games[[#This Row],[Type]]="R",IF(Games[[#This Row],[Result]]&lt;0.5,1,0),0)</f>
        <v>1</v>
      </c>
      <c r="AE433" s="2">
        <f>IF(AND(Games[[#This Row],[Type]]="P",Games[[#This Row],[Round]]=1),IF(Games[[#This Row],[Result]]&gt;0.5,1,0),0)</f>
        <v>0</v>
      </c>
      <c r="AF433" s="2">
        <f>IF(AND(Games[[#This Row],[Type]]="P",Games[[#This Row],[Round]]=1),IF(Games[[#This Row],[Result]]&lt;0.5,1,0),0)</f>
        <v>0</v>
      </c>
      <c r="AG433" s="2">
        <f>IF(AND(Games[[#This Row],[Type]]="P",Games[[#This Row],[Round]]=2),IF(Games[[#This Row],[Result]]&gt;0.5,1,0),0)</f>
        <v>0</v>
      </c>
      <c r="AH433" s="2">
        <f>IF(AND(Games[[#This Row],[Type]]="P",Games[[#This Row],[Round]]=2),IF(Games[[#This Row],[Result]]&lt;0.5,1,0),0)</f>
        <v>0</v>
      </c>
      <c r="AI433" s="2">
        <f>IF(AND(Games[[#This Row],[Type]]="P",Games[[#This Row],[Round]]=3),IF(Games[[#This Row],[Result]]&gt;0.5,1,0),0)</f>
        <v>0</v>
      </c>
      <c r="AJ433" s="2">
        <f>IF(AND(Games[[#This Row],[Type]]="P",Games[[#This Row],[Round]]=3),IF(Games[[#This Row],[Result]]&lt;0.5,1,0),0)</f>
        <v>0</v>
      </c>
      <c r="AK433" s="2">
        <f>IF(AND(Games[[#This Row],[Type]]="P",Games[[#This Row],[Round]]=4),IF(Games[[#This Row],[Result]]&gt;0.5,1,0),0)</f>
        <v>0</v>
      </c>
      <c r="AL433" s="2">
        <f>IF(AND(Games[[#This Row],[Type]]="P",Games[[#This Row],[Round]]=4),IF(Games[[#This Row],[Result]]&lt;0.5,1,0),0)</f>
        <v>0</v>
      </c>
    </row>
    <row r="434" spans="1:38" x14ac:dyDescent="0.35">
      <c r="A434" s="10">
        <v>40428</v>
      </c>
      <c r="B434" s="2">
        <v>2010</v>
      </c>
      <c r="C434" s="2">
        <f>COUNTIFS(Games[Team],Games[[#This Row],[Team]],Games[Season],Games[[#This Row],[Season]],Games[Date],"&lt;=" &amp; Games[[#This Row],[Date]])</f>
        <v>39</v>
      </c>
      <c r="D434" s="2" t="s">
        <v>23</v>
      </c>
      <c r="E434" s="2" t="s">
        <v>29</v>
      </c>
      <c r="F434" s="1" t="s">
        <v>64</v>
      </c>
      <c r="G434" s="1" t="s">
        <v>83</v>
      </c>
      <c r="H434" s="1" t="s">
        <v>16</v>
      </c>
      <c r="I434" s="2" cm="1">
        <f t="array" ref="I43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4" s="2" cm="1">
        <f t="array" ref="J43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4" s="2">
        <f>Games[[#This Row],[DaysOff]]-Games[[#This Row],[OppDaysOff]]</f>
        <v>0</v>
      </c>
      <c r="L434" s="2">
        <f>Games[[#This Row],[OppDaysOff]]-Games[[#This Row],[DaysOff]]</f>
        <v>0</v>
      </c>
      <c r="M434" s="1">
        <f>MAX(-16, MIN(16, Games[[#This Row],[RestDiff]]*8))</f>
        <v>0</v>
      </c>
      <c r="N434" s="1">
        <f>MAX(-16, MIN(16, Games[[#This Row],[OppRestDiff]]*8))</f>
        <v>0</v>
      </c>
      <c r="O434" s="4" cm="1">
        <f t="array" ref="O4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1611.8046100046338</v>
      </c>
      <c r="P434" s="4" cm="1">
        <f t="array" ref="P4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1574.5954023195973</v>
      </c>
      <c r="Q434" s="4">
        <f>1/(1+10^(((Games[[#This Row],[OppPreGmRate]]+IF(Games[[#This Row],[HomeAway]]="A",HCA,0)+Games[[#This Row],[OppRestAdj]])-(Games[[#This Row],[PreGmRate]]+IF(Games[[#This Row],[HomeAway]]="H",HCA,0)+Games[[#This Row],[RestAdj]]))/400))</f>
        <v>0.43306681054030272</v>
      </c>
      <c r="R434" s="1">
        <v>93</v>
      </c>
      <c r="S434" s="1">
        <v>105</v>
      </c>
      <c r="T434" s="1">
        <v>0</v>
      </c>
      <c r="U434" s="1">
        <f>Games[[#This Row],[PointsFor]]-Games[[#This Row],[PointsAgainst]]</f>
        <v>-12</v>
      </c>
      <c r="V434" s="1">
        <f>IF(Games[[#This Row],[MOV]]&gt;0,1,IF(Games[[#This Row],[MOV]]=0,0.5,0))</f>
        <v>0</v>
      </c>
      <c r="W434" s="4">
        <f>((ABS(Games[[#This Row],[MOV]])+5)^0.6)/(12+0.01*(ABS(Games[[#This Row],[PreGmRate]]-Games[[#This Row],[OppPreGmRate]])))*IF(Games[[#This Row],[OT]]=1,0.9,1)</f>
        <v>0.44241129817972735</v>
      </c>
      <c r="X434" s="7" cm="1">
        <f t="array" ref="X4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4" s="9">
        <f>MAX(kmin, kmax - 0.15 * MIN(Games[[#This Row],[GamesPlayed]], 82))</f>
        <v>70.150000000000006</v>
      </c>
      <c r="Z434" s="4">
        <f>Games[[#This Row],[K]]*Games[[#This Row],[POMult]]</f>
        <v>70.150000000000006</v>
      </c>
      <c r="AA434" s="4">
        <f>(Games[[#This Row],[Keff]]*Games[[#This Row],[MOVMult]])*(Games[[#This Row],[Result]]-Games[[#This Row],[ExpectedWin%]])</f>
        <v>-13.44029453695571</v>
      </c>
      <c r="AB434" s="4">
        <f>Games[[#This Row],[PreGmRate]]+Games[[#This Row],[RatingChange]]</f>
        <v>1598.3643154676781</v>
      </c>
      <c r="AC434" s="2">
        <f>IF(Games[[#This Row],[Type]]="R",IF(Games[[#This Row],[Result]]&gt;0.5,1,0),0)</f>
        <v>0</v>
      </c>
      <c r="AD434" s="2">
        <f>IF(Games[[#This Row],[Type]]="R",IF(Games[[#This Row],[Result]]&lt;0.5,1,0),0)</f>
        <v>1</v>
      </c>
      <c r="AE434" s="2">
        <f>IF(AND(Games[[#This Row],[Type]]="P",Games[[#This Row],[Round]]=1),IF(Games[[#This Row],[Result]]&gt;0.5,1,0),0)</f>
        <v>0</v>
      </c>
      <c r="AF434" s="2">
        <f>IF(AND(Games[[#This Row],[Type]]="P",Games[[#This Row],[Round]]=1),IF(Games[[#This Row],[Result]]&lt;0.5,1,0),0)</f>
        <v>0</v>
      </c>
      <c r="AG434" s="2">
        <f>IF(AND(Games[[#This Row],[Type]]="P",Games[[#This Row],[Round]]=2),IF(Games[[#This Row],[Result]]&gt;0.5,1,0),0)</f>
        <v>0</v>
      </c>
      <c r="AH434" s="2">
        <f>IF(AND(Games[[#This Row],[Type]]="P",Games[[#This Row],[Round]]=2),IF(Games[[#This Row],[Result]]&lt;0.5,1,0),0)</f>
        <v>0</v>
      </c>
      <c r="AI434" s="2">
        <f>IF(AND(Games[[#This Row],[Type]]="P",Games[[#This Row],[Round]]=3),IF(Games[[#This Row],[Result]]&gt;0.5,1,0),0)</f>
        <v>0</v>
      </c>
      <c r="AJ434" s="2">
        <f>IF(AND(Games[[#This Row],[Type]]="P",Games[[#This Row],[Round]]=3),IF(Games[[#This Row],[Result]]&lt;0.5,1,0),0)</f>
        <v>0</v>
      </c>
      <c r="AK434" s="2">
        <f>IF(AND(Games[[#This Row],[Type]]="P",Games[[#This Row],[Round]]=4),IF(Games[[#This Row],[Result]]&gt;0.5,1,0),0)</f>
        <v>0</v>
      </c>
      <c r="AL434" s="2">
        <f>IF(AND(Games[[#This Row],[Type]]="P",Games[[#This Row],[Round]]=4),IF(Games[[#This Row],[Result]]&lt;0.5,1,0),0)</f>
        <v>0</v>
      </c>
    </row>
    <row r="435" spans="1:38" x14ac:dyDescent="0.35">
      <c r="A435" s="10">
        <v>40428</v>
      </c>
      <c r="B435" s="2">
        <v>2010</v>
      </c>
      <c r="C435" s="2">
        <f>COUNTIFS(Games[Team],Games[[#This Row],[Team]],Games[Season],Games[[#This Row],[Season]],Games[Date],"&lt;=" &amp; Games[[#This Row],[Date]])</f>
        <v>38</v>
      </c>
      <c r="D435" s="2" t="s">
        <v>23</v>
      </c>
      <c r="E435" s="2" t="s">
        <v>29</v>
      </c>
      <c r="F435" s="1" t="s">
        <v>83</v>
      </c>
      <c r="G435" s="1" t="s">
        <v>64</v>
      </c>
      <c r="H435" s="1" t="s">
        <v>15</v>
      </c>
      <c r="I435" s="2" cm="1">
        <f t="array" ref="I435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5" s="2" cm="1">
        <f t="array" ref="J43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5" s="2">
        <f>Games[[#This Row],[DaysOff]]-Games[[#This Row],[OppDaysOff]]</f>
        <v>0</v>
      </c>
      <c r="L435" s="2">
        <f>Games[[#This Row],[OppDaysOff]]-Games[[#This Row],[DaysOff]]</f>
        <v>0</v>
      </c>
      <c r="M435" s="1">
        <f>MAX(-16, MIN(16, Games[[#This Row],[RestDiff]]*8))</f>
        <v>0</v>
      </c>
      <c r="N435" s="1">
        <f>MAX(-16, MIN(16, Games[[#This Row],[OppRestDiff]]*8))</f>
        <v>0</v>
      </c>
      <c r="O435" s="4" cm="1">
        <f t="array" ref="O4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1574.5954023195973</v>
      </c>
      <c r="P435" s="4" cm="1">
        <f t="array" ref="P4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1611.8046100046338</v>
      </c>
      <c r="Q435" s="4">
        <f>1/(1+10^(((Games[[#This Row],[OppPreGmRate]]+IF(Games[[#This Row],[HomeAway]]="A",HCA,0)+Games[[#This Row],[OppRestAdj]])-(Games[[#This Row],[PreGmRate]]+IF(Games[[#This Row],[HomeAway]]="H",HCA,0)+Games[[#This Row],[RestAdj]]))/400))</f>
        <v>0.56693318945969728</v>
      </c>
      <c r="R435" s="1">
        <v>105</v>
      </c>
      <c r="S435" s="1">
        <v>93</v>
      </c>
      <c r="T435" s="1">
        <v>0</v>
      </c>
      <c r="U435" s="1">
        <f>Games[[#This Row],[PointsFor]]-Games[[#This Row],[PointsAgainst]]</f>
        <v>12</v>
      </c>
      <c r="V435" s="1">
        <f>IF(Games[[#This Row],[MOV]]&gt;0,1,IF(Games[[#This Row],[MOV]]=0,0.5,0))</f>
        <v>1</v>
      </c>
      <c r="W435" s="4">
        <f>((ABS(Games[[#This Row],[MOV]])+5)^0.6)/(12+0.01*(ABS(Games[[#This Row],[PreGmRate]]-Games[[#This Row],[OppPreGmRate]])))*IF(Games[[#This Row],[OT]]=1,0.9,1)</f>
        <v>0.44241129817972735</v>
      </c>
      <c r="X435" s="7" cm="1">
        <f t="array" ref="X4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5" s="9">
        <f>MAX(kmin, kmax - 0.15 * MIN(Games[[#This Row],[GamesPlayed]], 82))</f>
        <v>70.3</v>
      </c>
      <c r="Z435" s="4">
        <f>Games[[#This Row],[K]]*Games[[#This Row],[POMult]]</f>
        <v>70.3</v>
      </c>
      <c r="AA435" s="4">
        <f>(Games[[#This Row],[Keff]]*Games[[#This Row],[MOVMult]])*(Games[[#This Row],[Result]]-Games[[#This Row],[ExpectedWin%]])</f>
        <v>13.469033584433161</v>
      </c>
      <c r="AB435" s="4">
        <f>Games[[#This Row],[PreGmRate]]+Games[[#This Row],[RatingChange]]</f>
        <v>1588.0644359040305</v>
      </c>
      <c r="AC435" s="2">
        <f>IF(Games[[#This Row],[Type]]="R",IF(Games[[#This Row],[Result]]&gt;0.5,1,0),0)</f>
        <v>1</v>
      </c>
      <c r="AD435" s="2">
        <f>IF(Games[[#This Row],[Type]]="R",IF(Games[[#This Row],[Result]]&lt;0.5,1,0),0)</f>
        <v>0</v>
      </c>
      <c r="AE435" s="2">
        <f>IF(AND(Games[[#This Row],[Type]]="P",Games[[#This Row],[Round]]=1),IF(Games[[#This Row],[Result]]&gt;0.5,1,0),0)</f>
        <v>0</v>
      </c>
      <c r="AF435" s="2">
        <f>IF(AND(Games[[#This Row],[Type]]="P",Games[[#This Row],[Round]]=1),IF(Games[[#This Row],[Result]]&lt;0.5,1,0),0)</f>
        <v>0</v>
      </c>
      <c r="AG435" s="2">
        <f>IF(AND(Games[[#This Row],[Type]]="P",Games[[#This Row],[Round]]=2),IF(Games[[#This Row],[Result]]&gt;0.5,1,0),0)</f>
        <v>0</v>
      </c>
      <c r="AH435" s="2">
        <f>IF(AND(Games[[#This Row],[Type]]="P",Games[[#This Row],[Round]]=2),IF(Games[[#This Row],[Result]]&lt;0.5,1,0),0)</f>
        <v>0</v>
      </c>
      <c r="AI435" s="2">
        <f>IF(AND(Games[[#This Row],[Type]]="P",Games[[#This Row],[Round]]=3),IF(Games[[#This Row],[Result]]&gt;0.5,1,0),0)</f>
        <v>0</v>
      </c>
      <c r="AJ435" s="2">
        <f>IF(AND(Games[[#This Row],[Type]]="P",Games[[#This Row],[Round]]=3),IF(Games[[#This Row],[Result]]&lt;0.5,1,0),0)</f>
        <v>0</v>
      </c>
      <c r="AK435" s="2">
        <f>IF(AND(Games[[#This Row],[Type]]="P",Games[[#This Row],[Round]]=4),IF(Games[[#This Row],[Result]]&gt;0.5,1,0),0)</f>
        <v>0</v>
      </c>
      <c r="AL435" s="2">
        <f>IF(AND(Games[[#This Row],[Type]]="P",Games[[#This Row],[Round]]=4),IF(Games[[#This Row],[Result]]&lt;0.5,1,0),0)</f>
        <v>0</v>
      </c>
    </row>
    <row r="436" spans="1:38" x14ac:dyDescent="0.35">
      <c r="A436" s="10">
        <v>40433</v>
      </c>
      <c r="B436" s="2">
        <v>2010</v>
      </c>
      <c r="C436" s="2">
        <f>COUNTIFS(Games[Team],Games[[#This Row],[Team]],Games[Season],Games[[#This Row],[Season]],Games[Date],"&lt;=" &amp; Games[[#This Row],[Date]])</f>
        <v>39</v>
      </c>
      <c r="D436" s="2" t="s">
        <v>23</v>
      </c>
      <c r="E436" s="2" t="s">
        <v>29</v>
      </c>
      <c r="F436" s="1" t="s">
        <v>83</v>
      </c>
      <c r="G436" s="1" t="s">
        <v>75</v>
      </c>
      <c r="H436" s="1" t="s">
        <v>16</v>
      </c>
      <c r="I436" s="2" cm="1">
        <f t="array" ref="I436">IFERROR(
    Games[[#This Row],[Date]]
    - LOOKUP(
        2,
        1/((Games[Team]=Games[[#This Row],[Team]]) * (Games[Date] &lt; Games[[#This Row],[Date]])),
        Games[Date]
    )
    - 1,
Games[[#This Row],[Date]]-$A$2)</f>
        <v>4</v>
      </c>
      <c r="J436" s="2" cm="1">
        <f t="array" ref="J436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436" s="2">
        <f>Games[[#This Row],[DaysOff]]-Games[[#This Row],[OppDaysOff]]</f>
        <v>-2</v>
      </c>
      <c r="L436" s="2">
        <f>Games[[#This Row],[OppDaysOff]]-Games[[#This Row],[DaysOff]]</f>
        <v>2</v>
      </c>
      <c r="M436" s="1">
        <f>MAX(-16, MIN(16, Games[[#This Row],[RestDiff]]*8))</f>
        <v>-16</v>
      </c>
      <c r="N436" s="1">
        <f>MAX(-16, MIN(16, Games[[#This Row],[OppRestDiff]]*8))</f>
        <v>16</v>
      </c>
      <c r="O436" s="4" cm="1">
        <f t="array" ref="O4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1588.0644359040305</v>
      </c>
      <c r="P436" s="4" cm="1">
        <f t="array" ref="P4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1685.4545299253132</v>
      </c>
      <c r="Q436" s="4">
        <f>1/(1+10^(((Games[[#This Row],[OppPreGmRate]]+IF(Games[[#This Row],[HomeAway]]="A",HCA,0)+Games[[#This Row],[OppRestAdj]])-(Games[[#This Row],[PreGmRate]]+IF(Games[[#This Row],[HomeAway]]="H",HCA,0)+Games[[#This Row],[RestAdj]]))/400))</f>
        <v>0.22646646914691052</v>
      </c>
      <c r="R436" s="1">
        <v>77</v>
      </c>
      <c r="S436" s="1">
        <v>79</v>
      </c>
      <c r="T436" s="1">
        <v>0</v>
      </c>
      <c r="U436" s="1">
        <f>Games[[#This Row],[PointsFor]]-Games[[#This Row],[PointsAgainst]]</f>
        <v>-2</v>
      </c>
      <c r="V436" s="1">
        <f>IF(Games[[#This Row],[MOV]]&gt;0,1,IF(Games[[#This Row],[MOV]]=0,0.5,0))</f>
        <v>0</v>
      </c>
      <c r="W436" s="4">
        <f>((ABS(Games[[#This Row],[MOV]])+5)^0.6)/(12+0.01*(ABS(Games[[#This Row],[PreGmRate]]-Games[[#This Row],[OppPreGmRate]])))*IF(Games[[#This Row],[OT]]=1,0.9,1)</f>
        <v>0.24773550102836792</v>
      </c>
      <c r="X436" s="7" cm="1">
        <f t="array" ref="X4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6" s="9">
        <f>MAX(kmin, kmax - 0.15 * MIN(Games[[#This Row],[GamesPlayed]], 82))</f>
        <v>70.150000000000006</v>
      </c>
      <c r="Z436" s="4">
        <f>Games[[#This Row],[K]]*Games[[#This Row],[POMult]]</f>
        <v>70.150000000000006</v>
      </c>
      <c r="AA436" s="4">
        <f>(Games[[#This Row],[Keff]]*Games[[#This Row],[MOVMult]])*(Games[[#This Row],[Result]]-Games[[#This Row],[ExpectedWin%]])</f>
        <v>-3.9356804616465069</v>
      </c>
      <c r="AB436" s="4">
        <f>Games[[#This Row],[PreGmRate]]+Games[[#This Row],[RatingChange]]</f>
        <v>1584.1287554423839</v>
      </c>
      <c r="AC436" s="2">
        <f>IF(Games[[#This Row],[Type]]="R",IF(Games[[#This Row],[Result]]&gt;0.5,1,0),0)</f>
        <v>0</v>
      </c>
      <c r="AD436" s="2">
        <f>IF(Games[[#This Row],[Type]]="R",IF(Games[[#This Row],[Result]]&lt;0.5,1,0),0)</f>
        <v>1</v>
      </c>
      <c r="AE436" s="2">
        <f>IF(AND(Games[[#This Row],[Type]]="P",Games[[#This Row],[Round]]=1),IF(Games[[#This Row],[Result]]&gt;0.5,1,0),0)</f>
        <v>0</v>
      </c>
      <c r="AF436" s="2">
        <f>IF(AND(Games[[#This Row],[Type]]="P",Games[[#This Row],[Round]]=1),IF(Games[[#This Row],[Result]]&lt;0.5,1,0),0)</f>
        <v>0</v>
      </c>
      <c r="AG436" s="2">
        <f>IF(AND(Games[[#This Row],[Type]]="P",Games[[#This Row],[Round]]=2),IF(Games[[#This Row],[Result]]&gt;0.5,1,0),0)</f>
        <v>0</v>
      </c>
      <c r="AH436" s="2">
        <f>IF(AND(Games[[#This Row],[Type]]="P",Games[[#This Row],[Round]]=2),IF(Games[[#This Row],[Result]]&lt;0.5,1,0),0)</f>
        <v>0</v>
      </c>
      <c r="AI436" s="2">
        <f>IF(AND(Games[[#This Row],[Type]]="P",Games[[#This Row],[Round]]=3),IF(Games[[#This Row],[Result]]&gt;0.5,1,0),0)</f>
        <v>0</v>
      </c>
      <c r="AJ436" s="2">
        <f>IF(AND(Games[[#This Row],[Type]]="P",Games[[#This Row],[Round]]=3),IF(Games[[#This Row],[Result]]&lt;0.5,1,0),0)</f>
        <v>0</v>
      </c>
      <c r="AK436" s="2">
        <f>IF(AND(Games[[#This Row],[Type]]="P",Games[[#This Row],[Round]]=4),IF(Games[[#This Row],[Result]]&gt;0.5,1,0),0)</f>
        <v>0</v>
      </c>
      <c r="AL436" s="2">
        <f>IF(AND(Games[[#This Row],[Type]]="P",Games[[#This Row],[Round]]=4),IF(Games[[#This Row],[Result]]&lt;0.5,1,0),0)</f>
        <v>0</v>
      </c>
    </row>
    <row r="437" spans="1:38" x14ac:dyDescent="0.35">
      <c r="A437" s="10">
        <v>40433</v>
      </c>
      <c r="B437" s="2">
        <v>2010</v>
      </c>
      <c r="C437" s="2">
        <f>COUNTIFS(Games[Team],Games[[#This Row],[Team]],Games[Season],Games[[#This Row],[Season]],Games[Date],"&lt;=" &amp; Games[[#This Row],[Date]])</f>
        <v>39</v>
      </c>
      <c r="D437" s="2" t="s">
        <v>23</v>
      </c>
      <c r="E437" s="2" t="s">
        <v>29</v>
      </c>
      <c r="F437" s="1" t="s">
        <v>75</v>
      </c>
      <c r="G437" s="1" t="s">
        <v>83</v>
      </c>
      <c r="H437" s="1" t="s">
        <v>15</v>
      </c>
      <c r="I437" s="2" cm="1">
        <f t="array" ref="I437">IFERROR(
    Games[[#This Row],[Date]]
    - LOOKUP(
        2,
        1/((Games[Team]=Games[[#This Row],[Team]]) * (Games[Date] &lt; Games[[#This Row],[Date]])),
        Games[Date]
    )
    - 1,
Games[[#This Row],[Date]]-$A$2)</f>
        <v>6</v>
      </c>
      <c r="J437" s="2" cm="1">
        <f t="array" ref="J437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37" s="2">
        <f>Games[[#This Row],[DaysOff]]-Games[[#This Row],[OppDaysOff]]</f>
        <v>2</v>
      </c>
      <c r="L437" s="2">
        <f>Games[[#This Row],[OppDaysOff]]-Games[[#This Row],[DaysOff]]</f>
        <v>-2</v>
      </c>
      <c r="M437" s="1">
        <f>MAX(-16, MIN(16, Games[[#This Row],[RestDiff]]*8))</f>
        <v>16</v>
      </c>
      <c r="N437" s="1">
        <f>MAX(-16, MIN(16, Games[[#This Row],[OppRestDiff]]*8))</f>
        <v>-16</v>
      </c>
      <c r="O437" s="4" cm="1">
        <f t="array" ref="O4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1685.4545299253132</v>
      </c>
      <c r="P437" s="4" cm="1">
        <f t="array" ref="P4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1588.0644359040305</v>
      </c>
      <c r="Q437" s="4">
        <f>1/(1+10^(((Games[[#This Row],[OppPreGmRate]]+IF(Games[[#This Row],[HomeAway]]="A",HCA,0)+Games[[#This Row],[OppRestAdj]])-(Games[[#This Row],[PreGmRate]]+IF(Games[[#This Row],[HomeAway]]="H",HCA,0)+Games[[#This Row],[RestAdj]]))/400))</f>
        <v>0.77353353085308951</v>
      </c>
      <c r="R437" s="1">
        <v>79</v>
      </c>
      <c r="S437" s="1">
        <v>77</v>
      </c>
      <c r="T437" s="1">
        <v>0</v>
      </c>
      <c r="U437" s="1">
        <f>Games[[#This Row],[PointsFor]]-Games[[#This Row],[PointsAgainst]]</f>
        <v>2</v>
      </c>
      <c r="V437" s="1">
        <f>IF(Games[[#This Row],[MOV]]&gt;0,1,IF(Games[[#This Row],[MOV]]=0,0.5,0))</f>
        <v>1</v>
      </c>
      <c r="W437" s="4">
        <f>((ABS(Games[[#This Row],[MOV]])+5)^0.6)/(12+0.01*(ABS(Games[[#This Row],[PreGmRate]]-Games[[#This Row],[OppPreGmRate]])))*IF(Games[[#This Row],[OT]]=1,0.9,1)</f>
        <v>0.24773550102836792</v>
      </c>
      <c r="X437" s="7" cm="1">
        <f t="array" ref="X4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7" s="9">
        <f>MAX(kmin, kmax - 0.15 * MIN(Games[[#This Row],[GamesPlayed]], 82))</f>
        <v>70.150000000000006</v>
      </c>
      <c r="Z437" s="4">
        <f>Games[[#This Row],[K]]*Games[[#This Row],[POMult]]</f>
        <v>70.150000000000006</v>
      </c>
      <c r="AA437" s="4">
        <f>(Games[[#This Row],[Keff]]*Games[[#This Row],[MOVMult]])*(Games[[#This Row],[Result]]-Games[[#This Row],[ExpectedWin%]])</f>
        <v>3.9356804616465064</v>
      </c>
      <c r="AB437" s="4">
        <f>Games[[#This Row],[PreGmRate]]+Games[[#This Row],[RatingChange]]</f>
        <v>1689.3902103869598</v>
      </c>
      <c r="AC437" s="2">
        <f>IF(Games[[#This Row],[Type]]="R",IF(Games[[#This Row],[Result]]&gt;0.5,1,0),0)</f>
        <v>1</v>
      </c>
      <c r="AD437" s="2">
        <f>IF(Games[[#This Row],[Type]]="R",IF(Games[[#This Row],[Result]]&lt;0.5,1,0),0)</f>
        <v>0</v>
      </c>
      <c r="AE437" s="2">
        <f>IF(AND(Games[[#This Row],[Type]]="P",Games[[#This Row],[Round]]=1),IF(Games[[#This Row],[Result]]&gt;0.5,1,0),0)</f>
        <v>0</v>
      </c>
      <c r="AF437" s="2">
        <f>IF(AND(Games[[#This Row],[Type]]="P",Games[[#This Row],[Round]]=1),IF(Games[[#This Row],[Result]]&lt;0.5,1,0),0)</f>
        <v>0</v>
      </c>
      <c r="AG437" s="2">
        <f>IF(AND(Games[[#This Row],[Type]]="P",Games[[#This Row],[Round]]=2),IF(Games[[#This Row],[Result]]&gt;0.5,1,0),0)</f>
        <v>0</v>
      </c>
      <c r="AH437" s="2">
        <f>IF(AND(Games[[#This Row],[Type]]="P",Games[[#This Row],[Round]]=2),IF(Games[[#This Row],[Result]]&lt;0.5,1,0),0)</f>
        <v>0</v>
      </c>
      <c r="AI437" s="2">
        <f>IF(AND(Games[[#This Row],[Type]]="P",Games[[#This Row],[Round]]=3),IF(Games[[#This Row],[Result]]&gt;0.5,1,0),0)</f>
        <v>0</v>
      </c>
      <c r="AJ437" s="2">
        <f>IF(AND(Games[[#This Row],[Type]]="P",Games[[#This Row],[Round]]=3),IF(Games[[#This Row],[Result]]&lt;0.5,1,0),0)</f>
        <v>0</v>
      </c>
      <c r="AK437" s="2">
        <f>IF(AND(Games[[#This Row],[Type]]="P",Games[[#This Row],[Round]]=4),IF(Games[[#This Row],[Result]]&gt;0.5,1,0),0)</f>
        <v>0</v>
      </c>
      <c r="AL437" s="2">
        <f>IF(AND(Games[[#This Row],[Type]]="P",Games[[#This Row],[Round]]=4),IF(Games[[#This Row],[Result]]&lt;0.5,1,0),0)</f>
        <v>0</v>
      </c>
    </row>
    <row r="438" spans="1:38" x14ac:dyDescent="0.35">
      <c r="A438" s="10">
        <v>40435</v>
      </c>
      <c r="B438" s="2">
        <v>2010</v>
      </c>
      <c r="C438" s="2">
        <f>COUNTIFS(Games[Team],Games[[#This Row],[Team]],Games[Season],Games[[#This Row],[Season]],Games[Date],"&lt;=" &amp; Games[[#This Row],[Date]])</f>
        <v>40</v>
      </c>
      <c r="D438" s="2" t="s">
        <v>23</v>
      </c>
      <c r="E438" s="2" t="s">
        <v>29</v>
      </c>
      <c r="F438" s="1" t="s">
        <v>83</v>
      </c>
      <c r="G438" s="1" t="s">
        <v>75</v>
      </c>
      <c r="H438" s="1" t="s">
        <v>16</v>
      </c>
      <c r="I438" s="2" cm="1">
        <f t="array" ref="I438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8" s="2" cm="1">
        <f t="array" ref="J43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8" s="2">
        <f>Games[[#This Row],[DaysOff]]-Games[[#This Row],[OppDaysOff]]</f>
        <v>0</v>
      </c>
      <c r="L438" s="2">
        <f>Games[[#This Row],[OppDaysOff]]-Games[[#This Row],[DaysOff]]</f>
        <v>0</v>
      </c>
      <c r="M438" s="1">
        <f>MAX(-16, MIN(16, Games[[#This Row],[RestDiff]]*8))</f>
        <v>0</v>
      </c>
      <c r="N438" s="1">
        <f>MAX(-16, MIN(16, Games[[#This Row],[OppRestDiff]]*8))</f>
        <v>0</v>
      </c>
      <c r="O438" s="4" cm="1">
        <f t="array" ref="O4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1584.1287554423839</v>
      </c>
      <c r="P438" s="4" cm="1">
        <f t="array" ref="P4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1689.3902103869598</v>
      </c>
      <c r="Q438" s="4">
        <f>1/(1+10^(((Games[[#This Row],[OppPreGmRate]]+IF(Games[[#This Row],[HomeAway]]="A",HCA,0)+Games[[#This Row],[OppRestAdj]])-(Games[[#This Row],[PreGmRate]]+IF(Games[[#This Row],[HomeAway]]="H",HCA,0)+Games[[#This Row],[RestAdj]]))/400))</f>
        <v>0.25171686739755322</v>
      </c>
      <c r="R438" s="1">
        <v>84</v>
      </c>
      <c r="S438" s="1">
        <v>87</v>
      </c>
      <c r="T438" s="1">
        <v>0</v>
      </c>
      <c r="U438" s="1">
        <f>Games[[#This Row],[PointsFor]]-Games[[#This Row],[PointsAgainst]]</f>
        <v>-3</v>
      </c>
      <c r="V438" s="1">
        <f>IF(Games[[#This Row],[MOV]]&gt;0,1,IF(Games[[#This Row],[MOV]]=0,0.5,0))</f>
        <v>0</v>
      </c>
      <c r="W438" s="4">
        <f>((ABS(Games[[#This Row],[MOV]])+5)^0.6)/(12+0.01*(ABS(Games[[#This Row],[PreGmRate]]-Games[[#This Row],[OppPreGmRate]])))*IF(Games[[#This Row],[OT]]=1,0.9,1)</f>
        <v>0.2667819723008949</v>
      </c>
      <c r="X438" s="7" cm="1">
        <f t="array" ref="X4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8" s="9">
        <f>MAX(kmin, kmax - 0.15 * MIN(Games[[#This Row],[GamesPlayed]], 82))</f>
        <v>70</v>
      </c>
      <c r="Z438" s="4">
        <f>Games[[#This Row],[K]]*Games[[#This Row],[POMult]]</f>
        <v>70</v>
      </c>
      <c r="AA438" s="4">
        <f>(Games[[#This Row],[Keff]]*Games[[#This Row],[MOVMult]])*(Games[[#This Row],[Result]]-Games[[#This Row],[ExpectedWin%]])</f>
        <v>-4.7007465642005455</v>
      </c>
      <c r="AB438" s="4">
        <f>Games[[#This Row],[PreGmRate]]+Games[[#This Row],[RatingChange]]</f>
        <v>1579.4280088781834</v>
      </c>
      <c r="AC438" s="2">
        <f>IF(Games[[#This Row],[Type]]="R",IF(Games[[#This Row],[Result]]&gt;0.5,1,0),0)</f>
        <v>0</v>
      </c>
      <c r="AD438" s="2">
        <f>IF(Games[[#This Row],[Type]]="R",IF(Games[[#This Row],[Result]]&lt;0.5,1,0),0)</f>
        <v>1</v>
      </c>
      <c r="AE438" s="2">
        <f>IF(AND(Games[[#This Row],[Type]]="P",Games[[#This Row],[Round]]=1),IF(Games[[#This Row],[Result]]&gt;0.5,1,0),0)</f>
        <v>0</v>
      </c>
      <c r="AF438" s="2">
        <f>IF(AND(Games[[#This Row],[Type]]="P",Games[[#This Row],[Round]]=1),IF(Games[[#This Row],[Result]]&lt;0.5,1,0),0)</f>
        <v>0</v>
      </c>
      <c r="AG438" s="2">
        <f>IF(AND(Games[[#This Row],[Type]]="P",Games[[#This Row],[Round]]=2),IF(Games[[#This Row],[Result]]&gt;0.5,1,0),0)</f>
        <v>0</v>
      </c>
      <c r="AH438" s="2">
        <f>IF(AND(Games[[#This Row],[Type]]="P",Games[[#This Row],[Round]]=2),IF(Games[[#This Row],[Result]]&lt;0.5,1,0),0)</f>
        <v>0</v>
      </c>
      <c r="AI438" s="2">
        <f>IF(AND(Games[[#This Row],[Type]]="P",Games[[#This Row],[Round]]=3),IF(Games[[#This Row],[Result]]&gt;0.5,1,0),0)</f>
        <v>0</v>
      </c>
      <c r="AJ438" s="2">
        <f>IF(AND(Games[[#This Row],[Type]]="P",Games[[#This Row],[Round]]=3),IF(Games[[#This Row],[Result]]&lt;0.5,1,0),0)</f>
        <v>0</v>
      </c>
      <c r="AK438" s="2">
        <f>IF(AND(Games[[#This Row],[Type]]="P",Games[[#This Row],[Round]]=4),IF(Games[[#This Row],[Result]]&gt;0.5,1,0),0)</f>
        <v>0</v>
      </c>
      <c r="AL438" s="2">
        <f>IF(AND(Games[[#This Row],[Type]]="P",Games[[#This Row],[Round]]=4),IF(Games[[#This Row],[Result]]&lt;0.5,1,0),0)</f>
        <v>0</v>
      </c>
    </row>
    <row r="439" spans="1:38" x14ac:dyDescent="0.35">
      <c r="A439" s="10">
        <v>40435</v>
      </c>
      <c r="B439" s="2">
        <v>2010</v>
      </c>
      <c r="C439" s="2">
        <f>COUNTIFS(Games[Team],Games[[#This Row],[Team]],Games[Season],Games[[#This Row],[Season]],Games[Date],"&lt;=" &amp; Games[[#This Row],[Date]])</f>
        <v>40</v>
      </c>
      <c r="D439" s="2" t="s">
        <v>23</v>
      </c>
      <c r="E439" s="2" t="s">
        <v>29</v>
      </c>
      <c r="F439" s="1" t="s">
        <v>75</v>
      </c>
      <c r="G439" s="1" t="s">
        <v>83</v>
      </c>
      <c r="H439" s="1" t="s">
        <v>15</v>
      </c>
      <c r="I439" s="2" cm="1">
        <f t="array" ref="I439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9" s="2" cm="1">
        <f t="array" ref="J43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9" s="2">
        <f>Games[[#This Row],[DaysOff]]-Games[[#This Row],[OppDaysOff]]</f>
        <v>0</v>
      </c>
      <c r="L439" s="2">
        <f>Games[[#This Row],[OppDaysOff]]-Games[[#This Row],[DaysOff]]</f>
        <v>0</v>
      </c>
      <c r="M439" s="1">
        <f>MAX(-16, MIN(16, Games[[#This Row],[RestDiff]]*8))</f>
        <v>0</v>
      </c>
      <c r="N439" s="1">
        <f>MAX(-16, MIN(16, Games[[#This Row],[OppRestDiff]]*8))</f>
        <v>0</v>
      </c>
      <c r="O439" s="4" cm="1">
        <f t="array" ref="O4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1689.3902103869598</v>
      </c>
      <c r="P439" s="4" cm="1">
        <f t="array" ref="P4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1584.1287554423839</v>
      </c>
      <c r="Q439" s="4">
        <f>1/(1+10^(((Games[[#This Row],[OppPreGmRate]]+IF(Games[[#This Row],[HomeAway]]="A",HCA,0)+Games[[#This Row],[OppRestAdj]])-(Games[[#This Row],[PreGmRate]]+IF(Games[[#This Row],[HomeAway]]="H",HCA,0)+Games[[#This Row],[RestAdj]]))/400))</f>
        <v>0.74828313260244672</v>
      </c>
      <c r="R439" s="1">
        <v>87</v>
      </c>
      <c r="S439" s="1">
        <v>84</v>
      </c>
      <c r="T439" s="1">
        <v>0</v>
      </c>
      <c r="U439" s="1">
        <f>Games[[#This Row],[PointsFor]]-Games[[#This Row],[PointsAgainst]]</f>
        <v>3</v>
      </c>
      <c r="V439" s="1">
        <f>IF(Games[[#This Row],[MOV]]&gt;0,1,IF(Games[[#This Row],[MOV]]=0,0.5,0))</f>
        <v>1</v>
      </c>
      <c r="W439" s="4">
        <f>((ABS(Games[[#This Row],[MOV]])+5)^0.6)/(12+0.01*(ABS(Games[[#This Row],[PreGmRate]]-Games[[#This Row],[OppPreGmRate]])))*IF(Games[[#This Row],[OT]]=1,0.9,1)</f>
        <v>0.2667819723008949</v>
      </c>
      <c r="X439" s="7" cm="1">
        <f t="array" ref="X4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9" s="9">
        <f>MAX(kmin, kmax - 0.15 * MIN(Games[[#This Row],[GamesPlayed]], 82))</f>
        <v>70</v>
      </c>
      <c r="Z439" s="4">
        <f>Games[[#This Row],[K]]*Games[[#This Row],[POMult]]</f>
        <v>70</v>
      </c>
      <c r="AA439" s="4">
        <f>(Games[[#This Row],[Keff]]*Games[[#This Row],[MOVMult]])*(Games[[#This Row],[Result]]-Games[[#This Row],[ExpectedWin%]])</f>
        <v>4.7007465642005473</v>
      </c>
      <c r="AB439" s="4">
        <f>Games[[#This Row],[PreGmRate]]+Games[[#This Row],[RatingChange]]</f>
        <v>1694.0909569511603</v>
      </c>
      <c r="AC439" s="2">
        <f>IF(Games[[#This Row],[Type]]="R",IF(Games[[#This Row],[Result]]&gt;0.5,1,0),0)</f>
        <v>1</v>
      </c>
      <c r="AD439" s="2">
        <f>IF(Games[[#This Row],[Type]]="R",IF(Games[[#This Row],[Result]]&lt;0.5,1,0),0)</f>
        <v>0</v>
      </c>
      <c r="AE439" s="2">
        <f>IF(AND(Games[[#This Row],[Type]]="P",Games[[#This Row],[Round]]=1),IF(Games[[#This Row],[Result]]&gt;0.5,1,0),0)</f>
        <v>0</v>
      </c>
      <c r="AF439" s="2">
        <f>IF(AND(Games[[#This Row],[Type]]="P",Games[[#This Row],[Round]]=1),IF(Games[[#This Row],[Result]]&lt;0.5,1,0),0)</f>
        <v>0</v>
      </c>
      <c r="AG439" s="2">
        <f>IF(AND(Games[[#This Row],[Type]]="P",Games[[#This Row],[Round]]=2),IF(Games[[#This Row],[Result]]&gt;0.5,1,0),0)</f>
        <v>0</v>
      </c>
      <c r="AH439" s="2">
        <f>IF(AND(Games[[#This Row],[Type]]="P",Games[[#This Row],[Round]]=2),IF(Games[[#This Row],[Result]]&lt;0.5,1,0),0)</f>
        <v>0</v>
      </c>
      <c r="AI439" s="2">
        <f>IF(AND(Games[[#This Row],[Type]]="P",Games[[#This Row],[Round]]=3),IF(Games[[#This Row],[Result]]&gt;0.5,1,0),0)</f>
        <v>0</v>
      </c>
      <c r="AJ439" s="2">
        <f>IF(AND(Games[[#This Row],[Type]]="P",Games[[#This Row],[Round]]=3),IF(Games[[#This Row],[Result]]&lt;0.5,1,0),0)</f>
        <v>0</v>
      </c>
      <c r="AK439" s="2">
        <f>IF(AND(Games[[#This Row],[Type]]="P",Games[[#This Row],[Round]]=4),IF(Games[[#This Row],[Result]]&gt;0.5,1,0),0)</f>
        <v>0</v>
      </c>
      <c r="AL439" s="2">
        <f>IF(AND(Games[[#This Row],[Type]]="P",Games[[#This Row],[Round]]=4),IF(Games[[#This Row],[Result]]&lt;0.5,1,0),0)</f>
        <v>0</v>
      </c>
    </row>
    <row r="440" spans="1:38" x14ac:dyDescent="0.35">
      <c r="A440" s="10">
        <v>40437</v>
      </c>
      <c r="B440" s="2">
        <v>2010</v>
      </c>
      <c r="C440" s="2">
        <f>COUNTIFS(Games[Team],Games[[#This Row],[Team]],Games[Season],Games[[#This Row],[Season]],Games[Date],"&lt;=" &amp; Games[[#This Row],[Date]])</f>
        <v>41</v>
      </c>
      <c r="D440" s="2" t="s">
        <v>23</v>
      </c>
      <c r="E440" s="2" t="s">
        <v>29</v>
      </c>
      <c r="F440" s="1" t="s">
        <v>75</v>
      </c>
      <c r="G440" s="1" t="s">
        <v>83</v>
      </c>
      <c r="H440" s="1" t="s">
        <v>16</v>
      </c>
      <c r="I440" s="2" cm="1">
        <f t="array" ref="I44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40" s="2" cm="1">
        <f t="array" ref="J44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40" s="2">
        <f>Games[[#This Row],[DaysOff]]-Games[[#This Row],[OppDaysOff]]</f>
        <v>0</v>
      </c>
      <c r="L440" s="2">
        <f>Games[[#This Row],[OppDaysOff]]-Games[[#This Row],[DaysOff]]</f>
        <v>0</v>
      </c>
      <c r="M440" s="1">
        <f>MAX(-16, MIN(16, Games[[#This Row],[RestDiff]]*8))</f>
        <v>0</v>
      </c>
      <c r="N440" s="1">
        <f>MAX(-16, MIN(16, Games[[#This Row],[OppRestDiff]]*8))</f>
        <v>0</v>
      </c>
      <c r="O440" s="4" cm="1">
        <f t="array" ref="O4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1694.0909569511603</v>
      </c>
      <c r="P440" s="4" cm="1">
        <f t="array" ref="P4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1579.4280088781834</v>
      </c>
      <c r="Q440" s="4">
        <f>1/(1+10^(((Games[[#This Row],[OppPreGmRate]]+IF(Games[[#This Row],[HomeAway]]="A",HCA,0)+Games[[#This Row],[OppRestAdj]])-(Games[[#This Row],[PreGmRate]]+IF(Games[[#This Row],[HomeAway]]="H",HCA,0)+Games[[#This Row],[RestAdj]]))/400))</f>
        <v>0.54401331617024529</v>
      </c>
      <c r="R440" s="1">
        <v>87</v>
      </c>
      <c r="S440" s="1">
        <v>84</v>
      </c>
      <c r="T440" s="1">
        <v>0</v>
      </c>
      <c r="U440" s="1">
        <f>Games[[#This Row],[PointsFor]]-Games[[#This Row],[PointsAgainst]]</f>
        <v>3</v>
      </c>
      <c r="V440" s="1">
        <f>IF(Games[[#This Row],[MOV]]&gt;0,1,IF(Games[[#This Row],[MOV]]=0,0.5,0))</f>
        <v>1</v>
      </c>
      <c r="W440" s="4">
        <f>((ABS(Games[[#This Row],[MOV]])+5)^0.6)/(12+0.01*(ABS(Games[[#This Row],[PreGmRate]]-Games[[#This Row],[OppPreGmRate]])))*IF(Games[[#This Row],[OT]]=1,0.9,1)</f>
        <v>0.2648741457488159</v>
      </c>
      <c r="X440" s="7" cm="1">
        <f t="array" ref="X4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40" s="9">
        <f>MAX(kmin, kmax - 0.15 * MIN(Games[[#This Row],[GamesPlayed]], 82))</f>
        <v>69.849999999999994</v>
      </c>
      <c r="Z440" s="4">
        <f>Games[[#This Row],[K]]*Games[[#This Row],[POMult]]</f>
        <v>69.849999999999994</v>
      </c>
      <c r="AA440" s="4">
        <f>(Games[[#This Row],[Keff]]*Games[[#This Row],[MOVMult]])*(Games[[#This Row],[Result]]-Games[[#This Row],[ExpectedWin%]])</f>
        <v>8.4364189721540814</v>
      </c>
      <c r="AB440" s="4">
        <f>Games[[#This Row],[PreGmRate]]+Games[[#This Row],[RatingChange]]</f>
        <v>1702.5273759233144</v>
      </c>
      <c r="AC440" s="2">
        <f>IF(Games[[#This Row],[Type]]="R",IF(Games[[#This Row],[Result]]&gt;0.5,1,0),0)</f>
        <v>1</v>
      </c>
      <c r="AD440" s="2">
        <f>IF(Games[[#This Row],[Type]]="R",IF(Games[[#This Row],[Result]]&lt;0.5,1,0),0)</f>
        <v>0</v>
      </c>
      <c r="AE440" s="2">
        <f>IF(AND(Games[[#This Row],[Type]]="P",Games[[#This Row],[Round]]=1),IF(Games[[#This Row],[Result]]&gt;0.5,1,0),0)</f>
        <v>0</v>
      </c>
      <c r="AF440" s="2">
        <f>IF(AND(Games[[#This Row],[Type]]="P",Games[[#This Row],[Round]]=1),IF(Games[[#This Row],[Result]]&lt;0.5,1,0),0)</f>
        <v>0</v>
      </c>
      <c r="AG440" s="2">
        <f>IF(AND(Games[[#This Row],[Type]]="P",Games[[#This Row],[Round]]=2),IF(Games[[#This Row],[Result]]&gt;0.5,1,0),0)</f>
        <v>0</v>
      </c>
      <c r="AH440" s="2">
        <f>IF(AND(Games[[#This Row],[Type]]="P",Games[[#This Row],[Round]]=2),IF(Games[[#This Row],[Result]]&lt;0.5,1,0),0)</f>
        <v>0</v>
      </c>
      <c r="AI440" s="2">
        <f>IF(AND(Games[[#This Row],[Type]]="P",Games[[#This Row],[Round]]=3),IF(Games[[#This Row],[Result]]&gt;0.5,1,0),0)</f>
        <v>0</v>
      </c>
      <c r="AJ440" s="2">
        <f>IF(AND(Games[[#This Row],[Type]]="P",Games[[#This Row],[Round]]=3),IF(Games[[#This Row],[Result]]&lt;0.5,1,0),0)</f>
        <v>0</v>
      </c>
      <c r="AK440" s="2">
        <f>IF(AND(Games[[#This Row],[Type]]="P",Games[[#This Row],[Round]]=4),IF(Games[[#This Row],[Result]]&gt;0.5,1,0),0)</f>
        <v>0</v>
      </c>
      <c r="AL440" s="2">
        <f>IF(AND(Games[[#This Row],[Type]]="P",Games[[#This Row],[Round]]=4),IF(Games[[#This Row],[Result]]&lt;0.5,1,0),0)</f>
        <v>0</v>
      </c>
    </row>
    <row r="441" spans="1:38" x14ac:dyDescent="0.35">
      <c r="A441" s="10">
        <v>40437</v>
      </c>
      <c r="B441" s="2">
        <v>2010</v>
      </c>
      <c r="C441" s="2">
        <f>COUNTIFS(Games[Team],Games[[#This Row],[Team]],Games[Season],Games[[#This Row],[Season]],Games[Date],"&lt;=" &amp; Games[[#This Row],[Date]])</f>
        <v>41</v>
      </c>
      <c r="D441" s="2" t="s">
        <v>23</v>
      </c>
      <c r="E441" s="2" t="s">
        <v>29</v>
      </c>
      <c r="F441" s="1" t="s">
        <v>83</v>
      </c>
      <c r="G441" s="1" t="s">
        <v>75</v>
      </c>
      <c r="H441" s="1" t="s">
        <v>15</v>
      </c>
      <c r="I441" s="2" cm="1">
        <f t="array" ref="I441">IFERROR(
    Games[[#This Row],[Date]]
    - LOOKUP(
        2,
        1/((Games[Team]=Games[[#This Row],[Team]]) * (Games[Date] &lt; Games[[#This Row],[Date]])),
        Games[Date]
    )
    - 1,
Games[[#This Row],[Date]]-$A$2)</f>
        <v>1</v>
      </c>
      <c r="J441" s="2" cm="1">
        <f t="array" ref="J44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41" s="2">
        <f>Games[[#This Row],[DaysOff]]-Games[[#This Row],[OppDaysOff]]</f>
        <v>0</v>
      </c>
      <c r="L441" s="2">
        <f>Games[[#This Row],[OppDaysOff]]-Games[[#This Row],[DaysOff]]</f>
        <v>0</v>
      </c>
      <c r="M441" s="1">
        <f>MAX(-16, MIN(16, Games[[#This Row],[RestDiff]]*8))</f>
        <v>0</v>
      </c>
      <c r="N441" s="1">
        <f>MAX(-16, MIN(16, Games[[#This Row],[OppRestDiff]]*8))</f>
        <v>0</v>
      </c>
      <c r="O441" s="4" cm="1">
        <f t="array" ref="O4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1579.4280088781834</v>
      </c>
      <c r="P441" s="4" cm="1">
        <f t="array" ref="P4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1694.0909569511603</v>
      </c>
      <c r="Q441" s="4">
        <f>1/(1+10^(((Games[[#This Row],[OppPreGmRate]]+IF(Games[[#This Row],[HomeAway]]="A",HCA,0)+Games[[#This Row],[OppRestAdj]])-(Games[[#This Row],[PreGmRate]]+IF(Games[[#This Row],[HomeAway]]="H",HCA,0)+Games[[#This Row],[RestAdj]]))/400))</f>
        <v>0.45598668382975477</v>
      </c>
      <c r="R441" s="1">
        <v>84</v>
      </c>
      <c r="S441" s="1">
        <v>87</v>
      </c>
      <c r="T441" s="1">
        <v>0</v>
      </c>
      <c r="U441" s="1">
        <f>Games[[#This Row],[PointsFor]]-Games[[#This Row],[PointsAgainst]]</f>
        <v>-3</v>
      </c>
      <c r="V441" s="1">
        <f>IF(Games[[#This Row],[MOV]]&gt;0,1,IF(Games[[#This Row],[MOV]]=0,0.5,0))</f>
        <v>0</v>
      </c>
      <c r="W441" s="4">
        <f>((ABS(Games[[#This Row],[MOV]])+5)^0.6)/(12+0.01*(ABS(Games[[#This Row],[PreGmRate]]-Games[[#This Row],[OppPreGmRate]])))*IF(Games[[#This Row],[OT]]=1,0.9,1)</f>
        <v>0.2648741457488159</v>
      </c>
      <c r="X441" s="7" cm="1">
        <f t="array" ref="X4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41" s="9">
        <f>MAX(kmin, kmax - 0.15 * MIN(Games[[#This Row],[GamesPlayed]], 82))</f>
        <v>69.849999999999994</v>
      </c>
      <c r="Z441" s="4">
        <f>Games[[#This Row],[K]]*Games[[#This Row],[POMult]]</f>
        <v>69.849999999999994</v>
      </c>
      <c r="AA441" s="4">
        <f>(Games[[#This Row],[Keff]]*Games[[#This Row],[MOVMult]])*(Games[[#This Row],[Result]]-Games[[#This Row],[ExpectedWin%]])</f>
        <v>-8.4364189721540814</v>
      </c>
      <c r="AB441" s="4">
        <f>Games[[#This Row],[PreGmRate]]+Games[[#This Row],[RatingChange]]</f>
        <v>1570.9915899060293</v>
      </c>
      <c r="AC441" s="2">
        <f>IF(Games[[#This Row],[Type]]="R",IF(Games[[#This Row],[Result]]&gt;0.5,1,0),0)</f>
        <v>0</v>
      </c>
      <c r="AD441" s="2">
        <f>IF(Games[[#This Row],[Type]]="R",IF(Games[[#This Row],[Result]]&lt;0.5,1,0),0)</f>
        <v>1</v>
      </c>
      <c r="AE441" s="2">
        <f>IF(AND(Games[[#This Row],[Type]]="P",Games[[#This Row],[Round]]=1),IF(Games[[#This Row],[Result]]&gt;0.5,1,0),0)</f>
        <v>0</v>
      </c>
      <c r="AF441" s="2">
        <f>IF(AND(Games[[#This Row],[Type]]="P",Games[[#This Row],[Round]]=1),IF(Games[[#This Row],[Result]]&lt;0.5,1,0),0)</f>
        <v>0</v>
      </c>
      <c r="AG441" s="2">
        <f>IF(AND(Games[[#This Row],[Type]]="P",Games[[#This Row],[Round]]=2),IF(Games[[#This Row],[Result]]&gt;0.5,1,0),0)</f>
        <v>0</v>
      </c>
      <c r="AH441" s="2">
        <f>IF(AND(Games[[#This Row],[Type]]="P",Games[[#This Row],[Round]]=2),IF(Games[[#This Row],[Result]]&lt;0.5,1,0),0)</f>
        <v>0</v>
      </c>
      <c r="AI441" s="2">
        <f>IF(AND(Games[[#This Row],[Type]]="P",Games[[#This Row],[Round]]=3),IF(Games[[#This Row],[Result]]&gt;0.5,1,0),0)</f>
        <v>0</v>
      </c>
      <c r="AJ441" s="2">
        <f>IF(AND(Games[[#This Row],[Type]]="P",Games[[#This Row],[Round]]=3),IF(Games[[#This Row],[Result]]&lt;0.5,1,0),0)</f>
        <v>0</v>
      </c>
      <c r="AK441" s="2">
        <f>IF(AND(Games[[#This Row],[Type]]="P",Games[[#This Row],[Round]]=4),IF(Games[[#This Row],[Result]]&gt;0.5,1,0),0)</f>
        <v>0</v>
      </c>
      <c r="AL441" s="2">
        <f>IF(AND(Games[[#This Row],[Type]]="P",Games[[#This Row],[Round]]=4),IF(Games[[#This Row],[Result]]&lt;0.5,1,0),0)</f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DataTable</vt:lpstr>
      <vt:lpstr>StandingsRaw</vt:lpstr>
      <vt:lpstr>StandingsPivot</vt:lpstr>
      <vt:lpstr>Sheet1</vt:lpstr>
      <vt:lpstr>RawData</vt:lpstr>
      <vt:lpstr>alpha</vt:lpstr>
      <vt:lpstr>base</vt:lpstr>
      <vt:lpstr>HCA</vt:lpstr>
      <vt:lpstr>HFA</vt:lpstr>
      <vt:lpstr>kmax</vt:lpstr>
      <vt:lpstr>kmin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Sutton</dc:creator>
  <cp:lastModifiedBy>Tj Sutton</cp:lastModifiedBy>
  <dcterms:created xsi:type="dcterms:W3CDTF">2025-12-07T03:29:45Z</dcterms:created>
  <dcterms:modified xsi:type="dcterms:W3CDTF">2026-07-27T10:25:35Z</dcterms:modified>
</cp:coreProperties>
</file>